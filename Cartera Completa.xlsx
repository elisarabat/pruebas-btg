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U:\13. FI Deuda Habitacional con Subsidio\0.- Carteras\"/>
    </mc:Choice>
  </mc:AlternateContent>
  <xr:revisionPtr revIDLastSave="0" documentId="13_ncr:1_{5D832E00-03DB-4AA4-B191-AECCDB972D8C}" xr6:coauthVersionLast="47" xr6:coauthVersionMax="47" xr10:uidLastSave="{00000000-0000-0000-0000-000000000000}"/>
  <bookViews>
    <workbookView xWindow="14355" yWindow="-16320" windowWidth="29040" windowHeight="15720" xr2:uid="{1496EA57-2845-446A-BF91-0558CD9DAA32}"/>
  </bookViews>
  <sheets>
    <sheet name="Detalle Compras" sheetId="1" r:id="rId1"/>
    <sheet name="Tablas" sheetId="2" r:id="rId2"/>
    <sheet name="BBDD Comunas" sheetId="3" r:id="rId3"/>
  </sheets>
  <definedNames>
    <definedName name="_xlnm._FilterDatabase" localSheetId="0" hidden="1">'Detalle Compras'!$A$1:$AJ$1347</definedName>
    <definedName name="_xlnm._FilterDatabase" localSheetId="1" hidden="1">Tablas!$A$1:$QC$2168</definedName>
  </definedNames>
  <calcPr calcId="191029"/>
  <pivotCaches>
    <pivotCache cacheId="17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112" i="2" l="1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1059" i="2"/>
  <c r="E1060" i="2"/>
  <c r="E1061" i="2"/>
  <c r="E1062" i="2"/>
  <c r="E1063" i="2"/>
  <c r="E1064" i="2"/>
  <c r="E1065" i="2"/>
  <c r="E1066" i="2"/>
  <c r="E1067" i="2"/>
  <c r="E1068" i="2"/>
  <c r="E1069" i="2"/>
  <c r="E1070" i="2"/>
  <c r="E1071" i="2"/>
  <c r="E1072" i="2"/>
  <c r="E1073" i="2"/>
  <c r="E1074" i="2"/>
  <c r="E1075" i="2"/>
  <c r="E1076" i="2"/>
  <c r="E1077" i="2"/>
  <c r="E1078" i="2"/>
  <c r="E1079" i="2"/>
  <c r="E1080" i="2"/>
  <c r="E1081" i="2"/>
  <c r="E1082" i="2"/>
  <c r="E1083" i="2"/>
  <c r="E1084" i="2"/>
  <c r="E1085" i="2"/>
  <c r="E1086" i="2"/>
  <c r="E1087" i="2"/>
  <c r="E1088" i="2"/>
  <c r="E1089" i="2"/>
  <c r="E1090" i="2"/>
  <c r="E1091" i="2"/>
  <c r="E1092" i="2"/>
  <c r="E1093" i="2"/>
  <c r="E1094" i="2"/>
  <c r="E1095" i="2"/>
  <c r="E1096" i="2"/>
  <c r="E1097" i="2"/>
  <c r="E1098" i="2"/>
  <c r="E1099" i="2"/>
  <c r="E1100" i="2"/>
  <c r="E1101" i="2"/>
  <c r="E1102" i="2"/>
  <c r="E1103" i="2"/>
  <c r="E1104" i="2"/>
  <c r="E1105" i="2"/>
  <c r="E1106" i="2"/>
  <c r="E1107" i="2"/>
  <c r="E1108" i="2"/>
  <c r="E1109" i="2"/>
  <c r="E1110" i="2"/>
  <c r="E1111" i="2"/>
  <c r="E1112" i="2"/>
  <c r="E1113" i="2"/>
  <c r="E1114" i="2"/>
  <c r="E1115" i="2"/>
  <c r="E1116" i="2"/>
  <c r="E1117" i="2"/>
  <c r="E1118" i="2"/>
  <c r="E1119" i="2"/>
  <c r="E1120" i="2"/>
  <c r="E1121" i="2"/>
  <c r="E1122" i="2"/>
  <c r="E1123" i="2"/>
  <c r="E1124" i="2"/>
  <c r="E1125" i="2"/>
  <c r="E1126" i="2"/>
  <c r="E1127" i="2"/>
  <c r="E1128" i="2"/>
  <c r="E1129" i="2"/>
  <c r="E1130" i="2"/>
  <c r="E1131" i="2"/>
  <c r="E1132" i="2"/>
  <c r="E1133" i="2"/>
  <c r="E1134" i="2"/>
  <c r="E1135" i="2"/>
  <c r="E1136" i="2"/>
  <c r="E1137" i="2"/>
  <c r="E1138" i="2"/>
  <c r="E1139" i="2"/>
  <c r="E1140" i="2"/>
  <c r="E1141" i="2"/>
  <c r="E1142" i="2"/>
  <c r="E1143" i="2"/>
  <c r="E1144" i="2"/>
  <c r="E1145" i="2"/>
  <c r="E1146" i="2"/>
  <c r="E1147" i="2"/>
  <c r="E1148" i="2"/>
  <c r="E1149" i="2"/>
  <c r="E1150" i="2"/>
  <c r="E1151" i="2"/>
  <c r="E1152" i="2"/>
  <c r="E1153" i="2"/>
  <c r="E1154" i="2"/>
  <c r="E1155" i="2"/>
  <c r="E1156" i="2"/>
  <c r="E1157" i="2"/>
  <c r="E1158" i="2"/>
  <c r="E1159" i="2"/>
  <c r="E1160" i="2"/>
  <c r="E1161" i="2"/>
  <c r="E1162" i="2"/>
  <c r="E1163" i="2"/>
  <c r="E1164" i="2"/>
  <c r="E1165" i="2"/>
  <c r="E1166" i="2"/>
  <c r="E1167" i="2"/>
  <c r="E1168" i="2"/>
  <c r="E1169" i="2"/>
  <c r="E1170" i="2"/>
  <c r="E1171" i="2"/>
  <c r="E1172" i="2"/>
  <c r="E1173" i="2"/>
  <c r="E1174" i="2"/>
  <c r="E1175" i="2"/>
  <c r="E1176" i="2"/>
  <c r="E1177" i="2"/>
  <c r="E1178" i="2"/>
  <c r="E1179" i="2"/>
  <c r="E1180" i="2"/>
  <c r="E1181" i="2"/>
  <c r="E1182" i="2"/>
  <c r="E1183" i="2"/>
  <c r="E1184" i="2"/>
  <c r="E1185" i="2"/>
  <c r="E1186" i="2"/>
  <c r="E1187" i="2"/>
  <c r="E1188" i="2"/>
  <c r="E1189" i="2"/>
  <c r="E1190" i="2"/>
  <c r="E1191" i="2"/>
  <c r="E1192" i="2"/>
  <c r="E1193" i="2"/>
  <c r="E1194" i="2"/>
  <c r="E1195" i="2"/>
  <c r="E1196" i="2"/>
  <c r="E1197" i="2"/>
  <c r="E1198" i="2"/>
  <c r="E1199" i="2"/>
  <c r="E1200" i="2"/>
  <c r="E1201" i="2"/>
  <c r="E1202" i="2"/>
  <c r="E1203" i="2"/>
  <c r="E1204" i="2"/>
  <c r="E1205" i="2"/>
  <c r="E1206" i="2"/>
  <c r="E1207" i="2"/>
  <c r="E1208" i="2"/>
  <c r="E1209" i="2"/>
  <c r="E1210" i="2"/>
  <c r="E1211" i="2"/>
  <c r="E1212" i="2"/>
  <c r="E1213" i="2"/>
  <c r="E1214" i="2"/>
  <c r="E1215" i="2"/>
  <c r="E1216" i="2"/>
  <c r="E1217" i="2"/>
  <c r="E1218" i="2"/>
  <c r="E1219" i="2"/>
  <c r="E1220" i="2"/>
  <c r="E1221" i="2"/>
  <c r="E1222" i="2"/>
  <c r="E1223" i="2"/>
  <c r="E1224" i="2"/>
  <c r="E1225" i="2"/>
  <c r="E1226" i="2"/>
  <c r="E1227" i="2"/>
  <c r="E1228" i="2"/>
  <c r="E1229" i="2"/>
  <c r="E1230" i="2"/>
  <c r="E1231" i="2"/>
  <c r="E1232" i="2"/>
  <c r="E1233" i="2"/>
  <c r="E1234" i="2"/>
  <c r="E1235" i="2"/>
  <c r="E1236" i="2"/>
  <c r="E1237" i="2"/>
  <c r="E1238" i="2"/>
  <c r="E1239" i="2"/>
  <c r="E1240" i="2"/>
  <c r="E1241" i="2"/>
  <c r="E1242" i="2"/>
  <c r="E1243" i="2"/>
  <c r="E1244" i="2"/>
  <c r="E1245" i="2"/>
  <c r="E1246" i="2"/>
  <c r="E1247" i="2"/>
  <c r="E1248" i="2"/>
  <c r="E1249" i="2"/>
  <c r="E1250" i="2"/>
  <c r="E1251" i="2"/>
  <c r="E1252" i="2"/>
  <c r="E1253" i="2"/>
  <c r="E1254" i="2"/>
  <c r="E1255" i="2"/>
  <c r="E1256" i="2"/>
  <c r="E1257" i="2"/>
  <c r="E1258" i="2"/>
  <c r="E1259" i="2"/>
  <c r="E1260" i="2"/>
  <c r="E1261" i="2"/>
  <c r="E1262" i="2"/>
  <c r="E1263" i="2"/>
  <c r="E1264" i="2"/>
  <c r="E1265" i="2"/>
  <c r="E1266" i="2"/>
  <c r="E1267" i="2"/>
  <c r="E1268" i="2"/>
  <c r="E1269" i="2"/>
  <c r="E1270" i="2"/>
  <c r="E1271" i="2"/>
  <c r="E1272" i="2"/>
  <c r="E1273" i="2"/>
  <c r="E1274" i="2"/>
  <c r="E1275" i="2"/>
  <c r="E1276" i="2"/>
  <c r="E1277" i="2"/>
  <c r="E1278" i="2"/>
  <c r="E1279" i="2"/>
  <c r="E1280" i="2"/>
  <c r="E1281" i="2"/>
  <c r="E1282" i="2"/>
  <c r="E1283" i="2"/>
  <c r="E1284" i="2"/>
  <c r="E1285" i="2"/>
  <c r="E1286" i="2"/>
  <c r="E1287" i="2"/>
  <c r="E1288" i="2"/>
  <c r="E1289" i="2"/>
  <c r="E1290" i="2"/>
  <c r="E1291" i="2"/>
  <c r="E1292" i="2"/>
  <c r="E1293" i="2"/>
  <c r="E1294" i="2"/>
  <c r="E1295" i="2"/>
  <c r="E1296" i="2"/>
  <c r="E1297" i="2"/>
  <c r="E1298" i="2"/>
  <c r="E1299" i="2"/>
  <c r="E1300" i="2"/>
  <c r="E1301" i="2"/>
  <c r="E1302" i="2"/>
  <c r="E1303" i="2"/>
  <c r="E1304" i="2"/>
  <c r="E1305" i="2"/>
  <c r="E1306" i="2"/>
  <c r="E1307" i="2"/>
  <c r="E1308" i="2"/>
  <c r="E1309" i="2"/>
  <c r="E1310" i="2"/>
  <c r="E1311" i="2"/>
  <c r="E1312" i="2"/>
  <c r="E1313" i="2"/>
  <c r="E1314" i="2"/>
  <c r="E1315" i="2"/>
  <c r="E1316" i="2"/>
  <c r="E1317" i="2"/>
  <c r="E1318" i="2"/>
  <c r="E1319" i="2"/>
  <c r="E1320" i="2"/>
  <c r="E1321" i="2"/>
  <c r="E1322" i="2"/>
  <c r="E1323" i="2"/>
  <c r="E1324" i="2"/>
  <c r="E1325" i="2"/>
  <c r="E1326" i="2"/>
  <c r="E1327" i="2"/>
  <c r="E1328" i="2"/>
  <c r="E1329" i="2"/>
  <c r="E1330" i="2"/>
  <c r="E1331" i="2"/>
  <c r="E1332" i="2"/>
  <c r="E1333" i="2"/>
  <c r="E1334" i="2"/>
  <c r="E1335" i="2"/>
  <c r="E1336" i="2"/>
  <c r="E1337" i="2"/>
  <c r="E1338" i="2"/>
  <c r="E1339" i="2"/>
  <c r="E1340" i="2"/>
  <c r="E1341" i="2"/>
  <c r="E1342" i="2"/>
  <c r="E1343" i="2"/>
  <c r="E1344" i="2"/>
  <c r="E1345" i="2"/>
  <c r="E1346" i="2"/>
  <c r="E1347" i="2"/>
  <c r="E1348" i="2"/>
  <c r="E1349" i="2"/>
  <c r="E1350" i="2"/>
  <c r="E1351" i="2"/>
  <c r="E1352" i="2"/>
  <c r="E1353" i="2"/>
  <c r="E1354" i="2"/>
  <c r="E1355" i="2"/>
  <c r="E1356" i="2"/>
  <c r="E1357" i="2"/>
  <c r="E1358" i="2"/>
  <c r="E1359" i="2"/>
  <c r="E1360" i="2"/>
  <c r="E1361" i="2"/>
  <c r="E1362" i="2"/>
  <c r="E1363" i="2"/>
  <c r="E1364" i="2"/>
  <c r="E1365" i="2"/>
  <c r="E1366" i="2"/>
  <c r="E1367" i="2"/>
  <c r="E1368" i="2"/>
  <c r="E1369" i="2"/>
  <c r="E1370" i="2"/>
  <c r="E1371" i="2"/>
  <c r="E1372" i="2"/>
  <c r="E1373" i="2"/>
  <c r="E1374" i="2"/>
  <c r="E1375" i="2"/>
  <c r="E1376" i="2"/>
  <c r="E1377" i="2"/>
  <c r="E1378" i="2"/>
  <c r="E1379" i="2"/>
  <c r="E1380" i="2"/>
  <c r="E1381" i="2"/>
  <c r="E1382" i="2"/>
  <c r="E1383" i="2"/>
  <c r="E1384" i="2"/>
  <c r="E1385" i="2"/>
  <c r="E1386" i="2"/>
  <c r="E1387" i="2"/>
  <c r="E1388" i="2"/>
  <c r="E1389" i="2"/>
  <c r="E1390" i="2"/>
  <c r="E1391" i="2"/>
  <c r="E1392" i="2"/>
  <c r="E1393" i="2"/>
  <c r="E1394" i="2"/>
  <c r="E1395" i="2"/>
  <c r="E1396" i="2"/>
  <c r="E1397" i="2"/>
  <c r="E1398" i="2"/>
  <c r="E1399" i="2"/>
  <c r="E1400" i="2"/>
  <c r="E1401" i="2"/>
  <c r="E1402" i="2"/>
  <c r="E1403" i="2"/>
  <c r="E1404" i="2"/>
  <c r="E1405" i="2"/>
  <c r="E1406" i="2"/>
  <c r="E1407" i="2"/>
  <c r="E1408" i="2"/>
  <c r="E1409" i="2"/>
  <c r="E1410" i="2"/>
  <c r="E1411" i="2"/>
  <c r="E1412" i="2"/>
  <c r="E1413" i="2"/>
  <c r="E1414" i="2"/>
  <c r="E1415" i="2"/>
  <c r="E1416" i="2"/>
  <c r="E1417" i="2"/>
  <c r="E1418" i="2"/>
  <c r="E1419" i="2"/>
  <c r="E1420" i="2"/>
  <c r="E1421" i="2"/>
  <c r="E1422" i="2"/>
  <c r="E1423" i="2"/>
  <c r="E1424" i="2"/>
  <c r="E1425" i="2"/>
  <c r="E1426" i="2"/>
  <c r="E1427" i="2"/>
  <c r="E1428" i="2"/>
  <c r="E1429" i="2"/>
  <c r="E1430" i="2"/>
  <c r="E1431" i="2"/>
  <c r="E1432" i="2"/>
  <c r="E1433" i="2"/>
  <c r="E1434" i="2"/>
  <c r="E1435" i="2"/>
  <c r="E1436" i="2"/>
  <c r="E1437" i="2"/>
  <c r="E1438" i="2"/>
  <c r="E1439" i="2"/>
  <c r="E1440" i="2"/>
  <c r="E1441" i="2"/>
  <c r="E1442" i="2"/>
  <c r="E1443" i="2"/>
  <c r="E1444" i="2"/>
  <c r="E1445" i="2"/>
  <c r="E1446" i="2"/>
  <c r="E1447" i="2"/>
  <c r="E1448" i="2"/>
  <c r="E1449" i="2"/>
  <c r="E1450" i="2"/>
  <c r="E1451" i="2"/>
  <c r="E1452" i="2"/>
  <c r="E1453" i="2"/>
  <c r="E1454" i="2"/>
  <c r="E1455" i="2"/>
  <c r="E1456" i="2"/>
  <c r="E1457" i="2"/>
  <c r="E1458" i="2"/>
  <c r="E1459" i="2"/>
  <c r="E1460" i="2"/>
  <c r="E1461" i="2"/>
  <c r="E1462" i="2"/>
  <c r="E1463" i="2"/>
  <c r="E1464" i="2"/>
  <c r="E1465" i="2"/>
  <c r="E1466" i="2"/>
  <c r="E1467" i="2"/>
  <c r="E1468" i="2"/>
  <c r="E1469" i="2"/>
  <c r="E1470" i="2"/>
  <c r="E1471" i="2"/>
  <c r="E1472" i="2"/>
  <c r="E1473" i="2"/>
  <c r="E1474" i="2"/>
  <c r="E1475" i="2"/>
  <c r="E1476" i="2"/>
  <c r="E1477" i="2"/>
  <c r="E1478" i="2"/>
  <c r="E1479" i="2"/>
  <c r="E1480" i="2"/>
  <c r="E1481" i="2"/>
  <c r="E1482" i="2"/>
  <c r="E1483" i="2"/>
  <c r="E1484" i="2"/>
  <c r="E1485" i="2"/>
  <c r="E1486" i="2"/>
  <c r="E1487" i="2"/>
  <c r="E1488" i="2"/>
  <c r="E1489" i="2"/>
  <c r="E1490" i="2"/>
  <c r="E1491" i="2"/>
  <c r="E1492" i="2"/>
  <c r="E1493" i="2"/>
  <c r="E1494" i="2"/>
  <c r="E1495" i="2"/>
  <c r="E1496" i="2"/>
  <c r="E1497" i="2"/>
  <c r="E1498" i="2"/>
  <c r="E1499" i="2"/>
  <c r="E1500" i="2"/>
  <c r="E1501" i="2"/>
  <c r="E1502" i="2"/>
  <c r="E1503" i="2"/>
  <c r="E1504" i="2"/>
  <c r="E1505" i="2"/>
  <c r="E1506" i="2"/>
  <c r="E1507" i="2"/>
  <c r="E1508" i="2"/>
  <c r="E1509" i="2"/>
  <c r="E1510" i="2"/>
  <c r="E1511" i="2"/>
  <c r="E1512" i="2"/>
  <c r="E1513" i="2"/>
  <c r="E1514" i="2"/>
  <c r="E1515" i="2"/>
  <c r="E1516" i="2"/>
  <c r="E1517" i="2"/>
  <c r="E1518" i="2"/>
  <c r="E1519" i="2"/>
  <c r="E1520" i="2"/>
  <c r="E1521" i="2"/>
  <c r="E1522" i="2"/>
  <c r="E1523" i="2"/>
  <c r="E1524" i="2"/>
  <c r="E1525" i="2"/>
  <c r="E1526" i="2"/>
  <c r="E1527" i="2"/>
  <c r="E1528" i="2"/>
  <c r="E1529" i="2"/>
  <c r="E1530" i="2"/>
  <c r="E1531" i="2"/>
  <c r="E1532" i="2"/>
  <c r="E1533" i="2"/>
  <c r="E1534" i="2"/>
  <c r="E1535" i="2"/>
  <c r="E1536" i="2"/>
  <c r="E1537" i="2"/>
  <c r="E1538" i="2"/>
  <c r="E1539" i="2"/>
  <c r="E1540" i="2"/>
  <c r="E1541" i="2"/>
  <c r="E1542" i="2"/>
  <c r="E1543" i="2"/>
  <c r="E1544" i="2"/>
  <c r="E1545" i="2"/>
  <c r="E1546" i="2"/>
  <c r="E1547" i="2"/>
  <c r="E1548" i="2"/>
  <c r="E1549" i="2"/>
  <c r="E1550" i="2"/>
  <c r="E1551" i="2"/>
  <c r="E1552" i="2"/>
  <c r="E1553" i="2"/>
  <c r="E1554" i="2"/>
  <c r="E1555" i="2"/>
  <c r="E1556" i="2"/>
  <c r="E1557" i="2"/>
  <c r="E1558" i="2"/>
  <c r="E1559" i="2"/>
  <c r="E1560" i="2"/>
  <c r="E1561" i="2"/>
  <c r="E1562" i="2"/>
  <c r="E1563" i="2"/>
  <c r="E1564" i="2"/>
  <c r="E1565" i="2"/>
  <c r="E1566" i="2"/>
  <c r="E1567" i="2"/>
  <c r="E1568" i="2"/>
  <c r="E1569" i="2"/>
  <c r="E1570" i="2"/>
  <c r="E1571" i="2"/>
  <c r="E1572" i="2"/>
  <c r="E1573" i="2"/>
  <c r="E1574" i="2"/>
  <c r="E1575" i="2"/>
  <c r="E1576" i="2"/>
  <c r="E1577" i="2"/>
  <c r="E1578" i="2"/>
  <c r="E1579" i="2"/>
  <c r="E1580" i="2"/>
  <c r="E1581" i="2"/>
  <c r="E1582" i="2"/>
  <c r="E1583" i="2"/>
  <c r="E1584" i="2"/>
  <c r="E1585" i="2"/>
  <c r="E1586" i="2"/>
  <c r="E1587" i="2"/>
  <c r="E1588" i="2"/>
  <c r="E1589" i="2"/>
  <c r="E1590" i="2"/>
  <c r="E1591" i="2"/>
  <c r="E1592" i="2"/>
  <c r="E1593" i="2"/>
  <c r="E1594" i="2"/>
  <c r="E1595" i="2"/>
  <c r="E1596" i="2"/>
  <c r="E1597" i="2"/>
  <c r="E1598" i="2"/>
  <c r="E1599" i="2"/>
  <c r="E1600" i="2"/>
  <c r="E1601" i="2"/>
  <c r="E1602" i="2"/>
  <c r="E1603" i="2"/>
  <c r="E1604" i="2"/>
  <c r="E1605" i="2"/>
  <c r="E1606" i="2"/>
  <c r="E1607" i="2"/>
  <c r="E1608" i="2"/>
  <c r="E1609" i="2"/>
  <c r="E1610" i="2"/>
  <c r="E1611" i="2"/>
  <c r="E1612" i="2"/>
  <c r="E1613" i="2"/>
  <c r="E1614" i="2"/>
  <c r="E1615" i="2"/>
  <c r="E1616" i="2"/>
  <c r="E1617" i="2"/>
  <c r="E1618" i="2"/>
  <c r="E1619" i="2"/>
  <c r="E1620" i="2"/>
  <c r="E1621" i="2"/>
  <c r="E1622" i="2"/>
  <c r="E1623" i="2"/>
  <c r="E1624" i="2"/>
  <c r="E1625" i="2"/>
  <c r="E1626" i="2"/>
  <c r="E1627" i="2"/>
  <c r="E1628" i="2"/>
  <c r="E1629" i="2"/>
  <c r="E1630" i="2"/>
  <c r="E1631" i="2"/>
  <c r="E1632" i="2"/>
  <c r="E1633" i="2"/>
  <c r="E1634" i="2"/>
  <c r="E1635" i="2"/>
  <c r="E1636" i="2"/>
  <c r="E1637" i="2"/>
  <c r="E1638" i="2"/>
  <c r="E1639" i="2"/>
  <c r="E1640" i="2"/>
  <c r="E1641" i="2"/>
  <c r="E1642" i="2"/>
  <c r="E1643" i="2"/>
  <c r="E1644" i="2"/>
  <c r="E1645" i="2"/>
  <c r="E1646" i="2"/>
  <c r="E1647" i="2"/>
  <c r="E1648" i="2"/>
  <c r="E1649" i="2"/>
  <c r="E1650" i="2"/>
  <c r="E1651" i="2"/>
  <c r="E1652" i="2"/>
  <c r="E1653" i="2"/>
  <c r="E1654" i="2"/>
  <c r="E1655" i="2"/>
  <c r="E1656" i="2"/>
  <c r="E1657" i="2"/>
  <c r="E1658" i="2"/>
  <c r="E1659" i="2"/>
  <c r="E1660" i="2"/>
  <c r="E1661" i="2"/>
  <c r="E1662" i="2"/>
  <c r="E1663" i="2"/>
  <c r="E1664" i="2"/>
  <c r="E1665" i="2"/>
  <c r="E1666" i="2"/>
  <c r="E1667" i="2"/>
  <c r="E1668" i="2"/>
  <c r="E1669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85" i="2"/>
  <c r="E1686" i="2"/>
  <c r="E1687" i="2"/>
  <c r="E1688" i="2"/>
  <c r="E1689" i="2"/>
  <c r="E1690" i="2"/>
  <c r="E1691" i="2"/>
  <c r="E1692" i="2"/>
  <c r="E1693" i="2"/>
  <c r="E1694" i="2"/>
  <c r="E1695" i="2"/>
  <c r="E1696" i="2"/>
  <c r="E1697" i="2"/>
  <c r="E1698" i="2"/>
  <c r="E1699" i="2"/>
  <c r="E1700" i="2"/>
  <c r="E1701" i="2"/>
  <c r="E1702" i="2"/>
  <c r="E1703" i="2"/>
  <c r="E1704" i="2"/>
  <c r="E1705" i="2"/>
  <c r="E1706" i="2"/>
  <c r="E1707" i="2"/>
  <c r="E1708" i="2"/>
  <c r="E1709" i="2"/>
  <c r="E1710" i="2"/>
  <c r="E1711" i="2"/>
  <c r="E1712" i="2"/>
  <c r="E1713" i="2"/>
  <c r="E1714" i="2"/>
  <c r="E1715" i="2"/>
  <c r="E1716" i="2"/>
  <c r="E1717" i="2"/>
  <c r="E1718" i="2"/>
  <c r="E1719" i="2"/>
  <c r="E1720" i="2"/>
  <c r="E1721" i="2"/>
  <c r="E1722" i="2"/>
  <c r="E1723" i="2"/>
  <c r="E1724" i="2"/>
  <c r="E1725" i="2"/>
  <c r="E1726" i="2"/>
  <c r="E1727" i="2"/>
  <c r="E1728" i="2"/>
  <c r="E1729" i="2"/>
  <c r="E1730" i="2"/>
  <c r="E1731" i="2"/>
  <c r="E1732" i="2"/>
  <c r="E1733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759" i="2"/>
  <c r="E1760" i="2"/>
  <c r="E1761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1" i="2"/>
  <c r="E1822" i="2"/>
  <c r="E1823" i="2"/>
  <c r="E1824" i="2"/>
  <c r="E1825" i="2"/>
  <c r="E1826" i="2"/>
  <c r="E1827" i="2"/>
  <c r="E1828" i="2"/>
  <c r="E1829" i="2"/>
  <c r="E1830" i="2"/>
  <c r="E1831" i="2"/>
  <c r="E1832" i="2"/>
  <c r="E1833" i="2"/>
  <c r="E1834" i="2"/>
  <c r="E1835" i="2"/>
  <c r="E1836" i="2"/>
  <c r="E1837" i="2"/>
  <c r="E1838" i="2"/>
  <c r="E1839" i="2"/>
  <c r="E1840" i="2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E2095" i="2"/>
  <c r="E2096" i="2"/>
  <c r="E2097" i="2"/>
  <c r="E2098" i="2"/>
  <c r="E2099" i="2"/>
  <c r="E2100" i="2"/>
  <c r="E2101" i="2"/>
  <c r="E2102" i="2"/>
  <c r="E2103" i="2"/>
  <c r="E2104" i="2"/>
  <c r="E2105" i="2"/>
  <c r="E2106" i="2"/>
  <c r="E2107" i="2"/>
  <c r="E2108" i="2"/>
  <c r="E2109" i="2"/>
  <c r="E2110" i="2"/>
  <c r="E2111" i="2"/>
  <c r="E2112" i="2"/>
  <c r="E2113" i="2"/>
  <c r="E2114" i="2"/>
  <c r="E2115" i="2"/>
  <c r="E2116" i="2"/>
  <c r="E2117" i="2"/>
  <c r="E2118" i="2"/>
  <c r="E2119" i="2"/>
  <c r="E2120" i="2"/>
  <c r="E2121" i="2"/>
  <c r="E2122" i="2"/>
  <c r="E2123" i="2"/>
  <c r="E2124" i="2"/>
  <c r="E2125" i="2"/>
  <c r="E2126" i="2"/>
  <c r="E2127" i="2"/>
  <c r="E2128" i="2"/>
  <c r="E2129" i="2"/>
  <c r="E2130" i="2"/>
  <c r="E2131" i="2"/>
  <c r="E2132" i="2"/>
  <c r="E2133" i="2"/>
  <c r="E2134" i="2"/>
  <c r="E2135" i="2"/>
  <c r="E2136" i="2"/>
  <c r="E2137" i="2"/>
  <c r="E2138" i="2"/>
  <c r="E2139" i="2"/>
  <c r="E2140" i="2"/>
  <c r="E2141" i="2"/>
  <c r="E2142" i="2"/>
  <c r="E2143" i="2"/>
  <c r="E2144" i="2"/>
  <c r="E2145" i="2"/>
  <c r="E2146" i="2"/>
  <c r="E2147" i="2"/>
  <c r="E2148" i="2"/>
  <c r="E2149" i="2"/>
  <c r="E2150" i="2"/>
  <c r="E2151" i="2"/>
  <c r="E2152" i="2"/>
  <c r="E2153" i="2"/>
  <c r="E2154" i="2"/>
  <c r="E2155" i="2"/>
  <c r="E2156" i="2"/>
  <c r="E2157" i="2"/>
  <c r="E2158" i="2"/>
  <c r="E2159" i="2"/>
  <c r="E2160" i="2"/>
  <c r="E2161" i="2"/>
  <c r="E2162" i="2"/>
  <c r="E2163" i="2"/>
  <c r="E2164" i="2"/>
  <c r="E2165" i="2"/>
  <c r="E2166" i="2"/>
  <c r="E2167" i="2"/>
  <c r="E2168" i="2"/>
  <c r="D112" i="2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12" i="1"/>
  <c r="F111" i="2" l="1"/>
  <c r="H85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F125" i="2" s="1"/>
  <c r="G126" i="2"/>
  <c r="F126" i="2" s="1"/>
  <c r="G127" i="2"/>
  <c r="F127" i="2" s="1"/>
  <c r="G128" i="2"/>
  <c r="F128" i="2" s="1"/>
  <c r="G129" i="2"/>
  <c r="F129" i="2" s="1"/>
  <c r="G130" i="2"/>
  <c r="F130" i="2" s="1"/>
  <c r="G131" i="2"/>
  <c r="F131" i="2" s="1"/>
  <c r="G132" i="2"/>
  <c r="F132" i="2" s="1"/>
  <c r="G133" i="2"/>
  <c r="F133" i="2" s="1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F147" i="2" s="1"/>
  <c r="G148" i="2"/>
  <c r="F148" i="2" s="1"/>
  <c r="G149" i="2"/>
  <c r="F149" i="2" s="1"/>
  <c r="G150" i="2"/>
  <c r="F150" i="2" s="1"/>
  <c r="G151" i="2"/>
  <c r="F151" i="2" s="1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1059" i="2"/>
  <c r="G1060" i="2"/>
  <c r="G1061" i="2"/>
  <c r="G1062" i="2"/>
  <c r="G1063" i="2"/>
  <c r="G1064" i="2"/>
  <c r="G1065" i="2"/>
  <c r="G1066" i="2"/>
  <c r="G1067" i="2"/>
  <c r="G1068" i="2"/>
  <c r="G1069" i="2"/>
  <c r="G1070" i="2"/>
  <c r="G1071" i="2"/>
  <c r="G1072" i="2"/>
  <c r="G1073" i="2"/>
  <c r="G1074" i="2"/>
  <c r="G1075" i="2"/>
  <c r="G1076" i="2"/>
  <c r="G1077" i="2"/>
  <c r="G1078" i="2"/>
  <c r="G1079" i="2"/>
  <c r="G1080" i="2"/>
  <c r="G1081" i="2"/>
  <c r="G1082" i="2"/>
  <c r="G1083" i="2"/>
  <c r="G1084" i="2"/>
  <c r="G1085" i="2"/>
  <c r="G1086" i="2"/>
  <c r="G1087" i="2"/>
  <c r="G1088" i="2"/>
  <c r="G1089" i="2"/>
  <c r="G1090" i="2"/>
  <c r="G1091" i="2"/>
  <c r="G1092" i="2"/>
  <c r="G1093" i="2"/>
  <c r="G1094" i="2"/>
  <c r="G1095" i="2"/>
  <c r="G1096" i="2"/>
  <c r="G1097" i="2"/>
  <c r="G1098" i="2"/>
  <c r="G1099" i="2"/>
  <c r="G1100" i="2"/>
  <c r="G1101" i="2"/>
  <c r="G1102" i="2"/>
  <c r="G1103" i="2"/>
  <c r="G1104" i="2"/>
  <c r="G1105" i="2"/>
  <c r="G1106" i="2"/>
  <c r="G1107" i="2"/>
  <c r="G1108" i="2"/>
  <c r="G1109" i="2"/>
  <c r="G1110" i="2"/>
  <c r="G1111" i="2"/>
  <c r="G1112" i="2"/>
  <c r="G1113" i="2"/>
  <c r="G1114" i="2"/>
  <c r="G1115" i="2"/>
  <c r="G1116" i="2"/>
  <c r="G1117" i="2"/>
  <c r="G1118" i="2"/>
  <c r="G1119" i="2"/>
  <c r="G1120" i="2"/>
  <c r="G1121" i="2"/>
  <c r="G1122" i="2"/>
  <c r="G1123" i="2"/>
  <c r="G1124" i="2"/>
  <c r="G1125" i="2"/>
  <c r="G1126" i="2"/>
  <c r="G1127" i="2"/>
  <c r="G1128" i="2"/>
  <c r="G1129" i="2"/>
  <c r="G1130" i="2"/>
  <c r="G1131" i="2"/>
  <c r="G1132" i="2"/>
  <c r="G1133" i="2"/>
  <c r="G1134" i="2"/>
  <c r="G1135" i="2"/>
  <c r="G1136" i="2"/>
  <c r="G1137" i="2"/>
  <c r="G1138" i="2"/>
  <c r="G1139" i="2"/>
  <c r="G1140" i="2"/>
  <c r="G1141" i="2"/>
  <c r="G1142" i="2"/>
  <c r="G1143" i="2"/>
  <c r="G1144" i="2"/>
  <c r="G1145" i="2"/>
  <c r="G1146" i="2"/>
  <c r="G1147" i="2"/>
  <c r="G1148" i="2"/>
  <c r="G1149" i="2"/>
  <c r="G1150" i="2"/>
  <c r="G1151" i="2"/>
  <c r="G1152" i="2"/>
  <c r="G1153" i="2"/>
  <c r="G1154" i="2"/>
  <c r="G1155" i="2"/>
  <c r="G1156" i="2"/>
  <c r="G1157" i="2"/>
  <c r="G1158" i="2"/>
  <c r="G1159" i="2"/>
  <c r="G1160" i="2"/>
  <c r="G1161" i="2"/>
  <c r="G1162" i="2"/>
  <c r="G1163" i="2"/>
  <c r="G1164" i="2"/>
  <c r="G1165" i="2"/>
  <c r="G1166" i="2"/>
  <c r="G1167" i="2"/>
  <c r="G1168" i="2"/>
  <c r="G1169" i="2"/>
  <c r="G1170" i="2"/>
  <c r="G1171" i="2"/>
  <c r="G1172" i="2"/>
  <c r="G1173" i="2"/>
  <c r="G1174" i="2"/>
  <c r="G1175" i="2"/>
  <c r="G1176" i="2"/>
  <c r="G1177" i="2"/>
  <c r="G1178" i="2"/>
  <c r="G1179" i="2"/>
  <c r="G1180" i="2"/>
  <c r="G1181" i="2"/>
  <c r="G1182" i="2"/>
  <c r="G1183" i="2"/>
  <c r="G1184" i="2"/>
  <c r="G1185" i="2"/>
  <c r="G1186" i="2"/>
  <c r="G1187" i="2"/>
  <c r="G1188" i="2"/>
  <c r="G1189" i="2"/>
  <c r="G1190" i="2"/>
  <c r="G1191" i="2"/>
  <c r="G1192" i="2"/>
  <c r="G1193" i="2"/>
  <c r="G1194" i="2"/>
  <c r="G1195" i="2"/>
  <c r="G1196" i="2"/>
  <c r="G1197" i="2"/>
  <c r="G1198" i="2"/>
  <c r="G1199" i="2"/>
  <c r="G1200" i="2"/>
  <c r="G1201" i="2"/>
  <c r="G1202" i="2"/>
  <c r="G1203" i="2"/>
  <c r="G1204" i="2"/>
  <c r="G1205" i="2"/>
  <c r="G1206" i="2"/>
  <c r="G1207" i="2"/>
  <c r="G1208" i="2"/>
  <c r="G1209" i="2"/>
  <c r="G1210" i="2"/>
  <c r="G1211" i="2"/>
  <c r="G1212" i="2"/>
  <c r="G1213" i="2"/>
  <c r="G1214" i="2"/>
  <c r="G1215" i="2"/>
  <c r="G1216" i="2"/>
  <c r="G1217" i="2"/>
  <c r="G1218" i="2"/>
  <c r="G1219" i="2"/>
  <c r="G1220" i="2"/>
  <c r="G1221" i="2"/>
  <c r="G1222" i="2"/>
  <c r="G1223" i="2"/>
  <c r="G1224" i="2"/>
  <c r="G1225" i="2"/>
  <c r="G1226" i="2"/>
  <c r="G1227" i="2"/>
  <c r="G1228" i="2"/>
  <c r="G1229" i="2"/>
  <c r="G1230" i="2"/>
  <c r="G1231" i="2"/>
  <c r="G1232" i="2"/>
  <c r="G1233" i="2"/>
  <c r="G1234" i="2"/>
  <c r="G1235" i="2"/>
  <c r="G1236" i="2"/>
  <c r="G1237" i="2"/>
  <c r="G1238" i="2"/>
  <c r="G1239" i="2"/>
  <c r="G1240" i="2"/>
  <c r="G1241" i="2"/>
  <c r="G1242" i="2"/>
  <c r="G1243" i="2"/>
  <c r="G1244" i="2"/>
  <c r="G1245" i="2"/>
  <c r="G1246" i="2"/>
  <c r="G1247" i="2"/>
  <c r="G1248" i="2"/>
  <c r="G1249" i="2"/>
  <c r="G1250" i="2"/>
  <c r="G1251" i="2"/>
  <c r="G1252" i="2"/>
  <c r="G1253" i="2"/>
  <c r="G1254" i="2"/>
  <c r="G1255" i="2"/>
  <c r="G1256" i="2"/>
  <c r="G1257" i="2"/>
  <c r="G1258" i="2"/>
  <c r="G1259" i="2"/>
  <c r="G1260" i="2"/>
  <c r="G1261" i="2"/>
  <c r="G1262" i="2"/>
  <c r="G1263" i="2"/>
  <c r="G1264" i="2"/>
  <c r="G1265" i="2"/>
  <c r="G1266" i="2"/>
  <c r="G1267" i="2"/>
  <c r="G1268" i="2"/>
  <c r="G1269" i="2"/>
  <c r="G1270" i="2"/>
  <c r="G1271" i="2"/>
  <c r="G1272" i="2"/>
  <c r="G1273" i="2"/>
  <c r="G1274" i="2"/>
  <c r="G1275" i="2"/>
  <c r="G1276" i="2"/>
  <c r="G1277" i="2"/>
  <c r="G1278" i="2"/>
  <c r="G1279" i="2"/>
  <c r="G1280" i="2"/>
  <c r="G1281" i="2"/>
  <c r="G1282" i="2"/>
  <c r="G1283" i="2"/>
  <c r="G1284" i="2"/>
  <c r="G1285" i="2"/>
  <c r="G1286" i="2"/>
  <c r="G1287" i="2"/>
  <c r="G1288" i="2"/>
  <c r="G1289" i="2"/>
  <c r="G1290" i="2"/>
  <c r="G1291" i="2"/>
  <c r="G1292" i="2"/>
  <c r="G1293" i="2"/>
  <c r="G1294" i="2"/>
  <c r="G1295" i="2"/>
  <c r="G1296" i="2"/>
  <c r="G1297" i="2"/>
  <c r="G1298" i="2"/>
  <c r="G1299" i="2"/>
  <c r="G1300" i="2"/>
  <c r="G1301" i="2"/>
  <c r="G1302" i="2"/>
  <c r="G1303" i="2"/>
  <c r="G1304" i="2"/>
  <c r="G1305" i="2"/>
  <c r="G1306" i="2"/>
  <c r="G1307" i="2"/>
  <c r="G1308" i="2"/>
  <c r="G1309" i="2"/>
  <c r="G1310" i="2"/>
  <c r="G1311" i="2"/>
  <c r="G1312" i="2"/>
  <c r="G1313" i="2"/>
  <c r="G1314" i="2"/>
  <c r="G1315" i="2"/>
  <c r="G1316" i="2"/>
  <c r="G1317" i="2"/>
  <c r="G1318" i="2"/>
  <c r="G1319" i="2"/>
  <c r="G1320" i="2"/>
  <c r="G1321" i="2"/>
  <c r="G1322" i="2"/>
  <c r="G1323" i="2"/>
  <c r="G1324" i="2"/>
  <c r="G1325" i="2"/>
  <c r="G1326" i="2"/>
  <c r="G1327" i="2"/>
  <c r="G1328" i="2"/>
  <c r="G1329" i="2"/>
  <c r="G1330" i="2"/>
  <c r="G1331" i="2"/>
  <c r="G1332" i="2"/>
  <c r="G1333" i="2"/>
  <c r="G1334" i="2"/>
  <c r="G1335" i="2"/>
  <c r="G1336" i="2"/>
  <c r="G1337" i="2"/>
  <c r="G1338" i="2"/>
  <c r="G1339" i="2"/>
  <c r="G1340" i="2"/>
  <c r="G1341" i="2"/>
  <c r="G1342" i="2"/>
  <c r="G1343" i="2"/>
  <c r="G1344" i="2"/>
  <c r="G1345" i="2"/>
  <c r="G1346" i="2"/>
  <c r="G1347" i="2"/>
  <c r="G1348" i="2"/>
  <c r="G1349" i="2"/>
  <c r="G1350" i="2"/>
  <c r="G1351" i="2"/>
  <c r="G1352" i="2"/>
  <c r="G1353" i="2"/>
  <c r="G1354" i="2"/>
  <c r="G1355" i="2"/>
  <c r="G1356" i="2"/>
  <c r="G1357" i="2"/>
  <c r="G1358" i="2"/>
  <c r="G1359" i="2"/>
  <c r="G1360" i="2"/>
  <c r="G1361" i="2"/>
  <c r="G1362" i="2"/>
  <c r="G1363" i="2"/>
  <c r="G1364" i="2"/>
  <c r="G1365" i="2"/>
  <c r="G1366" i="2"/>
  <c r="G1367" i="2"/>
  <c r="G1368" i="2"/>
  <c r="G1369" i="2"/>
  <c r="G1370" i="2"/>
  <c r="G1371" i="2"/>
  <c r="G1372" i="2"/>
  <c r="G1373" i="2"/>
  <c r="G1374" i="2"/>
  <c r="G1375" i="2"/>
  <c r="G1376" i="2"/>
  <c r="G1377" i="2"/>
  <c r="G1378" i="2"/>
  <c r="G1379" i="2"/>
  <c r="G1380" i="2"/>
  <c r="G1381" i="2"/>
  <c r="G1382" i="2"/>
  <c r="G1383" i="2"/>
  <c r="G1384" i="2"/>
  <c r="G1385" i="2"/>
  <c r="G1386" i="2"/>
  <c r="G1387" i="2"/>
  <c r="G1388" i="2"/>
  <c r="G1389" i="2"/>
  <c r="G1390" i="2"/>
  <c r="G1391" i="2"/>
  <c r="G1392" i="2"/>
  <c r="G1393" i="2"/>
  <c r="G1394" i="2"/>
  <c r="G1395" i="2"/>
  <c r="G1396" i="2"/>
  <c r="G1397" i="2"/>
  <c r="G1398" i="2"/>
  <c r="G1399" i="2"/>
  <c r="G1400" i="2"/>
  <c r="G1401" i="2"/>
  <c r="G1402" i="2"/>
  <c r="G1403" i="2"/>
  <c r="G1404" i="2"/>
  <c r="G1405" i="2"/>
  <c r="G1406" i="2"/>
  <c r="G1407" i="2"/>
  <c r="G1408" i="2"/>
  <c r="G1409" i="2"/>
  <c r="G1410" i="2"/>
  <c r="G1411" i="2"/>
  <c r="G1412" i="2"/>
  <c r="G1413" i="2"/>
  <c r="G1414" i="2"/>
  <c r="G1415" i="2"/>
  <c r="G1416" i="2"/>
  <c r="G1417" i="2"/>
  <c r="G1418" i="2"/>
  <c r="G1419" i="2"/>
  <c r="G1420" i="2"/>
  <c r="G1421" i="2"/>
  <c r="G1422" i="2"/>
  <c r="G1423" i="2"/>
  <c r="G1424" i="2"/>
  <c r="G1425" i="2"/>
  <c r="G1426" i="2"/>
  <c r="G1427" i="2"/>
  <c r="G1428" i="2"/>
  <c r="G1429" i="2"/>
  <c r="G1430" i="2"/>
  <c r="G1431" i="2"/>
  <c r="G1432" i="2"/>
  <c r="G1433" i="2"/>
  <c r="G1434" i="2"/>
  <c r="G1435" i="2"/>
  <c r="G1436" i="2"/>
  <c r="G1437" i="2"/>
  <c r="G1438" i="2"/>
  <c r="G1439" i="2"/>
  <c r="G1440" i="2"/>
  <c r="G1441" i="2"/>
  <c r="G1442" i="2"/>
  <c r="G1443" i="2"/>
  <c r="G1444" i="2"/>
  <c r="G1445" i="2"/>
  <c r="G1446" i="2"/>
  <c r="G1447" i="2"/>
  <c r="G1448" i="2"/>
  <c r="G1449" i="2"/>
  <c r="G1450" i="2"/>
  <c r="G1451" i="2"/>
  <c r="G1452" i="2"/>
  <c r="G1453" i="2"/>
  <c r="G1454" i="2"/>
  <c r="G1455" i="2"/>
  <c r="G1456" i="2"/>
  <c r="G1457" i="2"/>
  <c r="G1458" i="2"/>
  <c r="G1459" i="2"/>
  <c r="G1460" i="2"/>
  <c r="G1461" i="2"/>
  <c r="G1462" i="2"/>
  <c r="G1463" i="2"/>
  <c r="G1464" i="2"/>
  <c r="G1465" i="2"/>
  <c r="G1466" i="2"/>
  <c r="G1467" i="2"/>
  <c r="G1468" i="2"/>
  <c r="G1469" i="2"/>
  <c r="G1470" i="2"/>
  <c r="G1471" i="2"/>
  <c r="G1472" i="2"/>
  <c r="G1473" i="2"/>
  <c r="G1474" i="2"/>
  <c r="G1475" i="2"/>
  <c r="G1476" i="2"/>
  <c r="G1477" i="2"/>
  <c r="G1478" i="2"/>
  <c r="G1479" i="2"/>
  <c r="G1480" i="2"/>
  <c r="G1481" i="2"/>
  <c r="G1482" i="2"/>
  <c r="G1483" i="2"/>
  <c r="G1484" i="2"/>
  <c r="G1485" i="2"/>
  <c r="G1486" i="2"/>
  <c r="G1487" i="2"/>
  <c r="G1488" i="2"/>
  <c r="G1489" i="2"/>
  <c r="G1490" i="2"/>
  <c r="G1491" i="2"/>
  <c r="G1492" i="2"/>
  <c r="G1493" i="2"/>
  <c r="G1494" i="2"/>
  <c r="G1495" i="2"/>
  <c r="G1496" i="2"/>
  <c r="G1497" i="2"/>
  <c r="G1498" i="2"/>
  <c r="G1499" i="2"/>
  <c r="G1500" i="2"/>
  <c r="G1501" i="2"/>
  <c r="G1502" i="2"/>
  <c r="G1503" i="2"/>
  <c r="G1504" i="2"/>
  <c r="G1505" i="2"/>
  <c r="G1506" i="2"/>
  <c r="G1507" i="2"/>
  <c r="G1508" i="2"/>
  <c r="G1509" i="2"/>
  <c r="G1510" i="2"/>
  <c r="G1511" i="2"/>
  <c r="G1512" i="2"/>
  <c r="G1513" i="2"/>
  <c r="G1514" i="2"/>
  <c r="G1515" i="2"/>
  <c r="G1516" i="2"/>
  <c r="G1517" i="2"/>
  <c r="G1518" i="2"/>
  <c r="G1519" i="2"/>
  <c r="G1520" i="2"/>
  <c r="G1521" i="2"/>
  <c r="G1522" i="2"/>
  <c r="G1523" i="2"/>
  <c r="G1524" i="2"/>
  <c r="G1525" i="2"/>
  <c r="G1526" i="2"/>
  <c r="G1527" i="2"/>
  <c r="G1528" i="2"/>
  <c r="G1529" i="2"/>
  <c r="G1530" i="2"/>
  <c r="G1531" i="2"/>
  <c r="G1532" i="2"/>
  <c r="G1533" i="2"/>
  <c r="G1534" i="2"/>
  <c r="G1535" i="2"/>
  <c r="G1536" i="2"/>
  <c r="G1537" i="2"/>
  <c r="G1538" i="2"/>
  <c r="G1539" i="2"/>
  <c r="G1540" i="2"/>
  <c r="G1541" i="2"/>
  <c r="G1542" i="2"/>
  <c r="G1543" i="2"/>
  <c r="G1544" i="2"/>
  <c r="G1545" i="2"/>
  <c r="G1546" i="2"/>
  <c r="G1547" i="2"/>
  <c r="G1548" i="2"/>
  <c r="G1549" i="2"/>
  <c r="G1550" i="2"/>
  <c r="G1551" i="2"/>
  <c r="G1552" i="2"/>
  <c r="G1553" i="2"/>
  <c r="G1554" i="2"/>
  <c r="G1555" i="2"/>
  <c r="G1556" i="2"/>
  <c r="G1557" i="2"/>
  <c r="G1558" i="2"/>
  <c r="G1559" i="2"/>
  <c r="G1560" i="2"/>
  <c r="G1561" i="2"/>
  <c r="G1562" i="2"/>
  <c r="G1563" i="2"/>
  <c r="G1564" i="2"/>
  <c r="G1565" i="2"/>
  <c r="G1566" i="2"/>
  <c r="G1567" i="2"/>
  <c r="G1568" i="2"/>
  <c r="G1569" i="2"/>
  <c r="G1570" i="2"/>
  <c r="G1571" i="2"/>
  <c r="G1572" i="2"/>
  <c r="G1573" i="2"/>
  <c r="G1574" i="2"/>
  <c r="G1575" i="2"/>
  <c r="G1576" i="2"/>
  <c r="G1577" i="2"/>
  <c r="G1578" i="2"/>
  <c r="G1579" i="2"/>
  <c r="G1580" i="2"/>
  <c r="G1581" i="2"/>
  <c r="G1582" i="2"/>
  <c r="G1583" i="2"/>
  <c r="G1584" i="2"/>
  <c r="G1585" i="2"/>
  <c r="G1586" i="2"/>
  <c r="G1587" i="2"/>
  <c r="G1588" i="2"/>
  <c r="G1589" i="2"/>
  <c r="G1590" i="2"/>
  <c r="G1591" i="2"/>
  <c r="G1592" i="2"/>
  <c r="G1593" i="2"/>
  <c r="G1594" i="2"/>
  <c r="G1595" i="2"/>
  <c r="G1596" i="2"/>
  <c r="G1597" i="2"/>
  <c r="G1598" i="2"/>
  <c r="G1599" i="2"/>
  <c r="G1600" i="2"/>
  <c r="G1601" i="2"/>
  <c r="G1602" i="2"/>
  <c r="G1603" i="2"/>
  <c r="G1604" i="2"/>
  <c r="G1605" i="2"/>
  <c r="G1606" i="2"/>
  <c r="G1607" i="2"/>
  <c r="G1608" i="2"/>
  <c r="G1609" i="2"/>
  <c r="G1610" i="2"/>
  <c r="G1611" i="2"/>
  <c r="G1612" i="2"/>
  <c r="G1613" i="2"/>
  <c r="G1614" i="2"/>
  <c r="G1615" i="2"/>
  <c r="G1616" i="2"/>
  <c r="G1617" i="2"/>
  <c r="G1618" i="2"/>
  <c r="G1619" i="2"/>
  <c r="G1620" i="2"/>
  <c r="G1621" i="2"/>
  <c r="G1622" i="2"/>
  <c r="G1623" i="2"/>
  <c r="G1624" i="2"/>
  <c r="G1625" i="2"/>
  <c r="G1626" i="2"/>
  <c r="G1627" i="2"/>
  <c r="G1628" i="2"/>
  <c r="G1629" i="2"/>
  <c r="G1630" i="2"/>
  <c r="G1631" i="2"/>
  <c r="G1632" i="2"/>
  <c r="G1633" i="2"/>
  <c r="G1634" i="2"/>
  <c r="G1635" i="2"/>
  <c r="G1636" i="2"/>
  <c r="G1637" i="2"/>
  <c r="G1638" i="2"/>
  <c r="G1639" i="2"/>
  <c r="G1640" i="2"/>
  <c r="G1641" i="2"/>
  <c r="G1642" i="2"/>
  <c r="G1643" i="2"/>
  <c r="G1644" i="2"/>
  <c r="G1645" i="2"/>
  <c r="G1646" i="2"/>
  <c r="G1647" i="2"/>
  <c r="G1648" i="2"/>
  <c r="G1649" i="2"/>
  <c r="G1650" i="2"/>
  <c r="G1651" i="2"/>
  <c r="G1652" i="2"/>
  <c r="G1653" i="2"/>
  <c r="G1654" i="2"/>
  <c r="G1655" i="2"/>
  <c r="G1656" i="2"/>
  <c r="G1657" i="2"/>
  <c r="G1658" i="2"/>
  <c r="G1659" i="2"/>
  <c r="G1660" i="2"/>
  <c r="G1661" i="2"/>
  <c r="G1662" i="2"/>
  <c r="G1663" i="2"/>
  <c r="G1664" i="2"/>
  <c r="G1665" i="2"/>
  <c r="G1666" i="2"/>
  <c r="G1667" i="2"/>
  <c r="G1668" i="2"/>
  <c r="G1669" i="2"/>
  <c r="G1670" i="2"/>
  <c r="G1671" i="2"/>
  <c r="G1672" i="2"/>
  <c r="G1673" i="2"/>
  <c r="G1674" i="2"/>
  <c r="G1675" i="2"/>
  <c r="G1676" i="2"/>
  <c r="G1677" i="2"/>
  <c r="G1678" i="2"/>
  <c r="G1679" i="2"/>
  <c r="G1680" i="2"/>
  <c r="G1681" i="2"/>
  <c r="G1682" i="2"/>
  <c r="G1683" i="2"/>
  <c r="G1684" i="2"/>
  <c r="G1685" i="2"/>
  <c r="G1686" i="2"/>
  <c r="G1687" i="2"/>
  <c r="G1688" i="2"/>
  <c r="G1689" i="2"/>
  <c r="G1690" i="2"/>
  <c r="G1691" i="2"/>
  <c r="G1692" i="2"/>
  <c r="G1693" i="2"/>
  <c r="G1694" i="2"/>
  <c r="G1695" i="2"/>
  <c r="G1696" i="2"/>
  <c r="G1697" i="2"/>
  <c r="G1698" i="2"/>
  <c r="G1699" i="2"/>
  <c r="G1700" i="2"/>
  <c r="G1701" i="2"/>
  <c r="G1702" i="2"/>
  <c r="G1703" i="2"/>
  <c r="G1704" i="2"/>
  <c r="G1705" i="2"/>
  <c r="G1706" i="2"/>
  <c r="G1707" i="2"/>
  <c r="G1708" i="2"/>
  <c r="G1709" i="2"/>
  <c r="G1710" i="2"/>
  <c r="G1711" i="2"/>
  <c r="G1712" i="2"/>
  <c r="G1713" i="2"/>
  <c r="G1714" i="2"/>
  <c r="G1715" i="2"/>
  <c r="G1716" i="2"/>
  <c r="G1717" i="2"/>
  <c r="G1718" i="2"/>
  <c r="G1719" i="2"/>
  <c r="G1720" i="2"/>
  <c r="G1721" i="2"/>
  <c r="G1722" i="2"/>
  <c r="G1723" i="2"/>
  <c r="G1724" i="2"/>
  <c r="G1725" i="2"/>
  <c r="G1726" i="2"/>
  <c r="G1727" i="2"/>
  <c r="G1728" i="2"/>
  <c r="G1729" i="2"/>
  <c r="G1730" i="2"/>
  <c r="G1731" i="2"/>
  <c r="G1732" i="2"/>
  <c r="G1733" i="2"/>
  <c r="G1734" i="2"/>
  <c r="G1735" i="2"/>
  <c r="G1736" i="2"/>
  <c r="G1737" i="2"/>
  <c r="G1738" i="2"/>
  <c r="G1739" i="2"/>
  <c r="G1740" i="2"/>
  <c r="G1741" i="2"/>
  <c r="G1742" i="2"/>
  <c r="G1743" i="2"/>
  <c r="G1744" i="2"/>
  <c r="G1745" i="2"/>
  <c r="G1746" i="2"/>
  <c r="G1747" i="2"/>
  <c r="G1748" i="2"/>
  <c r="G1749" i="2"/>
  <c r="G1750" i="2"/>
  <c r="G1751" i="2"/>
  <c r="G1752" i="2"/>
  <c r="G1753" i="2"/>
  <c r="G1754" i="2"/>
  <c r="G1755" i="2"/>
  <c r="G1756" i="2"/>
  <c r="G1757" i="2"/>
  <c r="G1758" i="2"/>
  <c r="G1759" i="2"/>
  <c r="G1760" i="2"/>
  <c r="G1761" i="2"/>
  <c r="G1762" i="2"/>
  <c r="G1763" i="2"/>
  <c r="G1764" i="2"/>
  <c r="G1765" i="2"/>
  <c r="G1766" i="2"/>
  <c r="G1767" i="2"/>
  <c r="G1768" i="2"/>
  <c r="G1769" i="2"/>
  <c r="G1770" i="2"/>
  <c r="G1771" i="2"/>
  <c r="G1772" i="2"/>
  <c r="G1773" i="2"/>
  <c r="G1774" i="2"/>
  <c r="G1775" i="2"/>
  <c r="G1776" i="2"/>
  <c r="G1777" i="2"/>
  <c r="G1778" i="2"/>
  <c r="G1779" i="2"/>
  <c r="G1780" i="2"/>
  <c r="G1781" i="2"/>
  <c r="G1782" i="2"/>
  <c r="G1783" i="2"/>
  <c r="G1784" i="2"/>
  <c r="G1785" i="2"/>
  <c r="G1786" i="2"/>
  <c r="G1787" i="2"/>
  <c r="G1788" i="2"/>
  <c r="G1789" i="2"/>
  <c r="G1790" i="2"/>
  <c r="G1791" i="2"/>
  <c r="G1792" i="2"/>
  <c r="G1793" i="2"/>
  <c r="G1794" i="2"/>
  <c r="G1795" i="2"/>
  <c r="G1796" i="2"/>
  <c r="G1797" i="2"/>
  <c r="G1798" i="2"/>
  <c r="G1799" i="2"/>
  <c r="G1800" i="2"/>
  <c r="G1801" i="2"/>
  <c r="G1802" i="2"/>
  <c r="G1803" i="2"/>
  <c r="G1804" i="2"/>
  <c r="G1805" i="2"/>
  <c r="G1806" i="2"/>
  <c r="G1807" i="2"/>
  <c r="G1808" i="2"/>
  <c r="G1809" i="2"/>
  <c r="G1810" i="2"/>
  <c r="G1811" i="2"/>
  <c r="G1812" i="2"/>
  <c r="G1813" i="2"/>
  <c r="G1814" i="2"/>
  <c r="G1815" i="2"/>
  <c r="G1816" i="2"/>
  <c r="G1817" i="2"/>
  <c r="G1818" i="2"/>
  <c r="G1819" i="2"/>
  <c r="G1820" i="2"/>
  <c r="G1821" i="2"/>
  <c r="G1822" i="2"/>
  <c r="G1823" i="2"/>
  <c r="G1824" i="2"/>
  <c r="G1825" i="2"/>
  <c r="G1826" i="2"/>
  <c r="G1827" i="2"/>
  <c r="G1828" i="2"/>
  <c r="G1829" i="2"/>
  <c r="G1830" i="2"/>
  <c r="G1831" i="2"/>
  <c r="G1832" i="2"/>
  <c r="G1833" i="2"/>
  <c r="G1834" i="2"/>
  <c r="G1835" i="2"/>
  <c r="G1836" i="2"/>
  <c r="G1837" i="2"/>
  <c r="G1838" i="2"/>
  <c r="G1839" i="2"/>
  <c r="G1840" i="2"/>
  <c r="G1841" i="2"/>
  <c r="G1842" i="2"/>
  <c r="G1843" i="2"/>
  <c r="G1844" i="2"/>
  <c r="G1845" i="2"/>
  <c r="G1846" i="2"/>
  <c r="G1847" i="2"/>
  <c r="G1848" i="2"/>
  <c r="G1849" i="2"/>
  <c r="G1850" i="2"/>
  <c r="G1851" i="2"/>
  <c r="G1852" i="2"/>
  <c r="G1853" i="2"/>
  <c r="G1854" i="2"/>
  <c r="G1855" i="2"/>
  <c r="G1856" i="2"/>
  <c r="G1857" i="2"/>
  <c r="G1858" i="2"/>
  <c r="G1859" i="2"/>
  <c r="G1860" i="2"/>
  <c r="G1861" i="2"/>
  <c r="G1862" i="2"/>
  <c r="G1863" i="2"/>
  <c r="G1864" i="2"/>
  <c r="G1865" i="2"/>
  <c r="G1866" i="2"/>
  <c r="G1867" i="2"/>
  <c r="G1868" i="2"/>
  <c r="G1869" i="2"/>
  <c r="G1870" i="2"/>
  <c r="G1871" i="2"/>
  <c r="G1872" i="2"/>
  <c r="G1873" i="2"/>
  <c r="G1874" i="2"/>
  <c r="G1875" i="2"/>
  <c r="G1876" i="2"/>
  <c r="G1877" i="2"/>
  <c r="G1878" i="2"/>
  <c r="G1879" i="2"/>
  <c r="G1880" i="2"/>
  <c r="G1881" i="2"/>
  <c r="G1882" i="2"/>
  <c r="G1883" i="2"/>
  <c r="G1884" i="2"/>
  <c r="G1885" i="2"/>
  <c r="G1886" i="2"/>
  <c r="G1887" i="2"/>
  <c r="G1888" i="2"/>
  <c r="G1889" i="2"/>
  <c r="G1890" i="2"/>
  <c r="G1891" i="2"/>
  <c r="G1892" i="2"/>
  <c r="G1893" i="2"/>
  <c r="G1894" i="2"/>
  <c r="G1895" i="2"/>
  <c r="G1896" i="2"/>
  <c r="G1897" i="2"/>
  <c r="G1898" i="2"/>
  <c r="G1899" i="2"/>
  <c r="G1900" i="2"/>
  <c r="G1901" i="2"/>
  <c r="G1902" i="2"/>
  <c r="G1903" i="2"/>
  <c r="G1904" i="2"/>
  <c r="G1905" i="2"/>
  <c r="G1906" i="2"/>
  <c r="G1907" i="2"/>
  <c r="G1908" i="2"/>
  <c r="G1909" i="2"/>
  <c r="G1910" i="2"/>
  <c r="G1911" i="2"/>
  <c r="G1912" i="2"/>
  <c r="G1913" i="2"/>
  <c r="G1914" i="2"/>
  <c r="G1915" i="2"/>
  <c r="G1916" i="2"/>
  <c r="G1917" i="2"/>
  <c r="G1918" i="2"/>
  <c r="G1919" i="2"/>
  <c r="G1920" i="2"/>
  <c r="G1921" i="2"/>
  <c r="G1922" i="2"/>
  <c r="G1923" i="2"/>
  <c r="G1924" i="2"/>
  <c r="G1925" i="2"/>
  <c r="G1926" i="2"/>
  <c r="G1927" i="2"/>
  <c r="G1928" i="2"/>
  <c r="G1929" i="2"/>
  <c r="G1930" i="2"/>
  <c r="G1931" i="2"/>
  <c r="G1932" i="2"/>
  <c r="G1933" i="2"/>
  <c r="G1934" i="2"/>
  <c r="G1935" i="2"/>
  <c r="G1936" i="2"/>
  <c r="G1937" i="2"/>
  <c r="G1938" i="2"/>
  <c r="G1939" i="2"/>
  <c r="G1940" i="2"/>
  <c r="G1941" i="2"/>
  <c r="G1942" i="2"/>
  <c r="G1943" i="2"/>
  <c r="G1944" i="2"/>
  <c r="G1945" i="2"/>
  <c r="G1946" i="2"/>
  <c r="G1947" i="2"/>
  <c r="G1948" i="2"/>
  <c r="G1949" i="2"/>
  <c r="G1950" i="2"/>
  <c r="G1951" i="2"/>
  <c r="G1952" i="2"/>
  <c r="G1953" i="2"/>
  <c r="G1954" i="2"/>
  <c r="G1955" i="2"/>
  <c r="G1956" i="2"/>
  <c r="G1957" i="2"/>
  <c r="G1958" i="2"/>
  <c r="G1959" i="2"/>
  <c r="G1960" i="2"/>
  <c r="G1961" i="2"/>
  <c r="G1962" i="2"/>
  <c r="G1963" i="2"/>
  <c r="G1964" i="2"/>
  <c r="G1965" i="2"/>
  <c r="G1966" i="2"/>
  <c r="G1967" i="2"/>
  <c r="G1968" i="2"/>
  <c r="G1969" i="2"/>
  <c r="G1970" i="2"/>
  <c r="G1971" i="2"/>
  <c r="G1972" i="2"/>
  <c r="G1973" i="2"/>
  <c r="G1974" i="2"/>
  <c r="G1975" i="2"/>
  <c r="G1976" i="2"/>
  <c r="G1977" i="2"/>
  <c r="G1978" i="2"/>
  <c r="G1979" i="2"/>
  <c r="G1980" i="2"/>
  <c r="G1981" i="2"/>
  <c r="G1982" i="2"/>
  <c r="G1983" i="2"/>
  <c r="G1984" i="2"/>
  <c r="G1985" i="2"/>
  <c r="G1986" i="2"/>
  <c r="G1987" i="2"/>
  <c r="G1988" i="2"/>
  <c r="G1989" i="2"/>
  <c r="G1990" i="2"/>
  <c r="G1991" i="2"/>
  <c r="G1992" i="2"/>
  <c r="G1993" i="2"/>
  <c r="G1994" i="2"/>
  <c r="G1995" i="2"/>
  <c r="G1996" i="2"/>
  <c r="G1997" i="2"/>
  <c r="G1998" i="2"/>
  <c r="G1999" i="2"/>
  <c r="G2000" i="2"/>
  <c r="G2001" i="2"/>
  <c r="G2002" i="2"/>
  <c r="G2003" i="2"/>
  <c r="G2004" i="2"/>
  <c r="G2005" i="2"/>
  <c r="G2006" i="2"/>
  <c r="G2007" i="2"/>
  <c r="G2008" i="2"/>
  <c r="G2009" i="2"/>
  <c r="G2010" i="2"/>
  <c r="G2011" i="2"/>
  <c r="G2012" i="2"/>
  <c r="G2013" i="2"/>
  <c r="G2014" i="2"/>
  <c r="G2015" i="2"/>
  <c r="G2016" i="2"/>
  <c r="G2017" i="2"/>
  <c r="G2018" i="2"/>
  <c r="G2019" i="2"/>
  <c r="G2020" i="2"/>
  <c r="G2021" i="2"/>
  <c r="G2022" i="2"/>
  <c r="G2023" i="2"/>
  <c r="G2024" i="2"/>
  <c r="G2025" i="2"/>
  <c r="G2026" i="2"/>
  <c r="G2027" i="2"/>
  <c r="G2028" i="2"/>
  <c r="G2029" i="2"/>
  <c r="G2030" i="2"/>
  <c r="G2031" i="2"/>
  <c r="G2032" i="2"/>
  <c r="G2033" i="2"/>
  <c r="G2034" i="2"/>
  <c r="G2035" i="2"/>
  <c r="G2036" i="2"/>
  <c r="G2037" i="2"/>
  <c r="G2038" i="2"/>
  <c r="G2039" i="2"/>
  <c r="G2040" i="2"/>
  <c r="G2041" i="2"/>
  <c r="G2042" i="2"/>
  <c r="G2043" i="2"/>
  <c r="G2044" i="2"/>
  <c r="G2045" i="2"/>
  <c r="G2046" i="2"/>
  <c r="G2047" i="2"/>
  <c r="G2048" i="2"/>
  <c r="G2049" i="2"/>
  <c r="G2050" i="2"/>
  <c r="G2051" i="2"/>
  <c r="G2052" i="2"/>
  <c r="G2053" i="2"/>
  <c r="G2054" i="2"/>
  <c r="G2055" i="2"/>
  <c r="G2056" i="2"/>
  <c r="G2057" i="2"/>
  <c r="G2058" i="2"/>
  <c r="G2059" i="2"/>
  <c r="G2060" i="2"/>
  <c r="G2061" i="2"/>
  <c r="G2062" i="2"/>
  <c r="G2063" i="2"/>
  <c r="G2064" i="2"/>
  <c r="G2065" i="2"/>
  <c r="G2066" i="2"/>
  <c r="G2067" i="2"/>
  <c r="G2068" i="2"/>
  <c r="G2069" i="2"/>
  <c r="G2070" i="2"/>
  <c r="G2071" i="2"/>
  <c r="G2072" i="2"/>
  <c r="G2073" i="2"/>
  <c r="G2074" i="2"/>
  <c r="G2075" i="2"/>
  <c r="G2076" i="2"/>
  <c r="G2077" i="2"/>
  <c r="G2078" i="2"/>
  <c r="G2079" i="2"/>
  <c r="G2080" i="2"/>
  <c r="G2081" i="2"/>
  <c r="G2082" i="2"/>
  <c r="G2083" i="2"/>
  <c r="G2084" i="2"/>
  <c r="G2085" i="2"/>
  <c r="G2086" i="2"/>
  <c r="G2087" i="2"/>
  <c r="G2088" i="2"/>
  <c r="G2089" i="2"/>
  <c r="G2090" i="2"/>
  <c r="G2091" i="2"/>
  <c r="G2092" i="2"/>
  <c r="G2093" i="2"/>
  <c r="G2094" i="2"/>
  <c r="G2095" i="2"/>
  <c r="G2096" i="2"/>
  <c r="G2097" i="2"/>
  <c r="G2098" i="2"/>
  <c r="G2099" i="2"/>
  <c r="G2100" i="2"/>
  <c r="G2101" i="2"/>
  <c r="G2102" i="2"/>
  <c r="G2103" i="2"/>
  <c r="G2104" i="2"/>
  <c r="G2105" i="2"/>
  <c r="G2106" i="2"/>
  <c r="G2107" i="2"/>
  <c r="G2108" i="2"/>
  <c r="G2109" i="2"/>
  <c r="G2110" i="2"/>
  <c r="G2111" i="2"/>
  <c r="G2112" i="2"/>
  <c r="G2113" i="2"/>
  <c r="G2114" i="2"/>
  <c r="G2115" i="2"/>
  <c r="G2116" i="2"/>
  <c r="G2117" i="2"/>
  <c r="G2118" i="2"/>
  <c r="G2119" i="2"/>
  <c r="G2120" i="2"/>
  <c r="G2121" i="2"/>
  <c r="G2122" i="2"/>
  <c r="G2123" i="2"/>
  <c r="G2124" i="2"/>
  <c r="G2125" i="2"/>
  <c r="G2126" i="2"/>
  <c r="G2127" i="2"/>
  <c r="G2128" i="2"/>
  <c r="G2129" i="2"/>
  <c r="G2130" i="2"/>
  <c r="G2131" i="2"/>
  <c r="G2132" i="2"/>
  <c r="G2133" i="2"/>
  <c r="G2134" i="2"/>
  <c r="G2135" i="2"/>
  <c r="G2136" i="2"/>
  <c r="G2137" i="2"/>
  <c r="G2138" i="2"/>
  <c r="G2139" i="2"/>
  <c r="G2140" i="2"/>
  <c r="G2141" i="2"/>
  <c r="G2142" i="2"/>
  <c r="G2143" i="2"/>
  <c r="G2144" i="2"/>
  <c r="G2145" i="2"/>
  <c r="G2146" i="2"/>
  <c r="G2147" i="2"/>
  <c r="G2148" i="2"/>
  <c r="G2149" i="2"/>
  <c r="G2150" i="2"/>
  <c r="G2151" i="2"/>
  <c r="G2152" i="2"/>
  <c r="G2153" i="2"/>
  <c r="G2154" i="2"/>
  <c r="G2155" i="2"/>
  <c r="G2156" i="2"/>
  <c r="G2157" i="2"/>
  <c r="G2158" i="2"/>
  <c r="G2159" i="2"/>
  <c r="G2160" i="2"/>
  <c r="G2161" i="2"/>
  <c r="G2162" i="2"/>
  <c r="G2163" i="2"/>
  <c r="G2164" i="2"/>
  <c r="G2165" i="2"/>
  <c r="G2166" i="2"/>
  <c r="G2167" i="2"/>
  <c r="G2168" i="2"/>
  <c r="G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1250" i="2"/>
  <c r="F1251" i="2"/>
  <c r="F1252" i="2"/>
  <c r="F1253" i="2"/>
  <c r="F1254" i="2"/>
  <c r="F1255" i="2"/>
  <c r="F1256" i="2"/>
  <c r="F1257" i="2"/>
  <c r="F1258" i="2"/>
  <c r="F1259" i="2"/>
  <c r="F1260" i="2"/>
  <c r="F1261" i="2"/>
  <c r="F1262" i="2"/>
  <c r="F1263" i="2"/>
  <c r="F1264" i="2"/>
  <c r="F1265" i="2"/>
  <c r="F1266" i="2"/>
  <c r="F1267" i="2"/>
  <c r="F1268" i="2"/>
  <c r="F1269" i="2"/>
  <c r="F1270" i="2"/>
  <c r="F1271" i="2"/>
  <c r="F1272" i="2"/>
  <c r="F1273" i="2"/>
  <c r="F1274" i="2"/>
  <c r="F1275" i="2"/>
  <c r="F1276" i="2"/>
  <c r="F1277" i="2"/>
  <c r="F1278" i="2"/>
  <c r="F1279" i="2"/>
  <c r="F1280" i="2"/>
  <c r="F1281" i="2"/>
  <c r="F1282" i="2"/>
  <c r="F1283" i="2"/>
  <c r="F1284" i="2"/>
  <c r="F1285" i="2"/>
  <c r="F1286" i="2"/>
  <c r="F1287" i="2"/>
  <c r="F1288" i="2"/>
  <c r="F1289" i="2"/>
  <c r="F1290" i="2"/>
  <c r="F1291" i="2"/>
  <c r="F1292" i="2"/>
  <c r="F1293" i="2"/>
  <c r="F1294" i="2"/>
  <c r="F1295" i="2"/>
  <c r="F1296" i="2"/>
  <c r="F1297" i="2"/>
  <c r="F1298" i="2"/>
  <c r="F1299" i="2"/>
  <c r="F1300" i="2"/>
  <c r="F1301" i="2"/>
  <c r="F1302" i="2"/>
  <c r="F1303" i="2"/>
  <c r="F1304" i="2"/>
  <c r="F1305" i="2"/>
  <c r="F1306" i="2"/>
  <c r="F1307" i="2"/>
  <c r="F1308" i="2"/>
  <c r="F1309" i="2"/>
  <c r="F1310" i="2"/>
  <c r="F1311" i="2"/>
  <c r="F1312" i="2"/>
  <c r="F1313" i="2"/>
  <c r="F1314" i="2"/>
  <c r="F1315" i="2"/>
  <c r="F1316" i="2"/>
  <c r="F1317" i="2"/>
  <c r="F1318" i="2"/>
  <c r="F1319" i="2"/>
  <c r="F1320" i="2"/>
  <c r="F1321" i="2"/>
  <c r="F1322" i="2"/>
  <c r="F1323" i="2"/>
  <c r="F1324" i="2"/>
  <c r="F1325" i="2"/>
  <c r="F1326" i="2"/>
  <c r="F1327" i="2"/>
  <c r="F1328" i="2"/>
  <c r="F1329" i="2"/>
  <c r="F1330" i="2"/>
  <c r="F1331" i="2"/>
  <c r="F1332" i="2"/>
  <c r="F1333" i="2"/>
  <c r="F1334" i="2"/>
  <c r="F1335" i="2"/>
  <c r="F1336" i="2"/>
  <c r="F1337" i="2"/>
  <c r="F1338" i="2"/>
  <c r="F1339" i="2"/>
  <c r="F1340" i="2"/>
  <c r="F1341" i="2"/>
  <c r="F1342" i="2"/>
  <c r="F1343" i="2"/>
  <c r="F1344" i="2"/>
  <c r="F1345" i="2"/>
  <c r="F1346" i="2"/>
  <c r="F1347" i="2"/>
  <c r="F1348" i="2"/>
  <c r="F1349" i="2"/>
  <c r="F1350" i="2"/>
  <c r="F1351" i="2"/>
  <c r="F1352" i="2"/>
  <c r="F1353" i="2"/>
  <c r="F1354" i="2"/>
  <c r="F1355" i="2"/>
  <c r="F1356" i="2"/>
  <c r="F1357" i="2"/>
  <c r="F1358" i="2"/>
  <c r="F1359" i="2"/>
  <c r="F1360" i="2"/>
  <c r="F1361" i="2"/>
  <c r="F1362" i="2"/>
  <c r="F1363" i="2"/>
  <c r="F1364" i="2"/>
  <c r="F1365" i="2"/>
  <c r="F1366" i="2"/>
  <c r="F1367" i="2"/>
  <c r="F1368" i="2"/>
  <c r="F1369" i="2"/>
  <c r="F1370" i="2"/>
  <c r="F1371" i="2"/>
  <c r="F1372" i="2"/>
  <c r="F1373" i="2"/>
  <c r="F1374" i="2"/>
  <c r="F1375" i="2"/>
  <c r="F1376" i="2"/>
  <c r="F1377" i="2"/>
  <c r="F1378" i="2"/>
  <c r="F1379" i="2"/>
  <c r="F1380" i="2"/>
  <c r="F1381" i="2"/>
  <c r="F1382" i="2"/>
  <c r="F1383" i="2"/>
  <c r="F1384" i="2"/>
  <c r="F1385" i="2"/>
  <c r="F1386" i="2"/>
  <c r="F1387" i="2"/>
  <c r="F1388" i="2"/>
  <c r="F1389" i="2"/>
  <c r="F1390" i="2"/>
  <c r="F1391" i="2"/>
  <c r="F1392" i="2"/>
  <c r="F1393" i="2"/>
  <c r="F1394" i="2"/>
  <c r="F1395" i="2"/>
  <c r="F1396" i="2"/>
  <c r="F1397" i="2"/>
  <c r="F1398" i="2"/>
  <c r="F1399" i="2"/>
  <c r="F1400" i="2"/>
  <c r="F1401" i="2"/>
  <c r="F1402" i="2"/>
  <c r="F1403" i="2"/>
  <c r="F1404" i="2"/>
  <c r="F1405" i="2"/>
  <c r="F1406" i="2"/>
  <c r="F1407" i="2"/>
  <c r="F1408" i="2"/>
  <c r="F1409" i="2"/>
  <c r="F1410" i="2"/>
  <c r="F1411" i="2"/>
  <c r="F1412" i="2"/>
  <c r="F1413" i="2"/>
  <c r="F1414" i="2"/>
  <c r="F1415" i="2"/>
  <c r="F1416" i="2"/>
  <c r="F1417" i="2"/>
  <c r="F1418" i="2"/>
  <c r="F1419" i="2"/>
  <c r="F1420" i="2"/>
  <c r="F1421" i="2"/>
  <c r="F1422" i="2"/>
  <c r="F1423" i="2"/>
  <c r="F1424" i="2"/>
  <c r="F1425" i="2"/>
  <c r="F1426" i="2"/>
  <c r="F1427" i="2"/>
  <c r="F1428" i="2"/>
  <c r="F1429" i="2"/>
  <c r="F1430" i="2"/>
  <c r="F1431" i="2"/>
  <c r="F1432" i="2"/>
  <c r="F1433" i="2"/>
  <c r="F1434" i="2"/>
  <c r="F1435" i="2"/>
  <c r="F1436" i="2"/>
  <c r="F1437" i="2"/>
  <c r="F1438" i="2"/>
  <c r="F1439" i="2"/>
  <c r="F1440" i="2"/>
  <c r="F1441" i="2"/>
  <c r="F1442" i="2"/>
  <c r="F1443" i="2"/>
  <c r="F1444" i="2"/>
  <c r="F1445" i="2"/>
  <c r="F1446" i="2"/>
  <c r="F1447" i="2"/>
  <c r="F1448" i="2"/>
  <c r="F1449" i="2"/>
  <c r="F1450" i="2"/>
  <c r="F1451" i="2"/>
  <c r="F1452" i="2"/>
  <c r="F1453" i="2"/>
  <c r="F1454" i="2"/>
  <c r="F1455" i="2"/>
  <c r="F1456" i="2"/>
  <c r="F1457" i="2"/>
  <c r="F1458" i="2"/>
  <c r="F1459" i="2"/>
  <c r="F1460" i="2"/>
  <c r="F1461" i="2"/>
  <c r="F1462" i="2"/>
  <c r="F1463" i="2"/>
  <c r="F1464" i="2"/>
  <c r="F1465" i="2"/>
  <c r="F1466" i="2"/>
  <c r="F1467" i="2"/>
  <c r="F1468" i="2"/>
  <c r="F1469" i="2"/>
  <c r="F1470" i="2"/>
  <c r="F1471" i="2"/>
  <c r="F1472" i="2"/>
  <c r="F1473" i="2"/>
  <c r="F1474" i="2"/>
  <c r="F1475" i="2"/>
  <c r="F1476" i="2"/>
  <c r="F1477" i="2"/>
  <c r="F1478" i="2"/>
  <c r="F1479" i="2"/>
  <c r="F1480" i="2"/>
  <c r="F1481" i="2"/>
  <c r="F1482" i="2"/>
  <c r="F1483" i="2"/>
  <c r="F1484" i="2"/>
  <c r="F1485" i="2"/>
  <c r="F1486" i="2"/>
  <c r="F1487" i="2"/>
  <c r="F1488" i="2"/>
  <c r="F1489" i="2"/>
  <c r="F1490" i="2"/>
  <c r="F1491" i="2"/>
  <c r="F1492" i="2"/>
  <c r="F1493" i="2"/>
  <c r="F1494" i="2"/>
  <c r="F1495" i="2"/>
  <c r="F1496" i="2"/>
  <c r="F1497" i="2"/>
  <c r="F1498" i="2"/>
  <c r="F1499" i="2"/>
  <c r="F1500" i="2"/>
  <c r="F1501" i="2"/>
  <c r="F1502" i="2"/>
  <c r="F1503" i="2"/>
  <c r="F1504" i="2"/>
  <c r="F1505" i="2"/>
  <c r="F1506" i="2"/>
  <c r="F1507" i="2"/>
  <c r="F1508" i="2"/>
  <c r="F1509" i="2"/>
  <c r="F1510" i="2"/>
  <c r="F1511" i="2"/>
  <c r="F1512" i="2"/>
  <c r="F1513" i="2"/>
  <c r="F1514" i="2"/>
  <c r="F1515" i="2"/>
  <c r="F1516" i="2"/>
  <c r="F1517" i="2"/>
  <c r="F1518" i="2"/>
  <c r="F1519" i="2"/>
  <c r="F1520" i="2"/>
  <c r="F1521" i="2"/>
  <c r="F1522" i="2"/>
  <c r="F1523" i="2"/>
  <c r="F1524" i="2"/>
  <c r="F1525" i="2"/>
  <c r="F1526" i="2"/>
  <c r="F1527" i="2"/>
  <c r="F1528" i="2"/>
  <c r="F1529" i="2"/>
  <c r="F1530" i="2"/>
  <c r="F1531" i="2"/>
  <c r="F1532" i="2"/>
  <c r="F1533" i="2"/>
  <c r="F1534" i="2"/>
  <c r="F1535" i="2"/>
  <c r="F1536" i="2"/>
  <c r="F1537" i="2"/>
  <c r="F1538" i="2"/>
  <c r="F1539" i="2"/>
  <c r="F1540" i="2"/>
  <c r="F1541" i="2"/>
  <c r="F1542" i="2"/>
  <c r="F1543" i="2"/>
  <c r="F1544" i="2"/>
  <c r="F1545" i="2"/>
  <c r="F1546" i="2"/>
  <c r="F1547" i="2"/>
  <c r="F1548" i="2"/>
  <c r="F1549" i="2"/>
  <c r="F1550" i="2"/>
  <c r="F1551" i="2"/>
  <c r="F1552" i="2"/>
  <c r="F1553" i="2"/>
  <c r="F1554" i="2"/>
  <c r="F1555" i="2"/>
  <c r="F1556" i="2"/>
  <c r="F1557" i="2"/>
  <c r="F1558" i="2"/>
  <c r="F1559" i="2"/>
  <c r="F1560" i="2"/>
  <c r="F1561" i="2"/>
  <c r="F1562" i="2"/>
  <c r="F1563" i="2"/>
  <c r="F1564" i="2"/>
  <c r="F1565" i="2"/>
  <c r="F1566" i="2"/>
  <c r="F1567" i="2"/>
  <c r="F1568" i="2"/>
  <c r="F1569" i="2"/>
  <c r="F1570" i="2"/>
  <c r="F1571" i="2"/>
  <c r="F1572" i="2"/>
  <c r="F1573" i="2"/>
  <c r="F1574" i="2"/>
  <c r="F1575" i="2"/>
  <c r="F1576" i="2"/>
  <c r="F1577" i="2"/>
  <c r="F1578" i="2"/>
  <c r="F1579" i="2"/>
  <c r="F1580" i="2"/>
  <c r="F1581" i="2"/>
  <c r="F1582" i="2"/>
  <c r="F1583" i="2"/>
  <c r="F1584" i="2"/>
  <c r="F1585" i="2"/>
  <c r="F1586" i="2"/>
  <c r="F1587" i="2"/>
  <c r="F1588" i="2"/>
  <c r="F1589" i="2"/>
  <c r="F1590" i="2"/>
  <c r="F1591" i="2"/>
  <c r="F1592" i="2"/>
  <c r="F1593" i="2"/>
  <c r="F1594" i="2"/>
  <c r="F1595" i="2"/>
  <c r="F1596" i="2"/>
  <c r="F1597" i="2"/>
  <c r="F1598" i="2"/>
  <c r="F1599" i="2"/>
  <c r="F1600" i="2"/>
  <c r="F1601" i="2"/>
  <c r="F1602" i="2"/>
  <c r="F1603" i="2"/>
  <c r="F1604" i="2"/>
  <c r="F1605" i="2"/>
  <c r="F1606" i="2"/>
  <c r="F1607" i="2"/>
  <c r="F1608" i="2"/>
  <c r="F1609" i="2"/>
  <c r="F1610" i="2"/>
  <c r="F1611" i="2"/>
  <c r="F1612" i="2"/>
  <c r="F1613" i="2"/>
  <c r="F1614" i="2"/>
  <c r="F1615" i="2"/>
  <c r="F1616" i="2"/>
  <c r="F1617" i="2"/>
  <c r="F1618" i="2"/>
  <c r="F1619" i="2"/>
  <c r="F1620" i="2"/>
  <c r="F1621" i="2"/>
  <c r="F1622" i="2"/>
  <c r="F1623" i="2"/>
  <c r="F1624" i="2"/>
  <c r="F1625" i="2"/>
  <c r="F1626" i="2"/>
  <c r="F1627" i="2"/>
  <c r="F1628" i="2"/>
  <c r="F1629" i="2"/>
  <c r="F1630" i="2"/>
  <c r="F1631" i="2"/>
  <c r="F1632" i="2"/>
  <c r="F1633" i="2"/>
  <c r="F1634" i="2"/>
  <c r="F1635" i="2"/>
  <c r="F1636" i="2"/>
  <c r="F1637" i="2"/>
  <c r="F1638" i="2"/>
  <c r="F1639" i="2"/>
  <c r="F1640" i="2"/>
  <c r="F1641" i="2"/>
  <c r="F1642" i="2"/>
  <c r="F1643" i="2"/>
  <c r="F1644" i="2"/>
  <c r="F1645" i="2"/>
  <c r="F1646" i="2"/>
  <c r="F1647" i="2"/>
  <c r="F1648" i="2"/>
  <c r="F1649" i="2"/>
  <c r="F1650" i="2"/>
  <c r="F1651" i="2"/>
  <c r="F1652" i="2"/>
  <c r="F1653" i="2"/>
  <c r="F1654" i="2"/>
  <c r="F1655" i="2"/>
  <c r="F1656" i="2"/>
  <c r="F1657" i="2"/>
  <c r="F1658" i="2"/>
  <c r="F1659" i="2"/>
  <c r="F1660" i="2"/>
  <c r="F1661" i="2"/>
  <c r="F1662" i="2"/>
  <c r="F1663" i="2"/>
  <c r="F1664" i="2"/>
  <c r="F1665" i="2"/>
  <c r="F1666" i="2"/>
  <c r="F1667" i="2"/>
  <c r="F1668" i="2"/>
  <c r="F1669" i="2"/>
  <c r="F1670" i="2"/>
  <c r="F1671" i="2"/>
  <c r="F1672" i="2"/>
  <c r="F1673" i="2"/>
  <c r="F1674" i="2"/>
  <c r="F1675" i="2"/>
  <c r="F1676" i="2"/>
  <c r="F1677" i="2"/>
  <c r="F1678" i="2"/>
  <c r="F1679" i="2"/>
  <c r="F1680" i="2"/>
  <c r="F1681" i="2"/>
  <c r="F1682" i="2"/>
  <c r="F1683" i="2"/>
  <c r="F1684" i="2"/>
  <c r="F1685" i="2"/>
  <c r="F1686" i="2"/>
  <c r="F1687" i="2"/>
  <c r="F1688" i="2"/>
  <c r="F1689" i="2"/>
  <c r="F1690" i="2"/>
  <c r="F1691" i="2"/>
  <c r="F1692" i="2"/>
  <c r="F1693" i="2"/>
  <c r="F1694" i="2"/>
  <c r="F1695" i="2"/>
  <c r="F1696" i="2"/>
  <c r="F1697" i="2"/>
  <c r="F1698" i="2"/>
  <c r="F1699" i="2"/>
  <c r="F1700" i="2"/>
  <c r="F1701" i="2"/>
  <c r="F1702" i="2"/>
  <c r="F1703" i="2"/>
  <c r="F1704" i="2"/>
  <c r="F1705" i="2"/>
  <c r="F1706" i="2"/>
  <c r="F1707" i="2"/>
  <c r="F1708" i="2"/>
  <c r="F1709" i="2"/>
  <c r="F1710" i="2"/>
  <c r="F1711" i="2"/>
  <c r="F1712" i="2"/>
  <c r="F1713" i="2"/>
  <c r="F1714" i="2"/>
  <c r="F1715" i="2"/>
  <c r="F1716" i="2"/>
  <c r="F1717" i="2"/>
  <c r="F1718" i="2"/>
  <c r="F1719" i="2"/>
  <c r="F1720" i="2"/>
  <c r="F1721" i="2"/>
  <c r="F1722" i="2"/>
  <c r="F1723" i="2"/>
  <c r="F1724" i="2"/>
  <c r="F1725" i="2"/>
  <c r="F1726" i="2"/>
  <c r="F1727" i="2"/>
  <c r="F1728" i="2"/>
  <c r="F1729" i="2"/>
  <c r="F1730" i="2"/>
  <c r="F1731" i="2"/>
  <c r="F1732" i="2"/>
  <c r="F1733" i="2"/>
  <c r="F1734" i="2"/>
  <c r="F1735" i="2"/>
  <c r="F1736" i="2"/>
  <c r="F1737" i="2"/>
  <c r="F1738" i="2"/>
  <c r="F1739" i="2"/>
  <c r="F1740" i="2"/>
  <c r="F1741" i="2"/>
  <c r="F1742" i="2"/>
  <c r="F1743" i="2"/>
  <c r="F1744" i="2"/>
  <c r="F1745" i="2"/>
  <c r="F1746" i="2"/>
  <c r="F1747" i="2"/>
  <c r="F1748" i="2"/>
  <c r="F1749" i="2"/>
  <c r="F1750" i="2"/>
  <c r="F1751" i="2"/>
  <c r="F1752" i="2"/>
  <c r="F1753" i="2"/>
  <c r="F1754" i="2"/>
  <c r="F1755" i="2"/>
  <c r="F1756" i="2"/>
  <c r="F1757" i="2"/>
  <c r="F1758" i="2"/>
  <c r="F1759" i="2"/>
  <c r="F1760" i="2"/>
  <c r="F1761" i="2"/>
  <c r="F1762" i="2"/>
  <c r="F1763" i="2"/>
  <c r="F1764" i="2"/>
  <c r="F1765" i="2"/>
  <c r="F1766" i="2"/>
  <c r="F1767" i="2"/>
  <c r="F1768" i="2"/>
  <c r="F1769" i="2"/>
  <c r="F1770" i="2"/>
  <c r="F1771" i="2"/>
  <c r="F1772" i="2"/>
  <c r="F1773" i="2"/>
  <c r="F1774" i="2"/>
  <c r="F1775" i="2"/>
  <c r="F1776" i="2"/>
  <c r="F1777" i="2"/>
  <c r="F1778" i="2"/>
  <c r="F1779" i="2"/>
  <c r="F1780" i="2"/>
  <c r="F1781" i="2"/>
  <c r="F1782" i="2"/>
  <c r="F1783" i="2"/>
  <c r="F1784" i="2"/>
  <c r="F1785" i="2"/>
  <c r="F1786" i="2"/>
  <c r="F1787" i="2"/>
  <c r="F1788" i="2"/>
  <c r="F1789" i="2"/>
  <c r="F1790" i="2"/>
  <c r="F1791" i="2"/>
  <c r="F1792" i="2"/>
  <c r="F1793" i="2"/>
  <c r="F1794" i="2"/>
  <c r="F1795" i="2"/>
  <c r="F1796" i="2"/>
  <c r="F1797" i="2"/>
  <c r="F1798" i="2"/>
  <c r="F1799" i="2"/>
  <c r="F1800" i="2"/>
  <c r="F1801" i="2"/>
  <c r="F1802" i="2"/>
  <c r="F1803" i="2"/>
  <c r="F1804" i="2"/>
  <c r="F1805" i="2"/>
  <c r="F1806" i="2"/>
  <c r="F1807" i="2"/>
  <c r="F1808" i="2"/>
  <c r="F1809" i="2"/>
  <c r="F1810" i="2"/>
  <c r="F1811" i="2"/>
  <c r="F1812" i="2"/>
  <c r="F1813" i="2"/>
  <c r="F1814" i="2"/>
  <c r="F1815" i="2"/>
  <c r="F1816" i="2"/>
  <c r="F1817" i="2"/>
  <c r="F1818" i="2"/>
  <c r="F1819" i="2"/>
  <c r="F1820" i="2"/>
  <c r="F1821" i="2"/>
  <c r="F1822" i="2"/>
  <c r="F1823" i="2"/>
  <c r="F1824" i="2"/>
  <c r="F1825" i="2"/>
  <c r="F1826" i="2"/>
  <c r="F1827" i="2"/>
  <c r="F1828" i="2"/>
  <c r="F1829" i="2"/>
  <c r="F1830" i="2"/>
  <c r="F1831" i="2"/>
  <c r="F1832" i="2"/>
  <c r="F1833" i="2"/>
  <c r="F1834" i="2"/>
  <c r="F1835" i="2"/>
  <c r="F1836" i="2"/>
  <c r="F1837" i="2"/>
  <c r="F1838" i="2"/>
  <c r="F1839" i="2"/>
  <c r="F1840" i="2"/>
  <c r="F1841" i="2"/>
  <c r="F1842" i="2"/>
  <c r="F1843" i="2"/>
  <c r="F1844" i="2"/>
  <c r="F1845" i="2"/>
  <c r="F1846" i="2"/>
  <c r="F1847" i="2"/>
  <c r="F1848" i="2"/>
  <c r="F1849" i="2"/>
  <c r="F1850" i="2"/>
  <c r="F1851" i="2"/>
  <c r="F1852" i="2"/>
  <c r="F1853" i="2"/>
  <c r="F1854" i="2"/>
  <c r="F1855" i="2"/>
  <c r="F1856" i="2"/>
  <c r="F1857" i="2"/>
  <c r="F1858" i="2"/>
  <c r="F1859" i="2"/>
  <c r="F1860" i="2"/>
  <c r="F1861" i="2"/>
  <c r="F1862" i="2"/>
  <c r="F1863" i="2"/>
  <c r="F1864" i="2"/>
  <c r="F1865" i="2"/>
  <c r="F1866" i="2"/>
  <c r="F1867" i="2"/>
  <c r="F1868" i="2"/>
  <c r="F1869" i="2"/>
  <c r="F1870" i="2"/>
  <c r="F1871" i="2"/>
  <c r="F1872" i="2"/>
  <c r="F1873" i="2"/>
  <c r="F1874" i="2"/>
  <c r="F1875" i="2"/>
  <c r="F1876" i="2"/>
  <c r="F1877" i="2"/>
  <c r="F1878" i="2"/>
  <c r="F1879" i="2"/>
  <c r="F1880" i="2"/>
  <c r="F1881" i="2"/>
  <c r="F1882" i="2"/>
  <c r="F1883" i="2"/>
  <c r="F1884" i="2"/>
  <c r="F1885" i="2"/>
  <c r="F1886" i="2"/>
  <c r="F1887" i="2"/>
  <c r="F1888" i="2"/>
  <c r="F1889" i="2"/>
  <c r="F1890" i="2"/>
  <c r="F1891" i="2"/>
  <c r="F1892" i="2"/>
  <c r="F1893" i="2"/>
  <c r="F1894" i="2"/>
  <c r="F1895" i="2"/>
  <c r="F1896" i="2"/>
  <c r="F1897" i="2"/>
  <c r="F1898" i="2"/>
  <c r="F1899" i="2"/>
  <c r="F1900" i="2"/>
  <c r="F1901" i="2"/>
  <c r="F1902" i="2"/>
  <c r="F1903" i="2"/>
  <c r="F1904" i="2"/>
  <c r="F1905" i="2"/>
  <c r="F1906" i="2"/>
  <c r="F1907" i="2"/>
  <c r="F1908" i="2"/>
  <c r="F1909" i="2"/>
  <c r="F1910" i="2"/>
  <c r="F1911" i="2"/>
  <c r="F1912" i="2"/>
  <c r="F1913" i="2"/>
  <c r="F1914" i="2"/>
  <c r="F1915" i="2"/>
  <c r="F1916" i="2"/>
  <c r="F1917" i="2"/>
  <c r="F1918" i="2"/>
  <c r="F1919" i="2"/>
  <c r="F1920" i="2"/>
  <c r="F1921" i="2"/>
  <c r="F1922" i="2"/>
  <c r="F1923" i="2"/>
  <c r="F1924" i="2"/>
  <c r="F1925" i="2"/>
  <c r="F1926" i="2"/>
  <c r="F1927" i="2"/>
  <c r="F1928" i="2"/>
  <c r="F1929" i="2"/>
  <c r="F1930" i="2"/>
  <c r="F1931" i="2"/>
  <c r="F1932" i="2"/>
  <c r="F1933" i="2"/>
  <c r="F1934" i="2"/>
  <c r="F1935" i="2"/>
  <c r="F1936" i="2"/>
  <c r="F1937" i="2"/>
  <c r="F1938" i="2"/>
  <c r="F1939" i="2"/>
  <c r="F1940" i="2"/>
  <c r="F1941" i="2"/>
  <c r="F1942" i="2"/>
  <c r="F1943" i="2"/>
  <c r="F1944" i="2"/>
  <c r="F1945" i="2"/>
  <c r="F1946" i="2"/>
  <c r="F1947" i="2"/>
  <c r="F1948" i="2"/>
  <c r="F1949" i="2"/>
  <c r="F1950" i="2"/>
  <c r="F1951" i="2"/>
  <c r="F1952" i="2"/>
  <c r="F1953" i="2"/>
  <c r="F1954" i="2"/>
  <c r="F1955" i="2"/>
  <c r="F1956" i="2"/>
  <c r="F1957" i="2"/>
  <c r="F1958" i="2"/>
  <c r="F1959" i="2"/>
  <c r="F1960" i="2"/>
  <c r="F1961" i="2"/>
  <c r="F1962" i="2"/>
  <c r="F1963" i="2"/>
  <c r="F1964" i="2"/>
  <c r="F1965" i="2"/>
  <c r="F1966" i="2"/>
  <c r="F1967" i="2"/>
  <c r="F1968" i="2"/>
  <c r="F1969" i="2"/>
  <c r="F1970" i="2"/>
  <c r="F1971" i="2"/>
  <c r="F1972" i="2"/>
  <c r="F1973" i="2"/>
  <c r="F1974" i="2"/>
  <c r="F1975" i="2"/>
  <c r="F1976" i="2"/>
  <c r="F1977" i="2"/>
  <c r="F1978" i="2"/>
  <c r="F1979" i="2"/>
  <c r="F1980" i="2"/>
  <c r="F1981" i="2"/>
  <c r="F1982" i="2"/>
  <c r="F1983" i="2"/>
  <c r="F1984" i="2"/>
  <c r="F1985" i="2"/>
  <c r="F1986" i="2"/>
  <c r="F1987" i="2"/>
  <c r="F1988" i="2"/>
  <c r="F1989" i="2"/>
  <c r="F1990" i="2"/>
  <c r="F1991" i="2"/>
  <c r="F1992" i="2"/>
  <c r="F1993" i="2"/>
  <c r="F1994" i="2"/>
  <c r="F1995" i="2"/>
  <c r="F1996" i="2"/>
  <c r="F1997" i="2"/>
  <c r="F1998" i="2"/>
  <c r="F1999" i="2"/>
  <c r="F2000" i="2"/>
  <c r="F2001" i="2"/>
  <c r="F2002" i="2"/>
  <c r="F2003" i="2"/>
  <c r="F2004" i="2"/>
  <c r="F2005" i="2"/>
  <c r="F2006" i="2"/>
  <c r="F2007" i="2"/>
  <c r="F2008" i="2"/>
  <c r="F2009" i="2"/>
  <c r="F2010" i="2"/>
  <c r="F2011" i="2"/>
  <c r="F2012" i="2"/>
  <c r="F2013" i="2"/>
  <c r="F2014" i="2"/>
  <c r="F2015" i="2"/>
  <c r="F2016" i="2"/>
  <c r="F2017" i="2"/>
  <c r="F2018" i="2"/>
  <c r="F2019" i="2"/>
  <c r="F2020" i="2"/>
  <c r="F2021" i="2"/>
  <c r="F2022" i="2"/>
  <c r="F2023" i="2"/>
  <c r="F2024" i="2"/>
  <c r="F2025" i="2"/>
  <c r="F2026" i="2"/>
  <c r="F2027" i="2"/>
  <c r="F2028" i="2"/>
  <c r="F2029" i="2"/>
  <c r="F2030" i="2"/>
  <c r="F2031" i="2"/>
  <c r="F2032" i="2"/>
  <c r="F2033" i="2"/>
  <c r="F2034" i="2"/>
  <c r="F2035" i="2"/>
  <c r="F2036" i="2"/>
  <c r="F2037" i="2"/>
  <c r="F2038" i="2"/>
  <c r="F2039" i="2"/>
  <c r="F2040" i="2"/>
  <c r="F2041" i="2"/>
  <c r="F2042" i="2"/>
  <c r="F2043" i="2"/>
  <c r="F2044" i="2"/>
  <c r="F2045" i="2"/>
  <c r="F2046" i="2"/>
  <c r="F2047" i="2"/>
  <c r="F2048" i="2"/>
  <c r="F2049" i="2"/>
  <c r="F2050" i="2"/>
  <c r="F2051" i="2"/>
  <c r="F2052" i="2"/>
  <c r="F2053" i="2"/>
  <c r="F2054" i="2"/>
  <c r="F2055" i="2"/>
  <c r="F2056" i="2"/>
  <c r="F2057" i="2"/>
  <c r="F2058" i="2"/>
  <c r="F2059" i="2"/>
  <c r="F2060" i="2"/>
  <c r="F2061" i="2"/>
  <c r="F2062" i="2"/>
  <c r="F2063" i="2"/>
  <c r="F2064" i="2"/>
  <c r="F2065" i="2"/>
  <c r="F2066" i="2"/>
  <c r="F2067" i="2"/>
  <c r="F2068" i="2"/>
  <c r="F2069" i="2"/>
  <c r="F2070" i="2"/>
  <c r="F2071" i="2"/>
  <c r="F2072" i="2"/>
  <c r="F2073" i="2"/>
  <c r="F2074" i="2"/>
  <c r="F2075" i="2"/>
  <c r="F2076" i="2"/>
  <c r="F2077" i="2"/>
  <c r="F2078" i="2"/>
  <c r="F2079" i="2"/>
  <c r="F2080" i="2"/>
  <c r="F2081" i="2"/>
  <c r="F2082" i="2"/>
  <c r="F2083" i="2"/>
  <c r="F2084" i="2"/>
  <c r="F2085" i="2"/>
  <c r="F2086" i="2"/>
  <c r="F2087" i="2"/>
  <c r="F2088" i="2"/>
  <c r="F2089" i="2"/>
  <c r="F2090" i="2"/>
  <c r="F2091" i="2"/>
  <c r="F2092" i="2"/>
  <c r="F2093" i="2"/>
  <c r="F2094" i="2"/>
  <c r="F2095" i="2"/>
  <c r="F2096" i="2"/>
  <c r="F2097" i="2"/>
  <c r="F2098" i="2"/>
  <c r="F2099" i="2"/>
  <c r="F2100" i="2"/>
  <c r="F2101" i="2"/>
  <c r="F2102" i="2"/>
  <c r="F2103" i="2"/>
  <c r="F2104" i="2"/>
  <c r="F2105" i="2"/>
  <c r="F2106" i="2"/>
  <c r="F2107" i="2"/>
  <c r="F2108" i="2"/>
  <c r="F2109" i="2"/>
  <c r="F2110" i="2"/>
  <c r="F2111" i="2"/>
  <c r="F2112" i="2"/>
  <c r="F2113" i="2"/>
  <c r="F2114" i="2"/>
  <c r="F2115" i="2"/>
  <c r="F2116" i="2"/>
  <c r="F2117" i="2"/>
  <c r="F2118" i="2"/>
  <c r="F2119" i="2"/>
  <c r="F2120" i="2"/>
  <c r="F2121" i="2"/>
  <c r="F2122" i="2"/>
  <c r="F2123" i="2"/>
  <c r="F2124" i="2"/>
  <c r="F2125" i="2"/>
  <c r="F2126" i="2"/>
  <c r="F2127" i="2"/>
  <c r="F2128" i="2"/>
  <c r="F2129" i="2"/>
  <c r="F2130" i="2"/>
  <c r="F2131" i="2"/>
  <c r="F2132" i="2"/>
  <c r="F2133" i="2"/>
  <c r="F2134" i="2"/>
  <c r="F2135" i="2"/>
  <c r="F2136" i="2"/>
  <c r="F2137" i="2"/>
  <c r="F2138" i="2"/>
  <c r="F2139" i="2"/>
  <c r="F2140" i="2"/>
  <c r="F2141" i="2"/>
  <c r="F2142" i="2"/>
  <c r="F2143" i="2"/>
  <c r="F2144" i="2"/>
  <c r="F2145" i="2"/>
  <c r="F2146" i="2"/>
  <c r="F2147" i="2"/>
  <c r="F2148" i="2"/>
  <c r="F2149" i="2"/>
  <c r="F2150" i="2"/>
  <c r="F2151" i="2"/>
  <c r="F2152" i="2"/>
  <c r="F2153" i="2"/>
  <c r="F2154" i="2"/>
  <c r="F2155" i="2"/>
  <c r="F2156" i="2"/>
  <c r="F2157" i="2"/>
  <c r="F2158" i="2"/>
  <c r="F2159" i="2"/>
  <c r="F2160" i="2"/>
  <c r="F2161" i="2"/>
  <c r="F2162" i="2"/>
  <c r="F2163" i="2"/>
  <c r="F2164" i="2"/>
  <c r="F2165" i="2"/>
  <c r="F2166" i="2"/>
  <c r="F2167" i="2"/>
  <c r="F2168" i="2"/>
  <c r="F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H1059" i="2"/>
  <c r="H1060" i="2"/>
  <c r="H1061" i="2"/>
  <c r="H1062" i="2"/>
  <c r="H1063" i="2"/>
  <c r="H1064" i="2"/>
  <c r="H1065" i="2"/>
  <c r="H1066" i="2"/>
  <c r="H1067" i="2"/>
  <c r="H1068" i="2"/>
  <c r="H1069" i="2"/>
  <c r="H1070" i="2"/>
  <c r="H1071" i="2"/>
  <c r="H1072" i="2"/>
  <c r="H1073" i="2"/>
  <c r="H1074" i="2"/>
  <c r="H1075" i="2"/>
  <c r="H1076" i="2"/>
  <c r="H1077" i="2"/>
  <c r="H1078" i="2"/>
  <c r="H1079" i="2"/>
  <c r="H1080" i="2"/>
  <c r="H1081" i="2"/>
  <c r="H1082" i="2"/>
  <c r="H1083" i="2"/>
  <c r="H1084" i="2"/>
  <c r="H1085" i="2"/>
  <c r="H1086" i="2"/>
  <c r="H1087" i="2"/>
  <c r="H1088" i="2"/>
  <c r="H1089" i="2"/>
  <c r="H1090" i="2"/>
  <c r="H1091" i="2"/>
  <c r="H1092" i="2"/>
  <c r="H1093" i="2"/>
  <c r="H1094" i="2"/>
  <c r="H1095" i="2"/>
  <c r="H1096" i="2"/>
  <c r="H1097" i="2"/>
  <c r="H1098" i="2"/>
  <c r="H1099" i="2"/>
  <c r="H1100" i="2"/>
  <c r="H1101" i="2"/>
  <c r="H1102" i="2"/>
  <c r="H1103" i="2"/>
  <c r="H1104" i="2"/>
  <c r="H1105" i="2"/>
  <c r="H1106" i="2"/>
  <c r="H1107" i="2"/>
  <c r="H1108" i="2"/>
  <c r="H1109" i="2"/>
  <c r="H1110" i="2"/>
  <c r="H1111" i="2"/>
  <c r="H1112" i="2"/>
  <c r="H1113" i="2"/>
  <c r="H1114" i="2"/>
  <c r="H1115" i="2"/>
  <c r="H1116" i="2"/>
  <c r="H1117" i="2"/>
  <c r="H1118" i="2"/>
  <c r="H1119" i="2"/>
  <c r="H1120" i="2"/>
  <c r="H1121" i="2"/>
  <c r="H1122" i="2"/>
  <c r="H1123" i="2"/>
  <c r="H1124" i="2"/>
  <c r="H1125" i="2"/>
  <c r="H1126" i="2"/>
  <c r="H1127" i="2"/>
  <c r="H1128" i="2"/>
  <c r="H1129" i="2"/>
  <c r="H1130" i="2"/>
  <c r="H1131" i="2"/>
  <c r="H1132" i="2"/>
  <c r="H1133" i="2"/>
  <c r="H1134" i="2"/>
  <c r="H1135" i="2"/>
  <c r="H1136" i="2"/>
  <c r="H1137" i="2"/>
  <c r="H1138" i="2"/>
  <c r="H1139" i="2"/>
  <c r="H1140" i="2"/>
  <c r="H1141" i="2"/>
  <c r="H1142" i="2"/>
  <c r="H1143" i="2"/>
  <c r="H1144" i="2"/>
  <c r="H1145" i="2"/>
  <c r="H1146" i="2"/>
  <c r="H1147" i="2"/>
  <c r="H1148" i="2"/>
  <c r="H1149" i="2"/>
  <c r="H1150" i="2"/>
  <c r="H1151" i="2"/>
  <c r="H1152" i="2"/>
  <c r="H1153" i="2"/>
  <c r="H1154" i="2"/>
  <c r="H1155" i="2"/>
  <c r="H1156" i="2"/>
  <c r="H1157" i="2"/>
  <c r="H1158" i="2"/>
  <c r="H1159" i="2"/>
  <c r="H1160" i="2"/>
  <c r="H1161" i="2"/>
  <c r="H1162" i="2"/>
  <c r="H1163" i="2"/>
  <c r="H1164" i="2"/>
  <c r="H1165" i="2"/>
  <c r="H1166" i="2"/>
  <c r="H1167" i="2"/>
  <c r="H1168" i="2"/>
  <c r="H1169" i="2"/>
  <c r="H1170" i="2"/>
  <c r="H1171" i="2"/>
  <c r="H1172" i="2"/>
  <c r="H1173" i="2"/>
  <c r="H1174" i="2"/>
  <c r="H1175" i="2"/>
  <c r="H1176" i="2"/>
  <c r="H1177" i="2"/>
  <c r="H1178" i="2"/>
  <c r="H1179" i="2"/>
  <c r="H1180" i="2"/>
  <c r="H1181" i="2"/>
  <c r="H1182" i="2"/>
  <c r="H1183" i="2"/>
  <c r="H1184" i="2"/>
  <c r="H1185" i="2"/>
  <c r="H1186" i="2"/>
  <c r="H1187" i="2"/>
  <c r="H1188" i="2"/>
  <c r="H1189" i="2"/>
  <c r="H1190" i="2"/>
  <c r="H1191" i="2"/>
  <c r="H1192" i="2"/>
  <c r="H1193" i="2"/>
  <c r="H1194" i="2"/>
  <c r="H1195" i="2"/>
  <c r="H1196" i="2"/>
  <c r="H1197" i="2"/>
  <c r="H1198" i="2"/>
  <c r="H1199" i="2"/>
  <c r="H1200" i="2"/>
  <c r="H1201" i="2"/>
  <c r="H1202" i="2"/>
  <c r="H1203" i="2"/>
  <c r="H1204" i="2"/>
  <c r="H1205" i="2"/>
  <c r="H1206" i="2"/>
  <c r="H1207" i="2"/>
  <c r="H1208" i="2"/>
  <c r="H1209" i="2"/>
  <c r="H1210" i="2"/>
  <c r="H1211" i="2"/>
  <c r="H1212" i="2"/>
  <c r="H1213" i="2"/>
  <c r="H1214" i="2"/>
  <c r="H1215" i="2"/>
  <c r="H1216" i="2"/>
  <c r="H1217" i="2"/>
  <c r="H1218" i="2"/>
  <c r="H1219" i="2"/>
  <c r="H1220" i="2"/>
  <c r="H1221" i="2"/>
  <c r="H1222" i="2"/>
  <c r="H1223" i="2"/>
  <c r="H1224" i="2"/>
  <c r="H1225" i="2"/>
  <c r="H1226" i="2"/>
  <c r="H1227" i="2"/>
  <c r="H1228" i="2"/>
  <c r="H1229" i="2"/>
  <c r="H1230" i="2"/>
  <c r="H1231" i="2"/>
  <c r="H1232" i="2"/>
  <c r="H1233" i="2"/>
  <c r="H1234" i="2"/>
  <c r="H1235" i="2"/>
  <c r="H1236" i="2"/>
  <c r="H1237" i="2"/>
  <c r="H1238" i="2"/>
  <c r="H1239" i="2"/>
  <c r="H1240" i="2"/>
  <c r="H1241" i="2"/>
  <c r="H1242" i="2"/>
  <c r="H1243" i="2"/>
  <c r="H1244" i="2"/>
  <c r="H1245" i="2"/>
  <c r="H1246" i="2"/>
  <c r="H1247" i="2"/>
  <c r="H1248" i="2"/>
  <c r="H1249" i="2"/>
  <c r="H1250" i="2"/>
  <c r="H1251" i="2"/>
  <c r="H1252" i="2"/>
  <c r="H1253" i="2"/>
  <c r="H1254" i="2"/>
  <c r="H1255" i="2"/>
  <c r="H1256" i="2"/>
  <c r="H1257" i="2"/>
  <c r="H1258" i="2"/>
  <c r="H1259" i="2"/>
  <c r="H1260" i="2"/>
  <c r="H1261" i="2"/>
  <c r="H1262" i="2"/>
  <c r="H1263" i="2"/>
  <c r="H1264" i="2"/>
  <c r="H1265" i="2"/>
  <c r="H1266" i="2"/>
  <c r="H1267" i="2"/>
  <c r="H1268" i="2"/>
  <c r="H1269" i="2"/>
  <c r="H1270" i="2"/>
  <c r="H1271" i="2"/>
  <c r="H1272" i="2"/>
  <c r="H1273" i="2"/>
  <c r="H1274" i="2"/>
  <c r="H1275" i="2"/>
  <c r="H1276" i="2"/>
  <c r="H1277" i="2"/>
  <c r="H1278" i="2"/>
  <c r="H1279" i="2"/>
  <c r="H1280" i="2"/>
  <c r="H1281" i="2"/>
  <c r="H1282" i="2"/>
  <c r="H1283" i="2"/>
  <c r="H1284" i="2"/>
  <c r="H1285" i="2"/>
  <c r="H1286" i="2"/>
  <c r="H1287" i="2"/>
  <c r="H1288" i="2"/>
  <c r="H1289" i="2"/>
  <c r="H1290" i="2"/>
  <c r="H1291" i="2"/>
  <c r="H1292" i="2"/>
  <c r="H1293" i="2"/>
  <c r="H1294" i="2"/>
  <c r="H1295" i="2"/>
  <c r="H1296" i="2"/>
  <c r="H1297" i="2"/>
  <c r="H1298" i="2"/>
  <c r="H1299" i="2"/>
  <c r="H1300" i="2"/>
  <c r="H1301" i="2"/>
  <c r="H1302" i="2"/>
  <c r="H1303" i="2"/>
  <c r="H1304" i="2"/>
  <c r="H1305" i="2"/>
  <c r="H1306" i="2"/>
  <c r="H1307" i="2"/>
  <c r="H1308" i="2"/>
  <c r="H1309" i="2"/>
  <c r="H1310" i="2"/>
  <c r="H1311" i="2"/>
  <c r="H1312" i="2"/>
  <c r="H1313" i="2"/>
  <c r="H1314" i="2"/>
  <c r="H1315" i="2"/>
  <c r="H1316" i="2"/>
  <c r="H1317" i="2"/>
  <c r="H1318" i="2"/>
  <c r="H1319" i="2"/>
  <c r="H1320" i="2"/>
  <c r="H1321" i="2"/>
  <c r="H1322" i="2"/>
  <c r="H1323" i="2"/>
  <c r="H1324" i="2"/>
  <c r="H1325" i="2"/>
  <c r="H1326" i="2"/>
  <c r="H1327" i="2"/>
  <c r="H1328" i="2"/>
  <c r="H1329" i="2"/>
  <c r="H1330" i="2"/>
  <c r="H1331" i="2"/>
  <c r="H1332" i="2"/>
  <c r="H1333" i="2"/>
  <c r="H1334" i="2"/>
  <c r="H1335" i="2"/>
  <c r="H1336" i="2"/>
  <c r="H1337" i="2"/>
  <c r="H1338" i="2"/>
  <c r="H1339" i="2"/>
  <c r="H1340" i="2"/>
  <c r="H1341" i="2"/>
  <c r="H1342" i="2"/>
  <c r="H1343" i="2"/>
  <c r="H1344" i="2"/>
  <c r="H1345" i="2"/>
  <c r="H1346" i="2"/>
  <c r="H1347" i="2"/>
  <c r="H1348" i="2"/>
  <c r="H1349" i="2"/>
  <c r="H1350" i="2"/>
  <c r="H1351" i="2"/>
  <c r="H1352" i="2"/>
  <c r="H1353" i="2"/>
  <c r="H1354" i="2"/>
  <c r="H1355" i="2"/>
  <c r="H1356" i="2"/>
  <c r="H1357" i="2"/>
  <c r="H1358" i="2"/>
  <c r="H1359" i="2"/>
  <c r="H1360" i="2"/>
  <c r="H1361" i="2"/>
  <c r="H1362" i="2"/>
  <c r="H1363" i="2"/>
  <c r="H1364" i="2"/>
  <c r="H1365" i="2"/>
  <c r="H1366" i="2"/>
  <c r="H1367" i="2"/>
  <c r="H1368" i="2"/>
  <c r="H1369" i="2"/>
  <c r="H1370" i="2"/>
  <c r="H1371" i="2"/>
  <c r="H1372" i="2"/>
  <c r="H1373" i="2"/>
  <c r="H1374" i="2"/>
  <c r="H1375" i="2"/>
  <c r="H1376" i="2"/>
  <c r="H1377" i="2"/>
  <c r="H1378" i="2"/>
  <c r="H1379" i="2"/>
  <c r="H1380" i="2"/>
  <c r="H1381" i="2"/>
  <c r="H1382" i="2"/>
  <c r="H1383" i="2"/>
  <c r="H1384" i="2"/>
  <c r="H1385" i="2"/>
  <c r="H1386" i="2"/>
  <c r="H1387" i="2"/>
  <c r="H1388" i="2"/>
  <c r="H1389" i="2"/>
  <c r="H1390" i="2"/>
  <c r="H1391" i="2"/>
  <c r="H1392" i="2"/>
  <c r="H1393" i="2"/>
  <c r="H1394" i="2"/>
  <c r="H1395" i="2"/>
  <c r="H1396" i="2"/>
  <c r="H1397" i="2"/>
  <c r="H1398" i="2"/>
  <c r="H1399" i="2"/>
  <c r="H1400" i="2"/>
  <c r="H1401" i="2"/>
  <c r="H1402" i="2"/>
  <c r="H1403" i="2"/>
  <c r="H1404" i="2"/>
  <c r="H1405" i="2"/>
  <c r="H1406" i="2"/>
  <c r="H1407" i="2"/>
  <c r="H1408" i="2"/>
  <c r="H1409" i="2"/>
  <c r="H1410" i="2"/>
  <c r="H1411" i="2"/>
  <c r="H1412" i="2"/>
  <c r="H1413" i="2"/>
  <c r="H1414" i="2"/>
  <c r="H1415" i="2"/>
  <c r="H1416" i="2"/>
  <c r="H1417" i="2"/>
  <c r="H1418" i="2"/>
  <c r="H1419" i="2"/>
  <c r="H1420" i="2"/>
  <c r="H1421" i="2"/>
  <c r="H1422" i="2"/>
  <c r="H1423" i="2"/>
  <c r="H1424" i="2"/>
  <c r="H1425" i="2"/>
  <c r="H1426" i="2"/>
  <c r="H1427" i="2"/>
  <c r="H1428" i="2"/>
  <c r="H1429" i="2"/>
  <c r="H1430" i="2"/>
  <c r="H1431" i="2"/>
  <c r="H1432" i="2"/>
  <c r="H1433" i="2"/>
  <c r="H1434" i="2"/>
  <c r="H1435" i="2"/>
  <c r="H1436" i="2"/>
  <c r="H1437" i="2"/>
  <c r="H1438" i="2"/>
  <c r="H1439" i="2"/>
  <c r="H1440" i="2"/>
  <c r="H1441" i="2"/>
  <c r="H1442" i="2"/>
  <c r="H1443" i="2"/>
  <c r="H1444" i="2"/>
  <c r="H1445" i="2"/>
  <c r="H1446" i="2"/>
  <c r="H1447" i="2"/>
  <c r="H1448" i="2"/>
  <c r="H1449" i="2"/>
  <c r="H1450" i="2"/>
  <c r="H1451" i="2"/>
  <c r="H1452" i="2"/>
  <c r="H1453" i="2"/>
  <c r="H1454" i="2"/>
  <c r="H1455" i="2"/>
  <c r="H1456" i="2"/>
  <c r="H1457" i="2"/>
  <c r="H1458" i="2"/>
  <c r="H1459" i="2"/>
  <c r="H1460" i="2"/>
  <c r="H1461" i="2"/>
  <c r="H1462" i="2"/>
  <c r="H1463" i="2"/>
  <c r="H1464" i="2"/>
  <c r="H1465" i="2"/>
  <c r="H1466" i="2"/>
  <c r="H1467" i="2"/>
  <c r="H1468" i="2"/>
  <c r="H1469" i="2"/>
  <c r="H1470" i="2"/>
  <c r="H1471" i="2"/>
  <c r="H1472" i="2"/>
  <c r="H1473" i="2"/>
  <c r="H1474" i="2"/>
  <c r="H1475" i="2"/>
  <c r="H1476" i="2"/>
  <c r="H1477" i="2"/>
  <c r="H1478" i="2"/>
  <c r="H1479" i="2"/>
  <c r="H1480" i="2"/>
  <c r="H1481" i="2"/>
  <c r="H1482" i="2"/>
  <c r="H1483" i="2"/>
  <c r="H1484" i="2"/>
  <c r="H1485" i="2"/>
  <c r="H1486" i="2"/>
  <c r="H1487" i="2"/>
  <c r="H1488" i="2"/>
  <c r="H1489" i="2"/>
  <c r="H1490" i="2"/>
  <c r="H1491" i="2"/>
  <c r="H1492" i="2"/>
  <c r="H1493" i="2"/>
  <c r="H1494" i="2"/>
  <c r="H1495" i="2"/>
  <c r="H1496" i="2"/>
  <c r="H1497" i="2"/>
  <c r="H1498" i="2"/>
  <c r="H1499" i="2"/>
  <c r="H1500" i="2"/>
  <c r="H1501" i="2"/>
  <c r="H1502" i="2"/>
  <c r="H1503" i="2"/>
  <c r="H1504" i="2"/>
  <c r="H1505" i="2"/>
  <c r="H1506" i="2"/>
  <c r="H1507" i="2"/>
  <c r="H1508" i="2"/>
  <c r="H1509" i="2"/>
  <c r="H1510" i="2"/>
  <c r="H1511" i="2"/>
  <c r="H1512" i="2"/>
  <c r="H1513" i="2"/>
  <c r="H1514" i="2"/>
  <c r="H1515" i="2"/>
  <c r="H1516" i="2"/>
  <c r="H1517" i="2"/>
  <c r="H1518" i="2"/>
  <c r="H1519" i="2"/>
  <c r="H1520" i="2"/>
  <c r="H1521" i="2"/>
  <c r="H1522" i="2"/>
  <c r="H1523" i="2"/>
  <c r="H1524" i="2"/>
  <c r="H1525" i="2"/>
  <c r="H1526" i="2"/>
  <c r="H1527" i="2"/>
  <c r="H1528" i="2"/>
  <c r="H1529" i="2"/>
  <c r="H1530" i="2"/>
  <c r="H1531" i="2"/>
  <c r="H1532" i="2"/>
  <c r="H1533" i="2"/>
  <c r="H1534" i="2"/>
  <c r="H1535" i="2"/>
  <c r="H1536" i="2"/>
  <c r="H1537" i="2"/>
  <c r="H1538" i="2"/>
  <c r="H1539" i="2"/>
  <c r="H1540" i="2"/>
  <c r="H1541" i="2"/>
  <c r="H1542" i="2"/>
  <c r="H1543" i="2"/>
  <c r="H1544" i="2"/>
  <c r="H1545" i="2"/>
  <c r="H1546" i="2"/>
  <c r="H1547" i="2"/>
  <c r="H1548" i="2"/>
  <c r="H1549" i="2"/>
  <c r="H1550" i="2"/>
  <c r="H1551" i="2"/>
  <c r="H1552" i="2"/>
  <c r="H1553" i="2"/>
  <c r="H1554" i="2"/>
  <c r="H1555" i="2"/>
  <c r="H1556" i="2"/>
  <c r="H1557" i="2"/>
  <c r="H1558" i="2"/>
  <c r="H1559" i="2"/>
  <c r="H1560" i="2"/>
  <c r="H1561" i="2"/>
  <c r="H1562" i="2"/>
  <c r="H1563" i="2"/>
  <c r="H1564" i="2"/>
  <c r="H1565" i="2"/>
  <c r="H1566" i="2"/>
  <c r="H1567" i="2"/>
  <c r="H1568" i="2"/>
  <c r="H1569" i="2"/>
  <c r="H1570" i="2"/>
  <c r="H1571" i="2"/>
  <c r="H1572" i="2"/>
  <c r="H1573" i="2"/>
  <c r="H1574" i="2"/>
  <c r="H1575" i="2"/>
  <c r="H1576" i="2"/>
  <c r="H1577" i="2"/>
  <c r="H1578" i="2"/>
  <c r="H1579" i="2"/>
  <c r="H1580" i="2"/>
  <c r="H1581" i="2"/>
  <c r="H1582" i="2"/>
  <c r="H1583" i="2"/>
  <c r="H1584" i="2"/>
  <c r="H1585" i="2"/>
  <c r="H1586" i="2"/>
  <c r="H1587" i="2"/>
  <c r="H1588" i="2"/>
  <c r="H1589" i="2"/>
  <c r="H1590" i="2"/>
  <c r="H1591" i="2"/>
  <c r="H1592" i="2"/>
  <c r="H1593" i="2"/>
  <c r="H1594" i="2"/>
  <c r="H1595" i="2"/>
  <c r="H1596" i="2"/>
  <c r="H1597" i="2"/>
  <c r="H1598" i="2"/>
  <c r="H1599" i="2"/>
  <c r="H1600" i="2"/>
  <c r="H1601" i="2"/>
  <c r="H1602" i="2"/>
  <c r="H1603" i="2"/>
  <c r="H1604" i="2"/>
  <c r="H1605" i="2"/>
  <c r="H1606" i="2"/>
  <c r="H1607" i="2"/>
  <c r="H1608" i="2"/>
  <c r="H1609" i="2"/>
  <c r="H1610" i="2"/>
  <c r="H1611" i="2"/>
  <c r="H1612" i="2"/>
  <c r="H1613" i="2"/>
  <c r="H1614" i="2"/>
  <c r="H1615" i="2"/>
  <c r="H1616" i="2"/>
  <c r="H1617" i="2"/>
  <c r="H1618" i="2"/>
  <c r="H1619" i="2"/>
  <c r="H1620" i="2"/>
  <c r="H1621" i="2"/>
  <c r="H1622" i="2"/>
  <c r="H1623" i="2"/>
  <c r="H1624" i="2"/>
  <c r="H1625" i="2"/>
  <c r="H1626" i="2"/>
  <c r="H1627" i="2"/>
  <c r="H1628" i="2"/>
  <c r="H1629" i="2"/>
  <c r="H1630" i="2"/>
  <c r="H1631" i="2"/>
  <c r="H1632" i="2"/>
  <c r="H1633" i="2"/>
  <c r="H1634" i="2"/>
  <c r="H1635" i="2"/>
  <c r="H1636" i="2"/>
  <c r="H1637" i="2"/>
  <c r="H1638" i="2"/>
  <c r="H1639" i="2"/>
  <c r="H1640" i="2"/>
  <c r="H1641" i="2"/>
  <c r="H1642" i="2"/>
  <c r="H1643" i="2"/>
  <c r="H1644" i="2"/>
  <c r="H1645" i="2"/>
  <c r="H1646" i="2"/>
  <c r="H1647" i="2"/>
  <c r="H1648" i="2"/>
  <c r="H1649" i="2"/>
  <c r="H1650" i="2"/>
  <c r="H1651" i="2"/>
  <c r="H1652" i="2"/>
  <c r="H1653" i="2"/>
  <c r="H1654" i="2"/>
  <c r="H1655" i="2"/>
  <c r="H1656" i="2"/>
  <c r="H1657" i="2"/>
  <c r="H1658" i="2"/>
  <c r="H1659" i="2"/>
  <c r="H1660" i="2"/>
  <c r="H1661" i="2"/>
  <c r="H1662" i="2"/>
  <c r="H1663" i="2"/>
  <c r="H1664" i="2"/>
  <c r="H1665" i="2"/>
  <c r="H1666" i="2"/>
  <c r="H1667" i="2"/>
  <c r="H1668" i="2"/>
  <c r="H1669" i="2"/>
  <c r="H1670" i="2"/>
  <c r="H1671" i="2"/>
  <c r="H1672" i="2"/>
  <c r="H1673" i="2"/>
  <c r="H1674" i="2"/>
  <c r="H1675" i="2"/>
  <c r="H1676" i="2"/>
  <c r="H1677" i="2"/>
  <c r="H1678" i="2"/>
  <c r="H1679" i="2"/>
  <c r="H1680" i="2"/>
  <c r="H1681" i="2"/>
  <c r="H1682" i="2"/>
  <c r="H1683" i="2"/>
  <c r="H1684" i="2"/>
  <c r="H1685" i="2"/>
  <c r="H1686" i="2"/>
  <c r="H1687" i="2"/>
  <c r="H1688" i="2"/>
  <c r="H1689" i="2"/>
  <c r="H1690" i="2"/>
  <c r="H1691" i="2"/>
  <c r="H1692" i="2"/>
  <c r="H1693" i="2"/>
  <c r="H1694" i="2"/>
  <c r="H1695" i="2"/>
  <c r="H1696" i="2"/>
  <c r="H1697" i="2"/>
  <c r="H1698" i="2"/>
  <c r="H1699" i="2"/>
  <c r="H1700" i="2"/>
  <c r="H1701" i="2"/>
  <c r="H1702" i="2"/>
  <c r="H1703" i="2"/>
  <c r="H1704" i="2"/>
  <c r="H1705" i="2"/>
  <c r="H1706" i="2"/>
  <c r="H1707" i="2"/>
  <c r="H1708" i="2"/>
  <c r="H1709" i="2"/>
  <c r="H1710" i="2"/>
  <c r="H1711" i="2"/>
  <c r="H1712" i="2"/>
  <c r="H1713" i="2"/>
  <c r="H1714" i="2"/>
  <c r="H1715" i="2"/>
  <c r="H1716" i="2"/>
  <c r="H1717" i="2"/>
  <c r="H1718" i="2"/>
  <c r="H1719" i="2"/>
  <c r="H1720" i="2"/>
  <c r="H1721" i="2"/>
  <c r="H1722" i="2"/>
  <c r="H1723" i="2"/>
  <c r="H1724" i="2"/>
  <c r="H1725" i="2"/>
  <c r="H1726" i="2"/>
  <c r="H1727" i="2"/>
  <c r="H1728" i="2"/>
  <c r="H1729" i="2"/>
  <c r="H1730" i="2"/>
  <c r="H1731" i="2"/>
  <c r="H1732" i="2"/>
  <c r="H1733" i="2"/>
  <c r="H1734" i="2"/>
  <c r="H1735" i="2"/>
  <c r="H1736" i="2"/>
  <c r="H1737" i="2"/>
  <c r="H1738" i="2"/>
  <c r="H1739" i="2"/>
  <c r="H1740" i="2"/>
  <c r="H1741" i="2"/>
  <c r="H1742" i="2"/>
  <c r="H1743" i="2"/>
  <c r="H1744" i="2"/>
  <c r="H1745" i="2"/>
  <c r="H1746" i="2"/>
  <c r="H1747" i="2"/>
  <c r="H1748" i="2"/>
  <c r="H1749" i="2"/>
  <c r="H1750" i="2"/>
  <c r="H1751" i="2"/>
  <c r="H1752" i="2"/>
  <c r="H1753" i="2"/>
  <c r="H1754" i="2"/>
  <c r="H1755" i="2"/>
  <c r="H1756" i="2"/>
  <c r="H1757" i="2"/>
  <c r="H1758" i="2"/>
  <c r="H1759" i="2"/>
  <c r="H1760" i="2"/>
  <c r="H1761" i="2"/>
  <c r="H1762" i="2"/>
  <c r="H1763" i="2"/>
  <c r="H1764" i="2"/>
  <c r="H1765" i="2"/>
  <c r="H1766" i="2"/>
  <c r="H1767" i="2"/>
  <c r="H1768" i="2"/>
  <c r="H1769" i="2"/>
  <c r="H1770" i="2"/>
  <c r="H1771" i="2"/>
  <c r="H1772" i="2"/>
  <c r="H1773" i="2"/>
  <c r="H1774" i="2"/>
  <c r="H1775" i="2"/>
  <c r="H1776" i="2"/>
  <c r="H1777" i="2"/>
  <c r="H1778" i="2"/>
  <c r="H1779" i="2"/>
  <c r="H1780" i="2"/>
  <c r="H1781" i="2"/>
  <c r="H1782" i="2"/>
  <c r="H1783" i="2"/>
  <c r="H1784" i="2"/>
  <c r="H1785" i="2"/>
  <c r="H1786" i="2"/>
  <c r="H1787" i="2"/>
  <c r="H1788" i="2"/>
  <c r="H1789" i="2"/>
  <c r="H1790" i="2"/>
  <c r="H1791" i="2"/>
  <c r="H1792" i="2"/>
  <c r="H1793" i="2"/>
  <c r="H1794" i="2"/>
  <c r="H1795" i="2"/>
  <c r="H1796" i="2"/>
  <c r="H1797" i="2"/>
  <c r="H1798" i="2"/>
  <c r="H1799" i="2"/>
  <c r="H1800" i="2"/>
  <c r="H1801" i="2"/>
  <c r="H1802" i="2"/>
  <c r="H1803" i="2"/>
  <c r="H1804" i="2"/>
  <c r="H1805" i="2"/>
  <c r="H1806" i="2"/>
  <c r="H1807" i="2"/>
  <c r="H1808" i="2"/>
  <c r="H1809" i="2"/>
  <c r="H1810" i="2"/>
  <c r="H1811" i="2"/>
  <c r="H1812" i="2"/>
  <c r="H1813" i="2"/>
  <c r="H1814" i="2"/>
  <c r="H1815" i="2"/>
  <c r="H1816" i="2"/>
  <c r="H1817" i="2"/>
  <c r="H1818" i="2"/>
  <c r="H1819" i="2"/>
  <c r="H1820" i="2"/>
  <c r="H1821" i="2"/>
  <c r="H1822" i="2"/>
  <c r="H1823" i="2"/>
  <c r="H1824" i="2"/>
  <c r="H1825" i="2"/>
  <c r="H1826" i="2"/>
  <c r="H1827" i="2"/>
  <c r="H1828" i="2"/>
  <c r="H1829" i="2"/>
  <c r="H1830" i="2"/>
  <c r="H1831" i="2"/>
  <c r="H1832" i="2"/>
  <c r="H1833" i="2"/>
  <c r="H1834" i="2"/>
  <c r="H1835" i="2"/>
  <c r="H1836" i="2"/>
  <c r="H1837" i="2"/>
  <c r="H1838" i="2"/>
  <c r="H1839" i="2"/>
  <c r="H1840" i="2"/>
  <c r="H1841" i="2"/>
  <c r="H1842" i="2"/>
  <c r="H1843" i="2"/>
  <c r="H1844" i="2"/>
  <c r="H1845" i="2"/>
  <c r="H1846" i="2"/>
  <c r="H1847" i="2"/>
  <c r="H1848" i="2"/>
  <c r="H1849" i="2"/>
  <c r="H1850" i="2"/>
  <c r="H1851" i="2"/>
  <c r="H1852" i="2"/>
  <c r="H1853" i="2"/>
  <c r="H1854" i="2"/>
  <c r="H1855" i="2"/>
  <c r="H1856" i="2"/>
  <c r="H1857" i="2"/>
  <c r="H1858" i="2"/>
  <c r="H1859" i="2"/>
  <c r="H1860" i="2"/>
  <c r="H1861" i="2"/>
  <c r="H1862" i="2"/>
  <c r="H1863" i="2"/>
  <c r="H1864" i="2"/>
  <c r="H1865" i="2"/>
  <c r="H1866" i="2"/>
  <c r="H1867" i="2"/>
  <c r="H1868" i="2"/>
  <c r="H1869" i="2"/>
  <c r="H1870" i="2"/>
  <c r="H1871" i="2"/>
  <c r="H1872" i="2"/>
  <c r="H1873" i="2"/>
  <c r="H1874" i="2"/>
  <c r="H1875" i="2"/>
  <c r="H1876" i="2"/>
  <c r="H1877" i="2"/>
  <c r="H1878" i="2"/>
  <c r="H1879" i="2"/>
  <c r="H1880" i="2"/>
  <c r="H1881" i="2"/>
  <c r="H1882" i="2"/>
  <c r="H1883" i="2"/>
  <c r="H1884" i="2"/>
  <c r="H1885" i="2"/>
  <c r="H1886" i="2"/>
  <c r="H1887" i="2"/>
  <c r="H1888" i="2"/>
  <c r="H1889" i="2"/>
  <c r="H1890" i="2"/>
  <c r="H1891" i="2"/>
  <c r="H1892" i="2"/>
  <c r="H1893" i="2"/>
  <c r="H1894" i="2"/>
  <c r="H1895" i="2"/>
  <c r="H1896" i="2"/>
  <c r="H1897" i="2"/>
  <c r="H1898" i="2"/>
  <c r="H1899" i="2"/>
  <c r="H1900" i="2"/>
  <c r="H1901" i="2"/>
  <c r="H1902" i="2"/>
  <c r="H1903" i="2"/>
  <c r="H1904" i="2"/>
  <c r="H1905" i="2"/>
  <c r="H1906" i="2"/>
  <c r="H1907" i="2"/>
  <c r="H1908" i="2"/>
  <c r="H1909" i="2"/>
  <c r="H1910" i="2"/>
  <c r="H1911" i="2"/>
  <c r="H1912" i="2"/>
  <c r="H1913" i="2"/>
  <c r="H1914" i="2"/>
  <c r="H1915" i="2"/>
  <c r="H1916" i="2"/>
  <c r="H1917" i="2"/>
  <c r="H1918" i="2"/>
  <c r="H1919" i="2"/>
  <c r="H1920" i="2"/>
  <c r="H1921" i="2"/>
  <c r="H1922" i="2"/>
  <c r="H1923" i="2"/>
  <c r="H1924" i="2"/>
  <c r="H1925" i="2"/>
  <c r="H1926" i="2"/>
  <c r="H1927" i="2"/>
  <c r="H1928" i="2"/>
  <c r="H1929" i="2"/>
  <c r="H1930" i="2"/>
  <c r="H1931" i="2"/>
  <c r="H1932" i="2"/>
  <c r="H1933" i="2"/>
  <c r="H1934" i="2"/>
  <c r="H1935" i="2"/>
  <c r="H1936" i="2"/>
  <c r="H1937" i="2"/>
  <c r="H1938" i="2"/>
  <c r="H1939" i="2"/>
  <c r="H1940" i="2"/>
  <c r="H1941" i="2"/>
  <c r="H1942" i="2"/>
  <c r="H1943" i="2"/>
  <c r="H1944" i="2"/>
  <c r="H1945" i="2"/>
  <c r="H1946" i="2"/>
  <c r="H1947" i="2"/>
  <c r="H1948" i="2"/>
  <c r="H1949" i="2"/>
  <c r="H1950" i="2"/>
  <c r="H1951" i="2"/>
  <c r="H1952" i="2"/>
  <c r="H1953" i="2"/>
  <c r="H1954" i="2"/>
  <c r="H1955" i="2"/>
  <c r="H1956" i="2"/>
  <c r="H1957" i="2"/>
  <c r="H1958" i="2"/>
  <c r="H1959" i="2"/>
  <c r="H1960" i="2"/>
  <c r="H1961" i="2"/>
  <c r="H1962" i="2"/>
  <c r="H1963" i="2"/>
  <c r="H1964" i="2"/>
  <c r="H1965" i="2"/>
  <c r="H1966" i="2"/>
  <c r="H1967" i="2"/>
  <c r="H1968" i="2"/>
  <c r="H1969" i="2"/>
  <c r="H1970" i="2"/>
  <c r="H1971" i="2"/>
  <c r="H1972" i="2"/>
  <c r="H1973" i="2"/>
  <c r="H1974" i="2"/>
  <c r="H1975" i="2"/>
  <c r="H1976" i="2"/>
  <c r="H1977" i="2"/>
  <c r="H1978" i="2"/>
  <c r="H1979" i="2"/>
  <c r="H1980" i="2"/>
  <c r="H1981" i="2"/>
  <c r="H1982" i="2"/>
  <c r="H1983" i="2"/>
  <c r="H1984" i="2"/>
  <c r="H1985" i="2"/>
  <c r="H1986" i="2"/>
  <c r="H1987" i="2"/>
  <c r="H1988" i="2"/>
  <c r="H1989" i="2"/>
  <c r="H1990" i="2"/>
  <c r="H1991" i="2"/>
  <c r="H1992" i="2"/>
  <c r="H1993" i="2"/>
  <c r="H1994" i="2"/>
  <c r="H1995" i="2"/>
  <c r="H1996" i="2"/>
  <c r="H1997" i="2"/>
  <c r="H1998" i="2"/>
  <c r="H1999" i="2"/>
  <c r="H2000" i="2"/>
  <c r="H2001" i="2"/>
  <c r="H2002" i="2"/>
  <c r="H2003" i="2"/>
  <c r="H2004" i="2"/>
  <c r="H2005" i="2"/>
  <c r="H2006" i="2"/>
  <c r="H2007" i="2"/>
  <c r="H2008" i="2"/>
  <c r="H2009" i="2"/>
  <c r="H2010" i="2"/>
  <c r="H2011" i="2"/>
  <c r="H2012" i="2"/>
  <c r="H2013" i="2"/>
  <c r="H2014" i="2"/>
  <c r="H2015" i="2"/>
  <c r="H2016" i="2"/>
  <c r="H2017" i="2"/>
  <c r="H2018" i="2"/>
  <c r="H2019" i="2"/>
  <c r="H2020" i="2"/>
  <c r="H2021" i="2"/>
  <c r="H2022" i="2"/>
  <c r="H2023" i="2"/>
  <c r="H2024" i="2"/>
  <c r="H2025" i="2"/>
  <c r="H2026" i="2"/>
  <c r="H2027" i="2"/>
  <c r="H2028" i="2"/>
  <c r="H2029" i="2"/>
  <c r="H2030" i="2"/>
  <c r="H2031" i="2"/>
  <c r="H2032" i="2"/>
  <c r="H2033" i="2"/>
  <c r="H2034" i="2"/>
  <c r="H2035" i="2"/>
  <c r="H2036" i="2"/>
  <c r="H2037" i="2"/>
  <c r="H2038" i="2"/>
  <c r="H2039" i="2"/>
  <c r="H2040" i="2"/>
  <c r="H2041" i="2"/>
  <c r="H2042" i="2"/>
  <c r="H2043" i="2"/>
  <c r="H2044" i="2"/>
  <c r="H2045" i="2"/>
  <c r="H2046" i="2"/>
  <c r="H2047" i="2"/>
  <c r="H2048" i="2"/>
  <c r="H2049" i="2"/>
  <c r="H2050" i="2"/>
  <c r="H2051" i="2"/>
  <c r="H2052" i="2"/>
  <c r="H2053" i="2"/>
  <c r="H2054" i="2"/>
  <c r="H2055" i="2"/>
  <c r="H2056" i="2"/>
  <c r="H2057" i="2"/>
  <c r="H2058" i="2"/>
  <c r="H2059" i="2"/>
  <c r="H2060" i="2"/>
  <c r="H2061" i="2"/>
  <c r="H2062" i="2"/>
  <c r="H2063" i="2"/>
  <c r="H2064" i="2"/>
  <c r="H2065" i="2"/>
  <c r="H2066" i="2"/>
  <c r="H2067" i="2"/>
  <c r="H2068" i="2"/>
  <c r="H2069" i="2"/>
  <c r="H2070" i="2"/>
  <c r="H2071" i="2"/>
  <c r="H2072" i="2"/>
  <c r="H2073" i="2"/>
  <c r="H2074" i="2"/>
  <c r="H2075" i="2"/>
  <c r="H2076" i="2"/>
  <c r="H2077" i="2"/>
  <c r="H2078" i="2"/>
  <c r="H2079" i="2"/>
  <c r="H2080" i="2"/>
  <c r="H2081" i="2"/>
  <c r="H2082" i="2"/>
  <c r="H2083" i="2"/>
  <c r="H2084" i="2"/>
  <c r="H2085" i="2"/>
  <c r="H2086" i="2"/>
  <c r="H2087" i="2"/>
  <c r="H2088" i="2"/>
  <c r="H2089" i="2"/>
  <c r="H2090" i="2"/>
  <c r="H2091" i="2"/>
  <c r="H2092" i="2"/>
  <c r="H2093" i="2"/>
  <c r="H2094" i="2"/>
  <c r="H2095" i="2"/>
  <c r="H2096" i="2"/>
  <c r="H2097" i="2"/>
  <c r="H2098" i="2"/>
  <c r="H2099" i="2"/>
  <c r="H2100" i="2"/>
  <c r="H2101" i="2"/>
  <c r="H2102" i="2"/>
  <c r="H2103" i="2"/>
  <c r="H2104" i="2"/>
  <c r="H2105" i="2"/>
  <c r="H2106" i="2"/>
  <c r="H2107" i="2"/>
  <c r="H2108" i="2"/>
  <c r="H2109" i="2"/>
  <c r="H2110" i="2"/>
  <c r="H2111" i="2"/>
  <c r="H2112" i="2"/>
  <c r="H2113" i="2"/>
  <c r="H2114" i="2"/>
  <c r="H2115" i="2"/>
  <c r="H2116" i="2"/>
  <c r="H2117" i="2"/>
  <c r="H2118" i="2"/>
  <c r="H2119" i="2"/>
  <c r="H2120" i="2"/>
  <c r="H2121" i="2"/>
  <c r="H2122" i="2"/>
  <c r="H2123" i="2"/>
  <c r="H2124" i="2"/>
  <c r="H2125" i="2"/>
  <c r="H2126" i="2"/>
  <c r="H2127" i="2"/>
  <c r="H2128" i="2"/>
  <c r="H2129" i="2"/>
  <c r="H2130" i="2"/>
  <c r="H2131" i="2"/>
  <c r="H2132" i="2"/>
  <c r="H2133" i="2"/>
  <c r="H2134" i="2"/>
  <c r="H2135" i="2"/>
  <c r="H2136" i="2"/>
  <c r="H2137" i="2"/>
  <c r="H2138" i="2"/>
  <c r="H2139" i="2"/>
  <c r="H2140" i="2"/>
  <c r="H2141" i="2"/>
  <c r="H2142" i="2"/>
  <c r="H2143" i="2"/>
  <c r="H2144" i="2"/>
  <c r="H2145" i="2"/>
  <c r="H2146" i="2"/>
  <c r="H2147" i="2"/>
  <c r="H2148" i="2"/>
  <c r="H2149" i="2"/>
  <c r="H2150" i="2"/>
  <c r="H2151" i="2"/>
  <c r="H2152" i="2"/>
  <c r="H2153" i="2"/>
  <c r="H2154" i="2"/>
  <c r="H2155" i="2"/>
  <c r="H2156" i="2"/>
  <c r="H2157" i="2"/>
  <c r="H2158" i="2"/>
  <c r="H2159" i="2"/>
  <c r="H2160" i="2"/>
  <c r="H2161" i="2"/>
  <c r="H2162" i="2"/>
  <c r="H2163" i="2"/>
  <c r="H2164" i="2"/>
  <c r="H2165" i="2"/>
  <c r="H2166" i="2"/>
  <c r="H2167" i="2"/>
  <c r="H2168" i="2"/>
  <c r="H3" i="2"/>
  <c r="E93" i="2"/>
  <c r="E3" i="2"/>
  <c r="C52" i="2" l="1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1091" i="2"/>
  <c r="C1092" i="2"/>
  <c r="C1093" i="2"/>
  <c r="C1094" i="2"/>
  <c r="C1095" i="2"/>
  <c r="C1096" i="2"/>
  <c r="C1097" i="2"/>
  <c r="C1098" i="2"/>
  <c r="C1099" i="2"/>
  <c r="C1100" i="2"/>
  <c r="C1101" i="2"/>
  <c r="C1102" i="2"/>
  <c r="C1103" i="2"/>
  <c r="C1104" i="2"/>
  <c r="C1105" i="2"/>
  <c r="C1106" i="2"/>
  <c r="C1107" i="2"/>
  <c r="C1108" i="2"/>
  <c r="C1109" i="2"/>
  <c r="C1110" i="2"/>
  <c r="C1111" i="2"/>
  <c r="C1112" i="2"/>
  <c r="C1113" i="2"/>
  <c r="C1114" i="2"/>
  <c r="C1115" i="2"/>
  <c r="C1116" i="2"/>
  <c r="C1117" i="2"/>
  <c r="C1118" i="2"/>
  <c r="C1119" i="2"/>
  <c r="C1120" i="2"/>
  <c r="C1121" i="2"/>
  <c r="C1122" i="2"/>
  <c r="C1123" i="2"/>
  <c r="C1124" i="2"/>
  <c r="C1125" i="2"/>
  <c r="C1126" i="2"/>
  <c r="C1127" i="2"/>
  <c r="C1128" i="2"/>
  <c r="C1129" i="2"/>
  <c r="C1130" i="2"/>
  <c r="C1131" i="2"/>
  <c r="C1132" i="2"/>
  <c r="C1133" i="2"/>
  <c r="C1134" i="2"/>
  <c r="C1135" i="2"/>
  <c r="C1136" i="2"/>
  <c r="C1137" i="2"/>
  <c r="C1138" i="2"/>
  <c r="C1139" i="2"/>
  <c r="C1140" i="2"/>
  <c r="C1141" i="2"/>
  <c r="C1142" i="2"/>
  <c r="C1143" i="2"/>
  <c r="C1144" i="2"/>
  <c r="C1145" i="2"/>
  <c r="C1146" i="2"/>
  <c r="C1147" i="2"/>
  <c r="C1148" i="2"/>
  <c r="C1149" i="2"/>
  <c r="C1150" i="2"/>
  <c r="C1151" i="2"/>
  <c r="C1152" i="2"/>
  <c r="C1153" i="2"/>
  <c r="C1154" i="2"/>
  <c r="C1155" i="2"/>
  <c r="C1156" i="2"/>
  <c r="C1157" i="2"/>
  <c r="C1158" i="2"/>
  <c r="C1159" i="2"/>
  <c r="C1160" i="2"/>
  <c r="C1161" i="2"/>
  <c r="C1162" i="2"/>
  <c r="C1163" i="2"/>
  <c r="C1164" i="2"/>
  <c r="C1165" i="2"/>
  <c r="C1166" i="2"/>
  <c r="C1167" i="2"/>
  <c r="C1168" i="2"/>
  <c r="C1169" i="2"/>
  <c r="C1170" i="2"/>
  <c r="C1171" i="2"/>
  <c r="C1172" i="2"/>
  <c r="C1173" i="2"/>
  <c r="C1174" i="2"/>
  <c r="C1175" i="2"/>
  <c r="C1176" i="2"/>
  <c r="C1177" i="2"/>
  <c r="C1178" i="2"/>
  <c r="C1179" i="2"/>
  <c r="C1180" i="2"/>
  <c r="C1181" i="2"/>
  <c r="C1182" i="2"/>
  <c r="C1183" i="2"/>
  <c r="C1184" i="2"/>
  <c r="C1185" i="2"/>
  <c r="C1186" i="2"/>
  <c r="C1187" i="2"/>
  <c r="C1188" i="2"/>
  <c r="C1189" i="2"/>
  <c r="C1190" i="2"/>
  <c r="C1191" i="2"/>
  <c r="C1192" i="2"/>
  <c r="C1193" i="2"/>
  <c r="C1194" i="2"/>
  <c r="C1195" i="2"/>
  <c r="C1196" i="2"/>
  <c r="C1197" i="2"/>
  <c r="C1198" i="2"/>
  <c r="C1199" i="2"/>
  <c r="C1200" i="2"/>
  <c r="C1201" i="2"/>
  <c r="C1202" i="2"/>
  <c r="C1203" i="2"/>
  <c r="C1204" i="2"/>
  <c r="C1205" i="2"/>
  <c r="C1206" i="2"/>
  <c r="C1207" i="2"/>
  <c r="C1208" i="2"/>
  <c r="C1209" i="2"/>
  <c r="C1210" i="2"/>
  <c r="C1211" i="2"/>
  <c r="C1212" i="2"/>
  <c r="C1213" i="2"/>
  <c r="C1214" i="2"/>
  <c r="C1215" i="2"/>
  <c r="C1216" i="2"/>
  <c r="C1217" i="2"/>
  <c r="C1218" i="2"/>
  <c r="C1219" i="2"/>
  <c r="C1220" i="2"/>
  <c r="C1221" i="2"/>
  <c r="C1222" i="2"/>
  <c r="C1223" i="2"/>
  <c r="C1224" i="2"/>
  <c r="C1225" i="2"/>
  <c r="C1226" i="2"/>
  <c r="C1227" i="2"/>
  <c r="C1228" i="2"/>
  <c r="C1229" i="2"/>
  <c r="C1230" i="2"/>
  <c r="C1231" i="2"/>
  <c r="C1232" i="2"/>
  <c r="C1233" i="2"/>
  <c r="C1234" i="2"/>
  <c r="C1235" i="2"/>
  <c r="C1236" i="2"/>
  <c r="C1237" i="2"/>
  <c r="C1238" i="2"/>
  <c r="C1239" i="2"/>
  <c r="C1240" i="2"/>
  <c r="C1241" i="2"/>
  <c r="C1242" i="2"/>
  <c r="C1243" i="2"/>
  <c r="C1244" i="2"/>
  <c r="C1245" i="2"/>
  <c r="C1246" i="2"/>
  <c r="C1247" i="2"/>
  <c r="C1248" i="2"/>
  <c r="C1249" i="2"/>
  <c r="C1250" i="2"/>
  <c r="C1251" i="2"/>
  <c r="C1252" i="2"/>
  <c r="C1253" i="2"/>
  <c r="C1254" i="2"/>
  <c r="C1255" i="2"/>
  <c r="C1256" i="2"/>
  <c r="C1257" i="2"/>
  <c r="C1258" i="2"/>
  <c r="C1259" i="2"/>
  <c r="C1260" i="2"/>
  <c r="C1261" i="2"/>
  <c r="C1262" i="2"/>
  <c r="C1263" i="2"/>
  <c r="C1264" i="2"/>
  <c r="C1265" i="2"/>
  <c r="C1266" i="2"/>
  <c r="C1267" i="2"/>
  <c r="C1268" i="2"/>
  <c r="C1269" i="2"/>
  <c r="C1270" i="2"/>
  <c r="C1271" i="2"/>
  <c r="C1272" i="2"/>
  <c r="C1273" i="2"/>
  <c r="C1274" i="2"/>
  <c r="C1275" i="2"/>
  <c r="C1276" i="2"/>
  <c r="C1277" i="2"/>
  <c r="C1278" i="2"/>
  <c r="C1279" i="2"/>
  <c r="C1280" i="2"/>
  <c r="C1281" i="2"/>
  <c r="C1282" i="2"/>
  <c r="C1283" i="2"/>
  <c r="C1284" i="2"/>
  <c r="C1285" i="2"/>
  <c r="C1286" i="2"/>
  <c r="C1287" i="2"/>
  <c r="C1288" i="2"/>
  <c r="C1289" i="2"/>
  <c r="C1290" i="2"/>
  <c r="C1291" i="2"/>
  <c r="C1292" i="2"/>
  <c r="C1293" i="2"/>
  <c r="C1294" i="2"/>
  <c r="C1295" i="2"/>
  <c r="C1296" i="2"/>
  <c r="C1297" i="2"/>
  <c r="C1298" i="2"/>
  <c r="C1299" i="2"/>
  <c r="C1300" i="2"/>
  <c r="C1301" i="2"/>
  <c r="C1302" i="2"/>
  <c r="C1303" i="2"/>
  <c r="C1304" i="2"/>
  <c r="C1305" i="2"/>
  <c r="C1306" i="2"/>
  <c r="C1307" i="2"/>
  <c r="C1308" i="2"/>
  <c r="C1309" i="2"/>
  <c r="C1310" i="2"/>
  <c r="C1311" i="2"/>
  <c r="C1312" i="2"/>
  <c r="C1313" i="2"/>
  <c r="C1314" i="2"/>
  <c r="C1315" i="2"/>
  <c r="C1316" i="2"/>
  <c r="C1317" i="2"/>
  <c r="C1318" i="2"/>
  <c r="C1319" i="2"/>
  <c r="C1320" i="2"/>
  <c r="C1321" i="2"/>
  <c r="C1322" i="2"/>
  <c r="C1323" i="2"/>
  <c r="C1324" i="2"/>
  <c r="C1325" i="2"/>
  <c r="C1326" i="2"/>
  <c r="C1327" i="2"/>
  <c r="C1328" i="2"/>
  <c r="C1329" i="2"/>
  <c r="C1330" i="2"/>
  <c r="C1331" i="2"/>
  <c r="C1332" i="2"/>
  <c r="C1333" i="2"/>
  <c r="C1334" i="2"/>
  <c r="C1335" i="2"/>
  <c r="C1336" i="2"/>
  <c r="C1337" i="2"/>
  <c r="C1338" i="2"/>
  <c r="C1339" i="2"/>
  <c r="C1340" i="2"/>
  <c r="C1341" i="2"/>
  <c r="C1342" i="2"/>
  <c r="C1343" i="2"/>
  <c r="C1344" i="2"/>
  <c r="C1345" i="2"/>
  <c r="C1346" i="2"/>
  <c r="C1347" i="2"/>
  <c r="C1348" i="2"/>
  <c r="C1349" i="2"/>
  <c r="C1350" i="2"/>
  <c r="C1351" i="2"/>
  <c r="C1352" i="2"/>
  <c r="C1353" i="2"/>
  <c r="C1354" i="2"/>
  <c r="C1355" i="2"/>
  <c r="C1356" i="2"/>
  <c r="C1357" i="2"/>
  <c r="C1358" i="2"/>
  <c r="C1359" i="2"/>
  <c r="C1360" i="2"/>
  <c r="C1361" i="2"/>
  <c r="C1362" i="2"/>
  <c r="C1363" i="2"/>
  <c r="C1364" i="2"/>
  <c r="C1365" i="2"/>
  <c r="C1366" i="2"/>
  <c r="C1367" i="2"/>
  <c r="C1368" i="2"/>
  <c r="C1369" i="2"/>
  <c r="C1370" i="2"/>
  <c r="C1371" i="2"/>
  <c r="C1372" i="2"/>
  <c r="C1373" i="2"/>
  <c r="C1374" i="2"/>
  <c r="C1375" i="2"/>
  <c r="C1376" i="2"/>
  <c r="C1377" i="2"/>
  <c r="C1378" i="2"/>
  <c r="C1379" i="2"/>
  <c r="C1380" i="2"/>
  <c r="C1381" i="2"/>
  <c r="C1382" i="2"/>
  <c r="C1383" i="2"/>
  <c r="C1384" i="2"/>
  <c r="C1385" i="2"/>
  <c r="C1386" i="2"/>
  <c r="C1387" i="2"/>
  <c r="C1388" i="2"/>
  <c r="C1389" i="2"/>
  <c r="C1390" i="2"/>
  <c r="C1391" i="2"/>
  <c r="C1392" i="2"/>
  <c r="C1393" i="2"/>
  <c r="C1394" i="2"/>
  <c r="C1395" i="2"/>
  <c r="C1396" i="2"/>
  <c r="C1397" i="2"/>
  <c r="C1398" i="2"/>
  <c r="C1399" i="2"/>
  <c r="C1400" i="2"/>
  <c r="C1401" i="2"/>
  <c r="C1402" i="2"/>
  <c r="C1403" i="2"/>
  <c r="C1404" i="2"/>
  <c r="C1405" i="2"/>
  <c r="C1406" i="2"/>
  <c r="C1407" i="2"/>
  <c r="C1408" i="2"/>
  <c r="C1409" i="2"/>
  <c r="C1410" i="2"/>
  <c r="C1411" i="2"/>
  <c r="C1412" i="2"/>
  <c r="C1413" i="2"/>
  <c r="C1414" i="2"/>
  <c r="C1415" i="2"/>
  <c r="C1416" i="2"/>
  <c r="C1417" i="2"/>
  <c r="C1418" i="2"/>
  <c r="C1419" i="2"/>
  <c r="C1420" i="2"/>
  <c r="C1421" i="2"/>
  <c r="C1422" i="2"/>
  <c r="C1423" i="2"/>
  <c r="C1424" i="2"/>
  <c r="C1425" i="2"/>
  <c r="C1426" i="2"/>
  <c r="C1427" i="2"/>
  <c r="C1428" i="2"/>
  <c r="C1429" i="2"/>
  <c r="C1430" i="2"/>
  <c r="C1431" i="2"/>
  <c r="C1432" i="2"/>
  <c r="C1433" i="2"/>
  <c r="C1434" i="2"/>
  <c r="C1435" i="2"/>
  <c r="C1436" i="2"/>
  <c r="C1437" i="2"/>
  <c r="C1438" i="2"/>
  <c r="C1439" i="2"/>
  <c r="C1440" i="2"/>
  <c r="C1441" i="2"/>
  <c r="C1442" i="2"/>
  <c r="C1443" i="2"/>
  <c r="C1444" i="2"/>
  <c r="C1445" i="2"/>
  <c r="C1446" i="2"/>
  <c r="C1447" i="2"/>
  <c r="C1448" i="2"/>
  <c r="C1449" i="2"/>
  <c r="C1450" i="2"/>
  <c r="C1451" i="2"/>
  <c r="C1452" i="2"/>
  <c r="C1453" i="2"/>
  <c r="C1454" i="2"/>
  <c r="C1455" i="2"/>
  <c r="C1456" i="2"/>
  <c r="C1457" i="2"/>
  <c r="C1458" i="2"/>
  <c r="C1459" i="2"/>
  <c r="C1460" i="2"/>
  <c r="C1461" i="2"/>
  <c r="C1462" i="2"/>
  <c r="C1463" i="2"/>
  <c r="C1464" i="2"/>
  <c r="C1465" i="2"/>
  <c r="C1466" i="2"/>
  <c r="C1467" i="2"/>
  <c r="C1468" i="2"/>
  <c r="C1469" i="2"/>
  <c r="C1470" i="2"/>
  <c r="C1471" i="2"/>
  <c r="C1472" i="2"/>
  <c r="C1473" i="2"/>
  <c r="C1474" i="2"/>
  <c r="C1475" i="2"/>
  <c r="C1476" i="2"/>
  <c r="C1477" i="2"/>
  <c r="C1478" i="2"/>
  <c r="C1479" i="2"/>
  <c r="C1480" i="2"/>
  <c r="C1481" i="2"/>
  <c r="C1482" i="2"/>
  <c r="C1483" i="2"/>
  <c r="C1484" i="2"/>
  <c r="C1485" i="2"/>
  <c r="C1486" i="2"/>
  <c r="C1487" i="2"/>
  <c r="C1488" i="2"/>
  <c r="C1489" i="2"/>
  <c r="C1490" i="2"/>
  <c r="C1491" i="2"/>
  <c r="C1492" i="2"/>
  <c r="C1493" i="2"/>
  <c r="C1494" i="2"/>
  <c r="C1495" i="2"/>
  <c r="C1496" i="2"/>
  <c r="C1497" i="2"/>
  <c r="C1498" i="2"/>
  <c r="C1499" i="2"/>
  <c r="C1500" i="2"/>
  <c r="C1501" i="2"/>
  <c r="C1502" i="2"/>
  <c r="C1503" i="2"/>
  <c r="C1504" i="2"/>
  <c r="C1505" i="2"/>
  <c r="C1506" i="2"/>
  <c r="C1507" i="2"/>
  <c r="C1508" i="2"/>
  <c r="C1509" i="2"/>
  <c r="C1510" i="2"/>
  <c r="C1511" i="2"/>
  <c r="C1512" i="2"/>
  <c r="C1513" i="2"/>
  <c r="C1514" i="2"/>
  <c r="C1515" i="2"/>
  <c r="C1516" i="2"/>
  <c r="C1517" i="2"/>
  <c r="C1518" i="2"/>
  <c r="C1519" i="2"/>
  <c r="C1520" i="2"/>
  <c r="C1521" i="2"/>
  <c r="C1522" i="2"/>
  <c r="C1523" i="2"/>
  <c r="C1524" i="2"/>
  <c r="C1525" i="2"/>
  <c r="C1526" i="2"/>
  <c r="C1527" i="2"/>
  <c r="C1528" i="2"/>
  <c r="C1529" i="2"/>
  <c r="C1530" i="2"/>
  <c r="C1531" i="2"/>
  <c r="C1532" i="2"/>
  <c r="C1533" i="2"/>
  <c r="C1534" i="2"/>
  <c r="C1535" i="2"/>
  <c r="C1536" i="2"/>
  <c r="C1537" i="2"/>
  <c r="C1538" i="2"/>
  <c r="C1539" i="2"/>
  <c r="C1540" i="2"/>
  <c r="C1541" i="2"/>
  <c r="C1542" i="2"/>
  <c r="C1543" i="2"/>
  <c r="C1544" i="2"/>
  <c r="C1545" i="2"/>
  <c r="C1546" i="2"/>
  <c r="C1547" i="2"/>
  <c r="C1548" i="2"/>
  <c r="C1549" i="2"/>
  <c r="C1550" i="2"/>
  <c r="C1551" i="2"/>
  <c r="C1552" i="2"/>
  <c r="C1553" i="2"/>
  <c r="C1554" i="2"/>
  <c r="C1555" i="2"/>
  <c r="C1556" i="2"/>
  <c r="C1557" i="2"/>
  <c r="C1558" i="2"/>
  <c r="C1559" i="2"/>
  <c r="C1560" i="2"/>
  <c r="C1561" i="2"/>
  <c r="C1562" i="2"/>
  <c r="C1563" i="2"/>
  <c r="C1564" i="2"/>
  <c r="C1565" i="2"/>
  <c r="C1566" i="2"/>
  <c r="C1567" i="2"/>
  <c r="C1568" i="2"/>
  <c r="C1569" i="2"/>
  <c r="C1570" i="2"/>
  <c r="C1571" i="2"/>
  <c r="C1572" i="2"/>
  <c r="C1573" i="2"/>
  <c r="C1574" i="2"/>
  <c r="C1575" i="2"/>
  <c r="C1576" i="2"/>
  <c r="C1577" i="2"/>
  <c r="C1578" i="2"/>
  <c r="C1579" i="2"/>
  <c r="C1580" i="2"/>
  <c r="C1581" i="2"/>
  <c r="C1582" i="2"/>
  <c r="C1583" i="2"/>
  <c r="C1584" i="2"/>
  <c r="C1585" i="2"/>
  <c r="C1586" i="2"/>
  <c r="C1587" i="2"/>
  <c r="C1588" i="2"/>
  <c r="C1589" i="2"/>
  <c r="C1590" i="2"/>
  <c r="C1591" i="2"/>
  <c r="C1592" i="2"/>
  <c r="C1593" i="2"/>
  <c r="C1594" i="2"/>
  <c r="C1595" i="2"/>
  <c r="C1596" i="2"/>
  <c r="C1597" i="2"/>
  <c r="C1598" i="2"/>
  <c r="C1599" i="2"/>
  <c r="C1600" i="2"/>
  <c r="C1601" i="2"/>
  <c r="C1602" i="2"/>
  <c r="C1603" i="2"/>
  <c r="C1604" i="2"/>
  <c r="C1605" i="2"/>
  <c r="C1606" i="2"/>
  <c r="C1607" i="2"/>
  <c r="C1608" i="2"/>
  <c r="C1609" i="2"/>
  <c r="C1610" i="2"/>
  <c r="C1611" i="2"/>
  <c r="C1612" i="2"/>
  <c r="C1613" i="2"/>
  <c r="C1614" i="2"/>
  <c r="C1615" i="2"/>
  <c r="C1616" i="2"/>
  <c r="C1617" i="2"/>
  <c r="C1618" i="2"/>
  <c r="C1619" i="2"/>
  <c r="C1620" i="2"/>
  <c r="C1621" i="2"/>
  <c r="C1622" i="2"/>
  <c r="C1623" i="2"/>
  <c r="C1624" i="2"/>
  <c r="C1625" i="2"/>
  <c r="C1626" i="2"/>
  <c r="C1627" i="2"/>
  <c r="C1628" i="2"/>
  <c r="C1629" i="2"/>
  <c r="C1630" i="2"/>
  <c r="C1631" i="2"/>
  <c r="C1632" i="2"/>
  <c r="C1633" i="2"/>
  <c r="C1634" i="2"/>
  <c r="C1635" i="2"/>
  <c r="C1636" i="2"/>
  <c r="C1637" i="2"/>
  <c r="C1638" i="2"/>
  <c r="C1639" i="2"/>
  <c r="C1640" i="2"/>
  <c r="C1641" i="2"/>
  <c r="C1642" i="2"/>
  <c r="C1643" i="2"/>
  <c r="C1644" i="2"/>
  <c r="C1645" i="2"/>
  <c r="C1646" i="2"/>
  <c r="C1647" i="2"/>
  <c r="C1648" i="2"/>
  <c r="C1649" i="2"/>
  <c r="C1650" i="2"/>
  <c r="C1651" i="2"/>
  <c r="C1652" i="2"/>
  <c r="C1653" i="2"/>
  <c r="C1654" i="2"/>
  <c r="C1655" i="2"/>
  <c r="C1656" i="2"/>
  <c r="C1657" i="2"/>
  <c r="C1658" i="2"/>
  <c r="C1659" i="2"/>
  <c r="C1660" i="2"/>
  <c r="C1661" i="2"/>
  <c r="C1662" i="2"/>
  <c r="C1663" i="2"/>
  <c r="C1664" i="2"/>
  <c r="C1665" i="2"/>
  <c r="C1666" i="2"/>
  <c r="C1667" i="2"/>
  <c r="C1668" i="2"/>
  <c r="C1669" i="2"/>
  <c r="C1670" i="2"/>
  <c r="C1671" i="2"/>
  <c r="C1672" i="2"/>
  <c r="C1673" i="2"/>
  <c r="C1674" i="2"/>
  <c r="C1675" i="2"/>
  <c r="C1676" i="2"/>
  <c r="C1677" i="2"/>
  <c r="C1678" i="2"/>
  <c r="C1679" i="2"/>
  <c r="C1680" i="2"/>
  <c r="C1681" i="2"/>
  <c r="C1682" i="2"/>
  <c r="C1683" i="2"/>
  <c r="C1684" i="2"/>
  <c r="C1685" i="2"/>
  <c r="C1686" i="2"/>
  <c r="C1687" i="2"/>
  <c r="C1688" i="2"/>
  <c r="C1689" i="2"/>
  <c r="C1690" i="2"/>
  <c r="C1691" i="2"/>
  <c r="C1692" i="2"/>
  <c r="C1693" i="2"/>
  <c r="C1694" i="2"/>
  <c r="C1695" i="2"/>
  <c r="C1696" i="2"/>
  <c r="C1697" i="2"/>
  <c r="C1698" i="2"/>
  <c r="C1699" i="2"/>
  <c r="C1700" i="2"/>
  <c r="C1701" i="2"/>
  <c r="C1702" i="2"/>
  <c r="C1703" i="2"/>
  <c r="C1704" i="2"/>
  <c r="C1705" i="2"/>
  <c r="C1706" i="2"/>
  <c r="C1707" i="2"/>
  <c r="C1708" i="2"/>
  <c r="C1709" i="2"/>
  <c r="C1710" i="2"/>
  <c r="C1711" i="2"/>
  <c r="C1712" i="2"/>
  <c r="C1713" i="2"/>
  <c r="C1714" i="2"/>
  <c r="C1715" i="2"/>
  <c r="C1716" i="2"/>
  <c r="C1717" i="2"/>
  <c r="C1718" i="2"/>
  <c r="C1719" i="2"/>
  <c r="C1720" i="2"/>
  <c r="C1721" i="2"/>
  <c r="C1722" i="2"/>
  <c r="C1723" i="2"/>
  <c r="C1724" i="2"/>
  <c r="C1725" i="2"/>
  <c r="C1726" i="2"/>
  <c r="C1727" i="2"/>
  <c r="C1728" i="2"/>
  <c r="C1729" i="2"/>
  <c r="C1730" i="2"/>
  <c r="C1731" i="2"/>
  <c r="C1732" i="2"/>
  <c r="C1733" i="2"/>
  <c r="C1734" i="2"/>
  <c r="C1735" i="2"/>
  <c r="C1736" i="2"/>
  <c r="C1737" i="2"/>
  <c r="C1738" i="2"/>
  <c r="C1739" i="2"/>
  <c r="C1740" i="2"/>
  <c r="C1741" i="2"/>
  <c r="C1742" i="2"/>
  <c r="C1743" i="2"/>
  <c r="C1744" i="2"/>
  <c r="C1745" i="2"/>
  <c r="C1746" i="2"/>
  <c r="C1747" i="2"/>
  <c r="C1748" i="2"/>
  <c r="C1749" i="2"/>
  <c r="C1750" i="2"/>
  <c r="C1751" i="2"/>
  <c r="C1752" i="2"/>
  <c r="C1753" i="2"/>
  <c r="C1754" i="2"/>
  <c r="C1755" i="2"/>
  <c r="C1756" i="2"/>
  <c r="C1757" i="2"/>
  <c r="C1758" i="2"/>
  <c r="C1759" i="2"/>
  <c r="C1760" i="2"/>
  <c r="C1761" i="2"/>
  <c r="C1762" i="2"/>
  <c r="C1763" i="2"/>
  <c r="C1764" i="2"/>
  <c r="C1765" i="2"/>
  <c r="C1766" i="2"/>
  <c r="C1767" i="2"/>
  <c r="C1768" i="2"/>
  <c r="C1769" i="2"/>
  <c r="C1770" i="2"/>
  <c r="C1771" i="2"/>
  <c r="C1772" i="2"/>
  <c r="C1773" i="2"/>
  <c r="C1774" i="2"/>
  <c r="C1775" i="2"/>
  <c r="C1776" i="2"/>
  <c r="C1777" i="2"/>
  <c r="C1778" i="2"/>
  <c r="C1779" i="2"/>
  <c r="C1780" i="2"/>
  <c r="C1781" i="2"/>
  <c r="C1782" i="2"/>
  <c r="C1783" i="2"/>
  <c r="C1784" i="2"/>
  <c r="C1785" i="2"/>
  <c r="C1786" i="2"/>
  <c r="C1787" i="2"/>
  <c r="C1788" i="2"/>
  <c r="C1789" i="2"/>
  <c r="C1790" i="2"/>
  <c r="C1791" i="2"/>
  <c r="C1792" i="2"/>
  <c r="C1793" i="2"/>
  <c r="C1794" i="2"/>
  <c r="C1795" i="2"/>
  <c r="C1796" i="2"/>
  <c r="C1797" i="2"/>
  <c r="C1798" i="2"/>
  <c r="C1799" i="2"/>
  <c r="C1800" i="2"/>
  <c r="C1801" i="2"/>
  <c r="C1802" i="2"/>
  <c r="C1803" i="2"/>
  <c r="C1804" i="2"/>
  <c r="C1805" i="2"/>
  <c r="C1806" i="2"/>
  <c r="C1807" i="2"/>
  <c r="C1808" i="2"/>
  <c r="C1809" i="2"/>
  <c r="C1810" i="2"/>
  <c r="C1811" i="2"/>
  <c r="C1812" i="2"/>
  <c r="C1813" i="2"/>
  <c r="C1814" i="2"/>
  <c r="C1815" i="2"/>
  <c r="C1816" i="2"/>
  <c r="C1817" i="2"/>
  <c r="C1818" i="2"/>
  <c r="C1819" i="2"/>
  <c r="C1820" i="2"/>
  <c r="C1821" i="2"/>
  <c r="C1822" i="2"/>
  <c r="C1823" i="2"/>
  <c r="C1824" i="2"/>
  <c r="C1825" i="2"/>
  <c r="C1826" i="2"/>
  <c r="C1827" i="2"/>
  <c r="C1828" i="2"/>
  <c r="C1829" i="2"/>
  <c r="C1830" i="2"/>
  <c r="C1831" i="2"/>
  <c r="C1832" i="2"/>
  <c r="C1833" i="2"/>
  <c r="C1834" i="2"/>
  <c r="C1835" i="2"/>
  <c r="C1836" i="2"/>
  <c r="C1837" i="2"/>
  <c r="C1838" i="2"/>
  <c r="C1839" i="2"/>
  <c r="C1840" i="2"/>
  <c r="C1841" i="2"/>
  <c r="C1842" i="2"/>
  <c r="C1843" i="2"/>
  <c r="C1844" i="2"/>
  <c r="C1845" i="2"/>
  <c r="C1846" i="2"/>
  <c r="C1847" i="2"/>
  <c r="C1848" i="2"/>
  <c r="C1849" i="2"/>
  <c r="C1850" i="2"/>
  <c r="C1851" i="2"/>
  <c r="C1852" i="2"/>
  <c r="C1853" i="2"/>
  <c r="C1854" i="2"/>
  <c r="C1855" i="2"/>
  <c r="C1856" i="2"/>
  <c r="C1857" i="2"/>
  <c r="C1858" i="2"/>
  <c r="C1859" i="2"/>
  <c r="C1860" i="2"/>
  <c r="C1861" i="2"/>
  <c r="C1862" i="2"/>
  <c r="C1863" i="2"/>
  <c r="C1864" i="2"/>
  <c r="C1865" i="2"/>
  <c r="C1866" i="2"/>
  <c r="C1867" i="2"/>
  <c r="C1868" i="2"/>
  <c r="C1869" i="2"/>
  <c r="C1870" i="2"/>
  <c r="C1871" i="2"/>
  <c r="C1872" i="2"/>
  <c r="C1873" i="2"/>
  <c r="C1874" i="2"/>
  <c r="C1875" i="2"/>
  <c r="C1876" i="2"/>
  <c r="C1877" i="2"/>
  <c r="C1878" i="2"/>
  <c r="C1879" i="2"/>
  <c r="C1880" i="2"/>
  <c r="C1881" i="2"/>
  <c r="C1882" i="2"/>
  <c r="C1883" i="2"/>
  <c r="C1884" i="2"/>
  <c r="C1885" i="2"/>
  <c r="C1886" i="2"/>
  <c r="C1887" i="2"/>
  <c r="C1888" i="2"/>
  <c r="C1889" i="2"/>
  <c r="C1890" i="2"/>
  <c r="C1891" i="2"/>
  <c r="C1892" i="2"/>
  <c r="C1893" i="2"/>
  <c r="C1894" i="2"/>
  <c r="C1895" i="2"/>
  <c r="C1896" i="2"/>
  <c r="C1897" i="2"/>
  <c r="C1898" i="2"/>
  <c r="C1899" i="2"/>
  <c r="C1900" i="2"/>
  <c r="C1901" i="2"/>
  <c r="C1902" i="2"/>
  <c r="C1903" i="2"/>
  <c r="C1904" i="2"/>
  <c r="C1905" i="2"/>
  <c r="C1906" i="2"/>
  <c r="C1907" i="2"/>
  <c r="C1908" i="2"/>
  <c r="C1909" i="2"/>
  <c r="C1910" i="2"/>
  <c r="C1911" i="2"/>
  <c r="C1912" i="2"/>
  <c r="C1913" i="2"/>
  <c r="C1914" i="2"/>
  <c r="C1915" i="2"/>
  <c r="C1916" i="2"/>
  <c r="C1917" i="2"/>
  <c r="C1918" i="2"/>
  <c r="C1919" i="2"/>
  <c r="C1920" i="2"/>
  <c r="C1921" i="2"/>
  <c r="C1922" i="2"/>
  <c r="C1923" i="2"/>
  <c r="C1924" i="2"/>
  <c r="C1925" i="2"/>
  <c r="C1926" i="2"/>
  <c r="C1927" i="2"/>
  <c r="C1928" i="2"/>
  <c r="C1929" i="2"/>
  <c r="C1930" i="2"/>
  <c r="C1931" i="2"/>
  <c r="C1932" i="2"/>
  <c r="C1933" i="2"/>
  <c r="C1934" i="2"/>
  <c r="C1935" i="2"/>
  <c r="C1936" i="2"/>
  <c r="C1937" i="2"/>
  <c r="C1938" i="2"/>
  <c r="C1939" i="2"/>
  <c r="C1940" i="2"/>
  <c r="C1941" i="2"/>
  <c r="C1942" i="2"/>
  <c r="C1943" i="2"/>
  <c r="C1944" i="2"/>
  <c r="C1945" i="2"/>
  <c r="C1946" i="2"/>
  <c r="C1947" i="2"/>
  <c r="C1948" i="2"/>
  <c r="C1949" i="2"/>
  <c r="C1950" i="2"/>
  <c r="C1951" i="2"/>
  <c r="C1952" i="2"/>
  <c r="C1953" i="2"/>
  <c r="C1954" i="2"/>
  <c r="C1955" i="2"/>
  <c r="C1956" i="2"/>
  <c r="C1957" i="2"/>
  <c r="C1958" i="2"/>
  <c r="C1959" i="2"/>
  <c r="C1960" i="2"/>
  <c r="C1961" i="2"/>
  <c r="C1962" i="2"/>
  <c r="C1963" i="2"/>
  <c r="C1964" i="2"/>
  <c r="C1965" i="2"/>
  <c r="C1966" i="2"/>
  <c r="C1967" i="2"/>
  <c r="C1968" i="2"/>
  <c r="C1969" i="2"/>
  <c r="C1970" i="2"/>
  <c r="C1971" i="2"/>
  <c r="C1972" i="2"/>
  <c r="C1973" i="2"/>
  <c r="C1974" i="2"/>
  <c r="C1975" i="2"/>
  <c r="C1976" i="2"/>
  <c r="C1977" i="2"/>
  <c r="C1978" i="2"/>
  <c r="C1979" i="2"/>
  <c r="C1980" i="2"/>
  <c r="C1981" i="2"/>
  <c r="C1982" i="2"/>
  <c r="C1983" i="2"/>
  <c r="C1984" i="2"/>
  <c r="C1985" i="2"/>
  <c r="C1986" i="2"/>
  <c r="C1987" i="2"/>
  <c r="C1988" i="2"/>
  <c r="C1989" i="2"/>
  <c r="C1990" i="2"/>
  <c r="C1991" i="2"/>
  <c r="C1992" i="2"/>
  <c r="C1993" i="2"/>
  <c r="C1994" i="2"/>
  <c r="C1995" i="2"/>
  <c r="C1996" i="2"/>
  <c r="C1997" i="2"/>
  <c r="C1998" i="2"/>
  <c r="C1999" i="2"/>
  <c r="C2000" i="2"/>
  <c r="C2001" i="2"/>
  <c r="C2002" i="2"/>
  <c r="C2003" i="2"/>
  <c r="C2004" i="2"/>
  <c r="C2005" i="2"/>
  <c r="C2006" i="2"/>
  <c r="C2007" i="2"/>
  <c r="C2008" i="2"/>
  <c r="C2009" i="2"/>
  <c r="C2010" i="2"/>
  <c r="C2011" i="2"/>
  <c r="C2012" i="2"/>
  <c r="C2013" i="2"/>
  <c r="C2014" i="2"/>
  <c r="C2015" i="2"/>
  <c r="C2016" i="2"/>
  <c r="C2017" i="2"/>
  <c r="C2018" i="2"/>
  <c r="C2019" i="2"/>
  <c r="C2020" i="2"/>
  <c r="C2021" i="2"/>
  <c r="C2022" i="2"/>
  <c r="C2023" i="2"/>
  <c r="C2024" i="2"/>
  <c r="C2025" i="2"/>
  <c r="C2026" i="2"/>
  <c r="C2027" i="2"/>
  <c r="C2028" i="2"/>
  <c r="C2029" i="2"/>
  <c r="C2030" i="2"/>
  <c r="C2031" i="2"/>
  <c r="C2032" i="2"/>
  <c r="C2033" i="2"/>
  <c r="C2034" i="2"/>
  <c r="C2035" i="2"/>
  <c r="C2036" i="2"/>
  <c r="C2037" i="2"/>
  <c r="C2038" i="2"/>
  <c r="C2039" i="2"/>
  <c r="C2040" i="2"/>
  <c r="C2041" i="2"/>
  <c r="C2042" i="2"/>
  <c r="C2043" i="2"/>
  <c r="C2044" i="2"/>
  <c r="C2045" i="2"/>
  <c r="C2046" i="2"/>
  <c r="C2047" i="2"/>
  <c r="C2048" i="2"/>
  <c r="C2049" i="2"/>
  <c r="C2050" i="2"/>
  <c r="C2051" i="2"/>
  <c r="C2052" i="2"/>
  <c r="C2053" i="2"/>
  <c r="C2054" i="2"/>
  <c r="C2055" i="2"/>
  <c r="C2056" i="2"/>
  <c r="C2057" i="2"/>
  <c r="C2058" i="2"/>
  <c r="C2059" i="2"/>
  <c r="C2060" i="2"/>
  <c r="C2061" i="2"/>
  <c r="C2062" i="2"/>
  <c r="C2063" i="2"/>
  <c r="C2064" i="2"/>
  <c r="C2065" i="2"/>
  <c r="C2066" i="2"/>
  <c r="C2067" i="2"/>
  <c r="C2068" i="2"/>
  <c r="C2069" i="2"/>
  <c r="C2070" i="2"/>
  <c r="C2071" i="2"/>
  <c r="C2072" i="2"/>
  <c r="C2073" i="2"/>
  <c r="C2074" i="2"/>
  <c r="C2075" i="2"/>
  <c r="C2076" i="2"/>
  <c r="C2077" i="2"/>
  <c r="C2078" i="2"/>
  <c r="C2079" i="2"/>
  <c r="C2080" i="2"/>
  <c r="C2081" i="2"/>
  <c r="C2082" i="2"/>
  <c r="C2083" i="2"/>
  <c r="C2084" i="2"/>
  <c r="C2085" i="2"/>
  <c r="C2086" i="2"/>
  <c r="C2087" i="2"/>
  <c r="C2088" i="2"/>
  <c r="C2089" i="2"/>
  <c r="C2090" i="2"/>
  <c r="C2091" i="2"/>
  <c r="C2092" i="2"/>
  <c r="C2093" i="2"/>
  <c r="C2094" i="2"/>
  <c r="C2095" i="2"/>
  <c r="C2096" i="2"/>
  <c r="C2097" i="2"/>
  <c r="C2098" i="2"/>
  <c r="C2099" i="2"/>
  <c r="C2100" i="2"/>
  <c r="C2101" i="2"/>
  <c r="C2102" i="2"/>
  <c r="C2103" i="2"/>
  <c r="C2104" i="2"/>
  <c r="C2105" i="2"/>
  <c r="C2106" i="2"/>
  <c r="C2107" i="2"/>
  <c r="C2108" i="2"/>
  <c r="C2109" i="2"/>
  <c r="C2110" i="2"/>
  <c r="C2111" i="2"/>
  <c r="C2112" i="2"/>
  <c r="C2113" i="2"/>
  <c r="C2114" i="2"/>
  <c r="C2115" i="2"/>
  <c r="C2116" i="2"/>
  <c r="C2117" i="2"/>
  <c r="C2118" i="2"/>
  <c r="C2119" i="2"/>
  <c r="C2120" i="2"/>
  <c r="C2121" i="2"/>
  <c r="C2122" i="2"/>
  <c r="C2123" i="2"/>
  <c r="C2124" i="2"/>
  <c r="C2125" i="2"/>
  <c r="C2126" i="2"/>
  <c r="C2127" i="2"/>
  <c r="C2128" i="2"/>
  <c r="C2129" i="2"/>
  <c r="C2130" i="2"/>
  <c r="C2131" i="2"/>
  <c r="C2132" i="2"/>
  <c r="C2133" i="2"/>
  <c r="C2134" i="2"/>
  <c r="C2135" i="2"/>
  <c r="C2136" i="2"/>
  <c r="C2137" i="2"/>
  <c r="C2138" i="2"/>
  <c r="C2139" i="2"/>
  <c r="C2140" i="2"/>
  <c r="C2141" i="2"/>
  <c r="C2142" i="2"/>
  <c r="C2143" i="2"/>
  <c r="C2144" i="2"/>
  <c r="C2145" i="2"/>
  <c r="C2146" i="2"/>
  <c r="C2147" i="2"/>
  <c r="C2148" i="2"/>
  <c r="C2149" i="2"/>
  <c r="C2150" i="2"/>
  <c r="C2151" i="2"/>
  <c r="C2152" i="2"/>
  <c r="C2153" i="2"/>
  <c r="C2154" i="2"/>
  <c r="C2155" i="2"/>
  <c r="C2156" i="2"/>
  <c r="C2157" i="2"/>
  <c r="C2158" i="2"/>
  <c r="C2159" i="2"/>
  <c r="C2160" i="2"/>
  <c r="C2161" i="2"/>
  <c r="C2162" i="2"/>
  <c r="C2163" i="2"/>
  <c r="C2164" i="2"/>
  <c r="C2165" i="2"/>
  <c r="C2166" i="2"/>
  <c r="C2167" i="2"/>
  <c r="C2168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3" i="2"/>
  <c r="AQ42" i="1" l="1"/>
  <c r="AR42" i="1"/>
  <c r="AS42" i="1" l="1"/>
  <c r="AC42" i="1" l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26" i="1"/>
  <c r="AC327" i="1"/>
  <c r="AC328" i="1"/>
  <c r="AC329" i="1"/>
  <c r="AC330" i="1"/>
  <c r="AC331" i="1"/>
  <c r="AC332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5" i="1"/>
  <c r="AC426" i="1"/>
  <c r="AC427" i="1"/>
  <c r="AC428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0" i="1"/>
  <c r="AC481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494" i="1"/>
  <c r="AC495" i="1"/>
  <c r="AC496" i="1"/>
  <c r="AC497" i="1"/>
  <c r="AC498" i="1"/>
  <c r="AC499" i="1"/>
  <c r="AC500" i="1"/>
  <c r="AC501" i="1"/>
  <c r="AC502" i="1"/>
  <c r="AC503" i="1"/>
  <c r="AC504" i="1"/>
  <c r="AC505" i="1"/>
  <c r="AC506" i="1"/>
  <c r="AC507" i="1"/>
  <c r="AC508" i="1"/>
  <c r="AC509" i="1"/>
  <c r="AC510" i="1"/>
  <c r="AC511" i="1"/>
  <c r="AC512" i="1"/>
  <c r="AC513" i="1"/>
  <c r="AC514" i="1"/>
  <c r="AC515" i="1"/>
  <c r="AC516" i="1"/>
  <c r="AC517" i="1"/>
  <c r="AC518" i="1"/>
  <c r="AC519" i="1"/>
  <c r="AC520" i="1"/>
  <c r="AC521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661" i="1"/>
  <c r="AC662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790" i="1"/>
  <c r="AC791" i="1"/>
  <c r="AC792" i="1"/>
  <c r="AC793" i="1"/>
  <c r="AC794" i="1"/>
  <c r="AC795" i="1"/>
  <c r="AC796" i="1"/>
  <c r="AC797" i="1"/>
  <c r="AC798" i="1"/>
  <c r="AC799" i="1"/>
  <c r="AC800" i="1"/>
  <c r="AC801" i="1"/>
  <c r="AC802" i="1"/>
  <c r="AC803" i="1"/>
  <c r="AC804" i="1"/>
  <c r="AC805" i="1"/>
  <c r="AC806" i="1"/>
  <c r="AC807" i="1"/>
  <c r="AC808" i="1"/>
  <c r="AC809" i="1"/>
  <c r="AC810" i="1"/>
  <c r="AC811" i="1"/>
  <c r="AC812" i="1"/>
  <c r="AC813" i="1"/>
  <c r="AC814" i="1"/>
  <c r="AC815" i="1"/>
  <c r="AC816" i="1"/>
  <c r="AC817" i="1"/>
  <c r="AC818" i="1"/>
  <c r="AC819" i="1"/>
  <c r="AC820" i="1"/>
  <c r="AC821" i="1"/>
  <c r="AC822" i="1"/>
  <c r="AC823" i="1"/>
  <c r="AC824" i="1"/>
  <c r="AC825" i="1"/>
  <c r="AC826" i="1"/>
  <c r="AC827" i="1"/>
  <c r="AC828" i="1"/>
  <c r="AC829" i="1"/>
  <c r="AC830" i="1"/>
  <c r="AC831" i="1"/>
  <c r="AC832" i="1"/>
  <c r="AC833" i="1"/>
  <c r="AC834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57" i="1"/>
  <c r="AC858" i="1"/>
  <c r="AC859" i="1"/>
  <c r="AC860" i="1"/>
  <c r="AC861" i="1"/>
  <c r="AC862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56" i="1"/>
  <c r="AC1157" i="1"/>
  <c r="AC1158" i="1"/>
  <c r="AC1159" i="1"/>
  <c r="AC1160" i="1"/>
  <c r="AC1161" i="1"/>
  <c r="AC1162" i="1"/>
  <c r="AC1163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80" i="1"/>
  <c r="AC1181" i="1"/>
  <c r="AC1182" i="1"/>
  <c r="AC1183" i="1"/>
  <c r="AC1184" i="1"/>
  <c r="AC1185" i="1"/>
  <c r="AC1186" i="1"/>
  <c r="AC1187" i="1"/>
  <c r="AC1188" i="1"/>
  <c r="AC1189" i="1"/>
  <c r="AC1190" i="1"/>
  <c r="AC1191" i="1"/>
  <c r="AC1192" i="1"/>
  <c r="AC1193" i="1"/>
  <c r="AC1194" i="1"/>
  <c r="AC1195" i="1"/>
  <c r="AC1196" i="1"/>
  <c r="AC1197" i="1"/>
  <c r="AC1198" i="1"/>
  <c r="AC1199" i="1"/>
  <c r="AC1200" i="1"/>
  <c r="AC1201" i="1"/>
  <c r="AC1202" i="1"/>
  <c r="AC1203" i="1"/>
  <c r="AC1204" i="1"/>
  <c r="AC1205" i="1"/>
  <c r="AC1206" i="1"/>
  <c r="AC1207" i="1"/>
  <c r="AC1208" i="1"/>
  <c r="AC1209" i="1"/>
  <c r="AC1210" i="1"/>
  <c r="AC1211" i="1"/>
  <c r="AC1212" i="1"/>
  <c r="AC1213" i="1"/>
  <c r="AC1214" i="1"/>
  <c r="AC1215" i="1"/>
  <c r="AC1216" i="1"/>
  <c r="AC1217" i="1"/>
  <c r="AC1218" i="1"/>
  <c r="AC1219" i="1"/>
  <c r="AC1220" i="1"/>
  <c r="AC1221" i="1"/>
  <c r="AC1222" i="1"/>
  <c r="AC1223" i="1"/>
  <c r="AC1224" i="1"/>
  <c r="AC1225" i="1"/>
  <c r="AC1226" i="1"/>
  <c r="AC1227" i="1"/>
  <c r="AC1228" i="1"/>
  <c r="AC1229" i="1"/>
  <c r="AC1230" i="1"/>
  <c r="AC1231" i="1"/>
  <c r="AC1232" i="1"/>
  <c r="AC1233" i="1"/>
  <c r="AC1234" i="1"/>
  <c r="AC1235" i="1"/>
  <c r="AC1236" i="1"/>
  <c r="AC1237" i="1"/>
  <c r="AC1238" i="1"/>
  <c r="AC1239" i="1"/>
  <c r="AC1240" i="1"/>
  <c r="AC1241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0" i="1"/>
  <c r="AC1281" i="1"/>
  <c r="AC1282" i="1"/>
  <c r="AC1283" i="1"/>
  <c r="AC1284" i="1"/>
  <c r="AC1285" i="1"/>
  <c r="AC1286" i="1"/>
  <c r="AC1287" i="1"/>
  <c r="AC1288" i="1"/>
  <c r="AC1289" i="1"/>
  <c r="AC1290" i="1"/>
  <c r="AC1291" i="1"/>
  <c r="AC1292" i="1"/>
  <c r="AC1293" i="1"/>
  <c r="AC1294" i="1"/>
  <c r="AC1295" i="1"/>
  <c r="AC1296" i="1"/>
  <c r="AC1297" i="1"/>
  <c r="AC1298" i="1"/>
  <c r="AC1299" i="1"/>
  <c r="AC1300" i="1"/>
  <c r="AC1301" i="1"/>
  <c r="AC1302" i="1"/>
  <c r="AC1303" i="1"/>
  <c r="AC1304" i="1"/>
  <c r="AC1305" i="1"/>
  <c r="AC1306" i="1"/>
  <c r="AC1307" i="1"/>
  <c r="AC1308" i="1"/>
  <c r="AC1309" i="1"/>
  <c r="AC1310" i="1"/>
  <c r="AC1311" i="1"/>
  <c r="AC1312" i="1"/>
  <c r="AC1313" i="1"/>
  <c r="AC1314" i="1"/>
  <c r="AC1315" i="1"/>
  <c r="AC1316" i="1"/>
  <c r="AC1317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1346" i="1"/>
  <c r="AC1347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C78" i="2" s="1"/>
  <c r="D79" i="1"/>
  <c r="C79" i="2" s="1"/>
  <c r="D80" i="1"/>
  <c r="C80" i="2" s="1"/>
  <c r="D81" i="1"/>
  <c r="C81" i="2" s="1"/>
  <c r="D82" i="1"/>
  <c r="C82" i="2" s="1"/>
  <c r="D83" i="1"/>
  <c r="C83" i="2" s="1"/>
  <c r="D84" i="1"/>
  <c r="C84" i="2" s="1"/>
  <c r="D85" i="1"/>
  <c r="C85" i="2" s="1"/>
  <c r="D86" i="1"/>
  <c r="C86" i="2" s="1"/>
  <c r="D87" i="1"/>
  <c r="C87" i="2" s="1"/>
  <c r="D88" i="1"/>
  <c r="C88" i="2" s="1"/>
  <c r="D89" i="1"/>
  <c r="C89" i="2" s="1"/>
  <c r="D90" i="1"/>
  <c r="C90" i="2" s="1"/>
  <c r="D91" i="1"/>
  <c r="C91" i="2" s="1"/>
  <c r="D92" i="1"/>
  <c r="C92" i="2" s="1"/>
  <c r="D93" i="1"/>
  <c r="C93" i="2" s="1"/>
  <c r="D94" i="1"/>
  <c r="C94" i="2" s="1"/>
  <c r="D95" i="1"/>
  <c r="C95" i="2" s="1"/>
  <c r="D96" i="1"/>
  <c r="C96" i="2" s="1"/>
  <c r="D97" i="1"/>
  <c r="C97" i="2" s="1"/>
  <c r="D98" i="1"/>
  <c r="C98" i="2" s="1"/>
  <c r="D99" i="1"/>
  <c r="C99" i="2" s="1"/>
  <c r="D100" i="1"/>
  <c r="C100" i="2" s="1"/>
  <c r="D101" i="1"/>
  <c r="C101" i="2" s="1"/>
  <c r="D102" i="1"/>
  <c r="C102" i="2" s="1"/>
  <c r="D103" i="1"/>
  <c r="C103" i="2" s="1"/>
  <c r="D104" i="1"/>
  <c r="C104" i="2" s="1"/>
  <c r="D105" i="1"/>
  <c r="C105" i="2" s="1"/>
  <c r="D106" i="1"/>
  <c r="C106" i="2" s="1"/>
  <c r="D107" i="1"/>
  <c r="C107" i="2" s="1"/>
  <c r="D108" i="1"/>
  <c r="C108" i="2" s="1"/>
  <c r="D109" i="1"/>
  <c r="C109" i="2" s="1"/>
  <c r="D110" i="1"/>
  <c r="C110" i="2" s="1"/>
  <c r="D111" i="1"/>
  <c r="C111" i="2" s="1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E4" i="2" l="1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ADE1" i="2" l="1"/>
  <c r="ADF1" i="2" s="1"/>
  <c r="K1" i="2"/>
  <c r="L1" i="2" s="1"/>
  <c r="M1" i="2" s="1"/>
  <c r="N1" i="2" s="1"/>
  <c r="O1" i="2" s="1"/>
  <c r="P1" i="2" s="1"/>
  <c r="Q1" i="2" s="1"/>
  <c r="R1" i="2" s="1"/>
  <c r="S1" i="2" s="1"/>
  <c r="T1" i="2" s="1"/>
  <c r="U1" i="2" s="1"/>
  <c r="V1" i="2" s="1"/>
  <c r="W1" i="2" s="1"/>
  <c r="X1" i="2" s="1"/>
  <c r="Y1" i="2" s="1"/>
  <c r="Z1" i="2" s="1"/>
  <c r="AA1" i="2" s="1"/>
  <c r="AB1" i="2" s="1"/>
  <c r="AC1" i="2" s="1"/>
  <c r="AD1" i="2" s="1"/>
  <c r="AE1" i="2" s="1"/>
  <c r="AF1" i="2" s="1"/>
  <c r="AG1" i="2" s="1"/>
  <c r="AH1" i="2" s="1"/>
  <c r="AI1" i="2" s="1"/>
  <c r="AJ1" i="2" s="1"/>
  <c r="AK1" i="2" s="1"/>
  <c r="AL1" i="2" s="1"/>
  <c r="AM1" i="2" s="1"/>
  <c r="AN1" i="2" s="1"/>
  <c r="AO1" i="2" s="1"/>
  <c r="AP1" i="2" s="1"/>
  <c r="AQ1" i="2" s="1"/>
  <c r="AR1" i="2" s="1"/>
  <c r="AS1" i="2" s="1"/>
  <c r="AT1" i="2" s="1"/>
  <c r="AU1" i="2" s="1"/>
  <c r="AV1" i="2" s="1"/>
  <c r="AW1" i="2" s="1"/>
  <c r="AX1" i="2" s="1"/>
  <c r="AY1" i="2" s="1"/>
  <c r="AZ1" i="2" s="1"/>
  <c r="BA1" i="2" s="1"/>
  <c r="BB1" i="2" s="1"/>
  <c r="BC1" i="2" s="1"/>
  <c r="BD1" i="2" s="1"/>
  <c r="BE1" i="2" s="1"/>
  <c r="BF1" i="2" s="1"/>
  <c r="BG1" i="2" s="1"/>
  <c r="BH1" i="2" s="1"/>
  <c r="BI1" i="2" s="1"/>
  <c r="BJ1" i="2" s="1"/>
  <c r="BK1" i="2" s="1"/>
  <c r="BL1" i="2" s="1"/>
  <c r="BM1" i="2" s="1"/>
  <c r="BN1" i="2" s="1"/>
  <c r="BO1" i="2" s="1"/>
  <c r="BP1" i="2" s="1"/>
  <c r="BQ1" i="2" s="1"/>
  <c r="BR1" i="2" s="1"/>
  <c r="BS1" i="2" s="1"/>
  <c r="BT1" i="2" s="1"/>
  <c r="BU1" i="2" s="1"/>
  <c r="BV1" i="2" s="1"/>
  <c r="BW1" i="2" s="1"/>
  <c r="BX1" i="2" s="1"/>
  <c r="BY1" i="2" s="1"/>
  <c r="BZ1" i="2" s="1"/>
  <c r="CA1" i="2" s="1"/>
  <c r="CB1" i="2" s="1"/>
  <c r="CC1" i="2" s="1"/>
  <c r="CD1" i="2" s="1"/>
  <c r="CE1" i="2" s="1"/>
  <c r="CF1" i="2" s="1"/>
  <c r="CG1" i="2" s="1"/>
  <c r="CH1" i="2" s="1"/>
  <c r="CI1" i="2" s="1"/>
  <c r="CJ1" i="2" s="1"/>
  <c r="CK1" i="2" s="1"/>
  <c r="CL1" i="2" s="1"/>
  <c r="CM1" i="2" s="1"/>
  <c r="CN1" i="2" s="1"/>
  <c r="CO1" i="2" s="1"/>
  <c r="CP1" i="2" s="1"/>
  <c r="CQ1" i="2" s="1"/>
  <c r="CR1" i="2" s="1"/>
  <c r="CS1" i="2" s="1"/>
  <c r="CT1" i="2" s="1"/>
  <c r="CU1" i="2" s="1"/>
  <c r="CV1" i="2" s="1"/>
  <c r="CW1" i="2" s="1"/>
  <c r="CX1" i="2" s="1"/>
  <c r="CY1" i="2" s="1"/>
  <c r="CZ1" i="2" s="1"/>
  <c r="DA1" i="2" s="1"/>
  <c r="DB1" i="2" s="1"/>
  <c r="DC1" i="2" s="1"/>
  <c r="DD1" i="2" s="1"/>
  <c r="DE1" i="2" s="1"/>
  <c r="DF1" i="2" s="1"/>
  <c r="DG1" i="2" s="1"/>
  <c r="DH1" i="2" s="1"/>
  <c r="DI1" i="2" s="1"/>
  <c r="DJ1" i="2" s="1"/>
  <c r="DK1" i="2" s="1"/>
  <c r="DL1" i="2" s="1"/>
  <c r="DM1" i="2" s="1"/>
  <c r="DN1" i="2" s="1"/>
  <c r="DO1" i="2" s="1"/>
  <c r="DP1" i="2" s="1"/>
  <c r="DQ1" i="2" s="1"/>
  <c r="DR1" i="2" s="1"/>
  <c r="DS1" i="2" s="1"/>
  <c r="DT1" i="2" s="1"/>
  <c r="DU1" i="2" s="1"/>
  <c r="DV1" i="2" s="1"/>
  <c r="DW1" i="2" s="1"/>
  <c r="DX1" i="2" s="1"/>
  <c r="DY1" i="2" s="1"/>
  <c r="DZ1" i="2" s="1"/>
  <c r="EA1" i="2" s="1"/>
  <c r="EB1" i="2" s="1"/>
  <c r="EC1" i="2" s="1"/>
  <c r="ED1" i="2" s="1"/>
  <c r="EE1" i="2" s="1"/>
  <c r="EF1" i="2" s="1"/>
  <c r="EG1" i="2" s="1"/>
  <c r="EH1" i="2" s="1"/>
  <c r="EI1" i="2" s="1"/>
  <c r="EJ1" i="2" s="1"/>
  <c r="EK1" i="2" s="1"/>
  <c r="EL1" i="2" s="1"/>
  <c r="EM1" i="2" s="1"/>
  <c r="EN1" i="2" s="1"/>
  <c r="EO1" i="2" s="1"/>
  <c r="EP1" i="2" s="1"/>
  <c r="EQ1" i="2" s="1"/>
  <c r="ER1" i="2" s="1"/>
  <c r="ES1" i="2" s="1"/>
  <c r="ET1" i="2" s="1"/>
  <c r="EU1" i="2" s="1"/>
  <c r="EV1" i="2" s="1"/>
  <c r="EW1" i="2" s="1"/>
  <c r="EX1" i="2" s="1"/>
  <c r="EY1" i="2" s="1"/>
  <c r="EZ1" i="2" s="1"/>
  <c r="FA1" i="2" s="1"/>
  <c r="FB1" i="2" s="1"/>
  <c r="FC1" i="2" s="1"/>
  <c r="FD1" i="2" s="1"/>
  <c r="FE1" i="2" s="1"/>
  <c r="FF1" i="2" s="1"/>
  <c r="FG1" i="2" s="1"/>
  <c r="FH1" i="2" s="1"/>
  <c r="FI1" i="2" s="1"/>
  <c r="FJ1" i="2" s="1"/>
  <c r="FK1" i="2" s="1"/>
  <c r="FL1" i="2" s="1"/>
  <c r="FM1" i="2" s="1"/>
  <c r="FN1" i="2" s="1"/>
  <c r="FO1" i="2" s="1"/>
  <c r="FP1" i="2" s="1"/>
  <c r="FQ1" i="2" s="1"/>
  <c r="FR1" i="2" s="1"/>
  <c r="FS1" i="2" s="1"/>
  <c r="FT1" i="2" s="1"/>
  <c r="FU1" i="2" s="1"/>
  <c r="FV1" i="2" s="1"/>
  <c r="FW1" i="2" s="1"/>
  <c r="FX1" i="2" s="1"/>
  <c r="FY1" i="2" s="1"/>
  <c r="FZ1" i="2" s="1"/>
  <c r="GA1" i="2" s="1"/>
  <c r="GB1" i="2" s="1"/>
  <c r="GC1" i="2" s="1"/>
  <c r="GD1" i="2" s="1"/>
  <c r="GE1" i="2" s="1"/>
  <c r="GF1" i="2" s="1"/>
  <c r="GG1" i="2" s="1"/>
  <c r="GH1" i="2" s="1"/>
  <c r="GI1" i="2" s="1"/>
  <c r="GJ1" i="2" s="1"/>
  <c r="GK1" i="2" s="1"/>
  <c r="GL1" i="2" s="1"/>
  <c r="GM1" i="2" s="1"/>
  <c r="GN1" i="2" s="1"/>
  <c r="GO1" i="2" s="1"/>
  <c r="GP1" i="2" s="1"/>
  <c r="GQ1" i="2" s="1"/>
  <c r="GR1" i="2" s="1"/>
  <c r="GS1" i="2" s="1"/>
  <c r="GT1" i="2" s="1"/>
  <c r="GU1" i="2" s="1"/>
  <c r="GV1" i="2" s="1"/>
  <c r="GW1" i="2" s="1"/>
  <c r="GX1" i="2" s="1"/>
  <c r="GY1" i="2" s="1"/>
  <c r="GZ1" i="2" s="1"/>
  <c r="HA1" i="2" s="1"/>
  <c r="HB1" i="2" s="1"/>
  <c r="HC1" i="2" s="1"/>
  <c r="HD1" i="2" s="1"/>
  <c r="HE1" i="2" s="1"/>
  <c r="HF1" i="2" s="1"/>
  <c r="HG1" i="2" s="1"/>
  <c r="HH1" i="2" s="1"/>
  <c r="HI1" i="2" s="1"/>
  <c r="HJ1" i="2" s="1"/>
  <c r="HK1" i="2" s="1"/>
  <c r="HL1" i="2" s="1"/>
  <c r="HM1" i="2" s="1"/>
  <c r="HN1" i="2" s="1"/>
  <c r="HO1" i="2" s="1"/>
  <c r="HP1" i="2" s="1"/>
  <c r="HQ1" i="2" s="1"/>
  <c r="HR1" i="2" s="1"/>
  <c r="HS1" i="2" s="1"/>
  <c r="HT1" i="2" s="1"/>
  <c r="HU1" i="2" s="1"/>
  <c r="HV1" i="2" s="1"/>
  <c r="HW1" i="2" s="1"/>
  <c r="HX1" i="2" s="1"/>
  <c r="HY1" i="2" s="1"/>
  <c r="HZ1" i="2" s="1"/>
  <c r="IA1" i="2" s="1"/>
  <c r="IB1" i="2" s="1"/>
  <c r="IC1" i="2" s="1"/>
  <c r="ID1" i="2" s="1"/>
  <c r="IE1" i="2" s="1"/>
  <c r="IF1" i="2" s="1"/>
  <c r="IG1" i="2" s="1"/>
  <c r="IH1" i="2" s="1"/>
  <c r="II1" i="2" s="1"/>
  <c r="IJ1" i="2" s="1"/>
  <c r="IK1" i="2" s="1"/>
  <c r="IL1" i="2" s="1"/>
  <c r="IM1" i="2" s="1"/>
  <c r="IN1" i="2" s="1"/>
  <c r="IO1" i="2" s="1"/>
  <c r="IP1" i="2" s="1"/>
  <c r="IQ1" i="2" s="1"/>
  <c r="IR1" i="2" s="1"/>
  <c r="IS1" i="2" s="1"/>
  <c r="IT1" i="2" s="1"/>
  <c r="IU1" i="2" s="1"/>
  <c r="IV1" i="2" s="1"/>
  <c r="IW1" i="2" s="1"/>
  <c r="IX1" i="2" s="1"/>
  <c r="IY1" i="2" s="1"/>
  <c r="IZ1" i="2" s="1"/>
  <c r="JA1" i="2" s="1"/>
  <c r="JB1" i="2" s="1"/>
  <c r="JC1" i="2" s="1"/>
  <c r="JD1" i="2" s="1"/>
  <c r="JE1" i="2" s="1"/>
  <c r="JF1" i="2" s="1"/>
  <c r="JG1" i="2" s="1"/>
  <c r="JH1" i="2" s="1"/>
  <c r="JI1" i="2" s="1"/>
  <c r="JJ1" i="2" s="1"/>
  <c r="JK1" i="2" s="1"/>
  <c r="JL1" i="2" s="1"/>
  <c r="JM1" i="2" s="1"/>
  <c r="JN1" i="2" s="1"/>
  <c r="JO1" i="2" s="1"/>
  <c r="JP1" i="2" s="1"/>
  <c r="JQ1" i="2" s="1"/>
  <c r="JR1" i="2" s="1"/>
  <c r="JS1" i="2" s="1"/>
  <c r="JT1" i="2" s="1"/>
  <c r="JU1" i="2" s="1"/>
  <c r="JV1" i="2" s="1"/>
  <c r="JW1" i="2" s="1"/>
  <c r="JX1" i="2" s="1"/>
  <c r="JY1" i="2" s="1"/>
  <c r="JZ1" i="2" s="1"/>
  <c r="KA1" i="2" s="1"/>
  <c r="KB1" i="2" s="1"/>
  <c r="KC1" i="2" s="1"/>
  <c r="KD1" i="2" s="1"/>
  <c r="KE1" i="2" s="1"/>
  <c r="KF1" i="2" s="1"/>
  <c r="KG1" i="2" s="1"/>
  <c r="KH1" i="2" s="1"/>
  <c r="KI1" i="2" s="1"/>
  <c r="KJ1" i="2" s="1"/>
  <c r="KK1" i="2" s="1"/>
  <c r="KL1" i="2" s="1"/>
  <c r="KM1" i="2" s="1"/>
  <c r="KN1" i="2" s="1"/>
  <c r="KO1" i="2" s="1"/>
  <c r="KP1" i="2" s="1"/>
  <c r="KQ1" i="2" s="1"/>
  <c r="KR1" i="2" s="1"/>
  <c r="KS1" i="2" s="1"/>
  <c r="KT1" i="2" s="1"/>
  <c r="KU1" i="2" s="1"/>
  <c r="KV1" i="2" s="1"/>
  <c r="KW1" i="2" s="1"/>
  <c r="KX1" i="2" s="1"/>
  <c r="KY1" i="2" s="1"/>
  <c r="KZ1" i="2" s="1"/>
  <c r="LA1" i="2" s="1"/>
  <c r="LB1" i="2" s="1"/>
  <c r="LC1" i="2" s="1"/>
  <c r="LD1" i="2" s="1"/>
  <c r="LE1" i="2" s="1"/>
  <c r="LF1" i="2" s="1"/>
  <c r="LG1" i="2" s="1"/>
  <c r="LH1" i="2" s="1"/>
  <c r="LI1" i="2" s="1"/>
  <c r="LJ1" i="2" s="1"/>
  <c r="LK1" i="2" s="1"/>
  <c r="LL1" i="2" s="1"/>
  <c r="LM1" i="2" s="1"/>
  <c r="LN1" i="2" s="1"/>
  <c r="LO1" i="2" s="1"/>
  <c r="LP1" i="2" s="1"/>
  <c r="LQ1" i="2" s="1"/>
  <c r="LR1" i="2" s="1"/>
  <c r="LS1" i="2" s="1"/>
  <c r="LT1" i="2" s="1"/>
  <c r="LU1" i="2" s="1"/>
  <c r="LV1" i="2" s="1"/>
  <c r="LW1" i="2" s="1"/>
  <c r="LX1" i="2" s="1"/>
  <c r="LY1" i="2" s="1"/>
  <c r="LZ1" i="2" s="1"/>
  <c r="MA1" i="2" s="1"/>
  <c r="MB1" i="2" s="1"/>
  <c r="MC1" i="2" s="1"/>
  <c r="MD1" i="2" s="1"/>
  <c r="ME1" i="2" s="1"/>
  <c r="MF1" i="2" s="1"/>
  <c r="MG1" i="2" s="1"/>
  <c r="MH1" i="2" s="1"/>
  <c r="MI1" i="2" s="1"/>
  <c r="MJ1" i="2" s="1"/>
  <c r="MK1" i="2" s="1"/>
  <c r="ML1" i="2" s="1"/>
  <c r="MM1" i="2" s="1"/>
  <c r="MN1" i="2" s="1"/>
  <c r="MO1" i="2" s="1"/>
  <c r="MP1" i="2" s="1"/>
  <c r="MQ1" i="2" s="1"/>
  <c r="MR1" i="2" s="1"/>
  <c r="MS1" i="2" s="1"/>
  <c r="MT1" i="2" s="1"/>
  <c r="MU1" i="2" s="1"/>
  <c r="MV1" i="2" s="1"/>
  <c r="MW1" i="2" s="1"/>
  <c r="MX1" i="2" s="1"/>
  <c r="MY1" i="2" s="1"/>
  <c r="MZ1" i="2" s="1"/>
  <c r="NA1" i="2" s="1"/>
  <c r="NB1" i="2" s="1"/>
  <c r="NC1" i="2" s="1"/>
  <c r="ND1" i="2" s="1"/>
  <c r="NE1" i="2" s="1"/>
  <c r="NF1" i="2" s="1"/>
  <c r="NG1" i="2" s="1"/>
  <c r="NH1" i="2" s="1"/>
  <c r="NI1" i="2" s="1"/>
  <c r="NJ1" i="2" s="1"/>
  <c r="NK1" i="2" s="1"/>
  <c r="NL1" i="2" s="1"/>
  <c r="NM1" i="2" s="1"/>
  <c r="NN1" i="2" s="1"/>
  <c r="NO1" i="2" s="1"/>
  <c r="NP1" i="2" s="1"/>
  <c r="NQ1" i="2" s="1"/>
  <c r="NR1" i="2" s="1"/>
  <c r="NS1" i="2" s="1"/>
  <c r="NT1" i="2" s="1"/>
  <c r="NU1" i="2" s="1"/>
  <c r="NV1" i="2" s="1"/>
  <c r="NW1" i="2" s="1"/>
  <c r="NX1" i="2" s="1"/>
  <c r="NY1" i="2" s="1"/>
  <c r="NZ1" i="2" s="1"/>
  <c r="OA1" i="2" s="1"/>
  <c r="OB1" i="2" s="1"/>
  <c r="OC1" i="2" s="1"/>
  <c r="OD1" i="2" s="1"/>
  <c r="OE1" i="2" s="1"/>
  <c r="OF1" i="2" s="1"/>
  <c r="OG1" i="2" s="1"/>
  <c r="OH1" i="2" s="1"/>
  <c r="OI1" i="2" s="1"/>
  <c r="OJ1" i="2" s="1"/>
  <c r="OK1" i="2" s="1"/>
  <c r="OL1" i="2" s="1"/>
  <c r="OM1" i="2" s="1"/>
  <c r="ON1" i="2" s="1"/>
  <c r="OO1" i="2" s="1"/>
  <c r="OP1" i="2" s="1"/>
  <c r="OQ1" i="2" s="1"/>
  <c r="OR1" i="2" s="1"/>
  <c r="OS1" i="2" s="1"/>
  <c r="OT1" i="2" s="1"/>
  <c r="OU1" i="2" s="1"/>
  <c r="OV1" i="2" s="1"/>
  <c r="OW1" i="2" s="1"/>
  <c r="OX1" i="2" s="1"/>
  <c r="OY1" i="2" s="1"/>
  <c r="OZ1" i="2" s="1"/>
  <c r="PA1" i="2" s="1"/>
  <c r="PB1" i="2" s="1"/>
  <c r="PC1" i="2" s="1"/>
  <c r="PD1" i="2" s="1"/>
  <c r="PE1" i="2" s="1"/>
  <c r="PF1" i="2" s="1"/>
  <c r="PG1" i="2" s="1"/>
  <c r="PH1" i="2" s="1"/>
  <c r="PI1" i="2" s="1"/>
  <c r="PJ1" i="2" s="1"/>
  <c r="PK1" i="2" s="1"/>
  <c r="PL1" i="2" s="1"/>
  <c r="PM1" i="2" s="1"/>
  <c r="PN1" i="2" s="1"/>
  <c r="PO1" i="2" s="1"/>
  <c r="PP1" i="2" s="1"/>
  <c r="PQ1" i="2" s="1"/>
  <c r="PR1" i="2" s="1"/>
  <c r="PS1" i="2" s="1"/>
  <c r="PT1" i="2" s="1"/>
  <c r="PU1" i="2" s="1"/>
  <c r="PV1" i="2" s="1"/>
  <c r="PW1" i="2" s="1"/>
  <c r="PX1" i="2" s="1"/>
  <c r="PY1" i="2" s="1"/>
  <c r="PZ1" i="2" s="1"/>
  <c r="QA1" i="2" s="1"/>
  <c r="QB1" i="2" s="1"/>
  <c r="QC1" i="2" s="1"/>
  <c r="QD1" i="2" s="1"/>
  <c r="QE1" i="2" s="1"/>
  <c r="QF1" i="2" s="1"/>
  <c r="QG1" i="2" s="1"/>
  <c r="QH1" i="2" s="1"/>
  <c r="QI1" i="2" s="1"/>
  <c r="QJ1" i="2" s="1"/>
  <c r="QK1" i="2" s="1"/>
  <c r="QL1" i="2" s="1"/>
  <c r="QM1" i="2" s="1"/>
  <c r="QN1" i="2" s="1"/>
  <c r="QO1" i="2" s="1"/>
  <c r="QP1" i="2" s="1"/>
  <c r="QQ1" i="2" s="1"/>
  <c r="QR1" i="2" s="1"/>
  <c r="QS1" i="2" s="1"/>
  <c r="QT1" i="2" s="1"/>
  <c r="QU1" i="2" s="1"/>
  <c r="QV1" i="2" s="1"/>
  <c r="QW1" i="2" s="1"/>
  <c r="QX1" i="2" s="1"/>
  <c r="QY1" i="2" s="1"/>
  <c r="QZ1" i="2" s="1"/>
  <c r="RA1" i="2" s="1"/>
  <c r="RB1" i="2" s="1"/>
  <c r="RC1" i="2" s="1"/>
  <c r="RD1" i="2" s="1"/>
  <c r="RE1" i="2" s="1"/>
  <c r="RF1" i="2" s="1"/>
  <c r="RG1" i="2" s="1"/>
  <c r="RH1" i="2" s="1"/>
  <c r="RI1" i="2" s="1"/>
  <c r="RJ1" i="2" s="1"/>
  <c r="RK1" i="2" s="1"/>
  <c r="RL1" i="2" s="1"/>
  <c r="RM1" i="2" s="1"/>
  <c r="RN1" i="2" s="1"/>
  <c r="RO1" i="2" s="1"/>
  <c r="RP1" i="2" s="1"/>
  <c r="RQ1" i="2" s="1"/>
  <c r="RR1" i="2" s="1"/>
  <c r="RS1" i="2" s="1"/>
  <c r="RT1" i="2" s="1"/>
  <c r="RU1" i="2" s="1"/>
  <c r="RV1" i="2" s="1"/>
  <c r="RW1" i="2" s="1"/>
  <c r="RX1" i="2" s="1"/>
  <c r="RY1" i="2" s="1"/>
  <c r="RZ1" i="2" s="1"/>
  <c r="SA1" i="2" s="1"/>
  <c r="SB1" i="2" s="1"/>
  <c r="SC1" i="2" s="1"/>
  <c r="SD1" i="2" s="1"/>
  <c r="SE1" i="2" s="1"/>
  <c r="SF1" i="2" s="1"/>
  <c r="SG1" i="2" s="1"/>
  <c r="SH1" i="2" s="1"/>
  <c r="SI1" i="2" s="1"/>
  <c r="SJ1" i="2" s="1"/>
  <c r="SK1" i="2" s="1"/>
  <c r="SL1" i="2" s="1"/>
  <c r="SM1" i="2" s="1"/>
  <c r="SN1" i="2" s="1"/>
  <c r="SO1" i="2" s="1"/>
  <c r="SP1" i="2" s="1"/>
  <c r="SQ1" i="2" s="1"/>
  <c r="SR1" i="2" s="1"/>
  <c r="SS1" i="2" s="1"/>
  <c r="ST1" i="2" s="1"/>
  <c r="SU1" i="2" s="1"/>
  <c r="SV1" i="2" s="1"/>
  <c r="SW1" i="2" s="1"/>
  <c r="SX1" i="2" s="1"/>
  <c r="SY1" i="2" s="1"/>
  <c r="SZ1" i="2" s="1"/>
  <c r="TA1" i="2" s="1"/>
  <c r="TB1" i="2" s="1"/>
  <c r="TC1" i="2" s="1"/>
  <c r="TD1" i="2" s="1"/>
  <c r="TE1" i="2" s="1"/>
  <c r="TF1" i="2" s="1"/>
  <c r="TG1" i="2" s="1"/>
  <c r="TH1" i="2" s="1"/>
  <c r="TI1" i="2" s="1"/>
  <c r="TJ1" i="2" s="1"/>
  <c r="TK1" i="2" s="1"/>
  <c r="TL1" i="2" s="1"/>
  <c r="TM1" i="2" s="1"/>
  <c r="TN1" i="2" s="1"/>
  <c r="TO1" i="2" s="1"/>
  <c r="TP1" i="2" s="1"/>
  <c r="TQ1" i="2" s="1"/>
  <c r="TR1" i="2" s="1"/>
  <c r="TS1" i="2" s="1"/>
  <c r="TT1" i="2" s="1"/>
  <c r="TU1" i="2" s="1"/>
  <c r="TV1" i="2" s="1"/>
  <c r="TW1" i="2" s="1"/>
  <c r="TX1" i="2" s="1"/>
  <c r="TY1" i="2" s="1"/>
  <c r="TZ1" i="2" s="1"/>
  <c r="UA1" i="2" s="1"/>
  <c r="UB1" i="2" s="1"/>
  <c r="UC1" i="2" s="1"/>
  <c r="UD1" i="2" s="1"/>
  <c r="UE1" i="2" s="1"/>
  <c r="UF1" i="2" s="1"/>
  <c r="UG1" i="2" s="1"/>
  <c r="UH1" i="2" s="1"/>
  <c r="UI1" i="2" s="1"/>
  <c r="UJ1" i="2" s="1"/>
  <c r="UK1" i="2" s="1"/>
  <c r="UL1" i="2" s="1"/>
  <c r="UM1" i="2" s="1"/>
  <c r="UN1" i="2" s="1"/>
  <c r="UO1" i="2" s="1"/>
  <c r="UP1" i="2" s="1"/>
  <c r="UQ1" i="2" s="1"/>
  <c r="UR1" i="2" s="1"/>
  <c r="US1" i="2" s="1"/>
  <c r="UT1" i="2" s="1"/>
  <c r="UU1" i="2" s="1"/>
  <c r="UV1" i="2" s="1"/>
  <c r="UW1" i="2" s="1"/>
  <c r="UX1" i="2" s="1"/>
  <c r="UY1" i="2" s="1"/>
  <c r="UZ1" i="2" s="1"/>
  <c r="VA1" i="2" s="1"/>
  <c r="VB1" i="2" s="1"/>
  <c r="VC1" i="2" s="1"/>
  <c r="VD1" i="2" s="1"/>
  <c r="VE1" i="2" s="1"/>
  <c r="VF1" i="2" s="1"/>
  <c r="VG1" i="2" s="1"/>
  <c r="VH1" i="2" s="1"/>
  <c r="VI1" i="2" s="1"/>
  <c r="VJ1" i="2" s="1"/>
  <c r="VK1" i="2" s="1"/>
  <c r="VL1" i="2" s="1"/>
  <c r="VM1" i="2" s="1"/>
  <c r="VN1" i="2" s="1"/>
  <c r="VO1" i="2" s="1"/>
  <c r="VP1" i="2" s="1"/>
  <c r="VQ1" i="2" s="1"/>
  <c r="VR1" i="2" s="1"/>
  <c r="VS1" i="2" s="1"/>
  <c r="VT1" i="2" s="1"/>
  <c r="VU1" i="2" s="1"/>
  <c r="VV1" i="2" s="1"/>
  <c r="VW1" i="2" s="1"/>
  <c r="VX1" i="2" s="1"/>
  <c r="VY1" i="2" s="1"/>
  <c r="VZ1" i="2" s="1"/>
  <c r="WA1" i="2" s="1"/>
  <c r="WB1" i="2" s="1"/>
  <c r="WC1" i="2" s="1"/>
  <c r="WD1" i="2" s="1"/>
  <c r="WE1" i="2" s="1"/>
  <c r="WF1" i="2" s="1"/>
  <c r="WG1" i="2" s="1"/>
  <c r="WH1" i="2" s="1"/>
  <c r="WI1" i="2" s="1"/>
  <c r="WJ1" i="2" s="1"/>
  <c r="WK1" i="2" s="1"/>
  <c r="WL1" i="2" s="1"/>
  <c r="WM1" i="2" s="1"/>
  <c r="WN1" i="2" s="1"/>
  <c r="WO1" i="2" s="1"/>
  <c r="WP1" i="2" s="1"/>
  <c r="WQ1" i="2" s="1"/>
  <c r="WR1" i="2" s="1"/>
  <c r="WS1" i="2" s="1"/>
  <c r="WT1" i="2" s="1"/>
  <c r="WU1" i="2" s="1"/>
  <c r="WV1" i="2" s="1"/>
  <c r="WW1" i="2" s="1"/>
  <c r="WX1" i="2" s="1"/>
  <c r="WY1" i="2" s="1"/>
  <c r="WZ1" i="2" s="1"/>
  <c r="XA1" i="2" s="1"/>
  <c r="XB1" i="2" s="1"/>
  <c r="XC1" i="2" s="1"/>
  <c r="XD1" i="2" s="1"/>
  <c r="XE1" i="2" s="1"/>
  <c r="XF1" i="2" s="1"/>
  <c r="XG1" i="2" s="1"/>
  <c r="XH1" i="2" s="1"/>
  <c r="XI1" i="2" s="1"/>
  <c r="XJ1" i="2" s="1"/>
  <c r="XK1" i="2" s="1"/>
  <c r="XL1" i="2" s="1"/>
  <c r="XM1" i="2" s="1"/>
  <c r="XN1" i="2" s="1"/>
  <c r="XO1" i="2" s="1"/>
  <c r="XP1" i="2" s="1"/>
  <c r="XQ1" i="2" s="1"/>
  <c r="XR1" i="2" s="1"/>
  <c r="XS1" i="2" s="1"/>
  <c r="XT1" i="2" s="1"/>
  <c r="XU1" i="2" s="1"/>
  <c r="XV1" i="2" s="1"/>
  <c r="XW1" i="2" s="1"/>
  <c r="XX1" i="2" s="1"/>
  <c r="XY1" i="2" s="1"/>
  <c r="XZ1" i="2" s="1"/>
  <c r="YA1" i="2" s="1"/>
  <c r="YB1" i="2" s="1"/>
  <c r="YC1" i="2" s="1"/>
  <c r="YD1" i="2" s="1"/>
  <c r="YE1" i="2" s="1"/>
  <c r="YF1" i="2" s="1"/>
  <c r="YG1" i="2" s="1"/>
  <c r="YH1" i="2" s="1"/>
  <c r="YI1" i="2" s="1"/>
  <c r="YJ1" i="2" s="1"/>
  <c r="YK1" i="2" s="1"/>
  <c r="YL1" i="2" s="1"/>
  <c r="YM1" i="2" s="1"/>
  <c r="YN1" i="2" s="1"/>
  <c r="YO1" i="2" s="1"/>
  <c r="YP1" i="2" s="1"/>
  <c r="YQ1" i="2" s="1"/>
  <c r="YR1" i="2" s="1"/>
  <c r="YS1" i="2" s="1"/>
  <c r="YT1" i="2" s="1"/>
  <c r="YU1" i="2" s="1"/>
  <c r="YV1" i="2" s="1"/>
  <c r="YW1" i="2" s="1"/>
  <c r="YX1" i="2" s="1"/>
  <c r="YY1" i="2" s="1"/>
  <c r="YZ1" i="2" s="1"/>
  <c r="ZA1" i="2" s="1"/>
  <c r="ZB1" i="2" s="1"/>
  <c r="ZC1" i="2" s="1"/>
  <c r="ZD1" i="2" s="1"/>
  <c r="ZE1" i="2" s="1"/>
  <c r="ZF1" i="2" s="1"/>
  <c r="ZG1" i="2" s="1"/>
  <c r="ZH1" i="2" s="1"/>
  <c r="ZI1" i="2" s="1"/>
  <c r="ZJ1" i="2" s="1"/>
  <c r="ZK1" i="2" s="1"/>
  <c r="ZL1" i="2" s="1"/>
  <c r="ZM1" i="2" s="1"/>
  <c r="ZN1" i="2" s="1"/>
  <c r="ZO1" i="2" s="1"/>
  <c r="ZP1" i="2" s="1"/>
  <c r="ZQ1" i="2" s="1"/>
  <c r="ZR1" i="2" s="1"/>
  <c r="ZS1" i="2" s="1"/>
  <c r="ZT1" i="2" s="1"/>
  <c r="ZU1" i="2" s="1"/>
  <c r="ZV1" i="2" s="1"/>
  <c r="ZW1" i="2" s="1"/>
  <c r="ZX1" i="2" s="1"/>
  <c r="ZY1" i="2" s="1"/>
  <c r="ZZ1" i="2" s="1"/>
  <c r="AAA1" i="2" s="1"/>
  <c r="AAB1" i="2" s="1"/>
  <c r="AAC1" i="2" s="1"/>
  <c r="AAD1" i="2" s="1"/>
  <c r="AAE1" i="2" s="1"/>
  <c r="AAF1" i="2" s="1"/>
  <c r="AAG1" i="2" s="1"/>
  <c r="AAH1" i="2" s="1"/>
  <c r="AAI1" i="2" s="1"/>
  <c r="AAJ1" i="2" s="1"/>
  <c r="AAK1" i="2" s="1"/>
  <c r="AAL1" i="2" s="1"/>
  <c r="AAM1" i="2" s="1"/>
  <c r="AAN1" i="2" s="1"/>
  <c r="AAO1" i="2" s="1"/>
  <c r="AAP1" i="2" s="1"/>
  <c r="AAQ1" i="2" s="1"/>
  <c r="AAR1" i="2" s="1"/>
  <c r="AAS1" i="2" s="1"/>
  <c r="AAT1" i="2" s="1"/>
  <c r="AAU1" i="2" s="1"/>
  <c r="AAV1" i="2" s="1"/>
  <c r="AAW1" i="2" s="1"/>
  <c r="AAX1" i="2" s="1"/>
  <c r="AAY1" i="2" s="1"/>
  <c r="AAZ1" i="2" s="1"/>
  <c r="ABA1" i="2" s="1"/>
  <c r="ABB1" i="2" s="1"/>
  <c r="ABC1" i="2" s="1"/>
  <c r="ABD1" i="2" s="1"/>
  <c r="ABE1" i="2" s="1"/>
  <c r="ABF1" i="2" s="1"/>
  <c r="ABG1" i="2" s="1"/>
  <c r="ABH1" i="2" s="1"/>
  <c r="ABI1" i="2" s="1"/>
  <c r="ABJ1" i="2" s="1"/>
  <c r="ABK1" i="2" s="1"/>
  <c r="ABL1" i="2" s="1"/>
  <c r="ABM1" i="2" s="1"/>
  <c r="ABN1" i="2" s="1"/>
  <c r="ABO1" i="2" s="1"/>
  <c r="ABP1" i="2" s="1"/>
  <c r="ABQ1" i="2" s="1"/>
  <c r="ABR1" i="2" s="1"/>
  <c r="ABS1" i="2" s="1"/>
  <c r="ABT1" i="2" s="1"/>
  <c r="ABU1" i="2" s="1"/>
  <c r="ABV1" i="2" s="1"/>
  <c r="ABW1" i="2" s="1"/>
  <c r="ABX1" i="2" s="1"/>
  <c r="ABY1" i="2" s="1"/>
  <c r="ABZ1" i="2" s="1"/>
  <c r="ACA1" i="2" s="1"/>
  <c r="ACB1" i="2" s="1"/>
  <c r="ACC1" i="2" s="1"/>
  <c r="ACD1" i="2" s="1"/>
  <c r="ACE1" i="2" s="1"/>
  <c r="ACF1" i="2" s="1"/>
  <c r="ACG1" i="2" s="1"/>
  <c r="ACH1" i="2" s="1"/>
  <c r="ACI1" i="2" s="1"/>
  <c r="ACJ1" i="2" s="1"/>
  <c r="ACK1" i="2" s="1"/>
  <c r="ACL1" i="2" s="1"/>
  <c r="ACM1" i="2" s="1"/>
  <c r="ACN1" i="2" s="1"/>
  <c r="ACO1" i="2" s="1"/>
  <c r="ACP1" i="2" s="1"/>
  <c r="ACQ1" i="2" s="1"/>
  <c r="ACR1" i="2" s="1"/>
  <c r="ACS1" i="2" s="1"/>
  <c r="ACT1" i="2" s="1"/>
  <c r="ACU1" i="2" s="1"/>
  <c r="ACV1" i="2" s="1"/>
  <c r="ACW1" i="2" s="1"/>
  <c r="ACX1" i="2" s="1"/>
  <c r="ACY1" i="2" s="1"/>
  <c r="ACZ1" i="2" s="1"/>
  <c r="ADA1" i="2" s="1"/>
  <c r="ADB1" i="2" s="1"/>
  <c r="ADC1" i="2" s="1"/>
  <c r="ADD1" i="2" s="1"/>
  <c r="J1" i="2"/>
  <c r="D4" i="1" l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3" i="1"/>
  <c r="AC14" i="1"/>
  <c r="AC13" i="1"/>
  <c r="AC12" i="1"/>
  <c r="AC11" i="1"/>
  <c r="AC10" i="1"/>
  <c r="AC9" i="1"/>
  <c r="AC8" i="1"/>
  <c r="AC7" i="1"/>
  <c r="AC6" i="1"/>
  <c r="AC5" i="1"/>
  <c r="AC4" i="1"/>
  <c r="AC3" i="1"/>
  <c r="W1348" i="1" l="1"/>
  <c r="AB1348" i="1" s="1" a="1"/>
  <c r="AB1348" i="1" s="1"/>
  <c r="C345" i="3" l="1"/>
  <c r="C344" i="3"/>
  <c r="C343" i="3"/>
  <c r="C342" i="3"/>
  <c r="C341" i="3"/>
  <c r="C340" i="3"/>
  <c r="C339" i="3"/>
  <c r="C338" i="3"/>
  <c r="C337" i="3"/>
  <c r="C336" i="3"/>
  <c r="C335" i="3"/>
  <c r="C334" i="3"/>
  <c r="C333" i="3"/>
  <c r="C332" i="3"/>
  <c r="C331" i="3"/>
  <c r="C330" i="3"/>
  <c r="C329" i="3"/>
  <c r="C328" i="3"/>
  <c r="C327" i="3"/>
  <c r="C326" i="3"/>
  <c r="C325" i="3"/>
  <c r="C324" i="3"/>
  <c r="C323" i="3"/>
  <c r="C322" i="3"/>
  <c r="C321" i="3"/>
  <c r="C320" i="3"/>
  <c r="C319" i="3"/>
  <c r="C318" i="3"/>
  <c r="C317" i="3"/>
  <c r="C316" i="3"/>
  <c r="C315" i="3"/>
  <c r="C314" i="3"/>
  <c r="C313" i="3"/>
  <c r="C312" i="3"/>
  <c r="C311" i="3"/>
  <c r="C310" i="3"/>
  <c r="C309" i="3"/>
  <c r="C308" i="3"/>
  <c r="C307" i="3"/>
  <c r="C306" i="3"/>
  <c r="C305" i="3"/>
  <c r="C304" i="3"/>
  <c r="C303" i="3"/>
  <c r="C302" i="3"/>
  <c r="C301" i="3"/>
  <c r="C300" i="3"/>
  <c r="C299" i="3"/>
  <c r="C298" i="3"/>
  <c r="C297" i="3"/>
  <c r="C296" i="3"/>
  <c r="C295" i="3"/>
  <c r="C294" i="3"/>
  <c r="C293" i="3"/>
  <c r="C292" i="3"/>
  <c r="C291" i="3"/>
  <c r="C290" i="3"/>
  <c r="C289" i="3"/>
  <c r="C288" i="3"/>
  <c r="C287" i="3"/>
  <c r="C286" i="3"/>
  <c r="C285" i="3"/>
  <c r="C284" i="3"/>
  <c r="C283" i="3"/>
  <c r="C282" i="3"/>
  <c r="C281" i="3"/>
  <c r="C280" i="3"/>
  <c r="C279" i="3"/>
  <c r="C278" i="3"/>
  <c r="C277" i="3"/>
  <c r="C276" i="3"/>
  <c r="C275" i="3"/>
  <c r="C274" i="3"/>
  <c r="C273" i="3"/>
  <c r="C272" i="3"/>
  <c r="C271" i="3"/>
  <c r="C270" i="3"/>
  <c r="C269" i="3"/>
  <c r="C268" i="3"/>
  <c r="C267" i="3"/>
  <c r="C266" i="3"/>
  <c r="C265" i="3"/>
  <c r="C264" i="3"/>
  <c r="C263" i="3"/>
  <c r="C262" i="3"/>
  <c r="C261" i="3"/>
  <c r="C260" i="3"/>
  <c r="C259" i="3"/>
  <c r="C258" i="3"/>
  <c r="C257" i="3"/>
  <c r="C256" i="3"/>
  <c r="C255" i="3"/>
  <c r="C254" i="3"/>
  <c r="C253" i="3"/>
  <c r="C252" i="3"/>
  <c r="C251" i="3"/>
  <c r="C250" i="3"/>
  <c r="C249" i="3"/>
  <c r="C248" i="3"/>
  <c r="C247" i="3"/>
  <c r="C246" i="3"/>
  <c r="C245" i="3"/>
  <c r="C244" i="3"/>
  <c r="C243" i="3"/>
  <c r="C242" i="3"/>
  <c r="C241" i="3"/>
  <c r="C240" i="3"/>
  <c r="C239" i="3"/>
  <c r="C238" i="3"/>
  <c r="C237" i="3"/>
  <c r="C236" i="3"/>
  <c r="C235" i="3"/>
  <c r="C234" i="3"/>
  <c r="C233" i="3"/>
  <c r="C232" i="3"/>
  <c r="C231" i="3"/>
  <c r="C230" i="3"/>
  <c r="C229" i="3"/>
  <c r="C228" i="3"/>
  <c r="C227" i="3"/>
  <c r="C226" i="3"/>
  <c r="C225" i="3"/>
  <c r="C224" i="3"/>
  <c r="C223" i="3"/>
  <c r="C222" i="3"/>
  <c r="C221" i="3"/>
  <c r="C220" i="3"/>
  <c r="C219" i="3"/>
  <c r="C218" i="3"/>
  <c r="C217" i="3"/>
  <c r="C216" i="3"/>
  <c r="C215" i="3"/>
  <c r="C214" i="3"/>
  <c r="C213" i="3"/>
  <c r="C212" i="3"/>
  <c r="C211" i="3"/>
  <c r="C210" i="3"/>
  <c r="C209" i="3"/>
  <c r="C208" i="3"/>
  <c r="C207" i="3"/>
  <c r="C206" i="3"/>
  <c r="C205" i="3"/>
  <c r="C204" i="3"/>
  <c r="C203" i="3"/>
  <c r="C202" i="3"/>
  <c r="C201" i="3"/>
  <c r="C200" i="3"/>
  <c r="C199" i="3"/>
  <c r="C198" i="3"/>
  <c r="C197" i="3"/>
  <c r="C196" i="3"/>
  <c r="C195" i="3"/>
  <c r="C194" i="3"/>
  <c r="C193" i="3"/>
  <c r="C192" i="3"/>
  <c r="C191" i="3"/>
  <c r="C190" i="3"/>
  <c r="C189" i="3"/>
  <c r="C188" i="3"/>
  <c r="C187" i="3"/>
  <c r="C186" i="3"/>
  <c r="C185" i="3"/>
  <c r="C184" i="3"/>
  <c r="C183" i="3"/>
  <c r="C182" i="3"/>
  <c r="C181" i="3"/>
  <c r="C180" i="3"/>
  <c r="C179" i="3"/>
  <c r="C178" i="3"/>
  <c r="C177" i="3"/>
  <c r="C176" i="3"/>
  <c r="C175" i="3"/>
  <c r="C174" i="3"/>
  <c r="C173" i="3"/>
  <c r="C172" i="3"/>
  <c r="C171" i="3"/>
  <c r="C170" i="3"/>
  <c r="C169" i="3"/>
  <c r="C168" i="3"/>
  <c r="C167" i="3"/>
  <c r="C166" i="3"/>
  <c r="C165" i="3"/>
  <c r="C164" i="3"/>
  <c r="C163" i="3"/>
  <c r="C162" i="3"/>
  <c r="C161" i="3"/>
  <c r="C160" i="3"/>
  <c r="C159" i="3"/>
  <c r="C158" i="3"/>
  <c r="C157" i="3"/>
  <c r="C156" i="3"/>
  <c r="C155" i="3"/>
  <c r="C154" i="3"/>
  <c r="C153" i="3"/>
  <c r="C152" i="3"/>
  <c r="C151" i="3"/>
  <c r="C150" i="3"/>
  <c r="C149" i="3"/>
  <c r="C148" i="3"/>
  <c r="C147" i="3"/>
  <c r="C146" i="3"/>
  <c r="C145" i="3"/>
  <c r="C144" i="3"/>
  <c r="C143" i="3"/>
  <c r="C142" i="3"/>
  <c r="C141" i="3"/>
  <c r="C140" i="3"/>
  <c r="C139" i="3"/>
  <c r="C138" i="3"/>
  <c r="C137" i="3"/>
  <c r="C136" i="3"/>
  <c r="C135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D4" i="2" l="1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3" i="2"/>
  <c r="C1" i="2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5" i="1"/>
  <c r="AS30" i="1" l="1"/>
  <c r="AS22" i="1"/>
  <c r="AS14" i="1"/>
  <c r="AS38" i="1"/>
  <c r="AS36" i="1"/>
  <c r="AS28" i="1"/>
  <c r="AS20" i="1"/>
  <c r="AS12" i="1"/>
  <c r="AS34" i="1"/>
  <c r="AS26" i="1"/>
  <c r="AS18" i="1"/>
  <c r="AS10" i="1"/>
  <c r="AS41" i="1"/>
  <c r="AS33" i="1"/>
  <c r="AS25" i="1"/>
  <c r="AS17" i="1"/>
  <c r="AS9" i="1"/>
  <c r="AS5" i="1"/>
  <c r="AS39" i="1"/>
  <c r="AS31" i="1"/>
  <c r="AS23" i="1"/>
  <c r="AS15" i="1"/>
  <c r="AS7" i="1"/>
  <c r="AS37" i="1"/>
  <c r="AS29" i="1"/>
  <c r="AS21" i="1"/>
  <c r="AS13" i="1"/>
  <c r="AS40" i="1"/>
  <c r="AS32" i="1"/>
  <c r="AS24" i="1"/>
  <c r="AS16" i="1"/>
  <c r="AS8" i="1"/>
  <c r="AS35" i="1"/>
  <c r="AS27" i="1"/>
  <c r="AS19" i="1"/>
  <c r="AS11" i="1"/>
  <c r="AR6" i="1" l="1"/>
  <c r="AS6" i="1" s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Olivo, Alejandro</author>
    <author>Felipe Guerrero Fuentes</author>
  </authors>
  <commentList>
    <comment ref="V2" authorId="0" shapeId="0" xr:uid="{C3772BCB-9BB4-4422-8564-54D973430892}">
      <text>
        <r>
          <rPr>
            <b/>
            <sz val="9"/>
            <color indexed="81"/>
            <rFont val="Tahoma"/>
            <family val="2"/>
          </rPr>
          <t>Olivo, Alejandro:</t>
        </r>
        <r>
          <rPr>
            <sz val="9"/>
            <color indexed="81"/>
            <rFont val="Tahoma"/>
            <family val="2"/>
          </rPr>
          <t xml:space="preserve">
A la fecha corte</t>
        </r>
      </text>
    </comment>
    <comment ref="W2" authorId="0" shapeId="0" xr:uid="{8B2DF5F9-65C3-4167-A198-7CE95673858C}">
      <text>
        <r>
          <rPr>
            <b/>
            <sz val="9"/>
            <color indexed="81"/>
            <rFont val="Tahoma"/>
            <family val="2"/>
          </rPr>
          <t>Olivo, Alejandro:</t>
        </r>
        <r>
          <rPr>
            <sz val="9"/>
            <color indexed="81"/>
            <rFont val="Tahoma"/>
            <family val="2"/>
          </rPr>
          <t xml:space="preserve">
Día endoso</t>
        </r>
      </text>
    </comment>
    <comment ref="N478" authorId="1" shapeId="0" xr:uid="{C2FDB659-F552-43FF-91A4-0F8A8946886B}">
      <text>
        <r>
          <rPr>
            <b/>
            <sz val="9"/>
            <color indexed="81"/>
            <rFont val="Tahoma"/>
            <family val="2"/>
          </rPr>
          <t>Felipe Guerrero Fuentes:</t>
        </r>
        <r>
          <rPr>
            <sz val="9"/>
            <color indexed="81"/>
            <rFont val="Tahoma"/>
            <family val="2"/>
          </rPr>
          <t xml:space="preserve">
valor compra-venta en valorizacion</t>
        </r>
      </text>
    </comment>
    <comment ref="S478" authorId="1" shapeId="0" xr:uid="{DACF5FD9-E078-4970-9537-0F3180DE38D1}">
      <text>
        <r>
          <rPr>
            <b/>
            <sz val="9"/>
            <color indexed="81"/>
            <rFont val="Tahoma"/>
            <family val="2"/>
          </rPr>
          <t>Felipe Guerrero Fuentes:</t>
        </r>
        <r>
          <rPr>
            <sz val="9"/>
            <color indexed="81"/>
            <rFont val="Tahoma"/>
            <family val="2"/>
          </rPr>
          <t xml:space="preserve">
primer dividendo que recibe inv. Pago primer dividendo en V
</t>
        </r>
      </text>
    </comment>
    <comment ref="U478" authorId="1" shapeId="0" xr:uid="{3BBA66B6-40B0-4D87-BD9C-A1FFF962F968}">
      <text>
        <r>
          <rPr>
            <b/>
            <sz val="9"/>
            <color indexed="81"/>
            <rFont val="Tahoma"/>
            <family val="2"/>
          </rPr>
          <t>Felipe Guerrero Fuentes:</t>
        </r>
        <r>
          <rPr>
            <sz val="9"/>
            <color indexed="81"/>
            <rFont val="Tahoma"/>
            <family val="2"/>
          </rPr>
          <t xml:space="preserve">
primer diez del primer mes del primer dividendo</t>
        </r>
      </text>
    </comment>
    <comment ref="Z478" authorId="1" shapeId="0" xr:uid="{FBDCF69C-451E-4D96-AF5E-F4A174B0BDE8}">
      <text>
        <r>
          <rPr>
            <b/>
            <sz val="9"/>
            <color indexed="81"/>
            <rFont val="Tahoma"/>
            <family val="2"/>
          </rPr>
          <t>Felipe Guerrero Fuentes:</t>
        </r>
        <r>
          <rPr>
            <sz val="9"/>
            <color indexed="81"/>
            <rFont val="Tahoma"/>
            <family val="2"/>
          </rPr>
          <t xml:space="preserve">
valor tasacion</t>
        </r>
      </text>
    </comment>
    <comment ref="AB478" authorId="1" shapeId="0" xr:uid="{F2507AE2-0C6D-4062-896D-1BF5AB30D608}">
      <text>
        <r>
          <rPr>
            <b/>
            <sz val="9"/>
            <color indexed="81"/>
            <rFont val="Tahoma"/>
            <family val="2"/>
          </rPr>
          <t>Felipe Guerrero Fuentes:</t>
        </r>
        <r>
          <rPr>
            <sz val="9"/>
            <color indexed="81"/>
            <rFont val="Tahoma"/>
            <family val="2"/>
          </rPr>
          <t xml:space="preserve">
tasa de endoso</t>
        </r>
      </text>
    </comment>
    <comment ref="N504" authorId="1" shapeId="0" xr:uid="{328889AD-7192-4953-A8ED-8647E4A4A20D}">
      <text>
        <r>
          <rPr>
            <b/>
            <sz val="9"/>
            <color indexed="81"/>
            <rFont val="Tahoma"/>
            <family val="2"/>
          </rPr>
          <t>Felipe Guerrero Fuentes:</t>
        </r>
        <r>
          <rPr>
            <sz val="9"/>
            <color indexed="81"/>
            <rFont val="Tahoma"/>
            <family val="2"/>
          </rPr>
          <t xml:space="preserve">
valor compra-venta en valorizacion</t>
        </r>
      </text>
    </comment>
    <comment ref="S504" authorId="1" shapeId="0" xr:uid="{CD965556-285F-4B94-B6DA-D55F5B36C270}">
      <text>
        <r>
          <rPr>
            <b/>
            <sz val="9"/>
            <color indexed="81"/>
            <rFont val="Tahoma"/>
            <family val="2"/>
          </rPr>
          <t>Felipe Guerrero Fuentes:</t>
        </r>
        <r>
          <rPr>
            <sz val="9"/>
            <color indexed="81"/>
            <rFont val="Tahoma"/>
            <family val="2"/>
          </rPr>
          <t xml:space="preserve">
primer dividendo que recibe inv. Pago primer dividendo en V
</t>
        </r>
      </text>
    </comment>
    <comment ref="U504" authorId="1" shapeId="0" xr:uid="{ED42D767-FA4E-4640-8606-4922F2157C1F}">
      <text>
        <r>
          <rPr>
            <b/>
            <sz val="9"/>
            <color indexed="81"/>
            <rFont val="Tahoma"/>
            <family val="2"/>
          </rPr>
          <t>Felipe Guerrero Fuentes:</t>
        </r>
        <r>
          <rPr>
            <sz val="9"/>
            <color indexed="81"/>
            <rFont val="Tahoma"/>
            <family val="2"/>
          </rPr>
          <t xml:space="preserve">
primer diez del primer mes del primer dividendo</t>
        </r>
      </text>
    </comment>
    <comment ref="Z504" authorId="1" shapeId="0" xr:uid="{BB2180DD-D336-4041-830E-2DBEFFA49B1C}">
      <text>
        <r>
          <rPr>
            <b/>
            <sz val="9"/>
            <color indexed="81"/>
            <rFont val="Tahoma"/>
            <family val="2"/>
          </rPr>
          <t>Felipe Guerrero Fuentes:</t>
        </r>
        <r>
          <rPr>
            <sz val="9"/>
            <color indexed="81"/>
            <rFont val="Tahoma"/>
            <family val="2"/>
          </rPr>
          <t xml:space="preserve">
valor tasacion</t>
        </r>
      </text>
    </comment>
    <comment ref="AB504" authorId="1" shapeId="0" xr:uid="{61E3B691-9D00-4818-9B5B-A31BBB2E66C2}">
      <text>
        <r>
          <rPr>
            <b/>
            <sz val="9"/>
            <color indexed="81"/>
            <rFont val="Tahoma"/>
            <family val="2"/>
          </rPr>
          <t>Felipe Guerrero Fuentes:</t>
        </r>
        <r>
          <rPr>
            <sz val="9"/>
            <color indexed="81"/>
            <rFont val="Tahoma"/>
            <family val="2"/>
          </rPr>
          <t xml:space="preserve">
tasa de endoso</t>
        </r>
      </text>
    </comment>
    <comment ref="N524" authorId="1" shapeId="0" xr:uid="{698C66FE-61A0-43D1-8266-4E152C28D09E}">
      <text>
        <r>
          <rPr>
            <b/>
            <sz val="9"/>
            <color indexed="81"/>
            <rFont val="Tahoma"/>
            <family val="2"/>
          </rPr>
          <t>Felipe Guerrero Fuentes:</t>
        </r>
        <r>
          <rPr>
            <sz val="9"/>
            <color indexed="81"/>
            <rFont val="Tahoma"/>
            <family val="2"/>
          </rPr>
          <t xml:space="preserve">
valor compra-venta en valorizacion</t>
        </r>
      </text>
    </comment>
    <comment ref="S524" authorId="1" shapeId="0" xr:uid="{F024DF0E-230D-4C52-A49A-5735E7AA8ADF}">
      <text>
        <r>
          <rPr>
            <b/>
            <sz val="9"/>
            <color indexed="81"/>
            <rFont val="Tahoma"/>
            <family val="2"/>
          </rPr>
          <t>Felipe Guerrero Fuentes:</t>
        </r>
        <r>
          <rPr>
            <sz val="9"/>
            <color indexed="81"/>
            <rFont val="Tahoma"/>
            <family val="2"/>
          </rPr>
          <t xml:space="preserve">
primer dividendo que recibe inv. Pago primer dividendo en V
</t>
        </r>
      </text>
    </comment>
    <comment ref="U524" authorId="1" shapeId="0" xr:uid="{5377C72D-7D40-4054-9BBD-6B39C8061C96}">
      <text>
        <r>
          <rPr>
            <b/>
            <sz val="9"/>
            <color indexed="81"/>
            <rFont val="Tahoma"/>
            <family val="2"/>
          </rPr>
          <t>Felipe Guerrero Fuentes:</t>
        </r>
        <r>
          <rPr>
            <sz val="9"/>
            <color indexed="81"/>
            <rFont val="Tahoma"/>
            <family val="2"/>
          </rPr>
          <t xml:space="preserve">
primer diez del primer mes del primer dividendo</t>
        </r>
      </text>
    </comment>
    <comment ref="Z524" authorId="1" shapeId="0" xr:uid="{03ABD01E-7EDA-4970-BEDB-273FA3003455}">
      <text>
        <r>
          <rPr>
            <b/>
            <sz val="9"/>
            <color indexed="81"/>
            <rFont val="Tahoma"/>
            <family val="2"/>
          </rPr>
          <t>Felipe Guerrero Fuentes:</t>
        </r>
        <r>
          <rPr>
            <sz val="9"/>
            <color indexed="81"/>
            <rFont val="Tahoma"/>
            <family val="2"/>
          </rPr>
          <t xml:space="preserve">
valor tasacion</t>
        </r>
      </text>
    </comment>
    <comment ref="AB524" authorId="1" shapeId="0" xr:uid="{116C56AB-611A-41EC-ABEB-A9A566E75226}">
      <text>
        <r>
          <rPr>
            <b/>
            <sz val="9"/>
            <color indexed="81"/>
            <rFont val="Tahoma"/>
            <family val="2"/>
          </rPr>
          <t>Felipe Guerrero Fuentes:</t>
        </r>
        <r>
          <rPr>
            <sz val="9"/>
            <color indexed="81"/>
            <rFont val="Tahoma"/>
            <family val="2"/>
          </rPr>
          <t xml:space="preserve">
tasa de endoso</t>
        </r>
      </text>
    </comment>
    <comment ref="N533" authorId="1" shapeId="0" xr:uid="{35B9CD81-B992-4FE1-8048-865A18CD7C44}">
      <text>
        <r>
          <rPr>
            <b/>
            <sz val="9"/>
            <color indexed="81"/>
            <rFont val="Tahoma"/>
            <family val="2"/>
          </rPr>
          <t>Felipe Guerrero Fuentes:</t>
        </r>
        <r>
          <rPr>
            <sz val="9"/>
            <color indexed="81"/>
            <rFont val="Tahoma"/>
            <family val="2"/>
          </rPr>
          <t xml:space="preserve">
valor compra-venta en valorizacion</t>
        </r>
      </text>
    </comment>
    <comment ref="S533" authorId="1" shapeId="0" xr:uid="{A2474905-FBA7-43B9-8BA6-440EB655B233}">
      <text>
        <r>
          <rPr>
            <b/>
            <sz val="9"/>
            <color indexed="81"/>
            <rFont val="Tahoma"/>
            <family val="2"/>
          </rPr>
          <t>Felipe Guerrero Fuentes:</t>
        </r>
        <r>
          <rPr>
            <sz val="9"/>
            <color indexed="81"/>
            <rFont val="Tahoma"/>
            <family val="2"/>
          </rPr>
          <t xml:space="preserve">
primer dividendo que recibe inv. Pago primer dividendo en V
</t>
        </r>
      </text>
    </comment>
    <comment ref="U533" authorId="1" shapeId="0" xr:uid="{61E22F4E-F87F-4776-9373-179B48E7782D}">
      <text>
        <r>
          <rPr>
            <b/>
            <sz val="9"/>
            <color indexed="81"/>
            <rFont val="Tahoma"/>
            <family val="2"/>
          </rPr>
          <t>Felipe Guerrero Fuentes:</t>
        </r>
        <r>
          <rPr>
            <sz val="9"/>
            <color indexed="81"/>
            <rFont val="Tahoma"/>
            <family val="2"/>
          </rPr>
          <t xml:space="preserve">
primer diez del primer mes del primer dividendo</t>
        </r>
      </text>
    </comment>
    <comment ref="Z533" authorId="1" shapeId="0" xr:uid="{945F32E1-E471-4FD0-9427-E879553DD19B}">
      <text>
        <r>
          <rPr>
            <b/>
            <sz val="9"/>
            <color indexed="81"/>
            <rFont val="Tahoma"/>
            <family val="2"/>
          </rPr>
          <t>Felipe Guerrero Fuentes:</t>
        </r>
        <r>
          <rPr>
            <sz val="9"/>
            <color indexed="81"/>
            <rFont val="Tahoma"/>
            <family val="2"/>
          </rPr>
          <t xml:space="preserve">
valor tasacion</t>
        </r>
      </text>
    </comment>
    <comment ref="AB533" authorId="1" shapeId="0" xr:uid="{E6DF49FF-1A11-46B3-9D73-77918610E478}">
      <text>
        <r>
          <rPr>
            <b/>
            <sz val="9"/>
            <color indexed="81"/>
            <rFont val="Tahoma"/>
            <family val="2"/>
          </rPr>
          <t>Felipe Guerrero Fuentes:</t>
        </r>
        <r>
          <rPr>
            <sz val="9"/>
            <color indexed="81"/>
            <rFont val="Tahoma"/>
            <family val="2"/>
          </rPr>
          <t xml:space="preserve">
tasa de endoso</t>
        </r>
      </text>
    </comment>
    <comment ref="N546" authorId="1" shapeId="0" xr:uid="{44C1927B-2011-4879-AFBA-48F0620AED96}">
      <text>
        <r>
          <rPr>
            <b/>
            <sz val="9"/>
            <color indexed="81"/>
            <rFont val="Tahoma"/>
            <family val="2"/>
          </rPr>
          <t>Felipe Guerrero Fuentes:</t>
        </r>
        <r>
          <rPr>
            <sz val="9"/>
            <color indexed="81"/>
            <rFont val="Tahoma"/>
            <family val="2"/>
          </rPr>
          <t xml:space="preserve">
valor compra-venta en valorizacion</t>
        </r>
      </text>
    </comment>
    <comment ref="S546" authorId="1" shapeId="0" xr:uid="{B1AA140E-C714-423E-9D4B-006FB03062AF}">
      <text>
        <r>
          <rPr>
            <b/>
            <sz val="9"/>
            <color indexed="81"/>
            <rFont val="Tahoma"/>
            <family val="2"/>
          </rPr>
          <t>Felipe Guerrero Fuentes:</t>
        </r>
        <r>
          <rPr>
            <sz val="9"/>
            <color indexed="81"/>
            <rFont val="Tahoma"/>
            <family val="2"/>
          </rPr>
          <t xml:space="preserve">
primer dividendo que recibe inv. Pago primer dividendo en V
</t>
        </r>
      </text>
    </comment>
    <comment ref="U546" authorId="1" shapeId="0" xr:uid="{E68A1B32-83C8-4F8A-9329-F1B452F38E67}">
      <text>
        <r>
          <rPr>
            <b/>
            <sz val="9"/>
            <color indexed="81"/>
            <rFont val="Tahoma"/>
            <family val="2"/>
          </rPr>
          <t>Felipe Guerrero Fuentes:</t>
        </r>
        <r>
          <rPr>
            <sz val="9"/>
            <color indexed="81"/>
            <rFont val="Tahoma"/>
            <family val="2"/>
          </rPr>
          <t xml:space="preserve">
primer diez del primer mes del primer dividendo</t>
        </r>
      </text>
    </comment>
    <comment ref="Z546" authorId="1" shapeId="0" xr:uid="{717B3BEB-E40B-4731-8B8C-F66B5DEACF9D}">
      <text>
        <r>
          <rPr>
            <b/>
            <sz val="9"/>
            <color indexed="81"/>
            <rFont val="Tahoma"/>
            <family val="2"/>
          </rPr>
          <t>Felipe Guerrero Fuentes:</t>
        </r>
        <r>
          <rPr>
            <sz val="9"/>
            <color indexed="81"/>
            <rFont val="Tahoma"/>
            <family val="2"/>
          </rPr>
          <t xml:space="preserve">
valor tasacion</t>
        </r>
      </text>
    </comment>
    <comment ref="AB546" authorId="1" shapeId="0" xr:uid="{E31259A1-B90B-4061-90FA-DCCA268B1DFA}">
      <text>
        <r>
          <rPr>
            <b/>
            <sz val="9"/>
            <color indexed="81"/>
            <rFont val="Tahoma"/>
            <family val="2"/>
          </rPr>
          <t>Felipe Guerrero Fuentes:</t>
        </r>
        <r>
          <rPr>
            <sz val="9"/>
            <color indexed="81"/>
            <rFont val="Tahoma"/>
            <family val="2"/>
          </rPr>
          <t xml:space="preserve">
tasa de endoso</t>
        </r>
      </text>
    </comment>
    <comment ref="AB558" authorId="1" shapeId="0" xr:uid="{3B17EC30-E93A-44BB-A238-70478F7A66EC}">
      <text>
        <r>
          <rPr>
            <b/>
            <sz val="9"/>
            <color indexed="81"/>
            <rFont val="Tahoma"/>
            <family val="2"/>
          </rPr>
          <t>Felipe Guerrero Fuentes:</t>
        </r>
        <r>
          <rPr>
            <sz val="9"/>
            <color indexed="81"/>
            <rFont val="Tahoma"/>
            <family val="2"/>
          </rPr>
          <t xml:space="preserve">
tasa de endoso</t>
        </r>
      </text>
    </comment>
    <comment ref="AB562" authorId="1" shapeId="0" xr:uid="{A66A1D6C-1192-46C3-BA35-963236489015}">
      <text>
        <r>
          <rPr>
            <b/>
            <sz val="9"/>
            <color indexed="81"/>
            <rFont val="Tahoma"/>
            <family val="2"/>
          </rPr>
          <t>Felipe Guerrero Fuentes:</t>
        </r>
        <r>
          <rPr>
            <sz val="9"/>
            <color indexed="81"/>
            <rFont val="Tahoma"/>
            <family val="2"/>
          </rPr>
          <t xml:space="preserve">
tasa de endoso</t>
        </r>
      </text>
    </comment>
    <comment ref="AB575" authorId="1" shapeId="0" xr:uid="{7B2B0945-F24C-4C85-B7CE-61ACFE0172D3}">
      <text>
        <r>
          <rPr>
            <b/>
            <sz val="9"/>
            <color indexed="81"/>
            <rFont val="Tahoma"/>
            <family val="2"/>
          </rPr>
          <t>Felipe Guerrero Fuentes:</t>
        </r>
        <r>
          <rPr>
            <sz val="9"/>
            <color indexed="81"/>
            <rFont val="Tahoma"/>
            <family val="2"/>
          </rPr>
          <t xml:space="preserve">
tasa de endoso</t>
        </r>
      </text>
    </comment>
    <comment ref="AB583" authorId="1" shapeId="0" xr:uid="{0428E759-7EA2-481D-A463-235FB4C760F9}">
      <text>
        <r>
          <rPr>
            <b/>
            <sz val="9"/>
            <color indexed="81"/>
            <rFont val="Tahoma"/>
            <family val="2"/>
          </rPr>
          <t>Felipe Guerrero Fuentes:</t>
        </r>
        <r>
          <rPr>
            <sz val="9"/>
            <color indexed="81"/>
            <rFont val="Tahoma"/>
            <family val="2"/>
          </rPr>
          <t xml:space="preserve">
tasa de endoso</t>
        </r>
      </text>
    </comment>
    <comment ref="AB594" authorId="1" shapeId="0" xr:uid="{2C23F562-6D9A-486B-BCEA-FD6DD809083F}">
      <text>
        <r>
          <rPr>
            <b/>
            <sz val="9"/>
            <color indexed="81"/>
            <rFont val="Tahoma"/>
            <family val="2"/>
          </rPr>
          <t>Felipe Guerrero Fuentes:</t>
        </r>
        <r>
          <rPr>
            <sz val="9"/>
            <color indexed="81"/>
            <rFont val="Tahoma"/>
            <family val="2"/>
          </rPr>
          <t xml:space="preserve">
tasa de endoso</t>
        </r>
      </text>
    </comment>
    <comment ref="AB605" authorId="1" shapeId="0" xr:uid="{BF52146E-9848-4960-9CE5-94D04D60D052}">
      <text>
        <r>
          <rPr>
            <b/>
            <sz val="9"/>
            <color indexed="81"/>
            <rFont val="Tahoma"/>
            <family val="2"/>
          </rPr>
          <t>Felipe Guerrero Fuentes:</t>
        </r>
        <r>
          <rPr>
            <sz val="9"/>
            <color indexed="81"/>
            <rFont val="Tahoma"/>
            <family val="2"/>
          </rPr>
          <t xml:space="preserve">
tasa de endoso</t>
        </r>
      </text>
    </comment>
    <comment ref="AB625" authorId="1" shapeId="0" xr:uid="{DB745995-8457-4F28-ACBB-B60592ED5D7F}">
      <text>
        <r>
          <rPr>
            <b/>
            <sz val="9"/>
            <color indexed="81"/>
            <rFont val="Tahoma"/>
            <family val="2"/>
          </rPr>
          <t>Felipe Guerrero Fuentes:</t>
        </r>
        <r>
          <rPr>
            <sz val="9"/>
            <color indexed="81"/>
            <rFont val="Tahoma"/>
            <family val="2"/>
          </rPr>
          <t xml:space="preserve">
tasa de endoso</t>
        </r>
      </text>
    </comment>
    <comment ref="AB632" authorId="1" shapeId="0" xr:uid="{BE8C7AFB-E0FA-46F5-A38D-68EEE5FE47EC}">
      <text>
        <r>
          <rPr>
            <b/>
            <sz val="9"/>
            <color indexed="81"/>
            <rFont val="Tahoma"/>
            <family val="2"/>
          </rPr>
          <t>Felipe Guerrero Fuentes:</t>
        </r>
        <r>
          <rPr>
            <sz val="9"/>
            <color indexed="81"/>
            <rFont val="Tahoma"/>
            <family val="2"/>
          </rPr>
          <t xml:space="preserve">
tasa de endoso</t>
        </r>
      </text>
    </comment>
    <comment ref="AB642" authorId="1" shapeId="0" xr:uid="{316DCE7A-628F-44A3-AE01-24442C797292}">
      <text>
        <r>
          <rPr>
            <b/>
            <sz val="9"/>
            <color indexed="81"/>
            <rFont val="Tahoma"/>
            <family val="2"/>
          </rPr>
          <t>Felipe Guerrero Fuentes:</t>
        </r>
        <r>
          <rPr>
            <sz val="9"/>
            <color indexed="81"/>
            <rFont val="Tahoma"/>
            <family val="2"/>
          </rPr>
          <t xml:space="preserve">
tasa de endoso</t>
        </r>
      </text>
    </comment>
    <comment ref="AB662" authorId="1" shapeId="0" xr:uid="{A6366AC2-99C5-48BC-A306-8216FB55013E}">
      <text>
        <r>
          <rPr>
            <b/>
            <sz val="9"/>
            <color indexed="81"/>
            <rFont val="Tahoma"/>
            <family val="2"/>
          </rPr>
          <t>Felipe Guerrero Fuentes:</t>
        </r>
        <r>
          <rPr>
            <sz val="9"/>
            <color indexed="81"/>
            <rFont val="Tahoma"/>
            <family val="2"/>
          </rPr>
          <t xml:space="preserve">
tasa de endoso</t>
        </r>
      </text>
    </comment>
    <comment ref="AB671" authorId="1" shapeId="0" xr:uid="{470E4887-4ACE-4362-96ED-CA570BC92557}">
      <text>
        <r>
          <rPr>
            <b/>
            <sz val="9"/>
            <color indexed="81"/>
            <rFont val="Tahoma"/>
            <family val="2"/>
          </rPr>
          <t>Felipe Guerrero Fuentes:</t>
        </r>
        <r>
          <rPr>
            <sz val="9"/>
            <color indexed="81"/>
            <rFont val="Tahoma"/>
            <family val="2"/>
          </rPr>
          <t xml:space="preserve">
tasa de endoso</t>
        </r>
      </text>
    </comment>
    <comment ref="AB699" authorId="1" shapeId="0" xr:uid="{41610BF5-D38E-4DD3-8C95-ADC85F6E71C9}">
      <text>
        <r>
          <rPr>
            <b/>
            <sz val="9"/>
            <color indexed="81"/>
            <rFont val="Tahoma"/>
            <family val="2"/>
          </rPr>
          <t>Felipe Guerrero Fuentes:</t>
        </r>
        <r>
          <rPr>
            <sz val="9"/>
            <color indexed="81"/>
            <rFont val="Tahoma"/>
            <family val="2"/>
          </rPr>
          <t xml:space="preserve">
tasa de endoso</t>
        </r>
      </text>
    </comment>
    <comment ref="AB710" authorId="1" shapeId="0" xr:uid="{B4425FB0-550B-4BD9-8929-8A9DA0B4F0AE}">
      <text>
        <r>
          <rPr>
            <b/>
            <sz val="9"/>
            <color indexed="81"/>
            <rFont val="Tahoma"/>
            <family val="2"/>
          </rPr>
          <t>Felipe Guerrero Fuentes:</t>
        </r>
        <r>
          <rPr>
            <sz val="9"/>
            <color indexed="81"/>
            <rFont val="Tahoma"/>
            <family val="2"/>
          </rPr>
          <t xml:space="preserve">
tasa de endoso</t>
        </r>
      </text>
    </comment>
    <comment ref="AB721" authorId="1" shapeId="0" xr:uid="{6888DB0E-DC06-45DA-9309-8F39F2BED580}">
      <text>
        <r>
          <rPr>
            <b/>
            <sz val="9"/>
            <color indexed="81"/>
            <rFont val="Tahoma"/>
            <family val="2"/>
          </rPr>
          <t>Felipe Guerrero Fuentes:</t>
        </r>
        <r>
          <rPr>
            <sz val="9"/>
            <color indexed="81"/>
            <rFont val="Tahoma"/>
            <family val="2"/>
          </rPr>
          <t xml:space="preserve">
tasa de endoso</t>
        </r>
      </text>
    </comment>
    <comment ref="AB730" authorId="1" shapeId="0" xr:uid="{8C896F37-4181-47FE-AA2F-CE11E0AA5AD7}">
      <text>
        <r>
          <rPr>
            <b/>
            <sz val="9"/>
            <color indexed="81"/>
            <rFont val="Tahoma"/>
            <family val="2"/>
          </rPr>
          <t>Felipe Guerrero Fuentes:</t>
        </r>
        <r>
          <rPr>
            <sz val="9"/>
            <color indexed="81"/>
            <rFont val="Tahoma"/>
            <family val="2"/>
          </rPr>
          <t xml:space="preserve">
tasa de endoso</t>
        </r>
      </text>
    </comment>
    <comment ref="AB735" authorId="1" shapeId="0" xr:uid="{348B8A10-DCF6-4585-A523-69132301E523}">
      <text>
        <r>
          <rPr>
            <b/>
            <sz val="9"/>
            <color indexed="81"/>
            <rFont val="Tahoma"/>
            <family val="2"/>
          </rPr>
          <t>Felipe Guerrero Fuentes:</t>
        </r>
        <r>
          <rPr>
            <sz val="9"/>
            <color indexed="81"/>
            <rFont val="Tahoma"/>
            <family val="2"/>
          </rPr>
          <t xml:space="preserve">
tasa de endoso</t>
        </r>
      </text>
    </comment>
    <comment ref="AB747" authorId="1" shapeId="0" xr:uid="{1549291E-F222-4BEC-A60E-283287BBAD61}">
      <text>
        <r>
          <rPr>
            <b/>
            <sz val="9"/>
            <color indexed="81"/>
            <rFont val="Tahoma"/>
            <family val="2"/>
          </rPr>
          <t>Felipe Guerrero Fuentes:</t>
        </r>
        <r>
          <rPr>
            <sz val="9"/>
            <color indexed="81"/>
            <rFont val="Tahoma"/>
            <family val="2"/>
          </rPr>
          <t xml:space="preserve">
tasa de endoso</t>
        </r>
      </text>
    </comment>
    <comment ref="AB758" authorId="1" shapeId="0" xr:uid="{86D127A5-149D-4E6F-AB76-45271848C199}">
      <text>
        <r>
          <rPr>
            <b/>
            <sz val="9"/>
            <color indexed="81"/>
            <rFont val="Tahoma"/>
            <family val="2"/>
          </rPr>
          <t>Felipe Guerrero Fuentes:</t>
        </r>
        <r>
          <rPr>
            <sz val="9"/>
            <color indexed="81"/>
            <rFont val="Tahoma"/>
            <family val="2"/>
          </rPr>
          <t xml:space="preserve">
tasa de endoso</t>
        </r>
      </text>
    </comment>
    <comment ref="AB764" authorId="1" shapeId="0" xr:uid="{A75A047E-08D6-417C-85E2-C5C77487BCB8}">
      <text>
        <r>
          <rPr>
            <b/>
            <sz val="9"/>
            <color indexed="81"/>
            <rFont val="Tahoma"/>
            <family val="2"/>
          </rPr>
          <t>Felipe Guerrero Fuentes:</t>
        </r>
        <r>
          <rPr>
            <sz val="9"/>
            <color indexed="81"/>
            <rFont val="Tahoma"/>
            <family val="2"/>
          </rPr>
          <t xml:space="preserve">
tasa de endoso</t>
        </r>
      </text>
    </comment>
    <comment ref="AB779" authorId="1" shapeId="0" xr:uid="{448ADC41-A5AF-441E-B864-8E21003B009B}">
      <text>
        <r>
          <rPr>
            <b/>
            <sz val="9"/>
            <color indexed="81"/>
            <rFont val="Tahoma"/>
            <family val="2"/>
          </rPr>
          <t>Felipe Guerrero Fuentes:</t>
        </r>
        <r>
          <rPr>
            <sz val="9"/>
            <color indexed="81"/>
            <rFont val="Tahoma"/>
            <family val="2"/>
          </rPr>
          <t xml:space="preserve">
tasa de endoso</t>
        </r>
      </text>
    </comment>
    <comment ref="AB787" authorId="1" shapeId="0" xr:uid="{C67FECD5-E128-4B7E-BAFF-3FE9594DF5F9}">
      <text>
        <r>
          <rPr>
            <b/>
            <sz val="9"/>
            <color indexed="81"/>
            <rFont val="Tahoma"/>
            <family val="2"/>
          </rPr>
          <t>Felipe Guerrero Fuentes:</t>
        </r>
        <r>
          <rPr>
            <sz val="9"/>
            <color indexed="81"/>
            <rFont val="Tahoma"/>
            <family val="2"/>
          </rPr>
          <t xml:space="preserve">
tasa de endoso</t>
        </r>
      </text>
    </comment>
    <comment ref="AB806" authorId="1" shapeId="0" xr:uid="{6EFFC681-F4EC-46E8-B892-4B291D90FD5D}">
      <text>
        <r>
          <rPr>
            <b/>
            <sz val="9"/>
            <color indexed="81"/>
            <rFont val="Tahoma"/>
            <family val="2"/>
          </rPr>
          <t>Felipe Guerrero Fuentes:</t>
        </r>
        <r>
          <rPr>
            <sz val="9"/>
            <color indexed="81"/>
            <rFont val="Tahoma"/>
            <family val="2"/>
          </rPr>
          <t xml:space="preserve">
tasa de endoso</t>
        </r>
      </text>
    </comment>
    <comment ref="AB823" authorId="1" shapeId="0" xr:uid="{4679ABA8-E60D-48A3-ACF8-079964865173}">
      <text>
        <r>
          <rPr>
            <b/>
            <sz val="9"/>
            <color indexed="81"/>
            <rFont val="Tahoma"/>
            <family val="2"/>
          </rPr>
          <t>Felipe Guerrero Fuentes:</t>
        </r>
        <r>
          <rPr>
            <sz val="9"/>
            <color indexed="81"/>
            <rFont val="Tahoma"/>
            <family val="2"/>
          </rPr>
          <t xml:space="preserve">
tasa de endoso</t>
        </r>
      </text>
    </comment>
    <comment ref="AB831" authorId="1" shapeId="0" xr:uid="{0EC692BD-68D5-4F7A-8B1C-DF41B560CB35}">
      <text>
        <r>
          <rPr>
            <b/>
            <sz val="9"/>
            <color indexed="81"/>
            <rFont val="Tahoma"/>
            <family val="2"/>
          </rPr>
          <t>Felipe Guerrero Fuentes:</t>
        </r>
        <r>
          <rPr>
            <sz val="9"/>
            <color indexed="81"/>
            <rFont val="Tahoma"/>
            <family val="2"/>
          </rPr>
          <t xml:space="preserve">
tasa de endoso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<sst xmlns="http://schemas.openxmlformats.org/spreadsheetml/2006/main" count="7966" uniqueCount="1318">
  <si>
    <t>Monto Crédito + Cap (UF)</t>
  </si>
  <si>
    <t>Tasa Arriendo o Compra</t>
  </si>
  <si>
    <t>Fecha 1er Aporte</t>
  </si>
  <si>
    <t>Fecha Last Aporte</t>
  </si>
  <si>
    <t>Fecha Corte</t>
  </si>
  <si>
    <t xml:space="preserve">VPN </t>
  </si>
  <si>
    <t>Precio -1UF</t>
  </si>
  <si>
    <t>Saldo insoluto Teorico al 31-07-2019</t>
  </si>
  <si>
    <t>Tasacion</t>
  </si>
  <si>
    <t>Precio Venta/Tasación</t>
  </si>
  <si>
    <t>Nº</t>
  </si>
  <si>
    <t>N° OP</t>
  </si>
  <si>
    <t>Apellido Paterno</t>
  </si>
  <si>
    <t>Apellido materno</t>
  </si>
  <si>
    <t>Nombres</t>
  </si>
  <si>
    <t>Rut</t>
  </si>
  <si>
    <t>DV</t>
  </si>
  <si>
    <t>Fecha de emisión</t>
  </si>
  <si>
    <t>Subsidio</t>
  </si>
  <si>
    <t>Pie</t>
  </si>
  <si>
    <t>Valor Vivienda</t>
  </si>
  <si>
    <t>Nº Cuotas</t>
  </si>
  <si>
    <t>5</t>
  </si>
  <si>
    <t>K</t>
  </si>
  <si>
    <t>POBLETE</t>
  </si>
  <si>
    <t>ARIAS</t>
  </si>
  <si>
    <t>ROJAS</t>
  </si>
  <si>
    <t>RAMIREZ</t>
  </si>
  <si>
    <t>GONZALEZ</t>
  </si>
  <si>
    <t>Operación</t>
  </si>
  <si>
    <t>DANIELA ALEJANDRA</t>
  </si>
  <si>
    <t>SAAVEDRA</t>
  </si>
  <si>
    <t>VALDES</t>
  </si>
  <si>
    <t>GUZMAN</t>
  </si>
  <si>
    <t>SILVA</t>
  </si>
  <si>
    <t>CIFUENTES</t>
  </si>
  <si>
    <t>MOLINA</t>
  </si>
  <si>
    <t>DIEGO ALBERTO</t>
  </si>
  <si>
    <t>MORALES</t>
  </si>
  <si>
    <t>CRISTOBAL</t>
  </si>
  <si>
    <t>CHAMORRO</t>
  </si>
  <si>
    <t>HUERTA</t>
  </si>
  <si>
    <t>VILLALOBOS</t>
  </si>
  <si>
    <t>GUTIERREZ</t>
  </si>
  <si>
    <t>NUÑEZ</t>
  </si>
  <si>
    <t>HERRERA</t>
  </si>
  <si>
    <t>PEREZ</t>
  </si>
  <si>
    <t>JARA</t>
  </si>
  <si>
    <t>DIAZ</t>
  </si>
  <si>
    <t>RIQUELME</t>
  </si>
  <si>
    <t>TAPIA</t>
  </si>
  <si>
    <t>ZUÑIGA</t>
  </si>
  <si>
    <t>LEYTON</t>
  </si>
  <si>
    <t>FUENTEALBA</t>
  </si>
  <si>
    <t>TORRES</t>
  </si>
  <si>
    <t>FELIPE IGNACIO</t>
  </si>
  <si>
    <t>DIEGO</t>
  </si>
  <si>
    <t>MAXIMILIANO ANDRES</t>
  </si>
  <si>
    <t>SANCHEZ</t>
  </si>
  <si>
    <t>VALENZUELA</t>
  </si>
  <si>
    <t>Cuotas Compradas</t>
  </si>
  <si>
    <t>Cuotas remanentes</t>
  </si>
  <si>
    <t>ID Operación</t>
  </si>
  <si>
    <t>Tasa Venta</t>
  </si>
  <si>
    <t xml:space="preserve">Dif.  Tasa </t>
  </si>
  <si>
    <t>ALVAREZ</t>
  </si>
  <si>
    <t>DANIELA PAZ</t>
  </si>
  <si>
    <t>ILLANES</t>
  </si>
  <si>
    <t>ACEVEDO</t>
  </si>
  <si>
    <t>DANIEL ANDRES</t>
  </si>
  <si>
    <t>VALDERRAMA</t>
  </si>
  <si>
    <t>JAVIER ANDRES</t>
  </si>
  <si>
    <t>SEBASTIAN</t>
  </si>
  <si>
    <t>OLIVARES</t>
  </si>
  <si>
    <t>ESPINOZA</t>
  </si>
  <si>
    <t>CORTES</t>
  </si>
  <si>
    <t>MONTES</t>
  </si>
  <si>
    <t>RUZ</t>
  </si>
  <si>
    <t>20211101491-A001A001</t>
  </si>
  <si>
    <t>20211201550-A001A001</t>
  </si>
  <si>
    <t>Cuota Mes</t>
  </si>
  <si>
    <t>Morosidad</t>
  </si>
  <si>
    <t>ID Blotter</t>
  </si>
  <si>
    <t>20211101444-A001A001</t>
  </si>
  <si>
    <t>20211201531-A001A001</t>
  </si>
  <si>
    <t>20211201533-A001A001</t>
  </si>
  <si>
    <t>20211101430-A001A001</t>
  </si>
  <si>
    <t>20211201527-A001A001</t>
  </si>
  <si>
    <t>20211201530-A001A001</t>
  </si>
  <si>
    <t>20211201592-A001A001</t>
  </si>
  <si>
    <t>20211101432-A001A001</t>
  </si>
  <si>
    <t>20211101433-A001A001</t>
  </si>
  <si>
    <t>20211101434-A001A001</t>
  </si>
  <si>
    <t>20211101435-A001A001</t>
  </si>
  <si>
    <t>20211201548-A001A001</t>
  </si>
  <si>
    <t>A030202110-1772</t>
  </si>
  <si>
    <t>A030202111-1878</t>
  </si>
  <si>
    <t>A030202111-1895</t>
  </si>
  <si>
    <t>A030202111-1896</t>
  </si>
  <si>
    <t>A030202111-1858</t>
  </si>
  <si>
    <t>A030202111-1872</t>
  </si>
  <si>
    <t>A030202111-1875</t>
  </si>
  <si>
    <t>A030202111-1882</t>
  </si>
  <si>
    <t>A030202111-1933</t>
  </si>
  <si>
    <t>A030202111-1934</t>
  </si>
  <si>
    <t>A030202112-1936</t>
  </si>
  <si>
    <t>A030202112-1997</t>
  </si>
  <si>
    <t>A030202112-2022</t>
  </si>
  <si>
    <t>A030202112-2025</t>
  </si>
  <si>
    <t>A030202112-2027</t>
  </si>
  <si>
    <t>Fecha Inicio</t>
  </si>
  <si>
    <t>Fecha Final</t>
  </si>
  <si>
    <t>V DIV</t>
  </si>
  <si>
    <t>Tasa Originación</t>
  </si>
  <si>
    <t>Tasa Endoso</t>
  </si>
  <si>
    <t>Spread</t>
  </si>
  <si>
    <t>Fecha Compra</t>
  </si>
  <si>
    <t>Row Labels</t>
  </si>
  <si>
    <t>Grand Total</t>
  </si>
  <si>
    <t>2019</t>
  </si>
  <si>
    <t>Qtr4</t>
  </si>
  <si>
    <t>2020</t>
  </si>
  <si>
    <t>Qtr1</t>
  </si>
  <si>
    <t>Qtr2</t>
  </si>
  <si>
    <t>Qtr3</t>
  </si>
  <si>
    <t>2021</t>
  </si>
  <si>
    <t>2022</t>
  </si>
  <si>
    <t>Average of Spread</t>
  </si>
  <si>
    <t>LUIS ANDRES</t>
  </si>
  <si>
    <t>Monto dividendo</t>
  </si>
  <si>
    <t>Div/Renta</t>
  </si>
  <si>
    <t>Carga Financiera</t>
  </si>
  <si>
    <t>Dirección</t>
  </si>
  <si>
    <t>Comuna</t>
  </si>
  <si>
    <t>Concón</t>
  </si>
  <si>
    <t>La Florida</t>
  </si>
  <si>
    <t>Ñuñoa</t>
  </si>
  <si>
    <t>1</t>
  </si>
  <si>
    <t>4</t>
  </si>
  <si>
    <t>0</t>
  </si>
  <si>
    <t>9</t>
  </si>
  <si>
    <t>ECHENIQUE</t>
  </si>
  <si>
    <t>8</t>
  </si>
  <si>
    <t>6</t>
  </si>
  <si>
    <t>COQUIMBO</t>
  </si>
  <si>
    <t>7</t>
  </si>
  <si>
    <t>Saavedra</t>
  </si>
  <si>
    <t>Angol</t>
  </si>
  <si>
    <t>Coquimbo</t>
  </si>
  <si>
    <t>La Serena</t>
  </si>
  <si>
    <t>Concepción</t>
  </si>
  <si>
    <t>Temuco</t>
  </si>
  <si>
    <t>La Cisterna</t>
  </si>
  <si>
    <t>Talagante</t>
  </si>
  <si>
    <t>Santiago</t>
  </si>
  <si>
    <t>Rancagua</t>
  </si>
  <si>
    <t>Talca</t>
  </si>
  <si>
    <t>Huechuraba</t>
  </si>
  <si>
    <t>San Pedro de la Paz</t>
  </si>
  <si>
    <t>Curicó</t>
  </si>
  <si>
    <t>Los Ángeles</t>
  </si>
  <si>
    <t>Puente Alto</t>
  </si>
  <si>
    <t>Las Condes</t>
  </si>
  <si>
    <t>Fecha de compra</t>
  </si>
  <si>
    <t>Iquique</t>
  </si>
  <si>
    <t>Colina</t>
  </si>
  <si>
    <t>Maipú</t>
  </si>
  <si>
    <t>Macul</t>
  </si>
  <si>
    <t>Mt2 construidos</t>
  </si>
  <si>
    <t>Región</t>
  </si>
  <si>
    <t>Arica</t>
  </si>
  <si>
    <t>Arica y Parinacota</t>
  </si>
  <si>
    <t>Camarones</t>
  </si>
  <si>
    <t>Putre</t>
  </si>
  <si>
    <t>General Lagos</t>
  </si>
  <si>
    <t>Tarapacá</t>
  </si>
  <si>
    <t>Alto Hospicio</t>
  </si>
  <si>
    <t>Pozo Almonte</t>
  </si>
  <si>
    <t>Camiña</t>
  </si>
  <si>
    <t>Colchane</t>
  </si>
  <si>
    <t>Huara</t>
  </si>
  <si>
    <t>Pica</t>
  </si>
  <si>
    <t>Antofagasta</t>
  </si>
  <si>
    <t>Mejillones</t>
  </si>
  <si>
    <t>Sierra Gorda</t>
  </si>
  <si>
    <t>Taltal</t>
  </si>
  <si>
    <t>Calama</t>
  </si>
  <si>
    <t>Ollagüe</t>
  </si>
  <si>
    <t>San Pedro de Atacama</t>
  </si>
  <si>
    <t>Tocopilla</t>
  </si>
  <si>
    <t>María Elena</t>
  </si>
  <si>
    <t>Copiapó</t>
  </si>
  <si>
    <t>Atacama</t>
  </si>
  <si>
    <t>Caldera</t>
  </si>
  <si>
    <t>Tierra Amarilla</t>
  </si>
  <si>
    <t>Chañaral</t>
  </si>
  <si>
    <t>Diego de Almagro</t>
  </si>
  <si>
    <t>Vallenar</t>
  </si>
  <si>
    <t>Alto del Carmen</t>
  </si>
  <si>
    <t>Freirina</t>
  </si>
  <si>
    <t>Huasco</t>
  </si>
  <si>
    <t>Andacollo</t>
  </si>
  <si>
    <t>La Higuera</t>
  </si>
  <si>
    <t>Paihuano</t>
  </si>
  <si>
    <t>Vicuña</t>
  </si>
  <si>
    <t>Illapel</t>
  </si>
  <si>
    <t>Canela</t>
  </si>
  <si>
    <t>Los Vilos</t>
  </si>
  <si>
    <t>Salamanca</t>
  </si>
  <si>
    <t>Ovalle</t>
  </si>
  <si>
    <t>Combarbalá</t>
  </si>
  <si>
    <t>Monte Patria</t>
  </si>
  <si>
    <t>Punitaqui</t>
  </si>
  <si>
    <t>Río Hurtado</t>
  </si>
  <si>
    <t>Valparaíso</t>
  </si>
  <si>
    <t>Casablanca</t>
  </si>
  <si>
    <t>Juan Fernández</t>
  </si>
  <si>
    <t>Puchuncaví</t>
  </si>
  <si>
    <t>Quilpué</t>
  </si>
  <si>
    <t>Quintero</t>
  </si>
  <si>
    <t>Villa Alemana</t>
  </si>
  <si>
    <t>Viña del Mar</t>
  </si>
  <si>
    <t>Isla de Pascua</t>
  </si>
  <si>
    <t>Los Andes</t>
  </si>
  <si>
    <t>Calle Larga</t>
  </si>
  <si>
    <t>Rinconada</t>
  </si>
  <si>
    <t>San Esteban</t>
  </si>
  <si>
    <t>La Ligua</t>
  </si>
  <si>
    <t>Cabildo</t>
  </si>
  <si>
    <t>Papudo</t>
  </si>
  <si>
    <t>Petorca</t>
  </si>
  <si>
    <t>Zapallar</t>
  </si>
  <si>
    <t>Quillota</t>
  </si>
  <si>
    <t>Calera</t>
  </si>
  <si>
    <t>Hijuelas</t>
  </si>
  <si>
    <t>La Cruz</t>
  </si>
  <si>
    <t>Nogales</t>
  </si>
  <si>
    <t>San Antonio</t>
  </si>
  <si>
    <t>Algarrobo</t>
  </si>
  <si>
    <t>Cartagena</t>
  </si>
  <si>
    <t>El Quisco</t>
  </si>
  <si>
    <t>El Tabo</t>
  </si>
  <si>
    <t>Santo Domingo</t>
  </si>
  <si>
    <t>San Felipe</t>
  </si>
  <si>
    <t>Catemu</t>
  </si>
  <si>
    <t>Llaillay</t>
  </si>
  <si>
    <t>Panquehue</t>
  </si>
  <si>
    <t>Putaendo</t>
  </si>
  <si>
    <t>Santa María</t>
  </si>
  <si>
    <t>Metropolitana de Santiago</t>
  </si>
  <si>
    <t>R. Metropolitana</t>
  </si>
  <si>
    <t>Cerrillos</t>
  </si>
  <si>
    <t>Cerro Navia</t>
  </si>
  <si>
    <t>Conchalí</t>
  </si>
  <si>
    <t>El Bosque</t>
  </si>
  <si>
    <t>Estación Central</t>
  </si>
  <si>
    <t>Independencia</t>
  </si>
  <si>
    <t>La Granja</t>
  </si>
  <si>
    <t>La Pintana</t>
  </si>
  <si>
    <t>La Reina</t>
  </si>
  <si>
    <t>Lo Barnechea</t>
  </si>
  <si>
    <t>Lo Espejo</t>
  </si>
  <si>
    <t>Lo Prado</t>
  </si>
  <si>
    <t>Pedro Aguirre Cerda</t>
  </si>
  <si>
    <t>Peñalolén</t>
  </si>
  <si>
    <t>Providencia</t>
  </si>
  <si>
    <t>Pudahuel</t>
  </si>
  <si>
    <t>Quilicura</t>
  </si>
  <si>
    <t>Quinta Normal</t>
  </si>
  <si>
    <t>Recoleta</t>
  </si>
  <si>
    <t>Renca</t>
  </si>
  <si>
    <t>San Joaquín</t>
  </si>
  <si>
    <t>San Miguel</t>
  </si>
  <si>
    <t>San Ramón</t>
  </si>
  <si>
    <t>Vitacura</t>
  </si>
  <si>
    <t>Pirque</t>
  </si>
  <si>
    <t>San José de Maipo</t>
  </si>
  <si>
    <t>Lampa</t>
  </si>
  <si>
    <t>Tiltil</t>
  </si>
  <si>
    <t>San Bernardo</t>
  </si>
  <si>
    <t>Buin</t>
  </si>
  <si>
    <t>Calera de Tango</t>
  </si>
  <si>
    <t>Paine</t>
  </si>
  <si>
    <t>Melipilla</t>
  </si>
  <si>
    <t>Alhué</t>
  </si>
  <si>
    <t>Curacaví</t>
  </si>
  <si>
    <t>María Pinto</t>
  </si>
  <si>
    <t>San Pedro</t>
  </si>
  <si>
    <t>El Monte</t>
  </si>
  <si>
    <t>Isla de Maipo</t>
  </si>
  <si>
    <t>Padre Hurtado</t>
  </si>
  <si>
    <t>Peñaflor</t>
  </si>
  <si>
    <t>O’Higgins</t>
  </si>
  <si>
    <t>Codegua</t>
  </si>
  <si>
    <t>Coinco</t>
  </si>
  <si>
    <t>Coltauco</t>
  </si>
  <si>
    <t>Doñihue</t>
  </si>
  <si>
    <t>Graneros</t>
  </si>
  <si>
    <t>Las Cabras</t>
  </si>
  <si>
    <t>Machalí</t>
  </si>
  <si>
    <t>Malloa</t>
  </si>
  <si>
    <t>Mostazal</t>
  </si>
  <si>
    <t>Olivar</t>
  </si>
  <si>
    <t>Peumo</t>
  </si>
  <si>
    <t>Pichidegua</t>
  </si>
  <si>
    <t>Quinta de Tilcoco</t>
  </si>
  <si>
    <t>Rengo</t>
  </si>
  <si>
    <t>Requínoa</t>
  </si>
  <si>
    <t>San Vicente</t>
  </si>
  <si>
    <t>La Estrella</t>
  </si>
  <si>
    <t>Litueche</t>
  </si>
  <si>
    <t>Marchigüe</t>
  </si>
  <si>
    <t>Navidad</t>
  </si>
  <si>
    <t>Paredones</t>
  </si>
  <si>
    <t>Pichilemu</t>
  </si>
  <si>
    <t>Chépica</t>
  </si>
  <si>
    <t>Chimbarongo</t>
  </si>
  <si>
    <t>Lolol</t>
  </si>
  <si>
    <t>Nancagua</t>
  </si>
  <si>
    <t>Palmilla</t>
  </si>
  <si>
    <t>Peralillo</t>
  </si>
  <si>
    <t>Placilla</t>
  </si>
  <si>
    <t>Pumanque</t>
  </si>
  <si>
    <t>San Fernando</t>
  </si>
  <si>
    <t>Santa Cruz</t>
  </si>
  <si>
    <t>Maule</t>
  </si>
  <si>
    <t>Constitución</t>
  </si>
  <si>
    <t>Curepto</t>
  </si>
  <si>
    <t>Empedrado</t>
  </si>
  <si>
    <t>Pelarco</t>
  </si>
  <si>
    <t>Pencahue</t>
  </si>
  <si>
    <t>Río Claro</t>
  </si>
  <si>
    <t>San Clemente</t>
  </si>
  <si>
    <t>San Rafael</t>
  </si>
  <si>
    <t>Cauquenes</t>
  </si>
  <si>
    <t>Chanco</t>
  </si>
  <si>
    <t>Pelluhue</t>
  </si>
  <si>
    <t>Hualañé</t>
  </si>
  <si>
    <t>Licantén</t>
  </si>
  <si>
    <t>Molina</t>
  </si>
  <si>
    <t>Rauco</t>
  </si>
  <si>
    <t>Romeral</t>
  </si>
  <si>
    <t>Sagrada Familia</t>
  </si>
  <si>
    <t>Teno</t>
  </si>
  <si>
    <t>Vichuquén</t>
  </si>
  <si>
    <t>Linares</t>
  </si>
  <si>
    <t>Colbún</t>
  </si>
  <si>
    <t>Longaví</t>
  </si>
  <si>
    <t>Parral</t>
  </si>
  <si>
    <t>Retiro</t>
  </si>
  <si>
    <t>San Javier</t>
  </si>
  <si>
    <t>Villa Alegre</t>
  </si>
  <si>
    <t>Yerbas Buenas</t>
  </si>
  <si>
    <t>Chillán</t>
  </si>
  <si>
    <t>Ñuble</t>
  </si>
  <si>
    <t>Chillán Viejo</t>
  </si>
  <si>
    <t>Quillón</t>
  </si>
  <si>
    <t>Bulnes</t>
  </si>
  <si>
    <t>San Ignacio</t>
  </si>
  <si>
    <t>El Carmen</t>
  </si>
  <si>
    <t>Pinto</t>
  </si>
  <si>
    <t>Pemuco</t>
  </si>
  <si>
    <t>Yungay</t>
  </si>
  <si>
    <t>Cobquecura</t>
  </si>
  <si>
    <t>Coelemu</t>
  </si>
  <si>
    <t>Ninhue</t>
  </si>
  <si>
    <t>Portezuelo</t>
  </si>
  <si>
    <t>Quirihue</t>
  </si>
  <si>
    <t>Ránquil</t>
  </si>
  <si>
    <t>Treguaco</t>
  </si>
  <si>
    <t>San Carlos</t>
  </si>
  <si>
    <t>Ñiquén</t>
  </si>
  <si>
    <t>San Fabián</t>
  </si>
  <si>
    <t>San Nicolás</t>
  </si>
  <si>
    <t>Biobío</t>
  </si>
  <si>
    <t>Coronel</t>
  </si>
  <si>
    <t>Chiguayante</t>
  </si>
  <si>
    <t>Florida</t>
  </si>
  <si>
    <t>Hualqui</t>
  </si>
  <si>
    <t>Lota</t>
  </si>
  <si>
    <t>Penco</t>
  </si>
  <si>
    <t>Santa Juana</t>
  </si>
  <si>
    <t>Talcahuano</t>
  </si>
  <si>
    <t>Tomé</t>
  </si>
  <si>
    <t>Hualpén</t>
  </si>
  <si>
    <t>Lebu</t>
  </si>
  <si>
    <t>Arauco</t>
  </si>
  <si>
    <t>Cañete</t>
  </si>
  <si>
    <t>Contulmo</t>
  </si>
  <si>
    <t>Curanilahue</t>
  </si>
  <si>
    <t>Los Álamos</t>
  </si>
  <si>
    <t>Tirúa</t>
  </si>
  <si>
    <t>Antuco</t>
  </si>
  <si>
    <t>Cabrero</t>
  </si>
  <si>
    <t>Laja</t>
  </si>
  <si>
    <t>Mulchén</t>
  </si>
  <si>
    <t>Nacimiento</t>
  </si>
  <si>
    <t>Negrete</t>
  </si>
  <si>
    <t>Quilaco</t>
  </si>
  <si>
    <t>Quilleco</t>
  </si>
  <si>
    <t>San Rosendo</t>
  </si>
  <si>
    <t>Santa Bárbara</t>
  </si>
  <si>
    <t>Tucapel</t>
  </si>
  <si>
    <t>Yumbel</t>
  </si>
  <si>
    <t>Alto Biobío</t>
  </si>
  <si>
    <t>La Araucanía</t>
  </si>
  <si>
    <t>Carahue</t>
  </si>
  <si>
    <t>Cunco</t>
  </si>
  <si>
    <t>Curarrehue</t>
  </si>
  <si>
    <t>Freire</t>
  </si>
  <si>
    <t>Galvarino</t>
  </si>
  <si>
    <t>Gorbea</t>
  </si>
  <si>
    <t>Lautaro</t>
  </si>
  <si>
    <t>Loncoche</t>
  </si>
  <si>
    <t>Melipeuco</t>
  </si>
  <si>
    <t>Nueva Imperial</t>
  </si>
  <si>
    <t>Padre Las Casas</t>
  </si>
  <si>
    <t>Perquenco</t>
  </si>
  <si>
    <t>Pitrufquén</t>
  </si>
  <si>
    <t>Pucón</t>
  </si>
  <si>
    <t>Teodoro Schmidt</t>
  </si>
  <si>
    <t>Toltén</t>
  </si>
  <si>
    <t>Vilcún</t>
  </si>
  <si>
    <t>Villarrica</t>
  </si>
  <si>
    <t>Cholchol</t>
  </si>
  <si>
    <t>Collipulli</t>
  </si>
  <si>
    <t>Curacautín</t>
  </si>
  <si>
    <t>Ercilla</t>
  </si>
  <si>
    <t>Lonquimay</t>
  </si>
  <si>
    <t>Los Sauces</t>
  </si>
  <si>
    <t>Lumaco</t>
  </si>
  <si>
    <t>Purén</t>
  </si>
  <si>
    <t>Renaico</t>
  </si>
  <si>
    <t>Traiguén</t>
  </si>
  <si>
    <t>Victoria</t>
  </si>
  <si>
    <t>Valdivia</t>
  </si>
  <si>
    <t>Los Ríos</t>
  </si>
  <si>
    <t>Corral</t>
  </si>
  <si>
    <t>Lanco</t>
  </si>
  <si>
    <t>Los Lagos</t>
  </si>
  <si>
    <t>Máfil</t>
  </si>
  <si>
    <t>Mariquina</t>
  </si>
  <si>
    <t>Paillaco</t>
  </si>
  <si>
    <t>Panguipulli</t>
  </si>
  <si>
    <t>La Unión</t>
  </si>
  <si>
    <t>Futrono</t>
  </si>
  <si>
    <t>Lago Ranco</t>
  </si>
  <si>
    <t>Río Bueno</t>
  </si>
  <si>
    <t>Puerto Montt</t>
  </si>
  <si>
    <t>Calbuco</t>
  </si>
  <si>
    <t>Cochamó</t>
  </si>
  <si>
    <t>Fresia</t>
  </si>
  <si>
    <t>Frutillar</t>
  </si>
  <si>
    <t>Llanquihue</t>
  </si>
  <si>
    <t>Los Muermos</t>
  </si>
  <si>
    <t>Maullín</t>
  </si>
  <si>
    <t>Puerto Varas</t>
  </si>
  <si>
    <t>Castro</t>
  </si>
  <si>
    <t>Ancud</t>
  </si>
  <si>
    <t>Chonchi</t>
  </si>
  <si>
    <t>Curaco de Vélez</t>
  </si>
  <si>
    <t>Dalcahue</t>
  </si>
  <si>
    <t>Puqueldón</t>
  </si>
  <si>
    <t>Queilén</t>
  </si>
  <si>
    <t>Quellón</t>
  </si>
  <si>
    <t>Quemchi</t>
  </si>
  <si>
    <t>Quinchao</t>
  </si>
  <si>
    <t>Osorno</t>
  </si>
  <si>
    <t>Puerto Octay</t>
  </si>
  <si>
    <t>Purranque</t>
  </si>
  <si>
    <t>Puyehue</t>
  </si>
  <si>
    <t>Río Negro</t>
  </si>
  <si>
    <t>San Juan de la Costa</t>
  </si>
  <si>
    <t>San Pablo</t>
  </si>
  <si>
    <t>Chaitén</t>
  </si>
  <si>
    <t>Futaleufú</t>
  </si>
  <si>
    <t>Hualaihué</t>
  </si>
  <si>
    <t>Palena</t>
  </si>
  <si>
    <t>Coyhaique</t>
  </si>
  <si>
    <t>Aysén</t>
  </si>
  <si>
    <t>Lago Verde</t>
  </si>
  <si>
    <t>Cisnes</t>
  </si>
  <si>
    <t>Guaitecas</t>
  </si>
  <si>
    <t>Cochrane</t>
  </si>
  <si>
    <t>Tortel</t>
  </si>
  <si>
    <t>Chile Chico</t>
  </si>
  <si>
    <t>Río Ibáñez</t>
  </si>
  <si>
    <t>Punta Arenas</t>
  </si>
  <si>
    <t>Magallanes</t>
  </si>
  <si>
    <t>Laguna Blanca</t>
  </si>
  <si>
    <t>Río Verde</t>
  </si>
  <si>
    <t>San Gregorio</t>
  </si>
  <si>
    <t>Cabo de Hornos</t>
  </si>
  <si>
    <t>Antártica</t>
  </si>
  <si>
    <t>Porvenir</t>
  </si>
  <si>
    <t>Primavera</t>
  </si>
  <si>
    <t>Timaukel</t>
  </si>
  <si>
    <t>Natales</t>
  </si>
  <si>
    <t>Torres del Paine</t>
  </si>
  <si>
    <t>3</t>
  </si>
  <si>
    <t>202504290139A016</t>
  </si>
  <si>
    <t>202504290140A016</t>
  </si>
  <si>
    <t>202504280147A016</t>
  </si>
  <si>
    <t>202504170121A016</t>
  </si>
  <si>
    <t>202504300164A016</t>
  </si>
  <si>
    <t>202504280146A016</t>
  </si>
  <si>
    <t>202504300166A016</t>
  </si>
  <si>
    <t>202504290149A016</t>
  </si>
  <si>
    <t>202504300167A016</t>
  </si>
  <si>
    <t>202504240132A016</t>
  </si>
  <si>
    <t>202504170122A016</t>
  </si>
  <si>
    <t>202504300165A016</t>
  </si>
  <si>
    <t>KATTY SCARLETT</t>
  </si>
  <si>
    <t>FERNANDA PAOLA</t>
  </si>
  <si>
    <t>CASTANEDA</t>
  </si>
  <si>
    <t>NOGUERA</t>
  </si>
  <si>
    <t>LISETTE PAULINA</t>
  </si>
  <si>
    <t>AVACA</t>
  </si>
  <si>
    <t>RAUL IGNACIO</t>
  </si>
  <si>
    <t>JAEN</t>
  </si>
  <si>
    <t>EDGLORI JOSEFINA</t>
  </si>
  <si>
    <t>VERONICA MELISA</t>
  </si>
  <si>
    <t>TAIBA</t>
  </si>
  <si>
    <t>PATRICIO IGNACIO</t>
  </si>
  <si>
    <t>ABDALA</t>
  </si>
  <si>
    <t>ABURTO</t>
  </si>
  <si>
    <t>GUILLERMO MATIAS</t>
  </si>
  <si>
    <t>CAROL VERUSHKA</t>
  </si>
  <si>
    <t>ALEX ALBERTO</t>
  </si>
  <si>
    <t>OLGUIN</t>
  </si>
  <si>
    <t>CALLE PABLO MURUA 220 DEPTO 301 BLOCK B, LOS ANGELES, LOS ANGELES, CONCEPCION</t>
  </si>
  <si>
    <t>CALLE RAFAEL ARIZTIA 355 DEPTO 342 EDIF 3, P4, QUILLOTA, QUILLOTA, VALPARAISO</t>
  </si>
  <si>
    <t>ECHAURREN 135 DEPTO 212 EDIF 2 P1, LIMACHE, LIMACHE, VALPARAISO</t>
  </si>
  <si>
    <t>Limache</t>
  </si>
  <si>
    <t>CALLE BELLAVISTA 1717 DEPTO 104 BLOCK C, LA SERENA, LA SERENA, COQUIMBO</t>
  </si>
  <si>
    <t>CALLE INSTITUTO 175 DEPTO 232 EDIF 2, P3, QUILLOTA, QUILLOTA, VALPARAISO</t>
  </si>
  <si>
    <t>CALLE RAFAEL ARIZTIA 355 DEPTO 341 EDIF 3 P4, QUILLOTA, QUILLOTA, VALPARAISO</t>
  </si>
  <si>
    <t>AVENIDA LAS PALMERAS 3000 DEPTO 106 BLOCK D, LA SERENA, LA SERENA, COQUIMBO</t>
  </si>
  <si>
    <t>AV. LAS PALMERAS 3000 DEPTO 112 BLOCK D, LA SERENA, LA SERENA, COQUIMBO</t>
  </si>
  <si>
    <t>CALLE DOCTOR PABLO MURUA 220 DEPTO 411 BLOCK D, LOS ANGELES, LOS ANGELES, CONCEPCION</t>
  </si>
  <si>
    <t>AV. LAS PALMERAS 3000 DEPTO 406 BLOCK E, LA SERENA, LA SERENA, COQUIMBO</t>
  </si>
  <si>
    <t>CALLE BELLAVISTA 1717 DEPTO DP 309 BLOCK A, LA SERENA, LA SERENA, COQUIMBO</t>
  </si>
  <si>
    <t>CALLE COPIAPO 740 DEPTO 301 PISO 3, HIJUELAS, LA CALERA, VALPARAISO</t>
  </si>
  <si>
    <t>202504250148A016</t>
  </si>
  <si>
    <t>JUAN ALFONSO</t>
  </si>
  <si>
    <t>CALLE BELLAVISTA 1717 DEPTO 410 BLOCK E, LA SERENA, LA SERENA, COQUIMBO</t>
  </si>
  <si>
    <t>202505290001A020</t>
  </si>
  <si>
    <t>202505290009A020</t>
  </si>
  <si>
    <t>202505300003A020</t>
  </si>
  <si>
    <t>202505300011A020</t>
  </si>
  <si>
    <t>202505300005A020</t>
  </si>
  <si>
    <t>202506050023A020</t>
  </si>
  <si>
    <t>202505300006A020</t>
  </si>
  <si>
    <t>202505300010A020</t>
  </si>
  <si>
    <t>202505300008A020</t>
  </si>
  <si>
    <t>202505300013A020</t>
  </si>
  <si>
    <t>202506020022A020</t>
  </si>
  <si>
    <t>202505300012A020</t>
  </si>
  <si>
    <t>202505300007A020</t>
  </si>
  <si>
    <t>202505300014A020</t>
  </si>
  <si>
    <t>202505300018A020</t>
  </si>
  <si>
    <t>202506060025A020</t>
  </si>
  <si>
    <t>202506090026A020</t>
  </si>
  <si>
    <t>VIVANCO</t>
  </si>
  <si>
    <t>ZAMORA</t>
  </si>
  <si>
    <t>18324720</t>
  </si>
  <si>
    <t>OSCAR GUILLERMO</t>
  </si>
  <si>
    <t>13645963</t>
  </si>
  <si>
    <t>MILLAPAN</t>
  </si>
  <si>
    <t>18193165</t>
  </si>
  <si>
    <t>QUINCHAHUAL</t>
  </si>
  <si>
    <t>CRUCES</t>
  </si>
  <si>
    <t>LUIS GERMAN ALBERTO</t>
  </si>
  <si>
    <t>18763005</t>
  </si>
  <si>
    <t>ESCARE</t>
  </si>
  <si>
    <t>ISIDORA CATALINA</t>
  </si>
  <si>
    <t>20732925</t>
  </si>
  <si>
    <t>BAROS</t>
  </si>
  <si>
    <t>SEBASTIAN ALEJANDRO</t>
  </si>
  <si>
    <t>20151284</t>
  </si>
  <si>
    <t>ARIEL ALEJANDRO</t>
  </si>
  <si>
    <t>18252423</t>
  </si>
  <si>
    <t>18115262</t>
  </si>
  <si>
    <t>ESCAMILLA</t>
  </si>
  <si>
    <t>SEGURA</t>
  </si>
  <si>
    <t>25205150</t>
  </si>
  <si>
    <t>VEGA</t>
  </si>
  <si>
    <t>CAMPILLAY</t>
  </si>
  <si>
    <t>ANDREA VERONICA</t>
  </si>
  <si>
    <t>16449823</t>
  </si>
  <si>
    <t>INZUNZA</t>
  </si>
  <si>
    <t>FIRPO</t>
  </si>
  <si>
    <t>MARIA FLORENCIA</t>
  </si>
  <si>
    <t>21442491</t>
  </si>
  <si>
    <t>BAEZA</t>
  </si>
  <si>
    <t>CINTHIA ISABEL</t>
  </si>
  <si>
    <t>17737393</t>
  </si>
  <si>
    <t>PASTÉN</t>
  </si>
  <si>
    <t>DIEGO ANDRES</t>
  </si>
  <si>
    <t>20727915</t>
  </si>
  <si>
    <t>AZOLAS</t>
  </si>
  <si>
    <t>MAURO STEFANO</t>
  </si>
  <si>
    <t>19711636</t>
  </si>
  <si>
    <t>18344146</t>
  </si>
  <si>
    <t>20955957</t>
  </si>
  <si>
    <t>19045750</t>
  </si>
  <si>
    <t>BELLAVISTA 1717 Depto.: 104 Block: A</t>
  </si>
  <si>
    <t>BELLAVISTA 1717 Depto.: 508 Block: C</t>
  </si>
  <si>
    <t>ROCURA 155 Depto.: 411 Block: B</t>
  </si>
  <si>
    <t>JAVIERA CARRERA 7665 Depto.: 1103 Block: 1</t>
  </si>
  <si>
    <t>AVDA. CIRCUNVALACIÓN SUR 4880 Depto.: 605 Block: B</t>
  </si>
  <si>
    <t>BORGOÑO 336 Depto.: 108 Block:</t>
  </si>
  <si>
    <t>ROCURA 155 Depto.: 206 Block: A</t>
  </si>
  <si>
    <t>BELLAVISTA 1717 Depto.: 208 Block: E</t>
  </si>
  <si>
    <t>CALLE BELLAVISTA 1717 Depto.: 209 Block: D</t>
  </si>
  <si>
    <t>BELLAVISTA 1717 Depto.: 407 Block: C</t>
  </si>
  <si>
    <t>AVENIDA LOS SAUCES 1760 Depto.: 506 Block: B</t>
  </si>
  <si>
    <t>CALLE BELLAVISTA 1717 Depto.: 404 Block: C</t>
  </si>
  <si>
    <t>CALLE BELLAVISTA 1717 Depto.: 303 Block: C</t>
  </si>
  <si>
    <t>AVENIDA LAS PALMERAS 3000 Depto.: 404 Block: E</t>
  </si>
  <si>
    <t>CALLE JUAN GODOY RIVERA 1351 Depto.: 307 Block: B</t>
  </si>
  <si>
    <t>NEMESIO ANTUNEZ 1389</t>
  </si>
  <si>
    <t>PASAJE S.S. PAPA NICOLAS 2025</t>
  </si>
  <si>
    <t>LA SERENA</t>
  </si>
  <si>
    <t>VALDIVIA            </t>
  </si>
  <si>
    <t>SAN PEDRO DE LA PAZ</t>
  </si>
  <si>
    <t>COPIAPO</t>
  </si>
  <si>
    <t>VALLENAR</t>
  </si>
  <si>
    <t>CHILLAN VIEJO</t>
  </si>
  <si>
    <t>202506170036A020</t>
  </si>
  <si>
    <t>202506130034A020</t>
  </si>
  <si>
    <t>202506190037A020</t>
  </si>
  <si>
    <t>202506130039A020</t>
  </si>
  <si>
    <t>202506130031A020</t>
  </si>
  <si>
    <t>202506180038A020</t>
  </si>
  <si>
    <t>202506230043A020</t>
  </si>
  <si>
    <t>202506240044A020</t>
  </si>
  <si>
    <t>202506240045A020</t>
  </si>
  <si>
    <t>OLATE</t>
  </si>
  <si>
    <t>ALEJANDRO ANTONIO</t>
  </si>
  <si>
    <t>19726083</t>
  </si>
  <si>
    <t>ASTORGA</t>
  </si>
  <si>
    <t>OVIEDO</t>
  </si>
  <si>
    <t>SARA CAMILA</t>
  </si>
  <si>
    <t>19160775</t>
  </si>
  <si>
    <t>CORTÉS</t>
  </si>
  <si>
    <t>YESSENIA CAROLINA</t>
  </si>
  <si>
    <t>20213642</t>
  </si>
  <si>
    <t>MARIA DE LOS ANGELES</t>
  </si>
  <si>
    <t>25988710</t>
  </si>
  <si>
    <t>HUGO MICHAEL</t>
  </si>
  <si>
    <t>16848061</t>
  </si>
  <si>
    <t>EDGARDO JAVIER</t>
  </si>
  <si>
    <t>12476606</t>
  </si>
  <si>
    <t>REINOSO</t>
  </si>
  <si>
    <t>12576150</t>
  </si>
  <si>
    <t>BALLADARES</t>
  </si>
  <si>
    <t>RODRIGO ALEZ</t>
  </si>
  <si>
    <t>16425205</t>
  </si>
  <si>
    <t>MELLA</t>
  </si>
  <si>
    <t>19781777</t>
  </si>
  <si>
    <t>NEVADOS DE INCAHUASI 1048</t>
  </si>
  <si>
    <t>AVENIDA WALDO ALCALDE 1180 Depto.: 212 Block: B</t>
  </si>
  <si>
    <t>AVENIDA WALDO ALCALDE 1180 Depto.: 110 Block: B</t>
  </si>
  <si>
    <t>CALLE JUAN GODOY RIVERA 1351 Depto.: 808 Block: C</t>
  </si>
  <si>
    <t>CHILLAN             </t>
  </si>
  <si>
    <t>QUILLOTA</t>
  </si>
  <si>
    <t>Fecha Entrega Custodia</t>
  </si>
  <si>
    <t/>
  </si>
  <si>
    <t>202506300050A020</t>
  </si>
  <si>
    <t>202506300054A020</t>
  </si>
  <si>
    <t>202506300055A020</t>
  </si>
  <si>
    <t>202507100059A020</t>
  </si>
  <si>
    <t>BRAVO</t>
  </si>
  <si>
    <t>RIVERA</t>
  </si>
  <si>
    <t>YUVITZA MARLENE</t>
  </si>
  <si>
    <t>19468645</t>
  </si>
  <si>
    <t>IBARRA</t>
  </si>
  <si>
    <t>SUÁREZ</t>
  </si>
  <si>
    <t>PATRICIO HERNÁN</t>
  </si>
  <si>
    <t>12435780</t>
  </si>
  <si>
    <t>2</t>
  </si>
  <si>
    <t>SALINAS</t>
  </si>
  <si>
    <t>LORNA ADRIANA</t>
  </si>
  <si>
    <t>11820658</t>
  </si>
  <si>
    <t>PEÑA</t>
  </si>
  <si>
    <t>CID</t>
  </si>
  <si>
    <t>MARIA ELOISA</t>
  </si>
  <si>
    <t>17215293</t>
  </si>
  <si>
    <t>CALLE BELLAVISTA 1717 Depto.: 408 Block: C</t>
  </si>
  <si>
    <t>CALLE ALBERTO PEZZANI 1680 Depto.: 203 Block: D</t>
  </si>
  <si>
    <t>CALLE MARIA INÉS CORRAL 888 Depto.: 107 Block: 1</t>
  </si>
  <si>
    <t>OVALLE</t>
  </si>
  <si>
    <t>5 NORTE 901</t>
  </si>
  <si>
    <t>LOS ÁNGELES</t>
  </si>
  <si>
    <t>202507210063A020</t>
  </si>
  <si>
    <t>202507210066A020</t>
  </si>
  <si>
    <t>202507110060A020</t>
  </si>
  <si>
    <t>202507180062A020</t>
  </si>
  <si>
    <t>202507180065A020</t>
  </si>
  <si>
    <t>202507210064A020</t>
  </si>
  <si>
    <t>202507230068A020</t>
  </si>
  <si>
    <t>SALAZAR</t>
  </si>
  <si>
    <t>VENEGAS</t>
  </si>
  <si>
    <t>ALEXIS ALEJANDRO</t>
  </si>
  <si>
    <t>16.396.064</t>
  </si>
  <si>
    <t>CONTRERAS</t>
  </si>
  <si>
    <t>VILLEGAS</t>
  </si>
  <si>
    <t>17.654.594</t>
  </si>
  <si>
    <t>JAVIER FRANCISCO</t>
  </si>
  <si>
    <t>18.754.832</t>
  </si>
  <si>
    <t>SEGOVIA</t>
  </si>
  <si>
    <t>GUERRERO</t>
  </si>
  <si>
    <t>MARIA JOSÉ</t>
  </si>
  <si>
    <t>17.629.240</t>
  </si>
  <si>
    <t>ORREGO</t>
  </si>
  <si>
    <t>ORTIZ</t>
  </si>
  <si>
    <t>JUAN IGNACIO</t>
  </si>
  <si>
    <t>18.691.053</t>
  </si>
  <si>
    <t>TOLEDO</t>
  </si>
  <si>
    <t>FERNÁNDEZ</t>
  </si>
  <si>
    <t>DONNA ARLENE</t>
  </si>
  <si>
    <t>18.279.770</t>
  </si>
  <si>
    <t>VARAS</t>
  </si>
  <si>
    <t>RODRÍGUEZ</t>
  </si>
  <si>
    <t>ROMINA STEFANIE</t>
  </si>
  <si>
    <t>18.397.587</t>
  </si>
  <si>
    <t>PJE 4 ORIENTE CASA 2505</t>
  </si>
  <si>
    <t>BELLAVISTA 1717 Depto.: 308 Block: E</t>
  </si>
  <si>
    <t>AVENIDA EL MILAGRO 5200 Depto.: 310 Block: C</t>
  </si>
  <si>
    <t>AVENIDA EL MILAGRO 200 Depto.: 503 Block:</t>
  </si>
  <si>
    <t>PASAJE CHAPIQUIÑA 2650</t>
  </si>
  <si>
    <t>LA CUMBRE 2248</t>
  </si>
  <si>
    <t>CALLE BELLAVISTA 1717 Depto.: 403 Block:A</t>
  </si>
  <si>
    <t>COLINA</t>
  </si>
  <si>
    <t>202507240070A020</t>
  </si>
  <si>
    <t>202507240073A020</t>
  </si>
  <si>
    <t>202507250076A020</t>
  </si>
  <si>
    <t>202507250082A020</t>
  </si>
  <si>
    <t>202507250081A020</t>
  </si>
  <si>
    <t>202507280079A020</t>
  </si>
  <si>
    <t>202507290083A020</t>
  </si>
  <si>
    <t>202507300085A020</t>
  </si>
  <si>
    <t>202507300084A020</t>
  </si>
  <si>
    <t>202507310087A020</t>
  </si>
  <si>
    <t>202507310089A020</t>
  </si>
  <si>
    <t>MENDOZA</t>
  </si>
  <si>
    <t>LOYOLA</t>
  </si>
  <si>
    <t>ENZO PIERO JULIAN</t>
  </si>
  <si>
    <t>18523258</t>
  </si>
  <si>
    <t>RAMOS</t>
  </si>
  <si>
    <t>CAMPANA</t>
  </si>
  <si>
    <t>JOSE MIGUEL</t>
  </si>
  <si>
    <t>19492302</t>
  </si>
  <si>
    <t>PROVOSTE</t>
  </si>
  <si>
    <t>ESPARZA</t>
  </si>
  <si>
    <t>MANUEL JESUS</t>
  </si>
  <si>
    <t>19531748</t>
  </si>
  <si>
    <t>MARIELLE HELENA</t>
  </si>
  <si>
    <t>18808253</t>
  </si>
  <si>
    <t>PAZ</t>
  </si>
  <si>
    <t>CASTILLO</t>
  </si>
  <si>
    <t>FERNANDO ALEX</t>
  </si>
  <si>
    <t>10301280</t>
  </si>
  <si>
    <t>HERNANDEZ</t>
  </si>
  <si>
    <t>CUELLO</t>
  </si>
  <si>
    <t>FRANCISCA ANDREA</t>
  </si>
  <si>
    <t>20866665</t>
  </si>
  <si>
    <t>ISLA</t>
  </si>
  <si>
    <t>CINDY ALISSON</t>
  </si>
  <si>
    <t>18897933</t>
  </si>
  <si>
    <t>PADILLA</t>
  </si>
  <si>
    <t>ARIZA</t>
  </si>
  <si>
    <t>OMAR CELIN</t>
  </si>
  <si>
    <t>26165952</t>
  </si>
  <si>
    <t>VILLARROEL</t>
  </si>
  <si>
    <t>QUIROZ</t>
  </si>
  <si>
    <t>FERNANDO EDUARDO</t>
  </si>
  <si>
    <t>13888433</t>
  </si>
  <si>
    <t>BUSTAMANTE</t>
  </si>
  <si>
    <t>MICHELLE NICOLE</t>
  </si>
  <si>
    <t>17850672</t>
  </si>
  <si>
    <t>FRANCO</t>
  </si>
  <si>
    <t>REINA</t>
  </si>
  <si>
    <t>MARCOS MANUEL</t>
  </si>
  <si>
    <t>26623098</t>
  </si>
  <si>
    <t>DR. PABLO MURUA 220 Depto.: 508 Block: B</t>
  </si>
  <si>
    <t>AVENIDA WALDO ALCALDE 1180 Depto.: 411 Block: C</t>
  </si>
  <si>
    <t>AVENIDA JAVIERA CARRERA 7665 Depto.: 3610 Block:</t>
  </si>
  <si>
    <t>CALLE LOS ABEDULES 2831</t>
  </si>
  <si>
    <t>CALLE URENDA 551 Depto.: 201 Block: B</t>
  </si>
  <si>
    <t>AVENIDA WALDO ALCALDE 1180 Depto.: 304 Block: C</t>
  </si>
  <si>
    <t>AVENIDA EL MILAGRO 5200 Depto.: 503 Block: B</t>
  </si>
  <si>
    <t>LOS GUARDIANES 758 Depto.: 233 Block: 2</t>
  </si>
  <si>
    <t>CALLE BELLAVISTA 1717 Depto.: 411 Block: C</t>
  </si>
  <si>
    <t>ANTOFAGASTA 650 Depto.: 1306 Block: TORRE1</t>
  </si>
  <si>
    <t>ROQUE ESTEBAN SCARPA 2359</t>
  </si>
  <si>
    <t>CORONEL</t>
  </si>
  <si>
    <t>CARTAGENA</t>
  </si>
  <si>
    <t>OSORNO</t>
  </si>
  <si>
    <t>202508290100A020</t>
  </si>
  <si>
    <t>202508290101A020</t>
  </si>
  <si>
    <t>202508290102A020</t>
  </si>
  <si>
    <t>202508210099A020</t>
  </si>
  <si>
    <t>202508200096A020</t>
  </si>
  <si>
    <t>202508140097A020</t>
  </si>
  <si>
    <t>202508120095A020</t>
  </si>
  <si>
    <t>202508050093A020</t>
  </si>
  <si>
    <t>202507310091A020</t>
  </si>
  <si>
    <t>ARÁNGUIZ</t>
  </si>
  <si>
    <t>SÁNCHEZ</t>
  </si>
  <si>
    <t>JUAN MANUEL</t>
  </si>
  <si>
    <t>MICHEA</t>
  </si>
  <si>
    <t>RODOLFO ANTONIO</t>
  </si>
  <si>
    <t>ABREU</t>
  </si>
  <si>
    <t>JOSE LUIS</t>
  </si>
  <si>
    <t>AVILA</t>
  </si>
  <si>
    <t>GLORIA DEL VALLE</t>
  </si>
  <si>
    <t>ALARCÓN</t>
  </si>
  <si>
    <t>RUTH NOEMÍ</t>
  </si>
  <si>
    <t>NEIRA</t>
  </si>
  <si>
    <t>GARCIA</t>
  </si>
  <si>
    <t>VALESKA ANDREA</t>
  </si>
  <si>
    <t>GÓMEZ</t>
  </si>
  <si>
    <t>SEGUEL</t>
  </si>
  <si>
    <t>PEDRO ALEJANDRO</t>
  </si>
  <si>
    <t>DOMINGUEZ</t>
  </si>
  <si>
    <t>BARRADA</t>
  </si>
  <si>
    <t>WILLIAMS ENRIQUE JOSE</t>
  </si>
  <si>
    <t>CARVAJAL</t>
  </si>
  <si>
    <t>JORQUERA</t>
  </si>
  <si>
    <t>TANIA BELÉN DEL CARMEN</t>
  </si>
  <si>
    <t>MANUEL RODRIGUEZ 1615 Depto.: 106 Block: 4</t>
  </si>
  <si>
    <t>AVENIDA WALDO ALCALDE 1180 Depto.: 108 Block: A</t>
  </si>
  <si>
    <t>CALLE JUAN GODOY RIVERA 1351 Depto.: 806 Block: C</t>
  </si>
  <si>
    <t>MARIA INÉS CORRAL 888 Depto.: 418 Block: 2</t>
  </si>
  <si>
    <t>LOS GUARDIANES 758 Depto.: 853 Block: 8</t>
  </si>
  <si>
    <t>INSTITUTO 175 Depto.: 412 Block: 4</t>
  </si>
  <si>
    <t>ESPERALDA 2350 Depto.: 407 Block: A</t>
  </si>
  <si>
    <t>AVENIDA WALDO ALCALDE 1180 Depto.: 308 Block: A</t>
  </si>
  <si>
    <t>CALLE BELLAVISTA 1717 Depto.: 103 Block: B</t>
  </si>
  <si>
    <t>RENCA</t>
  </si>
  <si>
    <t>202509110110A020</t>
  </si>
  <si>
    <t>202509090111A020</t>
  </si>
  <si>
    <t>202509050107A020</t>
  </si>
  <si>
    <t>202509050105A020</t>
  </si>
  <si>
    <t>202509030104A020</t>
  </si>
  <si>
    <t>MIRANDA</t>
  </si>
  <si>
    <t>SANDOVAL</t>
  </si>
  <si>
    <t>SEBASTIÁN ANDRÉS</t>
  </si>
  <si>
    <t>ASTUDILLO</t>
  </si>
  <si>
    <t>SANDRA DEL CARMEN</t>
  </si>
  <si>
    <t>ORTEGA</t>
  </si>
  <si>
    <t>RAUL ANTONIO</t>
  </si>
  <si>
    <t>RINCON</t>
  </si>
  <si>
    <t>LUENGO</t>
  </si>
  <si>
    <t>JORGE LUIS</t>
  </si>
  <si>
    <t>ARCOS</t>
  </si>
  <si>
    <t>GAETE</t>
  </si>
  <si>
    <t>DIEGO ARMANDO</t>
  </si>
  <si>
    <t>AVENIDA LOS LAGOS 2300 Depto. 404, Block: A</t>
  </si>
  <si>
    <t>LOS LIBERTADORES 689 Depto. CASA 4</t>
  </si>
  <si>
    <t>EL MONTE</t>
  </si>
  <si>
    <t>AVENIDA LOS LAGOS 2300 Depto. 104, Block: A</t>
  </si>
  <si>
    <t>ALBERTO PEZZANI 1680 Depto. 107, Block: B</t>
  </si>
  <si>
    <t>TRES ESQUINAS CASA 195</t>
  </si>
  <si>
    <t>CALERA</t>
  </si>
  <si>
    <t>202509170118A020</t>
  </si>
  <si>
    <t>202509150114A020</t>
  </si>
  <si>
    <t>202509160115A020</t>
  </si>
  <si>
    <t>202509110112A020</t>
  </si>
  <si>
    <t>202509160113A020</t>
  </si>
  <si>
    <t>202509170117A020</t>
  </si>
  <si>
    <t>202509160116A020</t>
  </si>
  <si>
    <t>AGUIRRE</t>
  </si>
  <si>
    <t>SEBASTIÁN RODRIGO</t>
  </si>
  <si>
    <t>ARANCIBIA</t>
  </si>
  <si>
    <t>VIVIANA VERÓNICA</t>
  </si>
  <si>
    <t>MUÑOZ</t>
  </si>
  <si>
    <t>RODRIGO ANDRÉS</t>
  </si>
  <si>
    <t>GOMEZ</t>
  </si>
  <si>
    <t>MATUS</t>
  </si>
  <si>
    <t>VICTOR MANUEL</t>
  </si>
  <si>
    <t>SOLIS</t>
  </si>
  <si>
    <t>CRISTIAN ENRIQUE</t>
  </si>
  <si>
    <t>MERY</t>
  </si>
  <si>
    <t>SIDA</t>
  </si>
  <si>
    <t>RONY ALEJANDRO</t>
  </si>
  <si>
    <t>OJEDA</t>
  </si>
  <si>
    <t>SANDRA SKARLETTE</t>
  </si>
  <si>
    <t>AVENIDA WALDO ALCALDE 1200 Depto. 407, Block: D</t>
  </si>
  <si>
    <t>AVENIDA WALDO ALCALDE 1180 Depto. 208, Block: D</t>
  </si>
  <si>
    <t>AVDA ARTURO PRAT 29 Depto. 708 B, Block: B</t>
  </si>
  <si>
    <t>TOLPAN INTERIOR 1166 Depto. 301, Block: 7</t>
  </si>
  <si>
    <t>AVENIDA LOS LAGOS 2300 Depto. 412, Block: B</t>
  </si>
  <si>
    <t>AVENIDA LOS LAGOS 2300 Depto. 111, Block: C</t>
  </si>
  <si>
    <t>ALBERTO PEZZANI 1680 Depto. 203, Block: C</t>
  </si>
  <si>
    <t>CASABLANCA</t>
  </si>
  <si>
    <t>PUENTE ALTO</t>
  </si>
  <si>
    <t>PISAGUA 202 Depto. 243, Block: 2</t>
  </si>
  <si>
    <t>AVENIDA LOS LAGOS 2300 Depto. 505, Block: A</t>
  </si>
  <si>
    <t>MACHALÍ</t>
  </si>
  <si>
    <t>DIEGO NICOLÁS</t>
  </si>
  <si>
    <t>BARAHONA</t>
  </si>
  <si>
    <t>SEBASTIÁN NICOLÁS</t>
  </si>
  <si>
    <t>202509260120A020</t>
  </si>
  <si>
    <t>202510010122A020</t>
  </si>
  <si>
    <t>202510270128A020</t>
  </si>
  <si>
    <t>202510300126A020</t>
  </si>
  <si>
    <t>202510290127A020</t>
  </si>
  <si>
    <t>202510300129A020</t>
  </si>
  <si>
    <t>202510300139A020</t>
  </si>
  <si>
    <t>202510300131A020</t>
  </si>
  <si>
    <t>RODRIGUEZ</t>
  </si>
  <si>
    <t>MAGALLANES</t>
  </si>
  <si>
    <t>YOHANNA SOFIA</t>
  </si>
  <si>
    <t>ROSAS</t>
  </si>
  <si>
    <t>PABLO ANDRÉS</t>
  </si>
  <si>
    <t>TORO</t>
  </si>
  <si>
    <t>CANIHUANTE</t>
  </si>
  <si>
    <t>THAMARA STEPHANIA</t>
  </si>
  <si>
    <t>JOFRE</t>
  </si>
  <si>
    <t>LEMUS</t>
  </si>
  <si>
    <t>FELIPE FRANCISCO</t>
  </si>
  <si>
    <t>VARGAS</t>
  </si>
  <si>
    <t>RAMÍREZ</t>
  </si>
  <si>
    <t>SANDRA PAMELA</t>
  </si>
  <si>
    <t>FABIÁN</t>
  </si>
  <si>
    <t>MORENO</t>
  </si>
  <si>
    <t>JORDÁN ANDRÉS</t>
  </si>
  <si>
    <t>AVENIDA LOS LAGOS 2300 Depto. 110, Block: A</t>
  </si>
  <si>
    <t>AVENIDA LOS LAGOS 2300 Depto. 512, Block: E</t>
  </si>
  <si>
    <t>AVENIDA LOS LAGOS 2300 Depto. 109, Block: D</t>
  </si>
  <si>
    <t>TRES ESQUINAS 57 Depto. 124</t>
  </si>
  <si>
    <t>AVENIDA LOS LAGOS 2300 Depto. 308, Block: D</t>
  </si>
  <si>
    <t>AVENIDA LOS LAGOS 2300 Depto. 110, Block: E</t>
  </si>
  <si>
    <t>202511270140A020</t>
  </si>
  <si>
    <t>202511270141A020</t>
  </si>
  <si>
    <t>202511270142A020</t>
  </si>
  <si>
    <t xml:space="preserve">TAPIA </t>
  </si>
  <si>
    <t xml:space="preserve">RAMIREZ </t>
  </si>
  <si>
    <t xml:space="preserve">ESTRELLA ALMENDRA        </t>
  </si>
  <si>
    <t>QUINTERO</t>
  </si>
  <si>
    <t>ALEJANDRO JOSE</t>
  </si>
  <si>
    <t>CAMILA JAVIERA</t>
  </si>
  <si>
    <t>ESMERALDA 2350 Depto. 207, Block: D</t>
  </si>
  <si>
    <t>CALLE JARDINES 589</t>
  </si>
  <si>
    <t>AVDA LAS AMERICAS 4545 Depto. 210, Block: B</t>
  </si>
  <si>
    <t>ALTO HOSPICIO</t>
  </si>
  <si>
    <t>202511280143A020</t>
  </si>
  <si>
    <t>202511280149A020</t>
  </si>
  <si>
    <t>202511280151A020</t>
  </si>
  <si>
    <t>202511280148A020</t>
  </si>
  <si>
    <t>202511280147A020</t>
  </si>
  <si>
    <t>202511280145A020</t>
  </si>
  <si>
    <t>202511280146A020</t>
  </si>
  <si>
    <t>202511280144A020</t>
  </si>
  <si>
    <t>202511280150A020</t>
  </si>
  <si>
    <t>202511280155A020</t>
  </si>
  <si>
    <t>202511280153A020</t>
  </si>
  <si>
    <t>202511280152A020</t>
  </si>
  <si>
    <t>202511270162A020</t>
  </si>
  <si>
    <t>202511280161A020</t>
  </si>
  <si>
    <t>202511290165A020</t>
  </si>
  <si>
    <t>202511270164A020</t>
  </si>
  <si>
    <t>FLORES</t>
  </si>
  <si>
    <t>ESTEFFANNI NICOL JAZMIN</t>
  </si>
  <si>
    <t>LAGOS</t>
  </si>
  <si>
    <t>JOCELYN EDITH</t>
  </si>
  <si>
    <t>ARAYA</t>
  </si>
  <si>
    <t>LANTADILLA</t>
  </si>
  <si>
    <t>KIMBERLY ELIZA</t>
  </si>
  <si>
    <t>PIZARRO</t>
  </si>
  <si>
    <t>SVENDSEN</t>
  </si>
  <si>
    <t>CLAUDIO JOHANSEN</t>
  </si>
  <si>
    <t>MOMBERG</t>
  </si>
  <si>
    <t>RIOS</t>
  </si>
  <si>
    <t>FRANCISCA CONSTANZA</t>
  </si>
  <si>
    <t>PERALTA</t>
  </si>
  <si>
    <t>VALERIA SARAI</t>
  </si>
  <si>
    <t>SAN FRANCISCO</t>
  </si>
  <si>
    <t>MARIA ANDREA</t>
  </si>
  <si>
    <t>SANTANDER</t>
  </si>
  <si>
    <t>CAROL ANDREA</t>
  </si>
  <si>
    <t>SOMMERVILLE</t>
  </si>
  <si>
    <t>MONDACA</t>
  </si>
  <si>
    <t>CATALINA MONSERRAT</t>
  </si>
  <si>
    <t>CHACON</t>
  </si>
  <si>
    <t>BRYAN IGNACIO</t>
  </si>
  <si>
    <t>CASTAÑEDA</t>
  </si>
  <si>
    <t>MARIA FERNANDA</t>
  </si>
  <si>
    <t>MONTERO</t>
  </si>
  <si>
    <t>MONTILLA</t>
  </si>
  <si>
    <t>DANIEL ANTONIO</t>
  </si>
  <si>
    <t>ARAVENA</t>
  </si>
  <si>
    <t>KATHERINE ALEXIS</t>
  </si>
  <si>
    <t>COSSIO</t>
  </si>
  <si>
    <t>BRUNA</t>
  </si>
  <si>
    <t>MARISOL YANET</t>
  </si>
  <si>
    <t>CATALAN</t>
  </si>
  <si>
    <t>FUENTES</t>
  </si>
  <si>
    <t>FELIPE ANDRES</t>
  </si>
  <si>
    <t>TALHUEN 360 Depto. 208, Block: B</t>
  </si>
  <si>
    <t>ESMERALDA 2350 Depto. 403, Block: B</t>
  </si>
  <si>
    <t>AV WALDO ALCALDE 1180 Depto. 404, Block: C</t>
  </si>
  <si>
    <t>TOLPAN INTERIOR 1166 Depto. 103, Block: 7</t>
  </si>
  <si>
    <t>BORGOÑO 336 Depto. 404</t>
  </si>
  <si>
    <t>CALLE ALBERTO PEZZANI 1680 Depto. 301, Block: A</t>
  </si>
  <si>
    <t>AVENIDA LOS LAGOS 2300 Depto. 512, Block: B</t>
  </si>
  <si>
    <t>AVENIDA LOS LAGOS 2300 Depto. 504, Block: B</t>
  </si>
  <si>
    <t>LOS LAGOS 2300 Depto. 110, Block: D</t>
  </si>
  <si>
    <t>AVENIDA LOS LAGOS 2300 Depto. 111, Block: D</t>
  </si>
  <si>
    <t>AVENIDA LOS LAGOS 2300 Depto. 304, Block: D</t>
  </si>
  <si>
    <t>AVENIDA LOS LAGOS 2300 Depto. 311, Block: E</t>
  </si>
  <si>
    <t>CALLE INSTITUTO 175 Depto. 432, Block: 4</t>
  </si>
  <si>
    <t>AVENIDA CIRCUNVALACIÓN NORTE 01450 Depto. 502, Block: I</t>
  </si>
  <si>
    <t>AV LAS AMERICAS 4545 Depto. 106, Block: B</t>
  </si>
  <si>
    <t>AV ARTURO PRAT 29 Depto. 606, Block: C</t>
  </si>
  <si>
    <t>COPIAPÓ</t>
  </si>
  <si>
    <t>RANCAGUA</t>
  </si>
  <si>
    <t>20231030583A033</t>
  </si>
  <si>
    <t>Vasquez</t>
  </si>
  <si>
    <t>Rubilar</t>
  </si>
  <si>
    <t>Adrian Andres</t>
  </si>
  <si>
    <t>4 Oriente 375, Torre C, Piso 4, Departamento 401, Estacionamiento 66 Uso y Goce</t>
  </si>
  <si>
    <t>20231213669A033</t>
  </si>
  <si>
    <t xml:space="preserve">Lopez </t>
  </si>
  <si>
    <t xml:space="preserve">Aliaga </t>
  </si>
  <si>
    <t>Natalia Paulina</t>
  </si>
  <si>
    <t>Los Lagos 930, Torre 4, Piso 6, Departamento 463</t>
  </si>
  <si>
    <t>20231226678A033</t>
  </si>
  <si>
    <t>Romero</t>
  </si>
  <si>
    <t>Moreno</t>
  </si>
  <si>
    <t>Betania Milagros</t>
  </si>
  <si>
    <t>Calle 38 Oriente 350, Torre 5, Piso 4, Departamento 4501, Estacionamiento 53 Uso y Goce</t>
  </si>
  <si>
    <t>20231226679A033</t>
  </si>
  <si>
    <t>Valdes</t>
  </si>
  <si>
    <t>Daniella Noemi</t>
  </si>
  <si>
    <t>Calle Lauquen 341, Torre B, Piso 2, Departamento 206</t>
  </si>
  <si>
    <t>20231226680A033</t>
  </si>
  <si>
    <t>Herrera</t>
  </si>
  <si>
    <t>Candia</t>
  </si>
  <si>
    <t>Kevin Antonio</t>
  </si>
  <si>
    <t>Calle 38 Oriente 350, Torre 2, Piso 5, Departamento 5206</t>
  </si>
  <si>
    <t>20231222676A033</t>
  </si>
  <si>
    <t>Altamirano</t>
  </si>
  <si>
    <t>Romo</t>
  </si>
  <si>
    <t>Karina Pilar</t>
  </si>
  <si>
    <t>Calle 38 Oriente 350, Torre 1, Piso 5, Departamento 5101</t>
  </si>
  <si>
    <t>20231222677A033</t>
  </si>
  <si>
    <t>Barahona</t>
  </si>
  <si>
    <t>Suarez</t>
  </si>
  <si>
    <t>Moira Sylvana</t>
  </si>
  <si>
    <t>Calle 4 Oriente 831, Torre D, Departamento 305, Estacionamiento 57, Bodega 4</t>
  </si>
  <si>
    <t>20231228688A033</t>
  </si>
  <si>
    <t>Barreto</t>
  </si>
  <si>
    <t>Rodriguez</t>
  </si>
  <si>
    <t>Karla Alejandra</t>
  </si>
  <si>
    <t>Calle 38 Oriente 350, Torre 6, Piso 5, Departamento 5602, Estacionamiento 198 Uso y Goce</t>
  </si>
  <si>
    <t>20231228689A033</t>
  </si>
  <si>
    <t xml:space="preserve">Hernandez </t>
  </si>
  <si>
    <t>Paredes</t>
  </si>
  <si>
    <t>Matias Alejandro</t>
  </si>
  <si>
    <t>Av. Los Sauces 2520, Torre I, Piso 3, Departamento 311</t>
  </si>
  <si>
    <t>20231228690A033</t>
  </si>
  <si>
    <t>Gomez</t>
  </si>
  <si>
    <t>Soto</t>
  </si>
  <si>
    <t>Valeria Isabel</t>
  </si>
  <si>
    <t>Calle 38 Oriente 350, Torre 3, Piso 1, Departamento 1301, Estacionamiento 113 Uso y Goce</t>
  </si>
  <si>
    <t>20231227684A033</t>
  </si>
  <si>
    <t>Moraga</t>
  </si>
  <si>
    <t>Castillo</t>
  </si>
  <si>
    <t>Diego Ignacio</t>
  </si>
  <si>
    <t>Calle Gregorio Donoso 0510, Mz G, Lote 2</t>
  </si>
  <si>
    <t>20231229695A033</t>
  </si>
  <si>
    <t>Pando</t>
  </si>
  <si>
    <t xml:space="preserve"> Huenuanca</t>
  </si>
  <si>
    <t xml:space="preserve">Gonzalo Andrés </t>
  </si>
  <si>
    <t>Hugo Ortiz Cabezas 263, Mz 6, Lote 139</t>
  </si>
  <si>
    <t>20231227686A033</t>
  </si>
  <si>
    <t>Rivas</t>
  </si>
  <si>
    <t>Somoza</t>
  </si>
  <si>
    <t>Nadia Juana</t>
  </si>
  <si>
    <t>Calle Guillermo Berrios 840, Mz B, Lote 9</t>
  </si>
  <si>
    <t>20231229696A033</t>
  </si>
  <si>
    <t xml:space="preserve">Gonzalez </t>
  </si>
  <si>
    <t xml:space="preserve">Gangas </t>
  </si>
  <si>
    <t xml:space="preserve">Diego Manuel </t>
  </si>
  <si>
    <t>Pasaje 4 Oriente 2510 , Mz 3, Lote 20</t>
  </si>
  <si>
    <t>20231227687A033</t>
  </si>
  <si>
    <t>Allendes</t>
  </si>
  <si>
    <t>Camila Monserrat</t>
  </si>
  <si>
    <t>Pasaje Huilmay 0250, Mz D, Lote 30</t>
  </si>
  <si>
    <t>20231228692A033</t>
  </si>
  <si>
    <t>Hernandez</t>
  </si>
  <si>
    <t>Roberto Pablo</t>
  </si>
  <si>
    <t>Calle 38 Oriente 350, Torre 1, Piso 3, Departamento 3105, Estacionamiento 140 Uso y Goce</t>
  </si>
  <si>
    <t>20231229697A033</t>
  </si>
  <si>
    <t>Valenzuela</t>
  </si>
  <si>
    <t>Morales</t>
  </si>
  <si>
    <t>Alex Francisco</t>
  </si>
  <si>
    <t>Calle 38 Oriente 350, Torre 5, Piso 3, Departamento 3506, Estacionamiento 52 Uso y Goce</t>
  </si>
  <si>
    <t>20231229699A033</t>
  </si>
  <si>
    <t xml:space="preserve">Matus </t>
  </si>
  <si>
    <t>Fierro</t>
  </si>
  <si>
    <t xml:space="preserve">Cristian Alejandro </t>
  </si>
  <si>
    <t>Camino A Las Rosas 518, Edificio 4, Piso 2, Departamento 21</t>
  </si>
  <si>
    <t>20231228693A033</t>
  </si>
  <si>
    <t>Guajardo</t>
  </si>
  <si>
    <t>Matus</t>
  </si>
  <si>
    <t>Victor Manuel</t>
  </si>
  <si>
    <t>Calle Adelaida Correa Toro 0516, Mz L, Lote 8</t>
  </si>
  <si>
    <t>20231229700A033</t>
  </si>
  <si>
    <t xml:space="preserve">Oyarce </t>
  </si>
  <si>
    <t xml:space="preserve">Sandoval </t>
  </si>
  <si>
    <t xml:space="preserve">Anita Maria </t>
  </si>
  <si>
    <t>Camino A Las Rosas 518, Edificio 8, Piso 5, Departamento 52</t>
  </si>
  <si>
    <t>20231229701A033</t>
  </si>
  <si>
    <t xml:space="preserve">Filipini </t>
  </si>
  <si>
    <t>Parra</t>
  </si>
  <si>
    <t>Sebastian Ignacio</t>
  </si>
  <si>
    <t>Pasaje Palma Areca 478, Mz V, Lote 9</t>
  </si>
  <si>
    <t>20231229703A033</t>
  </si>
  <si>
    <t>Muñoz</t>
  </si>
  <si>
    <t>Caceres</t>
  </si>
  <si>
    <t>Abigair Andrea</t>
  </si>
  <si>
    <t>Pasaje Huilmay 0384 , Mz E, Lote 8</t>
  </si>
  <si>
    <t>20231229705A033</t>
  </si>
  <si>
    <t>Rojas</t>
  </si>
  <si>
    <t>Alvaro Patricio</t>
  </si>
  <si>
    <t>Calle 38 Oriente 350, Torre 4, Piso 4, Departamento 4403, Estacionamiento 63 Uso y Goce</t>
  </si>
  <si>
    <t>20231229709A033</t>
  </si>
  <si>
    <t xml:space="preserve">Garcia </t>
  </si>
  <si>
    <t>Guerrero</t>
  </si>
  <si>
    <t xml:space="preserve"> Catherine Alejandra</t>
  </si>
  <si>
    <t>Calle Novena 1081, Torre 5, Piso 1, Departamento 514, Estacionamiento 26 Uso y Goce</t>
  </si>
  <si>
    <t>20231229730A033</t>
  </si>
  <si>
    <t>Escarate</t>
  </si>
  <si>
    <t>Gonzalez</t>
  </si>
  <si>
    <t>Dominique Elisa</t>
  </si>
  <si>
    <t>Calle Constantino Kochifas Carcamo 506, Mz D5, Lote 8</t>
  </si>
  <si>
    <t>20231229711A033</t>
  </si>
  <si>
    <t>Correa</t>
  </si>
  <si>
    <t>Hector Patricio</t>
  </si>
  <si>
    <t>Calle Gregorio Donoso 0315, Mz D, Lote 16</t>
  </si>
  <si>
    <t>20231229712A033</t>
  </si>
  <si>
    <t>Ferreira</t>
  </si>
  <si>
    <t>Rivera</t>
  </si>
  <si>
    <t>Jacqueline Iris</t>
  </si>
  <si>
    <t>Calle 38 Oriente 350, Torre 5, Piso 1, Departamento 1501</t>
  </si>
  <si>
    <t>20231229713A033</t>
  </si>
  <si>
    <t xml:space="preserve">Parico </t>
  </si>
  <si>
    <t xml:space="preserve">Cordova </t>
  </si>
  <si>
    <t xml:space="preserve">Jesus Adrian </t>
  </si>
  <si>
    <t>Camino A Las Rosas 518, Edificio 2, Piso 3, Departamento 32</t>
  </si>
  <si>
    <t>20231229731A033</t>
  </si>
  <si>
    <t>Jimenez</t>
  </si>
  <si>
    <t>Ramos</t>
  </si>
  <si>
    <t xml:space="preserve">Jorge Luis </t>
  </si>
  <si>
    <t>Calle 38 Oriente 350, Torre 7, Piso 2, Departamento 2706, Estacionamiento 21 Uso y Goce</t>
  </si>
  <si>
    <t>20231229715A033</t>
  </si>
  <si>
    <t>Bravo</t>
  </si>
  <si>
    <t xml:space="preserve">Jose Luis </t>
  </si>
  <si>
    <t>4 Oriente 375, Torre D, Piso 5, Departamento 503, Estacionamiento 81 Uso y Goce</t>
  </si>
  <si>
    <t>20231229716A033</t>
  </si>
  <si>
    <t xml:space="preserve">Fuentes </t>
  </si>
  <si>
    <t>Cruces</t>
  </si>
  <si>
    <t>Josette Aylinee</t>
  </si>
  <si>
    <t>La Frontera 1061, Mz 3, Lote 13</t>
  </si>
  <si>
    <t>20231229717A033</t>
  </si>
  <si>
    <t>Reinares</t>
  </si>
  <si>
    <t>Nuñez</t>
  </si>
  <si>
    <t>Karla Francisca Amelia</t>
  </si>
  <si>
    <t>Pasaje Huilmay 0464, Mz I, Lote 3</t>
  </si>
  <si>
    <t>20231229718A033</t>
  </si>
  <si>
    <t xml:space="preserve"> Iturra</t>
  </si>
  <si>
    <t xml:space="preserve"> Lorca</t>
  </si>
  <si>
    <t>Katherine Jadille</t>
  </si>
  <si>
    <t>San Ignacio 1589, Torre A, Piso 1, Departamento 106, Estacionamiento 101</t>
  </si>
  <si>
    <t>20231229720A033</t>
  </si>
  <si>
    <t>Leslie Deborah</t>
  </si>
  <si>
    <t>Presidente Salvador Allende Grossens 500, Torre B, Piso 7, Departamento 702</t>
  </si>
  <si>
    <t>20231229721A033</t>
  </si>
  <si>
    <t>Garrido</t>
  </si>
  <si>
    <t>Luis Marcelo</t>
  </si>
  <si>
    <t>Pasaje La Ballica 0341, Mz F, Lote 15</t>
  </si>
  <si>
    <t>20231229724A033</t>
  </si>
  <si>
    <t>Gatica</t>
  </si>
  <si>
    <t>Teimante</t>
  </si>
  <si>
    <t>Nicolas Elias</t>
  </si>
  <si>
    <t>Avenida Luis Durand 5020, Torre C, Piso 6, Departamento 601, Estacionamiento 179</t>
  </si>
  <si>
    <t>20240117001A033</t>
  </si>
  <si>
    <t xml:space="preserve">Mesa </t>
  </si>
  <si>
    <t>Galvez</t>
  </si>
  <si>
    <t xml:space="preserve"> Nicolas Alejandro</t>
  </si>
  <si>
    <t>Matta Vial 635, Piso 4, Departamento 411</t>
  </si>
  <si>
    <t>20240123002A033</t>
  </si>
  <si>
    <t xml:space="preserve">Arce </t>
  </si>
  <si>
    <t>Roman</t>
  </si>
  <si>
    <t>Jorge Osvaldo</t>
  </si>
  <si>
    <t>Camino La Vara 02600, Torre 2, Piso 3, Departamento 309</t>
  </si>
  <si>
    <t>20240131003A033</t>
  </si>
  <si>
    <t xml:space="preserve">Vera </t>
  </si>
  <si>
    <t xml:space="preserve">Vargas </t>
  </si>
  <si>
    <t>Marja Maritza</t>
  </si>
  <si>
    <t>Avenida Cristobál Colón 7337, Piso 7, Departamento 7337</t>
  </si>
  <si>
    <t>20240130004A033</t>
  </si>
  <si>
    <t>Lemus</t>
  </si>
  <si>
    <t>Miranda</t>
  </si>
  <si>
    <t>Cinthya Almendra Alejandra</t>
  </si>
  <si>
    <t>Calle 38 Oriente 350, Torre 8, Piso 4 , Departamento 4807</t>
  </si>
  <si>
    <t>20240124006A033</t>
  </si>
  <si>
    <t>Medina</t>
  </si>
  <si>
    <t>Chavez</t>
  </si>
  <si>
    <t>Whitney Brooke</t>
  </si>
  <si>
    <t>Camino La Vara 02600, Torre 3, Piso 3, Departamento 307</t>
  </si>
  <si>
    <t>20240123007A033</t>
  </si>
  <si>
    <t>Albornoz</t>
  </si>
  <si>
    <t>Lizardo</t>
  </si>
  <si>
    <t>Jesús Francisco</t>
  </si>
  <si>
    <t>Calle 38 Oriente 350, Torre 7, Piso 2, Departamento 2708, Estacionamiento 23 Uso y Goce</t>
  </si>
  <si>
    <t>20240123009A033</t>
  </si>
  <si>
    <t>Lapointe</t>
  </si>
  <si>
    <t>Guerby</t>
  </si>
  <si>
    <t>Av. Segunda Faja Al Volcán 1290, Torre QUEULAT, Piso 4, Departamento 408, Estacionamiento 113 Uso y Goce</t>
  </si>
  <si>
    <t>20240129011A033</t>
  </si>
  <si>
    <t xml:space="preserve">Poblete </t>
  </si>
  <si>
    <t>Olguin</t>
  </si>
  <si>
    <t>Yessica Margarita</t>
  </si>
  <si>
    <t>Camino La Vara 02600, Torre 3, Piso 3, Departamento 310</t>
  </si>
  <si>
    <t>20240123013A033</t>
  </si>
  <si>
    <t xml:space="preserve"> Abreu </t>
  </si>
  <si>
    <t>Garcia</t>
  </si>
  <si>
    <t>Luisana Del Valle</t>
  </si>
  <si>
    <t>San Ignacio 1589, Torre D, Piso 2, Departamento 208, Estacionamiento 68 A</t>
  </si>
  <si>
    <t>20240130014A033</t>
  </si>
  <si>
    <t>Cardenas</t>
  </si>
  <si>
    <t>Luis Alberto</t>
  </si>
  <si>
    <t>Camino Segunda Faja Al Volcán 1260, Edificio DONGUIL, Piso 5, Departamento 504, Estacionamiento 15 Uso y Goce</t>
  </si>
  <si>
    <t>20240129016A033</t>
  </si>
  <si>
    <t>Pino</t>
  </si>
  <si>
    <t>Cisternas</t>
  </si>
  <si>
    <t>Melanie Valeska</t>
  </si>
  <si>
    <t>Avenida 2da Faja Al Volcán 1260, Edificio Donguil, Piso 1, Departamento 101, Estacionamiento 153 Uso y Goce</t>
  </si>
  <si>
    <t>20240129019A033</t>
  </si>
  <si>
    <t>Zambrano</t>
  </si>
  <si>
    <t>Indra Tamar</t>
  </si>
  <si>
    <t>Calle 38 Oriente 350, Torre 5, Piso 1, Departamento 1508</t>
  </si>
  <si>
    <t>20240129020A033</t>
  </si>
  <si>
    <t>Sánchez</t>
  </si>
  <si>
    <t>Canelon</t>
  </si>
  <si>
    <t>Nohelia Pastora</t>
  </si>
  <si>
    <t>Calle 38 Oriente 350, Torre 5, Piso 1, Departamento 1506</t>
  </si>
  <si>
    <t>20240129022A033</t>
  </si>
  <si>
    <t xml:space="preserve">Becerra </t>
  </si>
  <si>
    <t>Mendez</t>
  </si>
  <si>
    <t>Roberto Antonio Mauricio</t>
  </si>
  <si>
    <t>Camino La Vara 02600 D 02600, Torre1 , Piso 1, Departamento 104</t>
  </si>
  <si>
    <t>20240130023A033</t>
  </si>
  <si>
    <t>Alexis</t>
  </si>
  <si>
    <t xml:space="preserve">Stanley </t>
  </si>
  <si>
    <t>Calle Novena 1081, Edificio 2, Piso 5, Departamento 254</t>
  </si>
  <si>
    <t>20240131024A033</t>
  </si>
  <si>
    <t>Ocque</t>
  </si>
  <si>
    <t>Bastidas</t>
  </si>
  <si>
    <t>Miguel Eduardo</t>
  </si>
  <si>
    <t>Calle 38 Oriente 350, Torre 8, Piso 2, Departamento 2801</t>
  </si>
  <si>
    <t>20240130025A033</t>
  </si>
  <si>
    <t xml:space="preserve">Reyes </t>
  </si>
  <si>
    <t>Paulina Andrea</t>
  </si>
  <si>
    <t>Camino La Vara 02600, Torre 2, Piso 4, Departamento 403</t>
  </si>
  <si>
    <t>20240131027A033</t>
  </si>
  <si>
    <t xml:space="preserve"> Lara </t>
  </si>
  <si>
    <t>Martinez</t>
  </si>
  <si>
    <t>Keili Yeniret</t>
  </si>
  <si>
    <t>Avenida Americo Vespucio / Alhué 01222 / 8819, Torre A, Piso 4, Departamento 408</t>
  </si>
  <si>
    <t>20240131037A033</t>
  </si>
  <si>
    <t>Sepulveda</t>
  </si>
  <si>
    <t>Espinoza</t>
  </si>
  <si>
    <t>Maria Jose</t>
  </si>
  <si>
    <t>Avenida Río Viejo 1123, Torre B, Piso 1, Departamento 103</t>
  </si>
  <si>
    <t>20240131031A033</t>
  </si>
  <si>
    <t>Jarpa</t>
  </si>
  <si>
    <t>Barrera</t>
  </si>
  <si>
    <t>Nicolle Alexandra</t>
  </si>
  <si>
    <t>Avenida Del Villar 1307, Mz C, Lote 74</t>
  </si>
  <si>
    <t>20240129032A033</t>
  </si>
  <si>
    <t>Figueroa</t>
  </si>
  <si>
    <t>Saez</t>
  </si>
  <si>
    <t>Loida Tamara</t>
  </si>
  <si>
    <t>Camino La Vara 02600, TORRE 2, Piso 2, Departamento 211, Estacionamiento 27 Uso y Goce</t>
  </si>
  <si>
    <t>20240130035A033</t>
  </si>
  <si>
    <t>Tapia</t>
  </si>
  <si>
    <t>Romina Andrea</t>
  </si>
  <si>
    <t>Pasaje La Ligua 060, Mz C, Lote 56</t>
  </si>
  <si>
    <t>20240131061A033</t>
  </si>
  <si>
    <t>Droguett</t>
  </si>
  <si>
    <t>Carlos Augusto</t>
  </si>
  <si>
    <t>Presidente Salvador Allende Grossens 500, Torre A, Piso 5, Departamento 509, Estacionamiento 19 Uso y Goce</t>
  </si>
  <si>
    <t>20240131043A033</t>
  </si>
  <si>
    <t>Villagra</t>
  </si>
  <si>
    <t>Huincanelo</t>
  </si>
  <si>
    <t>Felipe Ignacio</t>
  </si>
  <si>
    <t>San Ignacio 1589, Torre C, Piso 2, Departamento 207, Estacionamiento 171</t>
  </si>
  <si>
    <t>20240131047A033</t>
  </si>
  <si>
    <t>Andrades</t>
  </si>
  <si>
    <t>Acuna</t>
  </si>
  <si>
    <t xml:space="preserve">Ivan De La Cruz </t>
  </si>
  <si>
    <t>Pasaje Loa Oriente 011, Mz E, Lote 1</t>
  </si>
  <si>
    <t>20240131051A033</t>
  </si>
  <si>
    <t>Guzman</t>
  </si>
  <si>
    <t>Segueida</t>
  </si>
  <si>
    <t>Paula Cecilia</t>
  </si>
  <si>
    <t>Pasaje Maria Victoria Guerrero 630, Mz A, Lote 20</t>
  </si>
  <si>
    <t>20240131056A033</t>
  </si>
  <si>
    <t>Vilches</t>
  </si>
  <si>
    <t>Teresa Del Carmen</t>
  </si>
  <si>
    <t>Calle 38 Oriente 350, Torre 3, Piso 4, Departamento 4308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</si>
</sst>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 * #,##0_ ;_ * \-#,##0_ ;_ * &quot;-&quot;_ ;_ @_ "/>
    <numFmt numFmtId="43" formatCode="_ * #,##0.00_ ;_ * \-#,##0.00_ ;_ * &quot;-&quot;??_ ;_ @_ "/>
    <numFmt numFmtId="164" formatCode="0.0000"/>
    <numFmt numFmtId="165" formatCode="0.00000"/>
    <numFmt numFmtId="166" formatCode="_ * #,##0_ ;_ * \-#,##0_ ;_ * &quot;-&quot;??_ ;_ @_ "/>
    <numFmt numFmtId="167" formatCode="#,##0.0000"/>
    <numFmt numFmtId="168" formatCode="0.0%"/>
    <numFmt numFmtId="169" formatCode="_ * #,##0.000_ ;_ * \-#,##0.000_ ;_ * &quot;-&quot;_ ;_ @_ 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color indexed="8"/>
      <name val="Arial"/>
      <family val="2"/>
    </font>
    <font>
      <b/>
      <sz val="10"/>
      <color theme="0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0"/>
      <name val="Arial"/>
      <family val="2"/>
    </font>
    <font>
      <b/>
      <sz val="10"/>
      <color theme="1"/>
      <name val="Arial"/>
      <family val="2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41" fontId="1" fillId="0" borderId="0" applyFont="0" applyFill="0" applyBorder="0" applyAlignment="0" applyProtection="0"/>
    <xf numFmtId="0" fontId="9" fillId="0" borderId="0"/>
    <xf numFmtId="9" fontId="1" fillId="0" borderId="0" applyFont="0" applyFill="0" applyBorder="0" applyAlignment="0" applyProtection="0"/>
  </cellStyleXfs>
  <cellXfs count="79">
    <xf numFmtId="0" fontId="0" fillId="0" borderId="0" xfId="0"/>
    <xf numFmtId="0" fontId="2" fillId="2" borderId="0" xfId="0" applyFont="1" applyFill="1" applyAlignment="1">
      <alignment horizontal="center"/>
    </xf>
    <xf numFmtId="14" fontId="2" fillId="4" borderId="0" xfId="0" applyNumberFormat="1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14" fontId="2" fillId="4" borderId="0" xfId="0" applyNumberFormat="1" applyFont="1" applyFill="1" applyAlignment="1">
      <alignment horizontal="center" wrapText="1"/>
    </xf>
    <xf numFmtId="2" fontId="2" fillId="4" borderId="0" xfId="0" applyNumberFormat="1" applyFont="1" applyFill="1" applyAlignment="1">
      <alignment horizontal="center"/>
    </xf>
    <xf numFmtId="2" fontId="2" fillId="4" borderId="0" xfId="0" applyNumberFormat="1" applyFont="1" applyFill="1" applyAlignment="1">
      <alignment horizontal="center" wrapText="1"/>
    </xf>
    <xf numFmtId="1" fontId="2" fillId="4" borderId="0" xfId="0" applyNumberFormat="1" applyFont="1" applyFill="1" applyAlignment="1">
      <alignment horizontal="center" wrapText="1"/>
    </xf>
    <xf numFmtId="166" fontId="2" fillId="4" borderId="0" xfId="1" applyNumberFormat="1" applyFont="1" applyFill="1" applyBorder="1" applyAlignment="1">
      <alignment horizontal="center"/>
    </xf>
    <xf numFmtId="168" fontId="7" fillId="0" borderId="0" xfId="2" applyNumberFormat="1" applyFont="1" applyBorder="1" applyAlignment="1">
      <alignment horizontal="center"/>
    </xf>
    <xf numFmtId="43" fontId="2" fillId="4" borderId="0" xfId="1" applyFont="1" applyFill="1" applyBorder="1" applyAlignment="1">
      <alignment horizontal="center" wrapText="1"/>
    </xf>
    <xf numFmtId="10" fontId="5" fillId="0" borderId="0" xfId="2" applyNumberFormat="1" applyFont="1" applyFill="1" applyBorder="1" applyAlignment="1">
      <alignment horizontal="center"/>
    </xf>
    <xf numFmtId="14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43" fontId="7" fillId="0" borderId="0" xfId="1" applyFont="1" applyBorder="1" applyAlignment="1">
      <alignment horizontal="center"/>
    </xf>
    <xf numFmtId="1" fontId="7" fillId="0" borderId="0" xfId="0" applyNumberFormat="1" applyFont="1" applyAlignment="1">
      <alignment horizontal="center"/>
    </xf>
    <xf numFmtId="10" fontId="7" fillId="0" borderId="0" xfId="2" applyNumberFormat="1" applyFont="1" applyBorder="1" applyAlignment="1">
      <alignment horizontal="center"/>
    </xf>
    <xf numFmtId="2" fontId="7" fillId="0" borderId="0" xfId="0" applyNumberFormat="1" applyFont="1" applyAlignment="1">
      <alignment horizontal="center"/>
    </xf>
    <xf numFmtId="166" fontId="7" fillId="0" borderId="0" xfId="1" applyNumberFormat="1" applyFont="1" applyBorder="1" applyAlignment="1">
      <alignment horizontal="center"/>
    </xf>
    <xf numFmtId="0" fontId="7" fillId="4" borderId="0" xfId="0" applyFont="1" applyFill="1" applyAlignment="1">
      <alignment horizontal="center"/>
    </xf>
    <xf numFmtId="14" fontId="7" fillId="4" borderId="0" xfId="0" applyNumberFormat="1" applyFont="1" applyFill="1" applyAlignment="1">
      <alignment horizontal="center"/>
    </xf>
    <xf numFmtId="1" fontId="7" fillId="4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9" fillId="0" borderId="0" xfId="3" applyFont="1" applyAlignment="1">
      <alignment horizontal="center"/>
    </xf>
    <xf numFmtId="14" fontId="9" fillId="0" borderId="0" xfId="3" applyNumberFormat="1" applyFont="1" applyAlignment="1">
      <alignment horizontal="center"/>
    </xf>
    <xf numFmtId="43" fontId="5" fillId="0" borderId="0" xfId="1" applyFont="1" applyFill="1" applyBorder="1" applyAlignment="1">
      <alignment horizontal="center"/>
    </xf>
    <xf numFmtId="43" fontId="7" fillId="0" borderId="0" xfId="1" applyFont="1" applyFill="1" applyBorder="1" applyAlignment="1">
      <alignment horizontal="center"/>
    </xf>
    <xf numFmtId="1" fontId="5" fillId="0" borderId="0" xfId="4" applyNumberFormat="1" applyAlignment="1">
      <alignment horizontal="center"/>
    </xf>
    <xf numFmtId="1" fontId="8" fillId="0" borderId="0" xfId="0" applyNumberFormat="1" applyFont="1" applyAlignment="1">
      <alignment horizontal="center"/>
    </xf>
    <xf numFmtId="14" fontId="9" fillId="0" borderId="0" xfId="4" applyNumberFormat="1" applyFont="1" applyAlignment="1">
      <alignment horizontal="center"/>
    </xf>
    <xf numFmtId="166" fontId="7" fillId="0" borderId="0" xfId="1" applyNumberFormat="1" applyFont="1" applyFill="1" applyBorder="1" applyAlignment="1">
      <alignment horizontal="center"/>
    </xf>
    <xf numFmtId="168" fontId="7" fillId="0" borderId="0" xfId="2" applyNumberFormat="1" applyFont="1" applyFill="1" applyBorder="1" applyAlignment="1">
      <alignment horizontal="center"/>
    </xf>
    <xf numFmtId="10" fontId="7" fillId="0" borderId="0" xfId="2" applyNumberFormat="1" applyFont="1" applyFill="1" applyBorder="1" applyAlignment="1">
      <alignment horizontal="center"/>
    </xf>
    <xf numFmtId="1" fontId="7" fillId="0" borderId="0" xfId="0" applyNumberFormat="1" applyFont="1" applyAlignment="1">
      <alignment horizontal="center" vertical="center"/>
    </xf>
    <xf numFmtId="14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2" fontId="7" fillId="0" borderId="0" xfId="1" applyNumberFormat="1" applyFont="1" applyFill="1" applyBorder="1" applyAlignment="1">
      <alignment horizontal="center"/>
    </xf>
    <xf numFmtId="10" fontId="5" fillId="0" borderId="0" xfId="2" applyNumberFormat="1" applyFont="1" applyFill="1" applyBorder="1" applyAlignment="1">
      <alignment horizontal="center" wrapText="1"/>
    </xf>
    <xf numFmtId="3" fontId="8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14" fontId="8" fillId="0" borderId="0" xfId="0" applyNumberFormat="1" applyFont="1" applyAlignment="1">
      <alignment horizontal="center"/>
    </xf>
    <xf numFmtId="3" fontId="7" fillId="0" borderId="0" xfId="0" applyNumberFormat="1" applyFont="1" applyAlignment="1">
      <alignment horizontal="center"/>
    </xf>
    <xf numFmtId="167" fontId="7" fillId="0" borderId="0" xfId="0" applyNumberFormat="1" applyFont="1" applyAlignment="1">
      <alignment horizontal="center"/>
    </xf>
    <xf numFmtId="14" fontId="5" fillId="0" borderId="0" xfId="4" applyNumberFormat="1" applyAlignment="1">
      <alignment horizontal="center"/>
    </xf>
    <xf numFmtId="14" fontId="7" fillId="0" borderId="0" xfId="4" applyNumberFormat="1" applyFont="1" applyAlignment="1">
      <alignment horizontal="center"/>
    </xf>
    <xf numFmtId="43" fontId="9" fillId="0" borderId="0" xfId="1" applyFont="1" applyFill="1" applyBorder="1" applyAlignment="1">
      <alignment horizontal="center"/>
    </xf>
    <xf numFmtId="1" fontId="9" fillId="0" borderId="0" xfId="1" applyNumberFormat="1" applyFont="1" applyFill="1" applyBorder="1" applyAlignment="1">
      <alignment horizontal="center"/>
    </xf>
    <xf numFmtId="15" fontId="5" fillId="0" borderId="0" xfId="5" applyNumberFormat="1" applyAlignment="1">
      <alignment horizontal="center"/>
    </xf>
    <xf numFmtId="166" fontId="9" fillId="0" borderId="0" xfId="1" applyNumberFormat="1" applyFont="1" applyFill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164" fontId="9" fillId="0" borderId="0" xfId="0" applyNumberFormat="1" applyFont="1" applyAlignment="1">
      <alignment horizontal="center"/>
    </xf>
    <xf numFmtId="4" fontId="9" fillId="0" borderId="0" xfId="0" applyNumberFormat="1" applyFont="1" applyAlignment="1">
      <alignment horizontal="center"/>
    </xf>
    <xf numFmtId="1" fontId="9" fillId="0" borderId="0" xfId="0" applyNumberFormat="1" applyFont="1" applyAlignment="1">
      <alignment horizontal="center"/>
    </xf>
    <xf numFmtId="164" fontId="7" fillId="0" borderId="0" xfId="0" applyNumberFormat="1" applyFont="1" applyAlignment="1">
      <alignment horizontal="center"/>
    </xf>
    <xf numFmtId="14" fontId="7" fillId="3" borderId="0" xfId="0" applyNumberFormat="1" applyFont="1" applyFill="1" applyAlignment="1">
      <alignment horizontal="center"/>
    </xf>
    <xf numFmtId="14" fontId="0" fillId="0" borderId="0" xfId="0" applyNumberFormat="1"/>
    <xf numFmtId="10" fontId="7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0" fontId="7" fillId="3" borderId="0" xfId="2" applyNumberFormat="1" applyFont="1" applyFill="1" applyBorder="1" applyAlignment="1">
      <alignment horizontal="center"/>
    </xf>
    <xf numFmtId="10" fontId="0" fillId="0" borderId="0" xfId="2" applyNumberFormat="1" applyFont="1"/>
    <xf numFmtId="10" fontId="0" fillId="0" borderId="0" xfId="0" applyNumberFormat="1"/>
    <xf numFmtId="14" fontId="10" fillId="0" borderId="0" xfId="0" applyNumberFormat="1" applyFont="1" applyAlignment="1">
      <alignment horizontal="center"/>
    </xf>
    <xf numFmtId="0" fontId="2" fillId="2" borderId="0" xfId="0" applyFont="1" applyFill="1" applyAlignment="1">
      <alignment horizontal="center" wrapText="1"/>
    </xf>
    <xf numFmtId="169" fontId="7" fillId="0" borderId="0" xfId="6" applyNumberFormat="1" applyFont="1" applyAlignment="1">
      <alignment horizontal="center"/>
    </xf>
    <xf numFmtId="10" fontId="7" fillId="0" borderId="0" xfId="2" applyNumberFormat="1" applyFont="1" applyAlignment="1">
      <alignment horizontal="center"/>
    </xf>
    <xf numFmtId="0" fontId="11" fillId="0" borderId="1" xfId="0" applyFont="1" applyBorder="1" applyAlignment="1">
      <alignment horizontal="center" vertical="top"/>
    </xf>
    <xf numFmtId="0" fontId="7" fillId="5" borderId="0" xfId="0" applyFont="1" applyFill="1" applyAlignment="1">
      <alignment horizontal="center"/>
    </xf>
    <xf numFmtId="14" fontId="2" fillId="4" borderId="0" xfId="0" applyNumberFormat="1" applyFont="1" applyFill="1" applyAlignment="1">
      <alignment horizontal="center" wrapText="1"/>
    </xf>
    <xf numFmtId="43" fontId="2" fillId="4" borderId="0" xfId="1" applyFont="1" applyFill="1" applyBorder="1" applyAlignment="1">
      <alignment horizontal="center" wrapText="1"/>
    </xf>
    <xf numFmtId="14" fontId="2" fillId="4" borderId="0" xfId="0" applyNumberFormat="1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wrapText="1"/>
    </xf>
    <xf numFmtId="10" fontId="2" fillId="2" borderId="0" xfId="2" applyNumberFormat="1" applyFont="1" applyFill="1" applyBorder="1" applyAlignment="1">
      <alignment horizontal="center" wrapText="1"/>
    </xf>
    <xf numFmtId="168" fontId="2" fillId="4" borderId="0" xfId="2" applyNumberFormat="1" applyFont="1" applyFill="1" applyBorder="1" applyAlignment="1">
      <alignment horizontal="center" wrapText="1"/>
    </xf>
    <xf numFmtId="10" fontId="2" fillId="4" borderId="0" xfId="2" applyNumberFormat="1" applyFont="1" applyFill="1" applyBorder="1" applyAlignment="1">
      <alignment horizontal="center" wrapText="1"/>
    </xf>
    <xf numFmtId="0" fontId="9" fillId="0" borderId="0" xfId="3" applyNumberFormat="1" applyFont="1" applyAlignment="1">
      <alignment horizontal="center"/>
    </xf>
    <xf numFmtId="0" fontId="7" fillId="0" borderId="0" xfId="0" applyNumberFormat="1" applyFont="1" applyAlignment="1">
      <alignment horizontal="center"/>
    </xf>
  </cellXfs>
  <cellStyles count="9">
    <cellStyle name="Comma" xfId="1" builtinId="3"/>
    <cellStyle name="Comma [0]" xfId="6" builtinId="6"/>
    <cellStyle name="Normal" xfId="0" builtinId="0"/>
    <cellStyle name="Normal 2" xfId="7" xr:uid="{1B676BFD-B3A3-435F-9685-81A91FBC006C}"/>
    <cellStyle name="Normal_COMPRAS" xfId="4" xr:uid="{4905AFCF-281A-445D-B393-C22E99BD0EEE}"/>
    <cellStyle name="Normal_Sheet1" xfId="3" xr:uid="{250FCD55-FF5F-4583-9EDF-21DE48932FAF}"/>
    <cellStyle name="Normal_Sheet3" xfId="5" xr:uid="{0050EDAA-B824-49D1-B987-099A427F2CAF}"/>
    <cellStyle name="Percent" xfId="2" builtinId="5"/>
    <cellStyle name="Porcentaje 2 3" xfId="8" xr:uid="{F68A657C-6121-4103-9702-7DA828852B9B}"/>
  </cellStyles>
  <dxfs count="10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4" formatCode="0.00%"/>
    </dxf>
    <dxf>
      <numFmt numFmtId="14" formatCode="0.00%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accent1">
                    <a:lumMod val="50000"/>
                  </a:schemeClr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r>
              <a:rPr lang="es-CL" b="1">
                <a:solidFill>
                  <a:schemeClr val="accent1">
                    <a:lumMod val="50000"/>
                  </a:schemeClr>
                </a:solidFill>
              </a:rPr>
              <a:t>Tasas de Originación y Endoso FI MHE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accent1">
                  <a:lumMod val="50000"/>
                </a:schemeClr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'Detalle Compras'!$AQ$4</c:f>
              <c:strCache>
                <c:ptCount val="1"/>
                <c:pt idx="0">
                  <c:v>Tasa Originación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'Detalle Compras'!$AP$5:$AP$86</c:f>
              <c:numCache>
                <c:formatCode>m/d/yyyy</c:formatCode>
                <c:ptCount val="82"/>
                <c:pt idx="0">
                  <c:v>45923</c:v>
                </c:pt>
                <c:pt idx="1">
                  <c:v>45943</c:v>
                </c:pt>
                <c:pt idx="2">
                  <c:v>45818</c:v>
                </c:pt>
                <c:pt idx="3">
                  <c:v>45842</c:v>
                </c:pt>
              </c:numCache>
            </c:numRef>
          </c:cat>
          <c:val>
            <c:numRef>
              <c:f>'Detalle Compras'!$AQ$5:$AQ$86</c:f>
              <c:numCache>
                <c:formatCode>0.00%</c:formatCode>
                <c:ptCount val="82"/>
                <c:pt idx="0">
                  <c:v>6.3758333333333347E-2</c:v>
                </c:pt>
                <c:pt idx="1">
                  <c:v>6.0600000000000001E-2</c:v>
                </c:pt>
                <c:pt idx="2">
                  <c:v>6.2529411764705889E-2</c:v>
                </c:pt>
                <c:pt idx="3">
                  <c:v>6.1666666666666661E-2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3F8-4E86-AA35-5A684D0A0316}"/>
            </c:ext>
          </c:extLst>
        </c:ser>
        <c:ser>
          <c:idx val="1"/>
          <c:order val="1"/>
          <c:tx>
            <c:strRef>
              <c:f>'Detalle Compras'!$AR$4</c:f>
              <c:strCache>
                <c:ptCount val="1"/>
                <c:pt idx="0">
                  <c:v>Tasa Endoso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'Detalle Compras'!$AP$5:$AP$86</c:f>
              <c:numCache>
                <c:formatCode>m/d/yyyy</c:formatCode>
                <c:ptCount val="82"/>
                <c:pt idx="0">
                  <c:v>45923</c:v>
                </c:pt>
                <c:pt idx="1">
                  <c:v>45943</c:v>
                </c:pt>
                <c:pt idx="2">
                  <c:v>45818</c:v>
                </c:pt>
                <c:pt idx="3">
                  <c:v>45842</c:v>
                </c:pt>
              </c:numCache>
            </c:numRef>
          </c:cat>
          <c:val>
            <c:numRef>
              <c:f>'Detalle Compras'!$AR$5:$AR$86</c:f>
              <c:numCache>
                <c:formatCode>0.00%</c:formatCode>
                <c:ptCount val="82"/>
                <c:pt idx="0">
                  <c:v>5.9758333333333337E-2</c:v>
                </c:pt>
                <c:pt idx="1">
                  <c:v>5.6599999999999998E-2</c:v>
                </c:pt>
                <c:pt idx="2">
                  <c:v>5.7529411764705905E-2</c:v>
                </c:pt>
                <c:pt idx="3">
                  <c:v>5.6666666666666671E-2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3F8-4E86-AA35-5A684D0A0316}"/>
            </c:ext>
          </c:extLst>
        </c:ser>
        <c:ser>
          <c:idx val="2"/>
          <c:order val="2"/>
          <c:tx>
            <c:strRef>
              <c:f>'Detalle Compras'!$AS$4</c:f>
              <c:strCache>
                <c:ptCount val="1"/>
                <c:pt idx="0">
                  <c:v>Spread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'Detalle Compras'!$AP$5:$AP$86</c:f>
              <c:numCache>
                <c:formatCode>m/d/yyyy</c:formatCode>
                <c:ptCount val="82"/>
                <c:pt idx="0">
                  <c:v>45923</c:v>
                </c:pt>
                <c:pt idx="1">
                  <c:v>45943</c:v>
                </c:pt>
                <c:pt idx="2">
                  <c:v>45818</c:v>
                </c:pt>
                <c:pt idx="3">
                  <c:v>45842</c:v>
                </c:pt>
              </c:numCache>
            </c:numRef>
          </c:cat>
          <c:val>
            <c:numRef>
              <c:f>'Detalle Compras'!$AS$5:$AS$86</c:f>
              <c:numCache>
                <c:formatCode>0.00%</c:formatCode>
                <c:ptCount val="82"/>
                <c:pt idx="0">
                  <c:v>4.0000000000000105E-3</c:v>
                </c:pt>
                <c:pt idx="1">
                  <c:v>4.0000000000000036E-3</c:v>
                </c:pt>
                <c:pt idx="2">
                  <c:v>4.9999999999999836E-3</c:v>
                </c:pt>
                <c:pt idx="3">
                  <c:v>4.9999999999999906E-3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B-33F8-4E86-AA35-5A684D0A03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42433743"/>
        <c:axId val="2042448303"/>
        <c:extLst/>
      </c:lineChart>
      <c:dateAx>
        <c:axId val="204243374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endParaRPr lang="es-CL"/>
          </a:p>
        </c:txPr>
        <c:crossAx val="2042448303"/>
        <c:crosses val="autoZero"/>
        <c:auto val="1"/>
        <c:lblOffset val="100"/>
        <c:baseTimeUnit val="days"/>
        <c:majorUnit val="5"/>
      </c:dateAx>
      <c:valAx>
        <c:axId val="2042448303"/>
        <c:scaling>
          <c:orientation val="minMax"/>
          <c:max val="5.000000000000001E-2"/>
          <c:min val="2.0000000000000004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endParaRPr lang="es-CL"/>
          </a:p>
        </c:txPr>
        <c:crossAx val="2042433743"/>
        <c:crosses val="autoZero"/>
        <c:crossBetween val="between"/>
        <c:majorUnit val="1.0000000000000002E-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accent1">
                  <a:lumMod val="50000"/>
                </a:schemeClr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Segoe UI" panose="020B0502040204020203" pitchFamily="34" charset="0"/>
          <a:cs typeface="Segoe UI" panose="020B0502040204020203" pitchFamily="34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49</xdr:col>
      <xdr:colOff>601264</xdr:colOff>
      <xdr:row>5</xdr:row>
      <xdr:rowOff>11913</xdr:rowOff>
    </xdr:from>
    <xdr:to>
      <xdr:col>59</xdr:col>
      <xdr:colOff>369093</xdr:colOff>
      <xdr:row>20</xdr:row>
      <xdr:rowOff>159550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48C6CD9-3577-4D7E-87A4-C32FB222EB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oreno, Camila" refreshedDate="44656.516533564813" createdVersion="6" refreshedVersion="6" minRefreshableVersion="3" recordCount="82" xr:uid="{2D359FFA-2578-4706-BD4E-D8A34D9EC53A}">
  <cacheSource type="worksheet">
    <worksheetSource ref="AP4:AS86" sheet="Detalle Compras"/>
  </cacheSource>
  <cacheFields count="6">
    <cacheField name="Fecha Compra" numFmtId="14">
      <sharedItems containsSemiMixedTypes="0" containsNonDate="0" containsDate="1" containsString="0" minDate="2019-10-30T00:00:00" maxDate="2022-03-26T00:00:00" count="82">
        <d v="2019-10-30T00:00:00"/>
        <d v="2019-11-27T00:00:00"/>
        <d v="2019-12-27T00:00:00"/>
        <d v="2020-01-24T00:00:00"/>
        <d v="2020-02-10T00:00:00"/>
        <d v="2020-02-27T00:00:00"/>
        <d v="2020-03-06T00:00:00"/>
        <d v="2020-03-13T00:00:00"/>
        <d v="2020-03-20T00:00:00"/>
        <d v="2020-03-27T00:00:00"/>
        <d v="2020-04-09T00:00:00"/>
        <d v="2020-04-17T00:00:00"/>
        <d v="2020-04-24T00:00:00"/>
        <d v="2020-05-15T00:00:00"/>
        <d v="2020-05-22T00:00:00"/>
        <d v="2020-06-05T00:00:00"/>
        <d v="2020-06-12T00:00:00"/>
        <d v="2020-06-19T00:00:00"/>
        <d v="2020-06-26T00:00:00"/>
        <d v="2020-07-03T00:00:00"/>
        <d v="2020-07-10T00:00:00"/>
        <d v="2020-07-17T00:00:00"/>
        <d v="2020-07-24T00:00:00"/>
        <d v="2020-07-30T00:00:00"/>
        <d v="2020-08-07T00:00:00"/>
        <d v="2020-08-14T00:00:00"/>
        <d v="2020-08-21T00:00:00"/>
        <d v="2020-08-28T00:00:00"/>
        <d v="2020-09-04T00:00:00"/>
        <d v="2020-09-11T00:00:00"/>
        <d v="2020-09-17T00:00:00"/>
        <d v="2020-09-25T00:00:00"/>
        <d v="2020-10-02T00:00:00"/>
        <d v="2020-10-09T00:00:00"/>
        <d v="2020-10-16T00:00:00"/>
        <d v="2020-10-23T00:00:00"/>
        <d v="2020-10-30T00:00:00"/>
        <d v="2020-11-06T00:00:00"/>
        <d v="2020-11-13T00:00:00"/>
        <d v="2020-11-20T00:00:00"/>
        <d v="2020-11-27T00:00:00"/>
        <d v="2020-12-04T00:00:00"/>
        <d v="2020-12-18T00:00:00"/>
        <d v="2020-12-28T00:00:00"/>
        <d v="2021-01-08T00:00:00"/>
        <d v="2021-01-15T00:00:00"/>
        <d v="2021-01-22T00:00:00"/>
        <d v="2021-01-29T00:00:00"/>
        <d v="2021-02-05T00:00:00"/>
        <d v="2021-02-12T00:00:00"/>
        <d v="2021-02-19T00:00:00"/>
        <d v="2021-02-25T00:00:00"/>
        <d v="2021-03-19T00:00:00"/>
        <d v="2021-03-26T00:00:00"/>
        <d v="2021-04-01T00:00:00"/>
        <d v="2021-04-09T00:00:00"/>
        <d v="2021-04-16T00:00:00"/>
        <d v="2021-04-23T00:00:00"/>
        <d v="2021-04-29T00:00:00"/>
        <d v="2021-05-07T00:00:00"/>
        <d v="2021-05-14T00:00:00"/>
        <d v="2021-05-20T00:00:00"/>
        <d v="2021-05-28T00:00:00"/>
        <d v="2021-06-04T00:00:00"/>
        <d v="2021-06-11T00:00:00"/>
        <d v="2021-06-18T00:00:00"/>
        <d v="2021-06-25T00:00:00"/>
        <d v="2021-07-02T00:00:00"/>
        <d v="2021-07-09T00:00:00"/>
        <d v="2021-07-15T00:00:00"/>
        <d v="2021-07-29T00:00:00"/>
        <d v="2021-08-06T00:00:00"/>
        <d v="2021-09-15T00:00:00"/>
        <d v="2021-09-24T00:00:00"/>
        <d v="2021-10-01T00:00:00"/>
        <d v="2021-10-15T00:00:00"/>
        <d v="2021-10-28T00:00:00"/>
        <d v="2022-02-04T00:00:00"/>
        <d v="2022-02-11T00:00:00"/>
        <d v="2022-02-23T00:00:00"/>
        <d v="2022-03-18T00:00:00"/>
        <d v="2022-03-25T00:00:00"/>
      </sharedItems>
      <fieldGroup par="5" base="0">
        <rangePr groupBy="months" startDate="2019-10-30T00:00:00" endDate="2022-03-26T00:00:00"/>
        <groupItems count="14">
          <s v="&lt;30/10/2019"/>
          <s v="ene"/>
          <s v="feb"/>
          <s v="mar"/>
          <s v="abr"/>
          <s v="may"/>
          <s v="jun"/>
          <s v="jul"/>
          <s v="ago"/>
          <s v="sept"/>
          <s v="oct"/>
          <s v="nov"/>
          <s v="dic"/>
          <s v="&gt;26/03/2022"/>
        </groupItems>
      </fieldGroup>
    </cacheField>
    <cacheField name="Tasa Originación" numFmtId="10">
      <sharedItems containsSemiMixedTypes="0" containsString="0" containsNumber="1" minValue="3.3018181818181822E-2" maxValue="4.7906250000000011E-2"/>
    </cacheField>
    <cacheField name="Tasa Endoso" numFmtId="10">
      <sharedItems containsSemiMixedTypes="0" containsString="0" containsNumber="1" minValue="3.0522727272727278E-2" maxValue="4.5249999999999992E-2"/>
    </cacheField>
    <cacheField name="Spread" numFmtId="10">
      <sharedItems containsSemiMixedTypes="0" containsString="0" containsNumber="1" minValue="2.3173913043478267E-3" maxValue="3.0000000000000165E-3"/>
    </cacheField>
    <cacheField name="Quarters" numFmtId="0" databaseField="0">
      <fieldGroup base="0">
        <rangePr groupBy="quarters" startDate="2019-10-30T00:00:00" endDate="2022-03-26T00:00:00"/>
        <groupItems count="6">
          <s v="&lt;30/10/2019"/>
          <s v="Qtr1"/>
          <s v="Qtr2"/>
          <s v="Qtr3"/>
          <s v="Qtr4"/>
          <s v="&gt;26/03/2022"/>
        </groupItems>
      </fieldGroup>
    </cacheField>
    <cacheField name="Years" numFmtId="0" databaseField="0">
      <fieldGroup base="0">
        <rangePr groupBy="years" startDate="2019-10-30T00:00:00" endDate="2022-03-26T00:00:00"/>
        <groupItems count="6">
          <s v="&lt;30/10/2019"/>
          <s v="2019"/>
          <s v="2020"/>
          <s v="2021"/>
          <s v="2022"/>
          <s v="&gt;26/03/2022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2">
  <r>
    <x v="0"/>
    <n v="3.9704878048780499E-2"/>
    <n v="3.6704878048780483E-2"/>
    <n v="3.0000000000000165E-3"/>
  </r>
  <r>
    <x v="1"/>
    <n v="3.6255555555555562E-2"/>
    <n v="3.3255555555555559E-2"/>
    <n v="3.0000000000000027E-3"/>
  </r>
  <r>
    <x v="2"/>
    <n v="3.5861538461538472E-2"/>
    <n v="3.2861538461538463E-2"/>
    <n v="3.0000000000000096E-3"/>
  </r>
  <r>
    <x v="3"/>
    <n v="3.4512820512820508E-2"/>
    <n v="3.1512820512820519E-2"/>
    <n v="2.9999999999999888E-3"/>
  </r>
  <r>
    <x v="4"/>
    <n v="3.4012500000000015E-2"/>
    <n v="3.1083333333333338E-2"/>
    <n v="2.9291666666666771E-3"/>
  </r>
  <r>
    <x v="5"/>
    <n v="3.3805000000000002E-2"/>
    <n v="3.1345000000000005E-2"/>
    <n v="2.4599999999999969E-3"/>
  </r>
  <r>
    <x v="6"/>
    <n v="3.3018181818181822E-2"/>
    <n v="3.0522727272727278E-2"/>
    <n v="2.4954545454545438E-3"/>
  </r>
  <r>
    <x v="7"/>
    <n v="3.4902439024390233E-2"/>
    <n v="3.2382926829268299E-2"/>
    <n v="2.519512195121934E-3"/>
  </r>
  <r>
    <x v="8"/>
    <n v="3.4425000000000004E-2"/>
    <n v="3.1957142857142871E-2"/>
    <n v="2.4678571428571328E-3"/>
  </r>
  <r>
    <x v="9"/>
    <n v="3.581666666666667E-2"/>
    <n v="3.3150000000000006E-2"/>
    <n v="2.6666666666666644E-3"/>
  </r>
  <r>
    <x v="10"/>
    <n v="3.5049999999999998E-2"/>
    <n v="3.2549999999999996E-2"/>
    <n v="2.5000000000000022E-3"/>
  </r>
  <r>
    <x v="11"/>
    <n v="3.7299999999999993E-2"/>
    <n v="3.4692307692307689E-2"/>
    <n v="2.6076923076923039E-3"/>
  </r>
  <r>
    <x v="12"/>
    <n v="3.4252173913043492E-2"/>
    <n v="3.1934782608695665E-2"/>
    <n v="2.3173913043478267E-3"/>
  </r>
  <r>
    <x v="13"/>
    <n v="3.5666666666666666E-2"/>
    <n v="3.3125000000000009E-2"/>
    <n v="2.5416666666666574E-3"/>
  </r>
  <r>
    <x v="14"/>
    <n v="3.5649999999999994E-2"/>
    <n v="3.2908333333333338E-2"/>
    <n v="2.7416666666666561E-3"/>
  </r>
  <r>
    <x v="15"/>
    <n v="3.6607142857142852E-2"/>
    <n v="3.3964285714285718E-2"/>
    <n v="2.6428571428571343E-3"/>
  </r>
  <r>
    <x v="16"/>
    <n v="3.5684615384615391E-2"/>
    <n v="3.2923076923076937E-2"/>
    <n v="2.7615384615384542E-3"/>
  </r>
  <r>
    <x v="17"/>
    <n v="3.5625000000000004E-2"/>
    <n v="3.2750000000000001E-2"/>
    <n v="2.8750000000000026E-3"/>
  </r>
  <r>
    <x v="18"/>
    <n v="3.6409090909090919E-2"/>
    <n v="3.3477272727272744E-2"/>
    <n v="2.9318181818181743E-3"/>
  </r>
  <r>
    <x v="19"/>
    <n v="3.7055555555555557E-2"/>
    <n v="3.4277777777777775E-2"/>
    <n v="2.7777777777777818E-3"/>
  </r>
  <r>
    <x v="20"/>
    <n v="3.6944444444444439E-2"/>
    <n v="3.4222222222222223E-2"/>
    <n v="2.7222222222222162E-3"/>
  </r>
  <r>
    <x v="21"/>
    <n v="3.783333333333333E-2"/>
    <n v="3.5166666666666666E-2"/>
    <n v="2.6666666666666644E-3"/>
  </r>
  <r>
    <x v="22"/>
    <n v="3.726190476190476E-2"/>
    <n v="3.4595238095238089E-2"/>
    <n v="2.6666666666666713E-3"/>
  </r>
  <r>
    <x v="23"/>
    <n v="3.7900000000000003E-2"/>
    <n v="3.5100000000000006E-2"/>
    <n v="2.7999999999999969E-3"/>
  </r>
  <r>
    <x v="24"/>
    <n v="3.7749999999999999E-2"/>
    <n v="3.5000000000000003E-2"/>
    <n v="2.7499999999999955E-3"/>
  </r>
  <r>
    <x v="25"/>
    <n v="3.7540740740740743E-2"/>
    <n v="3.4944444444444445E-2"/>
    <n v="2.5962962962962979E-3"/>
  </r>
  <r>
    <x v="26"/>
    <n v="3.6863157894736841E-2"/>
    <n v="3.4052631578947376E-2"/>
    <n v="2.8105263157894647E-3"/>
  </r>
  <r>
    <x v="27"/>
    <n v="3.7149999999999996E-2"/>
    <n v="3.4450000000000001E-2"/>
    <n v="2.6999999999999941E-3"/>
  </r>
  <r>
    <x v="28"/>
    <n v="3.7730769230769221E-2"/>
    <n v="3.5115384615384618E-2"/>
    <n v="2.6153846153846028E-3"/>
  </r>
  <r>
    <x v="29"/>
    <n v="3.7545454545454549E-2"/>
    <n v="3.4636363636363639E-2"/>
    <n v="2.9090909090909098E-3"/>
  </r>
  <r>
    <x v="30"/>
    <n v="3.6625000000000005E-2"/>
    <n v="3.3750000000000002E-2"/>
    <n v="2.8750000000000026E-3"/>
  </r>
  <r>
    <x v="31"/>
    <n v="3.7100000000000001E-2"/>
    <n v="3.4300000000000004E-2"/>
    <n v="2.7999999999999969E-3"/>
  </r>
  <r>
    <x v="32"/>
    <n v="3.7244444444444441E-2"/>
    <n v="3.4611111111111113E-2"/>
    <n v="2.6333333333333278E-3"/>
  </r>
  <r>
    <x v="33"/>
    <n v="3.7628571428571435E-2"/>
    <n v="3.4857142857142857E-2"/>
    <n v="2.7714285714285775E-3"/>
  </r>
  <r>
    <x v="34"/>
    <n v="3.6999999999999991E-2"/>
    <n v="3.4409090909090917E-2"/>
    <n v="2.5909090909090743E-3"/>
  </r>
  <r>
    <x v="35"/>
    <n v="3.6936363636363628E-2"/>
    <n v="3.4227272727272731E-2"/>
    <n v="2.7090909090908971E-3"/>
  </r>
  <r>
    <x v="36"/>
    <n v="4.1785000000000003E-2"/>
    <n v="3.9184999999999991E-2"/>
    <n v="2.600000000000012E-3"/>
  </r>
  <r>
    <x v="37"/>
    <n v="3.6142857142857143E-2"/>
    <n v="3.3571428571428572E-2"/>
    <n v="2.5714285714285717E-3"/>
  </r>
  <r>
    <x v="38"/>
    <n v="3.7239999999999995E-2"/>
    <n v="3.465E-2"/>
    <n v="2.5899999999999951E-3"/>
  </r>
  <r>
    <x v="39"/>
    <n v="3.7312499999999998E-2"/>
    <n v="3.4625000000000017E-2"/>
    <n v="2.6874999999999816E-3"/>
  </r>
  <r>
    <x v="40"/>
    <n v="3.7388888888888888E-2"/>
    <n v="3.4666666666666665E-2"/>
    <n v="2.7222222222222231E-3"/>
  </r>
  <r>
    <x v="41"/>
    <n v="3.7160714285714283E-2"/>
    <n v="3.4500000000000017E-2"/>
    <n v="2.6607142857142663E-3"/>
  </r>
  <r>
    <x v="42"/>
    <n v="3.719999999999999E-2"/>
    <n v="3.4500000000000003E-2"/>
    <n v="2.6999999999999871E-3"/>
  </r>
  <r>
    <x v="43"/>
    <n v="3.7100000000000001E-2"/>
    <n v="3.4357142857142857E-2"/>
    <n v="2.7428571428571441E-3"/>
  </r>
  <r>
    <x v="44"/>
    <n v="3.79875E-2"/>
    <n v="3.5250000000000004E-2"/>
    <n v="2.7374999999999969E-3"/>
  </r>
  <r>
    <x v="45"/>
    <n v="3.7519999999999998E-2"/>
    <n v="3.49E-2"/>
    <n v="2.6199999999999973E-3"/>
  </r>
  <r>
    <x v="46"/>
    <n v="3.5850000000000007E-2"/>
    <n v="3.3000000000000002E-2"/>
    <n v="2.8500000000000053E-3"/>
  </r>
  <r>
    <x v="47"/>
    <n v="3.6949999999999997E-2"/>
    <n v="3.4100000000000005E-2"/>
    <n v="2.8499999999999914E-3"/>
  </r>
  <r>
    <x v="48"/>
    <n v="3.8750000000000007E-2"/>
    <n v="3.6000000000000004E-2"/>
    <n v="2.7500000000000024E-3"/>
  </r>
  <r>
    <x v="49"/>
    <n v="3.8079999999999996E-2"/>
    <n v="3.5133333333333343E-2"/>
    <n v="2.946666666666653E-3"/>
  </r>
  <r>
    <x v="50"/>
    <n v="3.7766666666666664E-2"/>
    <n v="3.5166666666666672E-2"/>
    <n v="2.5999999999999912E-3"/>
  </r>
  <r>
    <x v="51"/>
    <n v="3.8166666666666661E-2"/>
    <n v="3.5233333333333353E-2"/>
    <n v="2.9333333333333086E-3"/>
  </r>
  <r>
    <x v="52"/>
    <n v="3.7147058823529408E-2"/>
    <n v="3.4382352941176475E-2"/>
    <n v="2.764705882352933E-3"/>
  </r>
  <r>
    <x v="53"/>
    <n v="3.6687499999999998E-2"/>
    <n v="3.3937500000000002E-2"/>
    <n v="2.7499999999999955E-3"/>
  </r>
  <r>
    <x v="54"/>
    <n v="3.6999999999999998E-2"/>
    <n v="3.4277777777777775E-2"/>
    <n v="2.7222222222222231E-3"/>
  </r>
  <r>
    <x v="55"/>
    <n v="3.6250000000000004E-2"/>
    <n v="3.3500000000000002E-2"/>
    <n v="2.7500000000000024E-3"/>
  </r>
  <r>
    <x v="56"/>
    <n v="3.6749999999999998E-2"/>
    <n v="3.4000000000000002E-2"/>
    <n v="2.7499999999999955E-3"/>
  </r>
  <r>
    <x v="57"/>
    <n v="3.5975000000000007E-2"/>
    <n v="3.3250000000000002E-2"/>
    <n v="2.7250000000000052E-3"/>
  </r>
  <r>
    <x v="58"/>
    <n v="3.7535714285714276E-2"/>
    <n v="3.4678571428571441E-2"/>
    <n v="2.8571428571428359E-3"/>
  </r>
  <r>
    <x v="59"/>
    <n v="3.8166666666666668E-2"/>
    <n v="3.5166666666666672E-2"/>
    <n v="2.9999999999999957E-3"/>
  </r>
  <r>
    <x v="60"/>
    <n v="3.7624999999999999E-2"/>
    <n v="3.4750000000000003E-2"/>
    <n v="2.8749999999999956E-3"/>
  </r>
  <r>
    <x v="61"/>
    <n v="3.7499999999999999E-2"/>
    <n v="3.4666666666666672E-2"/>
    <n v="2.8333333333333266E-3"/>
  </r>
  <r>
    <x v="62"/>
    <n v="3.7699999999999997E-2"/>
    <n v="3.4714285714285718E-2"/>
    <n v="2.985714285714279E-3"/>
  </r>
  <r>
    <x v="63"/>
    <n v="3.7874999999999999E-2"/>
    <n v="3.5125000000000003E-2"/>
    <n v="2.7499999999999955E-3"/>
  </r>
  <r>
    <x v="64"/>
    <n v="3.7499999999999999E-2"/>
    <n v="3.4600000000000006E-2"/>
    <n v="2.8999999999999929E-3"/>
  </r>
  <r>
    <x v="65"/>
    <n v="3.9E-2"/>
    <n v="3.5999999999999997E-2"/>
    <n v="3.0000000000000027E-3"/>
  </r>
  <r>
    <x v="66"/>
    <n v="3.7071428571428575E-2"/>
    <n v="3.4428571428571433E-2"/>
    <n v="2.6428571428571412E-3"/>
  </r>
  <r>
    <x v="67"/>
    <n v="3.7374999999999999E-2"/>
    <n v="3.4750000000000003E-2"/>
    <n v="2.6249999999999954E-3"/>
  </r>
  <r>
    <x v="68"/>
    <n v="3.7666666666666661E-2"/>
    <n v="3.4833333333333334E-2"/>
    <n v="2.8333333333333266E-3"/>
  </r>
  <r>
    <x v="69"/>
    <n v="3.7949999999999998E-2"/>
    <n v="3.5000000000000003E-2"/>
    <n v="2.9499999999999943E-3"/>
  </r>
  <r>
    <x v="70"/>
    <n v="3.7749999999999999E-2"/>
    <n v="3.4750000000000003E-2"/>
    <n v="2.9999999999999957E-3"/>
  </r>
  <r>
    <x v="71"/>
    <n v="3.7999999999999999E-2"/>
    <n v="3.5000000000000003E-2"/>
    <n v="2.9999999999999957E-3"/>
  </r>
  <r>
    <x v="72"/>
    <n v="3.78E-2"/>
    <n v="3.5100000000000006E-2"/>
    <n v="2.6999999999999941E-3"/>
  </r>
  <r>
    <x v="73"/>
    <n v="3.7999999999999999E-2"/>
    <n v="3.5000000000000003E-2"/>
    <n v="2.9999999999999957E-3"/>
  </r>
  <r>
    <x v="74"/>
    <n v="3.5499999999999997E-2"/>
    <n v="3.3000000000000002E-2"/>
    <n v="2.4999999999999953E-3"/>
  </r>
  <r>
    <x v="75"/>
    <n v="3.7999999999999999E-2"/>
    <n v="3.5000000000000003E-2"/>
    <n v="2.9999999999999957E-3"/>
  </r>
  <r>
    <x v="76"/>
    <n v="3.7999999999999999E-2"/>
    <n v="3.5000000000000003E-2"/>
    <n v="2.9999999999999957E-3"/>
  </r>
  <r>
    <x v="77"/>
    <n v="4.7E-2"/>
    <n v="4.3999999999999997E-2"/>
    <n v="3.0000000000000027E-3"/>
  </r>
  <r>
    <x v="78"/>
    <n v="4.7E-2"/>
    <n v="4.3999999999999997E-2"/>
    <n v="3.0000000000000027E-3"/>
  </r>
  <r>
    <x v="79"/>
    <n v="4.7E-2"/>
    <n v="4.3999999999999997E-2"/>
    <n v="3.0000000000000027E-3"/>
  </r>
  <r>
    <x v="80"/>
    <n v="4.7E-2"/>
    <n v="4.3999999999999997E-2"/>
    <n v="3.0000000000000027E-3"/>
  </r>
  <r>
    <x v="81"/>
    <n v="4.7906250000000011E-2"/>
    <n v="4.5249999999999992E-2"/>
    <n v="2.6562500000000197E-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3BDD6E4-43CB-449D-87A2-1719F3C4D639}" name="PivotTable1" cacheId="17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V6:AW21" firstHeaderRow="1" firstDataRow="1" firstDataCol="1"/>
  <pivotFields count="6">
    <pivotField axis="axisRow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umFmtId="10" showAll="0"/>
    <pivotField numFmtId="10" showAll="0"/>
    <pivotField dataField="1" numFmtId="10" showAll="0"/>
    <pivotField axis="axisRow"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7">
        <item sd="0" x="0"/>
        <item x="1"/>
        <item x="2"/>
        <item x="3"/>
        <item x="4"/>
        <item sd="0" x="5"/>
        <item t="default"/>
      </items>
    </pivotField>
  </pivotFields>
  <rowFields count="3">
    <field x="5"/>
    <field x="4"/>
    <field x="0"/>
  </rowFields>
  <rowItems count="15">
    <i>
      <x v="1"/>
    </i>
    <i r="1">
      <x v="4"/>
    </i>
    <i>
      <x v="2"/>
    </i>
    <i r="1">
      <x v="1"/>
    </i>
    <i r="1">
      <x v="2"/>
    </i>
    <i r="1">
      <x v="3"/>
    </i>
    <i r="1">
      <x v="4"/>
    </i>
    <i>
      <x v="3"/>
    </i>
    <i r="1">
      <x v="1"/>
    </i>
    <i r="1">
      <x v="2"/>
    </i>
    <i r="1">
      <x v="3"/>
    </i>
    <i r="1">
      <x v="4"/>
    </i>
    <i>
      <x v="4"/>
    </i>
    <i r="1">
      <x v="1"/>
    </i>
    <i t="grand">
      <x/>
    </i>
  </rowItems>
  <colItems count="1">
    <i/>
  </colItems>
  <dataFields count="1">
    <dataField name="Average of Spread" fld="3" subtotal="average" baseField="5" baseItem="1" numFmtId="10"/>
  </dataFields>
  <formats count="2">
    <format dxfId="104">
      <pivotArea outline="0" collapsedLevelsAreSubtotals="1" fieldPosition="0"/>
    </format>
    <format dxfId="103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612B4-C97B-4B1E-8B8F-68EAADD35CE1}">
  <dimension ref="A1:BFY1348"/>
  <sheetViews>
    <sheetView tabSelected="1" topLeftCell="R1" zoomScale="80" zoomScaleNormal="80" workbookViewId="0">
      <pane ySplit="2" topLeftCell="A164" activePane="bottomLeft" state="frozen"/>
      <selection pane="bottomLeft" activeCell="AG113" sqref="AG113"/>
    </sheetView>
  </sheetViews>
  <sheetFormatPr defaultColWidth="9.140625" defaultRowHeight="12.75" x14ac:dyDescent="0.2"/>
  <cols>
    <col min="1" max="1" width="12.28515625" style="14" bestFit="1" customWidth="1"/>
    <col min="2" max="2" width="5.7109375" style="15" customWidth="1"/>
    <col min="3" max="3" width="26.42578125" style="15" bestFit="1" customWidth="1"/>
    <col min="4" max="4" width="26.28515625" style="15" customWidth="1"/>
    <col min="5" max="5" width="34.5703125" style="15" bestFit="1" customWidth="1"/>
    <col min="6" max="6" width="15.7109375" style="15" bestFit="1" customWidth="1"/>
    <col min="7" max="7" width="26.7109375" style="15" bestFit="1" customWidth="1"/>
    <col min="8" max="8" width="12.42578125" style="15" bestFit="1" customWidth="1"/>
    <col min="9" max="9" width="4" style="15" bestFit="1" customWidth="1"/>
    <col min="10" max="10" width="16.5703125" style="14" bestFit="1" customWidth="1"/>
    <col min="11" max="11" width="17" style="16" customWidth="1"/>
    <col min="12" max="12" width="8.7109375" style="16" bestFit="1" customWidth="1"/>
    <col min="13" max="13" width="12.140625" style="16" bestFit="1" customWidth="1"/>
    <col min="14" max="14" width="14" style="16" bestFit="1" customWidth="1"/>
    <col min="15" max="15" width="21" style="17" bestFit="1" customWidth="1"/>
    <col min="16" max="16" width="10.140625" style="17" bestFit="1" customWidth="1"/>
    <col min="17" max="17" width="16.140625" style="17" bestFit="1" customWidth="1"/>
    <col min="18" max="18" width="22.85546875" style="18" bestFit="1" customWidth="1"/>
    <col min="19" max="19" width="16.7109375" style="14" bestFit="1" customWidth="1"/>
    <col min="20" max="20" width="17.5703125" style="14" bestFit="1" customWidth="1"/>
    <col min="21" max="21" width="13.140625" style="14" bestFit="1" customWidth="1"/>
    <col min="22" max="23" width="11" style="19" bestFit="1" customWidth="1"/>
    <col min="24" max="24" width="11.42578125" style="20" bestFit="1" customWidth="1"/>
    <col min="25" max="25" width="33.7109375" style="16" bestFit="1" customWidth="1"/>
    <col min="26" max="26" width="15.28515625" style="16" bestFit="1" customWidth="1"/>
    <col min="27" max="27" width="21.140625" style="11" bestFit="1" customWidth="1"/>
    <col min="28" max="28" width="9.28515625" style="18" bestFit="1" customWidth="1"/>
    <col min="29" max="29" width="9.28515625" style="15" bestFit="1" customWidth="1"/>
    <col min="30" max="32" width="13.5703125" style="15" bestFit="1" customWidth="1"/>
    <col min="33" max="33" width="50.7109375" style="15" customWidth="1"/>
    <col min="34" max="34" width="27.7109375" style="15" bestFit="1" customWidth="1"/>
    <col min="35" max="41" width="9.140625" style="15"/>
    <col min="42" max="42" width="13.7109375" style="14" bestFit="1" customWidth="1"/>
    <col min="43" max="43" width="15.85546875" style="15" bestFit="1" customWidth="1"/>
    <col min="44" max="44" width="12.42578125" style="15" bestFit="1" customWidth="1"/>
    <col min="45" max="45" width="7.42578125" style="15" bestFit="1" customWidth="1"/>
    <col min="46" max="47" width="9.140625" style="15"/>
    <col min="48" max="48" width="14.140625" style="15" bestFit="1" customWidth="1"/>
    <col min="49" max="49" width="17.7109375" style="18" bestFit="1" customWidth="1"/>
    <col min="50" max="16384" width="9.140625" style="15"/>
  </cols>
  <sheetData>
    <row r="1" spans="1:1533" ht="12.75" customHeight="1" x14ac:dyDescent="0.2">
      <c r="A1" s="72" t="s">
        <v>163</v>
      </c>
      <c r="B1" s="21"/>
      <c r="C1" s="21"/>
      <c r="D1" s="21"/>
      <c r="E1" s="21"/>
      <c r="F1" s="21"/>
      <c r="G1" s="21"/>
      <c r="H1" s="21"/>
      <c r="I1" s="21"/>
      <c r="J1" s="22"/>
      <c r="K1" s="71" t="s">
        <v>0</v>
      </c>
      <c r="L1" s="12"/>
      <c r="M1" s="12"/>
      <c r="N1" s="12"/>
      <c r="O1" s="9"/>
      <c r="P1" s="23"/>
      <c r="Q1" s="9"/>
      <c r="R1" s="76" t="s">
        <v>1</v>
      </c>
      <c r="S1" s="70" t="s">
        <v>2</v>
      </c>
      <c r="T1" s="70" t="s">
        <v>3</v>
      </c>
      <c r="U1" s="70" t="s">
        <v>4</v>
      </c>
      <c r="V1" s="7"/>
      <c r="W1" s="7" t="s">
        <v>5</v>
      </c>
      <c r="X1" s="10" t="s">
        <v>6</v>
      </c>
      <c r="Y1" s="71" t="s">
        <v>7</v>
      </c>
      <c r="Z1" s="71" t="s">
        <v>8</v>
      </c>
      <c r="AA1" s="75" t="s">
        <v>9</v>
      </c>
      <c r="AB1" s="74" t="s">
        <v>63</v>
      </c>
      <c r="AC1" s="73" t="s">
        <v>64</v>
      </c>
      <c r="AD1" s="73" t="s">
        <v>129</v>
      </c>
      <c r="AE1" s="73" t="s">
        <v>130</v>
      </c>
      <c r="AF1" s="73" t="s">
        <v>131</v>
      </c>
      <c r="AG1" s="73" t="s">
        <v>132</v>
      </c>
      <c r="AH1" s="73" t="s">
        <v>133</v>
      </c>
      <c r="AI1" s="65"/>
      <c r="AJ1" s="73" t="s">
        <v>168</v>
      </c>
      <c r="AK1" s="73" t="s">
        <v>667</v>
      </c>
      <c r="AL1" s="24"/>
      <c r="AM1" s="24"/>
      <c r="AN1" s="24"/>
      <c r="AO1" s="24"/>
      <c r="AP1" s="56"/>
      <c r="AQ1" s="24"/>
      <c r="AR1" s="24"/>
      <c r="AS1" s="24"/>
      <c r="AT1" s="24"/>
      <c r="AU1" s="24"/>
      <c r="AV1" s="24"/>
      <c r="AW1" s="61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4"/>
      <c r="CJ1" s="24"/>
      <c r="CK1" s="24"/>
      <c r="CL1" s="24"/>
      <c r="CM1" s="24"/>
      <c r="CN1" s="24"/>
      <c r="CO1" s="24"/>
      <c r="CP1" s="24"/>
      <c r="CQ1" s="24"/>
      <c r="CR1" s="24"/>
      <c r="CS1" s="24"/>
      <c r="CT1" s="24"/>
      <c r="CU1" s="24"/>
      <c r="CV1" s="24"/>
      <c r="CW1" s="24"/>
      <c r="CX1" s="24"/>
      <c r="CY1" s="24"/>
      <c r="CZ1" s="24"/>
      <c r="DA1" s="24"/>
      <c r="DB1" s="24"/>
      <c r="DC1" s="24"/>
      <c r="DD1" s="24"/>
      <c r="DE1" s="24"/>
      <c r="DF1" s="24"/>
      <c r="DG1" s="24"/>
      <c r="DH1" s="24"/>
      <c r="DI1" s="24"/>
      <c r="DJ1" s="24"/>
      <c r="DK1" s="24"/>
      <c r="DL1" s="24"/>
      <c r="DM1" s="24"/>
      <c r="DN1" s="24"/>
      <c r="DO1" s="24"/>
      <c r="DP1" s="24"/>
      <c r="DQ1" s="24"/>
      <c r="DR1" s="24"/>
      <c r="DS1" s="24"/>
      <c r="DT1" s="24"/>
      <c r="DU1" s="24"/>
      <c r="DV1" s="24"/>
      <c r="DW1" s="24"/>
      <c r="DX1" s="24"/>
      <c r="DY1" s="24"/>
      <c r="DZ1" s="24"/>
      <c r="EA1" s="24"/>
      <c r="EB1" s="24"/>
      <c r="EC1" s="24"/>
      <c r="ED1" s="24"/>
      <c r="EE1" s="24"/>
      <c r="EF1" s="24"/>
      <c r="EG1" s="24"/>
      <c r="EH1" s="24"/>
      <c r="EI1" s="24"/>
      <c r="EJ1" s="24"/>
      <c r="EK1" s="24"/>
      <c r="EL1" s="24"/>
      <c r="EM1" s="24"/>
      <c r="EN1" s="24"/>
      <c r="EO1" s="24"/>
      <c r="EP1" s="24"/>
      <c r="EQ1" s="24"/>
      <c r="ER1" s="24"/>
      <c r="ES1" s="24"/>
      <c r="ET1" s="24"/>
      <c r="EU1" s="24"/>
      <c r="EV1" s="24"/>
      <c r="EW1" s="24"/>
      <c r="EX1" s="24"/>
      <c r="EY1" s="24"/>
      <c r="EZ1" s="24"/>
      <c r="FA1" s="24"/>
      <c r="FB1" s="24"/>
      <c r="FC1" s="24"/>
      <c r="FD1" s="24"/>
      <c r="FE1" s="24"/>
      <c r="FF1" s="24"/>
      <c r="FG1" s="24"/>
      <c r="FH1" s="24"/>
      <c r="FI1" s="24"/>
      <c r="FJ1" s="24"/>
      <c r="FK1" s="24"/>
      <c r="FL1" s="24"/>
      <c r="FM1" s="24"/>
      <c r="FN1" s="24"/>
      <c r="FO1" s="24"/>
      <c r="FP1" s="24"/>
      <c r="FQ1" s="24"/>
      <c r="FR1" s="24"/>
      <c r="FS1" s="24"/>
      <c r="FT1" s="24"/>
      <c r="FU1" s="24"/>
      <c r="FV1" s="24"/>
      <c r="FW1" s="24"/>
      <c r="FX1" s="24"/>
      <c r="FY1" s="24"/>
      <c r="FZ1" s="24"/>
      <c r="GA1" s="24"/>
      <c r="GB1" s="24"/>
      <c r="GC1" s="24"/>
      <c r="GD1" s="24"/>
      <c r="GE1" s="24"/>
      <c r="GF1" s="24"/>
      <c r="GG1" s="24"/>
      <c r="GH1" s="24"/>
      <c r="GI1" s="24"/>
      <c r="GJ1" s="24"/>
      <c r="GK1" s="24"/>
      <c r="GL1" s="24"/>
      <c r="GM1" s="24"/>
      <c r="GN1" s="24"/>
      <c r="GO1" s="24"/>
      <c r="GP1" s="24"/>
      <c r="GQ1" s="24"/>
      <c r="GR1" s="24"/>
      <c r="GS1" s="24"/>
      <c r="GT1" s="24"/>
      <c r="GU1" s="24"/>
      <c r="GV1" s="24"/>
      <c r="GW1" s="24"/>
      <c r="GX1" s="24"/>
      <c r="GY1" s="24"/>
      <c r="GZ1" s="24"/>
      <c r="HA1" s="24"/>
      <c r="HB1" s="24"/>
      <c r="HC1" s="24"/>
      <c r="HD1" s="24"/>
      <c r="HE1" s="24"/>
      <c r="HF1" s="24"/>
      <c r="HG1" s="24"/>
      <c r="HH1" s="24"/>
      <c r="HI1" s="24"/>
      <c r="HJ1" s="24"/>
      <c r="HK1" s="24"/>
      <c r="HL1" s="24"/>
      <c r="HM1" s="24"/>
      <c r="HN1" s="24"/>
      <c r="HO1" s="24"/>
      <c r="HP1" s="24"/>
      <c r="HQ1" s="24"/>
      <c r="HR1" s="24"/>
      <c r="HS1" s="24"/>
      <c r="HT1" s="24"/>
      <c r="HU1" s="24"/>
      <c r="HV1" s="24"/>
      <c r="HW1" s="24"/>
      <c r="HX1" s="24"/>
      <c r="HY1" s="24"/>
      <c r="HZ1" s="24"/>
      <c r="IA1" s="24"/>
      <c r="IB1" s="24"/>
      <c r="IC1" s="24"/>
      <c r="ID1" s="24"/>
      <c r="IE1" s="24"/>
      <c r="IF1" s="24"/>
      <c r="IG1" s="24"/>
      <c r="IH1" s="24"/>
      <c r="II1" s="24"/>
      <c r="IJ1" s="24"/>
      <c r="IK1" s="24"/>
      <c r="IL1" s="24"/>
      <c r="IM1" s="24"/>
      <c r="IN1" s="24"/>
      <c r="IO1" s="24"/>
      <c r="IP1" s="24"/>
      <c r="IQ1" s="24"/>
      <c r="IR1" s="24"/>
      <c r="IS1" s="24"/>
      <c r="IT1" s="24"/>
      <c r="IU1" s="24"/>
      <c r="IV1" s="24"/>
      <c r="IW1" s="24"/>
      <c r="IX1" s="24"/>
      <c r="IY1" s="24"/>
      <c r="IZ1" s="24"/>
      <c r="JA1" s="24"/>
      <c r="JB1" s="24"/>
      <c r="JC1" s="24"/>
      <c r="JD1" s="24"/>
      <c r="JE1" s="24"/>
      <c r="JF1" s="24"/>
      <c r="JG1" s="24"/>
      <c r="JH1" s="24"/>
      <c r="JI1" s="24"/>
      <c r="JJ1" s="24"/>
      <c r="JK1" s="24"/>
      <c r="JL1" s="24"/>
      <c r="JM1" s="24"/>
      <c r="JN1" s="24"/>
      <c r="JO1" s="24"/>
      <c r="JP1" s="24"/>
      <c r="JQ1" s="24"/>
      <c r="JR1" s="24"/>
      <c r="JS1" s="24"/>
      <c r="JT1" s="24"/>
      <c r="JU1" s="24"/>
      <c r="JV1" s="24"/>
      <c r="JW1" s="24"/>
      <c r="JX1" s="24"/>
      <c r="JY1" s="24"/>
      <c r="JZ1" s="24"/>
      <c r="KA1" s="24"/>
      <c r="KB1" s="24"/>
      <c r="KC1" s="24"/>
      <c r="KD1" s="24"/>
      <c r="KE1" s="24"/>
      <c r="KF1" s="24"/>
      <c r="KG1" s="24"/>
      <c r="KH1" s="24"/>
      <c r="KI1" s="24"/>
      <c r="KJ1" s="24"/>
      <c r="KK1" s="24"/>
      <c r="KL1" s="24"/>
      <c r="KM1" s="24"/>
      <c r="KN1" s="24"/>
      <c r="KO1" s="24"/>
      <c r="KP1" s="24"/>
      <c r="KQ1" s="24"/>
      <c r="KR1" s="24"/>
      <c r="KS1" s="24"/>
      <c r="KT1" s="24"/>
      <c r="KU1" s="24"/>
      <c r="KV1" s="24"/>
      <c r="KW1" s="24"/>
      <c r="KX1" s="24"/>
      <c r="KY1" s="24"/>
      <c r="KZ1" s="24"/>
      <c r="LA1" s="24"/>
      <c r="LB1" s="24"/>
      <c r="LC1" s="24"/>
      <c r="LD1" s="24"/>
      <c r="LE1" s="24"/>
      <c r="LF1" s="24"/>
      <c r="LG1" s="24"/>
      <c r="LH1" s="24"/>
      <c r="LI1" s="24"/>
      <c r="LJ1" s="24"/>
      <c r="LK1" s="24"/>
      <c r="LL1" s="24"/>
      <c r="LM1" s="24"/>
      <c r="LN1" s="24"/>
      <c r="LO1" s="24"/>
      <c r="LP1" s="24"/>
      <c r="LQ1" s="24"/>
      <c r="LR1" s="24"/>
      <c r="LS1" s="24"/>
      <c r="LT1" s="24"/>
      <c r="LU1" s="24"/>
      <c r="LV1" s="24"/>
      <c r="LW1" s="24"/>
      <c r="LX1" s="24"/>
      <c r="LY1" s="24"/>
      <c r="LZ1" s="24"/>
      <c r="MA1" s="24"/>
      <c r="MB1" s="24"/>
      <c r="MC1" s="24"/>
      <c r="MD1" s="24"/>
      <c r="ME1" s="24"/>
      <c r="MF1" s="24"/>
      <c r="MG1" s="24"/>
      <c r="MH1" s="24"/>
      <c r="MI1" s="24"/>
      <c r="MJ1" s="24"/>
      <c r="MK1" s="24"/>
      <c r="ML1" s="24"/>
      <c r="MM1" s="24"/>
      <c r="MN1" s="24"/>
      <c r="MO1" s="24"/>
      <c r="MP1" s="24"/>
      <c r="MQ1" s="24"/>
      <c r="MR1" s="24"/>
      <c r="MS1" s="24"/>
      <c r="MT1" s="24"/>
      <c r="MU1" s="24"/>
      <c r="MV1" s="24"/>
      <c r="MW1" s="24"/>
      <c r="MX1" s="24"/>
      <c r="MY1" s="24"/>
      <c r="MZ1" s="24"/>
      <c r="NA1" s="24"/>
      <c r="NB1" s="24"/>
      <c r="NC1" s="24"/>
      <c r="ND1" s="24"/>
      <c r="NE1" s="24"/>
      <c r="NF1" s="24"/>
      <c r="NG1" s="24"/>
      <c r="NH1" s="24"/>
      <c r="NI1" s="24"/>
      <c r="NJ1" s="24"/>
      <c r="NK1" s="24"/>
      <c r="NL1" s="24"/>
      <c r="NM1" s="24"/>
      <c r="NN1" s="24"/>
      <c r="NO1" s="24"/>
      <c r="NP1" s="24"/>
      <c r="NQ1" s="24"/>
      <c r="NR1" s="24"/>
      <c r="NS1" s="24"/>
      <c r="NT1" s="24"/>
      <c r="NU1" s="24"/>
      <c r="NV1" s="24"/>
      <c r="NW1" s="24"/>
      <c r="NX1" s="24"/>
      <c r="NY1" s="24"/>
      <c r="NZ1" s="24"/>
      <c r="OA1" s="24"/>
      <c r="OB1" s="24"/>
      <c r="OC1" s="24"/>
      <c r="OD1" s="24"/>
      <c r="OE1" s="24"/>
      <c r="OF1" s="24"/>
      <c r="OG1" s="24"/>
      <c r="OH1" s="24"/>
      <c r="OI1" s="24"/>
      <c r="OJ1" s="24"/>
      <c r="OK1" s="24"/>
      <c r="OL1" s="24"/>
      <c r="OM1" s="24"/>
      <c r="ON1" s="24"/>
      <c r="OO1" s="24"/>
      <c r="OP1" s="24"/>
      <c r="OQ1" s="24"/>
      <c r="OR1" s="24"/>
      <c r="OS1" s="24"/>
      <c r="OT1" s="24"/>
      <c r="OU1" s="24"/>
      <c r="OV1" s="24"/>
      <c r="OW1" s="24"/>
      <c r="OX1" s="24"/>
      <c r="OY1" s="24"/>
      <c r="OZ1" s="24"/>
      <c r="PA1" s="24"/>
      <c r="PB1" s="24"/>
      <c r="PC1" s="24"/>
      <c r="PD1" s="24"/>
      <c r="PE1" s="24"/>
      <c r="PF1" s="24"/>
      <c r="PG1" s="24"/>
      <c r="PH1" s="24"/>
      <c r="PI1" s="24"/>
      <c r="PJ1" s="24"/>
      <c r="PK1" s="24"/>
      <c r="PL1" s="24"/>
      <c r="PM1" s="24"/>
      <c r="PN1" s="24"/>
      <c r="PO1" s="24"/>
      <c r="PP1" s="24"/>
      <c r="PQ1" s="24"/>
      <c r="PR1" s="24"/>
      <c r="PS1" s="24"/>
      <c r="PT1" s="24"/>
      <c r="PU1" s="24"/>
      <c r="PV1" s="24"/>
      <c r="PW1" s="24"/>
      <c r="PX1" s="24"/>
      <c r="PY1" s="24"/>
      <c r="PZ1" s="24"/>
      <c r="QA1" s="24"/>
      <c r="QB1" s="24"/>
      <c r="QC1" s="24"/>
      <c r="QD1" s="24"/>
      <c r="QE1" s="24"/>
      <c r="QF1" s="24"/>
      <c r="QG1" s="24"/>
      <c r="QH1" s="24"/>
      <c r="QI1" s="24"/>
      <c r="QJ1" s="24"/>
      <c r="QK1" s="24"/>
      <c r="QL1" s="24"/>
      <c r="QM1" s="24"/>
      <c r="QN1" s="24"/>
      <c r="QO1" s="24"/>
      <c r="QP1" s="24"/>
      <c r="QQ1" s="24"/>
      <c r="QR1" s="24"/>
      <c r="QS1" s="24"/>
      <c r="QT1" s="24"/>
      <c r="QU1" s="24"/>
      <c r="QV1" s="24"/>
      <c r="QW1" s="24"/>
      <c r="QX1" s="24"/>
      <c r="QY1" s="24"/>
      <c r="QZ1" s="24"/>
      <c r="RA1" s="24"/>
      <c r="RB1" s="24"/>
      <c r="RC1" s="24"/>
      <c r="RD1" s="24"/>
      <c r="RE1" s="24"/>
      <c r="RF1" s="24"/>
      <c r="RG1" s="24"/>
      <c r="RH1" s="24"/>
      <c r="RI1" s="24"/>
      <c r="RJ1" s="24"/>
      <c r="RK1" s="24"/>
      <c r="RL1" s="24"/>
      <c r="RM1" s="24"/>
      <c r="RN1" s="24"/>
      <c r="RO1" s="24"/>
      <c r="RP1" s="24"/>
      <c r="RQ1" s="24"/>
      <c r="RR1" s="24"/>
      <c r="RS1" s="24"/>
      <c r="RT1" s="24"/>
      <c r="RU1" s="24"/>
      <c r="RV1" s="24"/>
      <c r="RW1" s="24"/>
      <c r="RX1" s="24"/>
      <c r="RY1" s="24"/>
      <c r="RZ1" s="24"/>
      <c r="SA1" s="24"/>
      <c r="SB1" s="24"/>
      <c r="SC1" s="24"/>
      <c r="SD1" s="24"/>
      <c r="SE1" s="24"/>
      <c r="SF1" s="24"/>
      <c r="SG1" s="24"/>
      <c r="SH1" s="24"/>
      <c r="SI1" s="24"/>
      <c r="SJ1" s="24"/>
      <c r="SK1" s="24"/>
      <c r="SL1" s="24"/>
      <c r="SM1" s="24"/>
      <c r="SN1" s="24"/>
      <c r="SO1" s="24"/>
      <c r="SP1" s="24"/>
      <c r="SQ1" s="24"/>
      <c r="SR1" s="24"/>
      <c r="SS1" s="24"/>
      <c r="ST1" s="24"/>
      <c r="SU1" s="24"/>
      <c r="SV1" s="24"/>
      <c r="SW1" s="24"/>
      <c r="SX1" s="24"/>
      <c r="SY1" s="24"/>
      <c r="SZ1" s="24"/>
      <c r="TA1" s="24"/>
      <c r="TB1" s="24"/>
      <c r="TC1" s="24"/>
      <c r="TD1" s="24"/>
      <c r="TE1" s="24"/>
      <c r="TF1" s="24"/>
      <c r="TG1" s="24"/>
      <c r="TH1" s="24"/>
      <c r="TI1" s="24"/>
      <c r="TJ1" s="24"/>
      <c r="TK1" s="24"/>
      <c r="TL1" s="24"/>
      <c r="TM1" s="24"/>
      <c r="TN1" s="24"/>
      <c r="TO1" s="24"/>
      <c r="TP1" s="24"/>
      <c r="TQ1" s="24"/>
      <c r="TR1" s="24"/>
      <c r="TS1" s="24"/>
      <c r="TT1" s="24"/>
      <c r="TU1" s="24"/>
      <c r="TV1" s="24"/>
      <c r="TW1" s="24"/>
      <c r="TX1" s="24"/>
      <c r="TY1" s="24"/>
      <c r="TZ1" s="24"/>
      <c r="UA1" s="24"/>
      <c r="UB1" s="24"/>
      <c r="UC1" s="24"/>
      <c r="UD1" s="24"/>
      <c r="UE1" s="24"/>
      <c r="UF1" s="24"/>
      <c r="UG1" s="24"/>
      <c r="UH1" s="24"/>
      <c r="UI1" s="24"/>
      <c r="UJ1" s="24"/>
      <c r="UK1" s="24"/>
      <c r="UL1" s="24"/>
      <c r="UM1" s="24"/>
      <c r="UN1" s="24"/>
      <c r="UO1" s="24"/>
      <c r="UP1" s="24"/>
      <c r="UQ1" s="24"/>
      <c r="UR1" s="24"/>
      <c r="US1" s="24"/>
      <c r="UT1" s="24"/>
      <c r="UU1" s="24"/>
      <c r="UV1" s="24"/>
      <c r="UW1" s="24"/>
      <c r="UX1" s="24"/>
      <c r="UY1" s="24"/>
      <c r="UZ1" s="24"/>
      <c r="VA1" s="24"/>
      <c r="VB1" s="24"/>
      <c r="VC1" s="24"/>
      <c r="VD1" s="24"/>
      <c r="VE1" s="24"/>
      <c r="VF1" s="24"/>
      <c r="VG1" s="24"/>
      <c r="VH1" s="24"/>
      <c r="VI1" s="24"/>
      <c r="VJ1" s="24"/>
      <c r="VK1" s="24"/>
      <c r="VL1" s="24"/>
      <c r="VM1" s="24"/>
      <c r="VN1" s="24"/>
      <c r="VO1" s="24"/>
      <c r="VP1" s="24"/>
      <c r="VQ1" s="24"/>
      <c r="VR1" s="24"/>
      <c r="VS1" s="24"/>
      <c r="VT1" s="24"/>
      <c r="VU1" s="24"/>
      <c r="VV1" s="24"/>
      <c r="VW1" s="24"/>
      <c r="VX1" s="24"/>
      <c r="VY1" s="24"/>
      <c r="VZ1" s="24"/>
      <c r="WA1" s="24"/>
      <c r="WB1" s="24"/>
      <c r="WC1" s="24"/>
      <c r="WD1" s="24"/>
      <c r="WE1" s="24"/>
      <c r="WF1" s="24"/>
      <c r="WG1" s="24"/>
      <c r="WH1" s="24"/>
      <c r="WI1" s="24"/>
      <c r="WJ1" s="24"/>
      <c r="WK1" s="24"/>
      <c r="WL1" s="24"/>
      <c r="WM1" s="24"/>
      <c r="WN1" s="24"/>
      <c r="WO1" s="24"/>
      <c r="WP1" s="24"/>
      <c r="WQ1" s="24"/>
      <c r="WR1" s="24"/>
      <c r="WS1" s="24"/>
      <c r="WT1" s="24"/>
      <c r="WU1" s="24"/>
      <c r="WV1" s="24"/>
      <c r="WW1" s="24"/>
      <c r="WX1" s="24"/>
      <c r="WY1" s="24"/>
      <c r="WZ1" s="24"/>
      <c r="XA1" s="24"/>
      <c r="XB1" s="24"/>
      <c r="XC1" s="24"/>
      <c r="XD1" s="24"/>
      <c r="XE1" s="24"/>
      <c r="XF1" s="24"/>
      <c r="XG1" s="24"/>
      <c r="XH1" s="24"/>
      <c r="XI1" s="24"/>
      <c r="XJ1" s="24"/>
      <c r="XK1" s="24"/>
      <c r="XL1" s="24"/>
      <c r="XM1" s="24"/>
      <c r="XN1" s="24"/>
      <c r="XO1" s="24"/>
      <c r="XP1" s="24"/>
      <c r="XQ1" s="24"/>
      <c r="XR1" s="24"/>
      <c r="XS1" s="24"/>
      <c r="XT1" s="24"/>
      <c r="XU1" s="24"/>
      <c r="XV1" s="24"/>
      <c r="XW1" s="24"/>
      <c r="XX1" s="24"/>
      <c r="XY1" s="24"/>
      <c r="XZ1" s="24"/>
      <c r="YA1" s="24"/>
      <c r="YB1" s="24"/>
      <c r="YC1" s="24"/>
      <c r="YD1" s="24"/>
      <c r="YE1" s="24"/>
      <c r="YF1" s="24"/>
      <c r="YG1" s="24"/>
      <c r="YH1" s="24"/>
      <c r="YI1" s="24"/>
      <c r="YJ1" s="24"/>
      <c r="YK1" s="24"/>
      <c r="YL1" s="24"/>
      <c r="YM1" s="24"/>
      <c r="YN1" s="24"/>
      <c r="YO1" s="24"/>
      <c r="YP1" s="24"/>
      <c r="YQ1" s="24"/>
      <c r="YR1" s="24"/>
      <c r="YS1" s="24"/>
      <c r="YT1" s="24"/>
      <c r="YU1" s="24"/>
      <c r="YV1" s="24"/>
      <c r="YW1" s="24"/>
      <c r="YX1" s="24"/>
      <c r="YY1" s="24"/>
      <c r="YZ1" s="24"/>
      <c r="ZA1" s="24"/>
      <c r="ZB1" s="24"/>
      <c r="ZC1" s="24"/>
      <c r="ZD1" s="24"/>
      <c r="ZE1" s="24"/>
      <c r="ZF1" s="24"/>
      <c r="ZG1" s="24"/>
      <c r="ZH1" s="24"/>
      <c r="ZI1" s="24"/>
      <c r="ZJ1" s="24"/>
      <c r="ZK1" s="24"/>
      <c r="ZL1" s="24"/>
      <c r="ZM1" s="24"/>
      <c r="ZN1" s="24"/>
      <c r="ZO1" s="24"/>
      <c r="ZP1" s="24"/>
      <c r="ZQ1" s="24"/>
      <c r="ZR1" s="24"/>
      <c r="ZS1" s="24"/>
      <c r="ZT1" s="24"/>
      <c r="ZU1" s="24"/>
      <c r="ZV1" s="24"/>
      <c r="ZW1" s="24"/>
      <c r="ZX1" s="24"/>
      <c r="ZY1" s="24"/>
      <c r="ZZ1" s="24"/>
      <c r="AAA1" s="24"/>
      <c r="AAB1" s="24"/>
      <c r="AAC1" s="24"/>
      <c r="AAD1" s="24"/>
      <c r="AAE1" s="24"/>
      <c r="AAF1" s="24"/>
      <c r="AAG1" s="24"/>
      <c r="AAH1" s="24"/>
      <c r="AAI1" s="24"/>
      <c r="AAJ1" s="24"/>
      <c r="AAK1" s="24"/>
      <c r="AAL1" s="24"/>
      <c r="AAM1" s="24"/>
      <c r="AAN1" s="24"/>
      <c r="AAO1" s="24"/>
      <c r="AAP1" s="24"/>
      <c r="AAQ1" s="24"/>
      <c r="AAR1" s="24"/>
      <c r="AAS1" s="24"/>
      <c r="AAT1" s="24"/>
      <c r="AAU1" s="24"/>
      <c r="AAV1" s="24"/>
      <c r="AAW1" s="24"/>
      <c r="AAX1" s="24"/>
      <c r="AAY1" s="24"/>
      <c r="AAZ1" s="24"/>
      <c r="ABA1" s="24"/>
      <c r="ABB1" s="24"/>
      <c r="ABC1" s="24"/>
      <c r="ABD1" s="24"/>
      <c r="ABE1" s="24"/>
      <c r="ABF1" s="24"/>
      <c r="ABG1" s="24"/>
      <c r="ABH1" s="24"/>
      <c r="ABI1" s="24"/>
      <c r="ABJ1" s="24"/>
      <c r="ABK1" s="24"/>
      <c r="ABL1" s="24"/>
      <c r="ABM1" s="24"/>
      <c r="ABN1" s="24"/>
      <c r="ABO1" s="24"/>
      <c r="ABP1" s="24"/>
      <c r="ABQ1" s="24"/>
      <c r="ABR1" s="24"/>
      <c r="ABS1" s="24"/>
      <c r="ABT1" s="24"/>
      <c r="ABU1" s="24"/>
      <c r="ABV1" s="24"/>
      <c r="ABW1" s="24"/>
      <c r="ABX1" s="24"/>
      <c r="ABY1" s="24"/>
      <c r="ABZ1" s="24"/>
      <c r="ACA1" s="24"/>
      <c r="ACB1" s="24"/>
      <c r="ACC1" s="24"/>
      <c r="ACD1" s="24"/>
      <c r="ACE1" s="24"/>
      <c r="ACF1" s="24"/>
      <c r="ACG1" s="24"/>
      <c r="ACH1" s="24"/>
      <c r="ACI1" s="24"/>
      <c r="ACJ1" s="24"/>
      <c r="ACK1" s="24"/>
      <c r="ACL1" s="24"/>
      <c r="ACM1" s="24"/>
      <c r="ACN1" s="24"/>
      <c r="ACO1" s="24"/>
      <c r="ACP1" s="24"/>
      <c r="ACQ1" s="24"/>
      <c r="ACR1" s="24"/>
      <c r="ACS1" s="24"/>
      <c r="ACT1" s="24"/>
      <c r="ACU1" s="24"/>
      <c r="ACV1" s="24"/>
      <c r="ACW1" s="24"/>
      <c r="ACX1" s="24"/>
      <c r="ACY1" s="24"/>
      <c r="ACZ1" s="24"/>
      <c r="ADA1" s="24"/>
      <c r="ADB1" s="24"/>
      <c r="ADC1" s="24"/>
      <c r="ADD1" s="24"/>
      <c r="ADE1" s="24"/>
      <c r="ADF1" s="24"/>
      <c r="ADG1" s="24"/>
      <c r="ADH1" s="24"/>
      <c r="ADI1" s="24"/>
      <c r="ADJ1" s="24"/>
      <c r="ADK1" s="24"/>
      <c r="ADL1" s="24"/>
      <c r="ADM1" s="24"/>
      <c r="ADN1" s="24"/>
      <c r="ADO1" s="24"/>
      <c r="ADP1" s="24"/>
      <c r="ADQ1" s="24"/>
      <c r="ADR1" s="24"/>
      <c r="ADS1" s="24"/>
      <c r="ADT1" s="24"/>
      <c r="ADU1" s="24"/>
      <c r="ADV1" s="24"/>
      <c r="ADW1" s="24"/>
      <c r="ADX1" s="24"/>
      <c r="ADY1" s="24"/>
      <c r="ADZ1" s="24"/>
      <c r="AEA1" s="24"/>
      <c r="AEB1" s="24"/>
      <c r="AEC1" s="24"/>
      <c r="AED1" s="24"/>
      <c r="AEE1" s="24"/>
      <c r="AEF1" s="24"/>
      <c r="AEG1" s="24"/>
      <c r="AEH1" s="24"/>
      <c r="AEI1" s="24"/>
      <c r="AEJ1" s="24"/>
      <c r="AEK1" s="24"/>
      <c r="AEL1" s="24"/>
      <c r="AEM1" s="24"/>
      <c r="AEN1" s="24"/>
      <c r="AEO1" s="24"/>
      <c r="AEP1" s="24"/>
      <c r="AEQ1" s="24"/>
      <c r="AER1" s="24"/>
      <c r="AES1" s="24"/>
      <c r="AET1" s="24"/>
      <c r="AEU1" s="24"/>
      <c r="AEV1" s="24"/>
      <c r="AEW1" s="24"/>
      <c r="AEX1" s="24"/>
      <c r="AEY1" s="24"/>
      <c r="AEZ1" s="24"/>
      <c r="AFA1" s="24"/>
      <c r="AFB1" s="24"/>
      <c r="AFC1" s="24"/>
      <c r="AFD1" s="24"/>
      <c r="AFE1" s="24"/>
      <c r="AFF1" s="24"/>
      <c r="AFG1" s="24"/>
      <c r="AFH1" s="24"/>
      <c r="AFI1" s="24"/>
      <c r="AFJ1" s="24"/>
      <c r="AFK1" s="24"/>
      <c r="AFL1" s="24"/>
      <c r="AFM1" s="24"/>
      <c r="AFN1" s="24"/>
      <c r="AFO1" s="24"/>
      <c r="AFP1" s="24"/>
      <c r="AFQ1" s="24"/>
      <c r="AFR1" s="24"/>
      <c r="AFS1" s="24"/>
      <c r="AFT1" s="24"/>
      <c r="AFU1" s="24"/>
      <c r="AFV1" s="24"/>
      <c r="AFW1" s="24"/>
      <c r="AFX1" s="24"/>
      <c r="AFY1" s="24"/>
      <c r="AFZ1" s="24"/>
      <c r="AGA1" s="24"/>
      <c r="AGB1" s="24"/>
      <c r="AGC1" s="24"/>
      <c r="AGD1" s="24"/>
      <c r="AGE1" s="24"/>
      <c r="AGF1" s="24"/>
      <c r="AGG1" s="24"/>
      <c r="AGH1" s="24"/>
      <c r="AGI1" s="24"/>
      <c r="AGJ1" s="24"/>
      <c r="AGK1" s="24"/>
      <c r="AGL1" s="24"/>
      <c r="AGM1" s="24"/>
      <c r="AGN1" s="24"/>
      <c r="AGO1" s="24"/>
      <c r="AGP1" s="24"/>
      <c r="AGQ1" s="24"/>
      <c r="AGR1" s="24"/>
      <c r="AGS1" s="24"/>
      <c r="AGT1" s="24"/>
      <c r="AGU1" s="24"/>
      <c r="AGV1" s="24"/>
      <c r="AGW1" s="24"/>
      <c r="AGX1" s="24"/>
      <c r="AGY1" s="24"/>
      <c r="AGZ1" s="24"/>
      <c r="AHA1" s="24"/>
      <c r="AHB1" s="24"/>
      <c r="AHC1" s="24"/>
      <c r="AHD1" s="24"/>
      <c r="AHE1" s="24"/>
      <c r="AHF1" s="24"/>
      <c r="AHG1" s="24"/>
      <c r="AHH1" s="24"/>
      <c r="AHI1" s="24"/>
      <c r="AHJ1" s="24"/>
      <c r="AHK1" s="24"/>
      <c r="AHL1" s="24"/>
      <c r="AHM1" s="24"/>
      <c r="AHN1" s="24"/>
      <c r="AHO1" s="24"/>
      <c r="AHP1" s="24"/>
      <c r="AHQ1" s="24"/>
      <c r="AHR1" s="24"/>
      <c r="AHS1" s="24"/>
      <c r="AHT1" s="24"/>
      <c r="AHU1" s="24"/>
      <c r="AHV1" s="24"/>
      <c r="AHW1" s="24"/>
      <c r="AHX1" s="24"/>
      <c r="AHY1" s="24"/>
      <c r="AHZ1" s="24"/>
      <c r="AIA1" s="24"/>
      <c r="AIB1" s="24"/>
      <c r="AIC1" s="24"/>
      <c r="AID1" s="24"/>
      <c r="AIE1" s="24"/>
      <c r="AIF1" s="24"/>
      <c r="AIG1" s="24"/>
      <c r="AIH1" s="24"/>
      <c r="AII1" s="24"/>
      <c r="AIJ1" s="24"/>
      <c r="AIK1" s="24"/>
      <c r="AIL1" s="24"/>
      <c r="AIM1" s="24"/>
      <c r="AIN1" s="24"/>
      <c r="AIO1" s="24"/>
      <c r="AIP1" s="24"/>
      <c r="AIQ1" s="24"/>
      <c r="AIR1" s="24"/>
      <c r="AIS1" s="24"/>
      <c r="AIT1" s="24"/>
      <c r="AIU1" s="24"/>
      <c r="AIV1" s="24"/>
      <c r="AIW1" s="24"/>
      <c r="AIX1" s="24"/>
      <c r="AIY1" s="24"/>
      <c r="AIZ1" s="24"/>
      <c r="AJA1" s="24"/>
      <c r="AJB1" s="24"/>
      <c r="AJC1" s="24"/>
      <c r="AJD1" s="24"/>
      <c r="AJE1" s="24"/>
      <c r="AJF1" s="24"/>
      <c r="AJG1" s="24"/>
      <c r="AJH1" s="24"/>
      <c r="AJI1" s="24"/>
      <c r="AJJ1" s="24"/>
      <c r="AJK1" s="24"/>
      <c r="AJL1" s="24"/>
      <c r="AJM1" s="24"/>
      <c r="AJN1" s="24"/>
      <c r="AJO1" s="24"/>
      <c r="AJP1" s="24"/>
      <c r="AJQ1" s="24"/>
      <c r="AJR1" s="24"/>
      <c r="AJS1" s="24"/>
      <c r="AJT1" s="24"/>
      <c r="AJU1" s="24"/>
      <c r="AJV1" s="24"/>
      <c r="AJW1" s="24"/>
      <c r="AJX1" s="24"/>
      <c r="AJY1" s="24"/>
      <c r="AJZ1" s="24"/>
      <c r="AKA1" s="24"/>
      <c r="AKB1" s="24"/>
      <c r="AKC1" s="24"/>
      <c r="AKD1" s="24"/>
      <c r="AKE1" s="24"/>
      <c r="AKF1" s="24"/>
      <c r="AKG1" s="24"/>
      <c r="AKH1" s="24"/>
      <c r="AKI1" s="24"/>
      <c r="AKJ1" s="24"/>
      <c r="AKK1" s="24"/>
      <c r="AKL1" s="24"/>
      <c r="AKM1" s="24"/>
      <c r="AKN1" s="24"/>
      <c r="AKO1" s="24"/>
      <c r="AKP1" s="24"/>
      <c r="AKQ1" s="24"/>
      <c r="AKR1" s="24"/>
      <c r="AKS1" s="24"/>
      <c r="AKT1" s="24"/>
      <c r="AKU1" s="24"/>
      <c r="AKV1" s="24"/>
      <c r="AKW1" s="24"/>
      <c r="AKX1" s="24"/>
      <c r="AKY1" s="24"/>
      <c r="AKZ1" s="24"/>
      <c r="ALA1" s="24"/>
      <c r="ALB1" s="24"/>
      <c r="ALC1" s="24"/>
      <c r="ALD1" s="24"/>
      <c r="ALE1" s="24"/>
      <c r="ALF1" s="24"/>
      <c r="ALG1" s="24"/>
      <c r="ALH1" s="24"/>
      <c r="ALI1" s="24"/>
      <c r="ALJ1" s="24"/>
      <c r="ALK1" s="24"/>
      <c r="ALL1" s="24"/>
      <c r="ALM1" s="24"/>
      <c r="ALN1" s="24"/>
      <c r="ALO1" s="24"/>
      <c r="ALP1" s="24"/>
      <c r="ALQ1" s="24"/>
      <c r="ALR1" s="24"/>
      <c r="ALS1" s="24"/>
      <c r="ALT1" s="24"/>
      <c r="ALU1" s="24"/>
      <c r="ALV1" s="24"/>
      <c r="ALW1" s="24"/>
      <c r="ALX1" s="24"/>
      <c r="ALY1" s="24"/>
      <c r="ALZ1" s="24"/>
      <c r="AMA1" s="24"/>
      <c r="AMB1" s="24"/>
      <c r="AMC1" s="24"/>
      <c r="AMD1" s="24"/>
      <c r="AME1" s="24"/>
      <c r="AMF1" s="24"/>
      <c r="AMG1" s="24"/>
      <c r="AMH1" s="24"/>
      <c r="AMI1" s="24"/>
      <c r="AMJ1" s="24"/>
      <c r="AMK1" s="24"/>
      <c r="AML1" s="24"/>
      <c r="AMM1" s="24"/>
      <c r="AMN1" s="24"/>
      <c r="AMO1" s="24"/>
      <c r="AMP1" s="24"/>
      <c r="AMQ1" s="24"/>
      <c r="AMR1" s="24"/>
      <c r="AMS1" s="24"/>
      <c r="AMT1" s="24"/>
      <c r="AMU1" s="24"/>
      <c r="AMV1" s="24"/>
      <c r="AMW1" s="24"/>
      <c r="AMX1" s="24"/>
      <c r="AMY1" s="24"/>
      <c r="AMZ1" s="24"/>
      <c r="ANA1" s="24"/>
      <c r="ANB1" s="24"/>
      <c r="ANC1" s="24"/>
      <c r="AND1" s="24"/>
      <c r="ANE1" s="24"/>
      <c r="ANF1" s="24"/>
      <c r="ANG1" s="24"/>
      <c r="ANH1" s="24"/>
      <c r="ANI1" s="24"/>
      <c r="ANJ1" s="24"/>
      <c r="ANK1" s="24"/>
      <c r="ANL1" s="24"/>
      <c r="ANM1" s="24"/>
      <c r="ANN1" s="24"/>
      <c r="ANO1" s="24"/>
      <c r="ANP1" s="24"/>
      <c r="ANQ1" s="24"/>
      <c r="ANR1" s="24"/>
      <c r="ANS1" s="24"/>
      <c r="ANT1" s="24"/>
      <c r="ANU1" s="24"/>
      <c r="ANV1" s="24"/>
      <c r="ANW1" s="24"/>
      <c r="ANX1" s="24"/>
      <c r="ANY1" s="24"/>
      <c r="ANZ1" s="24"/>
      <c r="AOA1" s="24"/>
      <c r="AOB1" s="24"/>
      <c r="AOC1" s="24"/>
      <c r="AOD1" s="24"/>
      <c r="AOE1" s="24"/>
      <c r="AOF1" s="24"/>
      <c r="AOG1" s="24"/>
      <c r="AOH1" s="24"/>
      <c r="AOI1" s="24"/>
      <c r="AOJ1" s="24"/>
      <c r="AOK1" s="24"/>
      <c r="AOL1" s="24"/>
      <c r="AOM1" s="24"/>
      <c r="AON1" s="24"/>
      <c r="AOO1" s="24"/>
      <c r="AOP1" s="24"/>
      <c r="AOQ1" s="24"/>
      <c r="AOR1" s="24"/>
      <c r="AOS1" s="24"/>
      <c r="AOT1" s="24"/>
      <c r="AOU1" s="24"/>
      <c r="AOV1" s="24"/>
      <c r="AOW1" s="24"/>
      <c r="AOX1" s="24"/>
      <c r="AOY1" s="24"/>
      <c r="AOZ1" s="24"/>
      <c r="APA1" s="24"/>
      <c r="APB1" s="24"/>
      <c r="APC1" s="24"/>
      <c r="APD1" s="24"/>
      <c r="APE1" s="24"/>
      <c r="APF1" s="24"/>
      <c r="APG1" s="24"/>
      <c r="APH1" s="24"/>
      <c r="API1" s="24"/>
      <c r="APJ1" s="24"/>
      <c r="APK1" s="24"/>
      <c r="APL1" s="24"/>
      <c r="APM1" s="24"/>
      <c r="APN1" s="24"/>
      <c r="APO1" s="24"/>
      <c r="APP1" s="24"/>
      <c r="APQ1" s="24"/>
      <c r="APR1" s="24"/>
      <c r="APS1" s="24"/>
      <c r="APT1" s="24"/>
      <c r="APU1" s="24"/>
      <c r="APV1" s="24"/>
      <c r="APW1" s="24"/>
      <c r="APX1" s="24"/>
      <c r="APY1" s="24"/>
      <c r="APZ1" s="24"/>
      <c r="AQA1" s="24"/>
      <c r="AQB1" s="24"/>
      <c r="AQC1" s="24"/>
      <c r="AQD1" s="24"/>
      <c r="AQE1" s="24"/>
      <c r="AQF1" s="24"/>
      <c r="AQG1" s="24"/>
      <c r="AQH1" s="24"/>
      <c r="AQI1" s="24"/>
      <c r="AQJ1" s="24"/>
      <c r="AQK1" s="24"/>
      <c r="AQL1" s="24"/>
      <c r="AQM1" s="24"/>
      <c r="AQN1" s="24"/>
      <c r="AQO1" s="24"/>
      <c r="AQP1" s="24"/>
      <c r="AQQ1" s="24"/>
      <c r="AQR1" s="24"/>
      <c r="AQS1" s="24"/>
      <c r="AQT1" s="24"/>
      <c r="AQU1" s="24"/>
      <c r="AQV1" s="24"/>
      <c r="AQW1" s="24"/>
      <c r="AQX1" s="24"/>
      <c r="AQY1" s="24"/>
      <c r="AQZ1" s="24"/>
      <c r="ARA1" s="24"/>
      <c r="ARB1" s="24"/>
      <c r="ARC1" s="24"/>
      <c r="ARD1" s="24"/>
      <c r="ARE1" s="24"/>
      <c r="ARF1" s="24"/>
      <c r="ARG1" s="24"/>
      <c r="ARH1" s="24"/>
      <c r="ARI1" s="24"/>
      <c r="ARJ1" s="24"/>
      <c r="ARK1" s="24"/>
      <c r="ARL1" s="24"/>
      <c r="ARM1" s="24"/>
      <c r="ARN1" s="24"/>
      <c r="ARO1" s="24"/>
      <c r="ARP1" s="24"/>
      <c r="ARQ1" s="24"/>
      <c r="ARR1" s="24"/>
      <c r="ARS1" s="24"/>
      <c r="ART1" s="24"/>
      <c r="ARU1" s="24"/>
      <c r="ARV1" s="24"/>
      <c r="ARW1" s="24"/>
      <c r="ARX1" s="24"/>
      <c r="ARY1" s="24"/>
      <c r="ARZ1" s="24"/>
      <c r="ASA1" s="24"/>
      <c r="ASB1" s="24"/>
      <c r="ASC1" s="24"/>
      <c r="ASD1" s="24"/>
      <c r="ASE1" s="24"/>
      <c r="ASF1" s="24"/>
      <c r="ASG1" s="24"/>
      <c r="ASH1" s="24"/>
      <c r="ASI1" s="24"/>
      <c r="ASJ1" s="24"/>
      <c r="ASK1" s="24"/>
      <c r="ASL1" s="24"/>
      <c r="ASM1" s="24"/>
      <c r="ASN1" s="24"/>
      <c r="ASO1" s="24"/>
      <c r="ASP1" s="24"/>
      <c r="ASQ1" s="24"/>
      <c r="ASR1" s="24"/>
      <c r="ASS1" s="24"/>
      <c r="AST1" s="24"/>
      <c r="ASU1" s="24"/>
      <c r="ASV1" s="24"/>
      <c r="ASW1" s="24"/>
      <c r="ASX1" s="24"/>
      <c r="ASY1" s="24"/>
      <c r="ASZ1" s="24"/>
      <c r="ATA1" s="24"/>
      <c r="ATB1" s="24"/>
      <c r="ATC1" s="24"/>
      <c r="ATD1" s="24"/>
      <c r="ATE1" s="24"/>
      <c r="ATF1" s="24"/>
      <c r="ATG1" s="24"/>
      <c r="ATH1" s="24"/>
      <c r="ATI1" s="24"/>
      <c r="ATJ1" s="24"/>
      <c r="ATK1" s="24"/>
      <c r="ATL1" s="24"/>
      <c r="ATM1" s="24"/>
      <c r="ATN1" s="24"/>
      <c r="ATO1" s="24"/>
      <c r="ATP1" s="24"/>
      <c r="ATQ1" s="24"/>
      <c r="ATR1" s="24"/>
      <c r="ATS1" s="24"/>
      <c r="ATT1" s="24"/>
      <c r="ATU1" s="24"/>
      <c r="ATV1" s="24"/>
      <c r="ATW1" s="24"/>
      <c r="ATX1" s="24"/>
      <c r="ATY1" s="24"/>
      <c r="ATZ1" s="24"/>
      <c r="AUA1" s="24"/>
      <c r="AUB1" s="24"/>
      <c r="AUC1" s="24"/>
      <c r="AUD1" s="24"/>
      <c r="AUE1" s="24"/>
      <c r="AUF1" s="24"/>
      <c r="AUG1" s="24"/>
      <c r="AUH1" s="24"/>
      <c r="AUI1" s="24"/>
      <c r="AUJ1" s="24"/>
      <c r="AUK1" s="24"/>
      <c r="AUL1" s="24"/>
      <c r="AUM1" s="24"/>
      <c r="AUN1" s="24"/>
      <c r="AUO1" s="24"/>
      <c r="AUP1" s="24"/>
      <c r="AUQ1" s="24"/>
      <c r="AUR1" s="24"/>
      <c r="AUS1" s="24"/>
      <c r="AUT1" s="24"/>
      <c r="AUU1" s="24"/>
      <c r="AUV1" s="24"/>
      <c r="AUW1" s="24"/>
      <c r="AUX1" s="24"/>
      <c r="AUY1" s="24"/>
      <c r="AUZ1" s="24"/>
      <c r="AVA1" s="24"/>
      <c r="AVB1" s="24"/>
      <c r="AVC1" s="24"/>
      <c r="AVD1" s="24"/>
      <c r="AVE1" s="24"/>
      <c r="AVF1" s="24"/>
      <c r="AVG1" s="24"/>
      <c r="AVH1" s="24"/>
      <c r="AVI1" s="24"/>
      <c r="AVJ1" s="24"/>
      <c r="AVK1" s="24"/>
      <c r="AVL1" s="24"/>
      <c r="AVM1" s="24"/>
      <c r="AVN1" s="24"/>
      <c r="AVO1" s="24"/>
      <c r="AVP1" s="24"/>
      <c r="AVQ1" s="24"/>
      <c r="AVR1" s="24"/>
      <c r="AVS1" s="24"/>
      <c r="AVT1" s="24"/>
      <c r="AVU1" s="24"/>
      <c r="AVV1" s="24"/>
      <c r="AVW1" s="24"/>
      <c r="AVX1" s="24"/>
      <c r="AVY1" s="24"/>
      <c r="AVZ1" s="24"/>
      <c r="AWA1" s="24"/>
      <c r="AWB1" s="24"/>
      <c r="AWC1" s="24"/>
      <c r="AWD1" s="24"/>
      <c r="AWE1" s="24"/>
      <c r="AWF1" s="24"/>
      <c r="AWG1" s="24"/>
      <c r="AWH1" s="24"/>
      <c r="AWI1" s="24"/>
      <c r="AWJ1" s="24"/>
      <c r="AWK1" s="24"/>
      <c r="AWL1" s="24"/>
      <c r="AWM1" s="24"/>
      <c r="AWN1" s="24"/>
      <c r="AWO1" s="24"/>
      <c r="AWP1" s="24"/>
      <c r="AWQ1" s="24"/>
      <c r="AWR1" s="24"/>
      <c r="AWS1" s="24"/>
      <c r="AWT1" s="24"/>
      <c r="AWU1" s="24"/>
      <c r="AWV1" s="24"/>
      <c r="AWW1" s="24"/>
      <c r="AWX1" s="24"/>
      <c r="AWY1" s="24"/>
      <c r="AWZ1" s="24"/>
      <c r="AXA1" s="24"/>
      <c r="AXB1" s="24"/>
      <c r="AXC1" s="24"/>
      <c r="AXD1" s="24"/>
      <c r="AXE1" s="24"/>
      <c r="AXF1" s="24"/>
      <c r="AXG1" s="24"/>
      <c r="AXH1" s="24"/>
      <c r="AXI1" s="24"/>
      <c r="AXJ1" s="24"/>
      <c r="AXK1" s="24"/>
      <c r="AXL1" s="24"/>
      <c r="AXM1" s="24"/>
      <c r="AXN1" s="24"/>
      <c r="AXO1" s="24"/>
      <c r="AXP1" s="24"/>
      <c r="AXQ1" s="24"/>
      <c r="AXR1" s="24"/>
      <c r="AXS1" s="24"/>
      <c r="AXT1" s="24"/>
      <c r="AXU1" s="24"/>
      <c r="AXV1" s="24"/>
      <c r="AXW1" s="24"/>
      <c r="AXX1" s="24"/>
      <c r="AXY1" s="24"/>
      <c r="AXZ1" s="24"/>
      <c r="AYA1" s="24"/>
      <c r="AYB1" s="24"/>
      <c r="AYC1" s="24"/>
      <c r="AYD1" s="24"/>
      <c r="AYE1" s="24"/>
      <c r="AYF1" s="24"/>
      <c r="AYG1" s="24"/>
      <c r="AYH1" s="24"/>
      <c r="AYI1" s="24"/>
      <c r="AYJ1" s="24"/>
      <c r="AYK1" s="24"/>
      <c r="AYL1" s="24"/>
      <c r="AYM1" s="24"/>
      <c r="AYN1" s="24"/>
      <c r="AYO1" s="24"/>
      <c r="AYP1" s="24"/>
      <c r="AYQ1" s="24"/>
      <c r="AYR1" s="24"/>
      <c r="AYS1" s="24"/>
      <c r="AYT1" s="24"/>
      <c r="AYU1" s="24"/>
      <c r="AYV1" s="24"/>
      <c r="AYW1" s="24"/>
      <c r="AYX1" s="24"/>
      <c r="AYY1" s="24"/>
      <c r="AYZ1" s="24"/>
      <c r="AZA1" s="24"/>
      <c r="AZB1" s="24"/>
      <c r="AZC1" s="24"/>
      <c r="AZD1" s="24"/>
      <c r="AZE1" s="24"/>
      <c r="AZF1" s="24"/>
      <c r="AZG1" s="24"/>
      <c r="AZH1" s="24"/>
      <c r="AZI1" s="24"/>
      <c r="AZJ1" s="24"/>
      <c r="AZK1" s="24"/>
      <c r="AZL1" s="24"/>
      <c r="AZM1" s="24"/>
      <c r="AZN1" s="24"/>
      <c r="AZO1" s="24"/>
      <c r="AZP1" s="24"/>
      <c r="AZQ1" s="24"/>
      <c r="AZR1" s="24"/>
      <c r="AZS1" s="24"/>
      <c r="AZT1" s="24"/>
      <c r="AZU1" s="24"/>
      <c r="AZV1" s="24"/>
      <c r="AZW1" s="24"/>
      <c r="AZX1" s="24"/>
      <c r="AZY1" s="24"/>
      <c r="AZZ1" s="24"/>
      <c r="BAA1" s="24"/>
      <c r="BAB1" s="24"/>
      <c r="BAC1" s="24"/>
      <c r="BAD1" s="24"/>
      <c r="BAE1" s="24"/>
      <c r="BAF1" s="24"/>
      <c r="BAG1" s="24"/>
      <c r="BAH1" s="24"/>
      <c r="BAI1" s="24"/>
      <c r="BAJ1" s="24"/>
      <c r="BAK1" s="24"/>
      <c r="BAL1" s="24"/>
      <c r="BAM1" s="24"/>
      <c r="BAN1" s="24"/>
      <c r="BAO1" s="24"/>
      <c r="BAP1" s="24"/>
      <c r="BAQ1" s="24"/>
      <c r="BAR1" s="24"/>
      <c r="BAS1" s="24"/>
      <c r="BAT1" s="24"/>
      <c r="BAU1" s="24"/>
      <c r="BAV1" s="24"/>
      <c r="BAW1" s="24"/>
      <c r="BAX1" s="24"/>
      <c r="BAY1" s="24"/>
      <c r="BAZ1" s="24"/>
      <c r="BBA1" s="24"/>
      <c r="BBB1" s="24"/>
      <c r="BBC1" s="24"/>
      <c r="BBD1" s="24"/>
      <c r="BBE1" s="24"/>
      <c r="BBF1" s="24"/>
      <c r="BBG1" s="24"/>
      <c r="BBH1" s="24"/>
      <c r="BBI1" s="24"/>
      <c r="BBJ1" s="24"/>
      <c r="BBK1" s="24"/>
      <c r="BBL1" s="24"/>
      <c r="BBM1" s="24"/>
      <c r="BBN1" s="24"/>
      <c r="BBO1" s="24"/>
      <c r="BBP1" s="24"/>
      <c r="BBQ1" s="24"/>
      <c r="BBR1" s="24"/>
      <c r="BBS1" s="24"/>
      <c r="BBT1" s="24"/>
      <c r="BBU1" s="24"/>
      <c r="BBV1" s="24"/>
      <c r="BBW1" s="24"/>
      <c r="BBX1" s="24"/>
      <c r="BBY1" s="24"/>
      <c r="BBZ1" s="24"/>
      <c r="BCA1" s="24"/>
      <c r="BCB1" s="24"/>
      <c r="BCC1" s="24"/>
      <c r="BCD1" s="24"/>
      <c r="BCE1" s="24"/>
      <c r="BCF1" s="24"/>
      <c r="BCG1" s="24"/>
      <c r="BCH1" s="24"/>
      <c r="BCI1" s="24"/>
      <c r="BCJ1" s="24"/>
      <c r="BCK1" s="24"/>
      <c r="BCL1" s="24"/>
      <c r="BCM1" s="24"/>
      <c r="BCN1" s="24"/>
      <c r="BCO1" s="24"/>
      <c r="BCP1" s="24"/>
      <c r="BCQ1" s="24"/>
      <c r="BCR1" s="24"/>
      <c r="BCS1" s="24"/>
      <c r="BCT1" s="24"/>
      <c r="BCU1" s="24"/>
      <c r="BCV1" s="24"/>
      <c r="BCW1" s="24"/>
      <c r="BCX1" s="24"/>
      <c r="BCY1" s="24"/>
      <c r="BCZ1" s="24"/>
      <c r="BDA1" s="24"/>
      <c r="BDB1" s="24"/>
      <c r="BDC1" s="24"/>
      <c r="BDD1" s="24"/>
      <c r="BDE1" s="24"/>
      <c r="BDF1" s="24"/>
      <c r="BDG1" s="24"/>
      <c r="BDH1" s="24"/>
      <c r="BDI1" s="24"/>
      <c r="BDJ1" s="24"/>
      <c r="BDK1" s="24"/>
      <c r="BDL1" s="24"/>
      <c r="BDM1" s="24"/>
      <c r="BDN1" s="24"/>
      <c r="BDO1" s="24"/>
      <c r="BDP1" s="24"/>
      <c r="BDQ1" s="24"/>
      <c r="BDR1" s="24"/>
      <c r="BDS1" s="24"/>
      <c r="BDT1" s="24"/>
      <c r="BDU1" s="24"/>
      <c r="BDV1" s="24"/>
      <c r="BDW1" s="24"/>
      <c r="BDX1" s="24"/>
      <c r="BDY1" s="24"/>
      <c r="BDZ1" s="24"/>
      <c r="BEA1" s="24"/>
      <c r="BEB1" s="24"/>
      <c r="BEC1" s="24"/>
      <c r="BED1" s="24"/>
      <c r="BEE1" s="24"/>
      <c r="BEF1" s="24"/>
      <c r="BEG1" s="24"/>
      <c r="BEH1" s="24"/>
      <c r="BEI1" s="24"/>
      <c r="BEJ1" s="24"/>
      <c r="BEK1" s="24"/>
      <c r="BEL1" s="24"/>
      <c r="BEM1" s="24"/>
      <c r="BEN1" s="24"/>
      <c r="BEO1" s="24"/>
      <c r="BEP1" s="24"/>
      <c r="BEQ1" s="24"/>
      <c r="BER1" s="24"/>
      <c r="BES1" s="24"/>
      <c r="BET1" s="24"/>
      <c r="BEU1" s="24"/>
      <c r="BEV1" s="24"/>
      <c r="BEW1" s="24"/>
      <c r="BEX1" s="24"/>
      <c r="BEY1" s="24"/>
      <c r="BEZ1" s="24"/>
      <c r="BFA1" s="24"/>
      <c r="BFB1" s="24"/>
      <c r="BFC1" s="24"/>
      <c r="BFD1" s="24"/>
      <c r="BFE1" s="24"/>
      <c r="BFF1" s="24"/>
      <c r="BFG1" s="24"/>
      <c r="BFH1" s="24"/>
      <c r="BFI1" s="24"/>
      <c r="BFJ1" s="24"/>
      <c r="BFK1" s="24"/>
      <c r="BFL1" s="24"/>
      <c r="BFM1" s="24"/>
      <c r="BFN1" s="24"/>
      <c r="BFO1" s="24"/>
      <c r="BFP1" s="24"/>
      <c r="BFQ1" s="24"/>
      <c r="BFR1" s="24"/>
      <c r="BFS1" s="24"/>
      <c r="BFT1" s="24"/>
      <c r="BFU1" s="24"/>
      <c r="BFV1" s="24"/>
      <c r="BFW1" s="24"/>
      <c r="BFX1" s="24"/>
      <c r="BFY1" s="24"/>
    </row>
    <row r="2" spans="1:1533" ht="24" customHeight="1" x14ac:dyDescent="0.2">
      <c r="A2" s="72"/>
      <c r="B2" s="5" t="s">
        <v>10</v>
      </c>
      <c r="C2" s="3" t="s">
        <v>11</v>
      </c>
      <c r="D2" s="3" t="s">
        <v>82</v>
      </c>
      <c r="E2" s="3" t="s">
        <v>12</v>
      </c>
      <c r="F2" s="3" t="s">
        <v>13</v>
      </c>
      <c r="G2" s="3" t="s">
        <v>14</v>
      </c>
      <c r="H2" s="3" t="s">
        <v>15</v>
      </c>
      <c r="I2" s="3" t="s">
        <v>16</v>
      </c>
      <c r="J2" s="2" t="s">
        <v>17</v>
      </c>
      <c r="K2" s="71"/>
      <c r="L2" s="12" t="s">
        <v>18</v>
      </c>
      <c r="M2" s="12" t="s">
        <v>19</v>
      </c>
      <c r="N2" s="12" t="s">
        <v>20</v>
      </c>
      <c r="O2" s="9" t="s">
        <v>81</v>
      </c>
      <c r="P2" s="9" t="s">
        <v>21</v>
      </c>
      <c r="Q2" s="9" t="s">
        <v>80</v>
      </c>
      <c r="R2" s="76"/>
      <c r="S2" s="70"/>
      <c r="T2" s="70"/>
      <c r="U2" s="70"/>
      <c r="V2" s="6"/>
      <c r="W2" s="8"/>
      <c r="X2" s="10"/>
      <c r="Y2" s="71"/>
      <c r="Z2" s="71"/>
      <c r="AA2" s="75"/>
      <c r="AB2" s="74"/>
      <c r="AC2" s="73"/>
      <c r="AD2" s="73"/>
      <c r="AE2" s="73"/>
      <c r="AF2" s="73"/>
      <c r="AG2" s="73"/>
      <c r="AH2" s="73"/>
      <c r="AI2" s="65" t="s">
        <v>169</v>
      </c>
      <c r="AJ2" s="73"/>
      <c r="AK2" s="73"/>
      <c r="AL2" s="24"/>
      <c r="AM2" s="24"/>
      <c r="AN2" s="24"/>
      <c r="AO2" s="24"/>
      <c r="AP2" s="56"/>
      <c r="AQ2" s="24"/>
      <c r="AR2" s="24"/>
      <c r="AS2" s="24"/>
      <c r="AT2" s="24"/>
      <c r="AU2" s="24"/>
      <c r="AV2" s="24"/>
      <c r="AW2" s="61"/>
      <c r="AX2" s="24"/>
      <c r="AY2" s="24"/>
      <c r="AZ2" s="24"/>
      <c r="BA2" s="24"/>
      <c r="BB2" s="24"/>
      <c r="BC2" s="24"/>
      <c r="BD2" s="24"/>
      <c r="BE2" s="24"/>
      <c r="BF2" s="24"/>
      <c r="BG2" s="24"/>
      <c r="BH2" s="24"/>
      <c r="BI2" s="24"/>
      <c r="BJ2" s="24"/>
      <c r="BK2" s="24"/>
      <c r="BL2" s="24"/>
      <c r="BM2" s="24"/>
      <c r="BN2" s="24"/>
      <c r="BO2" s="24"/>
      <c r="BP2" s="24"/>
      <c r="BQ2" s="24"/>
      <c r="BR2" s="24"/>
      <c r="BS2" s="24"/>
      <c r="BT2" s="24"/>
      <c r="BU2" s="24"/>
      <c r="BV2" s="24"/>
      <c r="BW2" s="24"/>
      <c r="BX2" s="24"/>
      <c r="BY2" s="24"/>
      <c r="BZ2" s="24"/>
      <c r="CA2" s="24"/>
      <c r="CB2" s="24"/>
      <c r="CC2" s="24"/>
      <c r="CD2" s="24"/>
      <c r="CE2" s="24"/>
      <c r="CF2" s="24"/>
      <c r="CG2" s="24"/>
      <c r="CH2" s="24"/>
      <c r="CI2" s="24"/>
      <c r="CJ2" s="24"/>
      <c r="CK2" s="24"/>
      <c r="CL2" s="24"/>
      <c r="CM2" s="24"/>
      <c r="CN2" s="24"/>
      <c r="CO2" s="24"/>
      <c r="CP2" s="24"/>
      <c r="CQ2" s="24"/>
      <c r="CR2" s="24"/>
      <c r="CS2" s="24"/>
      <c r="CT2" s="24"/>
      <c r="CU2" s="24"/>
      <c r="CV2" s="24"/>
      <c r="CW2" s="24"/>
      <c r="CX2" s="24"/>
      <c r="CY2" s="24"/>
      <c r="CZ2" s="24"/>
      <c r="DA2" s="24"/>
      <c r="DB2" s="24"/>
      <c r="DC2" s="24"/>
      <c r="DD2" s="24"/>
      <c r="DE2" s="24"/>
      <c r="DF2" s="24"/>
      <c r="DG2" s="24"/>
      <c r="DH2" s="24"/>
      <c r="DI2" s="24"/>
      <c r="DJ2" s="24"/>
      <c r="DK2" s="24"/>
      <c r="DL2" s="24"/>
      <c r="DM2" s="24"/>
      <c r="DN2" s="24"/>
      <c r="DO2" s="24"/>
      <c r="DP2" s="24"/>
      <c r="DQ2" s="24"/>
      <c r="DR2" s="24"/>
      <c r="DS2" s="24"/>
      <c r="DT2" s="24"/>
      <c r="DU2" s="24"/>
      <c r="DV2" s="24"/>
      <c r="DW2" s="24"/>
      <c r="DX2" s="24"/>
      <c r="DY2" s="24"/>
      <c r="DZ2" s="24"/>
      <c r="EA2" s="24"/>
      <c r="EB2" s="24"/>
      <c r="EC2" s="24"/>
      <c r="ED2" s="24"/>
      <c r="EE2" s="24"/>
      <c r="EF2" s="24"/>
      <c r="EG2" s="24"/>
      <c r="EH2" s="24"/>
      <c r="EI2" s="24"/>
      <c r="EJ2" s="24"/>
      <c r="EK2" s="24"/>
      <c r="EL2" s="24"/>
      <c r="EM2" s="24"/>
      <c r="EN2" s="24"/>
      <c r="EO2" s="24"/>
      <c r="EP2" s="24"/>
      <c r="EQ2" s="24"/>
      <c r="ER2" s="24"/>
      <c r="ES2" s="24"/>
      <c r="ET2" s="24"/>
      <c r="EU2" s="24"/>
      <c r="EV2" s="24"/>
      <c r="EW2" s="24"/>
      <c r="EX2" s="24"/>
      <c r="EY2" s="24"/>
      <c r="EZ2" s="24"/>
      <c r="FA2" s="24"/>
      <c r="FB2" s="24"/>
      <c r="FC2" s="24"/>
      <c r="FD2" s="24"/>
      <c r="FE2" s="24"/>
      <c r="FF2" s="24"/>
      <c r="FG2" s="24"/>
      <c r="FH2" s="24"/>
      <c r="FI2" s="24"/>
      <c r="FJ2" s="24"/>
      <c r="FK2" s="24"/>
      <c r="FL2" s="24"/>
      <c r="FM2" s="24"/>
      <c r="FN2" s="24"/>
      <c r="FO2" s="24"/>
      <c r="FP2" s="24"/>
      <c r="FQ2" s="24"/>
      <c r="FR2" s="24"/>
      <c r="FS2" s="24"/>
      <c r="FT2" s="24"/>
      <c r="FU2" s="24"/>
      <c r="FV2" s="24"/>
      <c r="FW2" s="24"/>
      <c r="FX2" s="24"/>
      <c r="FY2" s="24"/>
      <c r="FZ2" s="24"/>
      <c r="GA2" s="24"/>
      <c r="GB2" s="24"/>
      <c r="GC2" s="24"/>
      <c r="GD2" s="24"/>
      <c r="GE2" s="24"/>
      <c r="GF2" s="24"/>
      <c r="GG2" s="24"/>
      <c r="GH2" s="24"/>
      <c r="GI2" s="24"/>
      <c r="GJ2" s="24"/>
      <c r="GK2" s="24"/>
      <c r="GL2" s="24"/>
      <c r="GM2" s="24"/>
      <c r="GN2" s="24"/>
      <c r="GO2" s="24"/>
      <c r="GP2" s="24"/>
      <c r="GQ2" s="24"/>
      <c r="GR2" s="24"/>
      <c r="GS2" s="24"/>
      <c r="GT2" s="24"/>
      <c r="GU2" s="24"/>
      <c r="GV2" s="24"/>
      <c r="GW2" s="24"/>
      <c r="GX2" s="24"/>
      <c r="GY2" s="24"/>
      <c r="GZ2" s="24"/>
      <c r="HA2" s="24"/>
      <c r="HB2" s="24"/>
      <c r="HC2" s="24"/>
      <c r="HD2" s="24"/>
      <c r="HE2" s="24"/>
      <c r="HF2" s="24"/>
      <c r="HG2" s="24"/>
      <c r="HH2" s="24"/>
      <c r="HI2" s="24"/>
      <c r="HJ2" s="24"/>
      <c r="HK2" s="24"/>
      <c r="HL2" s="24"/>
      <c r="HM2" s="24"/>
      <c r="HN2" s="24"/>
      <c r="HO2" s="24"/>
      <c r="HP2" s="24"/>
      <c r="HQ2" s="24"/>
      <c r="HR2" s="24"/>
      <c r="HS2" s="24"/>
      <c r="HT2" s="24"/>
      <c r="HU2" s="24"/>
      <c r="HV2" s="24"/>
      <c r="HW2" s="24"/>
      <c r="HX2" s="24"/>
      <c r="HY2" s="24"/>
      <c r="HZ2" s="24"/>
      <c r="IA2" s="24"/>
      <c r="IB2" s="24"/>
      <c r="IC2" s="24"/>
      <c r="ID2" s="24"/>
      <c r="IE2" s="24"/>
      <c r="IF2" s="24"/>
      <c r="IG2" s="24"/>
      <c r="IH2" s="24"/>
      <c r="II2" s="24"/>
      <c r="IJ2" s="24"/>
      <c r="IK2" s="24"/>
      <c r="IL2" s="24"/>
      <c r="IM2" s="24"/>
      <c r="IN2" s="24"/>
      <c r="IO2" s="24"/>
      <c r="IP2" s="24"/>
      <c r="IQ2" s="24"/>
      <c r="IR2" s="24"/>
      <c r="IS2" s="24"/>
      <c r="IT2" s="24"/>
      <c r="IU2" s="24"/>
      <c r="IV2" s="24"/>
      <c r="IW2" s="24"/>
      <c r="IX2" s="24"/>
      <c r="IY2" s="24"/>
      <c r="IZ2" s="24"/>
      <c r="JA2" s="24"/>
      <c r="JB2" s="24"/>
      <c r="JC2" s="24"/>
      <c r="JD2" s="24"/>
      <c r="JE2" s="24"/>
      <c r="JF2" s="24"/>
      <c r="JG2" s="24"/>
      <c r="JH2" s="24"/>
      <c r="JI2" s="24"/>
      <c r="JJ2" s="24"/>
      <c r="JK2" s="24"/>
      <c r="JL2" s="24"/>
      <c r="JM2" s="24"/>
      <c r="JN2" s="24"/>
      <c r="JO2" s="24"/>
      <c r="JP2" s="24"/>
      <c r="JQ2" s="24"/>
      <c r="JR2" s="24"/>
      <c r="JS2" s="24"/>
      <c r="JT2" s="24"/>
      <c r="JU2" s="24"/>
      <c r="JV2" s="24"/>
      <c r="JW2" s="24"/>
      <c r="JX2" s="24"/>
      <c r="JY2" s="24"/>
      <c r="JZ2" s="24"/>
      <c r="KA2" s="24"/>
      <c r="KB2" s="24"/>
      <c r="KC2" s="24"/>
      <c r="KD2" s="24"/>
      <c r="KE2" s="24"/>
      <c r="KF2" s="24"/>
      <c r="KG2" s="24"/>
      <c r="KH2" s="24"/>
      <c r="KI2" s="24"/>
      <c r="KJ2" s="24"/>
      <c r="KK2" s="24"/>
      <c r="KL2" s="24"/>
      <c r="KM2" s="24"/>
      <c r="KN2" s="24"/>
      <c r="KO2" s="24"/>
      <c r="KP2" s="24"/>
      <c r="KQ2" s="24"/>
      <c r="KR2" s="24"/>
      <c r="KS2" s="24"/>
      <c r="KT2" s="24"/>
      <c r="KU2" s="24"/>
      <c r="KV2" s="24"/>
      <c r="KW2" s="24"/>
      <c r="KX2" s="24"/>
      <c r="KY2" s="24"/>
      <c r="KZ2" s="24"/>
      <c r="LA2" s="24"/>
      <c r="LB2" s="24"/>
      <c r="LC2" s="24"/>
      <c r="LD2" s="24"/>
      <c r="LE2" s="24"/>
      <c r="LF2" s="24"/>
      <c r="LG2" s="24"/>
      <c r="LH2" s="24"/>
      <c r="LI2" s="24"/>
      <c r="LJ2" s="24"/>
      <c r="LK2" s="24"/>
      <c r="LL2" s="24"/>
      <c r="LM2" s="24"/>
      <c r="LN2" s="24"/>
      <c r="LO2" s="24"/>
      <c r="LP2" s="24"/>
      <c r="LQ2" s="24"/>
      <c r="LR2" s="24"/>
      <c r="LS2" s="24"/>
      <c r="LT2" s="24"/>
      <c r="LU2" s="24"/>
      <c r="LV2" s="24"/>
      <c r="LW2" s="24"/>
      <c r="LX2" s="24"/>
      <c r="LY2" s="24"/>
      <c r="LZ2" s="24"/>
      <c r="MA2" s="24"/>
      <c r="MB2" s="24"/>
      <c r="MC2" s="24"/>
      <c r="MD2" s="24"/>
      <c r="ME2" s="24"/>
      <c r="MF2" s="24"/>
      <c r="MG2" s="24"/>
      <c r="MH2" s="24"/>
      <c r="MI2" s="24"/>
      <c r="MJ2" s="24"/>
      <c r="MK2" s="24"/>
      <c r="ML2" s="24"/>
      <c r="MM2" s="24"/>
      <c r="MN2" s="24"/>
      <c r="MO2" s="24"/>
      <c r="MP2" s="24"/>
      <c r="MQ2" s="24"/>
      <c r="MR2" s="24"/>
      <c r="MS2" s="24"/>
      <c r="MT2" s="24"/>
      <c r="MU2" s="24"/>
      <c r="MV2" s="24"/>
      <c r="MW2" s="24"/>
      <c r="MX2" s="24"/>
      <c r="MY2" s="24"/>
      <c r="MZ2" s="24"/>
      <c r="NA2" s="24"/>
      <c r="NB2" s="24"/>
      <c r="NC2" s="24"/>
      <c r="ND2" s="24"/>
      <c r="NE2" s="24"/>
      <c r="NF2" s="24"/>
      <c r="NG2" s="24"/>
      <c r="NH2" s="24"/>
      <c r="NI2" s="24"/>
      <c r="NJ2" s="24"/>
      <c r="NK2" s="24"/>
      <c r="NL2" s="24"/>
      <c r="NM2" s="24"/>
      <c r="NN2" s="24"/>
      <c r="NO2" s="24"/>
      <c r="NP2" s="24"/>
      <c r="NQ2" s="24"/>
      <c r="NR2" s="24"/>
      <c r="NS2" s="24"/>
      <c r="NT2" s="24"/>
      <c r="NU2" s="24"/>
      <c r="NV2" s="24"/>
      <c r="NW2" s="24"/>
      <c r="NX2" s="24"/>
      <c r="NY2" s="24"/>
      <c r="NZ2" s="24"/>
      <c r="OA2" s="24"/>
      <c r="OB2" s="24"/>
      <c r="OC2" s="24"/>
      <c r="OD2" s="24"/>
      <c r="OE2" s="24"/>
      <c r="OF2" s="24"/>
      <c r="OG2" s="24"/>
      <c r="OH2" s="24"/>
      <c r="OI2" s="24"/>
      <c r="OJ2" s="24"/>
      <c r="OK2" s="24"/>
      <c r="OL2" s="24"/>
      <c r="OM2" s="24"/>
      <c r="ON2" s="24"/>
      <c r="OO2" s="24"/>
      <c r="OP2" s="24"/>
      <c r="OQ2" s="24"/>
      <c r="OR2" s="24"/>
      <c r="OS2" s="24"/>
      <c r="OT2" s="24"/>
      <c r="OU2" s="24"/>
      <c r="OV2" s="24"/>
      <c r="OW2" s="24"/>
      <c r="OX2" s="24"/>
      <c r="OY2" s="24"/>
      <c r="OZ2" s="24"/>
      <c r="PA2" s="24"/>
      <c r="PB2" s="24"/>
      <c r="PC2" s="24"/>
      <c r="PD2" s="24"/>
      <c r="PE2" s="24"/>
      <c r="PF2" s="24"/>
      <c r="PG2" s="24"/>
      <c r="PH2" s="24"/>
      <c r="PI2" s="24"/>
      <c r="PJ2" s="24"/>
      <c r="PK2" s="24"/>
      <c r="PL2" s="24"/>
      <c r="PM2" s="24"/>
      <c r="PN2" s="24"/>
      <c r="PO2" s="24"/>
      <c r="PP2" s="24"/>
      <c r="PQ2" s="24"/>
      <c r="PR2" s="24"/>
      <c r="PS2" s="24"/>
      <c r="PT2" s="24"/>
      <c r="PU2" s="24"/>
      <c r="PV2" s="24"/>
      <c r="PW2" s="24"/>
      <c r="PX2" s="24"/>
      <c r="PY2" s="24"/>
      <c r="PZ2" s="24"/>
      <c r="QA2" s="24"/>
      <c r="QB2" s="24"/>
      <c r="QC2" s="24"/>
      <c r="QD2" s="24"/>
      <c r="QE2" s="24"/>
      <c r="QF2" s="24"/>
      <c r="QG2" s="24"/>
      <c r="QH2" s="24"/>
      <c r="QI2" s="24"/>
      <c r="QJ2" s="24"/>
      <c r="QK2" s="24"/>
      <c r="QL2" s="24"/>
      <c r="QM2" s="24"/>
      <c r="QN2" s="24"/>
      <c r="QO2" s="24"/>
      <c r="QP2" s="24"/>
      <c r="QQ2" s="24"/>
      <c r="QR2" s="24"/>
      <c r="QS2" s="24"/>
      <c r="QT2" s="24"/>
      <c r="QU2" s="24"/>
      <c r="QV2" s="24"/>
      <c r="QW2" s="24"/>
      <c r="QX2" s="24"/>
      <c r="QY2" s="24"/>
      <c r="QZ2" s="24"/>
      <c r="RA2" s="24"/>
      <c r="RB2" s="24"/>
      <c r="RC2" s="24"/>
      <c r="RD2" s="24"/>
      <c r="RE2" s="24"/>
      <c r="RF2" s="24"/>
      <c r="RG2" s="24"/>
      <c r="RH2" s="24"/>
      <c r="RI2" s="24"/>
      <c r="RJ2" s="24"/>
      <c r="RK2" s="24"/>
      <c r="RL2" s="24"/>
      <c r="RM2" s="24"/>
      <c r="RN2" s="24"/>
      <c r="RO2" s="24"/>
      <c r="RP2" s="24"/>
      <c r="RQ2" s="24"/>
      <c r="RR2" s="24"/>
      <c r="RS2" s="24"/>
      <c r="RT2" s="24"/>
      <c r="RU2" s="24"/>
      <c r="RV2" s="24"/>
      <c r="RW2" s="24"/>
      <c r="RX2" s="24"/>
      <c r="RY2" s="24"/>
      <c r="RZ2" s="24"/>
      <c r="SA2" s="24"/>
      <c r="SB2" s="24"/>
      <c r="SC2" s="24"/>
      <c r="SD2" s="24"/>
      <c r="SE2" s="24"/>
      <c r="SF2" s="24"/>
      <c r="SG2" s="24"/>
      <c r="SH2" s="24"/>
      <c r="SI2" s="24"/>
      <c r="SJ2" s="24"/>
      <c r="SK2" s="24"/>
      <c r="SL2" s="24"/>
      <c r="SM2" s="24"/>
      <c r="SN2" s="24"/>
      <c r="SO2" s="24"/>
      <c r="SP2" s="24"/>
      <c r="SQ2" s="24"/>
      <c r="SR2" s="24"/>
      <c r="SS2" s="24"/>
      <c r="ST2" s="24"/>
      <c r="SU2" s="24"/>
      <c r="SV2" s="24"/>
      <c r="SW2" s="24"/>
      <c r="SX2" s="24"/>
      <c r="SY2" s="24"/>
      <c r="SZ2" s="24"/>
      <c r="TA2" s="24"/>
      <c r="TB2" s="24"/>
      <c r="TC2" s="24"/>
      <c r="TD2" s="24"/>
      <c r="TE2" s="24"/>
      <c r="TF2" s="24"/>
      <c r="TG2" s="24"/>
      <c r="TH2" s="24"/>
      <c r="TI2" s="24"/>
      <c r="TJ2" s="24"/>
      <c r="TK2" s="24"/>
      <c r="TL2" s="24"/>
      <c r="TM2" s="24"/>
      <c r="TN2" s="24"/>
      <c r="TO2" s="24"/>
      <c r="TP2" s="24"/>
      <c r="TQ2" s="24"/>
      <c r="TR2" s="24"/>
      <c r="TS2" s="24"/>
      <c r="TT2" s="24"/>
      <c r="TU2" s="24"/>
      <c r="TV2" s="24"/>
      <c r="TW2" s="24"/>
      <c r="TX2" s="24"/>
      <c r="TY2" s="24"/>
      <c r="TZ2" s="24"/>
      <c r="UA2" s="24"/>
      <c r="UB2" s="24"/>
      <c r="UC2" s="24"/>
      <c r="UD2" s="24"/>
      <c r="UE2" s="24"/>
      <c r="UF2" s="24"/>
      <c r="UG2" s="24"/>
      <c r="UH2" s="24"/>
      <c r="UI2" s="24"/>
      <c r="UJ2" s="24"/>
      <c r="UK2" s="24"/>
      <c r="UL2" s="24"/>
      <c r="UM2" s="24"/>
      <c r="UN2" s="24"/>
      <c r="UO2" s="24"/>
      <c r="UP2" s="24"/>
      <c r="UQ2" s="24"/>
      <c r="UR2" s="24"/>
      <c r="US2" s="24"/>
      <c r="UT2" s="24"/>
      <c r="UU2" s="24"/>
      <c r="UV2" s="24"/>
      <c r="UW2" s="24"/>
      <c r="UX2" s="24"/>
      <c r="UY2" s="24"/>
      <c r="UZ2" s="24"/>
      <c r="VA2" s="24"/>
      <c r="VB2" s="24"/>
      <c r="VC2" s="24"/>
      <c r="VD2" s="24"/>
      <c r="VE2" s="24"/>
      <c r="VF2" s="24"/>
      <c r="VG2" s="24"/>
      <c r="VH2" s="24"/>
      <c r="VI2" s="24"/>
      <c r="VJ2" s="24"/>
      <c r="VK2" s="24"/>
      <c r="VL2" s="24"/>
      <c r="VM2" s="24"/>
      <c r="VN2" s="24"/>
      <c r="VO2" s="24"/>
      <c r="VP2" s="24"/>
      <c r="VQ2" s="24"/>
      <c r="VR2" s="24"/>
      <c r="VS2" s="24"/>
      <c r="VT2" s="24"/>
      <c r="VU2" s="24"/>
      <c r="VV2" s="24"/>
      <c r="VW2" s="24"/>
      <c r="VX2" s="24"/>
      <c r="VY2" s="24"/>
      <c r="VZ2" s="24"/>
      <c r="WA2" s="24"/>
      <c r="WB2" s="24"/>
      <c r="WC2" s="24"/>
      <c r="WD2" s="24"/>
      <c r="WE2" s="24"/>
      <c r="WF2" s="24"/>
      <c r="WG2" s="24"/>
      <c r="WH2" s="24"/>
      <c r="WI2" s="24"/>
      <c r="WJ2" s="24"/>
      <c r="WK2" s="24"/>
      <c r="WL2" s="24"/>
      <c r="WM2" s="24"/>
      <c r="WN2" s="24"/>
      <c r="WO2" s="24"/>
      <c r="WP2" s="24"/>
      <c r="WQ2" s="24"/>
      <c r="WR2" s="24"/>
      <c r="WS2" s="24"/>
      <c r="WT2" s="24"/>
      <c r="WU2" s="24"/>
      <c r="WV2" s="24"/>
      <c r="WW2" s="24"/>
      <c r="WX2" s="24"/>
      <c r="WY2" s="24"/>
      <c r="WZ2" s="24"/>
      <c r="XA2" s="24"/>
      <c r="XB2" s="24"/>
      <c r="XC2" s="24"/>
      <c r="XD2" s="24"/>
      <c r="XE2" s="24"/>
      <c r="XF2" s="24"/>
      <c r="XG2" s="24"/>
      <c r="XH2" s="24"/>
      <c r="XI2" s="24"/>
      <c r="XJ2" s="24"/>
      <c r="XK2" s="24"/>
      <c r="XL2" s="24"/>
      <c r="XM2" s="24"/>
      <c r="XN2" s="24"/>
      <c r="XO2" s="24"/>
      <c r="XP2" s="24"/>
      <c r="XQ2" s="24"/>
      <c r="XR2" s="24"/>
      <c r="XS2" s="24"/>
      <c r="XT2" s="24"/>
      <c r="XU2" s="24"/>
      <c r="XV2" s="24"/>
      <c r="XW2" s="24"/>
      <c r="XX2" s="24"/>
      <c r="XY2" s="24"/>
      <c r="XZ2" s="24"/>
      <c r="YA2" s="24"/>
      <c r="YB2" s="24"/>
      <c r="YC2" s="24"/>
      <c r="YD2" s="24"/>
      <c r="YE2" s="24"/>
      <c r="YF2" s="24"/>
      <c r="YG2" s="24"/>
      <c r="YH2" s="24"/>
      <c r="YI2" s="24"/>
      <c r="YJ2" s="24"/>
      <c r="YK2" s="24"/>
      <c r="YL2" s="24"/>
      <c r="YM2" s="24"/>
      <c r="YN2" s="24"/>
      <c r="YO2" s="24"/>
      <c r="YP2" s="24"/>
      <c r="YQ2" s="24"/>
      <c r="YR2" s="24"/>
      <c r="YS2" s="24"/>
      <c r="YT2" s="24"/>
      <c r="YU2" s="24"/>
      <c r="YV2" s="24"/>
      <c r="YW2" s="24"/>
      <c r="YX2" s="24"/>
      <c r="YY2" s="24"/>
      <c r="YZ2" s="24"/>
      <c r="ZA2" s="24"/>
      <c r="ZB2" s="24"/>
      <c r="ZC2" s="24"/>
      <c r="ZD2" s="24"/>
      <c r="ZE2" s="24"/>
      <c r="ZF2" s="24"/>
      <c r="ZG2" s="24"/>
      <c r="ZH2" s="24"/>
      <c r="ZI2" s="24"/>
      <c r="ZJ2" s="24"/>
      <c r="ZK2" s="24"/>
      <c r="ZL2" s="24"/>
      <c r="ZM2" s="24"/>
      <c r="ZN2" s="24"/>
      <c r="ZO2" s="24"/>
      <c r="ZP2" s="24"/>
      <c r="ZQ2" s="24"/>
      <c r="ZR2" s="24"/>
      <c r="ZS2" s="24"/>
      <c r="ZT2" s="24"/>
      <c r="ZU2" s="24"/>
      <c r="ZV2" s="24"/>
      <c r="ZW2" s="24"/>
      <c r="ZX2" s="24"/>
      <c r="ZY2" s="24"/>
      <c r="ZZ2" s="24"/>
      <c r="AAA2" s="24"/>
      <c r="AAB2" s="24"/>
      <c r="AAC2" s="24"/>
      <c r="AAD2" s="24"/>
      <c r="AAE2" s="24"/>
      <c r="AAF2" s="24"/>
      <c r="AAG2" s="24"/>
      <c r="AAH2" s="24"/>
      <c r="AAI2" s="24"/>
      <c r="AAJ2" s="24"/>
      <c r="AAK2" s="24"/>
      <c r="AAL2" s="24"/>
      <c r="AAM2" s="24"/>
      <c r="AAN2" s="24"/>
      <c r="AAO2" s="24"/>
      <c r="AAP2" s="24"/>
      <c r="AAQ2" s="24"/>
      <c r="AAR2" s="24"/>
      <c r="AAS2" s="24"/>
      <c r="AAT2" s="24"/>
      <c r="AAU2" s="24"/>
      <c r="AAV2" s="24"/>
      <c r="AAW2" s="24"/>
      <c r="AAX2" s="24"/>
      <c r="AAY2" s="24"/>
      <c r="AAZ2" s="24"/>
      <c r="ABA2" s="24"/>
      <c r="ABB2" s="24"/>
      <c r="ABC2" s="24"/>
      <c r="ABD2" s="24"/>
      <c r="ABE2" s="24"/>
      <c r="ABF2" s="24"/>
      <c r="ABG2" s="24"/>
      <c r="ABH2" s="24"/>
      <c r="ABI2" s="24"/>
      <c r="ABJ2" s="24"/>
      <c r="ABK2" s="24"/>
      <c r="ABL2" s="24"/>
      <c r="ABM2" s="24"/>
      <c r="ABN2" s="24"/>
      <c r="ABO2" s="24"/>
      <c r="ABP2" s="24"/>
      <c r="ABQ2" s="24"/>
      <c r="ABR2" s="24"/>
      <c r="ABS2" s="24"/>
      <c r="ABT2" s="24"/>
      <c r="ABU2" s="24"/>
      <c r="ABV2" s="24"/>
      <c r="ABW2" s="24"/>
      <c r="ABX2" s="24"/>
      <c r="ABY2" s="24"/>
      <c r="ABZ2" s="24"/>
      <c r="ACA2" s="24"/>
      <c r="ACB2" s="24"/>
      <c r="ACC2" s="24"/>
      <c r="ACD2" s="24"/>
      <c r="ACE2" s="24"/>
      <c r="ACF2" s="24"/>
      <c r="ACG2" s="24"/>
      <c r="ACH2" s="24"/>
      <c r="ACI2" s="24"/>
      <c r="ACJ2" s="24"/>
      <c r="ACK2" s="24"/>
      <c r="ACL2" s="24"/>
      <c r="ACM2" s="24"/>
      <c r="ACN2" s="24"/>
      <c r="ACO2" s="24"/>
      <c r="ACP2" s="24"/>
      <c r="ACQ2" s="24"/>
      <c r="ACR2" s="24"/>
      <c r="ACS2" s="24"/>
      <c r="ACT2" s="24"/>
      <c r="ACU2" s="24"/>
      <c r="ACV2" s="24"/>
      <c r="ACW2" s="24"/>
      <c r="ACX2" s="24"/>
      <c r="ACY2" s="24"/>
      <c r="ACZ2" s="24"/>
      <c r="ADA2" s="24"/>
      <c r="ADB2" s="24"/>
      <c r="ADC2" s="24"/>
      <c r="ADD2" s="24"/>
      <c r="ADE2" s="24"/>
      <c r="ADF2" s="24"/>
      <c r="ADG2" s="24"/>
      <c r="ADH2" s="24"/>
      <c r="ADI2" s="24"/>
      <c r="ADJ2" s="24"/>
      <c r="ADK2" s="24"/>
      <c r="ADL2" s="24"/>
      <c r="ADM2" s="24"/>
      <c r="ADN2" s="24"/>
      <c r="ADO2" s="24"/>
      <c r="ADP2" s="24"/>
      <c r="ADQ2" s="24"/>
      <c r="ADR2" s="24"/>
      <c r="ADS2" s="24"/>
      <c r="ADT2" s="24"/>
      <c r="ADU2" s="24"/>
      <c r="ADV2" s="24"/>
      <c r="ADW2" s="24"/>
      <c r="ADX2" s="24"/>
      <c r="ADY2" s="24"/>
      <c r="ADZ2" s="24"/>
      <c r="AEA2" s="24"/>
      <c r="AEB2" s="24"/>
      <c r="AEC2" s="24"/>
      <c r="AED2" s="24"/>
      <c r="AEE2" s="24"/>
      <c r="AEF2" s="24"/>
      <c r="AEG2" s="24"/>
      <c r="AEH2" s="24"/>
      <c r="AEI2" s="24"/>
      <c r="AEJ2" s="24"/>
      <c r="AEK2" s="24"/>
      <c r="AEL2" s="24"/>
      <c r="AEM2" s="24"/>
      <c r="AEN2" s="24"/>
      <c r="AEO2" s="24"/>
      <c r="AEP2" s="24"/>
      <c r="AEQ2" s="24"/>
      <c r="AER2" s="24"/>
      <c r="AES2" s="24"/>
      <c r="AET2" s="24"/>
      <c r="AEU2" s="24"/>
      <c r="AEV2" s="24"/>
      <c r="AEW2" s="24"/>
      <c r="AEX2" s="24"/>
      <c r="AEY2" s="24"/>
      <c r="AEZ2" s="24"/>
      <c r="AFA2" s="24"/>
      <c r="AFB2" s="24"/>
      <c r="AFC2" s="24"/>
      <c r="AFD2" s="24"/>
      <c r="AFE2" s="24"/>
      <c r="AFF2" s="24"/>
      <c r="AFG2" s="24"/>
      <c r="AFH2" s="24"/>
      <c r="AFI2" s="24"/>
      <c r="AFJ2" s="24"/>
      <c r="AFK2" s="24"/>
      <c r="AFL2" s="24"/>
      <c r="AFM2" s="24"/>
      <c r="AFN2" s="24"/>
      <c r="AFO2" s="24"/>
      <c r="AFP2" s="24"/>
      <c r="AFQ2" s="24"/>
      <c r="AFR2" s="24"/>
      <c r="AFS2" s="24"/>
      <c r="AFT2" s="24"/>
      <c r="AFU2" s="24"/>
      <c r="AFV2" s="24"/>
      <c r="AFW2" s="24"/>
      <c r="AFX2" s="24"/>
      <c r="AFY2" s="24"/>
      <c r="AFZ2" s="24"/>
      <c r="AGA2" s="24"/>
      <c r="AGB2" s="24"/>
      <c r="AGC2" s="24"/>
      <c r="AGD2" s="24"/>
      <c r="AGE2" s="24"/>
      <c r="AGF2" s="24"/>
      <c r="AGG2" s="24"/>
      <c r="AGH2" s="24"/>
      <c r="AGI2" s="24"/>
      <c r="AGJ2" s="24"/>
      <c r="AGK2" s="24"/>
      <c r="AGL2" s="24"/>
      <c r="AGM2" s="24"/>
      <c r="AGN2" s="24"/>
      <c r="AGO2" s="24"/>
      <c r="AGP2" s="24"/>
      <c r="AGQ2" s="24"/>
      <c r="AGR2" s="24"/>
      <c r="AGS2" s="24"/>
      <c r="AGT2" s="24"/>
      <c r="AGU2" s="24"/>
      <c r="AGV2" s="24"/>
      <c r="AGW2" s="24"/>
      <c r="AGX2" s="24"/>
      <c r="AGY2" s="24"/>
      <c r="AGZ2" s="24"/>
      <c r="AHA2" s="24"/>
      <c r="AHB2" s="24"/>
      <c r="AHC2" s="24"/>
      <c r="AHD2" s="24"/>
      <c r="AHE2" s="24"/>
      <c r="AHF2" s="24"/>
      <c r="AHG2" s="24"/>
      <c r="AHH2" s="24"/>
      <c r="AHI2" s="24"/>
      <c r="AHJ2" s="24"/>
      <c r="AHK2" s="24"/>
      <c r="AHL2" s="24"/>
      <c r="AHM2" s="24"/>
      <c r="AHN2" s="24"/>
      <c r="AHO2" s="24"/>
      <c r="AHP2" s="24"/>
      <c r="AHQ2" s="24"/>
      <c r="AHR2" s="24"/>
      <c r="AHS2" s="24"/>
      <c r="AHT2" s="24"/>
      <c r="AHU2" s="24"/>
      <c r="AHV2" s="24"/>
      <c r="AHW2" s="24"/>
      <c r="AHX2" s="24"/>
      <c r="AHY2" s="24"/>
      <c r="AHZ2" s="24"/>
      <c r="AIA2" s="24"/>
      <c r="AIB2" s="24"/>
      <c r="AIC2" s="24"/>
      <c r="AID2" s="24"/>
      <c r="AIE2" s="24"/>
      <c r="AIF2" s="24"/>
      <c r="AIG2" s="24"/>
      <c r="AIH2" s="24"/>
      <c r="AII2" s="24"/>
      <c r="AIJ2" s="24"/>
      <c r="AIK2" s="24"/>
      <c r="AIL2" s="24"/>
      <c r="AIM2" s="24"/>
      <c r="AIN2" s="24"/>
      <c r="AIO2" s="24"/>
      <c r="AIP2" s="24"/>
      <c r="AIQ2" s="24"/>
      <c r="AIR2" s="24"/>
      <c r="AIS2" s="24"/>
      <c r="AIT2" s="24"/>
      <c r="AIU2" s="24"/>
      <c r="AIV2" s="24"/>
      <c r="AIW2" s="24"/>
      <c r="AIX2" s="24"/>
      <c r="AIY2" s="24"/>
      <c r="AIZ2" s="24"/>
      <c r="AJA2" s="24"/>
      <c r="AJB2" s="24"/>
      <c r="AJC2" s="24"/>
      <c r="AJD2" s="24"/>
      <c r="AJE2" s="24"/>
      <c r="AJF2" s="24"/>
      <c r="AJG2" s="24"/>
      <c r="AJH2" s="24"/>
      <c r="AJI2" s="24"/>
      <c r="AJJ2" s="24"/>
      <c r="AJK2" s="24"/>
      <c r="AJL2" s="24"/>
      <c r="AJM2" s="24"/>
      <c r="AJN2" s="24"/>
      <c r="AJO2" s="24"/>
      <c r="AJP2" s="24"/>
      <c r="AJQ2" s="24"/>
      <c r="AJR2" s="24"/>
      <c r="AJS2" s="24"/>
      <c r="AJT2" s="24"/>
      <c r="AJU2" s="24"/>
      <c r="AJV2" s="24"/>
      <c r="AJW2" s="24"/>
      <c r="AJX2" s="24"/>
      <c r="AJY2" s="24"/>
      <c r="AJZ2" s="24"/>
      <c r="AKA2" s="24"/>
      <c r="AKB2" s="24"/>
      <c r="AKC2" s="24"/>
      <c r="AKD2" s="24"/>
      <c r="AKE2" s="24"/>
      <c r="AKF2" s="24"/>
      <c r="AKG2" s="24"/>
      <c r="AKH2" s="24"/>
      <c r="AKI2" s="24"/>
      <c r="AKJ2" s="24"/>
      <c r="AKK2" s="24"/>
      <c r="AKL2" s="24"/>
      <c r="AKM2" s="24"/>
      <c r="AKN2" s="24"/>
      <c r="AKO2" s="24"/>
      <c r="AKP2" s="24"/>
      <c r="AKQ2" s="24"/>
      <c r="AKR2" s="24"/>
      <c r="AKS2" s="24"/>
      <c r="AKT2" s="24"/>
      <c r="AKU2" s="24"/>
      <c r="AKV2" s="24"/>
      <c r="AKW2" s="24"/>
      <c r="AKX2" s="24"/>
      <c r="AKY2" s="24"/>
      <c r="AKZ2" s="24"/>
      <c r="ALA2" s="24"/>
      <c r="ALB2" s="24"/>
      <c r="ALC2" s="24"/>
      <c r="ALD2" s="24"/>
      <c r="ALE2" s="24"/>
      <c r="ALF2" s="24"/>
      <c r="ALG2" s="24"/>
      <c r="ALH2" s="24"/>
      <c r="ALI2" s="24"/>
      <c r="ALJ2" s="24"/>
      <c r="ALK2" s="24"/>
      <c r="ALL2" s="24"/>
      <c r="ALM2" s="24"/>
      <c r="ALN2" s="24"/>
      <c r="ALO2" s="24"/>
      <c r="ALP2" s="24"/>
      <c r="ALQ2" s="24"/>
      <c r="ALR2" s="24"/>
      <c r="ALS2" s="24"/>
      <c r="ALT2" s="24"/>
      <c r="ALU2" s="24"/>
      <c r="ALV2" s="24"/>
      <c r="ALW2" s="24"/>
      <c r="ALX2" s="24"/>
      <c r="ALY2" s="24"/>
      <c r="ALZ2" s="24"/>
      <c r="AMA2" s="24"/>
      <c r="AMB2" s="24"/>
      <c r="AMC2" s="24"/>
      <c r="AMD2" s="24"/>
      <c r="AME2" s="24"/>
      <c r="AMF2" s="24"/>
      <c r="AMG2" s="24"/>
      <c r="AMH2" s="24"/>
      <c r="AMI2" s="24"/>
      <c r="AMJ2" s="24"/>
      <c r="AMK2" s="24"/>
      <c r="AML2" s="24"/>
      <c r="AMM2" s="24"/>
      <c r="AMN2" s="24"/>
      <c r="AMO2" s="24"/>
      <c r="AMP2" s="24"/>
      <c r="AMQ2" s="24"/>
      <c r="AMR2" s="24"/>
      <c r="AMS2" s="24"/>
      <c r="AMT2" s="24"/>
      <c r="AMU2" s="24"/>
      <c r="AMV2" s="24"/>
      <c r="AMW2" s="24"/>
      <c r="AMX2" s="24"/>
      <c r="AMY2" s="24"/>
      <c r="AMZ2" s="24"/>
      <c r="ANA2" s="24"/>
      <c r="ANB2" s="24"/>
      <c r="ANC2" s="24"/>
      <c r="AND2" s="24"/>
      <c r="ANE2" s="24"/>
      <c r="ANF2" s="24"/>
      <c r="ANG2" s="24"/>
      <c r="ANH2" s="24"/>
      <c r="ANI2" s="24"/>
      <c r="ANJ2" s="24"/>
      <c r="ANK2" s="24"/>
      <c r="ANL2" s="24"/>
      <c r="ANM2" s="24"/>
      <c r="ANN2" s="24"/>
      <c r="ANO2" s="24"/>
      <c r="ANP2" s="24"/>
      <c r="ANQ2" s="24"/>
      <c r="ANR2" s="24"/>
      <c r="ANS2" s="24"/>
      <c r="ANT2" s="24"/>
      <c r="ANU2" s="24"/>
      <c r="ANV2" s="24"/>
      <c r="ANW2" s="24"/>
      <c r="ANX2" s="24"/>
      <c r="ANY2" s="24"/>
      <c r="ANZ2" s="24"/>
      <c r="AOA2" s="24"/>
      <c r="AOB2" s="24"/>
      <c r="AOC2" s="24"/>
      <c r="AOD2" s="24"/>
      <c r="AOE2" s="24"/>
      <c r="AOF2" s="24"/>
      <c r="AOG2" s="24"/>
      <c r="AOH2" s="24"/>
      <c r="AOI2" s="24"/>
      <c r="AOJ2" s="24"/>
      <c r="AOK2" s="24"/>
      <c r="AOL2" s="24"/>
      <c r="AOM2" s="24"/>
      <c r="AON2" s="24"/>
      <c r="AOO2" s="24"/>
      <c r="AOP2" s="24"/>
      <c r="AOQ2" s="24"/>
      <c r="AOR2" s="24"/>
      <c r="AOS2" s="24"/>
      <c r="AOT2" s="24"/>
      <c r="AOU2" s="24"/>
      <c r="AOV2" s="24"/>
      <c r="AOW2" s="24"/>
      <c r="AOX2" s="24"/>
      <c r="AOY2" s="24"/>
      <c r="AOZ2" s="24"/>
      <c r="APA2" s="24"/>
      <c r="APB2" s="24"/>
      <c r="APC2" s="24"/>
      <c r="APD2" s="24"/>
      <c r="APE2" s="24"/>
      <c r="APF2" s="24"/>
      <c r="APG2" s="24"/>
      <c r="APH2" s="24"/>
      <c r="API2" s="24"/>
      <c r="APJ2" s="24"/>
      <c r="APK2" s="24"/>
      <c r="APL2" s="24"/>
      <c r="APM2" s="24"/>
      <c r="APN2" s="24"/>
      <c r="APO2" s="24"/>
      <c r="APP2" s="24"/>
      <c r="APQ2" s="24"/>
      <c r="APR2" s="24"/>
      <c r="APS2" s="24"/>
      <c r="APT2" s="24"/>
      <c r="APU2" s="24"/>
      <c r="APV2" s="24"/>
      <c r="APW2" s="24"/>
      <c r="APX2" s="24"/>
      <c r="APY2" s="24"/>
      <c r="APZ2" s="24"/>
      <c r="AQA2" s="24"/>
      <c r="AQB2" s="24"/>
      <c r="AQC2" s="24"/>
      <c r="AQD2" s="24"/>
      <c r="AQE2" s="24"/>
      <c r="AQF2" s="24"/>
      <c r="AQG2" s="24"/>
      <c r="AQH2" s="24"/>
      <c r="AQI2" s="24"/>
      <c r="AQJ2" s="24"/>
      <c r="AQK2" s="24"/>
      <c r="AQL2" s="24"/>
      <c r="AQM2" s="24"/>
      <c r="AQN2" s="24"/>
      <c r="AQO2" s="24"/>
      <c r="AQP2" s="24"/>
      <c r="AQQ2" s="24"/>
      <c r="AQR2" s="24"/>
      <c r="AQS2" s="24"/>
      <c r="AQT2" s="24"/>
      <c r="AQU2" s="24"/>
      <c r="AQV2" s="24"/>
      <c r="AQW2" s="24"/>
      <c r="AQX2" s="24"/>
      <c r="AQY2" s="24"/>
      <c r="AQZ2" s="24"/>
      <c r="ARA2" s="24"/>
      <c r="ARB2" s="24"/>
      <c r="ARC2" s="24"/>
      <c r="ARD2" s="24"/>
      <c r="ARE2" s="24"/>
      <c r="ARF2" s="24"/>
      <c r="ARG2" s="24"/>
      <c r="ARH2" s="24"/>
      <c r="ARI2" s="24"/>
      <c r="ARJ2" s="24"/>
      <c r="ARK2" s="24"/>
      <c r="ARL2" s="24"/>
      <c r="ARM2" s="24"/>
      <c r="ARN2" s="24"/>
      <c r="ARO2" s="24"/>
      <c r="ARP2" s="24"/>
      <c r="ARQ2" s="24"/>
      <c r="ARR2" s="24"/>
      <c r="ARS2" s="24"/>
      <c r="ART2" s="24"/>
      <c r="ARU2" s="24"/>
      <c r="ARV2" s="24"/>
      <c r="ARW2" s="24"/>
      <c r="ARX2" s="24"/>
      <c r="ARY2" s="24"/>
      <c r="ARZ2" s="24"/>
      <c r="ASA2" s="24"/>
      <c r="ASB2" s="24"/>
      <c r="ASC2" s="24"/>
      <c r="ASD2" s="24"/>
      <c r="ASE2" s="24"/>
      <c r="ASF2" s="24"/>
      <c r="ASG2" s="24"/>
      <c r="ASH2" s="24"/>
      <c r="ASI2" s="24"/>
      <c r="ASJ2" s="24"/>
      <c r="ASK2" s="24"/>
      <c r="ASL2" s="24"/>
      <c r="ASM2" s="24"/>
      <c r="ASN2" s="24"/>
      <c r="ASO2" s="24"/>
      <c r="ASP2" s="24"/>
      <c r="ASQ2" s="24"/>
      <c r="ASR2" s="24"/>
      <c r="ASS2" s="24"/>
      <c r="AST2" s="24"/>
      <c r="ASU2" s="24"/>
      <c r="ASV2" s="24"/>
      <c r="ASW2" s="24"/>
      <c r="ASX2" s="24"/>
      <c r="ASY2" s="24"/>
      <c r="ASZ2" s="24"/>
      <c r="ATA2" s="24"/>
      <c r="ATB2" s="24"/>
      <c r="ATC2" s="24"/>
      <c r="ATD2" s="24"/>
      <c r="ATE2" s="24"/>
      <c r="ATF2" s="24"/>
      <c r="ATG2" s="24"/>
      <c r="ATH2" s="24"/>
      <c r="ATI2" s="24"/>
      <c r="ATJ2" s="24"/>
      <c r="ATK2" s="24"/>
      <c r="ATL2" s="24"/>
      <c r="ATM2" s="24"/>
      <c r="ATN2" s="24"/>
      <c r="ATO2" s="24"/>
      <c r="ATP2" s="24"/>
      <c r="ATQ2" s="24"/>
      <c r="ATR2" s="24"/>
      <c r="ATS2" s="24"/>
      <c r="ATT2" s="24"/>
      <c r="ATU2" s="24"/>
      <c r="ATV2" s="24"/>
      <c r="ATW2" s="24"/>
      <c r="ATX2" s="24"/>
      <c r="ATY2" s="24"/>
      <c r="ATZ2" s="24"/>
      <c r="AUA2" s="24"/>
      <c r="AUB2" s="24"/>
      <c r="AUC2" s="24"/>
      <c r="AUD2" s="24"/>
      <c r="AUE2" s="24"/>
      <c r="AUF2" s="24"/>
      <c r="AUG2" s="24"/>
      <c r="AUH2" s="24"/>
      <c r="AUI2" s="24"/>
      <c r="AUJ2" s="24"/>
      <c r="AUK2" s="24"/>
      <c r="AUL2" s="24"/>
      <c r="AUM2" s="24"/>
      <c r="AUN2" s="24"/>
      <c r="AUO2" s="24"/>
      <c r="AUP2" s="24"/>
      <c r="AUQ2" s="24"/>
      <c r="AUR2" s="24"/>
      <c r="AUS2" s="24"/>
      <c r="AUT2" s="24"/>
      <c r="AUU2" s="24"/>
      <c r="AUV2" s="24"/>
      <c r="AUW2" s="24"/>
      <c r="AUX2" s="24"/>
      <c r="AUY2" s="24"/>
      <c r="AUZ2" s="24"/>
      <c r="AVA2" s="24"/>
      <c r="AVB2" s="24"/>
      <c r="AVC2" s="24"/>
      <c r="AVD2" s="24"/>
      <c r="AVE2" s="24"/>
      <c r="AVF2" s="24"/>
      <c r="AVG2" s="24"/>
      <c r="AVH2" s="24"/>
      <c r="AVI2" s="24"/>
      <c r="AVJ2" s="24"/>
      <c r="AVK2" s="24"/>
      <c r="AVL2" s="24"/>
      <c r="AVM2" s="24"/>
      <c r="AVN2" s="24"/>
      <c r="AVO2" s="24"/>
      <c r="AVP2" s="24"/>
      <c r="AVQ2" s="24"/>
      <c r="AVR2" s="24"/>
      <c r="AVS2" s="24"/>
      <c r="AVT2" s="24"/>
      <c r="AVU2" s="24"/>
      <c r="AVV2" s="24"/>
      <c r="AVW2" s="24"/>
      <c r="AVX2" s="24"/>
      <c r="AVY2" s="24"/>
      <c r="AVZ2" s="24"/>
      <c r="AWA2" s="24"/>
      <c r="AWB2" s="24"/>
      <c r="AWC2" s="24"/>
      <c r="AWD2" s="24"/>
      <c r="AWE2" s="24"/>
      <c r="AWF2" s="24"/>
      <c r="AWG2" s="24"/>
      <c r="AWH2" s="24"/>
      <c r="AWI2" s="24"/>
      <c r="AWJ2" s="24"/>
      <c r="AWK2" s="24"/>
      <c r="AWL2" s="24"/>
      <c r="AWM2" s="24"/>
      <c r="AWN2" s="24"/>
      <c r="AWO2" s="24"/>
      <c r="AWP2" s="24"/>
      <c r="AWQ2" s="24"/>
      <c r="AWR2" s="24"/>
      <c r="AWS2" s="24"/>
      <c r="AWT2" s="24"/>
      <c r="AWU2" s="24"/>
      <c r="AWV2" s="24"/>
      <c r="AWW2" s="24"/>
      <c r="AWX2" s="24"/>
      <c r="AWY2" s="24"/>
      <c r="AWZ2" s="24"/>
      <c r="AXA2" s="24"/>
      <c r="AXB2" s="24"/>
      <c r="AXC2" s="24"/>
      <c r="AXD2" s="24"/>
      <c r="AXE2" s="24"/>
      <c r="AXF2" s="24"/>
      <c r="AXG2" s="24"/>
      <c r="AXH2" s="24"/>
      <c r="AXI2" s="24"/>
      <c r="AXJ2" s="24"/>
      <c r="AXK2" s="24"/>
      <c r="AXL2" s="24"/>
      <c r="AXM2" s="24"/>
      <c r="AXN2" s="24"/>
      <c r="AXO2" s="24"/>
      <c r="AXP2" s="24"/>
      <c r="AXQ2" s="24"/>
      <c r="AXR2" s="24"/>
      <c r="AXS2" s="24"/>
      <c r="AXT2" s="24"/>
      <c r="AXU2" s="24"/>
      <c r="AXV2" s="24"/>
      <c r="AXW2" s="24"/>
      <c r="AXX2" s="24"/>
      <c r="AXY2" s="24"/>
      <c r="AXZ2" s="24"/>
      <c r="AYA2" s="24"/>
      <c r="AYB2" s="24"/>
      <c r="AYC2" s="24"/>
      <c r="AYD2" s="24"/>
      <c r="AYE2" s="24"/>
      <c r="AYF2" s="24"/>
      <c r="AYG2" s="24"/>
      <c r="AYH2" s="24"/>
      <c r="AYI2" s="24"/>
      <c r="AYJ2" s="24"/>
      <c r="AYK2" s="24"/>
      <c r="AYL2" s="24"/>
      <c r="AYM2" s="24"/>
      <c r="AYN2" s="24"/>
      <c r="AYO2" s="24"/>
      <c r="AYP2" s="24"/>
      <c r="AYQ2" s="24"/>
      <c r="AYR2" s="24"/>
      <c r="AYS2" s="24"/>
      <c r="AYT2" s="24"/>
      <c r="AYU2" s="24"/>
      <c r="AYV2" s="24"/>
      <c r="AYW2" s="24"/>
      <c r="AYX2" s="24"/>
      <c r="AYY2" s="24"/>
      <c r="AYZ2" s="24"/>
      <c r="AZA2" s="24"/>
      <c r="AZB2" s="24"/>
      <c r="AZC2" s="24"/>
      <c r="AZD2" s="24"/>
      <c r="AZE2" s="24"/>
      <c r="AZF2" s="24"/>
      <c r="AZG2" s="24"/>
      <c r="AZH2" s="24"/>
      <c r="AZI2" s="24"/>
      <c r="AZJ2" s="24"/>
      <c r="AZK2" s="24"/>
      <c r="AZL2" s="24"/>
      <c r="AZM2" s="24"/>
      <c r="AZN2" s="24"/>
      <c r="AZO2" s="24"/>
      <c r="AZP2" s="24"/>
      <c r="AZQ2" s="24"/>
      <c r="AZR2" s="24"/>
      <c r="AZS2" s="24"/>
      <c r="AZT2" s="24"/>
      <c r="AZU2" s="24"/>
      <c r="AZV2" s="24"/>
      <c r="AZW2" s="24"/>
      <c r="AZX2" s="24"/>
      <c r="AZY2" s="24"/>
      <c r="AZZ2" s="24"/>
      <c r="BAA2" s="24"/>
      <c r="BAB2" s="24"/>
      <c r="BAC2" s="24"/>
      <c r="BAD2" s="24"/>
      <c r="BAE2" s="24"/>
      <c r="BAF2" s="24"/>
      <c r="BAG2" s="24"/>
      <c r="BAH2" s="24"/>
      <c r="BAI2" s="24"/>
      <c r="BAJ2" s="24"/>
      <c r="BAK2" s="24"/>
      <c r="BAL2" s="24"/>
      <c r="BAM2" s="24"/>
      <c r="BAN2" s="24"/>
      <c r="BAO2" s="24"/>
      <c r="BAP2" s="24"/>
      <c r="BAQ2" s="24"/>
      <c r="BAR2" s="24"/>
      <c r="BAS2" s="24"/>
      <c r="BAT2" s="24"/>
      <c r="BAU2" s="24"/>
      <c r="BAV2" s="24"/>
      <c r="BAW2" s="24"/>
      <c r="BAX2" s="24"/>
      <c r="BAY2" s="24"/>
      <c r="BAZ2" s="24"/>
      <c r="BBA2" s="24"/>
      <c r="BBB2" s="24"/>
      <c r="BBC2" s="24"/>
      <c r="BBD2" s="24"/>
      <c r="BBE2" s="24"/>
      <c r="BBF2" s="24"/>
      <c r="BBG2" s="24"/>
      <c r="BBH2" s="24"/>
      <c r="BBI2" s="24"/>
      <c r="BBJ2" s="24"/>
      <c r="BBK2" s="24"/>
      <c r="BBL2" s="24"/>
      <c r="BBM2" s="24"/>
      <c r="BBN2" s="24"/>
      <c r="BBO2" s="24"/>
      <c r="BBP2" s="24"/>
      <c r="BBQ2" s="24"/>
      <c r="BBR2" s="24"/>
      <c r="BBS2" s="24"/>
      <c r="BBT2" s="24"/>
      <c r="BBU2" s="24"/>
      <c r="BBV2" s="24"/>
      <c r="BBW2" s="24"/>
      <c r="BBX2" s="24"/>
      <c r="BBY2" s="24"/>
      <c r="BBZ2" s="24"/>
      <c r="BCA2" s="24"/>
      <c r="BCB2" s="24"/>
      <c r="BCC2" s="24"/>
      <c r="BCD2" s="24"/>
      <c r="BCE2" s="24"/>
      <c r="BCF2" s="24"/>
      <c r="BCG2" s="24"/>
      <c r="BCH2" s="24"/>
      <c r="BCI2" s="24"/>
      <c r="BCJ2" s="24"/>
      <c r="BCK2" s="24"/>
      <c r="BCL2" s="24"/>
      <c r="BCM2" s="24"/>
      <c r="BCN2" s="24"/>
      <c r="BCO2" s="24"/>
      <c r="BCP2" s="24"/>
      <c r="BCQ2" s="24"/>
      <c r="BCR2" s="24"/>
      <c r="BCS2" s="24"/>
      <c r="BCT2" s="24"/>
      <c r="BCU2" s="24"/>
      <c r="BCV2" s="24"/>
      <c r="BCW2" s="24"/>
      <c r="BCX2" s="24"/>
      <c r="BCY2" s="24"/>
      <c r="BCZ2" s="24"/>
      <c r="BDA2" s="24"/>
      <c r="BDB2" s="24"/>
      <c r="BDC2" s="24"/>
      <c r="BDD2" s="24"/>
      <c r="BDE2" s="24"/>
      <c r="BDF2" s="24"/>
      <c r="BDG2" s="24"/>
      <c r="BDH2" s="24"/>
      <c r="BDI2" s="24"/>
      <c r="BDJ2" s="24"/>
      <c r="BDK2" s="24"/>
      <c r="BDL2" s="24"/>
      <c r="BDM2" s="24"/>
      <c r="BDN2" s="24"/>
      <c r="BDO2" s="24"/>
      <c r="BDP2" s="24"/>
      <c r="BDQ2" s="24"/>
      <c r="BDR2" s="24"/>
      <c r="BDS2" s="24"/>
      <c r="BDT2" s="24"/>
      <c r="BDU2" s="24"/>
      <c r="BDV2" s="24"/>
      <c r="BDW2" s="24"/>
      <c r="BDX2" s="24"/>
      <c r="BDY2" s="24"/>
      <c r="BDZ2" s="24"/>
      <c r="BEA2" s="24"/>
      <c r="BEB2" s="24"/>
      <c r="BEC2" s="24"/>
      <c r="BED2" s="24"/>
      <c r="BEE2" s="24"/>
      <c r="BEF2" s="24"/>
      <c r="BEG2" s="24"/>
      <c r="BEH2" s="24"/>
      <c r="BEI2" s="24"/>
      <c r="BEJ2" s="24"/>
      <c r="BEK2" s="24"/>
      <c r="BEL2" s="24"/>
      <c r="BEM2" s="24"/>
      <c r="BEN2" s="24"/>
      <c r="BEO2" s="24"/>
      <c r="BEP2" s="24"/>
      <c r="BEQ2" s="24"/>
      <c r="BER2" s="24"/>
      <c r="BES2" s="24"/>
      <c r="BET2" s="24"/>
      <c r="BEU2" s="24"/>
      <c r="BEV2" s="24"/>
      <c r="BEW2" s="24"/>
      <c r="BEX2" s="24"/>
      <c r="BEY2" s="24"/>
      <c r="BEZ2" s="24"/>
      <c r="BFA2" s="24"/>
      <c r="BFB2" s="24"/>
      <c r="BFC2" s="24"/>
      <c r="BFD2" s="24"/>
      <c r="BFE2" s="24"/>
      <c r="BFF2" s="24"/>
      <c r="BFG2" s="24"/>
      <c r="BFH2" s="24"/>
      <c r="BFI2" s="24"/>
      <c r="BFJ2" s="24"/>
      <c r="BFK2" s="24"/>
      <c r="BFL2" s="24"/>
      <c r="BFM2" s="24"/>
      <c r="BFN2" s="24"/>
      <c r="BFO2" s="24"/>
      <c r="BFP2" s="24"/>
      <c r="BFQ2" s="24"/>
      <c r="BFR2" s="24"/>
      <c r="BFS2" s="24"/>
      <c r="BFT2" s="24"/>
      <c r="BFU2" s="24"/>
      <c r="BFV2" s="24"/>
      <c r="BFW2" s="24"/>
      <c r="BFX2" s="24"/>
      <c r="BFY2" s="24"/>
    </row>
    <row r="3" spans="1:1533" ht="15" x14ac:dyDescent="0.25">
      <c r="A3" s="14">
        <v>45923</v>
      </c>
      <c r="B3" s="15">
        <v>1</v>
      </c>
      <c r="C3" s="15" t="s">
        <v>500</v>
      </c>
      <c r="D3" s="17">
        <f>_xlfn.NUMBERVALUE(+LEFT(C3,12))</f>
        <v>202504290139</v>
      </c>
      <c r="E3" s="15" t="s">
        <v>47</v>
      </c>
      <c r="F3" s="15" t="s">
        <v>49</v>
      </c>
      <c r="G3" s="15" t="s">
        <v>512</v>
      </c>
      <c r="H3" s="15">
        <v>17591726</v>
      </c>
      <c r="I3" s="25">
        <v>8</v>
      </c>
      <c r="J3" s="26">
        <v>45776</v>
      </c>
      <c r="K3" s="28">
        <v>1850</v>
      </c>
      <c r="L3" s="28">
        <v>550</v>
      </c>
      <c r="M3" s="28">
        <v>192</v>
      </c>
      <c r="N3" s="28">
        <v>2592</v>
      </c>
      <c r="O3" s="17">
        <v>0</v>
      </c>
      <c r="P3" s="17">
        <v>420</v>
      </c>
      <c r="Q3" s="17">
        <v>2</v>
      </c>
      <c r="R3" s="13">
        <v>6.3E-2</v>
      </c>
      <c r="S3" s="14">
        <v>45879</v>
      </c>
      <c r="T3" s="14">
        <v>58632</v>
      </c>
      <c r="U3" s="31">
        <v>45940</v>
      </c>
      <c r="V3" s="19">
        <v>1931.9360142587373</v>
      </c>
      <c r="W3" s="19">
        <v>1938.715838237091</v>
      </c>
      <c r="X3" s="32">
        <v>1937.715838237091</v>
      </c>
      <c r="Y3" s="28">
        <v>1847.4710500000001</v>
      </c>
      <c r="Z3" s="28">
        <v>3038</v>
      </c>
      <c r="AA3" s="33">
        <v>0.85319289005924948</v>
      </c>
      <c r="AB3" s="34">
        <v>5.8999999999999997E-2</v>
      </c>
      <c r="AC3" s="34">
        <f t="shared" ref="AC3:AC66" si="0">+IF(AB3="","",R3-AB3)</f>
        <v>4.0000000000000036E-3</v>
      </c>
      <c r="AD3" s="15">
        <v>10.7041</v>
      </c>
      <c r="AE3" s="15">
        <v>0.34100000000000003</v>
      </c>
      <c r="AF3" s="15">
        <v>0.434</v>
      </c>
      <c r="AG3" s="15" t="s">
        <v>530</v>
      </c>
      <c r="AH3" s="15" t="s">
        <v>160</v>
      </c>
      <c r="AQ3" s="34"/>
      <c r="AR3" s="34"/>
      <c r="AS3" s="58"/>
      <c r="AV3" s="60"/>
      <c r="AW3" s="63"/>
      <c r="AX3"/>
    </row>
    <row r="4" spans="1:1533" ht="15" x14ac:dyDescent="0.25">
      <c r="A4" s="14">
        <v>45923</v>
      </c>
      <c r="B4" s="15">
        <v>2</v>
      </c>
      <c r="C4" s="15" t="s">
        <v>501</v>
      </c>
      <c r="D4" s="17">
        <f t="shared" ref="D4:D40" si="1">_xlfn.NUMBERVALUE(+LEFT(C4,12))</f>
        <v>202504290140</v>
      </c>
      <c r="E4" s="15" t="s">
        <v>59</v>
      </c>
      <c r="F4" s="15" t="s">
        <v>76</v>
      </c>
      <c r="G4" s="15" t="s">
        <v>513</v>
      </c>
      <c r="H4" s="15">
        <v>17978022</v>
      </c>
      <c r="I4" s="25">
        <v>4</v>
      </c>
      <c r="J4" s="26">
        <v>45776</v>
      </c>
      <c r="K4" s="28">
        <v>1628</v>
      </c>
      <c r="L4" s="28">
        <v>550</v>
      </c>
      <c r="M4" s="28">
        <v>100</v>
      </c>
      <c r="N4" s="28">
        <v>2278</v>
      </c>
      <c r="O4" s="17">
        <v>0</v>
      </c>
      <c r="P4" s="17">
        <v>480</v>
      </c>
      <c r="Q4" s="17">
        <v>1</v>
      </c>
      <c r="R4" s="13">
        <v>6.5000000000000002E-2</v>
      </c>
      <c r="S4" s="14">
        <v>45910</v>
      </c>
      <c r="T4" s="14">
        <v>60489</v>
      </c>
      <c r="U4" s="31">
        <v>45940</v>
      </c>
      <c r="V4" s="19">
        <v>1706.2020877809498</v>
      </c>
      <c r="W4" s="19">
        <v>1712.3871679729355</v>
      </c>
      <c r="X4" s="32">
        <v>1711.3871679729355</v>
      </c>
      <c r="Y4" s="28">
        <v>1627.2494919999999</v>
      </c>
      <c r="Z4" s="28">
        <v>2634</v>
      </c>
      <c r="AA4" s="33">
        <v>0.86484434320425208</v>
      </c>
      <c r="AB4" s="34">
        <v>6.0999999999999999E-2</v>
      </c>
      <c r="AC4" s="34">
        <f t="shared" si="0"/>
        <v>4.0000000000000036E-3</v>
      </c>
      <c r="AD4" s="15">
        <v>9.3170439999999992</v>
      </c>
      <c r="AE4" s="15">
        <v>0.33399999999999996</v>
      </c>
      <c r="AF4" s="15">
        <v>0.34200000000000003</v>
      </c>
      <c r="AG4" s="15" t="s">
        <v>531</v>
      </c>
      <c r="AH4" s="15" t="s">
        <v>232</v>
      </c>
      <c r="AP4" s="14" t="s">
        <v>116</v>
      </c>
      <c r="AQ4" s="34" t="s">
        <v>113</v>
      </c>
      <c r="AR4" s="34" t="s">
        <v>114</v>
      </c>
      <c r="AS4" s="58" t="s">
        <v>115</v>
      </c>
      <c r="AV4" s="60"/>
      <c r="AW4" s="63"/>
      <c r="AX4"/>
    </row>
    <row r="5" spans="1:1533" ht="15" x14ac:dyDescent="0.25">
      <c r="A5" s="14">
        <v>45923</v>
      </c>
      <c r="B5" s="15">
        <v>3</v>
      </c>
      <c r="C5" s="15" t="s">
        <v>502</v>
      </c>
      <c r="D5" s="17">
        <f t="shared" si="1"/>
        <v>202504280147</v>
      </c>
      <c r="E5" s="15" t="s">
        <v>514</v>
      </c>
      <c r="F5" s="15" t="s">
        <v>515</v>
      </c>
      <c r="G5" s="15" t="s">
        <v>66</v>
      </c>
      <c r="H5" s="15">
        <v>18037113</v>
      </c>
      <c r="I5" s="25">
        <v>3</v>
      </c>
      <c r="J5" s="26">
        <v>45775</v>
      </c>
      <c r="K5" s="28">
        <v>1620</v>
      </c>
      <c r="L5" s="28">
        <v>650</v>
      </c>
      <c r="M5" s="28">
        <v>130</v>
      </c>
      <c r="N5" s="28">
        <v>2400</v>
      </c>
      <c r="O5" s="17">
        <v>0</v>
      </c>
      <c r="P5" s="17">
        <v>360</v>
      </c>
      <c r="Q5" s="17">
        <v>1</v>
      </c>
      <c r="R5" s="13">
        <v>6.5500000000000003E-2</v>
      </c>
      <c r="S5" s="14">
        <v>45910</v>
      </c>
      <c r="T5" s="14">
        <v>56836</v>
      </c>
      <c r="U5" s="31">
        <v>45940</v>
      </c>
      <c r="V5" s="19">
        <v>1684.6273345396896</v>
      </c>
      <c r="W5" s="19">
        <v>1690.7828854102434</v>
      </c>
      <c r="X5" s="32">
        <v>1689.7828854102434</v>
      </c>
      <c r="Y5" s="28">
        <v>1618.4950200000001</v>
      </c>
      <c r="Z5" s="28">
        <v>2565</v>
      </c>
      <c r="AA5" s="33">
        <v>0.93567251461988299</v>
      </c>
      <c r="AB5" s="34">
        <v>6.1500000000000006E-2</v>
      </c>
      <c r="AC5" s="34">
        <f t="shared" si="0"/>
        <v>3.9999999999999966E-3</v>
      </c>
      <c r="AD5" s="15">
        <v>10.092599999999999</v>
      </c>
      <c r="AE5" s="15">
        <v>0.17</v>
      </c>
      <c r="AF5" s="15">
        <v>0.23</v>
      </c>
      <c r="AG5" s="15" t="s">
        <v>532</v>
      </c>
      <c r="AH5" s="15" t="s">
        <v>533</v>
      </c>
      <c r="AP5" s="14">
        <v>45923</v>
      </c>
      <c r="AQ5" s="34">
        <f t="shared" ref="AQ5:AQ36" si="2">+AVERAGEIF($A$3:$A$1464,AP5,$R$3:$R$1464)</f>
        <v>6.3758333333333347E-2</v>
      </c>
      <c r="AR5" s="34">
        <f t="shared" ref="AR5:AR36" si="3">+AVERAGEIF($A$3:$A$1464,AP5,$AB$3:$AB$1464)</f>
        <v>5.9758333333333337E-2</v>
      </c>
      <c r="AS5" s="58">
        <f>+AQ5-AR5</f>
        <v>4.0000000000000105E-3</v>
      </c>
      <c r="AV5" s="60"/>
      <c r="AW5" s="63"/>
      <c r="AX5"/>
    </row>
    <row r="6" spans="1:1533" ht="15" x14ac:dyDescent="0.25">
      <c r="A6" s="14">
        <v>45923</v>
      </c>
      <c r="B6" s="15">
        <v>4</v>
      </c>
      <c r="C6" s="15" t="s">
        <v>503</v>
      </c>
      <c r="D6" s="17">
        <f t="shared" si="1"/>
        <v>202504170121</v>
      </c>
      <c r="E6" s="15" t="s">
        <v>75</v>
      </c>
      <c r="F6" s="15" t="s">
        <v>42</v>
      </c>
      <c r="G6" s="15" t="s">
        <v>516</v>
      </c>
      <c r="H6" s="15">
        <v>16443759</v>
      </c>
      <c r="I6" s="25">
        <v>0</v>
      </c>
      <c r="J6" s="26">
        <v>45764</v>
      </c>
      <c r="K6" s="28">
        <v>2150</v>
      </c>
      <c r="L6" s="28">
        <v>550</v>
      </c>
      <c r="M6" s="28">
        <v>100</v>
      </c>
      <c r="N6" s="28">
        <v>2800</v>
      </c>
      <c r="O6" s="17">
        <v>0</v>
      </c>
      <c r="P6" s="17">
        <v>480</v>
      </c>
      <c r="Q6" s="17">
        <v>2</v>
      </c>
      <c r="R6" s="13">
        <v>6.0599999999999994E-2</v>
      </c>
      <c r="S6" s="14">
        <v>45879</v>
      </c>
      <c r="T6" s="14">
        <v>60458</v>
      </c>
      <c r="U6" s="31">
        <v>45940</v>
      </c>
      <c r="V6" s="19">
        <v>2255.9670079785401</v>
      </c>
      <c r="W6" s="19">
        <v>2263.5700958378825</v>
      </c>
      <c r="X6" s="32">
        <v>2262.5700958378825</v>
      </c>
      <c r="Y6" s="28">
        <v>2147.77475</v>
      </c>
      <c r="Z6" s="28">
        <v>3003</v>
      </c>
      <c r="AA6" s="33">
        <v>0.93240093240093236</v>
      </c>
      <c r="AB6" s="34">
        <v>5.6600000000000004E-2</v>
      </c>
      <c r="AC6" s="34">
        <f t="shared" si="0"/>
        <v>3.9999999999999897E-3</v>
      </c>
      <c r="AD6" s="15">
        <v>11.67665</v>
      </c>
      <c r="AE6" s="15">
        <v>0.31</v>
      </c>
      <c r="AF6" s="15">
        <v>0.41399999999999998</v>
      </c>
      <c r="AG6" s="15" t="s">
        <v>534</v>
      </c>
      <c r="AH6" s="15" t="s">
        <v>149</v>
      </c>
      <c r="AP6" s="14">
        <v>45943</v>
      </c>
      <c r="AQ6" s="34">
        <f t="shared" si="2"/>
        <v>6.0600000000000001E-2</v>
      </c>
      <c r="AR6" s="34">
        <f t="shared" si="3"/>
        <v>5.6599999999999998E-2</v>
      </c>
      <c r="AS6" s="58">
        <f t="shared" ref="AS6:AS42" si="4">+AQ6-AR6</f>
        <v>4.0000000000000036E-3</v>
      </c>
      <c r="AV6" s="60" t="s">
        <v>117</v>
      </c>
      <c r="AW6" s="63" t="s">
        <v>127</v>
      </c>
      <c r="AX6"/>
    </row>
    <row r="7" spans="1:1533" ht="15" x14ac:dyDescent="0.25">
      <c r="A7" s="14">
        <v>45923</v>
      </c>
      <c r="B7" s="15">
        <v>5</v>
      </c>
      <c r="C7" s="15" t="s">
        <v>504</v>
      </c>
      <c r="D7" s="17">
        <f t="shared" si="1"/>
        <v>202504300164</v>
      </c>
      <c r="E7" s="15" t="s">
        <v>517</v>
      </c>
      <c r="F7" s="15" t="s">
        <v>26</v>
      </c>
      <c r="G7" s="15" t="s">
        <v>518</v>
      </c>
      <c r="H7" s="15">
        <v>20305803</v>
      </c>
      <c r="I7" s="25">
        <v>9</v>
      </c>
      <c r="J7" s="26">
        <v>45777</v>
      </c>
      <c r="K7" s="28">
        <v>1638</v>
      </c>
      <c r="L7" s="28">
        <v>550</v>
      </c>
      <c r="M7" s="28">
        <v>100</v>
      </c>
      <c r="N7" s="28">
        <v>2288</v>
      </c>
      <c r="O7" s="17">
        <v>0</v>
      </c>
      <c r="P7" s="17">
        <v>480</v>
      </c>
      <c r="Q7" s="17">
        <v>1</v>
      </c>
      <c r="R7" s="13">
        <v>6.6000000000000003E-2</v>
      </c>
      <c r="S7" s="14">
        <v>45910</v>
      </c>
      <c r="T7" s="14">
        <v>60489</v>
      </c>
      <c r="U7" s="31">
        <v>45940</v>
      </c>
      <c r="V7" s="19">
        <v>1716.0561128369054</v>
      </c>
      <c r="W7" s="19">
        <v>1722.3760696793031</v>
      </c>
      <c r="X7" s="32">
        <v>1721.3760696793031</v>
      </c>
      <c r="Y7" s="28">
        <v>1637.2645379999999</v>
      </c>
      <c r="Z7" s="28">
        <v>2561</v>
      </c>
      <c r="AA7" s="33">
        <v>0.89340101522842641</v>
      </c>
      <c r="AB7" s="34">
        <v>6.2E-2</v>
      </c>
      <c r="AC7" s="34">
        <f t="shared" si="0"/>
        <v>4.0000000000000036E-3</v>
      </c>
      <c r="AD7" s="15">
        <v>9.4823819999999994</v>
      </c>
      <c r="AE7" s="15">
        <v>0.24199999999999999</v>
      </c>
      <c r="AF7" s="15">
        <v>0.28000000000000003</v>
      </c>
      <c r="AG7" s="15" t="s">
        <v>535</v>
      </c>
      <c r="AH7" s="15" t="s">
        <v>232</v>
      </c>
      <c r="AP7" s="14">
        <v>45818</v>
      </c>
      <c r="AQ7" s="34">
        <f t="shared" si="2"/>
        <v>6.2529411764705889E-2</v>
      </c>
      <c r="AR7" s="34">
        <f t="shared" si="3"/>
        <v>5.7529411764705905E-2</v>
      </c>
      <c r="AS7" s="58">
        <f t="shared" si="4"/>
        <v>4.9999999999999836E-3</v>
      </c>
      <c r="AV7" s="60" t="s">
        <v>119</v>
      </c>
      <c r="AW7" s="63">
        <v>3.0000000000000096E-3</v>
      </c>
      <c r="AX7"/>
    </row>
    <row r="8" spans="1:1533" ht="15" x14ac:dyDescent="0.25">
      <c r="A8" s="14">
        <v>45923</v>
      </c>
      <c r="B8" s="15">
        <v>6</v>
      </c>
      <c r="C8" s="15" t="s">
        <v>505</v>
      </c>
      <c r="D8" s="17">
        <f t="shared" si="1"/>
        <v>202504280146</v>
      </c>
      <c r="E8" s="15" t="s">
        <v>519</v>
      </c>
      <c r="F8" s="15" t="s">
        <v>141</v>
      </c>
      <c r="G8" s="15" t="s">
        <v>520</v>
      </c>
      <c r="H8" s="15">
        <v>26547172</v>
      </c>
      <c r="I8" s="25">
        <v>2</v>
      </c>
      <c r="J8" s="26">
        <v>45775</v>
      </c>
      <c r="K8" s="28">
        <v>1478</v>
      </c>
      <c r="L8" s="28">
        <v>650</v>
      </c>
      <c r="M8" s="28">
        <v>150</v>
      </c>
      <c r="N8" s="28">
        <v>2278</v>
      </c>
      <c r="O8" s="17">
        <v>0</v>
      </c>
      <c r="P8" s="17">
        <v>456</v>
      </c>
      <c r="Q8" s="17">
        <v>1</v>
      </c>
      <c r="R8" s="13">
        <v>6.5000000000000002E-2</v>
      </c>
      <c r="S8" s="14">
        <v>45910</v>
      </c>
      <c r="T8" s="14">
        <v>59758</v>
      </c>
      <c r="U8" s="31">
        <v>45940</v>
      </c>
      <c r="V8" s="19">
        <v>1546.9640373628604</v>
      </c>
      <c r="W8" s="19">
        <v>1552.5718705109555</v>
      </c>
      <c r="X8" s="32">
        <v>1551.5718705109555</v>
      </c>
      <c r="Y8" s="28">
        <v>1477.218138</v>
      </c>
      <c r="Z8" s="28">
        <v>2634</v>
      </c>
      <c r="AA8" s="33">
        <v>0.86484434320425208</v>
      </c>
      <c r="AB8" s="34">
        <v>6.0999999999999999E-2</v>
      </c>
      <c r="AC8" s="34">
        <f t="shared" si="0"/>
        <v>4.0000000000000036E-3</v>
      </c>
      <c r="AD8" s="15">
        <v>8.5590980000000005</v>
      </c>
      <c r="AE8" s="15">
        <v>0.39899999999999997</v>
      </c>
      <c r="AF8" s="15">
        <v>0.60599999999999998</v>
      </c>
      <c r="AG8" s="15" t="s">
        <v>536</v>
      </c>
      <c r="AH8" s="15" t="s">
        <v>232</v>
      </c>
      <c r="AP8" s="14">
        <v>45842</v>
      </c>
      <c r="AQ8" s="34">
        <f t="shared" si="2"/>
        <v>6.1666666666666661E-2</v>
      </c>
      <c r="AR8" s="34">
        <f t="shared" si="3"/>
        <v>5.6666666666666671E-2</v>
      </c>
      <c r="AS8" s="58">
        <f t="shared" si="4"/>
        <v>4.9999999999999906E-3</v>
      </c>
      <c r="AV8" s="60" t="s">
        <v>120</v>
      </c>
      <c r="AW8" s="63">
        <v>3.0000000000000096E-3</v>
      </c>
      <c r="AX8"/>
    </row>
    <row r="9" spans="1:1533" ht="15" x14ac:dyDescent="0.25">
      <c r="A9" s="14">
        <v>45923</v>
      </c>
      <c r="B9" s="15">
        <v>7</v>
      </c>
      <c r="C9" s="15" t="s">
        <v>506</v>
      </c>
      <c r="D9" s="17">
        <f t="shared" si="1"/>
        <v>202504300166</v>
      </c>
      <c r="E9" s="15" t="s">
        <v>25</v>
      </c>
      <c r="F9" s="15" t="s">
        <v>65</v>
      </c>
      <c r="G9" s="15" t="s">
        <v>521</v>
      </c>
      <c r="H9" s="15">
        <v>17827983</v>
      </c>
      <c r="I9" s="25">
        <v>1</v>
      </c>
      <c r="J9" s="26">
        <v>45777</v>
      </c>
      <c r="K9" s="28">
        <v>1770</v>
      </c>
      <c r="L9" s="28">
        <v>550</v>
      </c>
      <c r="M9" s="28">
        <v>80</v>
      </c>
      <c r="N9" s="28">
        <v>2400</v>
      </c>
      <c r="O9" s="17">
        <v>0</v>
      </c>
      <c r="P9" s="17">
        <v>480</v>
      </c>
      <c r="Q9" s="17">
        <v>1</v>
      </c>
      <c r="R9" s="13">
        <v>6.3E-2</v>
      </c>
      <c r="S9" s="14">
        <v>45910</v>
      </c>
      <c r="T9" s="14">
        <v>60489</v>
      </c>
      <c r="U9" s="31">
        <v>45940</v>
      </c>
      <c r="V9" s="19">
        <v>1856.4873751779298</v>
      </c>
      <c r="W9" s="19">
        <v>1863.0024240868202</v>
      </c>
      <c r="X9" s="32">
        <v>1862.0024240868202</v>
      </c>
      <c r="Y9" s="28">
        <v>1769.13978</v>
      </c>
      <c r="Z9" s="28">
        <v>2684</v>
      </c>
      <c r="AA9" s="33">
        <v>0.89418777943368111</v>
      </c>
      <c r="AB9" s="34">
        <v>5.9000000000000004E-2</v>
      </c>
      <c r="AC9" s="34">
        <f t="shared" si="0"/>
        <v>3.9999999999999966E-3</v>
      </c>
      <c r="AD9" s="15">
        <v>9.8942999999999994</v>
      </c>
      <c r="AE9" s="15">
        <v>0.33100000000000002</v>
      </c>
      <c r="AF9" s="15">
        <v>0.48</v>
      </c>
      <c r="AG9" s="15" t="s">
        <v>537</v>
      </c>
      <c r="AH9" s="15" t="s">
        <v>149</v>
      </c>
      <c r="AP9"/>
      <c r="AQ9" s="34" t="e">
        <f t="shared" si="2"/>
        <v>#DIV/0!</v>
      </c>
      <c r="AR9" s="34" t="e">
        <f t="shared" si="3"/>
        <v>#DIV/0!</v>
      </c>
      <c r="AS9" s="58" t="e">
        <f t="shared" si="4"/>
        <v>#DIV/0!</v>
      </c>
      <c r="AV9" s="60" t="s">
        <v>121</v>
      </c>
      <c r="AW9" s="63">
        <v>2.6860342328105563E-3</v>
      </c>
      <c r="AX9"/>
    </row>
    <row r="10" spans="1:1533" ht="15" x14ac:dyDescent="0.25">
      <c r="A10" s="14">
        <v>45923</v>
      </c>
      <c r="B10" s="15">
        <v>8</v>
      </c>
      <c r="C10" s="15" t="s">
        <v>507</v>
      </c>
      <c r="D10" s="17">
        <f t="shared" si="1"/>
        <v>202504290149</v>
      </c>
      <c r="E10" s="15" t="s">
        <v>522</v>
      </c>
      <c r="F10" s="15" t="s">
        <v>48</v>
      </c>
      <c r="G10" s="15" t="s">
        <v>523</v>
      </c>
      <c r="H10" s="15">
        <v>17015673</v>
      </c>
      <c r="I10" s="25">
        <v>0</v>
      </c>
      <c r="J10" s="26">
        <v>45776</v>
      </c>
      <c r="K10" s="28">
        <v>1850</v>
      </c>
      <c r="L10" s="28">
        <v>550</v>
      </c>
      <c r="M10" s="28">
        <v>80</v>
      </c>
      <c r="N10" s="28">
        <v>2480</v>
      </c>
      <c r="O10" s="17">
        <v>0</v>
      </c>
      <c r="P10" s="17">
        <v>480</v>
      </c>
      <c r="Q10" s="17">
        <v>1</v>
      </c>
      <c r="R10" s="13">
        <v>6.5000000000000002E-2</v>
      </c>
      <c r="S10" s="14">
        <v>45910</v>
      </c>
      <c r="T10" s="14">
        <v>60489</v>
      </c>
      <c r="U10" s="31">
        <v>45940</v>
      </c>
      <c r="V10" s="19">
        <v>1938.8660088419886</v>
      </c>
      <c r="W10" s="19">
        <v>1945.894509060154</v>
      </c>
      <c r="X10" s="32">
        <v>1944.894509060154</v>
      </c>
      <c r="Y10" s="28">
        <v>1849.14715</v>
      </c>
      <c r="Z10" s="28">
        <v>2529</v>
      </c>
      <c r="AA10" s="33">
        <v>0.98062475286674577</v>
      </c>
      <c r="AB10" s="34">
        <v>6.0999999999999999E-2</v>
      </c>
      <c r="AC10" s="34">
        <f t="shared" si="0"/>
        <v>4.0000000000000036E-3</v>
      </c>
      <c r="AD10" s="15">
        <v>10.58755</v>
      </c>
      <c r="AE10" s="15">
        <v>0.29899999999999999</v>
      </c>
      <c r="AF10" s="15">
        <v>0.40399999999999997</v>
      </c>
      <c r="AG10" s="15" t="s">
        <v>538</v>
      </c>
      <c r="AH10" s="15" t="s">
        <v>149</v>
      </c>
      <c r="AP10"/>
      <c r="AQ10" s="34" t="e">
        <f t="shared" si="2"/>
        <v>#DIV/0!</v>
      </c>
      <c r="AR10" s="34" t="e">
        <f t="shared" si="3"/>
        <v>#DIV/0!</v>
      </c>
      <c r="AS10" s="58" t="e">
        <f t="shared" si="4"/>
        <v>#DIV/0!</v>
      </c>
      <c r="AV10" s="60" t="s">
        <v>122</v>
      </c>
      <c r="AW10" s="63">
        <v>2.6483796023952766E-3</v>
      </c>
      <c r="AX10"/>
    </row>
    <row r="11" spans="1:1533" ht="15" x14ac:dyDescent="0.25">
      <c r="A11" s="14">
        <v>45923</v>
      </c>
      <c r="B11" s="15">
        <v>9</v>
      </c>
      <c r="C11" s="15" t="s">
        <v>508</v>
      </c>
      <c r="D11" s="17">
        <f t="shared" si="1"/>
        <v>202504300167</v>
      </c>
      <c r="E11" s="15" t="s">
        <v>524</v>
      </c>
      <c r="F11" s="15" t="s">
        <v>525</v>
      </c>
      <c r="G11" s="15" t="s">
        <v>526</v>
      </c>
      <c r="H11" s="15">
        <v>17744371</v>
      </c>
      <c r="I11" s="25">
        <v>9</v>
      </c>
      <c r="J11" s="26">
        <v>45777</v>
      </c>
      <c r="K11" s="28">
        <v>1962</v>
      </c>
      <c r="L11" s="28">
        <v>550</v>
      </c>
      <c r="M11" s="28">
        <v>80</v>
      </c>
      <c r="N11" s="28">
        <v>2592</v>
      </c>
      <c r="O11" s="17">
        <v>0</v>
      </c>
      <c r="P11" s="17">
        <v>480</v>
      </c>
      <c r="Q11" s="17">
        <v>3</v>
      </c>
      <c r="R11" s="13">
        <v>6.5000000000000002E-2</v>
      </c>
      <c r="S11" s="14">
        <v>45848</v>
      </c>
      <c r="T11" s="14">
        <v>60428</v>
      </c>
      <c r="U11" s="31">
        <v>45940</v>
      </c>
      <c r="V11" s="19">
        <v>2054.1262284949908</v>
      </c>
      <c r="W11" s="19">
        <v>2061.5725536042432</v>
      </c>
      <c r="X11" s="32">
        <v>2060.5725536042432</v>
      </c>
      <c r="Y11" s="28">
        <v>1959.2708580000001</v>
      </c>
      <c r="Z11" s="28">
        <v>2838</v>
      </c>
      <c r="AA11" s="33">
        <v>0.91331923890063427</v>
      </c>
      <c r="AB11" s="34">
        <v>6.0999999999999999E-2</v>
      </c>
      <c r="AC11" s="34">
        <f t="shared" si="0"/>
        <v>4.0000000000000036E-3</v>
      </c>
      <c r="AD11" s="15">
        <v>11.228526</v>
      </c>
      <c r="AE11" s="15">
        <v>0.33899999999999997</v>
      </c>
      <c r="AF11" s="15">
        <v>0.51400000000000001</v>
      </c>
      <c r="AG11" s="15" t="s">
        <v>539</v>
      </c>
      <c r="AH11" s="15" t="s">
        <v>160</v>
      </c>
      <c r="AP11"/>
      <c r="AQ11" s="34" t="e">
        <f t="shared" si="2"/>
        <v>#DIV/0!</v>
      </c>
      <c r="AR11" s="34" t="e">
        <f t="shared" si="3"/>
        <v>#DIV/0!</v>
      </c>
      <c r="AS11" s="58" t="e">
        <f t="shared" si="4"/>
        <v>#DIV/0!</v>
      </c>
      <c r="AV11" s="60" t="s">
        <v>123</v>
      </c>
      <c r="AW11" s="63">
        <v>2.6577367479541348E-3</v>
      </c>
      <c r="AX11"/>
    </row>
    <row r="12" spans="1:1533" ht="15" x14ac:dyDescent="0.25">
      <c r="A12" s="14">
        <v>45923</v>
      </c>
      <c r="B12" s="15">
        <v>10</v>
      </c>
      <c r="C12" s="15" t="s">
        <v>509</v>
      </c>
      <c r="D12" s="17">
        <f t="shared" si="1"/>
        <v>202504240132</v>
      </c>
      <c r="E12" s="15" t="s">
        <v>53</v>
      </c>
      <c r="F12" s="15" t="s">
        <v>68</v>
      </c>
      <c r="G12" s="15" t="s">
        <v>527</v>
      </c>
      <c r="H12" s="15">
        <v>12914601</v>
      </c>
      <c r="I12" s="25" t="s">
        <v>23</v>
      </c>
      <c r="J12" s="26">
        <v>45771</v>
      </c>
      <c r="K12" s="28">
        <v>1920</v>
      </c>
      <c r="L12" s="28">
        <v>650</v>
      </c>
      <c r="M12" s="28">
        <v>130</v>
      </c>
      <c r="N12" s="28">
        <v>2700</v>
      </c>
      <c r="O12" s="17">
        <v>0</v>
      </c>
      <c r="P12" s="17">
        <v>360</v>
      </c>
      <c r="Q12" s="17">
        <v>1</v>
      </c>
      <c r="R12" s="13">
        <v>6.2E-2</v>
      </c>
      <c r="S12" s="14">
        <v>45910</v>
      </c>
      <c r="T12" s="14">
        <v>56836</v>
      </c>
      <c r="U12" s="31">
        <v>45940</v>
      </c>
      <c r="V12" s="19">
        <v>1998.3479761128256</v>
      </c>
      <c r="W12" s="19">
        <v>2005.245088821327</v>
      </c>
      <c r="X12" s="32">
        <v>2004.245088821327</v>
      </c>
      <c r="Y12" s="28">
        <v>1918.0992000000001</v>
      </c>
      <c r="Z12" s="28">
        <v>2972</v>
      </c>
      <c r="AA12" s="33">
        <v>0.9084791386271871</v>
      </c>
      <c r="AB12" s="34">
        <v>5.7999999999999996E-2</v>
      </c>
      <c r="AC12" s="34">
        <f t="shared" si="0"/>
        <v>4.0000000000000036E-3</v>
      </c>
      <c r="AD12" s="15">
        <v>11.5488</v>
      </c>
      <c r="AE12" s="15">
        <v>0.32090000000000002</v>
      </c>
      <c r="AF12" s="15">
        <v>0.49450000000000005</v>
      </c>
      <c r="AG12" s="15" t="s">
        <v>540</v>
      </c>
      <c r="AH12" s="15" t="s">
        <v>149</v>
      </c>
      <c r="AP12"/>
      <c r="AQ12" s="34" t="e">
        <f t="shared" si="2"/>
        <v>#DIV/0!</v>
      </c>
      <c r="AR12" s="34" t="e">
        <f t="shared" si="3"/>
        <v>#DIV/0!</v>
      </c>
      <c r="AS12" s="58" t="e">
        <f t="shared" si="4"/>
        <v>#DIV/0!</v>
      </c>
      <c r="AV12" s="60" t="s">
        <v>124</v>
      </c>
      <c r="AW12" s="63">
        <v>2.7453562669149689E-3</v>
      </c>
      <c r="AX12"/>
    </row>
    <row r="13" spans="1:1533" ht="15" x14ac:dyDescent="0.25">
      <c r="A13" s="14">
        <v>45923</v>
      </c>
      <c r="B13" s="15">
        <v>11</v>
      </c>
      <c r="C13" s="15" t="s">
        <v>510</v>
      </c>
      <c r="D13" s="17">
        <f t="shared" si="1"/>
        <v>202504170122</v>
      </c>
      <c r="E13" s="15" t="s">
        <v>75</v>
      </c>
      <c r="F13" s="15" t="s">
        <v>41</v>
      </c>
      <c r="G13" s="15" t="s">
        <v>528</v>
      </c>
      <c r="H13" s="15">
        <v>17965821</v>
      </c>
      <c r="I13" s="25">
        <v>6</v>
      </c>
      <c r="J13" s="26">
        <v>45764</v>
      </c>
      <c r="K13" s="28">
        <v>2150</v>
      </c>
      <c r="L13" s="28">
        <v>550</v>
      </c>
      <c r="M13" s="28">
        <v>100</v>
      </c>
      <c r="N13" s="28">
        <v>2800</v>
      </c>
      <c r="O13" s="17">
        <v>0</v>
      </c>
      <c r="P13" s="17">
        <v>360</v>
      </c>
      <c r="Q13" s="17">
        <v>1</v>
      </c>
      <c r="R13" s="13">
        <v>0.06</v>
      </c>
      <c r="S13" s="14">
        <v>45910</v>
      </c>
      <c r="T13" s="14">
        <v>56836</v>
      </c>
      <c r="U13" s="31">
        <v>45940</v>
      </c>
      <c r="V13" s="19">
        <v>2238.838567552792</v>
      </c>
      <c r="W13" s="19">
        <v>2246.3059529927141</v>
      </c>
      <c r="X13" s="32">
        <v>2245.3059529927141</v>
      </c>
      <c r="Y13" s="28">
        <v>2147.7941000000001</v>
      </c>
      <c r="Z13" s="28">
        <v>3083</v>
      </c>
      <c r="AA13" s="33">
        <v>0.90820629257217</v>
      </c>
      <c r="AB13" s="34">
        <v>5.5999999999999994E-2</v>
      </c>
      <c r="AC13" s="34">
        <f t="shared" si="0"/>
        <v>4.0000000000000036E-3</v>
      </c>
      <c r="AD13" s="15">
        <v>12.6721</v>
      </c>
      <c r="AE13" s="15">
        <v>0.14800000000000002</v>
      </c>
      <c r="AF13" s="15">
        <v>0.42599999999999999</v>
      </c>
      <c r="AG13" s="15" t="s">
        <v>541</v>
      </c>
      <c r="AH13" s="15" t="s">
        <v>149</v>
      </c>
      <c r="AP13"/>
      <c r="AQ13" s="34" t="e">
        <f t="shared" si="2"/>
        <v>#DIV/0!</v>
      </c>
      <c r="AR13" s="34" t="e">
        <f t="shared" si="3"/>
        <v>#DIV/0!</v>
      </c>
      <c r="AS13" s="58" t="e">
        <f t="shared" si="4"/>
        <v>#DIV/0!</v>
      </c>
      <c r="AV13" s="60" t="s">
        <v>120</v>
      </c>
      <c r="AW13" s="63">
        <v>2.6649570105820048E-3</v>
      </c>
      <c r="AX13"/>
    </row>
    <row r="14" spans="1:1533" ht="15" x14ac:dyDescent="0.25">
      <c r="A14" s="14">
        <v>45923</v>
      </c>
      <c r="B14" s="15">
        <v>12</v>
      </c>
      <c r="C14" s="15" t="s">
        <v>511</v>
      </c>
      <c r="D14" s="17">
        <f t="shared" si="1"/>
        <v>202504300165</v>
      </c>
      <c r="E14" s="15" t="s">
        <v>26</v>
      </c>
      <c r="F14" s="15" t="s">
        <v>529</v>
      </c>
      <c r="G14" s="15" t="s">
        <v>37</v>
      </c>
      <c r="H14" s="15">
        <v>20440827</v>
      </c>
      <c r="I14" s="25">
        <v>0</v>
      </c>
      <c r="J14" s="26">
        <v>45777</v>
      </c>
      <c r="K14" s="28">
        <v>1320</v>
      </c>
      <c r="L14" s="28">
        <v>650</v>
      </c>
      <c r="M14" s="28">
        <v>80</v>
      </c>
      <c r="N14" s="28">
        <v>2050</v>
      </c>
      <c r="O14" s="17">
        <v>0</v>
      </c>
      <c r="P14" s="17">
        <v>360</v>
      </c>
      <c r="Q14" s="17">
        <v>2</v>
      </c>
      <c r="R14" s="13">
        <v>6.5000000000000002E-2</v>
      </c>
      <c r="S14" s="14">
        <v>45879</v>
      </c>
      <c r="T14" s="14">
        <v>56805</v>
      </c>
      <c r="U14" s="31">
        <v>45940</v>
      </c>
      <c r="V14" s="19">
        <v>1371.4487081257669</v>
      </c>
      <c r="W14" s="19">
        <v>1376.4202881629153</v>
      </c>
      <c r="X14" s="32">
        <v>1375.4202881629153</v>
      </c>
      <c r="Y14" s="28">
        <v>1317.51972</v>
      </c>
      <c r="Z14" s="28">
        <v>2179</v>
      </c>
      <c r="AA14" s="33">
        <v>0.94079853143643877</v>
      </c>
      <c r="AB14" s="34">
        <v>6.0999999999999999E-2</v>
      </c>
      <c r="AC14" s="34">
        <f t="shared" si="0"/>
        <v>4.0000000000000036E-3</v>
      </c>
      <c r="AD14" s="15">
        <v>8.1826799999999995</v>
      </c>
      <c r="AE14" s="15">
        <v>0.29199999999999998</v>
      </c>
      <c r="AF14" s="15">
        <v>0.50800000000000001</v>
      </c>
      <c r="AG14" s="15" t="s">
        <v>542</v>
      </c>
      <c r="AH14" s="15" t="s">
        <v>233</v>
      </c>
      <c r="AP14"/>
      <c r="AQ14" s="34" t="e">
        <f t="shared" si="2"/>
        <v>#DIV/0!</v>
      </c>
      <c r="AR14" s="34" t="e">
        <f t="shared" si="3"/>
        <v>#DIV/0!</v>
      </c>
      <c r="AS14" s="58" t="e">
        <f t="shared" si="4"/>
        <v>#DIV/0!</v>
      </c>
      <c r="AV14" s="60" t="s">
        <v>125</v>
      </c>
      <c r="AW14" s="63">
        <v>2.8242972441501809E-3</v>
      </c>
      <c r="AX14"/>
    </row>
    <row r="15" spans="1:1533" ht="15" x14ac:dyDescent="0.25">
      <c r="A15" s="14">
        <v>45943</v>
      </c>
      <c r="B15" s="15">
        <v>13</v>
      </c>
      <c r="C15" s="15" t="s">
        <v>543</v>
      </c>
      <c r="D15" s="17">
        <f t="shared" si="1"/>
        <v>202504250148</v>
      </c>
      <c r="E15" s="15" t="s">
        <v>24</v>
      </c>
      <c r="F15" s="15" t="s">
        <v>54</v>
      </c>
      <c r="G15" s="15" t="s">
        <v>544</v>
      </c>
      <c r="H15" s="15">
        <v>17626928</v>
      </c>
      <c r="I15" s="25">
        <v>6</v>
      </c>
      <c r="J15" s="26">
        <v>45772</v>
      </c>
      <c r="K15" s="28">
        <v>2150</v>
      </c>
      <c r="L15" s="28">
        <v>550</v>
      </c>
      <c r="M15" s="28">
        <v>100</v>
      </c>
      <c r="N15" s="28">
        <v>2800</v>
      </c>
      <c r="O15" s="17">
        <v>0</v>
      </c>
      <c r="P15" s="17">
        <v>360</v>
      </c>
      <c r="Q15" s="17">
        <v>1</v>
      </c>
      <c r="R15" s="13">
        <v>6.0600000000000001E-2</v>
      </c>
      <c r="S15" s="14">
        <v>45931</v>
      </c>
      <c r="T15" s="14">
        <v>56858</v>
      </c>
      <c r="U15" s="31">
        <v>45971</v>
      </c>
      <c r="V15" s="19">
        <v>2238.4938093018591</v>
      </c>
      <c r="W15" s="19">
        <v>2242.6056804058462</v>
      </c>
      <c r="X15" s="32">
        <v>2241.6056804058462</v>
      </c>
      <c r="Y15" s="28">
        <v>2147.8177500000002</v>
      </c>
      <c r="Z15" s="28">
        <v>3093</v>
      </c>
      <c r="AA15" s="33">
        <v>0.90526996443582286</v>
      </c>
      <c r="AB15" s="34">
        <v>5.6599999999999998E-2</v>
      </c>
      <c r="AC15" s="34">
        <f t="shared" si="0"/>
        <v>4.0000000000000036E-3</v>
      </c>
      <c r="AD15" s="15">
        <v>12.749499999999999</v>
      </c>
      <c r="AE15" s="15">
        <v>0.307</v>
      </c>
      <c r="AF15" s="15">
        <v>0.40200000000000002</v>
      </c>
      <c r="AG15" s="15" t="s">
        <v>545</v>
      </c>
      <c r="AH15" s="15" t="s">
        <v>149</v>
      </c>
      <c r="AP15"/>
      <c r="AQ15" s="34" t="e">
        <f t="shared" si="2"/>
        <v>#DIV/0!</v>
      </c>
      <c r="AR15" s="34" t="e">
        <f t="shared" si="3"/>
        <v>#DIV/0!</v>
      </c>
      <c r="AS15" s="58" t="e">
        <f t="shared" si="4"/>
        <v>#DIV/0!</v>
      </c>
      <c r="AV15" s="60" t="s">
        <v>122</v>
      </c>
      <c r="AW15" s="63">
        <v>2.7802205882352877E-3</v>
      </c>
      <c r="AX15"/>
    </row>
    <row r="16" spans="1:1533" ht="15" x14ac:dyDescent="0.25">
      <c r="A16" s="14">
        <v>45818</v>
      </c>
      <c r="B16" s="15">
        <v>14</v>
      </c>
      <c r="C16" s="15" t="s">
        <v>546</v>
      </c>
      <c r="D16" s="17">
        <f t="shared" si="1"/>
        <v>202505290001</v>
      </c>
      <c r="E16" s="15" t="s">
        <v>563</v>
      </c>
      <c r="F16" s="15" t="s">
        <v>564</v>
      </c>
      <c r="G16" s="15" t="s">
        <v>71</v>
      </c>
      <c r="H16" s="15" t="s">
        <v>565</v>
      </c>
      <c r="I16" s="25" t="s">
        <v>138</v>
      </c>
      <c r="J16" s="26">
        <v>45806</v>
      </c>
      <c r="K16" s="28">
        <v>2150</v>
      </c>
      <c r="L16" s="28">
        <v>250</v>
      </c>
      <c r="M16" s="28">
        <v>400</v>
      </c>
      <c r="N16" s="28">
        <v>2800</v>
      </c>
      <c r="O16" s="17">
        <v>0</v>
      </c>
      <c r="P16" s="17">
        <v>420</v>
      </c>
      <c r="Q16" s="17">
        <v>1</v>
      </c>
      <c r="R16" s="13">
        <v>0.06</v>
      </c>
      <c r="S16" s="14">
        <v>45848</v>
      </c>
      <c r="T16" s="14">
        <v>58602</v>
      </c>
      <c r="U16" s="31">
        <v>45848</v>
      </c>
      <c r="V16" s="19">
        <v>2277.3067914402759</v>
      </c>
      <c r="W16" s="19">
        <v>2277.1788143156468</v>
      </c>
      <c r="X16" s="32">
        <v>4.471698917043021E-3</v>
      </c>
      <c r="Y16" s="28">
        <v>2150</v>
      </c>
      <c r="Z16" s="28">
        <v>2802.75</v>
      </c>
      <c r="AA16" s="33">
        <v>0.81248017636808378</v>
      </c>
      <c r="AB16" s="34">
        <v>5.5E-2</v>
      </c>
      <c r="AC16" s="34">
        <f t="shared" si="0"/>
        <v>4.9999999999999975E-3</v>
      </c>
      <c r="AD16" s="15">
        <v>12.0314</v>
      </c>
      <c r="AE16" s="15">
        <v>0.31900000000000001</v>
      </c>
      <c r="AF16" s="15">
        <v>0.31900000000000001</v>
      </c>
      <c r="AG16" s="15" t="s">
        <v>606</v>
      </c>
      <c r="AH16" s="15" t="s">
        <v>144</v>
      </c>
      <c r="AP16"/>
      <c r="AQ16" s="34" t="e">
        <f t="shared" si="2"/>
        <v>#DIV/0!</v>
      </c>
      <c r="AR16" s="34" t="e">
        <f t="shared" si="3"/>
        <v>#DIV/0!</v>
      </c>
      <c r="AS16" s="58" t="e">
        <f t="shared" si="4"/>
        <v>#DIV/0!</v>
      </c>
      <c r="AV16" s="60" t="s">
        <v>123</v>
      </c>
      <c r="AW16" s="63">
        <v>2.8300976800976763E-3</v>
      </c>
      <c r="AX16"/>
    </row>
    <row r="17" spans="1:50" ht="15" x14ac:dyDescent="0.25">
      <c r="A17" s="14">
        <v>45818</v>
      </c>
      <c r="B17" s="15">
        <v>15</v>
      </c>
      <c r="C17" s="15" t="s">
        <v>547</v>
      </c>
      <c r="D17" s="17">
        <f t="shared" si="1"/>
        <v>202505290009</v>
      </c>
      <c r="E17" s="15" t="s">
        <v>70</v>
      </c>
      <c r="F17" s="15" t="s">
        <v>48</v>
      </c>
      <c r="G17" s="15" t="s">
        <v>566</v>
      </c>
      <c r="H17" s="15" t="s">
        <v>567</v>
      </c>
      <c r="I17" s="25" t="s">
        <v>22</v>
      </c>
      <c r="J17" s="26">
        <v>45806</v>
      </c>
      <c r="K17" s="28">
        <v>2150</v>
      </c>
      <c r="L17" s="28">
        <v>250</v>
      </c>
      <c r="M17" s="28">
        <v>400</v>
      </c>
      <c r="N17" s="28">
        <v>2800</v>
      </c>
      <c r="O17" s="17">
        <v>0</v>
      </c>
      <c r="P17" s="17">
        <v>360</v>
      </c>
      <c r="Q17" s="17">
        <v>1</v>
      </c>
      <c r="R17" s="13">
        <v>0.06</v>
      </c>
      <c r="S17" s="14">
        <v>45848</v>
      </c>
      <c r="T17" s="14">
        <v>56775</v>
      </c>
      <c r="U17" s="31">
        <v>45848</v>
      </c>
      <c r="V17" s="19">
        <v>2265.1264317161213</v>
      </c>
      <c r="W17" s="19">
        <v>2264.8866733180303</v>
      </c>
      <c r="X17" s="32">
        <v>4.471698917043021E-3</v>
      </c>
      <c r="Y17" s="28">
        <v>2150</v>
      </c>
      <c r="Z17" s="28">
        <v>2830.45</v>
      </c>
      <c r="AA17" s="33">
        <v>0.80018607405819941</v>
      </c>
      <c r="AB17" s="34">
        <v>5.5E-2</v>
      </c>
      <c r="AC17" s="34">
        <f t="shared" si="0"/>
        <v>4.9999999999999975E-3</v>
      </c>
      <c r="AD17" s="15">
        <v>12.6721</v>
      </c>
      <c r="AE17" s="15">
        <v>0.33910000000000001</v>
      </c>
      <c r="AF17" s="15">
        <v>0.34410000000000002</v>
      </c>
      <c r="AG17" s="15" t="s">
        <v>607</v>
      </c>
      <c r="AH17" s="15" t="s">
        <v>623</v>
      </c>
      <c r="AP17"/>
      <c r="AQ17" s="34" t="e">
        <f t="shared" si="2"/>
        <v>#DIV/0!</v>
      </c>
      <c r="AR17" s="34" t="e">
        <f t="shared" si="3"/>
        <v>#DIV/0!</v>
      </c>
      <c r="AS17" s="58" t="e">
        <f t="shared" si="4"/>
        <v>#DIV/0!</v>
      </c>
      <c r="AV17" s="60" t="s">
        <v>124</v>
      </c>
      <c r="AW17" s="63">
        <v>2.8726190476190427E-3</v>
      </c>
      <c r="AX17"/>
    </row>
    <row r="18" spans="1:50" ht="15" x14ac:dyDescent="0.25">
      <c r="A18" s="14">
        <v>45818</v>
      </c>
      <c r="B18" s="15">
        <v>16</v>
      </c>
      <c r="C18" s="15" t="s">
        <v>548</v>
      </c>
      <c r="D18" s="17">
        <f t="shared" si="1"/>
        <v>202505300003</v>
      </c>
      <c r="E18" s="15" t="s">
        <v>67</v>
      </c>
      <c r="F18" s="15" t="s">
        <v>568</v>
      </c>
      <c r="G18" s="15" t="s">
        <v>55</v>
      </c>
      <c r="H18" s="15" t="s">
        <v>569</v>
      </c>
      <c r="I18" s="25" t="s">
        <v>22</v>
      </c>
      <c r="J18" s="26">
        <v>45807</v>
      </c>
      <c r="K18" s="28">
        <v>1760</v>
      </c>
      <c r="L18" s="28">
        <v>125</v>
      </c>
      <c r="M18" s="28">
        <v>315</v>
      </c>
      <c r="N18" s="28">
        <v>2200</v>
      </c>
      <c r="O18" s="17">
        <v>0</v>
      </c>
      <c r="P18" s="17">
        <v>360</v>
      </c>
      <c r="Q18" s="17">
        <v>1</v>
      </c>
      <c r="R18" s="13">
        <v>6.4000000000000001E-2</v>
      </c>
      <c r="S18" s="14">
        <v>45848</v>
      </c>
      <c r="T18" s="14">
        <v>56775</v>
      </c>
      <c r="U18" s="31">
        <v>45848</v>
      </c>
      <c r="V18" s="19">
        <v>1851.7628504783261</v>
      </c>
      <c r="W18" s="19">
        <v>1851.6905062524302</v>
      </c>
      <c r="X18" s="32">
        <v>4.7885173650881185E-3</v>
      </c>
      <c r="Y18" s="28">
        <v>1760</v>
      </c>
      <c r="Z18" s="28">
        <v>2540.88</v>
      </c>
      <c r="AA18" s="33">
        <v>0.72875952672004585</v>
      </c>
      <c r="AB18" s="34">
        <v>5.9000000000000004E-2</v>
      </c>
      <c r="AC18" s="34">
        <f t="shared" si="0"/>
        <v>4.9999999999999975E-3</v>
      </c>
      <c r="AD18" s="15">
        <v>10.801119999999999</v>
      </c>
      <c r="AE18" s="15">
        <v>0.2354</v>
      </c>
      <c r="AF18" s="15">
        <v>0.2414</v>
      </c>
      <c r="AG18" s="15" t="s">
        <v>608</v>
      </c>
      <c r="AH18" s="15" t="s">
        <v>624</v>
      </c>
      <c r="AP18"/>
      <c r="AQ18" s="34" t="e">
        <f t="shared" si="2"/>
        <v>#DIV/0!</v>
      </c>
      <c r="AR18" s="34" t="e">
        <f t="shared" si="3"/>
        <v>#DIV/0!</v>
      </c>
      <c r="AS18" s="58" t="e">
        <f t="shared" si="4"/>
        <v>#DIV/0!</v>
      </c>
      <c r="AV18" s="60" t="s">
        <v>120</v>
      </c>
      <c r="AW18" s="63">
        <v>2.8333333333333288E-3</v>
      </c>
      <c r="AX18"/>
    </row>
    <row r="19" spans="1:50" ht="15" x14ac:dyDescent="0.25">
      <c r="A19" s="14">
        <v>45818</v>
      </c>
      <c r="B19" s="15">
        <v>17</v>
      </c>
      <c r="C19" s="15" t="s">
        <v>549</v>
      </c>
      <c r="D19" s="17">
        <f t="shared" si="1"/>
        <v>202505300011</v>
      </c>
      <c r="E19" s="15" t="s">
        <v>570</v>
      </c>
      <c r="F19" s="15" t="s">
        <v>571</v>
      </c>
      <c r="G19" s="15" t="s">
        <v>572</v>
      </c>
      <c r="H19" s="15" t="s">
        <v>573</v>
      </c>
      <c r="I19" s="25" t="s">
        <v>499</v>
      </c>
      <c r="J19" s="26">
        <v>45807</v>
      </c>
      <c r="K19" s="28">
        <v>935</v>
      </c>
      <c r="L19" s="28">
        <v>325</v>
      </c>
      <c r="M19" s="28">
        <v>340</v>
      </c>
      <c r="N19" s="28">
        <v>1600</v>
      </c>
      <c r="O19" s="17">
        <v>0</v>
      </c>
      <c r="P19" s="17">
        <v>360</v>
      </c>
      <c r="Q19" s="17">
        <v>1</v>
      </c>
      <c r="R19" s="13">
        <v>6.5000000000000002E-2</v>
      </c>
      <c r="S19" s="14">
        <v>45848</v>
      </c>
      <c r="T19" s="14">
        <v>56775</v>
      </c>
      <c r="U19" s="31">
        <v>45848</v>
      </c>
      <c r="V19" s="19">
        <v>983.41833304977877</v>
      </c>
      <c r="W19" s="19">
        <v>984.14958581563928</v>
      </c>
      <c r="X19" s="32">
        <v>4.8675505653430484E-3</v>
      </c>
      <c r="Y19" s="28">
        <v>935</v>
      </c>
      <c r="Z19" s="28">
        <v>2018.08</v>
      </c>
      <c r="AA19" s="33">
        <v>0.48766628964938918</v>
      </c>
      <c r="AB19" s="34">
        <v>6.0000000000000005E-2</v>
      </c>
      <c r="AC19" s="34">
        <f t="shared" si="0"/>
        <v>4.9999999999999975E-3</v>
      </c>
      <c r="AD19" s="15">
        <v>5.7960649999999996</v>
      </c>
      <c r="AE19" s="15">
        <v>0.32700000000000001</v>
      </c>
      <c r="AF19" s="15">
        <v>0.3841</v>
      </c>
      <c r="AG19" s="15" t="s">
        <v>609</v>
      </c>
      <c r="AH19" s="15" t="s">
        <v>625</v>
      </c>
      <c r="AP19"/>
      <c r="AQ19" s="34" t="e">
        <f t="shared" si="2"/>
        <v>#DIV/0!</v>
      </c>
      <c r="AR19" s="34" t="e">
        <f t="shared" si="3"/>
        <v>#DIV/0!</v>
      </c>
      <c r="AS19" s="58" t="e">
        <f t="shared" si="4"/>
        <v>#DIV/0!</v>
      </c>
      <c r="AV19" s="59" t="s">
        <v>126</v>
      </c>
      <c r="AW19" s="63">
        <v>2.9312500000000059E-3</v>
      </c>
      <c r="AX19"/>
    </row>
    <row r="20" spans="1:50" ht="15" x14ac:dyDescent="0.25">
      <c r="A20" s="14">
        <v>45818</v>
      </c>
      <c r="B20" s="15">
        <v>18</v>
      </c>
      <c r="C20" s="15" t="s">
        <v>550</v>
      </c>
      <c r="D20" s="17">
        <f t="shared" si="1"/>
        <v>202505300005</v>
      </c>
      <c r="E20" s="15" t="s">
        <v>574</v>
      </c>
      <c r="F20" s="15" t="s">
        <v>44</v>
      </c>
      <c r="G20" s="15" t="s">
        <v>575</v>
      </c>
      <c r="H20" s="15" t="s">
        <v>576</v>
      </c>
      <c r="I20" s="15" t="s">
        <v>142</v>
      </c>
      <c r="J20" s="26">
        <v>45807</v>
      </c>
      <c r="K20" s="28">
        <v>1559.7</v>
      </c>
      <c r="L20" s="28">
        <v>125</v>
      </c>
      <c r="M20" s="28">
        <v>515.29999999999995</v>
      </c>
      <c r="N20" s="28">
        <v>2200</v>
      </c>
      <c r="O20" s="17">
        <v>0</v>
      </c>
      <c r="P20" s="17">
        <v>480</v>
      </c>
      <c r="Q20" s="17">
        <v>1</v>
      </c>
      <c r="R20" s="13">
        <v>6.4000000000000001E-2</v>
      </c>
      <c r="S20" s="14">
        <v>45848</v>
      </c>
      <c r="T20" s="14">
        <v>60428</v>
      </c>
      <c r="U20" s="31">
        <v>45848</v>
      </c>
      <c r="V20" s="19">
        <v>1656.2512125823637</v>
      </c>
      <c r="W20" s="19">
        <v>1656.04602401386</v>
      </c>
      <c r="X20" s="32">
        <v>4.7885173650881185E-3</v>
      </c>
      <c r="Y20" s="28">
        <v>1559.7</v>
      </c>
      <c r="Z20" s="28">
        <v>2279.8000000000002</v>
      </c>
      <c r="AA20" s="33">
        <v>0.72639969471614174</v>
      </c>
      <c r="AB20" s="34">
        <v>5.9000000000000004E-2</v>
      </c>
      <c r="AC20" s="34">
        <f t="shared" si="0"/>
        <v>4.9999999999999975E-3</v>
      </c>
      <c r="AD20" s="15">
        <v>8.8216629999999991</v>
      </c>
      <c r="AE20" s="15">
        <v>0.33500000000000002</v>
      </c>
      <c r="AF20" s="15">
        <v>0.33939999999999998</v>
      </c>
      <c r="AG20" s="15" t="s">
        <v>610</v>
      </c>
      <c r="AH20" s="15" t="s">
        <v>624</v>
      </c>
      <c r="AP20"/>
      <c r="AQ20" s="34" t="e">
        <f t="shared" si="2"/>
        <v>#DIV/0!</v>
      </c>
      <c r="AR20" s="34" t="e">
        <f t="shared" si="3"/>
        <v>#DIV/0!</v>
      </c>
      <c r="AS20" s="58" t="e">
        <f t="shared" si="4"/>
        <v>#DIV/0!</v>
      </c>
      <c r="AV20" s="60" t="s">
        <v>122</v>
      </c>
      <c r="AW20" s="63">
        <v>2.9312500000000059E-3</v>
      </c>
      <c r="AX20"/>
    </row>
    <row r="21" spans="1:50" ht="15" x14ac:dyDescent="0.25">
      <c r="A21" s="14">
        <v>45818</v>
      </c>
      <c r="B21" s="15">
        <v>19</v>
      </c>
      <c r="C21" s="15" t="s">
        <v>551</v>
      </c>
      <c r="D21" s="17">
        <f t="shared" si="1"/>
        <v>202506050023</v>
      </c>
      <c r="E21" s="15" t="s">
        <v>27</v>
      </c>
      <c r="F21" s="15" t="s">
        <v>577</v>
      </c>
      <c r="G21" s="15" t="s">
        <v>578</v>
      </c>
      <c r="H21" s="15" t="s">
        <v>579</v>
      </c>
      <c r="I21" s="15" t="s">
        <v>139</v>
      </c>
      <c r="J21" s="26">
        <v>45813</v>
      </c>
      <c r="K21" s="28">
        <v>1870</v>
      </c>
      <c r="L21" s="28">
        <v>350</v>
      </c>
      <c r="M21" s="28">
        <v>380</v>
      </c>
      <c r="N21" s="28">
        <v>2600</v>
      </c>
      <c r="O21" s="17">
        <v>0</v>
      </c>
      <c r="P21" s="17">
        <v>360</v>
      </c>
      <c r="Q21" s="17">
        <v>1</v>
      </c>
      <c r="R21" s="13">
        <v>6.5000000000000002E-2</v>
      </c>
      <c r="S21" s="14">
        <v>45879</v>
      </c>
      <c r="T21" s="14">
        <v>56805</v>
      </c>
      <c r="U21" s="31">
        <v>45848</v>
      </c>
      <c r="V21" s="19">
        <v>1957.3093637992456</v>
      </c>
      <c r="W21" s="19">
        <v>1956.8959719687066</v>
      </c>
      <c r="X21" s="32">
        <v>4.8675505653430484E-3</v>
      </c>
      <c r="Y21" s="28">
        <v>1870</v>
      </c>
      <c r="Z21" s="28">
        <v>2990</v>
      </c>
      <c r="AA21" s="33">
        <v>0.65448025818351396</v>
      </c>
      <c r="AB21" s="34">
        <v>6.0000000000000005E-2</v>
      </c>
      <c r="AC21" s="34">
        <f t="shared" si="0"/>
        <v>4.9999999999999975E-3</v>
      </c>
      <c r="AD21" s="15">
        <v>11.592129999999999</v>
      </c>
      <c r="AE21" s="15">
        <v>0.40150000000000002</v>
      </c>
      <c r="AF21" s="15">
        <v>0.40150000000000002</v>
      </c>
      <c r="AG21" s="15" t="s">
        <v>611</v>
      </c>
      <c r="AH21" s="15" t="s">
        <v>626</v>
      </c>
      <c r="AP21"/>
      <c r="AQ21" s="34" t="e">
        <f t="shared" si="2"/>
        <v>#DIV/0!</v>
      </c>
      <c r="AR21" s="34" t="e">
        <f t="shared" si="3"/>
        <v>#DIV/0!</v>
      </c>
      <c r="AS21" s="58" t="e">
        <f t="shared" si="4"/>
        <v>#DIV/0!</v>
      </c>
      <c r="AV21" s="59" t="s">
        <v>118</v>
      </c>
      <c r="AW21" s="63">
        <v>2.7681153975876688E-3</v>
      </c>
      <c r="AX21"/>
    </row>
    <row r="22" spans="1:50" ht="15" x14ac:dyDescent="0.25">
      <c r="A22" s="14">
        <v>45818</v>
      </c>
      <c r="B22" s="15">
        <v>20</v>
      </c>
      <c r="C22" s="15" t="s">
        <v>552</v>
      </c>
      <c r="D22" s="17">
        <f t="shared" si="1"/>
        <v>202505300006</v>
      </c>
      <c r="E22" s="15" t="s">
        <v>77</v>
      </c>
      <c r="F22" s="15" t="s">
        <v>28</v>
      </c>
      <c r="G22" s="15" t="s">
        <v>580</v>
      </c>
      <c r="H22" s="15" t="s">
        <v>581</v>
      </c>
      <c r="I22" s="15" t="s">
        <v>140</v>
      </c>
      <c r="J22" s="26">
        <v>45807</v>
      </c>
      <c r="K22" s="28">
        <v>960</v>
      </c>
      <c r="L22" s="28">
        <v>200</v>
      </c>
      <c r="M22" s="28">
        <v>240</v>
      </c>
      <c r="N22" s="28">
        <v>1400</v>
      </c>
      <c r="O22" s="17">
        <v>0</v>
      </c>
      <c r="P22" s="17">
        <v>420</v>
      </c>
      <c r="Q22" s="17">
        <v>1</v>
      </c>
      <c r="R22" s="13">
        <v>6.4000000000000001E-2</v>
      </c>
      <c r="S22" s="14">
        <v>45848</v>
      </c>
      <c r="T22" s="14">
        <v>58602</v>
      </c>
      <c r="U22" s="31">
        <v>45848</v>
      </c>
      <c r="V22" s="19">
        <v>1015.1190918702762</v>
      </c>
      <c r="W22" s="19">
        <v>1015.9065015639891</v>
      </c>
      <c r="X22" s="32">
        <v>4.7885173650881185E-3</v>
      </c>
      <c r="Y22" s="28">
        <v>960</v>
      </c>
      <c r="Z22" s="28">
        <v>1754.48</v>
      </c>
      <c r="AA22" s="33">
        <v>0.5790356695795843</v>
      </c>
      <c r="AB22" s="34">
        <v>5.9000000000000004E-2</v>
      </c>
      <c r="AC22" s="34">
        <f t="shared" si="0"/>
        <v>4.9999999999999975E-3</v>
      </c>
      <c r="AD22" s="15">
        <v>5.6159999999999997</v>
      </c>
      <c r="AE22" s="15">
        <v>0.20760000000000001</v>
      </c>
      <c r="AF22" s="15">
        <v>0.66569999999999996</v>
      </c>
      <c r="AG22" s="15" t="s">
        <v>612</v>
      </c>
      <c r="AH22" s="15" t="s">
        <v>624</v>
      </c>
      <c r="AP22"/>
      <c r="AQ22" s="34" t="e">
        <f t="shared" si="2"/>
        <v>#DIV/0!</v>
      </c>
      <c r="AR22" s="34" t="e">
        <f t="shared" si="3"/>
        <v>#DIV/0!</v>
      </c>
      <c r="AS22" s="58" t="e">
        <f t="shared" si="4"/>
        <v>#DIV/0!</v>
      </c>
      <c r="AV22"/>
      <c r="AW22" s="62"/>
      <c r="AX22"/>
    </row>
    <row r="23" spans="1:50" ht="15" x14ac:dyDescent="0.25">
      <c r="A23" s="14">
        <v>45818</v>
      </c>
      <c r="B23" s="15">
        <v>21</v>
      </c>
      <c r="C23" s="15" t="s">
        <v>553</v>
      </c>
      <c r="D23" s="17">
        <f t="shared" si="1"/>
        <v>202505300010</v>
      </c>
      <c r="E23" s="15" t="s">
        <v>26</v>
      </c>
      <c r="F23" s="15" t="s">
        <v>45</v>
      </c>
      <c r="G23" s="15" t="s">
        <v>30</v>
      </c>
      <c r="H23" s="15" t="s">
        <v>582</v>
      </c>
      <c r="I23" s="15" t="s">
        <v>137</v>
      </c>
      <c r="J23" s="26">
        <v>45807</v>
      </c>
      <c r="K23" s="28">
        <v>2150</v>
      </c>
      <c r="L23" s="28">
        <v>250</v>
      </c>
      <c r="M23" s="28">
        <v>400</v>
      </c>
      <c r="N23" s="28">
        <v>2800</v>
      </c>
      <c r="O23" s="17">
        <v>0</v>
      </c>
      <c r="P23" s="17">
        <v>420</v>
      </c>
      <c r="Q23" s="17">
        <v>1</v>
      </c>
      <c r="R23" s="13">
        <v>0.06</v>
      </c>
      <c r="S23" s="14">
        <v>45848</v>
      </c>
      <c r="T23" s="14">
        <v>58602</v>
      </c>
      <c r="U23" s="31">
        <v>45848</v>
      </c>
      <c r="V23" s="19">
        <v>2277.3067914402759</v>
      </c>
      <c r="W23" s="19">
        <v>2277.1788143156468</v>
      </c>
      <c r="X23" s="32">
        <v>4.471698917043021E-3</v>
      </c>
      <c r="Y23" s="28">
        <v>2150</v>
      </c>
      <c r="Z23" s="28">
        <v>3085.45</v>
      </c>
      <c r="AA23" s="33">
        <v>0.73803782732361467</v>
      </c>
      <c r="AB23" s="34">
        <v>5.5E-2</v>
      </c>
      <c r="AC23" s="34">
        <f t="shared" si="0"/>
        <v>4.9999999999999975E-3</v>
      </c>
      <c r="AD23" s="15">
        <v>12.0314</v>
      </c>
      <c r="AE23" s="15">
        <v>0.29239999999999999</v>
      </c>
      <c r="AF23" s="15">
        <v>0.41389999999999999</v>
      </c>
      <c r="AG23" s="15" t="s">
        <v>613</v>
      </c>
      <c r="AH23" s="15" t="s">
        <v>623</v>
      </c>
      <c r="AP23"/>
      <c r="AQ23" s="34" t="e">
        <f t="shared" si="2"/>
        <v>#DIV/0!</v>
      </c>
      <c r="AR23" s="34" t="e">
        <f t="shared" si="3"/>
        <v>#DIV/0!</v>
      </c>
      <c r="AS23" s="58" t="e">
        <f t="shared" si="4"/>
        <v>#DIV/0!</v>
      </c>
      <c r="AV23"/>
      <c r="AW23" s="62"/>
      <c r="AX23"/>
    </row>
    <row r="24" spans="1:50" ht="15" x14ac:dyDescent="0.25">
      <c r="A24" s="14">
        <v>45818</v>
      </c>
      <c r="B24" s="15">
        <v>22</v>
      </c>
      <c r="C24" s="15" t="s">
        <v>554</v>
      </c>
      <c r="D24" s="17">
        <f t="shared" si="1"/>
        <v>202505300008</v>
      </c>
      <c r="E24" s="15" t="s">
        <v>583</v>
      </c>
      <c r="F24" s="15" t="s">
        <v>584</v>
      </c>
      <c r="G24" s="15" t="s">
        <v>56</v>
      </c>
      <c r="H24" s="15" t="s">
        <v>585</v>
      </c>
      <c r="I24" s="15" t="s">
        <v>499</v>
      </c>
      <c r="J24" s="26">
        <v>45807</v>
      </c>
      <c r="K24" s="28">
        <v>2150</v>
      </c>
      <c r="L24" s="28">
        <v>250</v>
      </c>
      <c r="M24" s="28">
        <v>400</v>
      </c>
      <c r="N24" s="28">
        <v>2800</v>
      </c>
      <c r="O24" s="17">
        <v>0</v>
      </c>
      <c r="P24" s="17">
        <v>420</v>
      </c>
      <c r="Q24" s="17">
        <v>1</v>
      </c>
      <c r="R24" s="13">
        <v>0.06</v>
      </c>
      <c r="S24" s="14">
        <v>45848</v>
      </c>
      <c r="T24" s="14">
        <v>58602</v>
      </c>
      <c r="U24" s="31">
        <v>45848</v>
      </c>
      <c r="V24" s="19">
        <v>2277.3067914402759</v>
      </c>
      <c r="W24" s="19">
        <v>2277.1788143156468</v>
      </c>
      <c r="X24" s="32">
        <v>4.471698917043021E-3</v>
      </c>
      <c r="Y24" s="28">
        <v>2150</v>
      </c>
      <c r="Z24" s="28">
        <v>3083.35</v>
      </c>
      <c r="AA24" s="33">
        <v>0.73854048820784113</v>
      </c>
      <c r="AB24" s="34">
        <v>5.5E-2</v>
      </c>
      <c r="AC24" s="34">
        <f t="shared" si="0"/>
        <v>4.9999999999999975E-3</v>
      </c>
      <c r="AD24" s="15">
        <v>12.0314</v>
      </c>
      <c r="AE24" s="15">
        <v>0.17560000000000001</v>
      </c>
      <c r="AF24" s="15">
        <v>0.309</v>
      </c>
      <c r="AG24" s="15" t="s">
        <v>614</v>
      </c>
      <c r="AH24" s="15" t="s">
        <v>623</v>
      </c>
      <c r="AP24"/>
      <c r="AQ24" s="34" t="e">
        <f t="shared" si="2"/>
        <v>#DIV/0!</v>
      </c>
      <c r="AR24" s="34" t="e">
        <f t="shared" si="3"/>
        <v>#DIV/0!</v>
      </c>
      <c r="AS24" s="58" t="e">
        <f t="shared" si="4"/>
        <v>#DIV/0!</v>
      </c>
      <c r="AV24"/>
      <c r="AW24" s="34"/>
    </row>
    <row r="25" spans="1:50" ht="15" x14ac:dyDescent="0.25">
      <c r="A25" s="14">
        <v>45818</v>
      </c>
      <c r="B25" s="15">
        <v>23</v>
      </c>
      <c r="C25" s="15" t="s">
        <v>555</v>
      </c>
      <c r="D25" s="17">
        <f t="shared" si="1"/>
        <v>202505300013</v>
      </c>
      <c r="E25" s="15" t="s">
        <v>586</v>
      </c>
      <c r="F25" s="15" t="s">
        <v>587</v>
      </c>
      <c r="G25" s="15" t="s">
        <v>588</v>
      </c>
      <c r="H25" s="15" t="s">
        <v>589</v>
      </c>
      <c r="I25" s="15" t="s">
        <v>140</v>
      </c>
      <c r="J25" s="26">
        <v>45807</v>
      </c>
      <c r="K25" s="28">
        <v>2150</v>
      </c>
      <c r="L25" s="28">
        <v>250</v>
      </c>
      <c r="M25" s="28">
        <v>400</v>
      </c>
      <c r="N25" s="28">
        <v>2800</v>
      </c>
      <c r="O25" s="17">
        <v>0</v>
      </c>
      <c r="P25" s="17">
        <v>480</v>
      </c>
      <c r="Q25" s="17">
        <v>1</v>
      </c>
      <c r="R25" s="13">
        <v>0.06</v>
      </c>
      <c r="S25" s="14">
        <v>45848</v>
      </c>
      <c r="T25" s="14">
        <v>60428</v>
      </c>
      <c r="U25" s="31">
        <v>45848</v>
      </c>
      <c r="V25" s="19">
        <v>2287.8252551580995</v>
      </c>
      <c r="W25" s="19">
        <v>2287.4113617054736</v>
      </c>
      <c r="X25" s="32">
        <v>4.471698917043021E-3</v>
      </c>
      <c r="Y25" s="28">
        <v>2150</v>
      </c>
      <c r="Z25" s="28">
        <v>2815.55</v>
      </c>
      <c r="AA25" s="33">
        <v>0.81242079228053965</v>
      </c>
      <c r="AB25" s="34">
        <v>5.5E-2</v>
      </c>
      <c r="AC25" s="34">
        <f t="shared" si="0"/>
        <v>4.9999999999999975E-3</v>
      </c>
      <c r="AD25" s="15">
        <v>11.5928</v>
      </c>
      <c r="AE25" s="15">
        <v>0.13120000000000001</v>
      </c>
      <c r="AF25" s="15">
        <v>0.43359999999999999</v>
      </c>
      <c r="AG25" s="15" t="s">
        <v>615</v>
      </c>
      <c r="AH25" s="15" t="s">
        <v>144</v>
      </c>
      <c r="AP25"/>
      <c r="AQ25" s="34" t="e">
        <f t="shared" si="2"/>
        <v>#DIV/0!</v>
      </c>
      <c r="AR25" s="34" t="e">
        <f t="shared" si="3"/>
        <v>#DIV/0!</v>
      </c>
      <c r="AS25" s="58" t="e">
        <f t="shared" si="4"/>
        <v>#DIV/0!</v>
      </c>
      <c r="AV25"/>
      <c r="AW25" s="34"/>
    </row>
    <row r="26" spans="1:50" ht="15" x14ac:dyDescent="0.25">
      <c r="A26" s="14">
        <v>45818</v>
      </c>
      <c r="B26" s="15">
        <v>24</v>
      </c>
      <c r="C26" s="15" t="s">
        <v>556</v>
      </c>
      <c r="D26" s="17">
        <f t="shared" si="1"/>
        <v>202506020022</v>
      </c>
      <c r="E26" s="15" t="s">
        <v>590</v>
      </c>
      <c r="F26" s="15" t="s">
        <v>591</v>
      </c>
      <c r="G26" s="15" t="s">
        <v>592</v>
      </c>
      <c r="H26" s="15" t="s">
        <v>593</v>
      </c>
      <c r="I26" s="15" t="s">
        <v>143</v>
      </c>
      <c r="J26" s="26">
        <v>45810</v>
      </c>
      <c r="K26" s="28">
        <v>1762</v>
      </c>
      <c r="L26" s="28">
        <v>250</v>
      </c>
      <c r="M26" s="28">
        <v>380</v>
      </c>
      <c r="N26" s="28">
        <v>2392</v>
      </c>
      <c r="O26" s="17">
        <v>0</v>
      </c>
      <c r="P26" s="17">
        <v>360</v>
      </c>
      <c r="Q26" s="17">
        <v>1</v>
      </c>
      <c r="R26" s="13">
        <v>6.2E-2</v>
      </c>
      <c r="S26" s="14">
        <v>45879</v>
      </c>
      <c r="T26" s="14">
        <v>56805</v>
      </c>
      <c r="U26" s="31">
        <v>45848</v>
      </c>
      <c r="V26" s="19">
        <v>1846.5578781940678</v>
      </c>
      <c r="W26" s="19">
        <v>1846.7821885444314</v>
      </c>
      <c r="X26" s="32">
        <v>4.6302455190647684E-3</v>
      </c>
      <c r="Y26" s="28">
        <v>1762</v>
      </c>
      <c r="Z26" s="28">
        <v>2475.1999999999998</v>
      </c>
      <c r="AA26" s="33">
        <v>0.74611432956707802</v>
      </c>
      <c r="AB26" s="34">
        <v>5.7000000000000002E-2</v>
      </c>
      <c r="AC26" s="34">
        <f t="shared" si="0"/>
        <v>4.9999999999999975E-3</v>
      </c>
      <c r="AD26" s="15">
        <v>10.59843</v>
      </c>
      <c r="AE26" s="15">
        <v>0.27989999999999998</v>
      </c>
      <c r="AF26" s="15">
        <v>0.52780000000000005</v>
      </c>
      <c r="AG26" s="15" t="s">
        <v>616</v>
      </c>
      <c r="AH26" s="15" t="s">
        <v>627</v>
      </c>
      <c r="AP26"/>
      <c r="AQ26" s="34" t="e">
        <f t="shared" si="2"/>
        <v>#DIV/0!</v>
      </c>
      <c r="AR26" s="34" t="e">
        <f t="shared" si="3"/>
        <v>#DIV/0!</v>
      </c>
      <c r="AS26" s="58" t="e">
        <f t="shared" si="4"/>
        <v>#DIV/0!</v>
      </c>
      <c r="AV26"/>
      <c r="AW26" s="34"/>
    </row>
    <row r="27" spans="1:50" ht="15" x14ac:dyDescent="0.25">
      <c r="A27" s="14">
        <v>45818</v>
      </c>
      <c r="B27" s="15">
        <v>25</v>
      </c>
      <c r="C27" s="15" t="s">
        <v>557</v>
      </c>
      <c r="D27" s="17">
        <f t="shared" si="1"/>
        <v>202505300012</v>
      </c>
      <c r="E27" s="15" t="s">
        <v>43</v>
      </c>
      <c r="F27" s="15" t="s">
        <v>594</v>
      </c>
      <c r="G27" s="15" t="s">
        <v>595</v>
      </c>
      <c r="H27" s="15" t="s">
        <v>596</v>
      </c>
      <c r="I27" s="15" t="s">
        <v>137</v>
      </c>
      <c r="J27" s="26">
        <v>45807</v>
      </c>
      <c r="K27" s="28">
        <v>2150</v>
      </c>
      <c r="L27" s="28">
        <v>250</v>
      </c>
      <c r="M27" s="28">
        <v>400</v>
      </c>
      <c r="N27" s="28">
        <v>2800</v>
      </c>
      <c r="O27" s="17">
        <v>0</v>
      </c>
      <c r="P27" s="17">
        <v>456</v>
      </c>
      <c r="Q27" s="17">
        <v>1</v>
      </c>
      <c r="R27" s="13">
        <v>0.06</v>
      </c>
      <c r="S27" s="14">
        <v>45848</v>
      </c>
      <c r="T27" s="14">
        <v>59697</v>
      </c>
      <c r="U27" s="31">
        <v>45848</v>
      </c>
      <c r="V27" s="19">
        <v>2283.8148628968606</v>
      </c>
      <c r="W27" s="19">
        <v>2284.0008368035838</v>
      </c>
      <c r="X27" s="32">
        <v>4.471698917043021E-3</v>
      </c>
      <c r="Y27" s="28">
        <v>2150</v>
      </c>
      <c r="Z27" s="28">
        <v>3022.75</v>
      </c>
      <c r="AA27" s="33">
        <v>0.755603618163455</v>
      </c>
      <c r="AB27" s="34">
        <v>5.5E-2</v>
      </c>
      <c r="AC27" s="34">
        <f t="shared" si="0"/>
        <v>4.9999999999999975E-3</v>
      </c>
      <c r="AD27" s="15">
        <v>11.749750000000001</v>
      </c>
      <c r="AE27" s="15">
        <v>0.37159999999999999</v>
      </c>
      <c r="AF27" s="15">
        <v>0.45519999999999999</v>
      </c>
      <c r="AG27" s="15" t="s">
        <v>617</v>
      </c>
      <c r="AH27" s="15" t="s">
        <v>144</v>
      </c>
      <c r="AP27"/>
      <c r="AQ27" s="34" t="e">
        <f t="shared" si="2"/>
        <v>#DIV/0!</v>
      </c>
      <c r="AR27" s="34" t="e">
        <f t="shared" si="3"/>
        <v>#DIV/0!</v>
      </c>
      <c r="AS27" s="58" t="e">
        <f t="shared" si="4"/>
        <v>#DIV/0!</v>
      </c>
      <c r="AV27"/>
      <c r="AW27" s="34"/>
    </row>
    <row r="28" spans="1:50" ht="15" x14ac:dyDescent="0.25">
      <c r="A28" s="14">
        <v>45818</v>
      </c>
      <c r="B28" s="15">
        <v>26</v>
      </c>
      <c r="C28" s="15" t="s">
        <v>558</v>
      </c>
      <c r="D28" s="17">
        <f t="shared" si="1"/>
        <v>202505300007</v>
      </c>
      <c r="E28" s="15" t="s">
        <v>597</v>
      </c>
      <c r="F28" s="15" t="s">
        <v>54</v>
      </c>
      <c r="G28" s="15" t="s">
        <v>598</v>
      </c>
      <c r="H28" s="15" t="s">
        <v>599</v>
      </c>
      <c r="I28" s="15" t="s">
        <v>499</v>
      </c>
      <c r="J28" s="26">
        <v>45807</v>
      </c>
      <c r="K28" s="28">
        <v>2150</v>
      </c>
      <c r="L28" s="28">
        <v>250</v>
      </c>
      <c r="M28" s="28">
        <v>400</v>
      </c>
      <c r="N28" s="28">
        <v>2800</v>
      </c>
      <c r="O28" s="17">
        <v>0</v>
      </c>
      <c r="P28" s="17">
        <v>360</v>
      </c>
      <c r="Q28" s="17">
        <v>1</v>
      </c>
      <c r="R28" s="13">
        <v>0.06</v>
      </c>
      <c r="S28" s="14">
        <v>45848</v>
      </c>
      <c r="T28" s="14">
        <v>56775</v>
      </c>
      <c r="U28" s="31">
        <v>45848</v>
      </c>
      <c r="V28" s="19">
        <v>2265.1264317161213</v>
      </c>
      <c r="W28" s="19">
        <v>2264.8866733180303</v>
      </c>
      <c r="X28" s="32">
        <v>4.471698917043021E-3</v>
      </c>
      <c r="Y28" s="28">
        <v>2150</v>
      </c>
      <c r="Z28" s="28">
        <v>2812.75</v>
      </c>
      <c r="AA28" s="33">
        <v>0.80522146416070761</v>
      </c>
      <c r="AB28" s="34">
        <v>5.5E-2</v>
      </c>
      <c r="AC28" s="34">
        <f t="shared" si="0"/>
        <v>4.9999999999999975E-3</v>
      </c>
      <c r="AD28" s="15">
        <v>12.6721</v>
      </c>
      <c r="AE28" s="15">
        <v>0.31759999999999999</v>
      </c>
      <c r="AF28" s="15">
        <v>0.31759999999999999</v>
      </c>
      <c r="AG28" s="15" t="s">
        <v>618</v>
      </c>
      <c r="AH28" s="15" t="s">
        <v>623</v>
      </c>
      <c r="AP28"/>
      <c r="AQ28" s="34" t="e">
        <f t="shared" si="2"/>
        <v>#DIV/0!</v>
      </c>
      <c r="AR28" s="34" t="e">
        <f t="shared" si="3"/>
        <v>#DIV/0!</v>
      </c>
      <c r="AS28" s="58" t="e">
        <f t="shared" si="4"/>
        <v>#DIV/0!</v>
      </c>
      <c r="AV28"/>
      <c r="AW28" s="34"/>
    </row>
    <row r="29" spans="1:50" ht="15" x14ac:dyDescent="0.25">
      <c r="A29" s="14">
        <v>45818</v>
      </c>
      <c r="B29" s="15">
        <v>27</v>
      </c>
      <c r="C29" s="15" t="s">
        <v>559</v>
      </c>
      <c r="D29" s="17">
        <f t="shared" si="1"/>
        <v>202505300014</v>
      </c>
      <c r="E29" s="15" t="s">
        <v>45</v>
      </c>
      <c r="F29" s="15" t="s">
        <v>600</v>
      </c>
      <c r="G29" s="15" t="s">
        <v>601</v>
      </c>
      <c r="H29" s="15" t="s">
        <v>602</v>
      </c>
      <c r="I29" s="15" t="s">
        <v>143</v>
      </c>
      <c r="J29" s="26">
        <v>45807</v>
      </c>
      <c r="K29" s="28">
        <v>1970</v>
      </c>
      <c r="L29" s="28">
        <v>250</v>
      </c>
      <c r="M29" s="28">
        <v>380</v>
      </c>
      <c r="N29" s="28">
        <v>2600</v>
      </c>
      <c r="O29" s="17">
        <v>0</v>
      </c>
      <c r="P29" s="17">
        <v>480</v>
      </c>
      <c r="Q29" s="17">
        <v>1</v>
      </c>
      <c r="R29" s="13">
        <v>6.5000000000000002E-2</v>
      </c>
      <c r="S29" s="14">
        <v>45848</v>
      </c>
      <c r="T29" s="14">
        <v>60428</v>
      </c>
      <c r="U29" s="31">
        <v>45848</v>
      </c>
      <c r="V29" s="19">
        <v>2090.8585542325318</v>
      </c>
      <c r="W29" s="19">
        <v>2090.1975582292998</v>
      </c>
      <c r="X29" s="32">
        <v>4.8675505653430484E-3</v>
      </c>
      <c r="Y29" s="28">
        <v>1970</v>
      </c>
      <c r="Z29" s="28">
        <v>2771.16</v>
      </c>
      <c r="AA29" s="33">
        <v>0.75426808925839717</v>
      </c>
      <c r="AB29" s="34">
        <v>6.0000000000000005E-2</v>
      </c>
      <c r="AC29" s="34">
        <f t="shared" si="0"/>
        <v>4.9999999999999975E-3</v>
      </c>
      <c r="AD29" s="15">
        <v>11.27431</v>
      </c>
      <c r="AE29" s="15">
        <v>0.1003</v>
      </c>
      <c r="AF29" s="15">
        <v>0.2288</v>
      </c>
      <c r="AG29" s="15" t="s">
        <v>619</v>
      </c>
      <c r="AH29" s="15" t="s">
        <v>623</v>
      </c>
      <c r="AP29"/>
      <c r="AQ29" s="34" t="e">
        <f t="shared" si="2"/>
        <v>#DIV/0!</v>
      </c>
      <c r="AR29" s="34" t="e">
        <f t="shared" si="3"/>
        <v>#DIV/0!</v>
      </c>
      <c r="AS29" s="58" t="e">
        <f t="shared" si="4"/>
        <v>#DIV/0!</v>
      </c>
      <c r="AV29"/>
      <c r="AW29" s="34"/>
    </row>
    <row r="30" spans="1:50" ht="15" x14ac:dyDescent="0.25">
      <c r="A30" s="14">
        <v>45818</v>
      </c>
      <c r="B30" s="15">
        <v>28</v>
      </c>
      <c r="C30" s="15" t="s">
        <v>560</v>
      </c>
      <c r="D30" s="17">
        <f t="shared" si="1"/>
        <v>202505300018</v>
      </c>
      <c r="E30" s="15" t="s">
        <v>74</v>
      </c>
      <c r="F30" s="15" t="s">
        <v>28</v>
      </c>
      <c r="G30" s="15" t="s">
        <v>57</v>
      </c>
      <c r="H30" s="15" t="s">
        <v>603</v>
      </c>
      <c r="I30" s="15" t="s">
        <v>140</v>
      </c>
      <c r="J30" s="26">
        <v>45807</v>
      </c>
      <c r="K30" s="28">
        <v>1820</v>
      </c>
      <c r="L30" s="28">
        <v>350</v>
      </c>
      <c r="M30" s="28">
        <v>430</v>
      </c>
      <c r="N30" s="28">
        <v>2600</v>
      </c>
      <c r="O30" s="17">
        <v>0</v>
      </c>
      <c r="P30" s="17">
        <v>480</v>
      </c>
      <c r="Q30" s="17">
        <v>1</v>
      </c>
      <c r="R30" s="13">
        <v>6.5000000000000002E-2</v>
      </c>
      <c r="S30" s="14">
        <v>45848</v>
      </c>
      <c r="T30" s="14">
        <v>60428</v>
      </c>
      <c r="U30" s="31">
        <v>45848</v>
      </c>
      <c r="V30" s="19">
        <v>1931.656126245281</v>
      </c>
      <c r="W30" s="19">
        <v>1932.550542849423</v>
      </c>
      <c r="X30" s="32">
        <v>4.8675505653430484E-3</v>
      </c>
      <c r="Y30" s="28">
        <v>1820</v>
      </c>
      <c r="Z30" s="28">
        <v>2742</v>
      </c>
      <c r="AA30" s="33">
        <v>0.70479596748702511</v>
      </c>
      <c r="AB30" s="34">
        <v>6.0000000000000005E-2</v>
      </c>
      <c r="AC30" s="34">
        <f t="shared" si="0"/>
        <v>4.9999999999999975E-3</v>
      </c>
      <c r="AD30" s="15">
        <v>10.41586</v>
      </c>
      <c r="AE30" s="15">
        <v>0.34310000000000002</v>
      </c>
      <c r="AF30" s="15">
        <v>0.35849999999999999</v>
      </c>
      <c r="AG30" s="15" t="s">
        <v>620</v>
      </c>
      <c r="AH30" s="15" t="s">
        <v>623</v>
      </c>
      <c r="AP30"/>
      <c r="AQ30" s="34" t="e">
        <f t="shared" si="2"/>
        <v>#DIV/0!</v>
      </c>
      <c r="AR30" s="34" t="e">
        <f t="shared" si="3"/>
        <v>#DIV/0!</v>
      </c>
      <c r="AS30" s="58" t="e">
        <f t="shared" si="4"/>
        <v>#DIV/0!</v>
      </c>
      <c r="AV30"/>
      <c r="AW30" s="34"/>
    </row>
    <row r="31" spans="1:50" ht="15" x14ac:dyDescent="0.25">
      <c r="A31" s="14">
        <v>45818</v>
      </c>
      <c r="B31" s="15">
        <v>29</v>
      </c>
      <c r="C31" s="15" t="s">
        <v>561</v>
      </c>
      <c r="D31" s="17">
        <f t="shared" si="1"/>
        <v>202506060025</v>
      </c>
      <c r="E31" s="15" t="s">
        <v>51</v>
      </c>
      <c r="F31" s="15" t="s">
        <v>35</v>
      </c>
      <c r="G31" s="15" t="s">
        <v>72</v>
      </c>
      <c r="H31" s="15" t="s">
        <v>604</v>
      </c>
      <c r="I31" s="15" t="s">
        <v>140</v>
      </c>
      <c r="J31" s="26">
        <v>45814</v>
      </c>
      <c r="K31" s="28">
        <v>1600</v>
      </c>
      <c r="L31" s="28">
        <v>300</v>
      </c>
      <c r="M31" s="28">
        <v>350</v>
      </c>
      <c r="N31" s="28">
        <v>2250</v>
      </c>
      <c r="O31" s="17">
        <v>0</v>
      </c>
      <c r="P31" s="17">
        <v>480</v>
      </c>
      <c r="Q31" s="17">
        <v>1</v>
      </c>
      <c r="R31" s="13">
        <v>6.4000000000000001E-2</v>
      </c>
      <c r="S31" s="14">
        <v>45879</v>
      </c>
      <c r="T31" s="14">
        <v>60458</v>
      </c>
      <c r="U31" s="31">
        <v>45848</v>
      </c>
      <c r="V31" s="19">
        <v>1690.0427289748102</v>
      </c>
      <c r="W31" s="19">
        <v>1690.9781723751646</v>
      </c>
      <c r="X31" s="32">
        <v>4.7885173650881185E-3</v>
      </c>
      <c r="Y31" s="28">
        <v>1600</v>
      </c>
      <c r="Z31" s="28">
        <v>2388.54</v>
      </c>
      <c r="AA31" s="33">
        <v>0.70795472228857992</v>
      </c>
      <c r="AB31" s="34">
        <v>5.9000000000000004E-2</v>
      </c>
      <c r="AC31" s="34">
        <f t="shared" si="0"/>
        <v>4.9999999999999975E-3</v>
      </c>
      <c r="AD31" s="15">
        <v>9.0495999999999999</v>
      </c>
      <c r="AE31" s="15">
        <v>0.35399999999999998</v>
      </c>
      <c r="AF31" s="15">
        <v>0.37040000000000001</v>
      </c>
      <c r="AG31" s="15" t="s">
        <v>621</v>
      </c>
      <c r="AH31" s="15" t="s">
        <v>628</v>
      </c>
      <c r="AP31"/>
      <c r="AQ31" s="34" t="e">
        <f t="shared" si="2"/>
        <v>#DIV/0!</v>
      </c>
      <c r="AR31" s="34" t="e">
        <f t="shared" si="3"/>
        <v>#DIV/0!</v>
      </c>
      <c r="AS31" s="58" t="e">
        <f t="shared" si="4"/>
        <v>#DIV/0!</v>
      </c>
      <c r="AV31"/>
      <c r="AW31" s="34"/>
    </row>
    <row r="32" spans="1:50" ht="15" x14ac:dyDescent="0.25">
      <c r="A32" s="14">
        <v>45818</v>
      </c>
      <c r="B32" s="15">
        <v>30</v>
      </c>
      <c r="C32" s="15" t="s">
        <v>562</v>
      </c>
      <c r="D32" s="17">
        <f t="shared" si="1"/>
        <v>202506090026</v>
      </c>
      <c r="E32" s="15" t="s">
        <v>34</v>
      </c>
      <c r="F32" s="15" t="s">
        <v>31</v>
      </c>
      <c r="G32" s="15" t="s">
        <v>39</v>
      </c>
      <c r="H32" s="15" t="s">
        <v>605</v>
      </c>
      <c r="I32" s="15" t="s">
        <v>142</v>
      </c>
      <c r="J32" s="26">
        <v>45817</v>
      </c>
      <c r="K32" s="28">
        <v>1420</v>
      </c>
      <c r="L32" s="28">
        <v>300</v>
      </c>
      <c r="M32" s="28">
        <v>430</v>
      </c>
      <c r="N32" s="28">
        <v>2150</v>
      </c>
      <c r="O32" s="17">
        <v>0</v>
      </c>
      <c r="P32" s="17">
        <v>420</v>
      </c>
      <c r="Q32" s="17">
        <v>1</v>
      </c>
      <c r="R32" s="13">
        <v>6.5000000000000002E-2</v>
      </c>
      <c r="S32" s="14">
        <v>45879</v>
      </c>
      <c r="T32" s="14">
        <v>58632</v>
      </c>
      <c r="U32" s="31">
        <v>45848</v>
      </c>
      <c r="V32" s="19">
        <v>1493.630355394233</v>
      </c>
      <c r="W32" s="19">
        <v>1493.9658619133627</v>
      </c>
      <c r="X32" s="32">
        <v>4.8675505653430484E-3</v>
      </c>
      <c r="Y32" s="28">
        <v>1420</v>
      </c>
      <c r="Z32" s="28">
        <v>2396</v>
      </c>
      <c r="AA32" s="33">
        <v>0.62352498410407453</v>
      </c>
      <c r="AB32" s="34">
        <v>6.0000000000000005E-2</v>
      </c>
      <c r="AC32" s="34">
        <f t="shared" si="0"/>
        <v>4.9999999999999975E-3</v>
      </c>
      <c r="AD32" s="15">
        <v>8.3978800000000007</v>
      </c>
      <c r="AE32" s="15">
        <v>0.37019999999999997</v>
      </c>
      <c r="AF32" s="15">
        <v>0.37169999999999997</v>
      </c>
      <c r="AG32" s="15" t="s">
        <v>622</v>
      </c>
      <c r="AH32" s="15" t="s">
        <v>623</v>
      </c>
      <c r="AP32"/>
      <c r="AQ32" s="34" t="e">
        <f t="shared" si="2"/>
        <v>#DIV/0!</v>
      </c>
      <c r="AR32" s="34" t="e">
        <f t="shared" si="3"/>
        <v>#DIV/0!</v>
      </c>
      <c r="AS32" s="58" t="e">
        <f t="shared" si="4"/>
        <v>#DIV/0!</v>
      </c>
      <c r="AV32"/>
      <c r="AW32" s="34"/>
    </row>
    <row r="33" spans="1:49" ht="15" x14ac:dyDescent="0.25">
      <c r="A33" s="14">
        <v>45842</v>
      </c>
      <c r="B33" s="15">
        <v>31</v>
      </c>
      <c r="C33" s="15" t="s">
        <v>629</v>
      </c>
      <c r="D33" s="17">
        <f t="shared" si="1"/>
        <v>202506170036</v>
      </c>
      <c r="E33" s="15" t="s">
        <v>40</v>
      </c>
      <c r="F33" s="15" t="s">
        <v>638</v>
      </c>
      <c r="G33" s="15" t="s">
        <v>639</v>
      </c>
      <c r="H33" s="15" t="s">
        <v>640</v>
      </c>
      <c r="I33" s="15" t="s">
        <v>137</v>
      </c>
      <c r="J33" s="26">
        <v>45825</v>
      </c>
      <c r="K33" s="28">
        <v>800</v>
      </c>
      <c r="L33" s="28">
        <v>650</v>
      </c>
      <c r="M33" s="28">
        <v>1150</v>
      </c>
      <c r="N33" s="28">
        <v>2600</v>
      </c>
      <c r="O33" s="17">
        <v>0</v>
      </c>
      <c r="P33" s="17">
        <v>360</v>
      </c>
      <c r="Q33" s="17">
        <v>1</v>
      </c>
      <c r="R33" s="13">
        <v>6.4000000000000001E-2</v>
      </c>
      <c r="S33" s="14">
        <v>45879</v>
      </c>
      <c r="T33" s="14">
        <v>56805</v>
      </c>
      <c r="U33" s="31">
        <v>45848</v>
      </c>
      <c r="V33" s="19">
        <v>841.71038658105772</v>
      </c>
      <c r="W33" s="19">
        <v>840.90867727439763</v>
      </c>
      <c r="X33" s="32">
        <v>4.7885173650881185E-3</v>
      </c>
      <c r="Y33" s="28">
        <v>800</v>
      </c>
      <c r="Z33" s="28">
        <v>2943.55</v>
      </c>
      <c r="AA33" s="33">
        <v>0.28567840779820203</v>
      </c>
      <c r="AB33" s="34">
        <v>5.9000000000000004E-2</v>
      </c>
      <c r="AC33" s="34">
        <f t="shared" si="0"/>
        <v>4.9999999999999975E-3</v>
      </c>
      <c r="AD33" s="15">
        <v>4.9096000000000002</v>
      </c>
      <c r="AE33" s="15">
        <v>0.25380000000000003</v>
      </c>
      <c r="AF33" s="69">
        <v>0</v>
      </c>
      <c r="AG33" s="15" t="s">
        <v>661</v>
      </c>
      <c r="AH33" s="15" t="s">
        <v>665</v>
      </c>
      <c r="AP33"/>
      <c r="AQ33" s="34" t="e">
        <f t="shared" si="2"/>
        <v>#DIV/0!</v>
      </c>
      <c r="AR33" s="34" t="e">
        <f t="shared" si="3"/>
        <v>#DIV/0!</v>
      </c>
      <c r="AS33" s="58" t="e">
        <f t="shared" si="4"/>
        <v>#DIV/0!</v>
      </c>
      <c r="AV33"/>
      <c r="AW33" s="34"/>
    </row>
    <row r="34" spans="1:49" ht="15" x14ac:dyDescent="0.25">
      <c r="A34" s="14">
        <v>45842</v>
      </c>
      <c r="B34" s="15">
        <v>32</v>
      </c>
      <c r="C34" s="15" t="s">
        <v>630</v>
      </c>
      <c r="D34" s="17">
        <f t="shared" si="1"/>
        <v>202506130034</v>
      </c>
      <c r="E34" s="15" t="s">
        <v>641</v>
      </c>
      <c r="F34" s="15" t="s">
        <v>642</v>
      </c>
      <c r="G34" s="15" t="s">
        <v>643</v>
      </c>
      <c r="H34" s="15" t="s">
        <v>644</v>
      </c>
      <c r="I34" s="15" t="s">
        <v>140</v>
      </c>
      <c r="J34" s="26">
        <v>45821</v>
      </c>
      <c r="K34" s="28">
        <v>2150</v>
      </c>
      <c r="L34" s="28">
        <v>550</v>
      </c>
      <c r="M34" s="28">
        <v>100</v>
      </c>
      <c r="N34" s="28">
        <v>2800</v>
      </c>
      <c r="O34" s="17">
        <v>1</v>
      </c>
      <c r="P34" s="17">
        <v>300</v>
      </c>
      <c r="Q34" s="17">
        <v>1</v>
      </c>
      <c r="R34" s="13">
        <v>0.06</v>
      </c>
      <c r="S34" s="14">
        <v>45879</v>
      </c>
      <c r="T34" s="14">
        <v>54979</v>
      </c>
      <c r="U34" s="31">
        <v>45848</v>
      </c>
      <c r="V34" s="19">
        <v>2251.1203151056498</v>
      </c>
      <c r="W34" s="19">
        <v>2248.3030188744729</v>
      </c>
      <c r="X34" s="32">
        <v>4.471698917043021E-3</v>
      </c>
      <c r="Y34" s="28">
        <v>2150</v>
      </c>
      <c r="Z34" s="28">
        <v>2895</v>
      </c>
      <c r="AA34" s="33">
        <v>0.77661589598427383</v>
      </c>
      <c r="AB34" s="34">
        <v>5.5E-2</v>
      </c>
      <c r="AC34" s="34">
        <f t="shared" si="0"/>
        <v>4.9999999999999975E-3</v>
      </c>
      <c r="AD34" s="15">
        <v>13.6439</v>
      </c>
      <c r="AE34" s="15">
        <v>0.14779999999999999</v>
      </c>
      <c r="AF34" s="15">
        <v>3.1199999999999999E-2</v>
      </c>
      <c r="AG34" s="15" t="s">
        <v>607</v>
      </c>
      <c r="AH34" s="15" t="s">
        <v>623</v>
      </c>
      <c r="AP34"/>
      <c r="AQ34" s="34" t="e">
        <f t="shared" si="2"/>
        <v>#DIV/0!</v>
      </c>
      <c r="AR34" s="34" t="e">
        <f t="shared" si="3"/>
        <v>#DIV/0!</v>
      </c>
      <c r="AS34" s="58" t="e">
        <f t="shared" si="4"/>
        <v>#DIV/0!</v>
      </c>
      <c r="AV34"/>
      <c r="AW34" s="34"/>
    </row>
    <row r="35" spans="1:49" ht="15" x14ac:dyDescent="0.25">
      <c r="A35" s="14">
        <v>45842</v>
      </c>
      <c r="B35" s="15">
        <v>33</v>
      </c>
      <c r="C35" s="15" t="s">
        <v>631</v>
      </c>
      <c r="D35" s="17">
        <f t="shared" si="1"/>
        <v>202506190037</v>
      </c>
      <c r="E35" s="15" t="s">
        <v>32</v>
      </c>
      <c r="F35" s="15" t="s">
        <v>645</v>
      </c>
      <c r="G35" s="15" t="s">
        <v>646</v>
      </c>
      <c r="H35" s="15" t="s">
        <v>647</v>
      </c>
      <c r="I35" s="15" t="s">
        <v>145</v>
      </c>
      <c r="J35" s="14">
        <v>45827</v>
      </c>
      <c r="K35" s="28">
        <v>2150</v>
      </c>
      <c r="L35" s="28">
        <v>550</v>
      </c>
      <c r="M35" s="28">
        <v>100</v>
      </c>
      <c r="N35" s="28">
        <v>2800</v>
      </c>
      <c r="O35" s="17">
        <v>2</v>
      </c>
      <c r="P35" s="17">
        <v>480</v>
      </c>
      <c r="Q35" s="17">
        <v>1</v>
      </c>
      <c r="R35" s="13">
        <v>0.06</v>
      </c>
      <c r="S35" s="14">
        <v>45879</v>
      </c>
      <c r="T35" s="14">
        <v>60458</v>
      </c>
      <c r="U35" s="31">
        <v>45848</v>
      </c>
      <c r="V35" s="19">
        <v>2287.8252551580995</v>
      </c>
      <c r="W35" s="19">
        <v>2285.0640114978119</v>
      </c>
      <c r="X35" s="32">
        <v>4.471698917043021E-3</v>
      </c>
      <c r="Y35" s="28">
        <v>2150</v>
      </c>
      <c r="Z35" s="28">
        <v>3083.35</v>
      </c>
      <c r="AA35" s="33">
        <v>0.74109783563261122</v>
      </c>
      <c r="AB35" s="34">
        <v>5.5E-2</v>
      </c>
      <c r="AC35" s="34">
        <f t="shared" si="0"/>
        <v>4.9999999999999975E-3</v>
      </c>
      <c r="AD35" s="15">
        <v>11.5928</v>
      </c>
      <c r="AE35" s="15">
        <v>0.2079</v>
      </c>
      <c r="AF35" s="15">
        <v>3.0800000000000001E-2</v>
      </c>
      <c r="AG35" s="15" t="s">
        <v>608</v>
      </c>
      <c r="AH35" s="15" t="s">
        <v>623</v>
      </c>
      <c r="AP35"/>
      <c r="AQ35" s="34" t="e">
        <f t="shared" si="2"/>
        <v>#DIV/0!</v>
      </c>
      <c r="AR35" s="34" t="e">
        <f t="shared" si="3"/>
        <v>#DIV/0!</v>
      </c>
      <c r="AS35" s="58" t="e">
        <f t="shared" si="4"/>
        <v>#DIV/0!</v>
      </c>
      <c r="AV35"/>
      <c r="AW35" s="34"/>
    </row>
    <row r="36" spans="1:49" ht="15" x14ac:dyDescent="0.25">
      <c r="A36" s="14">
        <v>45842</v>
      </c>
      <c r="B36" s="15">
        <v>34</v>
      </c>
      <c r="C36" s="15" t="s">
        <v>632</v>
      </c>
      <c r="D36" s="17">
        <f t="shared" si="1"/>
        <v>202506130039</v>
      </c>
      <c r="E36" s="15" t="s">
        <v>58</v>
      </c>
      <c r="F36" s="15" t="s">
        <v>36</v>
      </c>
      <c r="G36" s="15" t="s">
        <v>648</v>
      </c>
      <c r="H36" s="15" t="s">
        <v>649</v>
      </c>
      <c r="I36" s="15" t="s">
        <v>139</v>
      </c>
      <c r="J36" s="14">
        <v>45821</v>
      </c>
      <c r="K36" s="28">
        <v>1550</v>
      </c>
      <c r="L36" s="28">
        <v>550</v>
      </c>
      <c r="M36" s="28">
        <v>118</v>
      </c>
      <c r="N36" s="28">
        <v>2218</v>
      </c>
      <c r="O36" s="17">
        <v>3</v>
      </c>
      <c r="P36" s="17">
        <v>480</v>
      </c>
      <c r="Q36" s="17">
        <v>1</v>
      </c>
      <c r="R36" s="13">
        <v>6.5000000000000002E-2</v>
      </c>
      <c r="S36" s="14">
        <v>45879</v>
      </c>
      <c r="T36" s="14">
        <v>60458</v>
      </c>
      <c r="U36" s="31">
        <v>45848</v>
      </c>
      <c r="V36" s="19">
        <v>1645.0917558682329</v>
      </c>
      <c r="W36" s="19">
        <v>1643.2423891380311</v>
      </c>
      <c r="X36" s="32">
        <v>4.8675505653430484E-3</v>
      </c>
      <c r="Y36" s="28">
        <v>1550</v>
      </c>
      <c r="Z36" s="28">
        <v>2485.4</v>
      </c>
      <c r="AA36" s="33">
        <v>0.66115811907058464</v>
      </c>
      <c r="AB36" s="34">
        <v>6.0000000000000005E-2</v>
      </c>
      <c r="AC36" s="34">
        <f t="shared" si="0"/>
        <v>4.9999999999999975E-3</v>
      </c>
      <c r="AD36" s="15">
        <v>8.8706499999999995</v>
      </c>
      <c r="AE36" s="15">
        <v>0.22309999999999999</v>
      </c>
      <c r="AF36" s="15">
        <v>0.2361</v>
      </c>
      <c r="AG36" s="15" t="s">
        <v>609</v>
      </c>
      <c r="AH36" s="15" t="s">
        <v>666</v>
      </c>
      <c r="AP36"/>
      <c r="AQ36" s="34" t="e">
        <f t="shared" si="2"/>
        <v>#DIV/0!</v>
      </c>
      <c r="AR36" s="34" t="e">
        <f t="shared" si="3"/>
        <v>#DIV/0!</v>
      </c>
      <c r="AS36" s="58" t="e">
        <f t="shared" si="4"/>
        <v>#DIV/0!</v>
      </c>
      <c r="AV36"/>
      <c r="AW36" s="34"/>
    </row>
    <row r="37" spans="1:49" ht="15" x14ac:dyDescent="0.25">
      <c r="A37" s="14">
        <v>45842</v>
      </c>
      <c r="B37" s="15">
        <v>35</v>
      </c>
      <c r="C37" s="15" t="s">
        <v>633</v>
      </c>
      <c r="D37" s="17">
        <f t="shared" si="1"/>
        <v>202506130031</v>
      </c>
      <c r="E37" s="15" t="s">
        <v>73</v>
      </c>
      <c r="F37" s="15" t="s">
        <v>52</v>
      </c>
      <c r="G37" s="15" t="s">
        <v>650</v>
      </c>
      <c r="H37" s="15" t="s">
        <v>651</v>
      </c>
      <c r="I37" s="15" t="s">
        <v>23</v>
      </c>
      <c r="J37" s="14">
        <v>45821</v>
      </c>
      <c r="K37" s="28">
        <v>2150</v>
      </c>
      <c r="L37" s="28">
        <v>550</v>
      </c>
      <c r="M37" s="28">
        <v>100</v>
      </c>
      <c r="N37" s="28">
        <v>2800</v>
      </c>
      <c r="O37" s="17">
        <v>4</v>
      </c>
      <c r="P37" s="17">
        <v>480</v>
      </c>
      <c r="Q37" s="17">
        <v>1</v>
      </c>
      <c r="R37" s="13">
        <v>0.06</v>
      </c>
      <c r="S37" s="14">
        <v>45879</v>
      </c>
      <c r="T37" s="14">
        <v>60458</v>
      </c>
      <c r="U37" s="31">
        <v>45848</v>
      </c>
      <c r="V37" s="19">
        <v>2287.8252551580995</v>
      </c>
      <c r="W37" s="19">
        <v>2285.0640114978119</v>
      </c>
      <c r="X37" s="32">
        <v>4.471698917043021E-3</v>
      </c>
      <c r="Y37" s="28">
        <v>2150</v>
      </c>
      <c r="Z37" s="28">
        <v>3075.45</v>
      </c>
      <c r="AA37" s="33">
        <v>0.74300151571243622</v>
      </c>
      <c r="AB37" s="34">
        <v>5.5E-2</v>
      </c>
      <c r="AC37" s="34">
        <f t="shared" si="0"/>
        <v>4.9999999999999975E-3</v>
      </c>
      <c r="AD37" s="15">
        <v>11.5928</v>
      </c>
      <c r="AE37" s="15">
        <v>0.28170000000000001</v>
      </c>
      <c r="AF37" s="15">
        <v>8.6E-3</v>
      </c>
      <c r="AG37" s="15" t="s">
        <v>610</v>
      </c>
      <c r="AH37" s="15" t="s">
        <v>623</v>
      </c>
      <c r="AP37"/>
      <c r="AQ37" s="34" t="e">
        <f t="shared" ref="AQ37:AQ42" si="5">+AVERAGEIF($A$3:$A$1464,AP37,$R$3:$R$1464)</f>
        <v>#DIV/0!</v>
      </c>
      <c r="AR37" s="34" t="e">
        <f t="shared" ref="AR37:AR42" si="6">+AVERAGEIF($A$3:$A$1464,AP37,$AB$3:$AB$1464)</f>
        <v>#DIV/0!</v>
      </c>
      <c r="AS37" s="58" t="e">
        <f t="shared" si="4"/>
        <v>#DIV/0!</v>
      </c>
      <c r="AV37"/>
      <c r="AW37" s="34"/>
    </row>
    <row r="38" spans="1:49" ht="15" x14ac:dyDescent="0.25">
      <c r="A38" s="14">
        <v>45842</v>
      </c>
      <c r="B38" s="15">
        <v>36</v>
      </c>
      <c r="C38" s="15" t="s">
        <v>634</v>
      </c>
      <c r="D38" s="17">
        <f t="shared" si="1"/>
        <v>202506180038</v>
      </c>
      <c r="E38" s="15" t="s">
        <v>33</v>
      </c>
      <c r="F38" s="15" t="s">
        <v>50</v>
      </c>
      <c r="G38" s="15" t="s">
        <v>652</v>
      </c>
      <c r="H38" s="15" t="s">
        <v>653</v>
      </c>
      <c r="I38" s="15" t="s">
        <v>139</v>
      </c>
      <c r="J38" s="14">
        <v>45826</v>
      </c>
      <c r="K38" s="28">
        <v>2150</v>
      </c>
      <c r="L38" s="28">
        <v>550</v>
      </c>
      <c r="M38" s="28">
        <v>100</v>
      </c>
      <c r="N38" s="28">
        <v>2800</v>
      </c>
      <c r="O38" s="17">
        <v>5</v>
      </c>
      <c r="P38" s="17">
        <v>336</v>
      </c>
      <c r="Q38" s="17">
        <v>1</v>
      </c>
      <c r="R38" s="13">
        <v>0.06</v>
      </c>
      <c r="S38" s="14">
        <v>45879</v>
      </c>
      <c r="T38" s="14">
        <v>56075</v>
      </c>
      <c r="U38" s="31">
        <v>45848</v>
      </c>
      <c r="V38" s="19">
        <v>2259.7772804512801</v>
      </c>
      <c r="W38" s="19">
        <v>2257.6532354698224</v>
      </c>
      <c r="X38" s="32">
        <v>4.471698917043021E-3</v>
      </c>
      <c r="Y38" s="28">
        <v>2150</v>
      </c>
      <c r="Z38" s="28">
        <v>2968</v>
      </c>
      <c r="AA38" s="33">
        <v>0.76066483674859242</v>
      </c>
      <c r="AB38" s="34">
        <v>5.5E-2</v>
      </c>
      <c r="AC38" s="34">
        <f t="shared" si="0"/>
        <v>4.9999999999999975E-3</v>
      </c>
      <c r="AD38" s="15">
        <v>13.009650000000001</v>
      </c>
      <c r="AE38" s="15">
        <v>0.28349999999999997</v>
      </c>
      <c r="AF38" s="15">
        <v>0.1119</v>
      </c>
      <c r="AG38" s="15" t="s">
        <v>611</v>
      </c>
      <c r="AH38" s="15" t="s">
        <v>144</v>
      </c>
      <c r="AP38"/>
      <c r="AQ38" s="34" t="e">
        <f t="shared" si="5"/>
        <v>#DIV/0!</v>
      </c>
      <c r="AR38" s="34" t="e">
        <f t="shared" si="6"/>
        <v>#DIV/0!</v>
      </c>
      <c r="AS38" s="58" t="e">
        <f t="shared" si="4"/>
        <v>#DIV/0!</v>
      </c>
      <c r="AV38"/>
      <c r="AW38" s="34"/>
    </row>
    <row r="39" spans="1:49" ht="15" x14ac:dyDescent="0.25">
      <c r="A39" s="14">
        <v>45842</v>
      </c>
      <c r="B39" s="15">
        <v>37</v>
      </c>
      <c r="C39" s="15" t="s">
        <v>635</v>
      </c>
      <c r="D39" s="17">
        <f t="shared" si="1"/>
        <v>202506230043</v>
      </c>
      <c r="E39" s="15" t="s">
        <v>38</v>
      </c>
      <c r="F39" s="15" t="s">
        <v>654</v>
      </c>
      <c r="G39" s="15" t="s">
        <v>128</v>
      </c>
      <c r="H39" s="15" t="s">
        <v>655</v>
      </c>
      <c r="I39" s="15" t="s">
        <v>23</v>
      </c>
      <c r="J39" s="14">
        <v>45831</v>
      </c>
      <c r="K39" s="28">
        <v>2150</v>
      </c>
      <c r="L39" s="28">
        <v>550</v>
      </c>
      <c r="M39" s="28">
        <v>100</v>
      </c>
      <c r="N39" s="28">
        <v>2800</v>
      </c>
      <c r="O39" s="17">
        <v>6</v>
      </c>
      <c r="P39" s="17">
        <v>336</v>
      </c>
      <c r="Q39" s="17">
        <v>1</v>
      </c>
      <c r="R39" s="13">
        <v>0.06</v>
      </c>
      <c r="S39" s="14">
        <v>45879</v>
      </c>
      <c r="T39" s="14">
        <v>56075</v>
      </c>
      <c r="U39" s="31">
        <v>45848</v>
      </c>
      <c r="V39" s="19">
        <v>2259.7772804512801</v>
      </c>
      <c r="W39" s="19">
        <v>2257.6532354698224</v>
      </c>
      <c r="X39" s="32">
        <v>4.471698917043021E-3</v>
      </c>
      <c r="Y39" s="28">
        <v>2150</v>
      </c>
      <c r="Z39" s="28">
        <v>3049.25</v>
      </c>
      <c r="AA39" s="33">
        <v>0.7403962402131089</v>
      </c>
      <c r="AB39" s="34">
        <v>5.5E-2</v>
      </c>
      <c r="AC39" s="34">
        <f t="shared" si="0"/>
        <v>4.9999999999999975E-3</v>
      </c>
      <c r="AD39" s="15">
        <v>13.009650000000001</v>
      </c>
      <c r="AE39" s="15">
        <v>0.31209999999999999</v>
      </c>
      <c r="AF39" s="15">
        <v>0.21759999999999999</v>
      </c>
      <c r="AG39" s="15" t="s">
        <v>662</v>
      </c>
      <c r="AH39" s="15" t="s">
        <v>144</v>
      </c>
      <c r="AP39"/>
      <c r="AQ39" s="34" t="e">
        <f t="shared" si="5"/>
        <v>#DIV/0!</v>
      </c>
      <c r="AR39" s="34" t="e">
        <f t="shared" si="6"/>
        <v>#DIV/0!</v>
      </c>
      <c r="AS39" s="58" t="e">
        <f t="shared" si="4"/>
        <v>#DIV/0!</v>
      </c>
      <c r="AV39"/>
      <c r="AW39" s="34"/>
    </row>
    <row r="40" spans="1:49" ht="15" x14ac:dyDescent="0.25">
      <c r="A40" s="14">
        <v>45842</v>
      </c>
      <c r="B40" s="15">
        <v>38</v>
      </c>
      <c r="C40" s="15" t="s">
        <v>636</v>
      </c>
      <c r="D40" s="17">
        <f t="shared" si="1"/>
        <v>202506240044</v>
      </c>
      <c r="E40" s="15" t="s">
        <v>656</v>
      </c>
      <c r="F40" s="15" t="s">
        <v>46</v>
      </c>
      <c r="G40" s="15" t="s">
        <v>657</v>
      </c>
      <c r="H40" s="15" t="s">
        <v>658</v>
      </c>
      <c r="I40" s="15" t="s">
        <v>137</v>
      </c>
      <c r="J40" s="14">
        <v>45832</v>
      </c>
      <c r="K40" s="28">
        <v>2150</v>
      </c>
      <c r="L40" s="28">
        <v>550</v>
      </c>
      <c r="M40" s="28">
        <v>100</v>
      </c>
      <c r="N40" s="28">
        <v>2800</v>
      </c>
      <c r="O40" s="17">
        <v>7</v>
      </c>
      <c r="P40" s="17">
        <v>360</v>
      </c>
      <c r="Q40" s="17">
        <v>1</v>
      </c>
      <c r="R40" s="13">
        <v>0.06</v>
      </c>
      <c r="S40" s="14">
        <v>45879</v>
      </c>
      <c r="T40" s="14">
        <v>56805</v>
      </c>
      <c r="U40" s="31">
        <v>45848</v>
      </c>
      <c r="V40" s="19">
        <v>2265.1264317161213</v>
      </c>
      <c r="W40" s="19">
        <v>2262.5626143008294</v>
      </c>
      <c r="X40" s="32">
        <v>4.471698917043021E-3</v>
      </c>
      <c r="Y40" s="28">
        <v>2150</v>
      </c>
      <c r="Z40" s="28">
        <v>3049</v>
      </c>
      <c r="AA40" s="33">
        <v>0.74206710865884862</v>
      </c>
      <c r="AB40" s="34">
        <v>5.5E-2</v>
      </c>
      <c r="AC40" s="34">
        <f t="shared" si="0"/>
        <v>4.9999999999999975E-3</v>
      </c>
      <c r="AD40" s="15">
        <v>12.6721</v>
      </c>
      <c r="AE40" s="15">
        <v>0.1749</v>
      </c>
      <c r="AF40" s="15">
        <v>0.20080000000000001</v>
      </c>
      <c r="AG40" s="15" t="s">
        <v>663</v>
      </c>
      <c r="AH40" s="15" t="s">
        <v>144</v>
      </c>
      <c r="AP40"/>
      <c r="AQ40" s="34" t="e">
        <f t="shared" si="5"/>
        <v>#DIV/0!</v>
      </c>
      <c r="AR40" s="34" t="e">
        <f t="shared" si="6"/>
        <v>#DIV/0!</v>
      </c>
      <c r="AS40" s="58" t="e">
        <f t="shared" si="4"/>
        <v>#DIV/0!</v>
      </c>
      <c r="AV40"/>
      <c r="AW40" s="34"/>
    </row>
    <row r="41" spans="1:49" ht="15" x14ac:dyDescent="0.25">
      <c r="A41" s="14">
        <v>45842</v>
      </c>
      <c r="B41" s="15">
        <v>39</v>
      </c>
      <c r="C41" s="15" t="s">
        <v>637</v>
      </c>
      <c r="D41" s="17">
        <f>_xlfn.NUMBERVALUE(+LEFT(C41,12))</f>
        <v>202506240045</v>
      </c>
      <c r="E41" s="15" t="s">
        <v>659</v>
      </c>
      <c r="F41" s="15" t="s">
        <v>42</v>
      </c>
      <c r="G41" s="15" t="s">
        <v>69</v>
      </c>
      <c r="H41" s="15" t="s">
        <v>660</v>
      </c>
      <c r="I41" s="15" t="s">
        <v>137</v>
      </c>
      <c r="J41" s="14">
        <v>45832</v>
      </c>
      <c r="K41" s="28">
        <v>1770</v>
      </c>
      <c r="L41" s="28">
        <v>550</v>
      </c>
      <c r="M41" s="28">
        <v>80</v>
      </c>
      <c r="N41" s="28">
        <v>2400</v>
      </c>
      <c r="O41" s="17">
        <v>8</v>
      </c>
      <c r="P41" s="17">
        <v>480</v>
      </c>
      <c r="Q41" s="17">
        <v>1</v>
      </c>
      <c r="R41" s="13">
        <v>6.6000000000000003E-2</v>
      </c>
      <c r="S41" s="14">
        <v>45879</v>
      </c>
      <c r="T41" s="14">
        <v>60458</v>
      </c>
      <c r="U41" s="31">
        <v>45848</v>
      </c>
      <c r="V41" s="19">
        <v>1877.6923481409619</v>
      </c>
      <c r="W41" s="19">
        <v>1876.3215194122379</v>
      </c>
      <c r="X41" s="32">
        <v>4.946515448805977E-3</v>
      </c>
      <c r="Y41" s="28">
        <v>1770</v>
      </c>
      <c r="Z41" s="28">
        <v>2516</v>
      </c>
      <c r="AA41" s="33">
        <v>0.74575577083157307</v>
      </c>
      <c r="AB41" s="34">
        <v>6.1000000000000006E-2</v>
      </c>
      <c r="AC41" s="34">
        <f t="shared" si="0"/>
        <v>4.9999999999999975E-3</v>
      </c>
      <c r="AD41" s="15">
        <v>10.24653</v>
      </c>
      <c r="AE41" s="15">
        <v>0.1938</v>
      </c>
      <c r="AF41" s="15">
        <v>6.7000000000000004E-2</v>
      </c>
      <c r="AG41" s="15" t="s">
        <v>664</v>
      </c>
      <c r="AH41" s="15" t="s">
        <v>144</v>
      </c>
      <c r="AP41"/>
      <c r="AQ41" s="34" t="e">
        <f t="shared" si="5"/>
        <v>#DIV/0!</v>
      </c>
      <c r="AR41" s="34" t="e">
        <f t="shared" si="6"/>
        <v>#DIV/0!</v>
      </c>
      <c r="AS41" s="58" t="e">
        <f t="shared" si="4"/>
        <v>#DIV/0!</v>
      </c>
      <c r="AV41"/>
      <c r="AW41" s="34"/>
    </row>
    <row r="42" spans="1:49" ht="15" x14ac:dyDescent="0.25">
      <c r="A42" s="14">
        <v>45855</v>
      </c>
      <c r="B42" s="15">
        <v>40</v>
      </c>
      <c r="C42" s="15" t="s">
        <v>669</v>
      </c>
      <c r="D42" s="17">
        <f t="shared" ref="D42:D105" si="7">_xlfn.NUMBERVALUE(+LEFT(C42,12))</f>
        <v>202506300050</v>
      </c>
      <c r="E42" s="15" t="s">
        <v>673</v>
      </c>
      <c r="F42" s="15" t="s">
        <v>674</v>
      </c>
      <c r="G42" s="15" t="s">
        <v>675</v>
      </c>
      <c r="H42" s="15" t="s">
        <v>676</v>
      </c>
      <c r="I42" s="15" t="s">
        <v>22</v>
      </c>
      <c r="J42" s="14">
        <v>45838</v>
      </c>
      <c r="K42" s="28">
        <v>2150</v>
      </c>
      <c r="L42" s="28">
        <v>550</v>
      </c>
      <c r="M42" s="28">
        <v>100</v>
      </c>
      <c r="N42" s="28">
        <v>2800</v>
      </c>
      <c r="O42" s="17">
        <v>0</v>
      </c>
      <c r="P42" s="17">
        <v>480</v>
      </c>
      <c r="Q42" s="17">
        <v>1</v>
      </c>
      <c r="R42" s="13">
        <v>6.3E-2</v>
      </c>
      <c r="S42" s="14">
        <v>45879</v>
      </c>
      <c r="T42" s="14">
        <v>60458</v>
      </c>
      <c r="U42" s="31">
        <v>45879</v>
      </c>
      <c r="V42" s="19">
        <v>2284.2398974022899</v>
      </c>
      <c r="W42" s="19">
        <v>2286.7883591751993</v>
      </c>
      <c r="X42" s="32">
        <v>4.7094157243421364E-3</v>
      </c>
      <c r="Y42" s="28">
        <v>2150</v>
      </c>
      <c r="Z42" s="28">
        <v>3095.45</v>
      </c>
      <c r="AA42" s="33">
        <v>0.73875797030325141</v>
      </c>
      <c r="AB42" s="34">
        <v>5.8000000000000003E-2</v>
      </c>
      <c r="AC42" s="34">
        <f t="shared" si="0"/>
        <v>4.9999999999999975E-3</v>
      </c>
      <c r="AD42" s="15">
        <v>12.0185</v>
      </c>
      <c r="AE42" s="15">
        <v>0.34620000000000001</v>
      </c>
      <c r="AF42" s="15">
        <v>9.0300000000000005E-2</v>
      </c>
      <c r="AG42" s="15" t="s">
        <v>689</v>
      </c>
      <c r="AH42" s="15" t="s">
        <v>623</v>
      </c>
      <c r="AP42"/>
      <c r="AQ42" s="34" t="e">
        <f t="shared" si="5"/>
        <v>#DIV/0!</v>
      </c>
      <c r="AR42" s="34" t="e">
        <f t="shared" si="6"/>
        <v>#DIV/0!</v>
      </c>
      <c r="AS42" s="58" t="e">
        <f t="shared" si="4"/>
        <v>#DIV/0!</v>
      </c>
      <c r="AV42"/>
      <c r="AW42" s="34"/>
    </row>
    <row r="43" spans="1:49" ht="15" x14ac:dyDescent="0.25">
      <c r="A43" s="14">
        <v>45855</v>
      </c>
      <c r="B43" s="15">
        <v>41</v>
      </c>
      <c r="C43" s="15" t="s">
        <v>670</v>
      </c>
      <c r="D43" s="17">
        <f t="shared" si="7"/>
        <v>202506300054</v>
      </c>
      <c r="E43" s="15" t="s">
        <v>677</v>
      </c>
      <c r="F43" s="15" t="s">
        <v>678</v>
      </c>
      <c r="G43" s="15" t="s">
        <v>679</v>
      </c>
      <c r="H43" s="15" t="s">
        <v>680</v>
      </c>
      <c r="I43" s="15" t="s">
        <v>681</v>
      </c>
      <c r="J43" s="14">
        <v>45838</v>
      </c>
      <c r="K43" s="28">
        <v>1845</v>
      </c>
      <c r="L43" s="28">
        <v>550</v>
      </c>
      <c r="M43" s="28">
        <v>5</v>
      </c>
      <c r="N43" s="28">
        <v>2400</v>
      </c>
      <c r="O43" s="17">
        <v>0</v>
      </c>
      <c r="P43" s="17">
        <v>324</v>
      </c>
      <c r="Q43" s="17">
        <v>1</v>
      </c>
      <c r="R43" s="13">
        <v>6.5000000000000002E-2</v>
      </c>
      <c r="S43" s="14">
        <v>45879</v>
      </c>
      <c r="T43" s="14">
        <v>55710</v>
      </c>
      <c r="U43" s="31">
        <v>45879</v>
      </c>
      <c r="V43" s="19">
        <v>1934.0368672966688</v>
      </c>
      <c r="W43" s="19">
        <v>1936.6253959013864</v>
      </c>
      <c r="X43" s="32">
        <v>4.8675505653430484E-3</v>
      </c>
      <c r="Y43" s="28">
        <v>1845</v>
      </c>
      <c r="Z43" s="28">
        <v>2700.46</v>
      </c>
      <c r="AA43" s="33">
        <v>0.71714648463646424</v>
      </c>
      <c r="AB43" s="34">
        <v>6.0000000000000005E-2</v>
      </c>
      <c r="AC43" s="34">
        <f t="shared" si="0"/>
        <v>4.9999999999999975E-3</v>
      </c>
      <c r="AD43" s="15">
        <v>11.876265</v>
      </c>
      <c r="AE43" s="15">
        <v>0.28989999999999999</v>
      </c>
      <c r="AF43" s="15">
        <v>1.8499999999999999E-2</v>
      </c>
      <c r="AG43" s="15" t="s">
        <v>690</v>
      </c>
      <c r="AH43" s="15" t="s">
        <v>144</v>
      </c>
      <c r="AP43"/>
      <c r="AQ43" s="34"/>
      <c r="AR43" s="34"/>
      <c r="AS43" s="58"/>
      <c r="AV43"/>
      <c r="AW43" s="34"/>
    </row>
    <row r="44" spans="1:49" ht="15" x14ac:dyDescent="0.25">
      <c r="A44" s="14">
        <v>45855</v>
      </c>
      <c r="B44" s="15">
        <v>42</v>
      </c>
      <c r="C44" s="15" t="s">
        <v>671</v>
      </c>
      <c r="D44" s="17">
        <f t="shared" si="7"/>
        <v>202506300055</v>
      </c>
      <c r="E44" s="15" t="s">
        <v>682</v>
      </c>
      <c r="F44" s="25" t="s">
        <v>48</v>
      </c>
      <c r="G44" s="25" t="s">
        <v>683</v>
      </c>
      <c r="H44" s="25" t="s">
        <v>684</v>
      </c>
      <c r="I44" s="25" t="s">
        <v>138</v>
      </c>
      <c r="J44" s="26">
        <v>45838</v>
      </c>
      <c r="K44" s="27">
        <v>1108.33</v>
      </c>
      <c r="L44" s="28">
        <v>478.75</v>
      </c>
      <c r="M44" s="28">
        <v>204.92000000000007</v>
      </c>
      <c r="N44" s="28">
        <v>1792</v>
      </c>
      <c r="O44" s="17">
        <v>0</v>
      </c>
      <c r="P44" s="29">
        <v>300</v>
      </c>
      <c r="Q44" s="35">
        <v>1</v>
      </c>
      <c r="R44" s="13">
        <v>0.06</v>
      </c>
      <c r="S44" s="14">
        <v>45879</v>
      </c>
      <c r="T44" s="14">
        <v>54979</v>
      </c>
      <c r="U44" s="31">
        <v>45879</v>
      </c>
      <c r="V44" s="19">
        <v>1160.4577278401273</v>
      </c>
      <c r="W44" s="19">
        <v>1160.9794332417509</v>
      </c>
      <c r="X44" s="32">
        <v>4.471698917043021E-3</v>
      </c>
      <c r="Y44" s="28">
        <v>1108.33</v>
      </c>
      <c r="Z44" s="28">
        <v>2361</v>
      </c>
      <c r="AA44" s="33">
        <v>0.49173207676482461</v>
      </c>
      <c r="AB44" s="34">
        <v>5.5E-2</v>
      </c>
      <c r="AC44" s="34">
        <f t="shared" si="0"/>
        <v>4.9999999999999975E-3</v>
      </c>
      <c r="AD44" s="15">
        <v>7.0334620000000001</v>
      </c>
      <c r="AE44" s="15">
        <v>0.19620000000000001</v>
      </c>
      <c r="AF44" s="15">
        <v>0.1976</v>
      </c>
      <c r="AG44" s="15" t="s">
        <v>691</v>
      </c>
      <c r="AH44" s="15" t="s">
        <v>692</v>
      </c>
      <c r="AQ44" s="34"/>
      <c r="AR44" s="34"/>
      <c r="AS44" s="58"/>
      <c r="AV44"/>
    </row>
    <row r="45" spans="1:49" ht="15" x14ac:dyDescent="0.25">
      <c r="A45" s="14">
        <v>45855</v>
      </c>
      <c r="B45" s="15">
        <v>43</v>
      </c>
      <c r="C45" s="15" t="s">
        <v>672</v>
      </c>
      <c r="D45" s="17">
        <f t="shared" si="7"/>
        <v>202507100059</v>
      </c>
      <c r="E45" s="15" t="s">
        <v>685</v>
      </c>
      <c r="F45" s="25" t="s">
        <v>686</v>
      </c>
      <c r="G45" s="25" t="s">
        <v>687</v>
      </c>
      <c r="H45" s="25" t="s">
        <v>688</v>
      </c>
      <c r="I45" s="25" t="s">
        <v>145</v>
      </c>
      <c r="J45" s="26">
        <v>45848</v>
      </c>
      <c r="K45" s="27">
        <v>1383.97</v>
      </c>
      <c r="L45" s="28">
        <v>437.5</v>
      </c>
      <c r="M45" s="28">
        <v>68.529999999999973</v>
      </c>
      <c r="N45" s="28">
        <v>1890</v>
      </c>
      <c r="O45" s="17">
        <v>0</v>
      </c>
      <c r="P45" s="29">
        <v>480</v>
      </c>
      <c r="Q45" s="35">
        <v>1</v>
      </c>
      <c r="R45" s="13">
        <v>6.5000000000000002E-2</v>
      </c>
      <c r="S45" s="14">
        <v>45910</v>
      </c>
      <c r="T45" s="14">
        <v>60489</v>
      </c>
      <c r="U45" s="31">
        <v>45879</v>
      </c>
      <c r="V45" s="19">
        <v>1447.7155462672206</v>
      </c>
      <c r="W45" s="19">
        <v>1448.2613504557555</v>
      </c>
      <c r="X45" s="32">
        <v>4.8675505653430484E-3</v>
      </c>
      <c r="Y45" s="28">
        <v>1383.97</v>
      </c>
      <c r="Z45" s="28">
        <v>2851.67</v>
      </c>
      <c r="AA45" s="33">
        <v>0.50786428670068962</v>
      </c>
      <c r="AB45" s="34">
        <v>6.0000000000000005E-2</v>
      </c>
      <c r="AC45" s="34">
        <f t="shared" si="0"/>
        <v>4.9999999999999975E-3</v>
      </c>
      <c r="AD45" s="15">
        <v>7.8443420000000001</v>
      </c>
      <c r="AE45" s="15">
        <v>0.30309999999999998</v>
      </c>
      <c r="AF45" s="15">
        <v>9.4000000000000004E-3</v>
      </c>
      <c r="AG45" s="15" t="s">
        <v>693</v>
      </c>
      <c r="AH45" s="15" t="s">
        <v>694</v>
      </c>
      <c r="AQ45" s="34"/>
      <c r="AR45" s="34"/>
      <c r="AS45" s="58"/>
      <c r="AV45"/>
    </row>
    <row r="46" spans="1:49" ht="15" x14ac:dyDescent="0.25">
      <c r="A46" s="14">
        <v>45868</v>
      </c>
      <c r="B46" s="15">
        <v>44</v>
      </c>
      <c r="C46" s="15" t="s">
        <v>695</v>
      </c>
      <c r="D46" s="17">
        <f t="shared" si="7"/>
        <v>202507210063</v>
      </c>
      <c r="E46" s="15" t="s">
        <v>702</v>
      </c>
      <c r="F46" s="25" t="s">
        <v>703</v>
      </c>
      <c r="G46" s="25" t="s">
        <v>704</v>
      </c>
      <c r="H46" s="25" t="s">
        <v>705</v>
      </c>
      <c r="I46" s="25" t="s">
        <v>142</v>
      </c>
      <c r="J46" s="26">
        <v>45859</v>
      </c>
      <c r="K46" s="27">
        <v>1670</v>
      </c>
      <c r="L46" s="28">
        <v>650</v>
      </c>
      <c r="M46" s="28">
        <v>80</v>
      </c>
      <c r="N46" s="28">
        <v>2400</v>
      </c>
      <c r="O46" s="17">
        <v>0</v>
      </c>
      <c r="P46" s="29">
        <v>420</v>
      </c>
      <c r="Q46" s="35">
        <v>1</v>
      </c>
      <c r="R46" s="13">
        <v>6.6000000000000003E-2</v>
      </c>
      <c r="S46" s="14">
        <v>45910</v>
      </c>
      <c r="T46" s="14">
        <v>58663</v>
      </c>
      <c r="U46" s="31">
        <v>45879</v>
      </c>
      <c r="V46" s="19">
        <v>1761.2082433242015</v>
      </c>
      <c r="W46" s="19">
        <v>1760.2142240987723</v>
      </c>
      <c r="X46" s="32">
        <v>4.946515448805977E-3</v>
      </c>
      <c r="Y46" s="28">
        <v>1670</v>
      </c>
      <c r="Z46" s="28">
        <v>2515.9299999999998</v>
      </c>
      <c r="AA46" s="33">
        <v>0.69962766217612271</v>
      </c>
      <c r="AB46" s="34">
        <v>6.1000000000000006E-2</v>
      </c>
      <c r="AC46" s="34">
        <f t="shared" si="0"/>
        <v>4.9999999999999975E-3</v>
      </c>
      <c r="AD46" s="15">
        <v>9.9849300000000003</v>
      </c>
      <c r="AE46" s="15">
        <v>0.25869999999999999</v>
      </c>
      <c r="AF46" s="15">
        <v>0.24110000000000001</v>
      </c>
      <c r="AG46" s="15" t="s">
        <v>727</v>
      </c>
      <c r="AH46" s="15" t="s">
        <v>694</v>
      </c>
      <c r="AQ46" s="34"/>
      <c r="AR46" s="34"/>
      <c r="AS46" s="58"/>
      <c r="AV46"/>
    </row>
    <row r="47" spans="1:49" ht="15" x14ac:dyDescent="0.25">
      <c r="A47" s="14">
        <v>45868</v>
      </c>
      <c r="B47" s="15">
        <v>45</v>
      </c>
      <c r="C47" s="15" t="s">
        <v>696</v>
      </c>
      <c r="D47" s="17">
        <f t="shared" si="7"/>
        <v>202507210066</v>
      </c>
      <c r="E47" s="15" t="s">
        <v>706</v>
      </c>
      <c r="F47" s="25" t="s">
        <v>707</v>
      </c>
      <c r="G47" s="25" t="s">
        <v>71</v>
      </c>
      <c r="H47" s="25" t="s">
        <v>708</v>
      </c>
      <c r="I47" s="25" t="s">
        <v>137</v>
      </c>
      <c r="J47" s="26">
        <v>45859</v>
      </c>
      <c r="K47" s="27">
        <v>2150</v>
      </c>
      <c r="L47" s="28">
        <v>550</v>
      </c>
      <c r="M47" s="28">
        <v>100</v>
      </c>
      <c r="N47" s="28">
        <v>2800</v>
      </c>
      <c r="O47" s="17">
        <v>0</v>
      </c>
      <c r="P47" s="29">
        <v>360</v>
      </c>
      <c r="Q47" s="35">
        <v>1</v>
      </c>
      <c r="R47" s="13">
        <v>6.3E-2</v>
      </c>
      <c r="S47" s="14">
        <v>45910</v>
      </c>
      <c r="T47" s="14">
        <v>56836</v>
      </c>
      <c r="U47" s="31">
        <v>45879</v>
      </c>
      <c r="V47" s="19">
        <v>2258.9453615894613</v>
      </c>
      <c r="W47" s="19">
        <v>2258.2049839991491</v>
      </c>
      <c r="X47" s="32">
        <v>4.7094157243421364E-3</v>
      </c>
      <c r="Y47" s="28">
        <v>2150</v>
      </c>
      <c r="Z47" s="28">
        <v>3085.45</v>
      </c>
      <c r="AA47" s="33">
        <v>0.7318883741428801</v>
      </c>
      <c r="AB47" s="34">
        <v>5.8000000000000003E-2</v>
      </c>
      <c r="AC47" s="34">
        <f t="shared" si="0"/>
        <v>4.9999999999999975E-3</v>
      </c>
      <c r="AD47" s="15">
        <v>13.0634</v>
      </c>
      <c r="AE47" s="15">
        <v>0.26050000000000001</v>
      </c>
      <c r="AF47" s="15">
        <v>0.17380000000000001</v>
      </c>
      <c r="AG47" s="15" t="s">
        <v>728</v>
      </c>
      <c r="AH47" s="15" t="s">
        <v>623</v>
      </c>
      <c r="AQ47" s="34"/>
      <c r="AR47" s="34"/>
      <c r="AS47" s="58"/>
      <c r="AV47"/>
    </row>
    <row r="48" spans="1:49" ht="15" x14ac:dyDescent="0.25">
      <c r="A48" s="14">
        <v>45868</v>
      </c>
      <c r="B48" s="15">
        <v>46</v>
      </c>
      <c r="C48" s="15" t="s">
        <v>697</v>
      </c>
      <c r="D48" s="17">
        <f t="shared" si="7"/>
        <v>202507110060</v>
      </c>
      <c r="E48" s="15" t="s">
        <v>28</v>
      </c>
      <c r="F48" s="15" t="s">
        <v>26</v>
      </c>
      <c r="G48" s="15" t="s">
        <v>709</v>
      </c>
      <c r="H48" s="15" t="s">
        <v>710</v>
      </c>
      <c r="I48" s="25" t="s">
        <v>681</v>
      </c>
      <c r="J48" s="26">
        <v>45849</v>
      </c>
      <c r="K48" s="28">
        <v>2050</v>
      </c>
      <c r="L48" s="28">
        <v>550</v>
      </c>
      <c r="M48" s="28">
        <v>200</v>
      </c>
      <c r="N48" s="28">
        <v>2800</v>
      </c>
      <c r="O48" s="17">
        <v>0</v>
      </c>
      <c r="P48" s="17">
        <v>300</v>
      </c>
      <c r="Q48" s="17">
        <v>1</v>
      </c>
      <c r="R48" s="13">
        <v>6.2E-2</v>
      </c>
      <c r="S48" s="14">
        <v>45910</v>
      </c>
      <c r="T48" s="14">
        <v>55010</v>
      </c>
      <c r="U48" s="31">
        <v>45879</v>
      </c>
      <c r="V48" s="19">
        <v>2141.6923517137366</v>
      </c>
      <c r="W48" s="19">
        <v>2142.0173692306907</v>
      </c>
      <c r="X48" s="32">
        <v>4.6302455190647684E-3</v>
      </c>
      <c r="Y48" s="28">
        <v>2050</v>
      </c>
      <c r="Z48" s="28">
        <v>3029.03</v>
      </c>
      <c r="AA48" s="33">
        <v>0.70716281094300504</v>
      </c>
      <c r="AB48" s="34">
        <v>5.7000000000000002E-2</v>
      </c>
      <c r="AC48" s="34">
        <f t="shared" si="0"/>
        <v>4.9999999999999975E-3</v>
      </c>
      <c r="AD48" s="15">
        <v>13.2471</v>
      </c>
      <c r="AE48" s="15">
        <v>6.7400000000000002E-2</v>
      </c>
      <c r="AF48" s="15">
        <v>0.30730000000000002</v>
      </c>
      <c r="AG48" s="15" t="s">
        <v>729</v>
      </c>
      <c r="AH48" s="15" t="s">
        <v>623</v>
      </c>
      <c r="AQ48" s="34"/>
      <c r="AR48" s="34"/>
      <c r="AS48" s="58"/>
      <c r="AV48"/>
    </row>
    <row r="49" spans="1:48" ht="15" x14ac:dyDescent="0.25">
      <c r="A49" s="14">
        <v>45868</v>
      </c>
      <c r="B49" s="15">
        <v>47</v>
      </c>
      <c r="C49" s="15" t="s">
        <v>698</v>
      </c>
      <c r="D49" s="17">
        <f t="shared" si="7"/>
        <v>202507180062</v>
      </c>
      <c r="E49" s="15" t="s">
        <v>711</v>
      </c>
      <c r="F49" s="15" t="s">
        <v>712</v>
      </c>
      <c r="G49" s="15" t="s">
        <v>713</v>
      </c>
      <c r="H49" s="15" t="s">
        <v>714</v>
      </c>
      <c r="I49" s="25" t="s">
        <v>145</v>
      </c>
      <c r="J49" s="26">
        <v>45856</v>
      </c>
      <c r="K49" s="28">
        <v>2150</v>
      </c>
      <c r="L49" s="28">
        <v>550</v>
      </c>
      <c r="M49" s="28">
        <v>100</v>
      </c>
      <c r="N49" s="28">
        <v>2800</v>
      </c>
      <c r="O49" s="17">
        <v>0</v>
      </c>
      <c r="P49" s="17">
        <v>360</v>
      </c>
      <c r="Q49" s="17">
        <v>1</v>
      </c>
      <c r="R49" s="13">
        <v>6.3E-2</v>
      </c>
      <c r="S49" s="14">
        <v>45910</v>
      </c>
      <c r="T49" s="14">
        <v>56836</v>
      </c>
      <c r="U49" s="31">
        <v>45879</v>
      </c>
      <c r="V49" s="19">
        <v>2258.9453615894613</v>
      </c>
      <c r="W49" s="19">
        <v>2258.2049839991491</v>
      </c>
      <c r="X49" s="32">
        <v>4.7094157243421364E-3</v>
      </c>
      <c r="Y49" s="28">
        <v>2150</v>
      </c>
      <c r="Z49" s="28">
        <v>2954.63</v>
      </c>
      <c r="AA49" s="33">
        <v>0.76429366248875463</v>
      </c>
      <c r="AB49" s="34">
        <v>5.8000000000000003E-2</v>
      </c>
      <c r="AC49" s="34">
        <f t="shared" si="0"/>
        <v>4.9999999999999975E-3</v>
      </c>
      <c r="AD49" s="15">
        <v>13.0634</v>
      </c>
      <c r="AE49" s="15">
        <v>0.34660000000000002</v>
      </c>
      <c r="AF49" s="15">
        <v>9.2899999999999996E-2</v>
      </c>
      <c r="AG49" s="15" t="s">
        <v>730</v>
      </c>
      <c r="AH49" s="15" t="s">
        <v>623</v>
      </c>
      <c r="AQ49" s="34"/>
      <c r="AR49" s="34"/>
      <c r="AS49" s="58"/>
      <c r="AV49"/>
    </row>
    <row r="50" spans="1:48" ht="15" x14ac:dyDescent="0.25">
      <c r="A50" s="14">
        <v>45868</v>
      </c>
      <c r="B50" s="15">
        <v>48</v>
      </c>
      <c r="C50" s="15" t="s">
        <v>699</v>
      </c>
      <c r="D50" s="17">
        <f t="shared" si="7"/>
        <v>202507180065</v>
      </c>
      <c r="E50" s="15" t="s">
        <v>715</v>
      </c>
      <c r="F50" s="15" t="s">
        <v>716</v>
      </c>
      <c r="G50" s="15" t="s">
        <v>717</v>
      </c>
      <c r="H50" s="15" t="s">
        <v>718</v>
      </c>
      <c r="I50" s="15" t="s">
        <v>681</v>
      </c>
      <c r="J50" s="26">
        <v>45856</v>
      </c>
      <c r="K50" s="28">
        <v>1886</v>
      </c>
      <c r="L50" s="28">
        <v>600</v>
      </c>
      <c r="M50" s="28">
        <v>114</v>
      </c>
      <c r="N50" s="28">
        <v>2600</v>
      </c>
      <c r="O50" s="17">
        <v>0</v>
      </c>
      <c r="P50" s="17">
        <v>480</v>
      </c>
      <c r="Q50" s="17">
        <v>1</v>
      </c>
      <c r="R50" s="13">
        <v>6.6000000000000003E-2</v>
      </c>
      <c r="S50" s="14">
        <v>45910</v>
      </c>
      <c r="T50" s="14">
        <v>60489</v>
      </c>
      <c r="U50" s="31">
        <v>45879</v>
      </c>
      <c r="V50" s="19">
        <v>1997.133564645826</v>
      </c>
      <c r="W50" s="19">
        <v>1997.3475966922701</v>
      </c>
      <c r="X50" s="32">
        <v>4.946515448805977E-3</v>
      </c>
      <c r="Y50" s="28">
        <v>1886</v>
      </c>
      <c r="Z50" s="28">
        <v>2661.84</v>
      </c>
      <c r="AA50" s="33">
        <v>0.75036350670674046</v>
      </c>
      <c r="AB50" s="34">
        <v>6.1000000000000006E-2</v>
      </c>
      <c r="AC50" s="34">
        <f t="shared" si="0"/>
        <v>4.9999999999999975E-3</v>
      </c>
      <c r="AD50" s="15">
        <v>10.918054</v>
      </c>
      <c r="AE50" s="15">
        <v>0.33300000000000002</v>
      </c>
      <c r="AF50" s="15">
        <v>4.0899999999999999E-2</v>
      </c>
      <c r="AG50" s="15" t="s">
        <v>731</v>
      </c>
      <c r="AH50" s="15" t="s">
        <v>734</v>
      </c>
      <c r="AQ50" s="34"/>
      <c r="AR50" s="34"/>
      <c r="AS50" s="58"/>
      <c r="AV50"/>
    </row>
    <row r="51" spans="1:48" ht="15" x14ac:dyDescent="0.25">
      <c r="A51" s="14">
        <v>45868</v>
      </c>
      <c r="B51" s="15">
        <v>49</v>
      </c>
      <c r="C51" s="15" t="s">
        <v>700</v>
      </c>
      <c r="D51" s="17">
        <f t="shared" si="7"/>
        <v>202507210064</v>
      </c>
      <c r="E51" s="15" t="s">
        <v>719</v>
      </c>
      <c r="F51" s="15" t="s">
        <v>720</v>
      </c>
      <c r="G51" s="15" t="s">
        <v>721</v>
      </c>
      <c r="H51" s="15" t="s">
        <v>722</v>
      </c>
      <c r="I51" s="15" t="s">
        <v>145</v>
      </c>
      <c r="J51" s="26">
        <v>45859</v>
      </c>
      <c r="K51" s="28">
        <v>1496.81</v>
      </c>
      <c r="L51" s="28">
        <v>400</v>
      </c>
      <c r="M51" s="28">
        <v>263.19000000000005</v>
      </c>
      <c r="N51" s="28">
        <v>2160</v>
      </c>
      <c r="O51" s="17">
        <v>0</v>
      </c>
      <c r="P51" s="17">
        <v>480</v>
      </c>
      <c r="Q51" s="17">
        <v>1</v>
      </c>
      <c r="R51" s="13">
        <v>6.7000000000000004E-2</v>
      </c>
      <c r="S51" s="14">
        <v>45910</v>
      </c>
      <c r="T51" s="14">
        <v>60489</v>
      </c>
      <c r="U51" s="31">
        <v>45879</v>
      </c>
      <c r="V51" s="19">
        <v>1584.1622321939578</v>
      </c>
      <c r="W51" s="19">
        <v>1584.8938310813683</v>
      </c>
      <c r="X51" s="32">
        <v>5.0254121388362272E-3</v>
      </c>
      <c r="Y51" s="28">
        <v>1496.81</v>
      </c>
      <c r="Z51" s="28">
        <v>3310.08</v>
      </c>
      <c r="AA51" s="33">
        <v>0.47880831613778768</v>
      </c>
      <c r="AB51" s="34">
        <v>6.2000000000000006E-2</v>
      </c>
      <c r="AC51" s="34">
        <f t="shared" si="0"/>
        <v>4.9999999999999975E-3</v>
      </c>
      <c r="AD51" s="15">
        <v>8.7653189999999999</v>
      </c>
      <c r="AE51" s="15">
        <v>0.35020000000000001</v>
      </c>
      <c r="AF51" s="15">
        <v>1.41E-2</v>
      </c>
      <c r="AG51" s="15" t="s">
        <v>732</v>
      </c>
      <c r="AH51" s="15" t="s">
        <v>694</v>
      </c>
      <c r="AQ51" s="34"/>
      <c r="AR51" s="34"/>
      <c r="AS51" s="58"/>
      <c r="AV51"/>
    </row>
    <row r="52" spans="1:48" ht="15" x14ac:dyDescent="0.25">
      <c r="A52" s="14">
        <v>45868</v>
      </c>
      <c r="B52" s="15">
        <v>50</v>
      </c>
      <c r="C52" s="15" t="s">
        <v>701</v>
      </c>
      <c r="D52" s="17">
        <f t="shared" si="7"/>
        <v>202507230068</v>
      </c>
      <c r="E52" s="15" t="s">
        <v>723</v>
      </c>
      <c r="F52" s="15" t="s">
        <v>724</v>
      </c>
      <c r="G52" s="15" t="s">
        <v>725</v>
      </c>
      <c r="H52" s="15" t="s">
        <v>726</v>
      </c>
      <c r="I52" s="15" t="s">
        <v>139</v>
      </c>
      <c r="J52" s="26">
        <v>45861</v>
      </c>
      <c r="K52" s="28">
        <v>2150</v>
      </c>
      <c r="L52" s="28">
        <v>550</v>
      </c>
      <c r="M52" s="28">
        <v>100</v>
      </c>
      <c r="N52" s="28">
        <v>2800</v>
      </c>
      <c r="O52" s="17">
        <v>0</v>
      </c>
      <c r="P52" s="17">
        <v>480</v>
      </c>
      <c r="Q52" s="17">
        <v>1</v>
      </c>
      <c r="R52" s="13">
        <v>6.3E-2</v>
      </c>
      <c r="S52" s="14">
        <v>45910</v>
      </c>
      <c r="T52" s="14">
        <v>60489</v>
      </c>
      <c r="U52" s="31">
        <v>45879</v>
      </c>
      <c r="V52" s="19">
        <v>2280.3081509434878</v>
      </c>
      <c r="W52" s="19">
        <v>2280.4390037740259</v>
      </c>
      <c r="X52" s="32">
        <v>4.7094157243421364E-3</v>
      </c>
      <c r="Y52" s="28">
        <v>2150</v>
      </c>
      <c r="Z52" s="28">
        <v>3022.75</v>
      </c>
      <c r="AA52" s="33">
        <v>0.75442527624647282</v>
      </c>
      <c r="AB52" s="34">
        <v>5.8000000000000003E-2</v>
      </c>
      <c r="AC52" s="34">
        <f t="shared" si="0"/>
        <v>4.9999999999999975E-3</v>
      </c>
      <c r="AD52" s="15">
        <v>12.0185</v>
      </c>
      <c r="AE52" s="15">
        <v>0.23219999999999999</v>
      </c>
      <c r="AF52" s="15">
        <v>3.4799999999999998E-2</v>
      </c>
      <c r="AG52" s="15" t="s">
        <v>733</v>
      </c>
      <c r="AH52" s="15" t="s">
        <v>623</v>
      </c>
      <c r="AQ52" s="34"/>
      <c r="AR52" s="34"/>
      <c r="AS52" s="58"/>
      <c r="AV52"/>
    </row>
    <row r="53" spans="1:48" ht="15" x14ac:dyDescent="0.25">
      <c r="A53" s="14">
        <v>45883</v>
      </c>
      <c r="B53" s="15">
        <v>51</v>
      </c>
      <c r="C53" s="15" t="s">
        <v>735</v>
      </c>
      <c r="D53" s="17">
        <f t="shared" si="7"/>
        <v>202507240070</v>
      </c>
      <c r="E53" s="15" t="s">
        <v>746</v>
      </c>
      <c r="F53" s="15" t="s">
        <v>747</v>
      </c>
      <c r="G53" s="15" t="s">
        <v>748</v>
      </c>
      <c r="H53" s="15" t="s">
        <v>749</v>
      </c>
      <c r="I53" s="15" t="s">
        <v>137</v>
      </c>
      <c r="J53" s="26">
        <v>45862</v>
      </c>
      <c r="K53" s="28">
        <v>1962</v>
      </c>
      <c r="L53" s="28">
        <v>550</v>
      </c>
      <c r="M53" s="28">
        <v>80</v>
      </c>
      <c r="N53" s="28">
        <v>2592</v>
      </c>
      <c r="O53" s="17">
        <v>0</v>
      </c>
      <c r="P53" s="17">
        <v>420</v>
      </c>
      <c r="Q53" s="17">
        <v>1</v>
      </c>
      <c r="R53" s="13">
        <v>6.5000000000000002E-2</v>
      </c>
      <c r="S53" s="14">
        <v>45910</v>
      </c>
      <c r="T53" s="14">
        <v>58663</v>
      </c>
      <c r="U53" s="31">
        <v>45910</v>
      </c>
      <c r="V53" s="19">
        <v>2063.2342154349635</v>
      </c>
      <c r="W53" s="19">
        <v>2074.3251356371352</v>
      </c>
      <c r="X53" s="32">
        <v>4.8675505653430484E-3</v>
      </c>
      <c r="Y53" s="28">
        <v>1962</v>
      </c>
      <c r="Z53" s="28">
        <v>2837.66</v>
      </c>
      <c r="AA53" s="33">
        <v>0.73099847608139634</v>
      </c>
      <c r="AB53" s="34">
        <v>6.0000000000000005E-2</v>
      </c>
      <c r="AC53" s="34">
        <f t="shared" si="0"/>
        <v>4.9999999999999975E-3</v>
      </c>
      <c r="AD53" s="15">
        <v>11.603268</v>
      </c>
      <c r="AE53" s="15">
        <v>0.38519999999999999</v>
      </c>
      <c r="AF53" s="15">
        <v>0.43080000000000002</v>
      </c>
      <c r="AG53" s="15" t="s">
        <v>786</v>
      </c>
      <c r="AH53" s="15" t="s">
        <v>160</v>
      </c>
      <c r="AQ53" s="34"/>
      <c r="AR53" s="34"/>
      <c r="AS53" s="58"/>
      <c r="AV53"/>
    </row>
    <row r="54" spans="1:48" ht="15" x14ac:dyDescent="0.25">
      <c r="A54" s="14">
        <v>45883</v>
      </c>
      <c r="B54" s="15">
        <v>52</v>
      </c>
      <c r="C54" s="15" t="s">
        <v>736</v>
      </c>
      <c r="D54" s="17">
        <f t="shared" si="7"/>
        <v>202507240073</v>
      </c>
      <c r="E54" s="15" t="s">
        <v>750</v>
      </c>
      <c r="F54" s="15" t="s">
        <v>751</v>
      </c>
      <c r="G54" s="15" t="s">
        <v>752</v>
      </c>
      <c r="H54" s="15" t="s">
        <v>753</v>
      </c>
      <c r="I54" s="15" t="s">
        <v>499</v>
      </c>
      <c r="J54" s="26">
        <v>45862</v>
      </c>
      <c r="K54" s="28">
        <v>2000</v>
      </c>
      <c r="L54" s="28">
        <v>650</v>
      </c>
      <c r="M54" s="28">
        <v>150</v>
      </c>
      <c r="N54" s="28">
        <v>2800</v>
      </c>
      <c r="O54" s="17">
        <v>0</v>
      </c>
      <c r="P54" s="17">
        <v>480</v>
      </c>
      <c r="Q54" s="17">
        <v>1</v>
      </c>
      <c r="R54" s="13">
        <v>6.3E-2</v>
      </c>
      <c r="S54" s="14">
        <v>45910</v>
      </c>
      <c r="T54" s="14">
        <v>60489</v>
      </c>
      <c r="U54" s="31">
        <v>45910</v>
      </c>
      <c r="V54" s="19">
        <v>2114.7400755195517</v>
      </c>
      <c r="W54" s="19">
        <v>2125.9941830692683</v>
      </c>
      <c r="X54" s="32">
        <v>4.7094157243421364E-3</v>
      </c>
      <c r="Y54" s="28">
        <v>2000</v>
      </c>
      <c r="Z54" s="28">
        <v>3066.15</v>
      </c>
      <c r="AA54" s="33">
        <v>0.69337579148745765</v>
      </c>
      <c r="AB54" s="34">
        <v>5.8000000000000003E-2</v>
      </c>
      <c r="AC54" s="34">
        <f t="shared" si="0"/>
        <v>4.9999999999999975E-3</v>
      </c>
      <c r="AD54" s="15">
        <v>11.18</v>
      </c>
      <c r="AE54" s="15">
        <v>0.3498</v>
      </c>
      <c r="AF54" s="15">
        <v>0.3498</v>
      </c>
      <c r="AG54" s="15" t="s">
        <v>787</v>
      </c>
      <c r="AH54" s="15" t="s">
        <v>623</v>
      </c>
      <c r="AQ54" s="34"/>
      <c r="AR54" s="34"/>
      <c r="AS54" s="58"/>
      <c r="AV54"/>
    </row>
    <row r="55" spans="1:48" ht="15" x14ac:dyDescent="0.25">
      <c r="A55" s="14">
        <v>45883</v>
      </c>
      <c r="B55" s="15">
        <v>53</v>
      </c>
      <c r="C55" s="15" t="s">
        <v>737</v>
      </c>
      <c r="D55" s="17">
        <f t="shared" si="7"/>
        <v>202507250076</v>
      </c>
      <c r="E55" s="15" t="s">
        <v>754</v>
      </c>
      <c r="F55" s="15" t="s">
        <v>755</v>
      </c>
      <c r="G55" s="15" t="s">
        <v>756</v>
      </c>
      <c r="H55" s="15" t="s">
        <v>757</v>
      </c>
      <c r="I55" s="15" t="s">
        <v>142</v>
      </c>
      <c r="J55" s="26">
        <v>45863</v>
      </c>
      <c r="K55" s="28">
        <v>1660</v>
      </c>
      <c r="L55" s="28">
        <v>550</v>
      </c>
      <c r="M55" s="28">
        <v>80</v>
      </c>
      <c r="N55" s="28">
        <v>2290</v>
      </c>
      <c r="O55" s="17">
        <v>0</v>
      </c>
      <c r="P55" s="17">
        <v>360</v>
      </c>
      <c r="Q55" s="17">
        <v>1</v>
      </c>
      <c r="R55" s="13">
        <v>6.6000000000000003E-2</v>
      </c>
      <c r="S55" s="14">
        <v>45910</v>
      </c>
      <c r="T55" s="14">
        <v>56836</v>
      </c>
      <c r="U55" s="31">
        <v>45910</v>
      </c>
      <c r="V55" s="19">
        <v>1735.8704177171246</v>
      </c>
      <c r="W55" s="19">
        <v>1745.7746276017645</v>
      </c>
      <c r="X55" s="32">
        <v>4.946515448805977E-3</v>
      </c>
      <c r="Y55" s="28">
        <v>1660</v>
      </c>
      <c r="Z55" s="28">
        <v>2342.25</v>
      </c>
      <c r="AA55" s="33">
        <v>0.74534085926001259</v>
      </c>
      <c r="AB55" s="34">
        <v>6.1000000000000006E-2</v>
      </c>
      <c r="AC55" s="34">
        <f t="shared" si="0"/>
        <v>4.9999999999999975E-3</v>
      </c>
      <c r="AD55" s="15">
        <v>10.39326</v>
      </c>
      <c r="AE55" s="15">
        <v>0.28999999999999998</v>
      </c>
      <c r="AF55" s="15">
        <v>0.4879</v>
      </c>
      <c r="AG55" s="15" t="s">
        <v>788</v>
      </c>
      <c r="AH55" s="15" t="s">
        <v>625</v>
      </c>
      <c r="AQ55" s="34"/>
      <c r="AR55" s="34"/>
      <c r="AS55" s="58"/>
      <c r="AV55"/>
    </row>
    <row r="56" spans="1:48" ht="15" x14ac:dyDescent="0.25">
      <c r="A56" s="14">
        <v>45883</v>
      </c>
      <c r="B56" s="15">
        <v>54</v>
      </c>
      <c r="C56" s="15" t="s">
        <v>738</v>
      </c>
      <c r="D56" s="17">
        <f t="shared" si="7"/>
        <v>202507250082</v>
      </c>
      <c r="E56" s="15" t="s">
        <v>35</v>
      </c>
      <c r="F56" s="15" t="s">
        <v>28</v>
      </c>
      <c r="G56" s="15" t="s">
        <v>758</v>
      </c>
      <c r="H56" s="15" t="s">
        <v>759</v>
      </c>
      <c r="I56" s="15" t="s">
        <v>23</v>
      </c>
      <c r="J56" s="26">
        <v>45863</v>
      </c>
      <c r="K56" s="28">
        <v>875</v>
      </c>
      <c r="L56" s="28">
        <v>625</v>
      </c>
      <c r="M56" s="28">
        <v>50</v>
      </c>
      <c r="N56" s="28">
        <v>1550</v>
      </c>
      <c r="O56" s="17">
        <v>0</v>
      </c>
      <c r="P56" s="17">
        <v>360</v>
      </c>
      <c r="Q56" s="17">
        <v>1</v>
      </c>
      <c r="R56" s="13">
        <v>6.5000000000000002E-2</v>
      </c>
      <c r="S56" s="14">
        <v>45910</v>
      </c>
      <c r="T56" s="14">
        <v>56836</v>
      </c>
      <c r="U56" s="31">
        <v>45910</v>
      </c>
      <c r="V56" s="19">
        <v>915.35778981844328</v>
      </c>
      <c r="W56" s="19">
        <v>920.11223875305427</v>
      </c>
      <c r="X56" s="32">
        <v>4.8675505653430484E-3</v>
      </c>
      <c r="Y56" s="28">
        <v>875</v>
      </c>
      <c r="Z56" s="28">
        <v>2197</v>
      </c>
      <c r="AA56" s="33">
        <v>0.41880393206784444</v>
      </c>
      <c r="AB56" s="34">
        <v>6.0000000000000005E-2</v>
      </c>
      <c r="AC56" s="34">
        <f t="shared" si="0"/>
        <v>4.9999999999999975E-3</v>
      </c>
      <c r="AD56" s="15">
        <v>5.4241250000000001</v>
      </c>
      <c r="AE56" s="15">
        <v>0.1724</v>
      </c>
      <c r="AF56" s="15">
        <v>0.1915</v>
      </c>
      <c r="AG56" s="15" t="s">
        <v>789</v>
      </c>
      <c r="AH56" s="15" t="s">
        <v>797</v>
      </c>
      <c r="AQ56" s="34"/>
      <c r="AR56" s="34"/>
      <c r="AS56" s="58"/>
      <c r="AV56"/>
    </row>
    <row r="57" spans="1:48" ht="15" x14ac:dyDescent="0.25">
      <c r="A57" s="14">
        <v>45883</v>
      </c>
      <c r="B57" s="15">
        <v>55</v>
      </c>
      <c r="C57" s="15" t="s">
        <v>739</v>
      </c>
      <c r="D57" s="17">
        <f t="shared" si="7"/>
        <v>202507250081</v>
      </c>
      <c r="E57" s="15" t="s">
        <v>760</v>
      </c>
      <c r="F57" s="15" t="s">
        <v>761</v>
      </c>
      <c r="G57" s="15" t="s">
        <v>762</v>
      </c>
      <c r="H57" s="15" t="s">
        <v>763</v>
      </c>
      <c r="I57" s="15" t="s">
        <v>22</v>
      </c>
      <c r="J57" s="26">
        <v>45863</v>
      </c>
      <c r="K57" s="28">
        <v>1698.59</v>
      </c>
      <c r="L57" s="28">
        <v>375</v>
      </c>
      <c r="M57" s="28">
        <v>86.410000000000082</v>
      </c>
      <c r="N57" s="28">
        <v>2160</v>
      </c>
      <c r="O57" s="17">
        <v>0</v>
      </c>
      <c r="P57" s="17">
        <v>228</v>
      </c>
      <c r="Q57" s="17">
        <v>1</v>
      </c>
      <c r="R57" s="13">
        <v>6.5000000000000002E-2</v>
      </c>
      <c r="S57" s="14">
        <v>45910</v>
      </c>
      <c r="T57" s="14">
        <v>52819</v>
      </c>
      <c r="U57" s="31">
        <v>45910</v>
      </c>
      <c r="V57" s="19">
        <v>1749.8505214878312</v>
      </c>
      <c r="W57" s="19">
        <v>1762.8333029317591</v>
      </c>
      <c r="X57" s="32">
        <v>4.8675505653430484E-3</v>
      </c>
      <c r="Y57" s="28">
        <v>1698.59</v>
      </c>
      <c r="Z57" s="28">
        <v>2178.56</v>
      </c>
      <c r="AA57" s="33">
        <v>0.80917362979755392</v>
      </c>
      <c r="AB57" s="34">
        <v>6.0000000000000005E-2</v>
      </c>
      <c r="AC57" s="34">
        <f t="shared" si="0"/>
        <v>4.9999999999999975E-3</v>
      </c>
      <c r="AD57" s="15">
        <v>12.809068</v>
      </c>
      <c r="AE57" s="15">
        <v>0.28299999999999997</v>
      </c>
      <c r="AF57" s="15">
        <v>0.48080000000000001</v>
      </c>
      <c r="AG57" s="15" t="s">
        <v>790</v>
      </c>
      <c r="AH57" s="15" t="s">
        <v>160</v>
      </c>
      <c r="AQ57" s="34"/>
      <c r="AR57" s="34"/>
      <c r="AS57" s="58"/>
      <c r="AV57"/>
    </row>
    <row r="58" spans="1:48" ht="15" x14ac:dyDescent="0.25">
      <c r="A58" s="14">
        <v>45883</v>
      </c>
      <c r="B58" s="15">
        <v>56</v>
      </c>
      <c r="C58" s="15" t="s">
        <v>740</v>
      </c>
      <c r="D58" s="17">
        <f t="shared" si="7"/>
        <v>202507280079</v>
      </c>
      <c r="E58" s="15" t="s">
        <v>764</v>
      </c>
      <c r="F58" s="15" t="s">
        <v>765</v>
      </c>
      <c r="G58" s="15" t="s">
        <v>766</v>
      </c>
      <c r="H58" s="15" t="s">
        <v>767</v>
      </c>
      <c r="I58" s="15" t="s">
        <v>145</v>
      </c>
      <c r="J58" s="26">
        <v>45866</v>
      </c>
      <c r="K58" s="28">
        <v>2150</v>
      </c>
      <c r="L58" s="28">
        <v>550</v>
      </c>
      <c r="M58" s="28">
        <v>100</v>
      </c>
      <c r="N58" s="28">
        <v>2800</v>
      </c>
      <c r="O58" s="17">
        <v>0</v>
      </c>
      <c r="P58" s="17">
        <v>360</v>
      </c>
      <c r="Q58" s="17">
        <v>1</v>
      </c>
      <c r="R58" s="13">
        <v>6.2E-2</v>
      </c>
      <c r="S58" s="14">
        <v>45910</v>
      </c>
      <c r="T58" s="14">
        <v>56836</v>
      </c>
      <c r="U58" s="31">
        <v>45910</v>
      </c>
      <c r="V58" s="19">
        <v>2251.7779899017901</v>
      </c>
      <c r="W58" s="19">
        <v>2264.3890287979152</v>
      </c>
      <c r="X58" s="32">
        <v>4.6302455190647684E-3</v>
      </c>
      <c r="Y58" s="28">
        <v>2150</v>
      </c>
      <c r="Z58" s="28">
        <v>3034.65</v>
      </c>
      <c r="AA58" s="33">
        <v>0.74617798718070127</v>
      </c>
      <c r="AB58" s="34">
        <v>5.7000000000000002E-2</v>
      </c>
      <c r="AC58" s="34">
        <f t="shared" si="0"/>
        <v>4.9999999999999975E-3</v>
      </c>
      <c r="AD58" s="15">
        <v>12.93225</v>
      </c>
      <c r="AE58" s="15">
        <v>0.24349999999999999</v>
      </c>
      <c r="AF58" s="15">
        <v>0.26019999999999999</v>
      </c>
      <c r="AG58" s="15" t="s">
        <v>791</v>
      </c>
      <c r="AH58" s="15" t="s">
        <v>144</v>
      </c>
      <c r="AQ58" s="34"/>
      <c r="AR58" s="34"/>
      <c r="AS58" s="58"/>
      <c r="AV58"/>
    </row>
    <row r="59" spans="1:48" ht="15" x14ac:dyDescent="0.25">
      <c r="A59" s="14">
        <v>45883</v>
      </c>
      <c r="B59" s="15">
        <v>57</v>
      </c>
      <c r="C59" s="15" t="s">
        <v>741</v>
      </c>
      <c r="D59" s="17">
        <f t="shared" si="7"/>
        <v>202507290083</v>
      </c>
      <c r="E59" s="15" t="s">
        <v>586</v>
      </c>
      <c r="F59" s="15" t="s">
        <v>768</v>
      </c>
      <c r="G59" s="15" t="s">
        <v>769</v>
      </c>
      <c r="H59" s="15" t="s">
        <v>770</v>
      </c>
      <c r="I59" s="15" t="s">
        <v>22</v>
      </c>
      <c r="J59" s="26">
        <v>45867</v>
      </c>
      <c r="K59" s="28">
        <v>2150</v>
      </c>
      <c r="L59" s="28">
        <v>550</v>
      </c>
      <c r="M59" s="28">
        <v>100</v>
      </c>
      <c r="N59" s="28">
        <v>2800</v>
      </c>
      <c r="O59" s="17">
        <v>0</v>
      </c>
      <c r="P59" s="17">
        <v>480</v>
      </c>
      <c r="Q59" s="17">
        <v>1</v>
      </c>
      <c r="R59" s="13">
        <v>6.5000000000000002E-2</v>
      </c>
      <c r="S59" s="14">
        <v>45910</v>
      </c>
      <c r="T59" s="14">
        <v>60489</v>
      </c>
      <c r="U59" s="31">
        <v>45910</v>
      </c>
      <c r="V59" s="19">
        <v>2270.758974623443</v>
      </c>
      <c r="W59" s="19">
        <v>2282.3192138461418</v>
      </c>
      <c r="X59" s="32">
        <v>4.8675505653430484E-3</v>
      </c>
      <c r="Y59" s="28">
        <v>2150</v>
      </c>
      <c r="Z59" s="28">
        <v>2894.53</v>
      </c>
      <c r="AA59" s="33">
        <v>0.78849388807376042</v>
      </c>
      <c r="AB59" s="34">
        <v>6.0000000000000005E-2</v>
      </c>
      <c r="AC59" s="34">
        <f t="shared" si="0"/>
        <v>4.9999999999999975E-3</v>
      </c>
      <c r="AD59" s="15">
        <v>12.304449999999999</v>
      </c>
      <c r="AE59" s="15">
        <v>0.26540000000000002</v>
      </c>
      <c r="AF59" s="15">
        <v>0.42930000000000001</v>
      </c>
      <c r="AG59" s="15" t="s">
        <v>792</v>
      </c>
      <c r="AH59" s="15" t="s">
        <v>623</v>
      </c>
      <c r="AQ59" s="34"/>
      <c r="AR59" s="34"/>
      <c r="AS59" s="58"/>
      <c r="AV59"/>
    </row>
    <row r="60" spans="1:48" ht="15" x14ac:dyDescent="0.25">
      <c r="A60" s="14">
        <v>45883</v>
      </c>
      <c r="B60" s="15">
        <v>58</v>
      </c>
      <c r="C60" s="15" t="s">
        <v>742</v>
      </c>
      <c r="D60" s="17">
        <f t="shared" si="7"/>
        <v>202507300085</v>
      </c>
      <c r="E60" s="15" t="s">
        <v>771</v>
      </c>
      <c r="F60" s="15" t="s">
        <v>772</v>
      </c>
      <c r="G60" s="15" t="s">
        <v>773</v>
      </c>
      <c r="H60" s="15" t="s">
        <v>774</v>
      </c>
      <c r="I60" s="15" t="s">
        <v>681</v>
      </c>
      <c r="J60" s="26">
        <v>45868</v>
      </c>
      <c r="K60" s="28">
        <v>935</v>
      </c>
      <c r="L60" s="28">
        <v>575</v>
      </c>
      <c r="M60" s="28">
        <v>130</v>
      </c>
      <c r="N60" s="28">
        <v>1640</v>
      </c>
      <c r="O60" s="17">
        <v>0</v>
      </c>
      <c r="P60" s="17">
        <v>228</v>
      </c>
      <c r="Q60" s="17">
        <v>1</v>
      </c>
      <c r="R60" s="13">
        <v>6.5000000000000002E-2</v>
      </c>
      <c r="S60" s="14">
        <v>45910</v>
      </c>
      <c r="T60" s="14">
        <v>52819</v>
      </c>
      <c r="U60" s="31">
        <v>45910</v>
      </c>
      <c r="V60" s="19">
        <v>963.21662934204937</v>
      </c>
      <c r="W60" s="19">
        <v>970.1770913325646</v>
      </c>
      <c r="X60" s="32">
        <v>4.8675505653430484E-3</v>
      </c>
      <c r="Y60" s="28">
        <v>935</v>
      </c>
      <c r="Z60" s="28">
        <v>2353.65</v>
      </c>
      <c r="AA60" s="33">
        <v>0.4122010882385081</v>
      </c>
      <c r="AB60" s="34">
        <v>6.0000000000000005E-2</v>
      </c>
      <c r="AC60" s="34">
        <f t="shared" si="0"/>
        <v>4.9999999999999975E-3</v>
      </c>
      <c r="AD60" s="15">
        <v>7.0508350000000002</v>
      </c>
      <c r="AE60" s="15">
        <v>0.32740000000000002</v>
      </c>
      <c r="AF60" s="15">
        <v>0.33129999999999998</v>
      </c>
      <c r="AG60" s="15" t="s">
        <v>793</v>
      </c>
      <c r="AH60" s="15" t="s">
        <v>798</v>
      </c>
      <c r="AQ60" s="34"/>
      <c r="AR60" s="34"/>
      <c r="AS60" s="58"/>
      <c r="AV60"/>
    </row>
    <row r="61" spans="1:48" ht="15" x14ac:dyDescent="0.25">
      <c r="A61" s="14">
        <v>45883</v>
      </c>
      <c r="B61" s="15">
        <v>59</v>
      </c>
      <c r="C61" s="37" t="s">
        <v>743</v>
      </c>
      <c r="D61" s="17">
        <f t="shared" si="7"/>
        <v>202507300084</v>
      </c>
      <c r="E61" s="37" t="s">
        <v>775</v>
      </c>
      <c r="F61" s="15" t="s">
        <v>776</v>
      </c>
      <c r="G61" s="15" t="s">
        <v>777</v>
      </c>
      <c r="H61" s="15" t="s">
        <v>778</v>
      </c>
      <c r="I61" s="15" t="s">
        <v>499</v>
      </c>
      <c r="J61" s="26">
        <v>45868</v>
      </c>
      <c r="K61" s="28">
        <v>2150</v>
      </c>
      <c r="L61" s="28">
        <v>550</v>
      </c>
      <c r="M61" s="28">
        <v>100</v>
      </c>
      <c r="N61" s="28">
        <v>2800</v>
      </c>
      <c r="O61" s="17">
        <v>0</v>
      </c>
      <c r="P61" s="17">
        <v>360</v>
      </c>
      <c r="Q61" s="17">
        <v>1</v>
      </c>
      <c r="R61" s="13">
        <v>6.2E-2</v>
      </c>
      <c r="S61" s="14">
        <v>45910</v>
      </c>
      <c r="T61" s="14">
        <v>56836</v>
      </c>
      <c r="U61" s="31">
        <v>45910</v>
      </c>
      <c r="V61" s="19">
        <v>2251.7779899017901</v>
      </c>
      <c r="W61" s="19">
        <v>2264.3890287979152</v>
      </c>
      <c r="X61" s="32">
        <v>4.6302455190647684E-3</v>
      </c>
      <c r="Y61" s="28">
        <v>2150</v>
      </c>
      <c r="Z61" s="28">
        <v>3095.45</v>
      </c>
      <c r="AA61" s="33">
        <v>0.73152175896813565</v>
      </c>
      <c r="AB61" s="34">
        <v>5.7000000000000002E-2</v>
      </c>
      <c r="AC61" s="34">
        <f t="shared" si="0"/>
        <v>4.9999999999999975E-3</v>
      </c>
      <c r="AD61" s="15">
        <v>12.93225</v>
      </c>
      <c r="AE61" s="15">
        <v>0.33739999999999998</v>
      </c>
      <c r="AF61" s="15">
        <v>0.36859999999999998</v>
      </c>
      <c r="AG61" s="15" t="s">
        <v>794</v>
      </c>
      <c r="AH61" s="15" t="s">
        <v>623</v>
      </c>
      <c r="AQ61" s="34"/>
      <c r="AR61" s="34"/>
      <c r="AS61" s="58"/>
      <c r="AV61"/>
    </row>
    <row r="62" spans="1:48" ht="15" x14ac:dyDescent="0.25">
      <c r="A62" s="14">
        <v>45883</v>
      </c>
      <c r="B62" s="15">
        <v>60</v>
      </c>
      <c r="C62" s="25" t="s">
        <v>744</v>
      </c>
      <c r="D62" s="17">
        <f t="shared" si="7"/>
        <v>202507310087</v>
      </c>
      <c r="E62" s="37" t="s">
        <v>719</v>
      </c>
      <c r="F62" s="25" t="s">
        <v>779</v>
      </c>
      <c r="G62" s="25" t="s">
        <v>780</v>
      </c>
      <c r="H62" s="25" t="s">
        <v>781</v>
      </c>
      <c r="I62" s="25" t="s">
        <v>681</v>
      </c>
      <c r="J62" s="26">
        <v>45869</v>
      </c>
      <c r="K62" s="27">
        <v>1760</v>
      </c>
      <c r="L62" s="28">
        <v>325</v>
      </c>
      <c r="M62" s="28">
        <v>115</v>
      </c>
      <c r="N62" s="28">
        <v>2200</v>
      </c>
      <c r="O62" s="29">
        <v>0</v>
      </c>
      <c r="P62" s="35">
        <v>480</v>
      </c>
      <c r="Q62" s="35">
        <v>1</v>
      </c>
      <c r="R62" s="13">
        <v>6.5000000000000002E-2</v>
      </c>
      <c r="S62" s="14">
        <v>45910</v>
      </c>
      <c r="T62" s="14">
        <v>60489</v>
      </c>
      <c r="U62" s="31">
        <v>45910</v>
      </c>
      <c r="V62" s="19">
        <v>1858.8538582963988</v>
      </c>
      <c r="W62" s="19">
        <v>1868.5328935181026</v>
      </c>
      <c r="X62" s="32">
        <v>4.8675505653430484E-3</v>
      </c>
      <c r="Y62" s="28">
        <v>1760</v>
      </c>
      <c r="Z62" s="28">
        <v>2467.71</v>
      </c>
      <c r="AA62" s="33">
        <v>0.75719306300906608</v>
      </c>
      <c r="AB62" s="34">
        <v>6.0000000000000005E-2</v>
      </c>
      <c r="AC62" s="34">
        <f t="shared" si="0"/>
        <v>4.9999999999999975E-3</v>
      </c>
      <c r="AD62" s="15">
        <v>10.072480000000001</v>
      </c>
      <c r="AE62" s="15">
        <v>0.26329999999999998</v>
      </c>
      <c r="AF62" s="15">
        <v>0.51129999999999998</v>
      </c>
      <c r="AG62" s="15" t="s">
        <v>795</v>
      </c>
      <c r="AH62" s="15" t="s">
        <v>799</v>
      </c>
      <c r="AQ62" s="34"/>
      <c r="AR62" s="34"/>
      <c r="AS62" s="58"/>
      <c r="AV62"/>
    </row>
    <row r="63" spans="1:48" ht="15" x14ac:dyDescent="0.25">
      <c r="A63" s="14">
        <v>45883</v>
      </c>
      <c r="B63" s="15">
        <v>61</v>
      </c>
      <c r="C63" s="37" t="s">
        <v>745</v>
      </c>
      <c r="D63" s="17">
        <f t="shared" si="7"/>
        <v>202507310089</v>
      </c>
      <c r="E63" s="37" t="s">
        <v>782</v>
      </c>
      <c r="F63" s="25" t="s">
        <v>783</v>
      </c>
      <c r="G63" s="25" t="s">
        <v>784</v>
      </c>
      <c r="H63" s="25" t="s">
        <v>785</v>
      </c>
      <c r="I63" s="25" t="s">
        <v>681</v>
      </c>
      <c r="J63" s="26">
        <v>45869</v>
      </c>
      <c r="K63" s="27">
        <v>1887.25</v>
      </c>
      <c r="L63" s="28">
        <v>600</v>
      </c>
      <c r="M63" s="28">
        <v>112.75</v>
      </c>
      <c r="N63" s="28">
        <v>2600</v>
      </c>
      <c r="O63" s="17">
        <v>0</v>
      </c>
      <c r="P63" s="29">
        <v>360</v>
      </c>
      <c r="Q63" s="35">
        <v>1</v>
      </c>
      <c r="R63" s="13">
        <v>6.7000000000000004E-2</v>
      </c>
      <c r="S63" s="14">
        <v>45910</v>
      </c>
      <c r="T63" s="14">
        <v>56836</v>
      </c>
      <c r="U63" s="31">
        <v>45910</v>
      </c>
      <c r="V63" s="19">
        <v>1972.8010816866706</v>
      </c>
      <c r="W63" s="19">
        <v>1984.6000560965565</v>
      </c>
      <c r="X63" s="32">
        <v>5.0254121388362272E-3</v>
      </c>
      <c r="Y63" s="28">
        <v>1887.25</v>
      </c>
      <c r="Z63" s="28">
        <v>2743.26</v>
      </c>
      <c r="AA63" s="33">
        <v>0.72344584767632536</v>
      </c>
      <c r="AB63" s="34">
        <v>6.2000000000000006E-2</v>
      </c>
      <c r="AC63" s="34">
        <f t="shared" si="0"/>
        <v>4.9999999999999975E-3</v>
      </c>
      <c r="AD63" s="15">
        <v>11.931195000000001</v>
      </c>
      <c r="AE63" s="15">
        <v>0.3266</v>
      </c>
      <c r="AF63" s="15">
        <v>0.4541</v>
      </c>
      <c r="AG63" s="15" t="s">
        <v>796</v>
      </c>
      <c r="AH63" s="15" t="s">
        <v>734</v>
      </c>
      <c r="AQ63" s="34"/>
      <c r="AR63" s="34"/>
      <c r="AS63" s="58"/>
      <c r="AV63"/>
    </row>
    <row r="64" spans="1:48" ht="15" x14ac:dyDescent="0.25">
      <c r="A64" s="36">
        <v>45911</v>
      </c>
      <c r="B64" s="15">
        <v>62</v>
      </c>
      <c r="C64" s="37" t="s">
        <v>800</v>
      </c>
      <c r="D64" s="17">
        <f t="shared" si="7"/>
        <v>202508290100</v>
      </c>
      <c r="E64" s="37" t="s">
        <v>809</v>
      </c>
      <c r="F64" s="25" t="s">
        <v>810</v>
      </c>
      <c r="G64" s="25" t="s">
        <v>811</v>
      </c>
      <c r="H64" s="25">
        <v>11644415</v>
      </c>
      <c r="I64" s="25">
        <v>1</v>
      </c>
      <c r="J64" s="26">
        <v>45898</v>
      </c>
      <c r="K64" s="27">
        <v>1180</v>
      </c>
      <c r="L64" s="28">
        <v>700</v>
      </c>
      <c r="M64" s="28">
        <v>820</v>
      </c>
      <c r="N64" s="28">
        <v>2700</v>
      </c>
      <c r="O64" s="17">
        <v>0</v>
      </c>
      <c r="P64" s="29">
        <v>276</v>
      </c>
      <c r="Q64" s="30">
        <v>1</v>
      </c>
      <c r="R64" s="13">
        <v>6.0999999999999999E-2</v>
      </c>
      <c r="S64" s="14">
        <v>45940</v>
      </c>
      <c r="T64" s="14">
        <v>54311</v>
      </c>
      <c r="U64" s="31">
        <v>45940</v>
      </c>
      <c r="V64" s="19">
        <v>1231.8558288295862</v>
      </c>
      <c r="W64" s="19">
        <v>1232.5856490127458</v>
      </c>
      <c r="X64" s="32">
        <v>1231.5856490127458</v>
      </c>
      <c r="Y64" s="28">
        <v>1180</v>
      </c>
      <c r="Z64" s="28">
        <v>2827.75</v>
      </c>
      <c r="AA64" s="33">
        <v>0.43588918716744612</v>
      </c>
      <c r="AB64" s="34">
        <v>5.6000000000000001E-2</v>
      </c>
      <c r="AC64" s="34">
        <f t="shared" si="0"/>
        <v>4.9999999999999975E-3</v>
      </c>
      <c r="AD64" s="15">
        <v>7.8470000000000004</v>
      </c>
      <c r="AE64" s="15">
        <v>0.3422</v>
      </c>
      <c r="AF64" s="15">
        <v>0.37459999999999999</v>
      </c>
      <c r="AG64" s="15" t="s">
        <v>832</v>
      </c>
      <c r="AH64" s="15" t="s">
        <v>841</v>
      </c>
      <c r="AQ64" s="34"/>
      <c r="AR64" s="34"/>
      <c r="AS64" s="58"/>
      <c r="AV64"/>
    </row>
    <row r="65" spans="1:48" ht="15" x14ac:dyDescent="0.25">
      <c r="A65" s="36">
        <v>45911</v>
      </c>
      <c r="B65" s="15">
        <v>63</v>
      </c>
      <c r="C65" s="37" t="s">
        <v>801</v>
      </c>
      <c r="D65" s="17">
        <f t="shared" si="7"/>
        <v>202508290101</v>
      </c>
      <c r="E65" s="37" t="s">
        <v>812</v>
      </c>
      <c r="F65" s="15" t="s">
        <v>645</v>
      </c>
      <c r="G65" s="15" t="s">
        <v>813</v>
      </c>
      <c r="H65" s="25">
        <v>17712429</v>
      </c>
      <c r="I65" s="15" t="s">
        <v>23</v>
      </c>
      <c r="J65" s="26">
        <v>45898</v>
      </c>
      <c r="K65" s="27">
        <v>2050</v>
      </c>
      <c r="L65" s="28">
        <v>550</v>
      </c>
      <c r="M65" s="28">
        <v>100</v>
      </c>
      <c r="N65" s="28">
        <v>2700</v>
      </c>
      <c r="O65" s="17">
        <v>0</v>
      </c>
      <c r="P65" s="17">
        <v>480</v>
      </c>
      <c r="Q65" s="30">
        <v>1</v>
      </c>
      <c r="R65" s="13">
        <v>6.4000000000000001E-2</v>
      </c>
      <c r="S65" s="14">
        <v>45940</v>
      </c>
      <c r="T65" s="14">
        <v>60520</v>
      </c>
      <c r="U65" s="31">
        <v>45940</v>
      </c>
      <c r="V65" s="19">
        <v>2176.9026497215777</v>
      </c>
      <c r="W65" s="19">
        <v>2176.4838534126102</v>
      </c>
      <c r="X65" s="32">
        <v>2175.4838534126102</v>
      </c>
      <c r="Y65" s="28">
        <v>2050</v>
      </c>
      <c r="Z65" s="28">
        <v>3046.15</v>
      </c>
      <c r="AA65" s="33">
        <v>0.71450317726067658</v>
      </c>
      <c r="AB65" s="34">
        <v>5.9000000000000004E-2</v>
      </c>
      <c r="AC65" s="34">
        <f t="shared" si="0"/>
        <v>4.9999999999999975E-3</v>
      </c>
      <c r="AD65" s="15">
        <v>11.594799999999999</v>
      </c>
      <c r="AE65" s="15">
        <v>0.3533</v>
      </c>
      <c r="AF65" s="15">
        <v>0.3533</v>
      </c>
      <c r="AG65" s="15" t="s">
        <v>833</v>
      </c>
      <c r="AH65" s="15" t="s">
        <v>144</v>
      </c>
      <c r="AQ65" s="34"/>
      <c r="AR65" s="34"/>
      <c r="AS65" s="58"/>
      <c r="AV65"/>
    </row>
    <row r="66" spans="1:48" ht="15" x14ac:dyDescent="0.25">
      <c r="A66" s="36">
        <v>45911</v>
      </c>
      <c r="B66" s="15">
        <v>64</v>
      </c>
      <c r="C66" s="37" t="s">
        <v>802</v>
      </c>
      <c r="D66" s="17">
        <f t="shared" si="7"/>
        <v>202508290102</v>
      </c>
      <c r="E66" s="37" t="s">
        <v>814</v>
      </c>
      <c r="G66" s="15" t="s">
        <v>815</v>
      </c>
      <c r="H66" s="25">
        <v>26356892</v>
      </c>
      <c r="I66" s="15">
        <v>3</v>
      </c>
      <c r="J66" s="26">
        <v>45898</v>
      </c>
      <c r="K66" s="27">
        <v>1970</v>
      </c>
      <c r="L66" s="28">
        <v>550</v>
      </c>
      <c r="M66" s="28">
        <v>80</v>
      </c>
      <c r="N66" s="28">
        <v>2600</v>
      </c>
      <c r="O66" s="17">
        <v>0</v>
      </c>
      <c r="P66" s="29">
        <v>408</v>
      </c>
      <c r="Q66" s="35">
        <v>1</v>
      </c>
      <c r="R66" s="13">
        <v>6.5000000000000002E-2</v>
      </c>
      <c r="S66" s="14">
        <v>45940</v>
      </c>
      <c r="T66" s="14">
        <v>58328</v>
      </c>
      <c r="U66" s="31">
        <v>45940</v>
      </c>
      <c r="V66" s="19">
        <v>2080.3221244460437</v>
      </c>
      <c r="W66" s="19">
        <v>2081.6501832137724</v>
      </c>
      <c r="X66" s="32">
        <v>2080.6501832137724</v>
      </c>
      <c r="Y66" s="28">
        <v>1970</v>
      </c>
      <c r="Z66" s="28">
        <v>2722.11</v>
      </c>
      <c r="AA66" s="33">
        <v>0.76471934756999982</v>
      </c>
      <c r="AB66" s="34">
        <v>6.0000000000000005E-2</v>
      </c>
      <c r="AC66" s="34">
        <f t="shared" si="0"/>
        <v>4.9999999999999975E-3</v>
      </c>
      <c r="AD66" s="15">
        <v>11.745139999999999</v>
      </c>
      <c r="AE66" s="15">
        <v>0.31109999999999999</v>
      </c>
      <c r="AF66" s="15">
        <v>0.31109999999999999</v>
      </c>
      <c r="AG66" s="15" t="s">
        <v>834</v>
      </c>
      <c r="AH66" s="15" t="s">
        <v>623</v>
      </c>
      <c r="AQ66" s="34"/>
      <c r="AR66" s="34"/>
      <c r="AS66" s="58"/>
      <c r="AV66"/>
    </row>
    <row r="67" spans="1:48" ht="15" x14ac:dyDescent="0.25">
      <c r="A67" s="36">
        <v>45911</v>
      </c>
      <c r="B67" s="15">
        <v>65</v>
      </c>
      <c r="C67" s="37" t="s">
        <v>803</v>
      </c>
      <c r="D67" s="17">
        <f t="shared" si="7"/>
        <v>202508210099</v>
      </c>
      <c r="E67" s="37" t="s">
        <v>816</v>
      </c>
      <c r="G67" s="15" t="s">
        <v>817</v>
      </c>
      <c r="H67" s="25">
        <v>21543580</v>
      </c>
      <c r="I67" s="25">
        <v>6</v>
      </c>
      <c r="J67" s="26">
        <v>45890</v>
      </c>
      <c r="K67" s="27">
        <v>1796</v>
      </c>
      <c r="L67" s="28">
        <v>550</v>
      </c>
      <c r="M67" s="28">
        <v>206</v>
      </c>
      <c r="N67" s="28">
        <v>2552</v>
      </c>
      <c r="O67" s="17">
        <v>0</v>
      </c>
      <c r="P67" s="29">
        <v>480</v>
      </c>
      <c r="Q67" s="35">
        <v>1</v>
      </c>
      <c r="R67" s="13">
        <v>6.4000000000000001E-2</v>
      </c>
      <c r="S67" s="14">
        <v>45940</v>
      </c>
      <c r="T67" s="14">
        <v>60520</v>
      </c>
      <c r="U67" s="31">
        <v>45940</v>
      </c>
      <c r="V67" s="19">
        <v>1907.1791019024186</v>
      </c>
      <c r="W67" s="19">
        <v>1907.9439330245425</v>
      </c>
      <c r="X67" s="32">
        <v>1906.9439330245425</v>
      </c>
      <c r="Y67" s="28">
        <v>1796</v>
      </c>
      <c r="Z67" s="28">
        <v>2574.27</v>
      </c>
      <c r="AA67" s="33">
        <v>0.74115921524336703</v>
      </c>
      <c r="AB67" s="34">
        <v>5.9000000000000004E-2</v>
      </c>
      <c r="AC67" s="34">
        <f t="shared" ref="AC67:AC130" si="8">+IF(AB67="","",R67-AB67)</f>
        <v>4.9999999999999975E-3</v>
      </c>
      <c r="AD67" s="15">
        <v>10.158175999999999</v>
      </c>
      <c r="AE67" s="15">
        <v>0.33250000000000002</v>
      </c>
      <c r="AF67" s="15">
        <v>0.3422</v>
      </c>
      <c r="AG67" s="15" t="s">
        <v>835</v>
      </c>
      <c r="AH67" s="15" t="s">
        <v>692</v>
      </c>
      <c r="AQ67" s="34"/>
      <c r="AR67" s="34"/>
      <c r="AS67" s="58"/>
      <c r="AV67"/>
    </row>
    <row r="68" spans="1:48" ht="15" x14ac:dyDescent="0.25">
      <c r="A68" s="36">
        <v>45911</v>
      </c>
      <c r="B68" s="15">
        <v>66</v>
      </c>
      <c r="C68" s="37" t="s">
        <v>804</v>
      </c>
      <c r="D68" s="17">
        <f t="shared" si="7"/>
        <v>202508200096</v>
      </c>
      <c r="E68" s="37" t="s">
        <v>706</v>
      </c>
      <c r="F68" s="15" t="s">
        <v>818</v>
      </c>
      <c r="G68" s="15" t="s">
        <v>819</v>
      </c>
      <c r="H68" s="25">
        <v>17666018</v>
      </c>
      <c r="I68" s="25" t="s">
        <v>23</v>
      </c>
      <c r="J68" s="26">
        <v>45889</v>
      </c>
      <c r="K68" s="27">
        <v>1392.82</v>
      </c>
      <c r="L68" s="28">
        <v>475</v>
      </c>
      <c r="M68" s="28">
        <v>82.180000000000064</v>
      </c>
      <c r="N68" s="28">
        <v>1950</v>
      </c>
      <c r="O68" s="17">
        <v>0</v>
      </c>
      <c r="P68" s="29">
        <v>360</v>
      </c>
      <c r="Q68" s="35">
        <v>1</v>
      </c>
      <c r="R68" s="13">
        <v>6.7000000000000004E-2</v>
      </c>
      <c r="S68" s="14">
        <v>45940</v>
      </c>
      <c r="T68" s="14">
        <v>56867</v>
      </c>
      <c r="U68" s="31">
        <v>45940</v>
      </c>
      <c r="V68" s="19">
        <v>1463.9896828577921</v>
      </c>
      <c r="W68" s="19">
        <v>1465.093255834202</v>
      </c>
      <c r="X68" s="32">
        <v>1464.093255834202</v>
      </c>
      <c r="Y68" s="28">
        <v>1392.82</v>
      </c>
      <c r="Z68" s="28">
        <v>2483.1799999999998</v>
      </c>
      <c r="AA68" s="33">
        <v>0.5900068685452533</v>
      </c>
      <c r="AB68" s="34">
        <v>6.2000000000000006E-2</v>
      </c>
      <c r="AC68" s="34">
        <f t="shared" si="8"/>
        <v>4.9999999999999975E-3</v>
      </c>
      <c r="AD68" s="15">
        <v>8.8054079999999999</v>
      </c>
      <c r="AE68" s="15">
        <v>0.1772</v>
      </c>
      <c r="AF68" s="15">
        <v>0.20760000000000001</v>
      </c>
      <c r="AG68" s="15" t="s">
        <v>836</v>
      </c>
      <c r="AH68" s="15" t="s">
        <v>798</v>
      </c>
      <c r="AQ68" s="34"/>
      <c r="AR68" s="34"/>
      <c r="AS68" s="58"/>
      <c r="AV68"/>
    </row>
    <row r="69" spans="1:48" ht="15" x14ac:dyDescent="0.25">
      <c r="A69" s="36">
        <v>45911</v>
      </c>
      <c r="B69" s="15">
        <v>67</v>
      </c>
      <c r="C69" s="37" t="s">
        <v>805</v>
      </c>
      <c r="D69" s="17">
        <f t="shared" si="7"/>
        <v>202508140097</v>
      </c>
      <c r="E69" s="37" t="s">
        <v>820</v>
      </c>
      <c r="F69" s="15" t="s">
        <v>821</v>
      </c>
      <c r="G69" s="15" t="s">
        <v>822</v>
      </c>
      <c r="H69" s="25">
        <v>12810833</v>
      </c>
      <c r="I69" s="25">
        <v>5</v>
      </c>
      <c r="J69" s="26">
        <v>45883</v>
      </c>
      <c r="K69" s="27">
        <v>1573</v>
      </c>
      <c r="L69" s="28">
        <v>550</v>
      </c>
      <c r="M69" s="28">
        <v>100</v>
      </c>
      <c r="N69" s="28">
        <v>2223</v>
      </c>
      <c r="O69" s="17">
        <v>0</v>
      </c>
      <c r="P69" s="29">
        <v>336</v>
      </c>
      <c r="Q69" s="35">
        <v>1</v>
      </c>
      <c r="R69" s="13">
        <v>6.5000000000000002E-2</v>
      </c>
      <c r="S69" s="14">
        <v>45940</v>
      </c>
      <c r="T69" s="14">
        <v>56137</v>
      </c>
      <c r="U69" s="31">
        <v>45940</v>
      </c>
      <c r="V69" s="19">
        <v>1650.8055195143247</v>
      </c>
      <c r="W69" s="19">
        <v>1651.1569869941081</v>
      </c>
      <c r="X69" s="32">
        <v>1650.1569869941081</v>
      </c>
      <c r="Y69" s="28">
        <v>1573</v>
      </c>
      <c r="Z69" s="28">
        <v>2485.4</v>
      </c>
      <c r="AA69" s="33">
        <v>0.66434255532071618</v>
      </c>
      <c r="AB69" s="34">
        <v>6.0000000000000005E-2</v>
      </c>
      <c r="AC69" s="34">
        <f t="shared" si="8"/>
        <v>4.9999999999999975E-3</v>
      </c>
      <c r="AD69" s="15">
        <v>9.9901230000000005</v>
      </c>
      <c r="AE69" s="15">
        <v>0.32029999999999997</v>
      </c>
      <c r="AF69" s="15">
        <v>0.3261</v>
      </c>
      <c r="AG69" s="15" t="s">
        <v>837</v>
      </c>
      <c r="AH69" s="15" t="s">
        <v>666</v>
      </c>
      <c r="AQ69" s="34"/>
      <c r="AR69" s="34"/>
      <c r="AS69" s="58"/>
      <c r="AV69"/>
    </row>
    <row r="70" spans="1:48" ht="15" x14ac:dyDescent="0.25">
      <c r="A70" s="36">
        <v>45911</v>
      </c>
      <c r="B70" s="15">
        <v>68</v>
      </c>
      <c r="C70" s="37" t="s">
        <v>806</v>
      </c>
      <c r="D70" s="17">
        <f t="shared" si="7"/>
        <v>202508120095</v>
      </c>
      <c r="E70" s="37" t="s">
        <v>823</v>
      </c>
      <c r="F70" s="15" t="s">
        <v>824</v>
      </c>
      <c r="G70" s="15" t="s">
        <v>825</v>
      </c>
      <c r="H70" s="25">
        <v>18850765</v>
      </c>
      <c r="I70" s="25">
        <v>4</v>
      </c>
      <c r="J70" s="26">
        <v>45881</v>
      </c>
      <c r="K70" s="27">
        <v>731</v>
      </c>
      <c r="L70" s="28">
        <v>675</v>
      </c>
      <c r="M70" s="28">
        <v>194</v>
      </c>
      <c r="N70" s="28">
        <v>1600</v>
      </c>
      <c r="O70" s="17">
        <v>0</v>
      </c>
      <c r="P70" s="29">
        <v>300</v>
      </c>
      <c r="Q70" s="35">
        <v>1</v>
      </c>
      <c r="R70" s="13">
        <v>6.6000000000000003E-2</v>
      </c>
      <c r="S70" s="14">
        <v>45940</v>
      </c>
      <c r="T70" s="14">
        <v>55041</v>
      </c>
      <c r="U70" s="31">
        <v>45940</v>
      </c>
      <c r="V70" s="19">
        <v>764.22854808536385</v>
      </c>
      <c r="W70" s="19">
        <v>763.77207834111277</v>
      </c>
      <c r="X70" s="32">
        <v>762.77207834111277</v>
      </c>
      <c r="Y70" s="28">
        <v>731</v>
      </c>
      <c r="Z70" s="28">
        <v>2334.6999999999998</v>
      </c>
      <c r="AA70" s="33">
        <v>0.32713928056757308</v>
      </c>
      <c r="AB70" s="34">
        <v>6.1000000000000006E-2</v>
      </c>
      <c r="AC70" s="34">
        <f t="shared" si="8"/>
        <v>4.9999999999999975E-3</v>
      </c>
      <c r="AD70" s="15">
        <v>4.8940450000000002</v>
      </c>
      <c r="AE70" s="15">
        <v>0.22070000000000001</v>
      </c>
      <c r="AF70" s="15">
        <v>0.22070000000000001</v>
      </c>
      <c r="AG70" s="15" t="s">
        <v>838</v>
      </c>
      <c r="AH70" s="15" t="s">
        <v>734</v>
      </c>
      <c r="AQ70" s="34"/>
      <c r="AR70" s="34"/>
      <c r="AS70" s="58"/>
      <c r="AV70"/>
    </row>
    <row r="71" spans="1:48" ht="15" x14ac:dyDescent="0.25">
      <c r="A71" s="36">
        <v>45911</v>
      </c>
      <c r="B71" s="15">
        <v>69</v>
      </c>
      <c r="C71" s="37" t="s">
        <v>807</v>
      </c>
      <c r="D71" s="17">
        <f t="shared" si="7"/>
        <v>202508050093</v>
      </c>
      <c r="E71" s="37" t="s">
        <v>826</v>
      </c>
      <c r="F71" s="15" t="s">
        <v>827</v>
      </c>
      <c r="G71" s="15" t="s">
        <v>828</v>
      </c>
      <c r="H71" s="25">
        <v>26607638</v>
      </c>
      <c r="I71" s="25" t="s">
        <v>23</v>
      </c>
      <c r="J71" s="26">
        <v>45874</v>
      </c>
      <c r="K71" s="27">
        <v>2050</v>
      </c>
      <c r="L71" s="28">
        <v>550</v>
      </c>
      <c r="M71" s="28">
        <v>100</v>
      </c>
      <c r="N71" s="28">
        <v>2700</v>
      </c>
      <c r="O71" s="17">
        <v>0</v>
      </c>
      <c r="P71" s="29">
        <v>300</v>
      </c>
      <c r="Q71" s="35">
        <v>1</v>
      </c>
      <c r="R71" s="13">
        <v>0.06</v>
      </c>
      <c r="S71" s="14">
        <v>45940</v>
      </c>
      <c r="T71" s="14">
        <v>55041</v>
      </c>
      <c r="U71" s="31">
        <v>45940</v>
      </c>
      <c r="V71" s="19">
        <v>2146.4170446356188</v>
      </c>
      <c r="W71" s="19">
        <v>2146.9747406520892</v>
      </c>
      <c r="X71" s="32">
        <v>2145.9747406520892</v>
      </c>
      <c r="Y71" s="28">
        <v>2050</v>
      </c>
      <c r="Z71" s="28">
        <v>3056.15</v>
      </c>
      <c r="AA71" s="33">
        <v>0.70250960870771695</v>
      </c>
      <c r="AB71" s="34">
        <v>5.5E-2</v>
      </c>
      <c r="AC71" s="34">
        <f t="shared" si="8"/>
        <v>4.9999999999999975E-3</v>
      </c>
      <c r="AD71" s="15">
        <v>13.0093</v>
      </c>
      <c r="AE71" s="15">
        <v>9.9900000000000003E-2</v>
      </c>
      <c r="AF71" s="15">
        <v>0.3634</v>
      </c>
      <c r="AG71" s="15" t="s">
        <v>839</v>
      </c>
      <c r="AH71" s="15" t="s">
        <v>144</v>
      </c>
      <c r="AQ71" s="34"/>
      <c r="AR71" s="34"/>
      <c r="AS71" s="58"/>
      <c r="AV71"/>
    </row>
    <row r="72" spans="1:48" ht="15" x14ac:dyDescent="0.25">
      <c r="A72" s="36">
        <v>45911</v>
      </c>
      <c r="B72" s="15">
        <v>70</v>
      </c>
      <c r="C72" s="37" t="s">
        <v>808</v>
      </c>
      <c r="D72" s="17">
        <f t="shared" si="7"/>
        <v>202507310091</v>
      </c>
      <c r="E72" s="37" t="s">
        <v>829</v>
      </c>
      <c r="F72" s="15" t="s">
        <v>830</v>
      </c>
      <c r="G72" s="15" t="s">
        <v>831</v>
      </c>
      <c r="H72" s="25">
        <v>18757410</v>
      </c>
      <c r="I72" s="25">
        <v>2</v>
      </c>
      <c r="J72" s="26">
        <v>45869</v>
      </c>
      <c r="K72" s="27">
        <v>2150</v>
      </c>
      <c r="L72" s="28">
        <v>550</v>
      </c>
      <c r="M72" s="28">
        <v>100</v>
      </c>
      <c r="N72" s="28">
        <v>2800</v>
      </c>
      <c r="O72" s="17">
        <v>0</v>
      </c>
      <c r="P72" s="29">
        <v>360</v>
      </c>
      <c r="Q72" s="35">
        <v>1</v>
      </c>
      <c r="R72" s="13">
        <v>0.06</v>
      </c>
      <c r="S72" s="14">
        <v>45940</v>
      </c>
      <c r="T72" s="14">
        <v>56836</v>
      </c>
      <c r="U72" s="31">
        <v>45940</v>
      </c>
      <c r="V72" s="19">
        <v>2262.5832951277916</v>
      </c>
      <c r="W72" s="19">
        <v>2265.2299368095596</v>
      </c>
      <c r="X72" s="32">
        <v>2264.2299368095596</v>
      </c>
      <c r="Y72" s="28">
        <v>2150</v>
      </c>
      <c r="Z72" s="28">
        <v>3002.75</v>
      </c>
      <c r="AA72" s="33">
        <v>0.75438512590444085</v>
      </c>
      <c r="AB72" s="34">
        <v>5.5E-2</v>
      </c>
      <c r="AC72" s="34">
        <f t="shared" si="8"/>
        <v>4.9999999999999975E-3</v>
      </c>
      <c r="AD72" s="15">
        <v>12.6721</v>
      </c>
      <c r="AE72" s="15">
        <v>0.29930000000000001</v>
      </c>
      <c r="AF72" s="15">
        <v>0.49809999999999999</v>
      </c>
      <c r="AG72" s="15" t="s">
        <v>840</v>
      </c>
      <c r="AH72" s="15" t="s">
        <v>623</v>
      </c>
      <c r="AQ72" s="34"/>
      <c r="AR72" s="34"/>
      <c r="AS72" s="58"/>
      <c r="AV72"/>
    </row>
    <row r="73" spans="1:48" ht="15" x14ac:dyDescent="0.25">
      <c r="A73" s="36">
        <v>45924</v>
      </c>
      <c r="B73" s="15">
        <v>71</v>
      </c>
      <c r="C73" s="37" t="s">
        <v>842</v>
      </c>
      <c r="D73" s="17">
        <f t="shared" si="7"/>
        <v>202509110110</v>
      </c>
      <c r="E73" s="37" t="s">
        <v>847</v>
      </c>
      <c r="F73" s="25" t="s">
        <v>848</v>
      </c>
      <c r="G73" s="25" t="s">
        <v>849</v>
      </c>
      <c r="H73" s="25">
        <v>18759057</v>
      </c>
      <c r="I73" s="25">
        <v>4</v>
      </c>
      <c r="J73" s="26">
        <v>45911</v>
      </c>
      <c r="K73" s="27">
        <v>2150</v>
      </c>
      <c r="L73" s="28">
        <v>550</v>
      </c>
      <c r="M73" s="28">
        <v>100</v>
      </c>
      <c r="N73" s="28">
        <v>2800</v>
      </c>
      <c r="O73" s="17">
        <v>0</v>
      </c>
      <c r="P73" s="29">
        <v>360</v>
      </c>
      <c r="Q73" s="35">
        <v>0</v>
      </c>
      <c r="R73" s="13">
        <v>6.2E-2</v>
      </c>
      <c r="S73" s="14">
        <v>45971</v>
      </c>
      <c r="T73" s="14">
        <v>56897</v>
      </c>
      <c r="U73" s="31">
        <v>45940</v>
      </c>
      <c r="V73" s="19">
        <v>2253.1778876942371</v>
      </c>
      <c r="W73" s="19">
        <v>2257.5213415863577</v>
      </c>
      <c r="X73" s="32">
        <v>2256.5213415863577</v>
      </c>
      <c r="Y73" s="28">
        <v>895.7431424125258</v>
      </c>
      <c r="Z73" s="28">
        <v>2890.47</v>
      </c>
      <c r="AA73" s="33">
        <v>0.7678571428571429</v>
      </c>
      <c r="AB73" s="34">
        <v>5.7000000000000002E-2</v>
      </c>
      <c r="AC73" s="34">
        <f t="shared" si="8"/>
        <v>4.9999999999999975E-3</v>
      </c>
      <c r="AD73" s="15">
        <v>12.93225</v>
      </c>
      <c r="AE73" s="15">
        <v>0.33510000000000001</v>
      </c>
      <c r="AF73" s="15">
        <v>0.38329999999999997</v>
      </c>
      <c r="AG73" s="15" t="s">
        <v>860</v>
      </c>
      <c r="AH73" s="15" t="s">
        <v>144</v>
      </c>
      <c r="AQ73" s="34"/>
      <c r="AR73" s="34"/>
      <c r="AS73" s="58"/>
      <c r="AV73"/>
    </row>
    <row r="74" spans="1:48" ht="15" x14ac:dyDescent="0.25">
      <c r="A74" s="36">
        <v>45924</v>
      </c>
      <c r="B74" s="15">
        <v>72</v>
      </c>
      <c r="C74" s="37" t="s">
        <v>843</v>
      </c>
      <c r="D74" s="17">
        <f t="shared" si="7"/>
        <v>202509090111</v>
      </c>
      <c r="E74" s="37" t="s">
        <v>74</v>
      </c>
      <c r="F74" s="25" t="s">
        <v>850</v>
      </c>
      <c r="G74" s="25" t="s">
        <v>851</v>
      </c>
      <c r="H74" s="25">
        <v>15138535</v>
      </c>
      <c r="I74" s="25">
        <v>4</v>
      </c>
      <c r="J74" s="26">
        <v>45909</v>
      </c>
      <c r="K74" s="27">
        <v>2350</v>
      </c>
      <c r="L74" s="28">
        <v>400</v>
      </c>
      <c r="M74" s="28">
        <v>200</v>
      </c>
      <c r="N74" s="28">
        <v>2950</v>
      </c>
      <c r="O74" s="17">
        <v>0</v>
      </c>
      <c r="P74" s="29">
        <v>420</v>
      </c>
      <c r="Q74" s="35">
        <v>0</v>
      </c>
      <c r="R74" s="13">
        <v>6.2E-2</v>
      </c>
      <c r="S74" s="14">
        <v>45971</v>
      </c>
      <c r="T74" s="14">
        <v>58724</v>
      </c>
      <c r="U74" s="31">
        <v>45940</v>
      </c>
      <c r="V74" s="19">
        <v>2475.5707477951851</v>
      </c>
      <c r="W74" s="19">
        <v>2481.3822249511059</v>
      </c>
      <c r="X74" s="32">
        <v>2480.3822249511059</v>
      </c>
      <c r="Y74" s="28">
        <v>1052.8961853516105</v>
      </c>
      <c r="Z74" s="28">
        <v>2975.38</v>
      </c>
      <c r="AA74" s="33">
        <v>0.79661016949152541</v>
      </c>
      <c r="AB74" s="34">
        <v>5.7000000000000002E-2</v>
      </c>
      <c r="AC74" s="34">
        <f t="shared" si="8"/>
        <v>4.9999999999999975E-3</v>
      </c>
      <c r="AD74" s="15">
        <v>13.4467</v>
      </c>
      <c r="AE74" s="15">
        <v>0.26240000000000002</v>
      </c>
      <c r="AF74" s="15">
        <v>0.44919999999999999</v>
      </c>
      <c r="AG74" s="15" t="s">
        <v>861</v>
      </c>
      <c r="AH74" s="15" t="s">
        <v>862</v>
      </c>
      <c r="AQ74" s="34"/>
      <c r="AR74" s="34"/>
      <c r="AS74" s="58"/>
      <c r="AV74"/>
    </row>
    <row r="75" spans="1:48" ht="15" x14ac:dyDescent="0.25">
      <c r="A75" s="36">
        <v>45924</v>
      </c>
      <c r="B75" s="15">
        <v>73</v>
      </c>
      <c r="C75" s="37" t="s">
        <v>844</v>
      </c>
      <c r="D75" s="17">
        <f t="shared" si="7"/>
        <v>202509050107</v>
      </c>
      <c r="E75" s="37" t="s">
        <v>852</v>
      </c>
      <c r="F75" s="15" t="s">
        <v>54</v>
      </c>
      <c r="G75" s="25" t="s">
        <v>853</v>
      </c>
      <c r="H75" s="25">
        <v>16694719</v>
      </c>
      <c r="I75" s="25">
        <v>7</v>
      </c>
      <c r="J75" s="26">
        <v>45905</v>
      </c>
      <c r="K75" s="27">
        <v>2150</v>
      </c>
      <c r="L75" s="28">
        <v>550</v>
      </c>
      <c r="M75" s="28">
        <v>100</v>
      </c>
      <c r="N75" s="28">
        <v>2800</v>
      </c>
      <c r="O75" s="17">
        <v>0</v>
      </c>
      <c r="P75" s="29">
        <v>360</v>
      </c>
      <c r="Q75" s="35">
        <v>0</v>
      </c>
      <c r="R75" s="13">
        <v>6.4000000000000001E-2</v>
      </c>
      <c r="S75" s="14">
        <v>45971</v>
      </c>
      <c r="T75" s="14">
        <v>56897</v>
      </c>
      <c r="U75" s="31">
        <v>45940</v>
      </c>
      <c r="V75" s="19">
        <v>2251.3161972318439</v>
      </c>
      <c r="W75" s="19">
        <v>2255.4323885806198</v>
      </c>
      <c r="X75" s="32">
        <v>2254.4323885806198</v>
      </c>
      <c r="Y75" s="28">
        <v>1531.3967170836595</v>
      </c>
      <c r="Z75" s="28">
        <v>2888.69</v>
      </c>
      <c r="AA75" s="33">
        <v>0.7678571428571429</v>
      </c>
      <c r="AB75" s="34">
        <v>5.9000000000000004E-2</v>
      </c>
      <c r="AC75" s="34">
        <f t="shared" si="8"/>
        <v>4.9999999999999975E-3</v>
      </c>
      <c r="AD75" s="15">
        <v>13.19455</v>
      </c>
      <c r="AE75" s="15">
        <v>0.26679999999999998</v>
      </c>
      <c r="AF75" s="15">
        <v>0.28129999999999999</v>
      </c>
      <c r="AG75" s="15" t="s">
        <v>863</v>
      </c>
      <c r="AH75" s="15" t="s">
        <v>144</v>
      </c>
      <c r="AQ75" s="34"/>
      <c r="AR75" s="34"/>
      <c r="AS75" s="58"/>
      <c r="AV75"/>
    </row>
    <row r="76" spans="1:48" ht="15" x14ac:dyDescent="0.25">
      <c r="A76" s="36">
        <v>45924</v>
      </c>
      <c r="B76" s="15">
        <v>74</v>
      </c>
      <c r="C76" s="37" t="s">
        <v>845</v>
      </c>
      <c r="D76" s="17">
        <f t="shared" si="7"/>
        <v>202509050105</v>
      </c>
      <c r="E76" s="37" t="s">
        <v>854</v>
      </c>
      <c r="F76" s="15" t="s">
        <v>855</v>
      </c>
      <c r="G76" s="15" t="s">
        <v>856</v>
      </c>
      <c r="H76" s="15">
        <v>26946912</v>
      </c>
      <c r="I76" s="25">
        <v>9</v>
      </c>
      <c r="J76" s="26">
        <v>45905</v>
      </c>
      <c r="K76" s="28">
        <v>1355</v>
      </c>
      <c r="L76" s="28">
        <v>425</v>
      </c>
      <c r="M76" s="28">
        <v>130</v>
      </c>
      <c r="N76" s="28">
        <v>1910</v>
      </c>
      <c r="O76" s="17">
        <v>0</v>
      </c>
      <c r="P76" s="17">
        <v>360</v>
      </c>
      <c r="Q76" s="17">
        <v>0</v>
      </c>
      <c r="R76" s="13">
        <v>6.7000000000000004E-2</v>
      </c>
      <c r="S76" s="14">
        <v>45971</v>
      </c>
      <c r="T76" s="14">
        <v>56897</v>
      </c>
      <c r="U76" s="31">
        <v>45940</v>
      </c>
      <c r="V76" s="19">
        <v>1417.1155903049182</v>
      </c>
      <c r="W76" s="19">
        <v>1420.9599998308317</v>
      </c>
      <c r="X76" s="32">
        <v>1419.9599998308317</v>
      </c>
      <c r="Y76" s="28">
        <v>1529.0629190419127</v>
      </c>
      <c r="Z76" s="28">
        <v>2317</v>
      </c>
      <c r="AA76" s="33">
        <v>0.70942408376963351</v>
      </c>
      <c r="AB76" s="34">
        <v>6.2000000000000006E-2</v>
      </c>
      <c r="AC76" s="34">
        <f t="shared" si="8"/>
        <v>4.9999999999999975E-3</v>
      </c>
      <c r="AD76" s="15">
        <v>8.5663099999999996</v>
      </c>
      <c r="AE76" s="15">
        <v>0.32500000000000001</v>
      </c>
      <c r="AF76" s="15">
        <v>0.49709999999999999</v>
      </c>
      <c r="AG76" s="15" t="s">
        <v>864</v>
      </c>
      <c r="AH76" s="15" t="s">
        <v>144</v>
      </c>
      <c r="AQ76" s="34"/>
      <c r="AR76" s="34"/>
      <c r="AS76" s="58"/>
      <c r="AV76"/>
    </row>
    <row r="77" spans="1:48" ht="15" x14ac:dyDescent="0.25">
      <c r="A77" s="36">
        <v>45924</v>
      </c>
      <c r="B77" s="15">
        <v>75</v>
      </c>
      <c r="C77" s="37" t="s">
        <v>846</v>
      </c>
      <c r="D77" s="17">
        <f t="shared" si="7"/>
        <v>202509030104</v>
      </c>
      <c r="E77" s="37" t="s">
        <v>857</v>
      </c>
      <c r="F77" s="15" t="s">
        <v>858</v>
      </c>
      <c r="G77" s="15" t="s">
        <v>859</v>
      </c>
      <c r="H77" s="15">
        <v>19726961</v>
      </c>
      <c r="I77" s="25">
        <v>8</v>
      </c>
      <c r="J77" s="26">
        <v>45903</v>
      </c>
      <c r="K77" s="28">
        <v>1550</v>
      </c>
      <c r="L77" s="28">
        <v>650</v>
      </c>
      <c r="M77" s="28">
        <v>130</v>
      </c>
      <c r="N77" s="28">
        <v>2330</v>
      </c>
      <c r="O77" s="17">
        <v>0</v>
      </c>
      <c r="P77" s="17">
        <v>480</v>
      </c>
      <c r="Q77" s="17">
        <v>0</v>
      </c>
      <c r="R77" s="13">
        <v>6.3E-2</v>
      </c>
      <c r="S77" s="14">
        <v>45971</v>
      </c>
      <c r="T77" s="14">
        <v>60550</v>
      </c>
      <c r="U77" s="31">
        <v>45940</v>
      </c>
      <c r="V77" s="19">
        <v>1639.0585921458435</v>
      </c>
      <c r="W77" s="19">
        <v>1641.7103785470504</v>
      </c>
      <c r="X77" s="32">
        <v>1640.7103785470504</v>
      </c>
      <c r="Y77" s="28">
        <v>1860.0937767490843</v>
      </c>
      <c r="Z77" s="28">
        <v>2566.6999999999998</v>
      </c>
      <c r="AA77" s="33">
        <v>0.66523605150214593</v>
      </c>
      <c r="AB77" s="34">
        <v>5.8000000000000003E-2</v>
      </c>
      <c r="AC77" s="34">
        <f t="shared" si="8"/>
        <v>4.9999999999999975E-3</v>
      </c>
      <c r="AD77" s="15">
        <v>8.6645000000000003</v>
      </c>
      <c r="AE77" s="15">
        <v>0.35809999999999997</v>
      </c>
      <c r="AF77" s="15">
        <v>0.41820000000000002</v>
      </c>
      <c r="AG77" s="15" t="s">
        <v>865</v>
      </c>
      <c r="AH77" s="15" t="s">
        <v>866</v>
      </c>
      <c r="AQ77" s="34"/>
      <c r="AR77" s="34"/>
      <c r="AS77" s="58"/>
      <c r="AV77"/>
    </row>
    <row r="78" spans="1:48" ht="15" x14ac:dyDescent="0.25">
      <c r="A78" s="36">
        <v>45929</v>
      </c>
      <c r="B78" s="15">
        <v>76</v>
      </c>
      <c r="C78" s="37" t="s">
        <v>867</v>
      </c>
      <c r="D78" s="17">
        <f t="shared" si="7"/>
        <v>202509170118</v>
      </c>
      <c r="E78" s="37" t="s">
        <v>874</v>
      </c>
      <c r="F78" s="15" t="s">
        <v>761</v>
      </c>
      <c r="G78" s="15" t="s">
        <v>875</v>
      </c>
      <c r="H78" s="15">
        <v>19347659</v>
      </c>
      <c r="I78" s="25">
        <v>7</v>
      </c>
      <c r="J78" s="26">
        <v>45917</v>
      </c>
      <c r="K78" s="28">
        <v>1920</v>
      </c>
      <c r="L78" s="28">
        <v>650</v>
      </c>
      <c r="M78" s="28">
        <v>130</v>
      </c>
      <c r="N78" s="28">
        <v>2700</v>
      </c>
      <c r="O78" s="17">
        <v>0</v>
      </c>
      <c r="P78" s="17">
        <v>420</v>
      </c>
      <c r="Q78" s="17">
        <v>0</v>
      </c>
      <c r="R78" s="13">
        <v>6.4000000000000001E-2</v>
      </c>
      <c r="S78" s="14">
        <v>45971</v>
      </c>
      <c r="T78" s="14">
        <v>58724</v>
      </c>
      <c r="U78" s="31">
        <v>45940</v>
      </c>
      <c r="V78" s="19">
        <v>2020.562684239821</v>
      </c>
      <c r="W78" s="19">
        <v>2026.1860447677573</v>
      </c>
      <c r="X78" s="32">
        <v>2025.1860447677573</v>
      </c>
      <c r="Y78" s="28">
        <v>2020.562684239821</v>
      </c>
      <c r="Z78" s="28">
        <v>2805.68</v>
      </c>
      <c r="AA78" s="33">
        <v>0.71111111111111114</v>
      </c>
      <c r="AB78" s="34">
        <v>5.9000000000000004E-2</v>
      </c>
      <c r="AC78" s="34">
        <f t="shared" si="8"/>
        <v>4.9999999999999975E-3</v>
      </c>
      <c r="AD78" s="15">
        <v>11.231999999999999</v>
      </c>
      <c r="AE78" s="15">
        <v>0.15160000000000001</v>
      </c>
      <c r="AF78" s="15">
        <v>0.2248</v>
      </c>
      <c r="AG78" s="15" t="s">
        <v>890</v>
      </c>
      <c r="AH78" s="15" t="s">
        <v>144</v>
      </c>
      <c r="AQ78" s="34"/>
      <c r="AR78" s="34"/>
      <c r="AS78" s="58"/>
      <c r="AV78"/>
    </row>
    <row r="79" spans="1:48" ht="15" x14ac:dyDescent="0.25">
      <c r="A79" s="36">
        <v>45929</v>
      </c>
      <c r="B79" s="15">
        <v>77</v>
      </c>
      <c r="C79" s="37" t="s">
        <v>868</v>
      </c>
      <c r="D79" s="17">
        <f t="shared" si="7"/>
        <v>202509150114</v>
      </c>
      <c r="E79" s="37" t="s">
        <v>876</v>
      </c>
      <c r="F79" s="15" t="s">
        <v>847</v>
      </c>
      <c r="G79" s="15" t="s">
        <v>877</v>
      </c>
      <c r="H79" s="15">
        <v>16517973</v>
      </c>
      <c r="I79" s="25">
        <v>0</v>
      </c>
      <c r="J79" s="26">
        <v>45915</v>
      </c>
      <c r="K79" s="28">
        <v>2050</v>
      </c>
      <c r="L79" s="28">
        <v>550</v>
      </c>
      <c r="M79" s="28">
        <v>100</v>
      </c>
      <c r="N79" s="28">
        <v>2700</v>
      </c>
      <c r="O79" s="17">
        <v>0</v>
      </c>
      <c r="P79" s="17">
        <v>420</v>
      </c>
      <c r="Q79" s="17">
        <v>0</v>
      </c>
      <c r="R79" s="13">
        <v>6.2E-2</v>
      </c>
      <c r="S79" s="14">
        <v>45971</v>
      </c>
      <c r="T79" s="14">
        <v>58724</v>
      </c>
      <c r="U79" s="31">
        <v>45940</v>
      </c>
      <c r="V79" s="19">
        <v>2159.5404395660125</v>
      </c>
      <c r="W79" s="19">
        <v>2165.70494576688</v>
      </c>
      <c r="X79" s="32">
        <v>2164.70494576688</v>
      </c>
      <c r="Y79" s="28">
        <v>2159.5404395660125</v>
      </c>
      <c r="Z79" s="28">
        <v>3056.15</v>
      </c>
      <c r="AA79" s="33">
        <v>0.7592592592592593</v>
      </c>
      <c r="AB79" s="34">
        <v>5.7000000000000002E-2</v>
      </c>
      <c r="AC79" s="34">
        <f t="shared" si="8"/>
        <v>4.9999999999999975E-3</v>
      </c>
      <c r="AD79" s="15">
        <v>11.7301</v>
      </c>
      <c r="AE79" s="15">
        <v>0.30220000000000002</v>
      </c>
      <c r="AF79" s="15">
        <v>0.44290000000000002</v>
      </c>
      <c r="AG79" s="15" t="s">
        <v>891</v>
      </c>
      <c r="AH79" s="15" t="s">
        <v>144</v>
      </c>
      <c r="AQ79" s="34"/>
      <c r="AR79" s="34"/>
      <c r="AS79" s="58"/>
      <c r="AV79"/>
    </row>
    <row r="80" spans="1:48" ht="15" x14ac:dyDescent="0.25">
      <c r="A80" s="36">
        <v>45929</v>
      </c>
      <c r="B80" s="15">
        <v>78</v>
      </c>
      <c r="C80" s="37" t="s">
        <v>869</v>
      </c>
      <c r="D80" s="17">
        <f t="shared" si="7"/>
        <v>202509160115</v>
      </c>
      <c r="E80" s="37" t="s">
        <v>26</v>
      </c>
      <c r="F80" s="15" t="s">
        <v>878</v>
      </c>
      <c r="G80" s="15" t="s">
        <v>879</v>
      </c>
      <c r="H80" s="15">
        <v>16297420</v>
      </c>
      <c r="I80" s="25">
        <v>3</v>
      </c>
      <c r="J80" s="26">
        <v>45916</v>
      </c>
      <c r="K80" s="28">
        <v>1470</v>
      </c>
      <c r="L80" s="28">
        <v>550</v>
      </c>
      <c r="M80" s="28">
        <v>80</v>
      </c>
      <c r="N80" s="28">
        <v>2100</v>
      </c>
      <c r="O80" s="17">
        <v>0</v>
      </c>
      <c r="P80" s="17">
        <v>468</v>
      </c>
      <c r="Q80" s="17">
        <v>0</v>
      </c>
      <c r="R80" s="13">
        <v>6.0999999999999999E-2</v>
      </c>
      <c r="S80" s="14">
        <v>45971</v>
      </c>
      <c r="T80" s="14">
        <v>60185</v>
      </c>
      <c r="U80" s="31">
        <v>45940</v>
      </c>
      <c r="V80" s="19">
        <v>1555.0332330408676</v>
      </c>
      <c r="W80" s="19">
        <v>1558.7844986885439</v>
      </c>
      <c r="X80" s="32">
        <v>1557.7844986885439</v>
      </c>
      <c r="Y80" s="28">
        <v>1555.0332330408676</v>
      </c>
      <c r="Z80" s="28">
        <v>2342.0500000000002</v>
      </c>
      <c r="AA80" s="33">
        <v>0.7</v>
      </c>
      <c r="AB80" s="34">
        <v>5.6000000000000001E-2</v>
      </c>
      <c r="AC80" s="34">
        <f t="shared" si="8"/>
        <v>4.9999999999999975E-3</v>
      </c>
      <c r="AD80" s="15">
        <v>8.0732400000000002</v>
      </c>
      <c r="AE80" s="15">
        <v>0.33479999999999999</v>
      </c>
      <c r="AF80" s="15">
        <v>0.44140000000000001</v>
      </c>
      <c r="AG80" s="15" t="s">
        <v>892</v>
      </c>
      <c r="AH80" s="15" t="s">
        <v>897</v>
      </c>
      <c r="AQ80" s="34"/>
      <c r="AR80" s="34"/>
      <c r="AS80" s="58"/>
      <c r="AV80"/>
    </row>
    <row r="81" spans="1:48" ht="15" x14ac:dyDescent="0.25">
      <c r="A81" s="36">
        <v>45929</v>
      </c>
      <c r="B81" s="15">
        <v>79</v>
      </c>
      <c r="C81" s="37" t="s">
        <v>870</v>
      </c>
      <c r="D81" s="17">
        <f t="shared" si="7"/>
        <v>202509110112</v>
      </c>
      <c r="E81" s="37" t="s">
        <v>880</v>
      </c>
      <c r="F81" s="15" t="s">
        <v>881</v>
      </c>
      <c r="G81" s="15" t="s">
        <v>882</v>
      </c>
      <c r="H81" s="15">
        <v>13493570</v>
      </c>
      <c r="I81" s="25">
        <v>7</v>
      </c>
      <c r="J81" s="26">
        <v>45911</v>
      </c>
      <c r="K81" s="28">
        <v>1716.46</v>
      </c>
      <c r="L81" s="28">
        <v>375</v>
      </c>
      <c r="M81" s="28">
        <v>458.54</v>
      </c>
      <c r="N81" s="28">
        <v>2550</v>
      </c>
      <c r="O81" s="17">
        <v>0</v>
      </c>
      <c r="P81" s="17">
        <v>360</v>
      </c>
      <c r="Q81" s="17">
        <v>0</v>
      </c>
      <c r="R81" s="13">
        <v>6.7000000000000004E-2</v>
      </c>
      <c r="S81" s="14">
        <v>45971</v>
      </c>
      <c r="T81" s="14">
        <v>56897</v>
      </c>
      <c r="U81" s="31">
        <v>45940</v>
      </c>
      <c r="V81" s="19">
        <v>1795.1455345781878</v>
      </c>
      <c r="W81" s="19">
        <v>1800.4821227457526</v>
      </c>
      <c r="X81" s="32">
        <v>1799.4821227457526</v>
      </c>
      <c r="Y81" s="28">
        <v>1795.1455345781878</v>
      </c>
      <c r="Z81" s="28">
        <v>3021.2</v>
      </c>
      <c r="AA81" s="33">
        <v>0.67312156862745098</v>
      </c>
      <c r="AB81" s="34">
        <v>6.2000000000000006E-2</v>
      </c>
      <c r="AC81" s="34">
        <f t="shared" si="8"/>
        <v>4.9999999999999975E-3</v>
      </c>
      <c r="AD81" s="15">
        <v>10.851459999999999</v>
      </c>
      <c r="AE81" s="15">
        <v>0.31590000000000001</v>
      </c>
      <c r="AF81" s="15">
        <v>0.31850000000000001</v>
      </c>
      <c r="AG81" s="15" t="s">
        <v>893</v>
      </c>
      <c r="AH81" s="15" t="s">
        <v>898</v>
      </c>
      <c r="AQ81" s="34"/>
      <c r="AR81" s="34"/>
      <c r="AS81" s="58"/>
      <c r="AV81"/>
    </row>
    <row r="82" spans="1:48" ht="15" x14ac:dyDescent="0.25">
      <c r="A82" s="36">
        <v>45929</v>
      </c>
      <c r="B82" s="15">
        <v>80</v>
      </c>
      <c r="C82" s="37" t="s">
        <v>871</v>
      </c>
      <c r="D82" s="17">
        <f t="shared" si="7"/>
        <v>202509160113</v>
      </c>
      <c r="E82" s="37" t="s">
        <v>883</v>
      </c>
      <c r="F82" s="15" t="s">
        <v>45</v>
      </c>
      <c r="G82" s="15" t="s">
        <v>884</v>
      </c>
      <c r="H82" s="15">
        <v>18352279</v>
      </c>
      <c r="I82" s="25">
        <v>5</v>
      </c>
      <c r="J82" s="26">
        <v>45916</v>
      </c>
      <c r="K82" s="28">
        <v>2150</v>
      </c>
      <c r="L82" s="28">
        <v>550</v>
      </c>
      <c r="M82" s="28">
        <v>100</v>
      </c>
      <c r="N82" s="28">
        <v>2800</v>
      </c>
      <c r="O82" s="17">
        <v>0</v>
      </c>
      <c r="P82" s="17">
        <v>360</v>
      </c>
      <c r="Q82" s="17">
        <v>0</v>
      </c>
      <c r="R82" s="13">
        <v>6.2E-2</v>
      </c>
      <c r="S82" s="14">
        <v>45971</v>
      </c>
      <c r="T82" s="14">
        <v>56897</v>
      </c>
      <c r="U82" s="31">
        <v>45940</v>
      </c>
      <c r="V82" s="19">
        <v>2253.1778876942371</v>
      </c>
      <c r="W82" s="19">
        <v>2259.2363081916169</v>
      </c>
      <c r="X82" s="32">
        <v>2258.2363081916169</v>
      </c>
      <c r="Y82" s="28">
        <v>2253.1778876942371</v>
      </c>
      <c r="Z82" s="28">
        <v>2832.55</v>
      </c>
      <c r="AA82" s="33">
        <v>0.7678571428571429</v>
      </c>
      <c r="AB82" s="34">
        <v>5.7000000000000002E-2</v>
      </c>
      <c r="AC82" s="34">
        <f t="shared" si="8"/>
        <v>4.9999999999999975E-3</v>
      </c>
      <c r="AD82" s="15">
        <v>12.93225</v>
      </c>
      <c r="AE82" s="15">
        <v>0.34510000000000002</v>
      </c>
      <c r="AF82" s="15">
        <v>0.35520000000000002</v>
      </c>
      <c r="AG82" s="15" t="s">
        <v>894</v>
      </c>
      <c r="AH82" s="15" t="s">
        <v>144</v>
      </c>
      <c r="AQ82" s="34"/>
      <c r="AR82" s="34"/>
      <c r="AS82" s="58"/>
      <c r="AV82"/>
    </row>
    <row r="83" spans="1:48" ht="15" x14ac:dyDescent="0.25">
      <c r="A83" s="36">
        <v>45929</v>
      </c>
      <c r="B83" s="15">
        <v>81</v>
      </c>
      <c r="C83" s="37" t="s">
        <v>872</v>
      </c>
      <c r="D83" s="17">
        <f t="shared" si="7"/>
        <v>202509170117</v>
      </c>
      <c r="E83" s="37" t="s">
        <v>885</v>
      </c>
      <c r="F83" s="15" t="s">
        <v>886</v>
      </c>
      <c r="G83" s="15" t="s">
        <v>887</v>
      </c>
      <c r="H83" s="15">
        <v>17721120</v>
      </c>
      <c r="I83" s="25">
        <v>6</v>
      </c>
      <c r="J83" s="26">
        <v>45917</v>
      </c>
      <c r="K83" s="28">
        <v>1125</v>
      </c>
      <c r="L83" s="28">
        <v>625</v>
      </c>
      <c r="M83" s="28">
        <v>50</v>
      </c>
      <c r="N83" s="28">
        <v>1800</v>
      </c>
      <c r="O83" s="17">
        <v>0</v>
      </c>
      <c r="P83" s="17">
        <v>360</v>
      </c>
      <c r="Q83" s="17">
        <v>0</v>
      </c>
      <c r="R83" s="13">
        <v>6.7000000000000004E-2</v>
      </c>
      <c r="S83" s="14">
        <v>45971</v>
      </c>
      <c r="T83" s="14">
        <v>56897</v>
      </c>
      <c r="U83" s="31">
        <v>45940</v>
      </c>
      <c r="V83" s="19">
        <v>1176.571984570505</v>
      </c>
      <c r="W83" s="19">
        <v>1179.8550312329428</v>
      </c>
      <c r="X83" s="32">
        <v>1178.8550312329428</v>
      </c>
      <c r="Y83" s="28">
        <v>1176.571984570505</v>
      </c>
      <c r="Z83" s="28">
        <v>2863.6</v>
      </c>
      <c r="AA83" s="33">
        <v>0.625</v>
      </c>
      <c r="AB83" s="34">
        <v>6.2000000000000006E-2</v>
      </c>
      <c r="AC83" s="34">
        <f t="shared" si="8"/>
        <v>4.9999999999999975E-3</v>
      </c>
      <c r="AD83" s="15">
        <v>7.1122500000000004</v>
      </c>
      <c r="AE83" s="15">
        <v>0.24829999999999999</v>
      </c>
      <c r="AF83" s="15">
        <v>0.36730000000000002</v>
      </c>
      <c r="AG83" s="15" t="s">
        <v>895</v>
      </c>
      <c r="AH83" s="15" t="s">
        <v>144</v>
      </c>
      <c r="AQ83" s="34"/>
      <c r="AR83" s="34"/>
      <c r="AS83" s="58"/>
      <c r="AV83"/>
    </row>
    <row r="84" spans="1:48" ht="15" x14ac:dyDescent="0.25">
      <c r="A84" s="36">
        <v>45929</v>
      </c>
      <c r="B84" s="15">
        <v>82</v>
      </c>
      <c r="C84" s="37" t="s">
        <v>873</v>
      </c>
      <c r="D84" s="17">
        <f t="shared" si="7"/>
        <v>202509160116</v>
      </c>
      <c r="E84" s="37" t="s">
        <v>888</v>
      </c>
      <c r="F84" s="15" t="s">
        <v>73</v>
      </c>
      <c r="G84" s="15" t="s">
        <v>889</v>
      </c>
      <c r="H84" s="15">
        <v>19348908</v>
      </c>
      <c r="I84" s="25">
        <v>7</v>
      </c>
      <c r="J84" s="26">
        <v>45916</v>
      </c>
      <c r="K84" s="28">
        <v>1770</v>
      </c>
      <c r="L84" s="28">
        <v>550</v>
      </c>
      <c r="M84" s="28">
        <v>80</v>
      </c>
      <c r="N84" s="28">
        <v>2400</v>
      </c>
      <c r="O84" s="17">
        <v>0</v>
      </c>
      <c r="P84" s="17">
        <v>444</v>
      </c>
      <c r="Q84" s="17">
        <v>0</v>
      </c>
      <c r="R84" s="13">
        <v>6.5000000000000002E-2</v>
      </c>
      <c r="S84" s="14">
        <v>45971</v>
      </c>
      <c r="T84" s="14">
        <v>59454</v>
      </c>
      <c r="U84" s="31">
        <v>45940</v>
      </c>
      <c r="V84" s="19">
        <v>1865.016388732467</v>
      </c>
      <c r="W84" s="19">
        <v>1871.1143918907219</v>
      </c>
      <c r="X84" s="32">
        <v>1870.1143918907219</v>
      </c>
      <c r="Y84" s="28">
        <v>1865.016388732467</v>
      </c>
      <c r="Z84" s="28">
        <v>2899.04</v>
      </c>
      <c r="AA84" s="33">
        <v>0.73750000000000004</v>
      </c>
      <c r="AB84" s="34">
        <v>6.0000000000000005E-2</v>
      </c>
      <c r="AC84" s="34">
        <f t="shared" si="8"/>
        <v>4.9999999999999975E-3</v>
      </c>
      <c r="AD84" s="15">
        <v>10.31733</v>
      </c>
      <c r="AE84" s="15">
        <v>0.18179999999999999</v>
      </c>
      <c r="AF84" s="15">
        <v>0.31019999999999998</v>
      </c>
      <c r="AG84" s="15" t="s">
        <v>896</v>
      </c>
      <c r="AH84" s="15" t="s">
        <v>144</v>
      </c>
      <c r="AQ84" s="34"/>
      <c r="AR84" s="34"/>
      <c r="AS84" s="58"/>
      <c r="AV84"/>
    </row>
    <row r="85" spans="1:48" ht="15" x14ac:dyDescent="0.25">
      <c r="A85" s="36">
        <v>45959</v>
      </c>
      <c r="B85" s="15">
        <v>83</v>
      </c>
      <c r="C85" s="37" t="s">
        <v>905</v>
      </c>
      <c r="D85" s="17">
        <f t="shared" si="7"/>
        <v>202509260120</v>
      </c>
      <c r="E85" s="37" t="s">
        <v>48</v>
      </c>
      <c r="F85" s="15" t="s">
        <v>878</v>
      </c>
      <c r="G85" s="15" t="s">
        <v>902</v>
      </c>
      <c r="H85" s="15">
        <v>16492171</v>
      </c>
      <c r="I85" s="25">
        <v>9</v>
      </c>
      <c r="J85" s="26">
        <v>45926</v>
      </c>
      <c r="K85" s="28">
        <v>1942</v>
      </c>
      <c r="L85" s="28">
        <v>550</v>
      </c>
      <c r="M85" s="28">
        <v>100</v>
      </c>
      <c r="N85" s="28">
        <v>2592</v>
      </c>
      <c r="O85" s="17">
        <v>0</v>
      </c>
      <c r="P85" s="17">
        <v>360</v>
      </c>
      <c r="Q85" s="17">
        <v>1</v>
      </c>
      <c r="R85" s="13">
        <v>6.2E-2</v>
      </c>
      <c r="S85" s="14">
        <v>45971</v>
      </c>
      <c r="T85" s="14">
        <v>56897</v>
      </c>
      <c r="U85" s="31">
        <v>45971</v>
      </c>
      <c r="V85" s="19">
        <v>2033.9635694626629</v>
      </c>
      <c r="W85" s="19">
        <v>2037.7575731479028</v>
      </c>
      <c r="X85" s="32">
        <v>2036.7575731479028</v>
      </c>
      <c r="Y85" s="28">
        <v>1942</v>
      </c>
      <c r="Z85" s="28">
        <v>2627.01</v>
      </c>
      <c r="AA85" s="33">
        <v>0.77569463882813638</v>
      </c>
      <c r="AB85" s="34">
        <v>5.7499999999999996E-2</v>
      </c>
      <c r="AC85" s="34">
        <f t="shared" si="8"/>
        <v>4.500000000000004E-3</v>
      </c>
      <c r="AD85" s="15">
        <v>11.68113</v>
      </c>
      <c r="AE85" s="15">
        <v>0.18210000000000001</v>
      </c>
      <c r="AF85" s="15">
        <v>0.2051</v>
      </c>
      <c r="AG85" s="15" t="s">
        <v>899</v>
      </c>
      <c r="AH85" s="15" t="s">
        <v>901</v>
      </c>
      <c r="AJ85" s="15">
        <v>62.66</v>
      </c>
      <c r="AQ85" s="34"/>
      <c r="AR85" s="34"/>
      <c r="AS85" s="58"/>
      <c r="AV85"/>
    </row>
    <row r="86" spans="1:48" ht="15" x14ac:dyDescent="0.25">
      <c r="A86" s="36">
        <v>45959</v>
      </c>
      <c r="B86" s="15">
        <v>84</v>
      </c>
      <c r="C86" s="37" t="s">
        <v>906</v>
      </c>
      <c r="D86" s="17">
        <f t="shared" si="7"/>
        <v>202510010122</v>
      </c>
      <c r="E86" s="37" t="s">
        <v>903</v>
      </c>
      <c r="F86" s="15" t="s">
        <v>33</v>
      </c>
      <c r="G86" s="15" t="s">
        <v>904</v>
      </c>
      <c r="H86" s="15">
        <v>17629208</v>
      </c>
      <c r="I86" s="25">
        <v>3</v>
      </c>
      <c r="J86" s="26">
        <v>45931</v>
      </c>
      <c r="K86" s="28">
        <v>2100</v>
      </c>
      <c r="L86" s="28">
        <v>550</v>
      </c>
      <c r="M86" s="28">
        <v>150</v>
      </c>
      <c r="N86" s="28">
        <v>2800</v>
      </c>
      <c r="O86" s="17">
        <v>0</v>
      </c>
      <c r="P86" s="17">
        <v>480</v>
      </c>
      <c r="Q86" s="17">
        <v>1</v>
      </c>
      <c r="R86" s="13">
        <v>6.2E-2</v>
      </c>
      <c r="S86" s="14">
        <v>46001</v>
      </c>
      <c r="T86" s="14">
        <v>60581</v>
      </c>
      <c r="U86" s="31">
        <v>45971</v>
      </c>
      <c r="V86" s="19">
        <v>2208.1515795627747</v>
      </c>
      <c r="W86" s="19">
        <v>2212.270500548485</v>
      </c>
      <c r="X86" s="32">
        <v>2211.270500548485</v>
      </c>
      <c r="Y86" s="28">
        <v>2100</v>
      </c>
      <c r="Z86" s="28">
        <v>2866.73</v>
      </c>
      <c r="AA86" s="33">
        <v>0.77170521833185723</v>
      </c>
      <c r="AB86" s="34">
        <v>5.7499999999999996E-2</v>
      </c>
      <c r="AC86" s="34">
        <f t="shared" si="8"/>
        <v>4.500000000000004E-3</v>
      </c>
      <c r="AD86" s="15">
        <v>11.5983</v>
      </c>
      <c r="AE86" s="15">
        <v>0.15890000000000001</v>
      </c>
      <c r="AF86" s="15">
        <v>0.47770000000000001</v>
      </c>
      <c r="AG86" s="15" t="s">
        <v>900</v>
      </c>
      <c r="AH86" s="15" t="s">
        <v>144</v>
      </c>
      <c r="AJ86" s="15">
        <v>58.9</v>
      </c>
      <c r="AQ86" s="34"/>
      <c r="AR86" s="34"/>
      <c r="AS86" s="58"/>
      <c r="AV86"/>
    </row>
    <row r="87" spans="1:48" ht="15" x14ac:dyDescent="0.25">
      <c r="A87" s="36">
        <v>45968</v>
      </c>
      <c r="B87" s="15">
        <v>85</v>
      </c>
      <c r="C87" s="37" t="s">
        <v>907</v>
      </c>
      <c r="D87" s="17">
        <f t="shared" si="7"/>
        <v>202510270128</v>
      </c>
      <c r="E87" s="37" t="s">
        <v>913</v>
      </c>
      <c r="F87" s="15" t="s">
        <v>914</v>
      </c>
      <c r="G87" s="15" t="s">
        <v>915</v>
      </c>
      <c r="H87" s="15">
        <v>26523385</v>
      </c>
      <c r="I87" s="15">
        <v>6</v>
      </c>
      <c r="J87" s="26">
        <v>45957</v>
      </c>
      <c r="K87" s="28">
        <v>2150</v>
      </c>
      <c r="L87" s="28">
        <v>550</v>
      </c>
      <c r="M87" s="28">
        <v>100</v>
      </c>
      <c r="N87" s="28">
        <v>2800</v>
      </c>
      <c r="O87" s="17">
        <v>0</v>
      </c>
      <c r="P87" s="17">
        <v>396</v>
      </c>
      <c r="Q87" s="17">
        <v>1</v>
      </c>
      <c r="R87" s="13">
        <v>6.2E-2</v>
      </c>
      <c r="S87" s="14">
        <v>46001</v>
      </c>
      <c r="T87" s="14">
        <v>58024</v>
      </c>
      <c r="U87" s="31">
        <v>46001</v>
      </c>
      <c r="V87" s="19">
        <v>2270.8538873213624</v>
      </c>
      <c r="W87" s="19">
        <v>2282.4226334375426</v>
      </c>
      <c r="X87" s="32">
        <v>2281.4226334375426</v>
      </c>
      <c r="Y87" s="28">
        <v>2150</v>
      </c>
      <c r="Z87" s="28">
        <v>2924.35</v>
      </c>
      <c r="AA87" s="33">
        <v>0.78048887220665875</v>
      </c>
      <c r="AB87" s="34">
        <v>5.7000000000000002E-2</v>
      </c>
      <c r="AC87" s="34">
        <f t="shared" si="8"/>
        <v>4.9999999999999975E-3</v>
      </c>
      <c r="AD87" s="15">
        <v>12.5259</v>
      </c>
      <c r="AE87" s="15">
        <v>0.2898</v>
      </c>
      <c r="AF87" s="15">
        <v>0.307</v>
      </c>
      <c r="AG87" s="15" t="s">
        <v>930</v>
      </c>
      <c r="AH87" s="15" t="s">
        <v>144</v>
      </c>
      <c r="AJ87" s="15">
        <v>60.86</v>
      </c>
      <c r="AV87"/>
    </row>
    <row r="88" spans="1:48" ht="15" x14ac:dyDescent="0.25">
      <c r="A88" s="36">
        <v>45968</v>
      </c>
      <c r="B88" s="15">
        <v>86</v>
      </c>
      <c r="C88" s="37" t="s">
        <v>908</v>
      </c>
      <c r="D88" s="17">
        <f t="shared" si="7"/>
        <v>202510300126</v>
      </c>
      <c r="E88" s="37" t="s">
        <v>916</v>
      </c>
      <c r="F88" s="25" t="s">
        <v>26</v>
      </c>
      <c r="G88" s="25" t="s">
        <v>917</v>
      </c>
      <c r="H88" s="25">
        <v>19660140</v>
      </c>
      <c r="I88" s="25">
        <v>6</v>
      </c>
      <c r="J88" s="26">
        <v>45960</v>
      </c>
      <c r="K88" s="27">
        <v>2150</v>
      </c>
      <c r="L88" s="28">
        <v>550</v>
      </c>
      <c r="M88" s="28">
        <v>100</v>
      </c>
      <c r="N88" s="28">
        <v>2800</v>
      </c>
      <c r="O88" s="29">
        <v>0</v>
      </c>
      <c r="P88" s="35">
        <v>336</v>
      </c>
      <c r="Q88" s="35">
        <v>1</v>
      </c>
      <c r="R88" s="13">
        <v>6.2E-2</v>
      </c>
      <c r="S88" s="14">
        <v>46001</v>
      </c>
      <c r="T88" s="14">
        <v>56198</v>
      </c>
      <c r="U88" s="31">
        <v>46001</v>
      </c>
      <c r="V88" s="19">
        <v>2258.3555494829002</v>
      </c>
      <c r="W88" s="19">
        <v>2269.8606234719855</v>
      </c>
      <c r="X88" s="32">
        <v>2268.8606234719855</v>
      </c>
      <c r="Y88" s="28">
        <v>2150</v>
      </c>
      <c r="Z88" s="28">
        <v>2847.7</v>
      </c>
      <c r="AA88" s="33">
        <v>0.79708558607718005</v>
      </c>
      <c r="AB88" s="34">
        <v>5.7000000000000002E-2</v>
      </c>
      <c r="AC88" s="34">
        <f t="shared" si="8"/>
        <v>4.9999999999999975E-3</v>
      </c>
      <c r="AD88" s="15">
        <v>13.26765</v>
      </c>
      <c r="AE88" s="15">
        <v>0.20680000000000001</v>
      </c>
      <c r="AF88" s="15">
        <v>0.30959999999999999</v>
      </c>
      <c r="AG88" s="15" t="s">
        <v>931</v>
      </c>
      <c r="AH88" s="15" t="s">
        <v>144</v>
      </c>
      <c r="AJ88" s="15">
        <v>58.78</v>
      </c>
      <c r="AV88"/>
    </row>
    <row r="89" spans="1:48" ht="15" x14ac:dyDescent="0.25">
      <c r="A89" s="36">
        <v>45968</v>
      </c>
      <c r="B89" s="15">
        <v>87</v>
      </c>
      <c r="C89" s="15" t="s">
        <v>909</v>
      </c>
      <c r="D89" s="17">
        <f t="shared" si="7"/>
        <v>202510290127</v>
      </c>
      <c r="E89" s="15" t="s">
        <v>918</v>
      </c>
      <c r="F89" s="25" t="s">
        <v>919</v>
      </c>
      <c r="G89" s="25" t="s">
        <v>920</v>
      </c>
      <c r="H89" s="25">
        <v>15038691</v>
      </c>
      <c r="I89" s="25">
        <v>8</v>
      </c>
      <c r="J89" s="26">
        <v>45959</v>
      </c>
      <c r="K89" s="27">
        <v>2150</v>
      </c>
      <c r="L89" s="28">
        <v>550</v>
      </c>
      <c r="M89" s="28">
        <v>100</v>
      </c>
      <c r="N89" s="28">
        <v>2800</v>
      </c>
      <c r="O89" s="17">
        <v>0</v>
      </c>
      <c r="P89" s="29">
        <v>480</v>
      </c>
      <c r="Q89" s="35">
        <v>1</v>
      </c>
      <c r="R89" s="13">
        <v>6.2E-2</v>
      </c>
      <c r="S89" s="14">
        <v>46001</v>
      </c>
      <c r="T89" s="14">
        <v>60581</v>
      </c>
      <c r="U89" s="31">
        <v>46001</v>
      </c>
      <c r="V89" s="19">
        <v>2285.4747159101435</v>
      </c>
      <c r="W89" s="19">
        <v>2297.1179470713087</v>
      </c>
      <c r="X89" s="32">
        <v>2296.1179470713087</v>
      </c>
      <c r="Y89" s="28">
        <v>2150</v>
      </c>
      <c r="Z89" s="28">
        <v>2838.77</v>
      </c>
      <c r="AA89" s="33">
        <v>0.80919480869225358</v>
      </c>
      <c r="AB89" s="34">
        <v>5.7000000000000002E-2</v>
      </c>
      <c r="AC89" s="34">
        <f t="shared" si="8"/>
        <v>4.9999999999999975E-3</v>
      </c>
      <c r="AD89" s="15">
        <v>11.87445</v>
      </c>
      <c r="AE89" s="15">
        <v>0.33510000000000001</v>
      </c>
      <c r="AF89" s="15">
        <v>0.33510000000000001</v>
      </c>
      <c r="AG89" s="15" t="s">
        <v>932</v>
      </c>
      <c r="AH89" s="15" t="s">
        <v>144</v>
      </c>
      <c r="AJ89" s="15">
        <v>60.86</v>
      </c>
      <c r="AV89"/>
    </row>
    <row r="90" spans="1:48" x14ac:dyDescent="0.2">
      <c r="A90" s="36">
        <v>45968</v>
      </c>
      <c r="B90" s="15">
        <v>88</v>
      </c>
      <c r="C90" s="15" t="s">
        <v>910</v>
      </c>
      <c r="D90" s="17">
        <f t="shared" si="7"/>
        <v>202510300129</v>
      </c>
      <c r="E90" s="15" t="s">
        <v>921</v>
      </c>
      <c r="F90" s="15" t="s">
        <v>922</v>
      </c>
      <c r="G90" s="15" t="s">
        <v>923</v>
      </c>
      <c r="H90" s="25">
        <v>13983716</v>
      </c>
      <c r="I90" s="15">
        <v>9</v>
      </c>
      <c r="J90" s="26">
        <v>45960</v>
      </c>
      <c r="K90" s="27">
        <v>1650</v>
      </c>
      <c r="L90" s="28">
        <v>650</v>
      </c>
      <c r="M90" s="28">
        <v>100</v>
      </c>
      <c r="N90" s="28">
        <v>2400</v>
      </c>
      <c r="O90" s="17">
        <v>0</v>
      </c>
      <c r="P90" s="29">
        <v>360</v>
      </c>
      <c r="Q90" s="35">
        <v>1</v>
      </c>
      <c r="R90" s="13">
        <v>6.6000000000000003E-2</v>
      </c>
      <c r="S90" s="14">
        <v>46001</v>
      </c>
      <c r="T90" s="14">
        <v>56928</v>
      </c>
      <c r="U90" s="31">
        <v>46001</v>
      </c>
      <c r="V90" s="19">
        <v>1734.8420033769205</v>
      </c>
      <c r="W90" s="19">
        <v>1744.2838996162741</v>
      </c>
      <c r="X90" s="32">
        <v>1743.2838996162741</v>
      </c>
      <c r="Y90" s="28">
        <v>1650</v>
      </c>
      <c r="Z90" s="28">
        <v>2448.56</v>
      </c>
      <c r="AA90" s="33">
        <v>0.712371311961428</v>
      </c>
      <c r="AB90" s="34">
        <v>6.1000000000000006E-2</v>
      </c>
      <c r="AC90" s="34">
        <f t="shared" si="8"/>
        <v>4.9999999999999975E-3</v>
      </c>
      <c r="AD90" s="15">
        <v>10.33065</v>
      </c>
      <c r="AE90" s="15">
        <v>0.2717</v>
      </c>
      <c r="AF90" s="15">
        <v>0.2717</v>
      </c>
      <c r="AG90" s="15" t="s">
        <v>933</v>
      </c>
      <c r="AH90" s="15" t="s">
        <v>866</v>
      </c>
      <c r="AJ90" s="15">
        <v>60.71</v>
      </c>
    </row>
    <row r="91" spans="1:48" x14ac:dyDescent="0.2">
      <c r="A91" s="36">
        <v>45968</v>
      </c>
      <c r="B91" s="15">
        <v>89</v>
      </c>
      <c r="C91" s="15" t="s">
        <v>911</v>
      </c>
      <c r="D91" s="17">
        <f t="shared" si="7"/>
        <v>202510300139</v>
      </c>
      <c r="E91" s="15" t="s">
        <v>924</v>
      </c>
      <c r="F91" s="15" t="s">
        <v>925</v>
      </c>
      <c r="G91" s="15" t="s">
        <v>926</v>
      </c>
      <c r="H91" s="25">
        <v>9388955</v>
      </c>
      <c r="I91" s="25" t="s">
        <v>23</v>
      </c>
      <c r="J91" s="26">
        <v>45960</v>
      </c>
      <c r="K91" s="27">
        <v>990.99</v>
      </c>
      <c r="L91" s="28">
        <v>625</v>
      </c>
      <c r="M91" s="28">
        <v>184.01</v>
      </c>
      <c r="N91" s="28">
        <v>1800</v>
      </c>
      <c r="O91" s="17">
        <v>0</v>
      </c>
      <c r="P91" s="29">
        <v>264</v>
      </c>
      <c r="Q91" s="35">
        <v>1</v>
      </c>
      <c r="R91" s="13">
        <v>6.3E-2</v>
      </c>
      <c r="S91" s="14">
        <v>46001</v>
      </c>
      <c r="T91" s="14">
        <v>54006</v>
      </c>
      <c r="U91" s="31">
        <v>46001</v>
      </c>
      <c r="V91" s="19">
        <v>1032.6541055042212</v>
      </c>
      <c r="W91" s="19">
        <v>1038.0048806140376</v>
      </c>
      <c r="X91" s="32">
        <v>1037.0048806140376</v>
      </c>
      <c r="Y91" s="28">
        <v>990.99</v>
      </c>
      <c r="Z91" s="28">
        <v>2626</v>
      </c>
      <c r="AA91" s="33">
        <v>0.39527984791090542</v>
      </c>
      <c r="AB91" s="34">
        <v>5.8000000000000003E-2</v>
      </c>
      <c r="AC91" s="34">
        <f t="shared" si="8"/>
        <v>4.9999999999999975E-3</v>
      </c>
      <c r="AD91" s="15">
        <v>6.8427860000000003</v>
      </c>
      <c r="AE91" s="15">
        <v>0.34379999999999999</v>
      </c>
      <c r="AF91" s="15">
        <v>0.45129999999999998</v>
      </c>
      <c r="AG91" s="15" t="s">
        <v>934</v>
      </c>
      <c r="AH91" s="15" t="s">
        <v>144</v>
      </c>
      <c r="AJ91" s="15">
        <v>60.79</v>
      </c>
    </row>
    <row r="92" spans="1:48" x14ac:dyDescent="0.2">
      <c r="A92" s="36">
        <v>45968</v>
      </c>
      <c r="B92" s="15">
        <v>90</v>
      </c>
      <c r="C92" s="15" t="s">
        <v>912</v>
      </c>
      <c r="D92" s="17">
        <f t="shared" si="7"/>
        <v>202510300131</v>
      </c>
      <c r="E92" s="15" t="s">
        <v>927</v>
      </c>
      <c r="F92" s="15" t="s">
        <v>928</v>
      </c>
      <c r="G92" s="15" t="s">
        <v>929</v>
      </c>
      <c r="H92" s="25">
        <v>18825516</v>
      </c>
      <c r="I92" s="25">
        <v>7</v>
      </c>
      <c r="J92" s="26">
        <v>45960</v>
      </c>
      <c r="K92" s="27">
        <v>2150</v>
      </c>
      <c r="L92" s="28">
        <v>550</v>
      </c>
      <c r="M92" s="28">
        <v>100</v>
      </c>
      <c r="N92" s="28">
        <v>2800</v>
      </c>
      <c r="O92" s="17">
        <v>0</v>
      </c>
      <c r="P92" s="29">
        <v>360</v>
      </c>
      <c r="Q92" s="35">
        <v>1</v>
      </c>
      <c r="R92" s="13">
        <v>6.2E-2</v>
      </c>
      <c r="S92" s="14">
        <v>46001</v>
      </c>
      <c r="T92" s="14">
        <v>56928</v>
      </c>
      <c r="U92" s="31">
        <v>46001</v>
      </c>
      <c r="V92" s="19">
        <v>2263.6106545123894</v>
      </c>
      <c r="W92" s="19">
        <v>2275.1425003586337</v>
      </c>
      <c r="X92" s="32">
        <v>2274.1425003586337</v>
      </c>
      <c r="Y92" s="28">
        <v>2150</v>
      </c>
      <c r="Z92" s="28">
        <v>2940.04</v>
      </c>
      <c r="AA92" s="33">
        <v>0.77384746478232735</v>
      </c>
      <c r="AB92" s="34">
        <v>5.7000000000000002E-2</v>
      </c>
      <c r="AC92" s="34">
        <f t="shared" si="8"/>
        <v>4.9999999999999975E-3</v>
      </c>
      <c r="AD92" s="15">
        <v>12.93225</v>
      </c>
      <c r="AE92" s="15">
        <v>0.1799</v>
      </c>
      <c r="AF92" s="15">
        <v>0.51429999999999998</v>
      </c>
      <c r="AG92" s="15" t="s">
        <v>935</v>
      </c>
      <c r="AH92" s="15" t="s">
        <v>144</v>
      </c>
      <c r="AJ92" s="15">
        <v>60.86</v>
      </c>
    </row>
    <row r="93" spans="1:48" x14ac:dyDescent="0.2">
      <c r="A93" s="14">
        <v>45989</v>
      </c>
      <c r="B93" s="15">
        <v>91</v>
      </c>
      <c r="C93" s="15" t="s">
        <v>936</v>
      </c>
      <c r="D93" s="17">
        <f t="shared" si="7"/>
        <v>202511270140</v>
      </c>
      <c r="E93" s="15" t="s">
        <v>939</v>
      </c>
      <c r="F93" s="15" t="s">
        <v>940</v>
      </c>
      <c r="G93" s="15" t="s">
        <v>941</v>
      </c>
      <c r="H93" s="25">
        <v>20033289</v>
      </c>
      <c r="I93" s="25" t="s">
        <v>23</v>
      </c>
      <c r="J93" s="26">
        <v>45988</v>
      </c>
      <c r="K93" s="27">
        <v>1837</v>
      </c>
      <c r="L93" s="28">
        <v>600</v>
      </c>
      <c r="M93" s="28">
        <v>113</v>
      </c>
      <c r="N93" s="28">
        <v>2550</v>
      </c>
      <c r="O93" s="17">
        <v>0</v>
      </c>
      <c r="P93" s="29">
        <v>420</v>
      </c>
      <c r="Q93" s="35">
        <v>1</v>
      </c>
      <c r="R93" s="13">
        <v>6.4000000000000001E-2</v>
      </c>
      <c r="S93" s="14">
        <v>46032</v>
      </c>
      <c r="T93" s="14">
        <v>58785</v>
      </c>
      <c r="U93" s="31">
        <v>46001</v>
      </c>
      <c r="V93" s="19">
        <v>1922.1940980364961</v>
      </c>
      <c r="W93" s="19">
        <v>1925.9009090071199</v>
      </c>
      <c r="X93" s="32">
        <v>1924.9009090071199</v>
      </c>
      <c r="Y93" s="28">
        <v>1837</v>
      </c>
      <c r="Z93" s="28">
        <v>2961.96</v>
      </c>
      <c r="AA93" s="33">
        <v>0.65021165343459053</v>
      </c>
      <c r="AB93" s="34">
        <v>5.9499999999999997E-2</v>
      </c>
      <c r="AC93" s="34">
        <f t="shared" si="8"/>
        <v>4.500000000000004E-3</v>
      </c>
      <c r="AD93" s="15">
        <v>10.746449999999999</v>
      </c>
      <c r="AE93" s="15">
        <v>0.253</v>
      </c>
      <c r="AF93" s="15">
        <v>0.46079999999999999</v>
      </c>
      <c r="AG93" s="15" t="s">
        <v>945</v>
      </c>
      <c r="AH93" s="15" t="s">
        <v>734</v>
      </c>
      <c r="AJ93" s="15">
        <v>64.84</v>
      </c>
    </row>
    <row r="94" spans="1:48" x14ac:dyDescent="0.2">
      <c r="A94" s="14">
        <v>45989</v>
      </c>
      <c r="B94" s="15">
        <v>92</v>
      </c>
      <c r="C94" s="15" t="s">
        <v>937</v>
      </c>
      <c r="D94" s="17">
        <f t="shared" si="7"/>
        <v>202511270141</v>
      </c>
      <c r="E94" s="15" t="s">
        <v>942</v>
      </c>
      <c r="F94" s="15" t="s">
        <v>782</v>
      </c>
      <c r="G94" s="15" t="s">
        <v>943</v>
      </c>
      <c r="H94" s="25">
        <v>26706740</v>
      </c>
      <c r="I94" s="77">
        <v>6</v>
      </c>
      <c r="J94" s="26">
        <v>45988</v>
      </c>
      <c r="K94" s="27">
        <v>1887</v>
      </c>
      <c r="L94" s="28">
        <v>600</v>
      </c>
      <c r="M94" s="28">
        <v>113</v>
      </c>
      <c r="N94" s="28">
        <v>2600</v>
      </c>
      <c r="O94" s="17">
        <v>0</v>
      </c>
      <c r="P94" s="29">
        <v>420</v>
      </c>
      <c r="Q94" s="35">
        <v>1</v>
      </c>
      <c r="R94" s="13">
        <v>6.6000000000000003E-2</v>
      </c>
      <c r="S94" s="14">
        <v>46032</v>
      </c>
      <c r="T94" s="14">
        <v>58785</v>
      </c>
      <c r="U94" s="31">
        <v>46001</v>
      </c>
      <c r="V94" s="19">
        <v>1972.7095953324056</v>
      </c>
      <c r="W94" s="19">
        <v>1976.6380761302303</v>
      </c>
      <c r="X94" s="32">
        <v>1975.6380761302303</v>
      </c>
      <c r="Y94" s="28">
        <v>1887</v>
      </c>
      <c r="Z94" s="28">
        <v>2664.6</v>
      </c>
      <c r="AA94" s="33">
        <v>0.74181418454185633</v>
      </c>
      <c r="AB94" s="34">
        <v>6.1499999999999999E-2</v>
      </c>
      <c r="AC94" s="34">
        <f t="shared" si="8"/>
        <v>4.500000000000004E-3</v>
      </c>
      <c r="AD94" s="15">
        <v>11.28237</v>
      </c>
      <c r="AE94" s="15">
        <v>0.27729999999999999</v>
      </c>
      <c r="AF94" s="15">
        <v>0.42270000000000002</v>
      </c>
      <c r="AG94" s="15" t="s">
        <v>946</v>
      </c>
      <c r="AH94" s="15" t="s">
        <v>734</v>
      </c>
      <c r="AJ94" s="15">
        <v>65.55</v>
      </c>
    </row>
    <row r="95" spans="1:48" x14ac:dyDescent="0.2">
      <c r="A95" s="14">
        <v>45989</v>
      </c>
      <c r="B95" s="15">
        <v>93</v>
      </c>
      <c r="C95" s="15" t="s">
        <v>938</v>
      </c>
      <c r="D95" s="17">
        <f t="shared" si="7"/>
        <v>202511270142</v>
      </c>
      <c r="E95" s="15" t="s">
        <v>903</v>
      </c>
      <c r="F95" s="15" t="s">
        <v>28</v>
      </c>
      <c r="G95" s="15" t="s">
        <v>944</v>
      </c>
      <c r="H95" s="25">
        <v>18265368</v>
      </c>
      <c r="I95" s="77">
        <v>3</v>
      </c>
      <c r="J95" s="26">
        <v>45988</v>
      </c>
      <c r="K95" s="27">
        <v>2057.2399999999998</v>
      </c>
      <c r="L95" s="28">
        <v>650</v>
      </c>
      <c r="M95" s="28">
        <v>92.76</v>
      </c>
      <c r="N95" s="28">
        <v>2800</v>
      </c>
      <c r="O95" s="17">
        <v>0</v>
      </c>
      <c r="P95" s="29">
        <v>420</v>
      </c>
      <c r="Q95" s="35">
        <v>1</v>
      </c>
      <c r="R95" s="13">
        <v>6.3E-2</v>
      </c>
      <c r="S95" s="14">
        <v>46032</v>
      </c>
      <c r="T95" s="14">
        <v>58785</v>
      </c>
      <c r="U95" s="31">
        <v>46001</v>
      </c>
      <c r="V95" s="19">
        <v>2153.6333472522783</v>
      </c>
      <c r="W95" s="19">
        <v>2157.7185539855027</v>
      </c>
      <c r="X95" s="32">
        <v>2156.7185539855027</v>
      </c>
      <c r="Y95" s="28">
        <v>2057.2399999999998</v>
      </c>
      <c r="Z95" s="28">
        <v>2811.5</v>
      </c>
      <c r="AA95" s="33">
        <v>0.76746169446398815</v>
      </c>
      <c r="AB95" s="34">
        <v>5.8499999999999996E-2</v>
      </c>
      <c r="AC95" s="34">
        <f t="shared" si="8"/>
        <v>4.500000000000004E-3</v>
      </c>
      <c r="AD95" s="15">
        <v>11.90319</v>
      </c>
      <c r="AE95" s="15">
        <v>0.23280000000000001</v>
      </c>
      <c r="AF95" s="15">
        <v>0.30580000000000002</v>
      </c>
      <c r="AG95" s="15" t="s">
        <v>947</v>
      </c>
      <c r="AH95" s="15" t="s">
        <v>948</v>
      </c>
      <c r="AJ95" s="15">
        <v>62.94</v>
      </c>
    </row>
    <row r="96" spans="1:48" x14ac:dyDescent="0.2">
      <c r="A96" s="14">
        <v>45995</v>
      </c>
      <c r="B96" s="15">
        <v>94</v>
      </c>
      <c r="C96" s="15" t="s">
        <v>949</v>
      </c>
      <c r="D96" s="17">
        <f t="shared" si="7"/>
        <v>202511280143</v>
      </c>
      <c r="E96" s="15" t="s">
        <v>761</v>
      </c>
      <c r="F96" s="15" t="s">
        <v>965</v>
      </c>
      <c r="G96" s="15" t="s">
        <v>966</v>
      </c>
      <c r="H96" s="25">
        <v>19976350</v>
      </c>
      <c r="I96" s="77">
        <v>4</v>
      </c>
      <c r="J96" s="26">
        <v>45989</v>
      </c>
      <c r="K96" s="27">
        <v>1700</v>
      </c>
      <c r="L96" s="28">
        <v>375</v>
      </c>
      <c r="M96" s="28">
        <v>125</v>
      </c>
      <c r="N96" s="28">
        <v>2200</v>
      </c>
      <c r="O96" s="17">
        <v>0</v>
      </c>
      <c r="P96" s="29">
        <v>480</v>
      </c>
      <c r="Q96" s="35">
        <v>1</v>
      </c>
      <c r="R96" s="13">
        <v>6.2E-2</v>
      </c>
      <c r="S96" s="14">
        <v>46032</v>
      </c>
      <c r="T96" s="14">
        <v>60611</v>
      </c>
      <c r="U96" s="31">
        <v>46032</v>
      </c>
      <c r="V96" s="19">
        <v>1807.1195428126775</v>
      </c>
      <c r="W96" s="19">
        <v>1817.4449131092135</v>
      </c>
      <c r="X96" s="32">
        <v>1816.4449131092135</v>
      </c>
      <c r="Y96" s="28">
        <v>1700</v>
      </c>
      <c r="Z96" s="28">
        <v>2258.5</v>
      </c>
      <c r="AA96" s="33">
        <v>0.80471326681833677</v>
      </c>
      <c r="AB96" s="34">
        <v>5.7000000000000002E-2</v>
      </c>
      <c r="AC96" s="34">
        <f t="shared" si="8"/>
        <v>4.9999999999999975E-3</v>
      </c>
      <c r="AD96" s="15">
        <v>9.3890999999999991</v>
      </c>
      <c r="AE96" s="15">
        <v>0.32729999999999998</v>
      </c>
      <c r="AF96" s="15">
        <v>0.50929999999999997</v>
      </c>
      <c r="AG96" s="15" t="s">
        <v>1002</v>
      </c>
      <c r="AH96" s="15" t="s">
        <v>692</v>
      </c>
      <c r="AJ96" s="15">
        <v>54.3</v>
      </c>
    </row>
    <row r="97" spans="1:42" x14ac:dyDescent="0.2">
      <c r="A97" s="14">
        <v>45995</v>
      </c>
      <c r="B97" s="15">
        <v>95</v>
      </c>
      <c r="C97" s="15" t="s">
        <v>950</v>
      </c>
      <c r="D97" s="17">
        <f t="shared" si="7"/>
        <v>202511280149</v>
      </c>
      <c r="E97" s="15" t="s">
        <v>45</v>
      </c>
      <c r="F97" s="25" t="s">
        <v>967</v>
      </c>
      <c r="G97" s="25" t="s">
        <v>968</v>
      </c>
      <c r="H97" s="25">
        <v>20035141</v>
      </c>
      <c r="I97" s="25" t="s">
        <v>23</v>
      </c>
      <c r="J97" s="26">
        <v>45989</v>
      </c>
      <c r="K97" s="27">
        <v>1879</v>
      </c>
      <c r="L97" s="28">
        <v>600</v>
      </c>
      <c r="M97" s="28">
        <v>121</v>
      </c>
      <c r="N97" s="28">
        <v>2600</v>
      </c>
      <c r="O97" s="17">
        <v>0</v>
      </c>
      <c r="P97" s="29">
        <v>480</v>
      </c>
      <c r="Q97" s="35">
        <v>1</v>
      </c>
      <c r="R97" s="13">
        <v>6.2E-2</v>
      </c>
      <c r="S97" s="14">
        <v>46032</v>
      </c>
      <c r="T97" s="14">
        <v>60611</v>
      </c>
      <c r="U97" s="31">
        <v>46032</v>
      </c>
      <c r="V97" s="19">
        <v>1997.3986005558911</v>
      </c>
      <c r="W97" s="19">
        <v>2008.8111716071801</v>
      </c>
      <c r="X97" s="32">
        <v>2007.8111716071801</v>
      </c>
      <c r="Y97" s="28">
        <v>1879</v>
      </c>
      <c r="Z97" s="28">
        <v>2971.96</v>
      </c>
      <c r="AA97" s="33">
        <v>0.67592133528283693</v>
      </c>
      <c r="AB97" s="34">
        <v>5.7000000000000002E-2</v>
      </c>
      <c r="AC97" s="34">
        <f t="shared" si="8"/>
        <v>4.9999999999999975E-3</v>
      </c>
      <c r="AD97" s="15">
        <v>10.377717000000001</v>
      </c>
      <c r="AE97" s="15">
        <v>0.1991</v>
      </c>
      <c r="AF97" s="15">
        <v>0.1991</v>
      </c>
      <c r="AG97" s="15" t="s">
        <v>1003</v>
      </c>
      <c r="AH97" s="15" t="s">
        <v>734</v>
      </c>
      <c r="AJ97" s="15">
        <v>64.84</v>
      </c>
    </row>
    <row r="98" spans="1:42" x14ac:dyDescent="0.2">
      <c r="A98" s="14">
        <v>45995</v>
      </c>
      <c r="B98" s="15">
        <v>96</v>
      </c>
      <c r="C98" s="15" t="s">
        <v>951</v>
      </c>
      <c r="D98" s="17">
        <f t="shared" si="7"/>
        <v>202511280151</v>
      </c>
      <c r="E98" s="15" t="s">
        <v>969</v>
      </c>
      <c r="F98" s="25" t="s">
        <v>38</v>
      </c>
      <c r="G98" s="25" t="s">
        <v>902</v>
      </c>
      <c r="H98" s="25">
        <v>17515225</v>
      </c>
      <c r="I98" s="77">
        <v>3</v>
      </c>
      <c r="J98" s="26">
        <v>45989</v>
      </c>
      <c r="K98" s="27">
        <v>2150</v>
      </c>
      <c r="L98" s="28">
        <v>550</v>
      </c>
      <c r="M98" s="28">
        <v>100</v>
      </c>
      <c r="N98" s="28">
        <v>2800</v>
      </c>
      <c r="O98" s="17">
        <v>0</v>
      </c>
      <c r="P98" s="29">
        <v>360</v>
      </c>
      <c r="Q98" s="35">
        <v>1</v>
      </c>
      <c r="R98" s="13">
        <v>6.2E-2</v>
      </c>
      <c r="S98" s="14">
        <v>46032</v>
      </c>
      <c r="T98" s="14">
        <v>56958</v>
      </c>
      <c r="U98" s="31">
        <v>46032</v>
      </c>
      <c r="V98" s="19">
        <v>2263.6106545123894</v>
      </c>
      <c r="W98" s="19">
        <v>2276.5442859968048</v>
      </c>
      <c r="X98" s="32">
        <v>2275.5442859968048</v>
      </c>
      <c r="Y98" s="28">
        <v>2150</v>
      </c>
      <c r="Z98" s="28">
        <v>3044.65</v>
      </c>
      <c r="AA98" s="33">
        <v>0.7477195362346426</v>
      </c>
      <c r="AB98" s="34">
        <v>5.7000000000000002E-2</v>
      </c>
      <c r="AC98" s="34">
        <f t="shared" si="8"/>
        <v>4.9999999999999975E-3</v>
      </c>
      <c r="AD98" s="15">
        <v>12.93225</v>
      </c>
      <c r="AE98" s="15">
        <v>0.185</v>
      </c>
      <c r="AF98" s="15">
        <v>0.50260000000000005</v>
      </c>
      <c r="AG98" s="15" t="s">
        <v>1004</v>
      </c>
      <c r="AH98" s="15" t="s">
        <v>144</v>
      </c>
      <c r="AJ98" s="15">
        <v>62.17</v>
      </c>
    </row>
    <row r="99" spans="1:42" x14ac:dyDescent="0.2">
      <c r="A99" s="14">
        <v>45995</v>
      </c>
      <c r="B99" s="15">
        <v>97</v>
      </c>
      <c r="C99" s="15" t="s">
        <v>952</v>
      </c>
      <c r="D99" s="17">
        <f t="shared" si="7"/>
        <v>202511280148</v>
      </c>
      <c r="E99" s="15" t="s">
        <v>970</v>
      </c>
      <c r="F99" s="15" t="s">
        <v>878</v>
      </c>
      <c r="G99" s="25" t="s">
        <v>971</v>
      </c>
      <c r="H99" s="25">
        <v>19058602</v>
      </c>
      <c r="I99" s="77">
        <v>2</v>
      </c>
      <c r="J99" s="26">
        <v>45989</v>
      </c>
      <c r="K99" s="27">
        <v>2048</v>
      </c>
      <c r="L99" s="28">
        <v>375</v>
      </c>
      <c r="M99" s="28">
        <v>137</v>
      </c>
      <c r="N99" s="28">
        <v>2560</v>
      </c>
      <c r="O99" s="17">
        <v>0</v>
      </c>
      <c r="P99" s="29">
        <v>480</v>
      </c>
      <c r="Q99" s="35">
        <v>1</v>
      </c>
      <c r="R99" s="13">
        <v>6.3899999999999998E-2</v>
      </c>
      <c r="S99" s="14">
        <v>46032</v>
      </c>
      <c r="T99" s="14">
        <v>60611</v>
      </c>
      <c r="U99" s="31">
        <v>46032</v>
      </c>
      <c r="V99" s="19">
        <v>2174.8978053312667</v>
      </c>
      <c r="W99" s="19">
        <v>2187.728333234274</v>
      </c>
      <c r="X99" s="32">
        <v>2186.728333234274</v>
      </c>
      <c r="Y99" s="28">
        <v>2048</v>
      </c>
      <c r="Z99" s="28">
        <v>2872.8</v>
      </c>
      <c r="AA99" s="33">
        <v>0.7615317227911006</v>
      </c>
      <c r="AB99" s="34">
        <v>5.8900000000000001E-2</v>
      </c>
      <c r="AC99" s="34">
        <f t="shared" si="8"/>
        <v>4.9999999999999975E-3</v>
      </c>
      <c r="AD99" s="15">
        <v>11.569152000000001</v>
      </c>
      <c r="AE99" s="15">
        <v>0.3518</v>
      </c>
      <c r="AF99" s="15">
        <v>0.3679</v>
      </c>
      <c r="AG99" s="15" t="s">
        <v>1005</v>
      </c>
      <c r="AH99" s="15" t="s">
        <v>898</v>
      </c>
      <c r="AJ99" s="15">
        <v>53.6</v>
      </c>
    </row>
    <row r="100" spans="1:42" x14ac:dyDescent="0.2">
      <c r="A100" s="14">
        <v>45995</v>
      </c>
      <c r="B100" s="15">
        <v>98</v>
      </c>
      <c r="C100" s="15" t="s">
        <v>953</v>
      </c>
      <c r="D100" s="17">
        <f t="shared" si="7"/>
        <v>202511280147</v>
      </c>
      <c r="E100" s="15" t="s">
        <v>972</v>
      </c>
      <c r="F100" s="15" t="s">
        <v>973</v>
      </c>
      <c r="G100" s="15" t="s">
        <v>974</v>
      </c>
      <c r="H100" s="15">
        <v>18301160</v>
      </c>
      <c r="I100" s="25" t="s">
        <v>23</v>
      </c>
      <c r="J100" s="26">
        <v>45989</v>
      </c>
      <c r="K100" s="28">
        <v>2078</v>
      </c>
      <c r="L100" s="28">
        <v>650</v>
      </c>
      <c r="M100" s="28">
        <v>80</v>
      </c>
      <c r="N100" s="28">
        <v>2808</v>
      </c>
      <c r="O100" s="17">
        <v>0</v>
      </c>
      <c r="P100" s="17">
        <v>360</v>
      </c>
      <c r="Q100" s="17">
        <v>1</v>
      </c>
      <c r="R100" s="13">
        <v>6.2E-2</v>
      </c>
      <c r="S100" s="14">
        <v>46032</v>
      </c>
      <c r="T100" s="14">
        <v>56958</v>
      </c>
      <c r="U100" s="31">
        <v>46032</v>
      </c>
      <c r="V100" s="19">
        <v>2187.8060186403463</v>
      </c>
      <c r="W100" s="19">
        <v>2200.306523861098</v>
      </c>
      <c r="X100" s="32">
        <v>2199.306523861098</v>
      </c>
      <c r="Y100" s="28">
        <v>2078</v>
      </c>
      <c r="Z100" s="28">
        <v>2828.38</v>
      </c>
      <c r="AA100" s="33">
        <v>0.77793879318235093</v>
      </c>
      <c r="AB100" s="34">
        <v>5.7000000000000002E-2</v>
      </c>
      <c r="AC100" s="34">
        <f t="shared" si="8"/>
        <v>4.9999999999999975E-3</v>
      </c>
      <c r="AD100" s="15">
        <v>12.499169999999999</v>
      </c>
      <c r="AE100" s="15">
        <v>0.26350000000000001</v>
      </c>
      <c r="AF100" s="15">
        <v>0.30359999999999998</v>
      </c>
      <c r="AG100" s="15" t="s">
        <v>1006</v>
      </c>
      <c r="AH100" s="15" t="s">
        <v>1018</v>
      </c>
      <c r="AJ100" s="15">
        <v>49.56</v>
      </c>
    </row>
    <row r="101" spans="1:42" x14ac:dyDescent="0.2">
      <c r="A101" s="14">
        <v>45995</v>
      </c>
      <c r="B101" s="15">
        <v>99</v>
      </c>
      <c r="C101" s="15" t="s">
        <v>954</v>
      </c>
      <c r="D101" s="17">
        <f t="shared" si="7"/>
        <v>202511280145</v>
      </c>
      <c r="E101" s="15" t="s">
        <v>975</v>
      </c>
      <c r="F101" s="15" t="s">
        <v>976</v>
      </c>
      <c r="G101" s="15" t="s">
        <v>977</v>
      </c>
      <c r="H101" s="15">
        <v>15035158</v>
      </c>
      <c r="I101" s="77">
        <v>8</v>
      </c>
      <c r="J101" s="26">
        <v>45989</v>
      </c>
      <c r="K101" s="28">
        <v>1820</v>
      </c>
      <c r="L101" s="28">
        <v>650</v>
      </c>
      <c r="M101" s="28">
        <v>130</v>
      </c>
      <c r="N101" s="28">
        <v>2600</v>
      </c>
      <c r="O101" s="17">
        <v>0</v>
      </c>
      <c r="P101" s="17">
        <v>420</v>
      </c>
      <c r="Q101" s="17">
        <v>1</v>
      </c>
      <c r="R101" s="13">
        <v>6.4000000000000001E-2</v>
      </c>
      <c r="S101" s="14">
        <v>46032</v>
      </c>
      <c r="T101" s="14">
        <v>58785</v>
      </c>
      <c r="U101" s="31">
        <v>46032</v>
      </c>
      <c r="V101" s="19">
        <v>1924.496611670731</v>
      </c>
      <c r="W101" s="19">
        <v>1935.8687189004622</v>
      </c>
      <c r="X101" s="32">
        <v>1934.8687189004622</v>
      </c>
      <c r="Y101" s="28">
        <v>1820</v>
      </c>
      <c r="Z101" s="28">
        <v>2655.1</v>
      </c>
      <c r="AA101" s="33">
        <v>0.72911329852000384</v>
      </c>
      <c r="AB101" s="34">
        <v>5.9000000000000004E-2</v>
      </c>
      <c r="AC101" s="34">
        <f t="shared" si="8"/>
        <v>4.9999999999999975E-3</v>
      </c>
      <c r="AD101" s="15">
        <v>10.647</v>
      </c>
      <c r="AE101" s="15">
        <v>0.29949999999999999</v>
      </c>
      <c r="AF101" s="15">
        <v>0.32669999999999999</v>
      </c>
      <c r="AG101" s="15" t="s">
        <v>1007</v>
      </c>
      <c r="AH101" s="15" t="s">
        <v>144</v>
      </c>
      <c r="AJ101" s="15">
        <v>58.49</v>
      </c>
    </row>
    <row r="102" spans="1:42" x14ac:dyDescent="0.2">
      <c r="A102" s="14">
        <v>45995</v>
      </c>
      <c r="B102" s="15">
        <v>100</v>
      </c>
      <c r="C102" s="15" t="s">
        <v>955</v>
      </c>
      <c r="D102" s="17">
        <f t="shared" si="7"/>
        <v>202511280146</v>
      </c>
      <c r="E102" s="15" t="s">
        <v>586</v>
      </c>
      <c r="F102" s="15" t="s">
        <v>978</v>
      </c>
      <c r="G102" s="15" t="s">
        <v>979</v>
      </c>
      <c r="H102" s="15">
        <v>20167553</v>
      </c>
      <c r="I102" s="77">
        <v>7</v>
      </c>
      <c r="J102" s="26">
        <v>45989</v>
      </c>
      <c r="K102" s="28">
        <v>2150</v>
      </c>
      <c r="L102" s="28">
        <v>550</v>
      </c>
      <c r="M102" s="28">
        <v>100</v>
      </c>
      <c r="N102" s="28">
        <v>2800</v>
      </c>
      <c r="O102" s="17">
        <v>0</v>
      </c>
      <c r="P102" s="17">
        <v>420</v>
      </c>
      <c r="Q102" s="17">
        <v>1</v>
      </c>
      <c r="R102" s="13">
        <v>6.3E-2</v>
      </c>
      <c r="S102" s="14">
        <v>46032</v>
      </c>
      <c r="T102" s="14">
        <v>58785</v>
      </c>
      <c r="U102" s="31">
        <v>46032</v>
      </c>
      <c r="V102" s="19">
        <v>2274.4035268851499</v>
      </c>
      <c r="W102" s="19">
        <v>2287.6211475037217</v>
      </c>
      <c r="X102" s="32">
        <v>2286.6211475037217</v>
      </c>
      <c r="Y102" s="28">
        <v>2150</v>
      </c>
      <c r="Z102" s="28">
        <v>2818.66</v>
      </c>
      <c r="AA102" s="33">
        <v>0.81159882621661417</v>
      </c>
      <c r="AB102" s="34">
        <v>5.8000000000000003E-2</v>
      </c>
      <c r="AC102" s="34">
        <f t="shared" si="8"/>
        <v>4.9999999999999975E-3</v>
      </c>
      <c r="AD102" s="15">
        <v>12.4399</v>
      </c>
      <c r="AE102" s="15">
        <v>0.30819999999999997</v>
      </c>
      <c r="AF102" s="15">
        <v>0.51160000000000005</v>
      </c>
      <c r="AG102" s="15" t="s">
        <v>1008</v>
      </c>
      <c r="AH102" s="15" t="s">
        <v>144</v>
      </c>
      <c r="AJ102" s="15">
        <v>58.78</v>
      </c>
    </row>
    <row r="103" spans="1:42" x14ac:dyDescent="0.2">
      <c r="A103" s="14">
        <v>45995</v>
      </c>
      <c r="B103" s="15">
        <v>101</v>
      </c>
      <c r="C103" s="15" t="s">
        <v>956</v>
      </c>
      <c r="D103" s="17">
        <f t="shared" si="7"/>
        <v>202511280144</v>
      </c>
      <c r="E103" s="15" t="s">
        <v>980</v>
      </c>
      <c r="F103" s="15" t="s">
        <v>980</v>
      </c>
      <c r="G103" s="15" t="s">
        <v>981</v>
      </c>
      <c r="H103" s="15">
        <v>18834194</v>
      </c>
      <c r="I103" s="77">
        <v>2</v>
      </c>
      <c r="J103" s="26">
        <v>45989</v>
      </c>
      <c r="K103" s="28">
        <v>2150</v>
      </c>
      <c r="L103" s="28">
        <v>550</v>
      </c>
      <c r="M103" s="28">
        <v>100</v>
      </c>
      <c r="N103" s="28">
        <v>2800</v>
      </c>
      <c r="O103" s="17">
        <v>0</v>
      </c>
      <c r="P103" s="17">
        <v>300</v>
      </c>
      <c r="Q103" s="17">
        <v>1</v>
      </c>
      <c r="R103" s="13">
        <v>6.2E-2</v>
      </c>
      <c r="S103" s="14">
        <v>46032</v>
      </c>
      <c r="T103" s="14">
        <v>55132</v>
      </c>
      <c r="U103" s="31">
        <v>46032</v>
      </c>
      <c r="V103" s="19">
        <v>2249.9730138830037</v>
      </c>
      <c r="W103" s="19">
        <v>2262.8287237434574</v>
      </c>
      <c r="X103" s="32">
        <v>2261.8287237434574</v>
      </c>
      <c r="Y103" s="28">
        <v>2150</v>
      </c>
      <c r="Z103" s="28">
        <v>2881.56</v>
      </c>
      <c r="AA103" s="33">
        <v>0.78527905847647017</v>
      </c>
      <c r="AB103" s="34">
        <v>5.7000000000000002E-2</v>
      </c>
      <c r="AC103" s="34">
        <f t="shared" si="8"/>
        <v>4.9999999999999975E-3</v>
      </c>
      <c r="AD103" s="15">
        <v>13.8933</v>
      </c>
      <c r="AE103" s="15">
        <v>0.25940000000000002</v>
      </c>
      <c r="AF103" s="15">
        <v>0.312</v>
      </c>
      <c r="AG103" s="15" t="s">
        <v>1009</v>
      </c>
      <c r="AH103" s="15" t="s">
        <v>144</v>
      </c>
      <c r="AJ103" s="15">
        <v>60.86</v>
      </c>
    </row>
    <row r="104" spans="1:42" x14ac:dyDescent="0.2">
      <c r="A104" s="14">
        <v>45995</v>
      </c>
      <c r="B104" s="15">
        <v>102</v>
      </c>
      <c r="C104" s="15" t="s">
        <v>957</v>
      </c>
      <c r="D104" s="17">
        <f t="shared" si="7"/>
        <v>202511280150</v>
      </c>
      <c r="E104" s="15" t="s">
        <v>765</v>
      </c>
      <c r="F104" s="15" t="s">
        <v>982</v>
      </c>
      <c r="G104" s="15" t="s">
        <v>983</v>
      </c>
      <c r="H104" s="15">
        <v>17451774</v>
      </c>
      <c r="I104" s="77">
        <v>6</v>
      </c>
      <c r="J104" s="26">
        <v>45989</v>
      </c>
      <c r="K104" s="28">
        <v>2150</v>
      </c>
      <c r="L104" s="28">
        <v>550</v>
      </c>
      <c r="M104" s="28">
        <v>100</v>
      </c>
      <c r="N104" s="28">
        <v>2800</v>
      </c>
      <c r="O104" s="17">
        <v>0</v>
      </c>
      <c r="P104" s="17">
        <v>420</v>
      </c>
      <c r="Q104" s="17">
        <v>1</v>
      </c>
      <c r="R104" s="13">
        <v>6.3E-2</v>
      </c>
      <c r="S104" s="14">
        <v>46032</v>
      </c>
      <c r="T104" s="14">
        <v>58785</v>
      </c>
      <c r="U104" s="31">
        <v>46032</v>
      </c>
      <c r="V104" s="19">
        <v>2274.4035268851499</v>
      </c>
      <c r="W104" s="19">
        <v>2287.6211475037217</v>
      </c>
      <c r="X104" s="32">
        <v>2286.6211475037217</v>
      </c>
      <c r="Y104" s="28">
        <v>2150</v>
      </c>
      <c r="Z104" s="28">
        <v>2823.08</v>
      </c>
      <c r="AA104" s="33">
        <v>0.81032813363550504</v>
      </c>
      <c r="AB104" s="34">
        <v>5.8000000000000003E-2</v>
      </c>
      <c r="AC104" s="34">
        <f t="shared" si="8"/>
        <v>4.9999999999999975E-3</v>
      </c>
      <c r="AD104" s="15">
        <v>12.4399</v>
      </c>
      <c r="AE104" s="15">
        <v>0.26740000000000003</v>
      </c>
      <c r="AF104" s="15">
        <v>0.53539999999999999</v>
      </c>
      <c r="AG104" s="15" t="s">
        <v>1010</v>
      </c>
      <c r="AH104" s="15" t="s">
        <v>144</v>
      </c>
      <c r="AJ104" s="15">
        <v>60.86</v>
      </c>
    </row>
    <row r="105" spans="1:42" x14ac:dyDescent="0.2">
      <c r="A105" s="14">
        <v>45995</v>
      </c>
      <c r="B105" s="15">
        <v>103</v>
      </c>
      <c r="C105" s="15" t="s">
        <v>958</v>
      </c>
      <c r="D105" s="17">
        <f t="shared" si="7"/>
        <v>202511280155</v>
      </c>
      <c r="E105" s="15" t="s">
        <v>984</v>
      </c>
      <c r="F105" s="15" t="s">
        <v>985</v>
      </c>
      <c r="G105" s="15" t="s">
        <v>986</v>
      </c>
      <c r="H105" s="15">
        <v>19347335</v>
      </c>
      <c r="I105" s="77">
        <v>0</v>
      </c>
      <c r="J105" s="26">
        <v>45989</v>
      </c>
      <c r="K105" s="28">
        <v>1125</v>
      </c>
      <c r="L105" s="28">
        <v>625</v>
      </c>
      <c r="M105" s="28">
        <v>50</v>
      </c>
      <c r="N105" s="28">
        <v>1800</v>
      </c>
      <c r="O105" s="17">
        <v>0</v>
      </c>
      <c r="P105" s="17">
        <v>360</v>
      </c>
      <c r="Q105" s="17">
        <v>1</v>
      </c>
      <c r="R105" s="13">
        <v>6.4000000000000001E-2</v>
      </c>
      <c r="S105" s="14">
        <v>46032</v>
      </c>
      <c r="T105" s="14">
        <v>56958</v>
      </c>
      <c r="U105" s="31">
        <v>46032</v>
      </c>
      <c r="V105" s="19">
        <v>1183.6552311296116</v>
      </c>
      <c r="W105" s="19">
        <v>1190.6496078044308</v>
      </c>
      <c r="X105" s="32">
        <v>1189.6496078044308</v>
      </c>
      <c r="Y105" s="28">
        <v>1125</v>
      </c>
      <c r="Z105" s="28">
        <v>3007.24</v>
      </c>
      <c r="AA105" s="33">
        <v>0.39592769709249376</v>
      </c>
      <c r="AB105" s="34">
        <v>5.9000000000000004E-2</v>
      </c>
      <c r="AC105" s="34">
        <f t="shared" si="8"/>
        <v>4.9999999999999975E-3</v>
      </c>
      <c r="AD105" s="15">
        <v>6.9041249999999996</v>
      </c>
      <c r="AE105" s="15">
        <v>0.23380000000000001</v>
      </c>
      <c r="AF105" s="15">
        <v>0.32219999999999999</v>
      </c>
      <c r="AG105" s="15" t="s">
        <v>1011</v>
      </c>
      <c r="AH105" s="15" t="s">
        <v>623</v>
      </c>
      <c r="AJ105" s="15">
        <v>59.4</v>
      </c>
    </row>
    <row r="106" spans="1:42" x14ac:dyDescent="0.2">
      <c r="A106" s="14">
        <v>45995</v>
      </c>
      <c r="B106" s="15">
        <v>104</v>
      </c>
      <c r="C106" s="15" t="s">
        <v>959</v>
      </c>
      <c r="D106" s="17">
        <f t="shared" ref="D106:D169" si="9">_xlfn.NUMBERVALUE(+LEFT(C106,12))</f>
        <v>202511280153</v>
      </c>
      <c r="E106" s="15" t="s">
        <v>965</v>
      </c>
      <c r="F106" s="15" t="s">
        <v>987</v>
      </c>
      <c r="G106" s="15" t="s">
        <v>988</v>
      </c>
      <c r="H106" s="15">
        <v>19930811</v>
      </c>
      <c r="I106" s="77">
        <v>4</v>
      </c>
      <c r="J106" s="26">
        <v>45989</v>
      </c>
      <c r="K106" s="28">
        <v>2150</v>
      </c>
      <c r="L106" s="28">
        <v>550</v>
      </c>
      <c r="M106" s="28">
        <v>100</v>
      </c>
      <c r="N106" s="28">
        <v>2800</v>
      </c>
      <c r="O106" s="17">
        <v>0</v>
      </c>
      <c r="P106" s="17">
        <v>480</v>
      </c>
      <c r="Q106" s="17">
        <v>1</v>
      </c>
      <c r="R106" s="13">
        <v>6.3500000000000001E-2</v>
      </c>
      <c r="S106" s="14">
        <v>46032</v>
      </c>
      <c r="T106" s="14">
        <v>60611</v>
      </c>
      <c r="U106" s="31">
        <v>46032</v>
      </c>
      <c r="V106" s="19">
        <v>2283.6544213251259</v>
      </c>
      <c r="W106" s="19">
        <v>2297.0373452206745</v>
      </c>
      <c r="X106" s="32">
        <v>2296.0373452206745</v>
      </c>
      <c r="Y106" s="28">
        <v>2150</v>
      </c>
      <c r="Z106" s="28">
        <v>3089.71</v>
      </c>
      <c r="AA106" s="33">
        <v>0.74344755501994508</v>
      </c>
      <c r="AB106" s="34">
        <v>5.8500000000000003E-2</v>
      </c>
      <c r="AC106" s="34">
        <f t="shared" si="8"/>
        <v>4.9999999999999975E-3</v>
      </c>
      <c r="AD106" s="15">
        <v>12.089449999999999</v>
      </c>
      <c r="AE106" s="15">
        <v>0.1961</v>
      </c>
      <c r="AF106" s="15">
        <v>0.50790000000000002</v>
      </c>
      <c r="AG106" s="15" t="s">
        <v>1012</v>
      </c>
      <c r="AH106" s="15" t="s">
        <v>144</v>
      </c>
      <c r="AJ106" s="15">
        <v>59.47</v>
      </c>
    </row>
    <row r="107" spans="1:42" ht="15" x14ac:dyDescent="0.25">
      <c r="A107" s="14">
        <v>45995</v>
      </c>
      <c r="B107" s="15">
        <v>105</v>
      </c>
      <c r="C107" s="15" t="s">
        <v>960</v>
      </c>
      <c r="D107" s="17">
        <f t="shared" si="9"/>
        <v>202511280152</v>
      </c>
      <c r="E107" s="15" t="s">
        <v>26</v>
      </c>
      <c r="F107" s="15" t="s">
        <v>989</v>
      </c>
      <c r="G107" s="15" t="s">
        <v>990</v>
      </c>
      <c r="H107" s="15">
        <v>16110938</v>
      </c>
      <c r="I107" s="25" t="s">
        <v>23</v>
      </c>
      <c r="J107" s="26">
        <v>45989</v>
      </c>
      <c r="K107" s="28">
        <v>1125</v>
      </c>
      <c r="L107" s="28">
        <v>625</v>
      </c>
      <c r="M107" s="28">
        <v>50</v>
      </c>
      <c r="N107" s="28">
        <v>1800</v>
      </c>
      <c r="O107" s="17">
        <v>0</v>
      </c>
      <c r="P107" s="17">
        <v>420</v>
      </c>
      <c r="Q107" s="17">
        <v>1</v>
      </c>
      <c r="R107" s="13">
        <v>6.4000000000000001E-2</v>
      </c>
      <c r="S107" s="14">
        <v>46032</v>
      </c>
      <c r="T107" s="14">
        <v>58785</v>
      </c>
      <c r="U107" s="31">
        <v>46032</v>
      </c>
      <c r="V107" s="19">
        <v>1189.5926857854799</v>
      </c>
      <c r="W107" s="19">
        <v>1196.6221476719898</v>
      </c>
      <c r="X107" s="32">
        <v>1195.6221476719898</v>
      </c>
      <c r="Y107" s="28">
        <v>1125</v>
      </c>
      <c r="Z107" s="28">
        <v>2646.43</v>
      </c>
      <c r="AA107" s="33">
        <v>0.45216467001658456</v>
      </c>
      <c r="AB107" s="34">
        <v>5.9000000000000004E-2</v>
      </c>
      <c r="AC107" s="34">
        <f t="shared" si="8"/>
        <v>4.9999999999999975E-3</v>
      </c>
      <c r="AD107" s="15">
        <v>6.5812499999999998</v>
      </c>
      <c r="AE107" s="15">
        <v>0.25869999999999999</v>
      </c>
      <c r="AF107" s="15">
        <v>0.25869999999999999</v>
      </c>
      <c r="AG107" s="15" t="s">
        <v>1013</v>
      </c>
      <c r="AH107" s="15" t="s">
        <v>144</v>
      </c>
      <c r="AJ107" s="15">
        <v>60.79</v>
      </c>
      <c r="AP107" s="57"/>
    </row>
    <row r="108" spans="1:42" ht="15" x14ac:dyDescent="0.25">
      <c r="A108" s="14">
        <v>45995</v>
      </c>
      <c r="B108" s="15">
        <v>106</v>
      </c>
      <c r="C108" s="15" t="s">
        <v>961</v>
      </c>
      <c r="D108" s="17">
        <f t="shared" si="9"/>
        <v>202511270162</v>
      </c>
      <c r="E108" s="15" t="s">
        <v>991</v>
      </c>
      <c r="F108" s="15" t="s">
        <v>992</v>
      </c>
      <c r="G108" s="15" t="s">
        <v>993</v>
      </c>
      <c r="H108" s="15">
        <v>26154328</v>
      </c>
      <c r="I108" s="77">
        <v>1</v>
      </c>
      <c r="J108" s="26">
        <v>45988</v>
      </c>
      <c r="K108" s="28">
        <v>1668</v>
      </c>
      <c r="L108" s="28">
        <v>550</v>
      </c>
      <c r="M108" s="28">
        <v>100</v>
      </c>
      <c r="N108" s="28">
        <v>2318</v>
      </c>
      <c r="O108" s="17">
        <v>0</v>
      </c>
      <c r="P108" s="17">
        <v>480</v>
      </c>
      <c r="Q108" s="17">
        <v>1</v>
      </c>
      <c r="R108" s="13">
        <v>6.2E-2</v>
      </c>
      <c r="S108" s="14">
        <v>46032</v>
      </c>
      <c r="T108" s="14">
        <v>60611</v>
      </c>
      <c r="U108" s="31">
        <v>46032</v>
      </c>
      <c r="V108" s="19">
        <v>1773.1024051340473</v>
      </c>
      <c r="W108" s="19">
        <v>1783.2334111206201</v>
      </c>
      <c r="X108" s="32">
        <v>1782.2334111206201</v>
      </c>
      <c r="Y108" s="28">
        <v>1668</v>
      </c>
      <c r="Z108" s="28">
        <v>2645.4</v>
      </c>
      <c r="AA108" s="33">
        <v>0.67408838403289484</v>
      </c>
      <c r="AB108" s="34">
        <v>5.7000000000000002E-2</v>
      </c>
      <c r="AC108" s="34">
        <f t="shared" si="8"/>
        <v>4.9999999999999975E-3</v>
      </c>
      <c r="AD108" s="15">
        <v>9.2123600000000003</v>
      </c>
      <c r="AE108" s="15">
        <v>0.31390000000000001</v>
      </c>
      <c r="AF108" s="15">
        <v>0.3952</v>
      </c>
      <c r="AG108" s="15" t="s">
        <v>1014</v>
      </c>
      <c r="AH108" s="15" t="s">
        <v>666</v>
      </c>
      <c r="AJ108" s="15">
        <v>58.6</v>
      </c>
      <c r="AP108" s="57"/>
    </row>
    <row r="109" spans="1:42" ht="15" x14ac:dyDescent="0.25">
      <c r="A109" s="14">
        <v>45995</v>
      </c>
      <c r="B109" s="15">
        <v>107</v>
      </c>
      <c r="C109" s="15" t="s">
        <v>962</v>
      </c>
      <c r="D109" s="17">
        <f t="shared" si="9"/>
        <v>202511280161</v>
      </c>
      <c r="E109" s="15" t="s">
        <v>994</v>
      </c>
      <c r="F109" s="15" t="s">
        <v>924</v>
      </c>
      <c r="G109" s="15" t="s">
        <v>995</v>
      </c>
      <c r="H109" s="15">
        <v>16491840</v>
      </c>
      <c r="I109" s="77">
        <v>8</v>
      </c>
      <c r="J109" s="26">
        <v>45989</v>
      </c>
      <c r="K109" s="28">
        <v>925</v>
      </c>
      <c r="L109" s="28">
        <v>625</v>
      </c>
      <c r="M109" s="28">
        <v>50</v>
      </c>
      <c r="N109" s="28">
        <v>1600</v>
      </c>
      <c r="O109" s="17">
        <v>0</v>
      </c>
      <c r="P109" s="17">
        <v>420</v>
      </c>
      <c r="Q109" s="17">
        <v>1</v>
      </c>
      <c r="R109" s="13">
        <v>6.4000000000000001E-2</v>
      </c>
      <c r="S109" s="14">
        <v>46032</v>
      </c>
      <c r="T109" s="14">
        <v>58785</v>
      </c>
      <c r="U109" s="31">
        <v>46032</v>
      </c>
      <c r="V109" s="19">
        <v>978.10954231821518</v>
      </c>
      <c r="W109" s="19">
        <v>983.88932209554082</v>
      </c>
      <c r="X109" s="32">
        <v>982.88932209554082</v>
      </c>
      <c r="Y109" s="28">
        <v>925</v>
      </c>
      <c r="Z109" s="28">
        <v>2301.6</v>
      </c>
      <c r="AA109" s="33">
        <v>0.42748058832792007</v>
      </c>
      <c r="AB109" s="34">
        <v>5.9000000000000004E-2</v>
      </c>
      <c r="AC109" s="34">
        <f t="shared" si="8"/>
        <v>4.9999999999999975E-3</v>
      </c>
      <c r="AD109" s="15">
        <v>5.4112499999999999</v>
      </c>
      <c r="AE109" s="15">
        <v>0.28720000000000001</v>
      </c>
      <c r="AF109" s="15">
        <v>0.50590000000000002</v>
      </c>
      <c r="AG109" s="15" t="s">
        <v>1015</v>
      </c>
      <c r="AH109" s="15" t="s">
        <v>1019</v>
      </c>
      <c r="AJ109" s="15">
        <v>62.08</v>
      </c>
      <c r="AP109" s="57"/>
    </row>
    <row r="110" spans="1:42" ht="15" x14ac:dyDescent="0.25">
      <c r="A110" s="14">
        <v>45995</v>
      </c>
      <c r="B110" s="15">
        <v>108</v>
      </c>
      <c r="C110" s="15" t="s">
        <v>963</v>
      </c>
      <c r="D110" s="17">
        <f t="shared" si="9"/>
        <v>202511290165</v>
      </c>
      <c r="E110" s="15" t="s">
        <v>996</v>
      </c>
      <c r="F110" s="15" t="s">
        <v>997</v>
      </c>
      <c r="G110" s="15" t="s">
        <v>998</v>
      </c>
      <c r="H110" s="15">
        <v>10940990</v>
      </c>
      <c r="I110" s="77">
        <v>1</v>
      </c>
      <c r="J110" s="26">
        <v>45990</v>
      </c>
      <c r="K110" s="28">
        <v>2230.56</v>
      </c>
      <c r="L110" s="28">
        <v>650</v>
      </c>
      <c r="M110" s="28">
        <v>143.44</v>
      </c>
      <c r="N110" s="28">
        <v>3024</v>
      </c>
      <c r="O110" s="17">
        <v>0</v>
      </c>
      <c r="P110" s="17">
        <v>276</v>
      </c>
      <c r="Q110" s="17">
        <v>1</v>
      </c>
      <c r="R110" s="13">
        <v>6.3E-2</v>
      </c>
      <c r="S110" s="14">
        <v>46032</v>
      </c>
      <c r="T110" s="14">
        <v>54402</v>
      </c>
      <c r="U110" s="31">
        <v>46032</v>
      </c>
      <c r="V110" s="19">
        <v>2327.5653763406322</v>
      </c>
      <c r="W110" s="19">
        <v>2341.0919452830954</v>
      </c>
      <c r="X110" s="32">
        <v>2340.0919452830954</v>
      </c>
      <c r="Y110" s="28">
        <v>2230.56</v>
      </c>
      <c r="Z110" s="28">
        <v>3070.7</v>
      </c>
      <c r="AA110" s="33">
        <v>0.76239682980528722</v>
      </c>
      <c r="AB110" s="34">
        <v>5.8000000000000003E-2</v>
      </c>
      <c r="AC110" s="34">
        <f t="shared" si="8"/>
        <v>4.9999999999999975E-3</v>
      </c>
      <c r="AD110" s="15">
        <v>15.085279999999999</v>
      </c>
      <c r="AE110" s="15">
        <v>0.30609999999999998</v>
      </c>
      <c r="AF110" s="15">
        <v>0.3972</v>
      </c>
      <c r="AG110" s="15" t="s">
        <v>1016</v>
      </c>
      <c r="AH110" s="15" t="s">
        <v>948</v>
      </c>
      <c r="AJ110" s="15">
        <v>68.98</v>
      </c>
      <c r="AP110" s="57"/>
    </row>
    <row r="111" spans="1:42" ht="15" x14ac:dyDescent="0.25">
      <c r="A111" s="14">
        <v>45995</v>
      </c>
      <c r="B111" s="15">
        <v>109</v>
      </c>
      <c r="C111" s="15" t="s">
        <v>964</v>
      </c>
      <c r="D111" s="17">
        <f t="shared" si="9"/>
        <v>202511270164</v>
      </c>
      <c r="E111" s="15" t="s">
        <v>999</v>
      </c>
      <c r="F111" s="15" t="s">
        <v>1000</v>
      </c>
      <c r="G111" s="15" t="s">
        <v>1001</v>
      </c>
      <c r="H111" s="15">
        <v>16883395</v>
      </c>
      <c r="I111" s="78">
        <v>4</v>
      </c>
      <c r="J111" s="26">
        <v>45988</v>
      </c>
      <c r="K111" s="28">
        <v>1762</v>
      </c>
      <c r="L111" s="28">
        <v>550</v>
      </c>
      <c r="M111" s="28">
        <v>80</v>
      </c>
      <c r="N111" s="28">
        <v>2392</v>
      </c>
      <c r="O111" s="17">
        <v>0</v>
      </c>
      <c r="P111" s="17">
        <v>420</v>
      </c>
      <c r="Q111" s="17">
        <v>1</v>
      </c>
      <c r="R111" s="13">
        <v>6.3E-2</v>
      </c>
      <c r="S111" s="14">
        <v>46032</v>
      </c>
      <c r="T111" s="14">
        <v>58785</v>
      </c>
      <c r="U111" s="31">
        <v>46032</v>
      </c>
      <c r="V111" s="19">
        <v>1863.9526651220233</v>
      </c>
      <c r="W111" s="19">
        <v>1874.7849641786026</v>
      </c>
      <c r="X111" s="32">
        <v>1873.7849641786026</v>
      </c>
      <c r="Y111" s="28">
        <v>1762</v>
      </c>
      <c r="Z111" s="28">
        <v>2448.1</v>
      </c>
      <c r="AA111" s="33">
        <v>0.76581224793864744</v>
      </c>
      <c r="AB111" s="34">
        <v>5.8000000000000003E-2</v>
      </c>
      <c r="AC111" s="34">
        <f t="shared" si="8"/>
        <v>4.9999999999999975E-3</v>
      </c>
      <c r="AD111" s="15">
        <v>10.194929999999999</v>
      </c>
      <c r="AE111" s="15">
        <v>0.29449999999999998</v>
      </c>
      <c r="AF111" s="15">
        <v>0.36209999999999998</v>
      </c>
      <c r="AG111" s="15" t="s">
        <v>1017</v>
      </c>
      <c r="AH111" s="15" t="s">
        <v>897</v>
      </c>
      <c r="AJ111" s="15">
        <v>60.3</v>
      </c>
      <c r="AP111" s="57"/>
    </row>
    <row r="112" spans="1:42" ht="15" x14ac:dyDescent="0.25">
      <c r="B112" s="15">
        <v>110</v>
      </c>
      <c r="C112" s="15" t="s">
        <v>1020</v>
      </c>
      <c r="D112" s="17">
        <f>_xlfn.NUMBERVALUE(+LEFT(C112,11))</f>
        <v>20231030583</v>
      </c>
      <c r="E112" s="15" t="s">
        <v>1021</v>
      </c>
      <c r="F112" s="15" t="s">
        <v>1022</v>
      </c>
      <c r="G112" s="15" t="s">
        <v>1023</v>
      </c>
      <c r="H112" s="15">
        <v>16947092</v>
      </c>
      <c r="I112" s="78">
        <v>8</v>
      </c>
      <c r="J112" s="26">
        <v>45229</v>
      </c>
      <c r="K112" s="28">
        <v>856.52</v>
      </c>
      <c r="L112" s="28">
        <v>500</v>
      </c>
      <c r="M112" s="28">
        <v>43.480000000000018</v>
      </c>
      <c r="N112" s="28">
        <v>1400</v>
      </c>
      <c r="O112" s="17">
        <v>0</v>
      </c>
      <c r="P112" s="17">
        <v>240</v>
      </c>
      <c r="Q112" s="17">
        <v>6</v>
      </c>
      <c r="R112" s="13">
        <v>6.5100000000000005E-2</v>
      </c>
      <c r="S112" s="14">
        <v>45422</v>
      </c>
      <c r="T112" s="14">
        <v>52545</v>
      </c>
      <c r="U112" s="31">
        <v>45323</v>
      </c>
      <c r="V112" s="19">
        <v>903.9874673980911</v>
      </c>
      <c r="W112" s="19">
        <v>903.41670684910434</v>
      </c>
      <c r="X112" s="32">
        <f>W112-1</f>
        <v>902.41670684910434</v>
      </c>
      <c r="Y112" s="15">
        <v>0</v>
      </c>
      <c r="Z112" s="28">
        <v>2350.3200000000002</v>
      </c>
      <c r="AA112" s="33">
        <v>0.3843803000651419</v>
      </c>
      <c r="AB112" s="34">
        <v>6.0100000000000008E-2</v>
      </c>
      <c r="AC112" s="34">
        <f t="shared" si="8"/>
        <v>4.9999999999999975E-3</v>
      </c>
      <c r="AD112" s="15">
        <v>6.5343910000000003</v>
      </c>
      <c r="AE112" s="15">
        <v>18.982718787193022</v>
      </c>
      <c r="AF112" s="15">
        <v>44.691256848860753</v>
      </c>
      <c r="AG112" s="15" t="s">
        <v>1024</v>
      </c>
      <c r="AH112" s="15" t="s">
        <v>151</v>
      </c>
      <c r="AP112" s="57"/>
    </row>
    <row r="113" spans="2:42" ht="15" x14ac:dyDescent="0.25">
      <c r="B113" s="15">
        <v>111</v>
      </c>
      <c r="C113" s="15" t="s">
        <v>1025</v>
      </c>
      <c r="D113" s="17">
        <f t="shared" ref="D113:D176" si="10">_xlfn.NUMBERVALUE(+LEFT(C113,11))</f>
        <v>20231213669</v>
      </c>
      <c r="E113" s="15" t="s">
        <v>1026</v>
      </c>
      <c r="F113" s="15" t="s">
        <v>1027</v>
      </c>
      <c r="G113" s="15" t="s">
        <v>1028</v>
      </c>
      <c r="H113" s="15">
        <v>17435231</v>
      </c>
      <c r="I113" s="78">
        <v>3</v>
      </c>
      <c r="J113" s="26">
        <v>45273</v>
      </c>
      <c r="K113" s="28">
        <v>1760</v>
      </c>
      <c r="L113" s="28">
        <v>325</v>
      </c>
      <c r="M113" s="28">
        <v>115</v>
      </c>
      <c r="N113" s="28">
        <v>2200</v>
      </c>
      <c r="O113" s="17">
        <v>0</v>
      </c>
      <c r="P113" s="17">
        <v>360</v>
      </c>
      <c r="Q113" s="17">
        <v>6</v>
      </c>
      <c r="R113" s="13">
        <v>7.0199999999999999E-2</v>
      </c>
      <c r="S113" s="14">
        <v>45483</v>
      </c>
      <c r="T113" s="14">
        <v>56259</v>
      </c>
      <c r="U113" s="31">
        <v>45323</v>
      </c>
      <c r="V113" s="19">
        <v>1860.6574084769097</v>
      </c>
      <c r="W113" s="19">
        <v>1860.857582523671</v>
      </c>
      <c r="X113" s="32">
        <f t="shared" ref="X113:X174" si="11">W113-1</f>
        <v>1859.857582523671</v>
      </c>
      <c r="Y113" s="15">
        <v>0</v>
      </c>
      <c r="Z113" s="28">
        <v>2696</v>
      </c>
      <c r="AA113" s="33">
        <v>0.69022907363637653</v>
      </c>
      <c r="AB113" s="34">
        <v>6.5199999999999994E-2</v>
      </c>
      <c r="AC113" s="34">
        <f t="shared" si="8"/>
        <v>5.0000000000000044E-3</v>
      </c>
      <c r="AD113" s="15">
        <v>11.858879999999999</v>
      </c>
      <c r="AE113" s="15">
        <v>19.717258519058294</v>
      </c>
      <c r="AF113" s="15">
        <v>24.022735079736545</v>
      </c>
      <c r="AG113" s="15" t="s">
        <v>1029</v>
      </c>
      <c r="AH113" s="15" t="s">
        <v>148</v>
      </c>
      <c r="AP113" s="57"/>
    </row>
    <row r="114" spans="2:42" ht="15" x14ac:dyDescent="0.25">
      <c r="B114" s="15">
        <v>112</v>
      </c>
      <c r="C114" s="15" t="s">
        <v>1030</v>
      </c>
      <c r="D114" s="17">
        <f t="shared" si="10"/>
        <v>20231226678</v>
      </c>
      <c r="E114" s="15" t="s">
        <v>1031</v>
      </c>
      <c r="F114" s="15" t="s">
        <v>1032</v>
      </c>
      <c r="G114" s="15" t="s">
        <v>1033</v>
      </c>
      <c r="H114" s="15">
        <v>25719099</v>
      </c>
      <c r="I114" s="78">
        <v>4</v>
      </c>
      <c r="J114" s="26">
        <v>45286</v>
      </c>
      <c r="K114" s="28">
        <v>1792</v>
      </c>
      <c r="L114" s="28">
        <v>475</v>
      </c>
      <c r="M114" s="28">
        <v>133</v>
      </c>
      <c r="N114" s="28">
        <v>2400</v>
      </c>
      <c r="O114" s="17">
        <v>0</v>
      </c>
      <c r="P114" s="17">
        <v>360</v>
      </c>
      <c r="Q114" s="17">
        <v>6</v>
      </c>
      <c r="R114" s="13">
        <v>7.6799999999999993E-2</v>
      </c>
      <c r="S114" s="14">
        <v>45483</v>
      </c>
      <c r="T114" s="14">
        <v>56259</v>
      </c>
      <c r="U114" s="31">
        <v>45323</v>
      </c>
      <c r="V114" s="19">
        <v>1891.5410930480966</v>
      </c>
      <c r="W114" s="19">
        <v>1891.2844613704947</v>
      </c>
      <c r="X114" s="32">
        <f t="shared" si="11"/>
        <v>1890.2844613704947</v>
      </c>
      <c r="Y114" s="15">
        <v>0</v>
      </c>
      <c r="Z114" s="28">
        <v>2400</v>
      </c>
      <c r="AA114" s="33">
        <v>0.78803519223770613</v>
      </c>
      <c r="AB114" s="34">
        <v>7.1799999999999989E-2</v>
      </c>
      <c r="AC114" s="34">
        <f t="shared" si="8"/>
        <v>5.0000000000000044E-3</v>
      </c>
      <c r="AD114" s="15">
        <v>12.871936</v>
      </c>
      <c r="AE114" s="15">
        <v>36.152832745032661</v>
      </c>
      <c r="AF114" s="15">
        <v>49.127004198951738</v>
      </c>
      <c r="AG114" s="15" t="s">
        <v>1034</v>
      </c>
      <c r="AH114" s="15" t="s">
        <v>156</v>
      </c>
      <c r="AP114" s="57"/>
    </row>
    <row r="115" spans="2:42" ht="15" x14ac:dyDescent="0.25">
      <c r="B115" s="15">
        <v>113</v>
      </c>
      <c r="C115" s="15" t="s">
        <v>1035</v>
      </c>
      <c r="D115" s="17">
        <f t="shared" si="10"/>
        <v>20231226679</v>
      </c>
      <c r="F115" s="15" t="s">
        <v>1036</v>
      </c>
      <c r="G115" s="15" t="s">
        <v>1037</v>
      </c>
      <c r="H115" s="15">
        <v>19855718</v>
      </c>
      <c r="I115" s="78">
        <v>8</v>
      </c>
      <c r="J115" s="26">
        <v>45286</v>
      </c>
      <c r="K115" s="28">
        <v>1695</v>
      </c>
      <c r="L115" s="28">
        <v>425</v>
      </c>
      <c r="M115" s="28">
        <v>80</v>
      </c>
      <c r="N115" s="28">
        <v>2200</v>
      </c>
      <c r="O115" s="17">
        <v>0</v>
      </c>
      <c r="P115" s="17">
        <v>360</v>
      </c>
      <c r="Q115" s="17">
        <v>6</v>
      </c>
      <c r="R115" s="13">
        <v>7.6799999999999993E-2</v>
      </c>
      <c r="S115" s="14">
        <v>45483</v>
      </c>
      <c r="T115" s="14">
        <v>56259</v>
      </c>
      <c r="U115" s="31">
        <v>45323</v>
      </c>
      <c r="V115" s="19">
        <v>1789.1529870069887</v>
      </c>
      <c r="W115" s="19">
        <v>1789.8854759489166</v>
      </c>
      <c r="X115" s="32">
        <f t="shared" si="11"/>
        <v>1788.8854759489166</v>
      </c>
      <c r="Y115" s="15">
        <v>0</v>
      </c>
      <c r="Z115" s="28">
        <v>2200</v>
      </c>
      <c r="AA115" s="33">
        <v>0.81358430724950748</v>
      </c>
      <c r="AB115" s="34">
        <v>7.1799999999999989E-2</v>
      </c>
      <c r="AC115" s="34">
        <f t="shared" si="8"/>
        <v>5.0000000000000044E-3</v>
      </c>
      <c r="AD115" s="15">
        <v>12.175185000000001</v>
      </c>
      <c r="AE115" s="15">
        <v>24.069183418338994</v>
      </c>
      <c r="AF115" s="15">
        <v>26.116992012320466</v>
      </c>
      <c r="AG115" s="15" t="s">
        <v>1038</v>
      </c>
      <c r="AH115" s="15" t="s">
        <v>160</v>
      </c>
      <c r="AP115" s="57"/>
    </row>
    <row r="116" spans="2:42" ht="15" x14ac:dyDescent="0.25">
      <c r="B116" s="15">
        <v>114</v>
      </c>
      <c r="C116" s="15" t="s">
        <v>1039</v>
      </c>
      <c r="D116" s="17">
        <f t="shared" si="10"/>
        <v>20231226680</v>
      </c>
      <c r="E116" s="15" t="s">
        <v>1040</v>
      </c>
      <c r="F116" s="15" t="s">
        <v>1041</v>
      </c>
      <c r="G116" s="15" t="s">
        <v>1042</v>
      </c>
      <c r="H116" s="15">
        <v>19807326</v>
      </c>
      <c r="I116" s="78">
        <v>1</v>
      </c>
      <c r="J116" s="26">
        <v>45286</v>
      </c>
      <c r="K116" s="28">
        <v>810</v>
      </c>
      <c r="L116" s="28">
        <v>550</v>
      </c>
      <c r="M116" s="28">
        <v>40</v>
      </c>
      <c r="N116" s="28">
        <v>1400</v>
      </c>
      <c r="O116" s="17">
        <v>0</v>
      </c>
      <c r="P116" s="17">
        <v>360</v>
      </c>
      <c r="Q116" s="17">
        <v>6</v>
      </c>
      <c r="R116" s="13">
        <v>7.6799999999999993E-2</v>
      </c>
      <c r="S116" s="14">
        <v>45483</v>
      </c>
      <c r="T116" s="14">
        <v>56259</v>
      </c>
      <c r="U116" s="31">
        <v>45323</v>
      </c>
      <c r="V116" s="19">
        <v>854.99346281749808</v>
      </c>
      <c r="W116" s="19">
        <v>855.2658012074337</v>
      </c>
      <c r="X116" s="32">
        <f t="shared" si="11"/>
        <v>854.2658012074337</v>
      </c>
      <c r="Y116" s="15">
        <v>0</v>
      </c>
      <c r="Z116" s="28">
        <v>1400</v>
      </c>
      <c r="AA116" s="33">
        <v>0.61090414371959545</v>
      </c>
      <c r="AB116" s="34">
        <v>7.1799999999999989E-2</v>
      </c>
      <c r="AC116" s="34">
        <f t="shared" si="8"/>
        <v>5.0000000000000044E-3</v>
      </c>
      <c r="AD116" s="15">
        <v>5.8182299999999998</v>
      </c>
      <c r="AE116" s="15">
        <v>47.343354996573694</v>
      </c>
      <c r="AF116" s="15">
        <v>49.980974496628349</v>
      </c>
      <c r="AG116" s="15" t="s">
        <v>1043</v>
      </c>
      <c r="AH116" s="15" t="s">
        <v>156</v>
      </c>
      <c r="AP116" s="57"/>
    </row>
    <row r="117" spans="2:42" ht="15" x14ac:dyDescent="0.25">
      <c r="B117" s="15">
        <v>115</v>
      </c>
      <c r="C117" s="15" t="s">
        <v>1044</v>
      </c>
      <c r="D117" s="17">
        <f t="shared" si="10"/>
        <v>20231222676</v>
      </c>
      <c r="E117" s="15" t="s">
        <v>1045</v>
      </c>
      <c r="F117" s="15" t="s">
        <v>1046</v>
      </c>
      <c r="G117" s="15" t="s">
        <v>1047</v>
      </c>
      <c r="H117" s="15">
        <v>19037540</v>
      </c>
      <c r="I117" s="78">
        <v>4</v>
      </c>
      <c r="J117" s="26">
        <v>45282</v>
      </c>
      <c r="K117" s="28">
        <v>1543.18</v>
      </c>
      <c r="L117" s="28">
        <v>475</v>
      </c>
      <c r="M117" s="28">
        <v>181.81999999999994</v>
      </c>
      <c r="N117" s="28">
        <v>2200</v>
      </c>
      <c r="O117" s="17">
        <v>0</v>
      </c>
      <c r="P117" s="17">
        <v>252</v>
      </c>
      <c r="Q117" s="17">
        <v>6</v>
      </c>
      <c r="R117" s="13">
        <v>7.6799999999999993E-2</v>
      </c>
      <c r="S117" s="14">
        <v>45483</v>
      </c>
      <c r="T117" s="14">
        <v>52972</v>
      </c>
      <c r="U117" s="31">
        <v>45323</v>
      </c>
      <c r="V117" s="19">
        <v>1613.2798484828638</v>
      </c>
      <c r="W117" s="19">
        <v>1613.592412729671</v>
      </c>
      <c r="X117" s="32">
        <f t="shared" si="11"/>
        <v>1612.592412729671</v>
      </c>
      <c r="Y117" s="15">
        <v>0</v>
      </c>
      <c r="Z117" s="28">
        <v>2200</v>
      </c>
      <c r="AA117" s="33">
        <v>0.73345109669530495</v>
      </c>
      <c r="AB117" s="34">
        <v>7.1799999999999989E-2</v>
      </c>
      <c r="AC117" s="34">
        <f t="shared" si="8"/>
        <v>5.0000000000000044E-3</v>
      </c>
      <c r="AD117" s="15">
        <v>12.587719</v>
      </c>
      <c r="AE117" s="15">
        <v>43.427907075081116</v>
      </c>
      <c r="AF117" s="15">
        <v>48.494576394187177</v>
      </c>
      <c r="AG117" s="15" t="s">
        <v>1048</v>
      </c>
      <c r="AH117" s="15" t="s">
        <v>156</v>
      </c>
      <c r="AP117" s="57"/>
    </row>
    <row r="118" spans="2:42" ht="15" x14ac:dyDescent="0.25">
      <c r="B118" s="15">
        <v>116</v>
      </c>
      <c r="C118" s="15" t="s">
        <v>1049</v>
      </c>
      <c r="D118" s="17">
        <f t="shared" si="10"/>
        <v>20231222677</v>
      </c>
      <c r="E118" s="15" t="s">
        <v>1050</v>
      </c>
      <c r="F118" s="15" t="s">
        <v>1051</v>
      </c>
      <c r="G118" s="15" t="s">
        <v>1052</v>
      </c>
      <c r="H118" s="15">
        <v>16712987</v>
      </c>
      <c r="I118" s="78">
        <v>0</v>
      </c>
      <c r="J118" s="26">
        <v>45282</v>
      </c>
      <c r="K118" s="28">
        <v>1391.17</v>
      </c>
      <c r="L118" s="28">
        <v>332.5</v>
      </c>
      <c r="M118" s="28">
        <v>106.32999999999993</v>
      </c>
      <c r="N118" s="28">
        <v>1830</v>
      </c>
      <c r="O118" s="17">
        <v>0</v>
      </c>
      <c r="P118" s="17">
        <v>360</v>
      </c>
      <c r="Q118" s="17">
        <v>6</v>
      </c>
      <c r="R118" s="13">
        <v>7.6799999999999993E-2</v>
      </c>
      <c r="S118" s="14">
        <v>45483</v>
      </c>
      <c r="T118" s="14">
        <v>56259</v>
      </c>
      <c r="U118" s="31">
        <v>45323</v>
      </c>
      <c r="V118" s="19">
        <v>1468.4459785070533</v>
      </c>
      <c r="W118" s="19">
        <v>1468.0592034108784</v>
      </c>
      <c r="X118" s="32">
        <f t="shared" si="11"/>
        <v>1467.0592034108784</v>
      </c>
      <c r="Y118" s="15">
        <v>0</v>
      </c>
      <c r="Z118" s="28">
        <v>2079.0299999999997</v>
      </c>
      <c r="AA118" s="33">
        <v>0.70612699355510911</v>
      </c>
      <c r="AB118" s="34">
        <v>7.1799999999999989E-2</v>
      </c>
      <c r="AC118" s="34">
        <f t="shared" si="8"/>
        <v>5.0000000000000044E-3</v>
      </c>
      <c r="AD118" s="15">
        <v>9.9927740000000007</v>
      </c>
      <c r="AE118" s="15">
        <v>29.970077429327937</v>
      </c>
      <c r="AF118" s="15">
        <v>54.964614115557289</v>
      </c>
      <c r="AG118" s="15" t="s">
        <v>1053</v>
      </c>
      <c r="AH118" s="15" t="s">
        <v>156</v>
      </c>
      <c r="AP118" s="57"/>
    </row>
    <row r="119" spans="2:42" ht="15" x14ac:dyDescent="0.25">
      <c r="B119" s="15">
        <v>117</v>
      </c>
      <c r="C119" s="15" t="s">
        <v>1054</v>
      </c>
      <c r="D119" s="17">
        <f t="shared" si="10"/>
        <v>20231228688</v>
      </c>
      <c r="E119" s="15" t="s">
        <v>1055</v>
      </c>
      <c r="F119" s="15" t="s">
        <v>1056</v>
      </c>
      <c r="G119" s="15" t="s">
        <v>1057</v>
      </c>
      <c r="H119" s="15">
        <v>27104854</v>
      </c>
      <c r="I119" s="78">
        <v>8</v>
      </c>
      <c r="J119" s="26">
        <v>45288</v>
      </c>
      <c r="K119" s="28">
        <v>1845</v>
      </c>
      <c r="L119" s="28">
        <v>475</v>
      </c>
      <c r="M119" s="28">
        <v>80</v>
      </c>
      <c r="N119" s="28">
        <v>2400</v>
      </c>
      <c r="O119" s="17">
        <v>0</v>
      </c>
      <c r="P119" s="17">
        <v>360</v>
      </c>
      <c r="Q119" s="17">
        <v>6</v>
      </c>
      <c r="R119" s="13">
        <v>7.6799999999999993E-2</v>
      </c>
      <c r="S119" s="14">
        <v>45483</v>
      </c>
      <c r="T119" s="14">
        <v>56259</v>
      </c>
      <c r="U119" s="31">
        <v>45323</v>
      </c>
      <c r="V119" s="19">
        <v>1947.4851097509713</v>
      </c>
      <c r="W119" s="19">
        <v>1947.1263083579922</v>
      </c>
      <c r="X119" s="32">
        <f t="shared" si="11"/>
        <v>1946.1263083579922</v>
      </c>
      <c r="Y119" s="15">
        <v>0</v>
      </c>
      <c r="Z119" s="28">
        <v>2450</v>
      </c>
      <c r="AA119" s="33">
        <v>0.79474543198285397</v>
      </c>
      <c r="AB119" s="34">
        <v>7.1799999999999989E-2</v>
      </c>
      <c r="AC119" s="34">
        <f t="shared" si="8"/>
        <v>5.0000000000000044E-3</v>
      </c>
      <c r="AD119" s="15">
        <v>13.252635</v>
      </c>
      <c r="AE119" s="15">
        <v>16.498741875717286</v>
      </c>
      <c r="AF119" s="15">
        <v>30.012583134163439</v>
      </c>
      <c r="AG119" s="15" t="s">
        <v>1058</v>
      </c>
      <c r="AH119" s="15" t="s">
        <v>156</v>
      </c>
      <c r="AP119" s="57"/>
    </row>
    <row r="120" spans="2:42" ht="15" x14ac:dyDescent="0.25">
      <c r="B120" s="15">
        <v>118</v>
      </c>
      <c r="C120" s="15" t="s">
        <v>1059</v>
      </c>
      <c r="D120" s="17">
        <f t="shared" si="10"/>
        <v>20231228689</v>
      </c>
      <c r="E120" s="15" t="s">
        <v>1060</v>
      </c>
      <c r="F120" s="15" t="s">
        <v>1061</v>
      </c>
      <c r="G120" s="15" t="s">
        <v>1062</v>
      </c>
      <c r="H120" s="15">
        <v>19312615</v>
      </c>
      <c r="I120" s="78">
        <v>4</v>
      </c>
      <c r="J120" s="26">
        <v>45288</v>
      </c>
      <c r="K120" s="28">
        <v>1760</v>
      </c>
      <c r="L120" s="28">
        <v>325</v>
      </c>
      <c r="M120" s="28">
        <v>115</v>
      </c>
      <c r="N120" s="28">
        <v>2200</v>
      </c>
      <c r="O120" s="17">
        <v>0</v>
      </c>
      <c r="P120" s="17">
        <v>360</v>
      </c>
      <c r="Q120" s="17">
        <v>6</v>
      </c>
      <c r="R120" s="13">
        <v>7.6799999999999993E-2</v>
      </c>
      <c r="S120" s="14">
        <v>45483</v>
      </c>
      <c r="T120" s="14">
        <v>56259</v>
      </c>
      <c r="U120" s="31">
        <v>45323</v>
      </c>
      <c r="V120" s="19">
        <v>1857.7635735293811</v>
      </c>
      <c r="W120" s="19">
        <v>1857.4852176643344</v>
      </c>
      <c r="X120" s="32">
        <f t="shared" si="11"/>
        <v>1856.4852176643344</v>
      </c>
      <c r="Y120" s="15">
        <v>0</v>
      </c>
      <c r="Z120" s="28">
        <v>2200</v>
      </c>
      <c r="AA120" s="33">
        <v>0.84431146257469747</v>
      </c>
      <c r="AB120" s="34">
        <v>7.1799999999999989E-2</v>
      </c>
      <c r="AC120" s="34">
        <f t="shared" si="8"/>
        <v>5.0000000000000044E-3</v>
      </c>
      <c r="AD120" s="15">
        <v>12.64208</v>
      </c>
      <c r="AE120" s="15">
        <v>30.964869962136238</v>
      </c>
      <c r="AF120" s="15">
        <v>52.351881747535977</v>
      </c>
      <c r="AG120" s="15" t="s">
        <v>1063</v>
      </c>
      <c r="AH120" s="15" t="s">
        <v>290</v>
      </c>
      <c r="AP120" s="57"/>
    </row>
    <row r="121" spans="2:42" ht="15" x14ac:dyDescent="0.25">
      <c r="B121" s="15">
        <v>119</v>
      </c>
      <c r="C121" s="15" t="s">
        <v>1064</v>
      </c>
      <c r="D121" s="17">
        <f t="shared" si="10"/>
        <v>20231228690</v>
      </c>
      <c r="E121" s="15" t="s">
        <v>1065</v>
      </c>
      <c r="F121" s="15" t="s">
        <v>1066</v>
      </c>
      <c r="G121" s="15" t="s">
        <v>1067</v>
      </c>
      <c r="H121" s="15">
        <v>16150281</v>
      </c>
      <c r="I121" s="78">
        <v>2</v>
      </c>
      <c r="J121" s="26">
        <v>45288</v>
      </c>
      <c r="K121" s="28">
        <v>1845</v>
      </c>
      <c r="L121" s="28">
        <v>475</v>
      </c>
      <c r="M121" s="28">
        <v>80</v>
      </c>
      <c r="N121" s="28">
        <v>2400</v>
      </c>
      <c r="O121" s="17">
        <v>0</v>
      </c>
      <c r="P121" s="17">
        <v>360</v>
      </c>
      <c r="Q121" s="17">
        <v>6</v>
      </c>
      <c r="R121" s="13">
        <v>7.6799999999999993E-2</v>
      </c>
      <c r="S121" s="14">
        <v>45483</v>
      </c>
      <c r="T121" s="14">
        <v>56259</v>
      </c>
      <c r="U121" s="31">
        <v>45323</v>
      </c>
      <c r="V121" s="19">
        <v>1947.4851097509713</v>
      </c>
      <c r="W121" s="19">
        <v>1947.1263083579922</v>
      </c>
      <c r="X121" s="32">
        <f t="shared" si="11"/>
        <v>1946.1263083579922</v>
      </c>
      <c r="Y121" s="15">
        <v>0</v>
      </c>
      <c r="Z121" s="28">
        <v>2450</v>
      </c>
      <c r="AA121" s="33">
        <v>0.79474543198285397</v>
      </c>
      <c r="AB121" s="34">
        <v>7.1799999999999989E-2</v>
      </c>
      <c r="AC121" s="34">
        <f t="shared" si="8"/>
        <v>5.0000000000000044E-3</v>
      </c>
      <c r="AD121" s="15">
        <v>13.252635</v>
      </c>
      <c r="AE121" s="15">
        <v>33.492144571944635</v>
      </c>
      <c r="AF121" s="15">
        <v>50.81015527398953</v>
      </c>
      <c r="AG121" s="15" t="s">
        <v>1068</v>
      </c>
      <c r="AH121" s="15" t="s">
        <v>156</v>
      </c>
      <c r="AP121" s="57"/>
    </row>
    <row r="122" spans="2:42" ht="15" x14ac:dyDescent="0.25">
      <c r="B122" s="15">
        <v>120</v>
      </c>
      <c r="C122" s="15" t="s">
        <v>1069</v>
      </c>
      <c r="D122" s="17">
        <f t="shared" si="10"/>
        <v>20231227684</v>
      </c>
      <c r="E122" s="15" t="s">
        <v>1070</v>
      </c>
      <c r="F122" s="15" t="s">
        <v>1071</v>
      </c>
      <c r="G122" s="15" t="s">
        <v>1072</v>
      </c>
      <c r="H122" s="15">
        <v>19987671</v>
      </c>
      <c r="I122" s="78">
        <v>6</v>
      </c>
      <c r="J122" s="26">
        <v>45287</v>
      </c>
      <c r="K122" s="28">
        <v>1545</v>
      </c>
      <c r="L122" s="28">
        <v>700</v>
      </c>
      <c r="M122" s="28">
        <v>80</v>
      </c>
      <c r="N122" s="28">
        <v>2325</v>
      </c>
      <c r="O122" s="17">
        <v>0</v>
      </c>
      <c r="P122" s="17">
        <v>360</v>
      </c>
      <c r="Q122" s="17">
        <v>6</v>
      </c>
      <c r="R122" s="13">
        <v>7.6799999999999993E-2</v>
      </c>
      <c r="S122" s="14">
        <v>45483</v>
      </c>
      <c r="T122" s="14">
        <v>56259</v>
      </c>
      <c r="U122" s="31">
        <v>45323</v>
      </c>
      <c r="V122" s="19">
        <v>1630.82086426301</v>
      </c>
      <c r="W122" s="19">
        <v>1631.1764745777214</v>
      </c>
      <c r="X122" s="32">
        <f t="shared" si="11"/>
        <v>1630.1764745777214</v>
      </c>
      <c r="Y122" s="15">
        <v>0</v>
      </c>
      <c r="Z122" s="28">
        <v>2325</v>
      </c>
      <c r="AA122" s="33">
        <v>0.7015812793882672</v>
      </c>
      <c r="AB122" s="34">
        <v>7.1799999999999989E-2</v>
      </c>
      <c r="AC122" s="34">
        <f t="shared" si="8"/>
        <v>5.0000000000000044E-3</v>
      </c>
      <c r="AD122" s="15">
        <v>11.097735</v>
      </c>
      <c r="AE122" s="15">
        <v>22.853326319451352</v>
      </c>
      <c r="AF122" s="15">
        <v>52.756240185077218</v>
      </c>
      <c r="AG122" s="15" t="s">
        <v>1073</v>
      </c>
      <c r="AH122" s="15" t="s">
        <v>297</v>
      </c>
      <c r="AP122" s="57"/>
    </row>
    <row r="123" spans="2:42" ht="15" x14ac:dyDescent="0.25">
      <c r="B123" s="15">
        <v>121</v>
      </c>
      <c r="C123" s="15" t="s">
        <v>1074</v>
      </c>
      <c r="D123" s="17">
        <f t="shared" si="10"/>
        <v>20231229695</v>
      </c>
      <c r="E123" s="15" t="s">
        <v>1075</v>
      </c>
      <c r="F123" s="15" t="s">
        <v>1076</v>
      </c>
      <c r="G123" s="15" t="s">
        <v>1077</v>
      </c>
      <c r="H123" s="15">
        <v>19733592</v>
      </c>
      <c r="I123" s="78">
        <v>0</v>
      </c>
      <c r="J123" s="26">
        <v>45289</v>
      </c>
      <c r="K123" s="28">
        <v>1720</v>
      </c>
      <c r="L123" s="28">
        <v>325</v>
      </c>
      <c r="M123" s="28">
        <v>105</v>
      </c>
      <c r="N123" s="28">
        <v>2150</v>
      </c>
      <c r="O123" s="17">
        <v>0</v>
      </c>
      <c r="P123" s="17">
        <v>360</v>
      </c>
      <c r="Q123" s="17">
        <v>6</v>
      </c>
      <c r="R123" s="13">
        <v>7.6799999999999993E-2</v>
      </c>
      <c r="S123" s="14">
        <v>45483</v>
      </c>
      <c r="T123" s="14">
        <v>56259</v>
      </c>
      <c r="U123" s="31">
        <v>45323</v>
      </c>
      <c r="V123" s="19">
        <v>1815.5416741309843</v>
      </c>
      <c r="W123" s="19">
        <v>1814.8694343668772</v>
      </c>
      <c r="X123" s="32">
        <f t="shared" si="11"/>
        <v>1813.8694343668772</v>
      </c>
      <c r="Y123" s="15">
        <v>0</v>
      </c>
      <c r="Z123" s="28">
        <v>2150</v>
      </c>
      <c r="AA123" s="33">
        <v>0.84412531831017545</v>
      </c>
      <c r="AB123" s="34">
        <v>7.1799999999999989E-2</v>
      </c>
      <c r="AC123" s="34">
        <f t="shared" si="8"/>
        <v>5.0000000000000044E-3</v>
      </c>
      <c r="AD123" s="15">
        <v>12.354760000000001</v>
      </c>
      <c r="AE123" s="15">
        <v>22.929919654325193</v>
      </c>
      <c r="AF123" s="15">
        <v>38.811765801026802</v>
      </c>
      <c r="AG123" s="15" t="s">
        <v>1078</v>
      </c>
      <c r="AH123" s="15" t="s">
        <v>280</v>
      </c>
      <c r="AP123" s="57"/>
    </row>
    <row r="124" spans="2:42" ht="15" x14ac:dyDescent="0.25">
      <c r="B124" s="15">
        <v>122</v>
      </c>
      <c r="C124" s="15" t="s">
        <v>1079</v>
      </c>
      <c r="D124" s="17">
        <f t="shared" si="10"/>
        <v>20231227686</v>
      </c>
      <c r="E124" s="15" t="s">
        <v>1080</v>
      </c>
      <c r="F124" s="15" t="s">
        <v>1081</v>
      </c>
      <c r="G124" s="15" t="s">
        <v>1082</v>
      </c>
      <c r="H124" s="15">
        <v>13148084</v>
      </c>
      <c r="I124" s="78">
        <v>9</v>
      </c>
      <c r="J124" s="26">
        <v>45287</v>
      </c>
      <c r="K124" s="28">
        <v>1345</v>
      </c>
      <c r="L124" s="28">
        <v>700</v>
      </c>
      <c r="M124" s="28">
        <v>80</v>
      </c>
      <c r="N124" s="28">
        <v>2125</v>
      </c>
      <c r="O124" s="17">
        <v>0</v>
      </c>
      <c r="P124" s="17">
        <v>360</v>
      </c>
      <c r="Q124" s="17">
        <v>6</v>
      </c>
      <c r="R124" s="13">
        <v>7.6799999999999993E-2</v>
      </c>
      <c r="S124" s="14">
        <v>45483</v>
      </c>
      <c r="T124" s="14">
        <v>56259</v>
      </c>
      <c r="U124" s="31">
        <v>45323</v>
      </c>
      <c r="V124" s="19">
        <v>1419.711367271032</v>
      </c>
      <c r="W124" s="19">
        <v>1419.5644727494614</v>
      </c>
      <c r="X124" s="32">
        <f t="shared" si="11"/>
        <v>1418.5644727494614</v>
      </c>
      <c r="Y124" s="15">
        <v>0</v>
      </c>
      <c r="Z124" s="28">
        <v>2125</v>
      </c>
      <c r="AA124" s="33">
        <v>0.6680303401173936</v>
      </c>
      <c r="AB124" s="34">
        <v>7.1799999999999989E-2</v>
      </c>
      <c r="AC124" s="34">
        <f t="shared" si="8"/>
        <v>5.0000000000000044E-3</v>
      </c>
      <c r="AD124" s="15">
        <v>9.6611349999999998</v>
      </c>
      <c r="AE124" s="15">
        <v>21.497311174346891</v>
      </c>
      <c r="AF124" s="15">
        <v>23.222738349767429</v>
      </c>
      <c r="AG124" s="15" t="s">
        <v>1083</v>
      </c>
      <c r="AH124" s="15" t="s">
        <v>297</v>
      </c>
      <c r="AP124" s="57"/>
    </row>
    <row r="125" spans="2:42" ht="15" x14ac:dyDescent="0.25">
      <c r="B125" s="15">
        <v>123</v>
      </c>
      <c r="C125" s="15" t="s">
        <v>1084</v>
      </c>
      <c r="D125" s="17">
        <f t="shared" si="10"/>
        <v>20231229696</v>
      </c>
      <c r="E125" s="15" t="s">
        <v>1085</v>
      </c>
      <c r="F125" s="15" t="s">
        <v>1086</v>
      </c>
      <c r="G125" s="15" t="s">
        <v>1087</v>
      </c>
      <c r="H125" s="15">
        <v>18008614</v>
      </c>
      <c r="I125" s="78">
        <v>5</v>
      </c>
      <c r="J125" s="26">
        <v>45289</v>
      </c>
      <c r="K125" s="28">
        <v>1595</v>
      </c>
      <c r="L125" s="28">
        <v>650</v>
      </c>
      <c r="M125" s="28">
        <v>80</v>
      </c>
      <c r="N125" s="28">
        <v>2325</v>
      </c>
      <c r="O125" s="17">
        <v>0</v>
      </c>
      <c r="P125" s="17">
        <v>276</v>
      </c>
      <c r="Q125" s="17">
        <v>6</v>
      </c>
      <c r="R125" s="13">
        <v>7.6799999999999993E-2</v>
      </c>
      <c r="S125" s="14">
        <v>45483</v>
      </c>
      <c r="T125" s="14">
        <v>53702</v>
      </c>
      <c r="U125" s="31">
        <v>45323</v>
      </c>
      <c r="V125" s="19">
        <v>1671.5029013925973</v>
      </c>
      <c r="W125" s="19">
        <v>1671.4835503937643</v>
      </c>
      <c r="X125" s="32">
        <f t="shared" si="11"/>
        <v>1670.4835503937643</v>
      </c>
      <c r="Y125" s="15">
        <v>0</v>
      </c>
      <c r="Z125" s="28">
        <v>2325</v>
      </c>
      <c r="AA125" s="33">
        <v>0.71891765608333946</v>
      </c>
      <c r="AB125" s="34">
        <v>7.1799999999999989E-2</v>
      </c>
      <c r="AC125" s="34">
        <f t="shared" si="8"/>
        <v>5.0000000000000044E-3</v>
      </c>
      <c r="AD125" s="15">
        <v>12.53032</v>
      </c>
      <c r="AE125" s="15">
        <v>20.70673371191339</v>
      </c>
      <c r="AF125" s="15">
        <v>40.465462932046329</v>
      </c>
      <c r="AG125" s="15" t="s">
        <v>1088</v>
      </c>
      <c r="AH125" s="15" t="s">
        <v>160</v>
      </c>
      <c r="AP125" s="57"/>
    </row>
    <row r="126" spans="2:42" ht="15" x14ac:dyDescent="0.25">
      <c r="B126" s="15">
        <v>124</v>
      </c>
      <c r="C126" s="15" t="s">
        <v>1089</v>
      </c>
      <c r="D126" s="17">
        <f t="shared" si="10"/>
        <v>20231227687</v>
      </c>
      <c r="E126" s="15" t="s">
        <v>1066</v>
      </c>
      <c r="F126" s="15" t="s">
        <v>1090</v>
      </c>
      <c r="G126" s="15" t="s">
        <v>1091</v>
      </c>
      <c r="H126" s="15">
        <v>17486399</v>
      </c>
      <c r="I126" s="78">
        <v>7</v>
      </c>
      <c r="J126" s="26">
        <v>45287</v>
      </c>
      <c r="K126" s="28">
        <v>1285</v>
      </c>
      <c r="L126" s="28">
        <v>625</v>
      </c>
      <c r="M126" s="28">
        <v>80</v>
      </c>
      <c r="N126" s="28">
        <v>1990</v>
      </c>
      <c r="O126" s="17">
        <v>0</v>
      </c>
      <c r="P126" s="17">
        <v>360</v>
      </c>
      <c r="Q126" s="17">
        <v>6</v>
      </c>
      <c r="R126" s="13">
        <v>7.6799999999999993E-2</v>
      </c>
      <c r="S126" s="14">
        <v>45483</v>
      </c>
      <c r="T126" s="14">
        <v>56259</v>
      </c>
      <c r="U126" s="31">
        <v>45323</v>
      </c>
      <c r="V126" s="19">
        <v>1356.3785181734402</v>
      </c>
      <c r="W126" s="19">
        <v>1356.3755094358839</v>
      </c>
      <c r="X126" s="32">
        <f t="shared" si="11"/>
        <v>1355.3755094358839</v>
      </c>
      <c r="Y126" s="15">
        <v>0</v>
      </c>
      <c r="Z126" s="28">
        <v>2032</v>
      </c>
      <c r="AA126" s="33">
        <v>0.66750763259639956</v>
      </c>
      <c r="AB126" s="34">
        <v>7.1799999999999989E-2</v>
      </c>
      <c r="AC126" s="34">
        <f t="shared" si="8"/>
        <v>5.0000000000000044E-3</v>
      </c>
      <c r="AD126" s="15">
        <v>9.2301549999999999</v>
      </c>
      <c r="AE126" s="15">
        <v>35.916950201712126</v>
      </c>
      <c r="AF126" s="15">
        <v>46.416990842369444</v>
      </c>
      <c r="AG126" s="15" t="s">
        <v>1092</v>
      </c>
      <c r="AH126" s="15" t="s">
        <v>297</v>
      </c>
      <c r="AP126" s="57"/>
    </row>
    <row r="127" spans="2:42" ht="15" x14ac:dyDescent="0.25">
      <c r="B127" s="15">
        <v>125</v>
      </c>
      <c r="C127" s="15" t="s">
        <v>1093</v>
      </c>
      <c r="D127" s="17">
        <f t="shared" si="10"/>
        <v>20231228692</v>
      </c>
      <c r="E127" s="15" t="s">
        <v>1094</v>
      </c>
      <c r="F127" s="15" t="s">
        <v>1041</v>
      </c>
      <c r="G127" s="15" t="s">
        <v>1095</v>
      </c>
      <c r="H127" s="15">
        <v>18893903</v>
      </c>
      <c r="I127" s="78">
        <v>1</v>
      </c>
      <c r="J127" s="26">
        <v>45288</v>
      </c>
      <c r="K127" s="28">
        <v>810.05</v>
      </c>
      <c r="L127" s="28">
        <v>550</v>
      </c>
      <c r="M127" s="28">
        <v>239.95000000000005</v>
      </c>
      <c r="N127" s="28">
        <v>1600</v>
      </c>
      <c r="O127" s="17">
        <v>0</v>
      </c>
      <c r="P127" s="17">
        <v>360</v>
      </c>
      <c r="Q127" s="17">
        <v>6</v>
      </c>
      <c r="R127" s="13">
        <v>7.6799999999999993E-2</v>
      </c>
      <c r="S127" s="14">
        <v>45483</v>
      </c>
      <c r="T127" s="14">
        <v>56259</v>
      </c>
      <c r="U127" s="31">
        <v>45323</v>
      </c>
      <c r="V127" s="19">
        <v>855.04621811930883</v>
      </c>
      <c r="W127" s="19">
        <v>855.2658012074337</v>
      </c>
      <c r="X127" s="32">
        <f t="shared" si="11"/>
        <v>854.2658012074337</v>
      </c>
      <c r="Y127" s="15">
        <v>0</v>
      </c>
      <c r="Z127" s="28">
        <v>1600</v>
      </c>
      <c r="AA127" s="33">
        <v>0.53454112575464607</v>
      </c>
      <c r="AB127" s="34">
        <v>7.1799999999999989E-2</v>
      </c>
      <c r="AC127" s="34">
        <f t="shared" si="8"/>
        <v>5.0000000000000044E-3</v>
      </c>
      <c r="AD127" s="15">
        <v>5.8185890000000002</v>
      </c>
      <c r="AE127" s="15">
        <v>46.00458362549638</v>
      </c>
      <c r="AF127" s="15">
        <v>48.501083954036972</v>
      </c>
      <c r="AG127" s="15" t="s">
        <v>1096</v>
      </c>
      <c r="AH127" s="15" t="s">
        <v>156</v>
      </c>
      <c r="AP127" s="57"/>
    </row>
    <row r="128" spans="2:42" ht="15" x14ac:dyDescent="0.25">
      <c r="B128" s="15">
        <v>126</v>
      </c>
      <c r="C128" s="15" t="s">
        <v>1097</v>
      </c>
      <c r="D128" s="17">
        <f t="shared" si="10"/>
        <v>20231229697</v>
      </c>
      <c r="E128" s="15" t="s">
        <v>1098</v>
      </c>
      <c r="F128" s="15" t="s">
        <v>1099</v>
      </c>
      <c r="G128" s="15" t="s">
        <v>1100</v>
      </c>
      <c r="H128" s="15">
        <v>19389547</v>
      </c>
      <c r="I128" s="78">
        <v>6</v>
      </c>
      <c r="J128" s="26">
        <v>45289</v>
      </c>
      <c r="K128" s="28">
        <v>1010</v>
      </c>
      <c r="L128" s="28">
        <v>550</v>
      </c>
      <c r="M128" s="28">
        <v>40</v>
      </c>
      <c r="N128" s="28">
        <v>1600</v>
      </c>
      <c r="O128" s="17">
        <v>0</v>
      </c>
      <c r="P128" s="17">
        <v>360</v>
      </c>
      <c r="Q128" s="17">
        <v>6</v>
      </c>
      <c r="R128" s="13">
        <v>7.6799999999999993E-2</v>
      </c>
      <c r="S128" s="14">
        <v>45483</v>
      </c>
      <c r="T128" s="14">
        <v>56259</v>
      </c>
      <c r="U128" s="31">
        <v>45323</v>
      </c>
      <c r="V128" s="19">
        <v>1066.1029598094738</v>
      </c>
      <c r="W128" s="19">
        <v>1065.4096340735741</v>
      </c>
      <c r="X128" s="32">
        <f t="shared" si="11"/>
        <v>1064.4096340735741</v>
      </c>
      <c r="Y128" s="15">
        <v>0</v>
      </c>
      <c r="Z128" s="28">
        <v>1650</v>
      </c>
      <c r="AA128" s="33">
        <v>0.64570280852943884</v>
      </c>
      <c r="AB128" s="34">
        <v>7.1799999999999989E-2</v>
      </c>
      <c r="AC128" s="34">
        <f t="shared" si="8"/>
        <v>5.0000000000000044E-3</v>
      </c>
      <c r="AD128" s="15">
        <v>7.2548300000000001</v>
      </c>
      <c r="AE128" s="15">
        <v>43.599912369504921</v>
      </c>
      <c r="AF128" s="15">
        <v>47.50528700636962</v>
      </c>
      <c r="AG128" s="15" t="s">
        <v>1101</v>
      </c>
      <c r="AH128" s="15" t="s">
        <v>156</v>
      </c>
      <c r="AP128" s="57"/>
    </row>
    <row r="129" spans="2:42" ht="15" x14ac:dyDescent="0.25">
      <c r="B129" s="15">
        <v>127</v>
      </c>
      <c r="C129" s="15" t="s">
        <v>1102</v>
      </c>
      <c r="D129" s="17">
        <f t="shared" si="10"/>
        <v>20231229699</v>
      </c>
      <c r="E129" s="15" t="s">
        <v>1103</v>
      </c>
      <c r="F129" s="15" t="s">
        <v>1104</v>
      </c>
      <c r="G129" s="15" t="s">
        <v>1105</v>
      </c>
      <c r="H129" s="15">
        <v>17538789</v>
      </c>
      <c r="I129" s="78">
        <v>7</v>
      </c>
      <c r="J129" s="26">
        <v>45289</v>
      </c>
      <c r="K129" s="28">
        <v>1695</v>
      </c>
      <c r="L129" s="28">
        <v>425</v>
      </c>
      <c r="M129" s="28">
        <v>80</v>
      </c>
      <c r="N129" s="28">
        <v>2200</v>
      </c>
      <c r="O129" s="17">
        <v>0</v>
      </c>
      <c r="P129" s="17">
        <v>360</v>
      </c>
      <c r="Q129" s="17">
        <v>6</v>
      </c>
      <c r="R129" s="13">
        <v>7.6799999999999993E-2</v>
      </c>
      <c r="S129" s="14">
        <v>45483</v>
      </c>
      <c r="T129" s="14">
        <v>56259</v>
      </c>
      <c r="U129" s="31">
        <v>45323</v>
      </c>
      <c r="V129" s="19">
        <v>1789.1529870069887</v>
      </c>
      <c r="W129" s="19">
        <v>1789.8854759489166</v>
      </c>
      <c r="X129" s="32">
        <f t="shared" si="11"/>
        <v>1788.8854759489166</v>
      </c>
      <c r="Y129" s="15">
        <v>0</v>
      </c>
      <c r="Z129" s="28">
        <v>2200</v>
      </c>
      <c r="AA129" s="33">
        <v>0.81358430724950748</v>
      </c>
      <c r="AB129" s="34">
        <v>7.1799999999999989E-2</v>
      </c>
      <c r="AC129" s="34">
        <f t="shared" si="8"/>
        <v>5.0000000000000044E-3</v>
      </c>
      <c r="AD129" s="15">
        <v>12.175185000000001</v>
      </c>
      <c r="AE129" s="15">
        <v>22.787392101789994</v>
      </c>
      <c r="AF129" s="15">
        <v>51.632385209822409</v>
      </c>
      <c r="AG129" s="15" t="s">
        <v>1106</v>
      </c>
      <c r="AH129" s="15" t="s">
        <v>353</v>
      </c>
      <c r="AP129" s="57"/>
    </row>
    <row r="130" spans="2:42" ht="15" x14ac:dyDescent="0.25">
      <c r="B130" s="15">
        <v>128</v>
      </c>
      <c r="C130" s="15" t="s">
        <v>1107</v>
      </c>
      <c r="D130" s="17">
        <f t="shared" si="10"/>
        <v>20231228693</v>
      </c>
      <c r="E130" s="15" t="s">
        <v>1108</v>
      </c>
      <c r="F130" s="15" t="s">
        <v>1109</v>
      </c>
      <c r="G130" s="15" t="s">
        <v>1110</v>
      </c>
      <c r="H130" s="15">
        <v>11980524</v>
      </c>
      <c r="I130" s="78">
        <v>4</v>
      </c>
      <c r="J130" s="26">
        <v>45288</v>
      </c>
      <c r="K130" s="28">
        <v>971</v>
      </c>
      <c r="L130" s="28">
        <v>700</v>
      </c>
      <c r="M130" s="28">
        <v>104</v>
      </c>
      <c r="N130" s="28">
        <v>1775</v>
      </c>
      <c r="O130" s="17">
        <v>0</v>
      </c>
      <c r="P130" s="17">
        <v>228</v>
      </c>
      <c r="Q130" s="17">
        <v>6</v>
      </c>
      <c r="R130" s="13">
        <v>7.6799999999999993E-2</v>
      </c>
      <c r="S130" s="14">
        <v>45483</v>
      </c>
      <c r="T130" s="14">
        <v>52241</v>
      </c>
      <c r="U130" s="31">
        <v>45323</v>
      </c>
      <c r="V130" s="19">
        <v>1012.4597727146892</v>
      </c>
      <c r="W130" s="19">
        <v>1012.5434582881718</v>
      </c>
      <c r="X130" s="32">
        <f t="shared" si="11"/>
        <v>1011.5434582881718</v>
      </c>
      <c r="Y130" s="15">
        <v>0</v>
      </c>
      <c r="Z130" s="28">
        <v>1889</v>
      </c>
      <c r="AA130" s="33">
        <v>0.53602088845324081</v>
      </c>
      <c r="AB130" s="34">
        <v>7.1799999999999989E-2</v>
      </c>
      <c r="AC130" s="34">
        <f t="shared" si="8"/>
        <v>5.0000000000000044E-3</v>
      </c>
      <c r="AD130" s="15">
        <v>8.2894269999999999</v>
      </c>
      <c r="AE130" s="15">
        <v>22.89340503364453</v>
      </c>
      <c r="AF130" s="15">
        <v>29.714450818931994</v>
      </c>
      <c r="AG130" s="15" t="s">
        <v>1111</v>
      </c>
      <c r="AH130" s="15" t="s">
        <v>297</v>
      </c>
      <c r="AP130" s="57"/>
    </row>
    <row r="131" spans="2:42" ht="15" x14ac:dyDescent="0.25">
      <c r="B131" s="15">
        <v>129</v>
      </c>
      <c r="C131" s="15" t="s">
        <v>1112</v>
      </c>
      <c r="D131" s="17">
        <f t="shared" si="10"/>
        <v>20231229700</v>
      </c>
      <c r="E131" s="15" t="s">
        <v>1113</v>
      </c>
      <c r="F131" s="15" t="s">
        <v>1114</v>
      </c>
      <c r="G131" s="15" t="s">
        <v>1115</v>
      </c>
      <c r="H131" s="15">
        <v>19071988</v>
      </c>
      <c r="I131" s="78" t="s">
        <v>23</v>
      </c>
      <c r="J131" s="26">
        <v>45289</v>
      </c>
      <c r="K131" s="28">
        <v>1695</v>
      </c>
      <c r="L131" s="28">
        <v>425</v>
      </c>
      <c r="M131" s="28">
        <v>80</v>
      </c>
      <c r="N131" s="28">
        <v>2200</v>
      </c>
      <c r="O131" s="17">
        <v>0</v>
      </c>
      <c r="P131" s="17">
        <v>360</v>
      </c>
      <c r="Q131" s="17">
        <v>6</v>
      </c>
      <c r="R131" s="13">
        <v>7.6799999999999993E-2</v>
      </c>
      <c r="S131" s="14">
        <v>45483</v>
      </c>
      <c r="T131" s="14">
        <v>56259</v>
      </c>
      <c r="U131" s="31">
        <v>45323</v>
      </c>
      <c r="V131" s="19">
        <v>1789.1529870069887</v>
      </c>
      <c r="W131" s="19">
        <v>1789.8854759489166</v>
      </c>
      <c r="X131" s="32">
        <f t="shared" si="11"/>
        <v>1788.8854759489166</v>
      </c>
      <c r="Y131" s="15">
        <v>0</v>
      </c>
      <c r="Z131" s="28">
        <v>2200</v>
      </c>
      <c r="AA131" s="33">
        <v>0.81358430724950748</v>
      </c>
      <c r="AB131" s="34">
        <v>7.1799999999999989E-2</v>
      </c>
      <c r="AC131" s="34">
        <f t="shared" ref="AC131:AC174" si="12">+IF(AB131="","",R131-AB131)</f>
        <v>5.0000000000000044E-3</v>
      </c>
      <c r="AD131" s="15">
        <v>12.175185000000001</v>
      </c>
      <c r="AE131" s="15">
        <v>25.973103815844524</v>
      </c>
      <c r="AF131" s="15">
        <v>52.980479764878254</v>
      </c>
      <c r="AG131" s="15" t="s">
        <v>1116</v>
      </c>
      <c r="AH131" s="15" t="s">
        <v>353</v>
      </c>
      <c r="AP131" s="57"/>
    </row>
    <row r="132" spans="2:42" ht="15" x14ac:dyDescent="0.25">
      <c r="B132" s="15">
        <v>130</v>
      </c>
      <c r="C132" s="15" t="s">
        <v>1117</v>
      </c>
      <c r="D132" s="17">
        <f t="shared" si="10"/>
        <v>20231229701</v>
      </c>
      <c r="E132" s="15" t="s">
        <v>1118</v>
      </c>
      <c r="F132" s="15" t="s">
        <v>1119</v>
      </c>
      <c r="G132" s="15" t="s">
        <v>1120</v>
      </c>
      <c r="H132" s="15">
        <v>19234146</v>
      </c>
      <c r="I132" s="78">
        <v>9</v>
      </c>
      <c r="J132" s="26">
        <v>45289</v>
      </c>
      <c r="K132" s="28">
        <v>1728</v>
      </c>
      <c r="L132" s="28">
        <v>250</v>
      </c>
      <c r="M132" s="28">
        <v>182</v>
      </c>
      <c r="N132" s="28">
        <v>2160</v>
      </c>
      <c r="O132" s="17">
        <v>0</v>
      </c>
      <c r="P132" s="17">
        <v>360</v>
      </c>
      <c r="Q132" s="17">
        <v>6</v>
      </c>
      <c r="R132" s="13">
        <v>7.6799999999999993E-2</v>
      </c>
      <c r="S132" s="14">
        <v>45483</v>
      </c>
      <c r="T132" s="14">
        <v>56259</v>
      </c>
      <c r="U132" s="31">
        <v>45323</v>
      </c>
      <c r="V132" s="19">
        <v>1823.9860540106638</v>
      </c>
      <c r="W132" s="19">
        <v>1823.6859739581737</v>
      </c>
      <c r="X132" s="32">
        <f t="shared" si="11"/>
        <v>1822.6859739581737</v>
      </c>
      <c r="Y132" s="15">
        <v>0</v>
      </c>
      <c r="Z132" s="28">
        <v>2205</v>
      </c>
      <c r="AA132" s="33">
        <v>0.82706846891527153</v>
      </c>
      <c r="AB132" s="34">
        <v>7.1799999999999989E-2</v>
      </c>
      <c r="AC132" s="34">
        <f t="shared" si="12"/>
        <v>5.0000000000000044E-3</v>
      </c>
      <c r="AD132" s="15">
        <v>12.412224</v>
      </c>
      <c r="AE132" s="15">
        <v>33.006455187853099</v>
      </c>
      <c r="AF132" s="15">
        <v>47.128801835765927</v>
      </c>
      <c r="AG132" s="15" t="s">
        <v>1121</v>
      </c>
      <c r="AH132" s="15" t="s">
        <v>291</v>
      </c>
      <c r="AP132" s="57"/>
    </row>
    <row r="133" spans="2:42" ht="15" x14ac:dyDescent="0.25">
      <c r="B133" s="15">
        <v>131</v>
      </c>
      <c r="C133" s="15" t="s">
        <v>1122</v>
      </c>
      <c r="D133" s="17">
        <f t="shared" si="10"/>
        <v>20231229703</v>
      </c>
      <c r="E133" s="15" t="s">
        <v>1123</v>
      </c>
      <c r="F133" s="15" t="s">
        <v>1124</v>
      </c>
      <c r="G133" s="15" t="s">
        <v>1125</v>
      </c>
      <c r="H133" s="15">
        <v>16885225</v>
      </c>
      <c r="I133" s="78">
        <v>8</v>
      </c>
      <c r="J133" s="26">
        <v>45289</v>
      </c>
      <c r="K133" s="28">
        <v>1545</v>
      </c>
      <c r="L133" s="28">
        <v>700</v>
      </c>
      <c r="M133" s="28">
        <v>80</v>
      </c>
      <c r="N133" s="28">
        <v>2325</v>
      </c>
      <c r="O133" s="17">
        <v>0</v>
      </c>
      <c r="P133" s="17">
        <v>360</v>
      </c>
      <c r="Q133" s="17">
        <v>6</v>
      </c>
      <c r="R133" s="13">
        <v>7.6799999999999993E-2</v>
      </c>
      <c r="S133" s="14">
        <v>45483</v>
      </c>
      <c r="T133" s="14">
        <v>56259</v>
      </c>
      <c r="U133" s="31">
        <v>45323</v>
      </c>
      <c r="V133" s="19">
        <v>1630.82086426301</v>
      </c>
      <c r="W133" s="19">
        <v>1631.1764745777214</v>
      </c>
      <c r="X133" s="32">
        <f t="shared" si="11"/>
        <v>1630.1764745777214</v>
      </c>
      <c r="Y133" s="15">
        <v>0</v>
      </c>
      <c r="Z133" s="28">
        <v>2325</v>
      </c>
      <c r="AA133" s="33">
        <v>0.7015812793882672</v>
      </c>
      <c r="AB133" s="34">
        <v>7.1799999999999989E-2</v>
      </c>
      <c r="AC133" s="34">
        <f t="shared" si="12"/>
        <v>5.0000000000000044E-3</v>
      </c>
      <c r="AD133" s="15">
        <v>11.097735</v>
      </c>
      <c r="AE133" s="15">
        <v>32.664783829926186</v>
      </c>
      <c r="AF133" s="15">
        <v>39.01732219272715</v>
      </c>
      <c r="AG133" s="15" t="s">
        <v>1126</v>
      </c>
      <c r="AH133" s="15" t="s">
        <v>297</v>
      </c>
      <c r="AP133" s="57"/>
    </row>
    <row r="134" spans="2:42" ht="15" x14ac:dyDescent="0.25">
      <c r="B134" s="15">
        <v>132</v>
      </c>
      <c r="C134" s="15" t="s">
        <v>1127</v>
      </c>
      <c r="D134" s="17">
        <f t="shared" si="10"/>
        <v>20231229705</v>
      </c>
      <c r="E134" s="15" t="s">
        <v>1123</v>
      </c>
      <c r="F134" s="15" t="s">
        <v>1128</v>
      </c>
      <c r="G134" s="15" t="s">
        <v>1129</v>
      </c>
      <c r="H134" s="15">
        <v>19389310</v>
      </c>
      <c r="I134" s="78">
        <v>4</v>
      </c>
      <c r="J134" s="26">
        <v>45289</v>
      </c>
      <c r="K134" s="28">
        <v>1705</v>
      </c>
      <c r="L134" s="28">
        <v>475</v>
      </c>
      <c r="M134" s="28">
        <v>100</v>
      </c>
      <c r="N134" s="28">
        <v>2280</v>
      </c>
      <c r="O134" s="17">
        <v>0</v>
      </c>
      <c r="P134" s="17">
        <v>360</v>
      </c>
      <c r="Q134" s="17">
        <v>6</v>
      </c>
      <c r="R134" s="13">
        <v>7.6799999999999993E-2</v>
      </c>
      <c r="S134" s="14">
        <v>45483</v>
      </c>
      <c r="T134" s="14">
        <v>56259</v>
      </c>
      <c r="U134" s="31">
        <v>45323</v>
      </c>
      <c r="V134" s="19">
        <v>1799.708461856585</v>
      </c>
      <c r="W134" s="19">
        <v>1800.172693108525</v>
      </c>
      <c r="X134" s="32">
        <f t="shared" si="11"/>
        <v>1799.172693108525</v>
      </c>
      <c r="Y134" s="15">
        <v>0</v>
      </c>
      <c r="Z134" s="28">
        <v>2300</v>
      </c>
      <c r="AA134" s="33">
        <v>0.78268377961240221</v>
      </c>
      <c r="AB134" s="34">
        <v>7.1799999999999989E-2</v>
      </c>
      <c r="AC134" s="34">
        <f t="shared" si="12"/>
        <v>5.0000000000000044E-3</v>
      </c>
      <c r="AD134" s="15">
        <v>12.247014999999999</v>
      </c>
      <c r="AE134" s="15">
        <v>44.575692965696213</v>
      </c>
      <c r="AF134" s="15">
        <v>50.048960397167029</v>
      </c>
      <c r="AG134" s="15" t="s">
        <v>1130</v>
      </c>
      <c r="AH134" s="15" t="s">
        <v>156</v>
      </c>
      <c r="AP134" s="57"/>
    </row>
    <row r="135" spans="2:42" ht="15" x14ac:dyDescent="0.25">
      <c r="B135" s="15">
        <v>133</v>
      </c>
      <c r="C135" s="15" t="s">
        <v>1131</v>
      </c>
      <c r="D135" s="17">
        <f t="shared" si="10"/>
        <v>20231229709</v>
      </c>
      <c r="E135" s="15" t="s">
        <v>1132</v>
      </c>
      <c r="F135" s="15" t="s">
        <v>1133</v>
      </c>
      <c r="G135" s="15" t="s">
        <v>1134</v>
      </c>
      <c r="H135" s="15">
        <v>18033912</v>
      </c>
      <c r="I135" s="78">
        <v>4</v>
      </c>
      <c r="J135" s="26">
        <v>45289</v>
      </c>
      <c r="K135" s="28">
        <v>1642</v>
      </c>
      <c r="L135" s="28">
        <v>600</v>
      </c>
      <c r="M135" s="28">
        <v>100</v>
      </c>
      <c r="N135" s="28">
        <v>2342</v>
      </c>
      <c r="O135" s="17">
        <v>0</v>
      </c>
      <c r="P135" s="17">
        <v>324</v>
      </c>
      <c r="Q135" s="17">
        <v>6</v>
      </c>
      <c r="R135" s="13">
        <v>7.6799999999999993E-2</v>
      </c>
      <c r="S135" s="14">
        <v>45483</v>
      </c>
      <c r="T135" s="14">
        <v>55163</v>
      </c>
      <c r="U135" s="31">
        <v>45323</v>
      </c>
      <c r="V135" s="19">
        <v>1728.2725397528218</v>
      </c>
      <c r="W135" s="19">
        <v>1728.7119573736736</v>
      </c>
      <c r="X135" s="32">
        <f t="shared" si="11"/>
        <v>1727.7119573736736</v>
      </c>
      <c r="Y135" s="15">
        <v>0</v>
      </c>
      <c r="Z135" s="28">
        <v>2470</v>
      </c>
      <c r="AA135" s="33">
        <v>0.69988338355209456</v>
      </c>
      <c r="AB135" s="34">
        <v>7.1799999999999989E-2</v>
      </c>
      <c r="AC135" s="34">
        <f t="shared" si="12"/>
        <v>5.0000000000000044E-3</v>
      </c>
      <c r="AD135" s="15">
        <v>12.177072000000001</v>
      </c>
      <c r="AE135" s="15">
        <v>26.989648897666584</v>
      </c>
      <c r="AF135" s="15">
        <v>47.228518233421987</v>
      </c>
      <c r="AG135" s="15" t="s">
        <v>1135</v>
      </c>
      <c r="AH135" s="15" t="s">
        <v>214</v>
      </c>
      <c r="AP135" s="57"/>
    </row>
    <row r="136" spans="2:42" ht="15" x14ac:dyDescent="0.25">
      <c r="B136" s="15">
        <v>134</v>
      </c>
      <c r="C136" s="15" t="s">
        <v>1136</v>
      </c>
      <c r="D136" s="17">
        <f t="shared" si="10"/>
        <v>20231229730</v>
      </c>
      <c r="E136" s="15" t="s">
        <v>1137</v>
      </c>
      <c r="F136" s="15" t="s">
        <v>1138</v>
      </c>
      <c r="G136" s="15" t="s">
        <v>1139</v>
      </c>
      <c r="H136" s="15">
        <v>19123577</v>
      </c>
      <c r="I136" s="78">
        <v>0</v>
      </c>
      <c r="J136" s="26">
        <v>45289</v>
      </c>
      <c r="K136" s="28">
        <v>952.39</v>
      </c>
      <c r="L136" s="28">
        <v>625</v>
      </c>
      <c r="M136" s="28">
        <v>22.610000000000014</v>
      </c>
      <c r="N136" s="28">
        <v>1600</v>
      </c>
      <c r="O136" s="17">
        <v>0</v>
      </c>
      <c r="P136" s="17">
        <v>360</v>
      </c>
      <c r="Q136" s="17">
        <v>6</v>
      </c>
      <c r="R136" s="13">
        <v>7.6799999999999993E-2</v>
      </c>
      <c r="S136" s="14">
        <v>45483</v>
      </c>
      <c r="T136" s="14">
        <v>56259</v>
      </c>
      <c r="U136" s="31">
        <v>45323</v>
      </c>
      <c r="V136" s="19">
        <v>1005.2928148393423</v>
      </c>
      <c r="W136" s="19">
        <v>1005.1582629873326</v>
      </c>
      <c r="X136" s="32">
        <f t="shared" si="11"/>
        <v>1004.1582629873326</v>
      </c>
      <c r="Y136" s="15">
        <v>0</v>
      </c>
      <c r="Z136" s="28">
        <v>1600</v>
      </c>
      <c r="AA136" s="33">
        <v>0.62822391436708291</v>
      </c>
      <c r="AB136" s="34">
        <v>7.1799999999999989E-2</v>
      </c>
      <c r="AC136" s="34">
        <f t="shared" si="12"/>
        <v>5.0000000000000044E-3</v>
      </c>
      <c r="AD136" s="15">
        <v>6.8410169999999999</v>
      </c>
      <c r="AE136" s="15">
        <v>42.086804388148899</v>
      </c>
      <c r="AF136" s="15">
        <v>44.718295316815777</v>
      </c>
      <c r="AG136" s="15" t="s">
        <v>1140</v>
      </c>
      <c r="AH136" s="15" t="s">
        <v>448</v>
      </c>
      <c r="AP136" s="57"/>
    </row>
    <row r="137" spans="2:42" ht="15" x14ac:dyDescent="0.25">
      <c r="B137" s="15">
        <v>135</v>
      </c>
      <c r="C137" s="15" t="s">
        <v>1141</v>
      </c>
      <c r="D137" s="17">
        <f t="shared" si="10"/>
        <v>20231229711</v>
      </c>
      <c r="E137" s="15" t="s">
        <v>360</v>
      </c>
      <c r="F137" s="15" t="s">
        <v>1142</v>
      </c>
      <c r="G137" s="15" t="s">
        <v>1143</v>
      </c>
      <c r="H137" s="15">
        <v>9205121</v>
      </c>
      <c r="I137" s="78">
        <v>8</v>
      </c>
      <c r="J137" s="26">
        <v>45289</v>
      </c>
      <c r="K137" s="28">
        <v>1225</v>
      </c>
      <c r="L137" s="28">
        <v>625</v>
      </c>
      <c r="M137" s="28">
        <v>80</v>
      </c>
      <c r="N137" s="28">
        <v>1930</v>
      </c>
      <c r="O137" s="17">
        <v>0</v>
      </c>
      <c r="P137" s="17">
        <v>204</v>
      </c>
      <c r="Q137" s="17">
        <v>6</v>
      </c>
      <c r="R137" s="13">
        <v>7.6799999999999993E-2</v>
      </c>
      <c r="S137" s="14">
        <v>45483</v>
      </c>
      <c r="T137" s="14">
        <v>51511</v>
      </c>
      <c r="U137" s="31">
        <v>45323</v>
      </c>
      <c r="V137" s="19">
        <v>1273.7390198268226</v>
      </c>
      <c r="W137" s="19">
        <v>1273.2488370169442</v>
      </c>
      <c r="X137" s="32">
        <f t="shared" si="11"/>
        <v>1272.2488370169442</v>
      </c>
      <c r="Y137" s="15">
        <v>0</v>
      </c>
      <c r="Z137" s="28">
        <v>2033</v>
      </c>
      <c r="AA137" s="33">
        <v>0.62629062322525542</v>
      </c>
      <c r="AB137" s="34">
        <v>7.1799999999999989E-2</v>
      </c>
      <c r="AC137" s="34">
        <f t="shared" si="12"/>
        <v>5.0000000000000044E-3</v>
      </c>
      <c r="AD137" s="15">
        <v>11.054399999999999</v>
      </c>
      <c r="AE137" s="15">
        <v>27.862303413182211</v>
      </c>
      <c r="AF137" s="15">
        <v>29.084766384316485</v>
      </c>
      <c r="AG137" s="15" t="s">
        <v>1144</v>
      </c>
      <c r="AH137" s="15" t="s">
        <v>297</v>
      </c>
      <c r="AP137" s="57"/>
    </row>
    <row r="138" spans="2:42" ht="15" x14ac:dyDescent="0.25">
      <c r="B138" s="15">
        <v>136</v>
      </c>
      <c r="C138" s="15" t="s">
        <v>1145</v>
      </c>
      <c r="D138" s="17">
        <f t="shared" si="10"/>
        <v>20231229712</v>
      </c>
      <c r="E138" s="15" t="s">
        <v>1146</v>
      </c>
      <c r="F138" s="15" t="s">
        <v>1147</v>
      </c>
      <c r="G138" s="15" t="s">
        <v>1148</v>
      </c>
      <c r="H138" s="15">
        <v>14901642</v>
      </c>
      <c r="I138" s="78">
        <v>2</v>
      </c>
      <c r="J138" s="26">
        <v>45289</v>
      </c>
      <c r="K138" s="28">
        <v>1645</v>
      </c>
      <c r="L138" s="28">
        <v>475</v>
      </c>
      <c r="M138" s="28">
        <v>80</v>
      </c>
      <c r="N138" s="28">
        <v>2200</v>
      </c>
      <c r="O138" s="17">
        <v>0</v>
      </c>
      <c r="P138" s="17">
        <v>336</v>
      </c>
      <c r="Q138" s="17">
        <v>6</v>
      </c>
      <c r="R138" s="13">
        <v>7.6799999999999993E-2</v>
      </c>
      <c r="S138" s="14">
        <v>45483</v>
      </c>
      <c r="T138" s="14">
        <v>55528</v>
      </c>
      <c r="U138" s="31">
        <v>45323</v>
      </c>
      <c r="V138" s="19">
        <v>1733.1476665931739</v>
      </c>
      <c r="W138" s="19">
        <v>1733.244641574677</v>
      </c>
      <c r="X138" s="32">
        <f t="shared" si="11"/>
        <v>1732.244641574677</v>
      </c>
      <c r="Y138" s="15">
        <v>0</v>
      </c>
      <c r="Z138" s="28">
        <v>2200</v>
      </c>
      <c r="AA138" s="33">
        <v>0.78783847344303504</v>
      </c>
      <c r="AB138" s="34">
        <v>7.1799999999999989E-2</v>
      </c>
      <c r="AC138" s="34">
        <f t="shared" si="12"/>
        <v>5.0000000000000044E-3</v>
      </c>
      <c r="AD138" s="15">
        <v>12.059495</v>
      </c>
      <c r="AE138" s="15">
        <v>41.823841444711512</v>
      </c>
      <c r="AF138" s="15">
        <v>54.866908671171629</v>
      </c>
      <c r="AG138" s="15" t="s">
        <v>1149</v>
      </c>
      <c r="AH138" s="15" t="s">
        <v>156</v>
      </c>
      <c r="AP138" s="57"/>
    </row>
    <row r="139" spans="2:42" ht="15" x14ac:dyDescent="0.25">
      <c r="B139" s="15">
        <v>137</v>
      </c>
      <c r="C139" s="15" t="s">
        <v>1150</v>
      </c>
      <c r="D139" s="17">
        <f t="shared" si="10"/>
        <v>20231229713</v>
      </c>
      <c r="E139" s="15" t="s">
        <v>1151</v>
      </c>
      <c r="F139" s="15" t="s">
        <v>1152</v>
      </c>
      <c r="G139" s="15" t="s">
        <v>1153</v>
      </c>
      <c r="H139" s="15">
        <v>26014490</v>
      </c>
      <c r="I139" s="78">
        <v>1</v>
      </c>
      <c r="J139" s="26">
        <v>45289</v>
      </c>
      <c r="K139" s="28">
        <v>1635</v>
      </c>
      <c r="L139" s="28">
        <v>425</v>
      </c>
      <c r="M139" s="28">
        <v>140</v>
      </c>
      <c r="N139" s="28">
        <v>2200</v>
      </c>
      <c r="O139" s="17">
        <v>0</v>
      </c>
      <c r="P139" s="17">
        <v>324</v>
      </c>
      <c r="Q139" s="17">
        <v>6</v>
      </c>
      <c r="R139" s="13">
        <v>7.6799999999999993E-2</v>
      </c>
      <c r="S139" s="14">
        <v>45483</v>
      </c>
      <c r="T139" s="14">
        <v>55163</v>
      </c>
      <c r="U139" s="31">
        <v>45323</v>
      </c>
      <c r="V139" s="19">
        <v>1720.9047518245216</v>
      </c>
      <c r="W139" s="19">
        <v>1721.6154957330891</v>
      </c>
      <c r="X139" s="32">
        <f t="shared" si="11"/>
        <v>1720.6154957330891</v>
      </c>
      <c r="Y139" s="15">
        <v>0</v>
      </c>
      <c r="Z139" s="28">
        <v>2200</v>
      </c>
      <c r="AA139" s="33">
        <v>0.78255249806049509</v>
      </c>
      <c r="AB139" s="34">
        <v>7.1799999999999989E-2</v>
      </c>
      <c r="AC139" s="34">
        <f t="shared" si="12"/>
        <v>5.0000000000000044E-3</v>
      </c>
      <c r="AD139" s="15">
        <v>12.125159999999999</v>
      </c>
      <c r="AE139" s="15">
        <v>12.342015993231032</v>
      </c>
      <c r="AF139" s="15">
        <v>14.814115770599489</v>
      </c>
      <c r="AG139" s="15" t="s">
        <v>1154</v>
      </c>
      <c r="AH139" s="15" t="s">
        <v>353</v>
      </c>
      <c r="AP139" s="57"/>
    </row>
    <row r="140" spans="2:42" ht="15" x14ac:dyDescent="0.25">
      <c r="B140" s="15">
        <v>138</v>
      </c>
      <c r="C140" s="15" t="s">
        <v>1155</v>
      </c>
      <c r="D140" s="17">
        <f t="shared" si="10"/>
        <v>20231229731</v>
      </c>
      <c r="E140" s="15" t="s">
        <v>1156</v>
      </c>
      <c r="F140" s="15" t="s">
        <v>1157</v>
      </c>
      <c r="G140" s="15" t="s">
        <v>1158</v>
      </c>
      <c r="H140" s="15">
        <v>25845511</v>
      </c>
      <c r="I140" s="78">
        <v>8</v>
      </c>
      <c r="J140" s="26">
        <v>45289</v>
      </c>
      <c r="K140" s="28">
        <v>990</v>
      </c>
      <c r="L140" s="28">
        <v>550</v>
      </c>
      <c r="M140" s="28">
        <v>40</v>
      </c>
      <c r="N140" s="28">
        <v>1580</v>
      </c>
      <c r="O140" s="17">
        <v>0</v>
      </c>
      <c r="P140" s="17">
        <v>348</v>
      </c>
      <c r="Q140" s="17">
        <v>6</v>
      </c>
      <c r="R140" s="13">
        <v>7.6799999999999993E-2</v>
      </c>
      <c r="S140" s="14">
        <v>45483</v>
      </c>
      <c r="T140" s="14">
        <v>55894</v>
      </c>
      <c r="U140" s="31">
        <v>45323</v>
      </c>
      <c r="V140" s="19">
        <v>1044.0325367057094</v>
      </c>
      <c r="W140" s="19">
        <v>1043.8358922933808</v>
      </c>
      <c r="X140" s="32">
        <f t="shared" si="11"/>
        <v>1042.8358922933808</v>
      </c>
      <c r="Y140" s="15">
        <v>0</v>
      </c>
      <c r="Z140" s="28">
        <v>1580</v>
      </c>
      <c r="AA140" s="33">
        <v>0.6606556280337853</v>
      </c>
      <c r="AB140" s="34">
        <v>7.1799999999999989E-2</v>
      </c>
      <c r="AC140" s="34">
        <f t="shared" si="12"/>
        <v>5.0000000000000044E-3</v>
      </c>
      <c r="AD140" s="15">
        <v>7.1814600000000004</v>
      </c>
      <c r="AE140" s="15">
        <v>27.564806065492757</v>
      </c>
      <c r="AF140" s="15">
        <v>30.288865598553876</v>
      </c>
      <c r="AG140" s="15" t="s">
        <v>1159</v>
      </c>
      <c r="AH140" s="15" t="s">
        <v>156</v>
      </c>
      <c r="AP140" s="57"/>
    </row>
    <row r="141" spans="2:42" ht="15" x14ac:dyDescent="0.25">
      <c r="B141" s="15">
        <v>139</v>
      </c>
      <c r="C141" s="15" t="s">
        <v>1160</v>
      </c>
      <c r="D141" s="17">
        <f t="shared" si="10"/>
        <v>20231229715</v>
      </c>
      <c r="E141" s="15" t="s">
        <v>1040</v>
      </c>
      <c r="F141" s="15" t="s">
        <v>1161</v>
      </c>
      <c r="G141" s="15" t="s">
        <v>1162</v>
      </c>
      <c r="H141" s="15">
        <v>19304950</v>
      </c>
      <c r="I141" s="78">
        <v>8</v>
      </c>
      <c r="J141" s="26">
        <v>45289</v>
      </c>
      <c r="K141" s="28">
        <v>1704.31</v>
      </c>
      <c r="L141" s="28">
        <v>425</v>
      </c>
      <c r="M141" s="28">
        <v>70.690000000000055</v>
      </c>
      <c r="N141" s="28">
        <v>2200</v>
      </c>
      <c r="O141" s="17">
        <v>0</v>
      </c>
      <c r="P141" s="17">
        <v>360</v>
      </c>
      <c r="Q141" s="17">
        <v>6</v>
      </c>
      <c r="R141" s="13">
        <v>7.6799999999999993E-2</v>
      </c>
      <c r="S141" s="14">
        <v>45483</v>
      </c>
      <c r="T141" s="14">
        <v>56259</v>
      </c>
      <c r="U141" s="31">
        <v>45323</v>
      </c>
      <c r="V141" s="19">
        <v>1798.9801736967224</v>
      </c>
      <c r="W141" s="19">
        <v>1798.703269843309</v>
      </c>
      <c r="X141" s="32">
        <f t="shared" si="11"/>
        <v>1797.703269843309</v>
      </c>
      <c r="Y141" s="15">
        <v>0</v>
      </c>
      <c r="Z141" s="28">
        <v>2350.38</v>
      </c>
      <c r="AA141" s="33">
        <v>0.76528189903050103</v>
      </c>
      <c r="AB141" s="34">
        <v>7.1799999999999989E-2</v>
      </c>
      <c r="AC141" s="34">
        <f t="shared" si="12"/>
        <v>5.0000000000000044E-3</v>
      </c>
      <c r="AD141" s="15">
        <v>12.242058999999999</v>
      </c>
      <c r="AE141" s="15">
        <v>31.18694051243482</v>
      </c>
      <c r="AF141" s="15">
        <v>33.261366649412885</v>
      </c>
      <c r="AG141" s="15" t="s">
        <v>1163</v>
      </c>
      <c r="AH141" s="15" t="s">
        <v>151</v>
      </c>
      <c r="AP141" s="57"/>
    </row>
    <row r="142" spans="2:42" ht="15" x14ac:dyDescent="0.25">
      <c r="B142" s="15">
        <v>140</v>
      </c>
      <c r="C142" s="15" t="s">
        <v>1164</v>
      </c>
      <c r="D142" s="17">
        <f t="shared" si="10"/>
        <v>20231229716</v>
      </c>
      <c r="E142" s="15" t="s">
        <v>1165</v>
      </c>
      <c r="F142" s="15" t="s">
        <v>1166</v>
      </c>
      <c r="G142" s="15" t="s">
        <v>1167</v>
      </c>
      <c r="H142" s="15">
        <v>19944585</v>
      </c>
      <c r="I142" s="78">
        <v>5</v>
      </c>
      <c r="J142" s="26">
        <v>45289</v>
      </c>
      <c r="K142" s="28">
        <v>1670</v>
      </c>
      <c r="L142" s="28">
        <v>650</v>
      </c>
      <c r="M142" s="28">
        <v>80</v>
      </c>
      <c r="N142" s="28">
        <v>2400</v>
      </c>
      <c r="O142" s="17">
        <v>0</v>
      </c>
      <c r="P142" s="17">
        <v>360</v>
      </c>
      <c r="Q142" s="17">
        <v>6</v>
      </c>
      <c r="R142" s="13">
        <v>7.6799999999999993E-2</v>
      </c>
      <c r="S142" s="14">
        <v>45483</v>
      </c>
      <c r="T142" s="14">
        <v>56259</v>
      </c>
      <c r="U142" s="31">
        <v>45323</v>
      </c>
      <c r="V142" s="19">
        <v>1762.764299882992</v>
      </c>
      <c r="W142" s="19">
        <v>1763.4346028719324</v>
      </c>
      <c r="X142" s="32">
        <f t="shared" si="11"/>
        <v>1762.4346028719324</v>
      </c>
      <c r="Y142" s="15">
        <v>0</v>
      </c>
      <c r="Z142" s="28">
        <v>2400</v>
      </c>
      <c r="AA142" s="33">
        <v>0.73476441786330515</v>
      </c>
      <c r="AB142" s="34">
        <v>7.1799999999999989E-2</v>
      </c>
      <c r="AC142" s="34">
        <f t="shared" si="12"/>
        <v>5.0000000000000044E-3</v>
      </c>
      <c r="AD142" s="15">
        <v>11.995609999999999</v>
      </c>
      <c r="AE142" s="15">
        <v>38.591263084951386</v>
      </c>
      <c r="AF142" s="15">
        <v>44.97968840481402</v>
      </c>
      <c r="AG142" s="15" t="s">
        <v>1168</v>
      </c>
      <c r="AH142" s="15" t="s">
        <v>160</v>
      </c>
      <c r="AP142" s="57"/>
    </row>
    <row r="143" spans="2:42" ht="15" x14ac:dyDescent="0.25">
      <c r="B143" s="15">
        <v>141</v>
      </c>
      <c r="C143" s="15" t="s">
        <v>1169</v>
      </c>
      <c r="D143" s="17">
        <f t="shared" si="10"/>
        <v>20231229717</v>
      </c>
      <c r="E143" s="15" t="s">
        <v>1170</v>
      </c>
      <c r="F143" s="15" t="s">
        <v>1171</v>
      </c>
      <c r="G143" s="15" t="s">
        <v>1172</v>
      </c>
      <c r="H143" s="15">
        <v>18647748</v>
      </c>
      <c r="I143" s="78">
        <v>0</v>
      </c>
      <c r="J143" s="26">
        <v>45289</v>
      </c>
      <c r="K143" s="28">
        <v>1545</v>
      </c>
      <c r="L143" s="28">
        <v>700</v>
      </c>
      <c r="M143" s="28">
        <v>80</v>
      </c>
      <c r="N143" s="28">
        <v>2325</v>
      </c>
      <c r="O143" s="17">
        <v>0</v>
      </c>
      <c r="P143" s="17">
        <v>360</v>
      </c>
      <c r="Q143" s="17">
        <v>6</v>
      </c>
      <c r="R143" s="13">
        <v>7.6799999999999993E-2</v>
      </c>
      <c r="S143" s="14">
        <v>45483</v>
      </c>
      <c r="T143" s="14">
        <v>56259</v>
      </c>
      <c r="U143" s="31">
        <v>45323</v>
      </c>
      <c r="V143" s="19">
        <v>1630.82086426301</v>
      </c>
      <c r="W143" s="19">
        <v>1631.1764745777214</v>
      </c>
      <c r="X143" s="32">
        <f t="shared" si="11"/>
        <v>1630.1764745777214</v>
      </c>
      <c r="Y143" s="15">
        <v>0</v>
      </c>
      <c r="Z143" s="28">
        <v>2325</v>
      </c>
      <c r="AA143" s="33">
        <v>0.7015812793882672</v>
      </c>
      <c r="AB143" s="34">
        <v>7.1799999999999989E-2</v>
      </c>
      <c r="AC143" s="34">
        <f t="shared" si="12"/>
        <v>5.0000000000000044E-3</v>
      </c>
      <c r="AD143" s="15">
        <v>11.097735</v>
      </c>
      <c r="AE143" s="15">
        <v>31.175090240838337</v>
      </c>
      <c r="AF143" s="15">
        <v>48.653284048069118</v>
      </c>
      <c r="AG143" s="15" t="s">
        <v>1173</v>
      </c>
      <c r="AH143" s="15" t="s">
        <v>297</v>
      </c>
      <c r="AP143" s="57"/>
    </row>
    <row r="144" spans="2:42" ht="15" x14ac:dyDescent="0.25">
      <c r="B144" s="15">
        <v>142</v>
      </c>
      <c r="C144" s="15" t="s">
        <v>1174</v>
      </c>
      <c r="D144" s="17">
        <f t="shared" si="10"/>
        <v>20231229718</v>
      </c>
      <c r="E144" s="15" t="s">
        <v>1175</v>
      </c>
      <c r="F144" s="15" t="s">
        <v>1176</v>
      </c>
      <c r="G144" s="15" t="s">
        <v>1177</v>
      </c>
      <c r="H144" s="15">
        <v>18277066</v>
      </c>
      <c r="I144" s="78">
        <v>3</v>
      </c>
      <c r="J144" s="26">
        <v>45289</v>
      </c>
      <c r="K144" s="28">
        <v>2000</v>
      </c>
      <c r="L144" s="28">
        <v>325</v>
      </c>
      <c r="M144" s="28">
        <v>175</v>
      </c>
      <c r="N144" s="28">
        <v>2500</v>
      </c>
      <c r="O144" s="17">
        <v>0</v>
      </c>
      <c r="P144" s="17">
        <v>360</v>
      </c>
      <c r="Q144" s="17">
        <v>6</v>
      </c>
      <c r="R144" s="13">
        <v>7.6799999999999993E-2</v>
      </c>
      <c r="S144" s="14">
        <v>45483</v>
      </c>
      <c r="T144" s="14">
        <v>56259</v>
      </c>
      <c r="U144" s="31">
        <v>45323</v>
      </c>
      <c r="V144" s="19">
        <v>2111.094969919749</v>
      </c>
      <c r="W144" s="19">
        <v>2111.7130027900512</v>
      </c>
      <c r="X144" s="32">
        <f t="shared" si="11"/>
        <v>2110.7130027900512</v>
      </c>
      <c r="Y144" s="15">
        <v>0</v>
      </c>
      <c r="Z144" s="28">
        <v>2891</v>
      </c>
      <c r="AA144" s="33">
        <v>0.73044379204083398</v>
      </c>
      <c r="AB144" s="34">
        <v>7.1799999999999989E-2</v>
      </c>
      <c r="AC144" s="34">
        <f t="shared" si="12"/>
        <v>5.0000000000000044E-3</v>
      </c>
      <c r="AD144" s="15">
        <v>14.366</v>
      </c>
      <c r="AE144" s="15">
        <v>31.134277304178969</v>
      </c>
      <c r="AF144" s="15">
        <v>37.085646032890615</v>
      </c>
      <c r="AG144" s="15" t="s">
        <v>1178</v>
      </c>
      <c r="AH144" s="15" t="s">
        <v>290</v>
      </c>
      <c r="AP144" s="57"/>
    </row>
    <row r="145" spans="2:42" ht="15" x14ac:dyDescent="0.25">
      <c r="B145" s="15">
        <v>143</v>
      </c>
      <c r="C145" s="15" t="s">
        <v>1179</v>
      </c>
      <c r="D145" s="17">
        <f t="shared" si="10"/>
        <v>20231229720</v>
      </c>
      <c r="E145" s="15" t="s">
        <v>1040</v>
      </c>
      <c r="F145" s="15" t="s">
        <v>1040</v>
      </c>
      <c r="G145" s="15" t="s">
        <v>1180</v>
      </c>
      <c r="H145" s="15">
        <v>15126580</v>
      </c>
      <c r="I145" s="78">
        <v>4</v>
      </c>
      <c r="J145" s="26">
        <v>45289</v>
      </c>
      <c r="K145" s="28">
        <v>1760</v>
      </c>
      <c r="L145" s="28">
        <v>325</v>
      </c>
      <c r="M145" s="28">
        <v>115</v>
      </c>
      <c r="N145" s="28">
        <v>2200</v>
      </c>
      <c r="O145" s="17">
        <v>0</v>
      </c>
      <c r="P145" s="17">
        <v>360</v>
      </c>
      <c r="Q145" s="17">
        <v>6</v>
      </c>
      <c r="R145" s="13">
        <v>7.6799999999999993E-2</v>
      </c>
      <c r="S145" s="14">
        <v>45483</v>
      </c>
      <c r="T145" s="14">
        <v>56259</v>
      </c>
      <c r="U145" s="31">
        <v>45323</v>
      </c>
      <c r="V145" s="19">
        <v>1857.7635735293811</v>
      </c>
      <c r="W145" s="19">
        <v>1857.4852176643344</v>
      </c>
      <c r="X145" s="32">
        <f t="shared" si="11"/>
        <v>1856.4852176643344</v>
      </c>
      <c r="Y145" s="15">
        <v>0</v>
      </c>
      <c r="Z145" s="28">
        <v>2500</v>
      </c>
      <c r="AA145" s="33">
        <v>0.74299408706573378</v>
      </c>
      <c r="AB145" s="34">
        <v>7.1799999999999989E-2</v>
      </c>
      <c r="AC145" s="34">
        <f t="shared" si="12"/>
        <v>5.0000000000000044E-3</v>
      </c>
      <c r="AD145" s="15">
        <v>12.64208</v>
      </c>
      <c r="AE145" s="15">
        <v>17.838322809804129</v>
      </c>
      <c r="AF145" s="15">
        <v>47.47504237469623</v>
      </c>
      <c r="AG145" s="15" t="s">
        <v>1181</v>
      </c>
      <c r="AH145" s="15" t="s">
        <v>155</v>
      </c>
      <c r="AP145" s="57"/>
    </row>
    <row r="146" spans="2:42" ht="15" x14ac:dyDescent="0.25">
      <c r="B146" s="15">
        <v>144</v>
      </c>
      <c r="C146" s="15" t="s">
        <v>1182</v>
      </c>
      <c r="D146" s="17">
        <f t="shared" si="10"/>
        <v>20231229721</v>
      </c>
      <c r="E146" s="15" t="s">
        <v>1183</v>
      </c>
      <c r="F146" s="15" t="s">
        <v>1183</v>
      </c>
      <c r="G146" s="15" t="s">
        <v>1184</v>
      </c>
      <c r="H146" s="15">
        <v>13138924</v>
      </c>
      <c r="I146" s="78">
        <v>8</v>
      </c>
      <c r="J146" s="26">
        <v>45289</v>
      </c>
      <c r="K146" s="28">
        <v>1285</v>
      </c>
      <c r="L146" s="28">
        <v>625</v>
      </c>
      <c r="M146" s="28">
        <v>80</v>
      </c>
      <c r="N146" s="28">
        <v>1990</v>
      </c>
      <c r="O146" s="17">
        <v>0</v>
      </c>
      <c r="P146" s="17">
        <v>348</v>
      </c>
      <c r="Q146" s="17">
        <v>6</v>
      </c>
      <c r="R146" s="13">
        <v>7.6799999999999993E-2</v>
      </c>
      <c r="S146" s="14">
        <v>45483</v>
      </c>
      <c r="T146" s="14">
        <v>55894</v>
      </c>
      <c r="U146" s="31">
        <v>45323</v>
      </c>
      <c r="V146" s="19">
        <v>1355.1331410776143</v>
      </c>
      <c r="W146" s="19">
        <v>1354.9505876584678</v>
      </c>
      <c r="X146" s="32">
        <f t="shared" si="11"/>
        <v>1353.9505876584678</v>
      </c>
      <c r="Y146" s="15">
        <v>0</v>
      </c>
      <c r="Z146" s="28">
        <v>2032</v>
      </c>
      <c r="AA146" s="33">
        <v>0.66680639156420662</v>
      </c>
      <c r="AB146" s="34">
        <v>7.1799999999999989E-2</v>
      </c>
      <c r="AC146" s="34">
        <f t="shared" si="12"/>
        <v>5.0000000000000044E-3</v>
      </c>
      <c r="AD146" s="15">
        <v>9.3213899999999992</v>
      </c>
      <c r="AE146" s="15">
        <v>22.795820042580083</v>
      </c>
      <c r="AF146" s="15">
        <v>32.649099610949413</v>
      </c>
      <c r="AG146" s="15" t="s">
        <v>1185</v>
      </c>
      <c r="AH146" s="15" t="s">
        <v>297</v>
      </c>
      <c r="AP146" s="57"/>
    </row>
    <row r="147" spans="2:42" ht="15" x14ac:dyDescent="0.25">
      <c r="B147" s="15">
        <v>145</v>
      </c>
      <c r="C147" s="15" t="s">
        <v>1186</v>
      </c>
      <c r="D147" s="17">
        <f t="shared" si="10"/>
        <v>20231229724</v>
      </c>
      <c r="E147" s="15" t="s">
        <v>1187</v>
      </c>
      <c r="F147" s="15" t="s">
        <v>1188</v>
      </c>
      <c r="G147" s="15" t="s">
        <v>1189</v>
      </c>
      <c r="H147" s="15">
        <v>19765294</v>
      </c>
      <c r="I147" s="78">
        <v>2</v>
      </c>
      <c r="J147" s="26">
        <v>45289</v>
      </c>
      <c r="K147" s="28">
        <v>2080</v>
      </c>
      <c r="L147" s="28">
        <v>325</v>
      </c>
      <c r="M147" s="28">
        <v>195</v>
      </c>
      <c r="N147" s="28">
        <v>2600</v>
      </c>
      <c r="O147" s="17">
        <v>0</v>
      </c>
      <c r="P147" s="17">
        <v>360</v>
      </c>
      <c r="Q147" s="17">
        <v>6</v>
      </c>
      <c r="R147" s="13">
        <v>8.2199999999999995E-2</v>
      </c>
      <c r="S147" s="14">
        <v>45483</v>
      </c>
      <c r="T147" s="14">
        <v>56259</v>
      </c>
      <c r="U147" s="31">
        <v>45323</v>
      </c>
      <c r="V147" s="19">
        <v>2193.0733193254605</v>
      </c>
      <c r="W147" s="19">
        <v>2193.5983052652532</v>
      </c>
      <c r="X147" s="32">
        <f t="shared" si="11"/>
        <v>2192.5983052652532</v>
      </c>
      <c r="Y147" s="15">
        <v>0</v>
      </c>
      <c r="Z147" s="28">
        <v>2650</v>
      </c>
      <c r="AA147" s="33">
        <v>0.82777294538311441</v>
      </c>
      <c r="AB147" s="34">
        <v>7.7199999999999991E-2</v>
      </c>
      <c r="AC147" s="34">
        <f t="shared" si="12"/>
        <v>5.0000000000000044E-3</v>
      </c>
      <c r="AD147" s="15">
        <v>15.716480000000001</v>
      </c>
      <c r="AE147" s="15">
        <v>32.345621107734779</v>
      </c>
      <c r="AF147" s="15">
        <v>35.481753616945269</v>
      </c>
      <c r="AG147" s="15" t="s">
        <v>1190</v>
      </c>
      <c r="AH147" s="15" t="s">
        <v>151</v>
      </c>
      <c r="AP147" s="57"/>
    </row>
    <row r="148" spans="2:42" ht="15" x14ac:dyDescent="0.25">
      <c r="B148" s="15">
        <v>146</v>
      </c>
      <c r="C148" s="15" t="s">
        <v>1191</v>
      </c>
      <c r="D148" s="17">
        <f t="shared" si="10"/>
        <v>20240117001</v>
      </c>
      <c r="E148" s="15" t="s">
        <v>1192</v>
      </c>
      <c r="F148" s="15" t="s">
        <v>1193</v>
      </c>
      <c r="G148" s="15" t="s">
        <v>1194</v>
      </c>
      <c r="H148" s="15">
        <v>19039367</v>
      </c>
      <c r="I148" s="78">
        <v>4</v>
      </c>
      <c r="J148" s="26">
        <v>45308</v>
      </c>
      <c r="K148" s="28">
        <v>1391.89</v>
      </c>
      <c r="L148" s="28">
        <v>700</v>
      </c>
      <c r="M148" s="28">
        <v>333.1099999999999</v>
      </c>
      <c r="N148" s="28">
        <v>2425</v>
      </c>
      <c r="O148" s="17">
        <v>0</v>
      </c>
      <c r="P148" s="17">
        <v>360</v>
      </c>
      <c r="Q148" s="17">
        <v>6</v>
      </c>
      <c r="R148" s="13">
        <v>7.6799999999999993E-2</v>
      </c>
      <c r="S148" s="14">
        <v>45514</v>
      </c>
      <c r="T148" s="14">
        <v>56290</v>
      </c>
      <c r="U148" s="31">
        <v>45323</v>
      </c>
      <c r="V148" s="19">
        <v>1460.7409899549148</v>
      </c>
      <c r="W148" s="19">
        <v>1460.8998491310438</v>
      </c>
      <c r="X148" s="32">
        <f t="shared" si="11"/>
        <v>1459.8998491310438</v>
      </c>
      <c r="Y148" s="15">
        <v>0</v>
      </c>
      <c r="Z148" s="28">
        <v>3000</v>
      </c>
      <c r="AA148" s="33">
        <v>0.48696661637701461</v>
      </c>
      <c r="AB148" s="34">
        <v>7.1799999999999989E-2</v>
      </c>
      <c r="AC148" s="34">
        <f t="shared" si="12"/>
        <v>5.0000000000000044E-3</v>
      </c>
      <c r="AD148" s="15">
        <v>9.9979460000000007</v>
      </c>
      <c r="AE148" s="15">
        <v>26.980135045225595</v>
      </c>
      <c r="AF148" s="15">
        <v>29.971228704662156</v>
      </c>
      <c r="AG148" s="15" t="s">
        <v>1195</v>
      </c>
      <c r="AH148" s="15" t="s">
        <v>271</v>
      </c>
      <c r="AP148" s="57"/>
    </row>
    <row r="149" spans="2:42" ht="15" x14ac:dyDescent="0.25">
      <c r="B149" s="15">
        <v>147</v>
      </c>
      <c r="C149" s="15" t="s">
        <v>1196</v>
      </c>
      <c r="D149" s="17">
        <f t="shared" si="10"/>
        <v>20240123002</v>
      </c>
      <c r="E149" s="15" t="s">
        <v>1197</v>
      </c>
      <c r="F149" s="15" t="s">
        <v>1198</v>
      </c>
      <c r="G149" s="15" t="s">
        <v>1199</v>
      </c>
      <c r="H149" s="15">
        <v>18976630</v>
      </c>
      <c r="I149" s="78">
        <v>0</v>
      </c>
      <c r="J149" s="26">
        <v>45314</v>
      </c>
      <c r="K149" s="28">
        <v>1625</v>
      </c>
      <c r="L149" s="28">
        <v>375</v>
      </c>
      <c r="M149" s="28">
        <v>80</v>
      </c>
      <c r="N149" s="28">
        <v>2080</v>
      </c>
      <c r="O149" s="17">
        <v>0</v>
      </c>
      <c r="P149" s="17">
        <v>360</v>
      </c>
      <c r="Q149" s="17">
        <v>6</v>
      </c>
      <c r="R149" s="13">
        <v>7.8299999999999995E-2</v>
      </c>
      <c r="S149" s="14">
        <v>45514</v>
      </c>
      <c r="T149" s="14">
        <v>56290</v>
      </c>
      <c r="U149" s="31">
        <v>45323</v>
      </c>
      <c r="V149" s="19">
        <v>1704.6752180059091</v>
      </c>
      <c r="W149" s="19">
        <v>1704.543878493784</v>
      </c>
      <c r="X149" s="32">
        <f t="shared" si="11"/>
        <v>1703.543878493784</v>
      </c>
      <c r="Y149" s="15">
        <v>0</v>
      </c>
      <c r="Z149" s="28">
        <v>2200</v>
      </c>
      <c r="AA149" s="33">
        <v>0.77479267204262903</v>
      </c>
      <c r="AB149" s="34">
        <v>7.329999999999999E-2</v>
      </c>
      <c r="AC149" s="34">
        <f t="shared" si="12"/>
        <v>5.0000000000000044E-3</v>
      </c>
      <c r="AD149" s="15">
        <v>11.83975</v>
      </c>
      <c r="AE149" s="15">
        <v>24.28996492339656</v>
      </c>
      <c r="AF149" s="15">
        <v>48.028813600064716</v>
      </c>
      <c r="AG149" s="15" t="s">
        <v>1200</v>
      </c>
      <c r="AH149" s="15" t="s">
        <v>279</v>
      </c>
      <c r="AP149" s="57"/>
    </row>
    <row r="150" spans="2:42" ht="15" x14ac:dyDescent="0.25">
      <c r="B150" s="15">
        <v>148</v>
      </c>
      <c r="C150" s="15" t="s">
        <v>1201</v>
      </c>
      <c r="D150" s="17">
        <f t="shared" si="10"/>
        <v>20240131003</v>
      </c>
      <c r="E150" s="15" t="s">
        <v>1202</v>
      </c>
      <c r="F150" s="15" t="s">
        <v>1203</v>
      </c>
      <c r="G150" s="15" t="s">
        <v>1204</v>
      </c>
      <c r="H150" s="15">
        <v>10318873</v>
      </c>
      <c r="I150" s="78">
        <v>3</v>
      </c>
      <c r="J150" s="26">
        <v>45322</v>
      </c>
      <c r="K150" s="28">
        <v>1225</v>
      </c>
      <c r="L150" s="28">
        <v>625</v>
      </c>
      <c r="M150" s="28">
        <v>150</v>
      </c>
      <c r="N150" s="28">
        <v>2000</v>
      </c>
      <c r="O150" s="17">
        <v>0</v>
      </c>
      <c r="P150" s="17">
        <v>168</v>
      </c>
      <c r="Q150" s="17">
        <v>6</v>
      </c>
      <c r="R150" s="13">
        <v>7.8299999999999995E-2</v>
      </c>
      <c r="S150" s="14">
        <v>45514</v>
      </c>
      <c r="T150" s="14">
        <v>50446</v>
      </c>
      <c r="U150" s="31">
        <v>45323</v>
      </c>
      <c r="V150" s="19">
        <v>1260.4931454274874</v>
      </c>
      <c r="W150" s="19">
        <v>1260.2338682378863</v>
      </c>
      <c r="X150" s="32">
        <f t="shared" si="11"/>
        <v>1259.2338682378863</v>
      </c>
      <c r="Y150" s="15">
        <v>0</v>
      </c>
      <c r="Z150" s="28">
        <v>2100</v>
      </c>
      <c r="AA150" s="33">
        <v>0.60011136582756497</v>
      </c>
      <c r="AB150" s="34">
        <v>7.329999999999999E-2</v>
      </c>
      <c r="AC150" s="34">
        <f t="shared" si="12"/>
        <v>5.0000000000000044E-3</v>
      </c>
      <c r="AD150" s="15">
        <v>12.4313</v>
      </c>
      <c r="AE150" s="15">
        <v>25.506591489849136</v>
      </c>
      <c r="AF150" s="15">
        <v>39.136785637598095</v>
      </c>
      <c r="AG150" s="15" t="s">
        <v>1205</v>
      </c>
      <c r="AH150" s="15" t="s">
        <v>162</v>
      </c>
      <c r="AP150" s="57"/>
    </row>
    <row r="151" spans="2:42" ht="15" x14ac:dyDescent="0.25">
      <c r="B151" s="15">
        <v>149</v>
      </c>
      <c r="C151" s="15" t="s">
        <v>1206</v>
      </c>
      <c r="D151" s="17">
        <f t="shared" si="10"/>
        <v>20240130004</v>
      </c>
      <c r="E151" s="15" t="s">
        <v>1207</v>
      </c>
      <c r="F151" s="15" t="s">
        <v>1208</v>
      </c>
      <c r="G151" s="15" t="s">
        <v>1209</v>
      </c>
      <c r="H151" s="15">
        <v>20140603</v>
      </c>
      <c r="I151" s="78" t="s">
        <v>23</v>
      </c>
      <c r="J151" s="26">
        <v>45321</v>
      </c>
      <c r="K151" s="28">
        <v>1645</v>
      </c>
      <c r="L151" s="28">
        <v>475</v>
      </c>
      <c r="M151" s="28">
        <v>80</v>
      </c>
      <c r="N151" s="28">
        <v>2200</v>
      </c>
      <c r="O151" s="17">
        <v>0</v>
      </c>
      <c r="P151" s="17">
        <v>360</v>
      </c>
      <c r="Q151" s="17">
        <v>6</v>
      </c>
      <c r="R151" s="13">
        <v>7.8299999999999995E-2</v>
      </c>
      <c r="S151" s="14">
        <v>45514</v>
      </c>
      <c r="T151" s="14">
        <v>56290</v>
      </c>
      <c r="U151" s="31">
        <v>45323</v>
      </c>
      <c r="V151" s="19">
        <v>1725.6558360736744</v>
      </c>
      <c r="W151" s="19">
        <v>1726.1371373522773</v>
      </c>
      <c r="X151" s="32">
        <f t="shared" si="11"/>
        <v>1725.1371373522773</v>
      </c>
      <c r="Y151" s="15">
        <v>0</v>
      </c>
      <c r="Z151" s="28">
        <v>2200</v>
      </c>
      <c r="AA151" s="33">
        <v>0.78460778970558054</v>
      </c>
      <c r="AB151" s="34">
        <v>7.329999999999999E-2</v>
      </c>
      <c r="AC151" s="34">
        <f t="shared" si="12"/>
        <v>5.0000000000000044E-3</v>
      </c>
      <c r="AD151" s="15">
        <v>11.985469999999999</v>
      </c>
      <c r="AE151" s="15">
        <v>29.99</v>
      </c>
      <c r="AF151" s="15">
        <v>36.57</v>
      </c>
      <c r="AG151" s="15" t="s">
        <v>1210</v>
      </c>
      <c r="AH151" s="15" t="s">
        <v>156</v>
      </c>
      <c r="AP151" s="57"/>
    </row>
    <row r="152" spans="2:42" ht="15" x14ac:dyDescent="0.25">
      <c r="B152" s="15">
        <v>150</v>
      </c>
      <c r="C152" s="15" t="s">
        <v>1211</v>
      </c>
      <c r="D152" s="17">
        <f t="shared" si="10"/>
        <v>20240124006</v>
      </c>
      <c r="E152" s="15" t="s">
        <v>1212</v>
      </c>
      <c r="F152" s="15" t="s">
        <v>1213</v>
      </c>
      <c r="G152" s="15" t="s">
        <v>1214</v>
      </c>
      <c r="H152" s="15">
        <v>17686759</v>
      </c>
      <c r="I152" s="78">
        <v>0</v>
      </c>
      <c r="J152" s="26">
        <v>45315</v>
      </c>
      <c r="K152" s="28">
        <v>870</v>
      </c>
      <c r="L152" s="28">
        <v>450</v>
      </c>
      <c r="M152" s="28">
        <v>80</v>
      </c>
      <c r="N152" s="28">
        <v>1400</v>
      </c>
      <c r="O152" s="17">
        <v>0</v>
      </c>
      <c r="P152" s="17">
        <v>360</v>
      </c>
      <c r="Q152" s="17">
        <v>6</v>
      </c>
      <c r="R152" s="13">
        <v>7.8299999999999995E-2</v>
      </c>
      <c r="S152" s="14">
        <v>45514</v>
      </c>
      <c r="T152" s="14">
        <v>56290</v>
      </c>
      <c r="U152" s="31">
        <v>45323</v>
      </c>
      <c r="V152" s="19">
        <v>912.65688594777862</v>
      </c>
      <c r="W152" s="19">
        <v>912.73724886945502</v>
      </c>
      <c r="X152" s="32">
        <f t="shared" si="11"/>
        <v>911.73724886945502</v>
      </c>
      <c r="Y152" s="15">
        <v>0</v>
      </c>
      <c r="Z152" s="28">
        <v>1400</v>
      </c>
      <c r="AA152" s="33">
        <v>0.65195517776389644</v>
      </c>
      <c r="AB152" s="34">
        <v>7.329999999999999E-2</v>
      </c>
      <c r="AC152" s="34">
        <f t="shared" si="12"/>
        <v>5.0000000000000044E-3</v>
      </c>
      <c r="AD152" s="15">
        <v>6.3388200000000001</v>
      </c>
      <c r="AE152" s="15">
        <v>42.352977669741271</v>
      </c>
      <c r="AF152" s="15">
        <v>44.642362543134098</v>
      </c>
      <c r="AG152" s="15" t="s">
        <v>1215</v>
      </c>
      <c r="AH152" s="15" t="s">
        <v>279</v>
      </c>
      <c r="AP152" s="57"/>
    </row>
    <row r="153" spans="2:42" ht="15" x14ac:dyDescent="0.25">
      <c r="B153" s="15">
        <v>151</v>
      </c>
      <c r="C153" s="15" t="s">
        <v>1216</v>
      </c>
      <c r="D153" s="17">
        <f t="shared" si="10"/>
        <v>20240123007</v>
      </c>
      <c r="E153" s="15" t="s">
        <v>1217</v>
      </c>
      <c r="F153" s="15" t="s">
        <v>1218</v>
      </c>
      <c r="G153" s="15" t="s">
        <v>1219</v>
      </c>
      <c r="H153" s="15">
        <v>26077748</v>
      </c>
      <c r="I153" s="78">
        <v>3</v>
      </c>
      <c r="J153" s="26">
        <v>45314</v>
      </c>
      <c r="K153" s="28">
        <v>1545</v>
      </c>
      <c r="L153" s="28">
        <v>475</v>
      </c>
      <c r="M153" s="28">
        <v>80</v>
      </c>
      <c r="N153" s="28">
        <v>2100</v>
      </c>
      <c r="O153" s="17">
        <v>0</v>
      </c>
      <c r="P153" s="17">
        <v>360</v>
      </c>
      <c r="Q153" s="17">
        <v>6</v>
      </c>
      <c r="R153" s="13">
        <v>7.8299999999999995E-2</v>
      </c>
      <c r="S153" s="14">
        <v>45514</v>
      </c>
      <c r="T153" s="14">
        <v>56290</v>
      </c>
      <c r="U153" s="31">
        <v>45323</v>
      </c>
      <c r="V153" s="19">
        <v>1620.752745734849</v>
      </c>
      <c r="W153" s="19">
        <v>1621.0439659283979</v>
      </c>
      <c r="X153" s="32">
        <f t="shared" si="11"/>
        <v>1620.0439659283979</v>
      </c>
      <c r="Y153" s="15">
        <v>0</v>
      </c>
      <c r="Z153" s="28">
        <v>2080</v>
      </c>
      <c r="AA153" s="33">
        <v>0.77934806054249905</v>
      </c>
      <c r="AB153" s="34">
        <v>7.329999999999999E-2</v>
      </c>
      <c r="AC153" s="34">
        <f t="shared" si="12"/>
        <v>5.0000000000000044E-3</v>
      </c>
      <c r="AD153" s="15">
        <v>11.256869999999999</v>
      </c>
      <c r="AE153" s="15">
        <v>39.411044154914279</v>
      </c>
      <c r="AF153" s="15">
        <v>48.27314256204783</v>
      </c>
      <c r="AG153" s="15" t="s">
        <v>1220</v>
      </c>
      <c r="AH153" s="15" t="s">
        <v>156</v>
      </c>
      <c r="AP153" s="57"/>
    </row>
    <row r="154" spans="2:42" ht="15" x14ac:dyDescent="0.25">
      <c r="B154" s="15">
        <v>152</v>
      </c>
      <c r="C154" s="15" t="s">
        <v>1221</v>
      </c>
      <c r="D154" s="17">
        <f t="shared" si="10"/>
        <v>20240123009</v>
      </c>
      <c r="E154" s="15" t="s">
        <v>1222</v>
      </c>
      <c r="F154" s="15" t="s">
        <v>668</v>
      </c>
      <c r="G154" s="15" t="s">
        <v>1223</v>
      </c>
      <c r="H154" s="15">
        <v>25669615</v>
      </c>
      <c r="I154" s="78">
        <v>0</v>
      </c>
      <c r="J154" s="26">
        <v>45314</v>
      </c>
      <c r="K154" s="28">
        <v>1398</v>
      </c>
      <c r="L154" s="28">
        <v>325</v>
      </c>
      <c r="M154" s="28">
        <v>157</v>
      </c>
      <c r="N154" s="28">
        <v>1880</v>
      </c>
      <c r="O154" s="17">
        <v>0</v>
      </c>
      <c r="P154" s="17">
        <v>360</v>
      </c>
      <c r="Q154" s="17">
        <v>6</v>
      </c>
      <c r="R154" s="13">
        <v>7.8299999999999995E-2</v>
      </c>
      <c r="S154" s="14">
        <v>45514</v>
      </c>
      <c r="T154" s="14">
        <v>56290</v>
      </c>
      <c r="U154" s="31">
        <v>45323</v>
      </c>
      <c r="V154" s="19">
        <v>1466.5452029367757</v>
      </c>
      <c r="W154" s="19">
        <v>1467.0012917752306</v>
      </c>
      <c r="X154" s="32">
        <f t="shared" si="11"/>
        <v>1466.0012917752306</v>
      </c>
      <c r="Y154" s="15">
        <v>0</v>
      </c>
      <c r="Z154" s="28">
        <v>1930</v>
      </c>
      <c r="AA154" s="33">
        <v>0.76010429625659615</v>
      </c>
      <c r="AB154" s="34">
        <v>7.329999999999999E-2</v>
      </c>
      <c r="AC154" s="34">
        <f t="shared" si="12"/>
        <v>5.0000000000000044E-3</v>
      </c>
      <c r="AD154" s="15">
        <v>10.185828000000001</v>
      </c>
      <c r="AE154" s="15">
        <v>27.111161603064854</v>
      </c>
      <c r="AF154" s="15">
        <v>46.329515708709913</v>
      </c>
      <c r="AG154" s="15" t="s">
        <v>1224</v>
      </c>
      <c r="AH154" s="15" t="s">
        <v>423</v>
      </c>
      <c r="AP154" s="57"/>
    </row>
    <row r="155" spans="2:42" ht="15" x14ac:dyDescent="0.25">
      <c r="B155" s="15">
        <v>153</v>
      </c>
      <c r="C155" s="15" t="s">
        <v>1225</v>
      </c>
      <c r="D155" s="17">
        <f t="shared" si="10"/>
        <v>20240129011</v>
      </c>
      <c r="E155" s="15" t="s">
        <v>1226</v>
      </c>
      <c r="F155" s="15" t="s">
        <v>1227</v>
      </c>
      <c r="G155" s="15" t="s">
        <v>1228</v>
      </c>
      <c r="H155" s="15">
        <v>17926360</v>
      </c>
      <c r="I155" s="78">
        <v>2</v>
      </c>
      <c r="J155" s="26">
        <v>45320</v>
      </c>
      <c r="K155" s="28">
        <v>1745</v>
      </c>
      <c r="L155" s="28">
        <v>375</v>
      </c>
      <c r="M155" s="28">
        <v>80</v>
      </c>
      <c r="N155" s="28">
        <v>2200</v>
      </c>
      <c r="O155" s="17">
        <v>0</v>
      </c>
      <c r="P155" s="17">
        <v>360</v>
      </c>
      <c r="Q155" s="17">
        <v>6</v>
      </c>
      <c r="R155" s="13">
        <v>7.8299999999999995E-2</v>
      </c>
      <c r="S155" s="14">
        <v>45514</v>
      </c>
      <c r="T155" s="14">
        <v>56290</v>
      </c>
      <c r="U155" s="31">
        <v>45323</v>
      </c>
      <c r="V155" s="19">
        <v>1830.5589264125015</v>
      </c>
      <c r="W155" s="19">
        <v>1829.7931495106088</v>
      </c>
      <c r="X155" s="32">
        <f t="shared" si="11"/>
        <v>1828.7931495106088</v>
      </c>
      <c r="Y155" s="15">
        <v>0</v>
      </c>
      <c r="Z155" s="28">
        <v>2200</v>
      </c>
      <c r="AA155" s="33">
        <v>0.83172415886845852</v>
      </c>
      <c r="AB155" s="34">
        <v>7.329999999999999E-2</v>
      </c>
      <c r="AC155" s="34">
        <f t="shared" si="12"/>
        <v>5.0000000000000044E-3</v>
      </c>
      <c r="AD155" s="15">
        <v>12.71407</v>
      </c>
      <c r="AE155" s="15">
        <v>32.571843562052059</v>
      </c>
      <c r="AF155" s="15">
        <v>35.230971234416323</v>
      </c>
      <c r="AG155" s="15" t="s">
        <v>1229</v>
      </c>
      <c r="AH155" s="15" t="s">
        <v>279</v>
      </c>
      <c r="AP155" s="57"/>
    </row>
    <row r="156" spans="2:42" ht="15" x14ac:dyDescent="0.25">
      <c r="B156" s="15">
        <v>154</v>
      </c>
      <c r="C156" s="15" t="s">
        <v>1230</v>
      </c>
      <c r="D156" s="17">
        <f t="shared" si="10"/>
        <v>20240123013</v>
      </c>
      <c r="E156" s="15" t="s">
        <v>1231</v>
      </c>
      <c r="F156" s="15" t="s">
        <v>1232</v>
      </c>
      <c r="G156" s="15" t="s">
        <v>1233</v>
      </c>
      <c r="H156" s="15">
        <v>26823187</v>
      </c>
      <c r="I156" s="78">
        <v>0</v>
      </c>
      <c r="J156" s="26">
        <v>45314</v>
      </c>
      <c r="K156" s="28">
        <v>2000</v>
      </c>
      <c r="L156" s="28">
        <v>325</v>
      </c>
      <c r="M156" s="28">
        <v>175</v>
      </c>
      <c r="N156" s="28">
        <v>2500</v>
      </c>
      <c r="O156" s="17">
        <v>0</v>
      </c>
      <c r="P156" s="17">
        <v>360</v>
      </c>
      <c r="Q156" s="17">
        <v>6</v>
      </c>
      <c r="R156" s="13">
        <v>7.8299999999999995E-2</v>
      </c>
      <c r="S156" s="14">
        <v>45514</v>
      </c>
      <c r="T156" s="14">
        <v>56290</v>
      </c>
      <c r="U156" s="31">
        <v>45323</v>
      </c>
      <c r="V156" s="19">
        <v>2098.0618067765004</v>
      </c>
      <c r="W156" s="19">
        <v>2097.5674942935616</v>
      </c>
      <c r="X156" s="32">
        <f t="shared" si="11"/>
        <v>2096.5674942935616</v>
      </c>
      <c r="Y156" s="15">
        <v>0</v>
      </c>
      <c r="Z156" s="28">
        <v>2891</v>
      </c>
      <c r="AA156" s="33">
        <v>0.72555084548376392</v>
      </c>
      <c r="AB156" s="34">
        <v>7.329999999999999E-2</v>
      </c>
      <c r="AC156" s="34">
        <f t="shared" si="12"/>
        <v>5.0000000000000044E-3</v>
      </c>
      <c r="AD156" s="15">
        <v>14.571999999999999</v>
      </c>
      <c r="AE156" s="15">
        <v>24.296228471065927</v>
      </c>
      <c r="AF156" s="15">
        <v>28.22150770561694</v>
      </c>
      <c r="AG156" s="15" t="s">
        <v>1234</v>
      </c>
      <c r="AH156" s="15" t="s">
        <v>290</v>
      </c>
      <c r="AP156" s="57"/>
    </row>
    <row r="157" spans="2:42" ht="15" x14ac:dyDescent="0.25">
      <c r="B157" s="15">
        <v>155</v>
      </c>
      <c r="C157" s="15" t="s">
        <v>1235</v>
      </c>
      <c r="D157" s="17">
        <f t="shared" si="10"/>
        <v>20240130014</v>
      </c>
      <c r="E157" s="15" t="s">
        <v>1236</v>
      </c>
      <c r="F157" s="15" t="s">
        <v>457</v>
      </c>
      <c r="G157" s="15" t="s">
        <v>1237</v>
      </c>
      <c r="H157" s="15">
        <v>16420196</v>
      </c>
      <c r="I157" s="78">
        <v>1</v>
      </c>
      <c r="J157" s="26">
        <v>45321</v>
      </c>
      <c r="K157" s="28">
        <v>1685</v>
      </c>
      <c r="L157" s="28">
        <v>325</v>
      </c>
      <c r="M157" s="28">
        <v>110</v>
      </c>
      <c r="N157" s="28">
        <v>2120</v>
      </c>
      <c r="O157" s="17">
        <v>0</v>
      </c>
      <c r="P157" s="17">
        <v>360</v>
      </c>
      <c r="Q157" s="17">
        <v>6</v>
      </c>
      <c r="R157" s="13">
        <v>7.8299999999999995E-2</v>
      </c>
      <c r="S157" s="14">
        <v>45514</v>
      </c>
      <c r="T157" s="14">
        <v>56290</v>
      </c>
      <c r="U157" s="31">
        <v>45323</v>
      </c>
      <c r="V157" s="19">
        <v>1767.6170722092022</v>
      </c>
      <c r="W157" s="19">
        <v>1767.8876914662246</v>
      </c>
      <c r="X157" s="32">
        <f t="shared" si="11"/>
        <v>1766.8876914662246</v>
      </c>
      <c r="Y157" s="15">
        <v>0</v>
      </c>
      <c r="Z157" s="28">
        <v>2430</v>
      </c>
      <c r="AA157" s="33">
        <v>0.72752579895729408</v>
      </c>
      <c r="AB157" s="34">
        <v>7.329999999999999E-2</v>
      </c>
      <c r="AC157" s="34">
        <f t="shared" si="12"/>
        <v>5.0000000000000044E-3</v>
      </c>
      <c r="AD157" s="15">
        <v>12.276910000000001</v>
      </c>
      <c r="AE157" s="15">
        <v>34.410000000000004</v>
      </c>
      <c r="AF157" s="15">
        <v>36.44</v>
      </c>
      <c r="AG157" s="15" t="s">
        <v>1238</v>
      </c>
      <c r="AH157" s="15" t="s">
        <v>423</v>
      </c>
      <c r="AP157" s="57"/>
    </row>
    <row r="158" spans="2:42" ht="15" x14ac:dyDescent="0.25">
      <c r="B158" s="15">
        <v>156</v>
      </c>
      <c r="C158" s="15" t="s">
        <v>1239</v>
      </c>
      <c r="D158" s="17">
        <f t="shared" si="10"/>
        <v>20240129016</v>
      </c>
      <c r="E158" s="15" t="s">
        <v>1240</v>
      </c>
      <c r="F158" s="15" t="s">
        <v>1241</v>
      </c>
      <c r="G158" s="15" t="s">
        <v>1242</v>
      </c>
      <c r="H158" s="15">
        <v>18127414</v>
      </c>
      <c r="I158" s="78" t="s">
        <v>23</v>
      </c>
      <c r="J158" s="26">
        <v>45320</v>
      </c>
      <c r="K158" s="28">
        <v>1642.01</v>
      </c>
      <c r="L158" s="28">
        <v>325</v>
      </c>
      <c r="M158" s="28">
        <v>152.99</v>
      </c>
      <c r="N158" s="28">
        <v>2120</v>
      </c>
      <c r="O158" s="17">
        <v>0</v>
      </c>
      <c r="P158" s="17">
        <v>360</v>
      </c>
      <c r="Q158" s="17">
        <v>6</v>
      </c>
      <c r="R158" s="13">
        <v>7.8299999999999995E-2</v>
      </c>
      <c r="S158" s="14">
        <v>45514</v>
      </c>
      <c r="T158" s="14">
        <v>56290</v>
      </c>
      <c r="U158" s="31">
        <v>45323</v>
      </c>
      <c r="V158" s="19">
        <v>1722.519253834221</v>
      </c>
      <c r="W158" s="19">
        <v>1721.8196812430881</v>
      </c>
      <c r="X158" s="32">
        <f t="shared" si="11"/>
        <v>1720.8196812430881</v>
      </c>
      <c r="Y158" s="15">
        <v>0</v>
      </c>
      <c r="Z158" s="28">
        <v>2450</v>
      </c>
      <c r="AA158" s="33">
        <v>0.70278354336452575</v>
      </c>
      <c r="AB158" s="34">
        <v>7.329999999999999E-2</v>
      </c>
      <c r="AC158" s="34">
        <f t="shared" si="12"/>
        <v>5.0000000000000044E-3</v>
      </c>
      <c r="AD158" s="15">
        <v>11.963685</v>
      </c>
      <c r="AE158" s="15">
        <v>33.883623236013449</v>
      </c>
      <c r="AF158" s="15">
        <v>35.885417348461054</v>
      </c>
      <c r="AG158" s="15" t="s">
        <v>1243</v>
      </c>
      <c r="AH158" s="15" t="s">
        <v>423</v>
      </c>
      <c r="AP158" s="57"/>
    </row>
    <row r="159" spans="2:42" ht="15" x14ac:dyDescent="0.25">
      <c r="B159" s="15">
        <v>157</v>
      </c>
      <c r="C159" s="15" t="s">
        <v>1244</v>
      </c>
      <c r="D159" s="17">
        <f t="shared" si="10"/>
        <v>20240129019</v>
      </c>
      <c r="E159" s="15" t="s">
        <v>1128</v>
      </c>
      <c r="F159" s="15" t="s">
        <v>1245</v>
      </c>
      <c r="G159" s="15" t="s">
        <v>1246</v>
      </c>
      <c r="H159" s="15">
        <v>26436068</v>
      </c>
      <c r="I159" s="78">
        <v>4</v>
      </c>
      <c r="J159" s="26">
        <v>45320</v>
      </c>
      <c r="K159" s="28">
        <v>1395</v>
      </c>
      <c r="L159" s="28">
        <v>475</v>
      </c>
      <c r="M159" s="28">
        <v>80</v>
      </c>
      <c r="N159" s="28">
        <v>1950</v>
      </c>
      <c r="O159" s="17">
        <v>0</v>
      </c>
      <c r="P159" s="17">
        <v>360</v>
      </c>
      <c r="Q159" s="17">
        <v>6</v>
      </c>
      <c r="R159" s="13">
        <v>7.8299999999999995E-2</v>
      </c>
      <c r="S159" s="14">
        <v>45514</v>
      </c>
      <c r="T159" s="14">
        <v>56290</v>
      </c>
      <c r="U159" s="31">
        <v>45323</v>
      </c>
      <c r="V159" s="19">
        <v>1463.3981102266102</v>
      </c>
      <c r="W159" s="19">
        <v>1462.6826400035322</v>
      </c>
      <c r="X159" s="32">
        <f t="shared" si="11"/>
        <v>1461.6826400035322</v>
      </c>
      <c r="Y159" s="15">
        <v>0</v>
      </c>
      <c r="Z159" s="28">
        <v>1950</v>
      </c>
      <c r="AA159" s="33">
        <v>0.7500936615402729</v>
      </c>
      <c r="AB159" s="34">
        <v>7.329999999999999E-2</v>
      </c>
      <c r="AC159" s="34">
        <f t="shared" si="12"/>
        <v>5.0000000000000044E-3</v>
      </c>
      <c r="AD159" s="15">
        <v>10.163970000000001</v>
      </c>
      <c r="AE159" s="15">
        <v>37.438848857429818</v>
      </c>
      <c r="AF159" s="15">
        <v>39.484926005949518</v>
      </c>
      <c r="AG159" s="15" t="s">
        <v>1247</v>
      </c>
      <c r="AH159" s="15" t="s">
        <v>156</v>
      </c>
      <c r="AP159" s="57"/>
    </row>
    <row r="160" spans="2:42" ht="15" x14ac:dyDescent="0.25">
      <c r="B160" s="15">
        <v>158</v>
      </c>
      <c r="C160" s="15" t="s">
        <v>1248</v>
      </c>
      <c r="D160" s="17">
        <f t="shared" si="10"/>
        <v>20240129020</v>
      </c>
      <c r="E160" s="15" t="s">
        <v>1249</v>
      </c>
      <c r="F160" s="15" t="s">
        <v>1250</v>
      </c>
      <c r="G160" s="15" t="s">
        <v>1251</v>
      </c>
      <c r="H160" s="15">
        <v>26197077</v>
      </c>
      <c r="I160" s="78">
        <v>5</v>
      </c>
      <c r="J160" s="26">
        <v>45320</v>
      </c>
      <c r="K160" s="28">
        <v>810</v>
      </c>
      <c r="L160" s="28">
        <v>550</v>
      </c>
      <c r="M160" s="28">
        <v>40</v>
      </c>
      <c r="N160" s="28">
        <v>1400</v>
      </c>
      <c r="O160" s="17">
        <v>0</v>
      </c>
      <c r="P160" s="17">
        <v>192</v>
      </c>
      <c r="Q160" s="17">
        <v>6</v>
      </c>
      <c r="R160" s="13">
        <v>7.8299999999999995E-2</v>
      </c>
      <c r="S160" s="14">
        <v>45514</v>
      </c>
      <c r="T160" s="14">
        <v>51176</v>
      </c>
      <c r="U160" s="31">
        <v>45323</v>
      </c>
      <c r="V160" s="19">
        <v>836.02064396324511</v>
      </c>
      <c r="W160" s="19">
        <v>835.70934245029537</v>
      </c>
      <c r="X160" s="32">
        <f t="shared" si="11"/>
        <v>834.70934245029537</v>
      </c>
      <c r="Y160" s="15">
        <v>0</v>
      </c>
      <c r="Z160" s="28">
        <v>1400</v>
      </c>
      <c r="AA160" s="33">
        <v>0.59693524460735381</v>
      </c>
      <c r="AB160" s="34">
        <v>7.329999999999999E-2</v>
      </c>
      <c r="AC160" s="34">
        <f t="shared" si="12"/>
        <v>5.0000000000000044E-3</v>
      </c>
      <c r="AD160" s="15">
        <v>7.6220999999999997</v>
      </c>
      <c r="AE160" s="15">
        <v>19.25417210618463</v>
      </c>
      <c r="AF160" s="15">
        <v>22.618669229779016</v>
      </c>
      <c r="AG160" s="15" t="s">
        <v>1252</v>
      </c>
      <c r="AH160" s="15" t="s">
        <v>156</v>
      </c>
      <c r="AP160" s="57"/>
    </row>
    <row r="161" spans="2:42" ht="15" x14ac:dyDescent="0.25">
      <c r="B161" s="15">
        <v>159</v>
      </c>
      <c r="C161" s="15" t="s">
        <v>1253</v>
      </c>
      <c r="D161" s="17">
        <f t="shared" si="10"/>
        <v>20240129022</v>
      </c>
      <c r="E161" s="15" t="s">
        <v>1254</v>
      </c>
      <c r="F161" s="15" t="s">
        <v>1255</v>
      </c>
      <c r="G161" s="15" t="s">
        <v>1256</v>
      </c>
      <c r="H161" s="15">
        <v>16191747</v>
      </c>
      <c r="I161" s="78">
        <v>8</v>
      </c>
      <c r="J161" s="26">
        <v>45320</v>
      </c>
      <c r="K161" s="28">
        <v>1624.05</v>
      </c>
      <c r="L161" s="28">
        <v>375</v>
      </c>
      <c r="M161" s="28">
        <v>200.95000000000005</v>
      </c>
      <c r="N161" s="28">
        <v>2200</v>
      </c>
      <c r="O161" s="17">
        <v>0</v>
      </c>
      <c r="P161" s="17">
        <v>360</v>
      </c>
      <c r="Q161" s="17">
        <v>6</v>
      </c>
      <c r="R161" s="13">
        <v>7.8299999999999995E-2</v>
      </c>
      <c r="S161" s="14">
        <v>45514</v>
      </c>
      <c r="T161" s="14">
        <v>56290</v>
      </c>
      <c r="U161" s="31">
        <v>45323</v>
      </c>
      <c r="V161" s="19">
        <v>1703.678595486871</v>
      </c>
      <c r="W161" s="19">
        <v>1703.1043279032178</v>
      </c>
      <c r="X161" s="32">
        <f t="shared" si="11"/>
        <v>1702.1043279032178</v>
      </c>
      <c r="Y161" s="15">
        <v>0</v>
      </c>
      <c r="Z161" s="28">
        <v>2200</v>
      </c>
      <c r="AA161" s="33">
        <v>0.77413833086509898</v>
      </c>
      <c r="AB161" s="34">
        <v>7.329999999999999E-2</v>
      </c>
      <c r="AC161" s="34">
        <f t="shared" si="12"/>
        <v>5.0000000000000044E-3</v>
      </c>
      <c r="AD161" s="15">
        <v>11.832827999999999</v>
      </c>
      <c r="AE161" s="15">
        <v>37.474695611757689</v>
      </c>
      <c r="AF161" s="15">
        <v>40.527004654159782</v>
      </c>
      <c r="AG161" s="15" t="s">
        <v>1257</v>
      </c>
      <c r="AH161" s="15" t="s">
        <v>279</v>
      </c>
      <c r="AP161" s="57"/>
    </row>
    <row r="162" spans="2:42" ht="15" x14ac:dyDescent="0.25">
      <c r="B162" s="15">
        <v>160</v>
      </c>
      <c r="C162" s="15" t="s">
        <v>1258</v>
      </c>
      <c r="D162" s="17">
        <f t="shared" si="10"/>
        <v>20240130023</v>
      </c>
      <c r="E162" s="15" t="s">
        <v>1259</v>
      </c>
      <c r="F162" s="15" t="s">
        <v>668</v>
      </c>
      <c r="G162" s="15" t="s">
        <v>1260</v>
      </c>
      <c r="H162" s="15">
        <v>26096585</v>
      </c>
      <c r="I162" s="78">
        <v>9</v>
      </c>
      <c r="J162" s="26">
        <v>45321</v>
      </c>
      <c r="K162" s="28">
        <v>875</v>
      </c>
      <c r="L162" s="28">
        <v>600</v>
      </c>
      <c r="M162" s="28">
        <v>125</v>
      </c>
      <c r="N162" s="28">
        <v>1600</v>
      </c>
      <c r="O162" s="17">
        <v>0</v>
      </c>
      <c r="P162" s="17">
        <v>360</v>
      </c>
      <c r="Q162" s="17">
        <v>6</v>
      </c>
      <c r="R162" s="13">
        <v>7.8299999999999995E-2</v>
      </c>
      <c r="S162" s="14">
        <v>45514</v>
      </c>
      <c r="T162" s="14">
        <v>56290</v>
      </c>
      <c r="U162" s="31">
        <v>45323</v>
      </c>
      <c r="V162" s="19">
        <v>917.90204046471979</v>
      </c>
      <c r="W162" s="19">
        <v>918.49545123171993</v>
      </c>
      <c r="X162" s="32">
        <f t="shared" si="11"/>
        <v>917.49545123171993</v>
      </c>
      <c r="Y162" s="15">
        <v>0</v>
      </c>
      <c r="Z162" s="28">
        <v>2310</v>
      </c>
      <c r="AA162" s="33">
        <v>0.39761707845528999</v>
      </c>
      <c r="AB162" s="34">
        <v>7.329999999999999E-2</v>
      </c>
      <c r="AC162" s="34">
        <f t="shared" si="12"/>
        <v>5.0000000000000044E-3</v>
      </c>
      <c r="AD162" s="15">
        <v>6.3752500000000003</v>
      </c>
      <c r="AE162" s="15">
        <v>22.486539831830875</v>
      </c>
      <c r="AF162" s="15">
        <v>53.255131042775986</v>
      </c>
      <c r="AG162" s="15" t="s">
        <v>1261</v>
      </c>
      <c r="AH162" s="15" t="s">
        <v>214</v>
      </c>
      <c r="AP162" s="57"/>
    </row>
    <row r="163" spans="2:42" ht="15" x14ac:dyDescent="0.25">
      <c r="B163" s="15">
        <v>161</v>
      </c>
      <c r="C163" s="15" t="s">
        <v>1262</v>
      </c>
      <c r="D163" s="17">
        <f t="shared" si="10"/>
        <v>20240131024</v>
      </c>
      <c r="E163" s="15" t="s">
        <v>1263</v>
      </c>
      <c r="F163" s="15" t="s">
        <v>1264</v>
      </c>
      <c r="G163" s="15" t="s">
        <v>1265</v>
      </c>
      <c r="H163" s="15">
        <v>25807952</v>
      </c>
      <c r="I163" s="78">
        <v>3</v>
      </c>
      <c r="J163" s="26">
        <v>45322</v>
      </c>
      <c r="K163" s="28">
        <v>1645</v>
      </c>
      <c r="L163" s="28">
        <v>475</v>
      </c>
      <c r="M163" s="28">
        <v>80</v>
      </c>
      <c r="N163" s="28">
        <v>2200</v>
      </c>
      <c r="O163" s="17">
        <v>0</v>
      </c>
      <c r="P163" s="17">
        <v>360</v>
      </c>
      <c r="Q163" s="17">
        <v>6</v>
      </c>
      <c r="R163" s="13">
        <v>7.8299999999999995E-2</v>
      </c>
      <c r="S163" s="14">
        <v>45514</v>
      </c>
      <c r="T163" s="14">
        <v>56290</v>
      </c>
      <c r="U163" s="31">
        <v>45323</v>
      </c>
      <c r="V163" s="19">
        <v>1725.6558360736744</v>
      </c>
      <c r="W163" s="19">
        <v>1726.1371373522773</v>
      </c>
      <c r="X163" s="32">
        <f t="shared" si="11"/>
        <v>1725.1371373522773</v>
      </c>
      <c r="Y163" s="15">
        <v>0</v>
      </c>
      <c r="Z163" s="28">
        <v>2200</v>
      </c>
      <c r="AA163" s="33">
        <v>0.78460778970558054</v>
      </c>
      <c r="AB163" s="34">
        <v>7.329999999999999E-2</v>
      </c>
      <c r="AC163" s="34">
        <f t="shared" si="12"/>
        <v>5.0000000000000044E-3</v>
      </c>
      <c r="AD163" s="15">
        <v>11.985469999999999</v>
      </c>
      <c r="AE163" s="15">
        <v>34.535054597292977</v>
      </c>
      <c r="AF163" s="15">
        <v>52.398475767056617</v>
      </c>
      <c r="AG163" s="15" t="s">
        <v>1266</v>
      </c>
      <c r="AH163" s="15" t="s">
        <v>156</v>
      </c>
      <c r="AP163" s="57"/>
    </row>
    <row r="164" spans="2:42" ht="15" x14ac:dyDescent="0.25">
      <c r="B164" s="15">
        <v>162</v>
      </c>
      <c r="C164" s="15" t="s">
        <v>1267</v>
      </c>
      <c r="D164" s="17">
        <f t="shared" si="10"/>
        <v>20240130025</v>
      </c>
      <c r="E164" s="15" t="s">
        <v>1268</v>
      </c>
      <c r="F164" s="15" t="s">
        <v>1085</v>
      </c>
      <c r="G164" s="15" t="s">
        <v>1269</v>
      </c>
      <c r="H164" s="15">
        <v>18749577</v>
      </c>
      <c r="I164" s="78">
        <v>6</v>
      </c>
      <c r="J164" s="26">
        <v>45321</v>
      </c>
      <c r="K164" s="28">
        <v>1745</v>
      </c>
      <c r="L164" s="28">
        <v>375</v>
      </c>
      <c r="M164" s="28">
        <v>80</v>
      </c>
      <c r="N164" s="28">
        <v>2200</v>
      </c>
      <c r="O164" s="17">
        <v>0</v>
      </c>
      <c r="P164" s="17">
        <v>360</v>
      </c>
      <c r="Q164" s="17">
        <v>6</v>
      </c>
      <c r="R164" s="13">
        <v>7.8299999999999995E-2</v>
      </c>
      <c r="S164" s="14">
        <v>45514</v>
      </c>
      <c r="T164" s="14">
        <v>56290</v>
      </c>
      <c r="U164" s="31">
        <v>45323</v>
      </c>
      <c r="V164" s="19">
        <v>1830.5589264125015</v>
      </c>
      <c r="W164" s="19">
        <v>1829.7931495106088</v>
      </c>
      <c r="X164" s="32">
        <f t="shared" si="11"/>
        <v>1828.7931495106088</v>
      </c>
      <c r="Y164" s="15">
        <v>0</v>
      </c>
      <c r="Z164" s="28">
        <v>2200</v>
      </c>
      <c r="AA164" s="33">
        <v>0.83172415886845852</v>
      </c>
      <c r="AB164" s="34">
        <v>7.329999999999999E-2</v>
      </c>
      <c r="AC164" s="34">
        <f t="shared" si="12"/>
        <v>5.0000000000000044E-3</v>
      </c>
      <c r="AD164" s="15">
        <v>12.71407</v>
      </c>
      <c r="AE164" s="15">
        <v>19.370270794042266</v>
      </c>
      <c r="AF164" s="15">
        <v>31.963773236836712</v>
      </c>
      <c r="AG164" s="15" t="s">
        <v>1270</v>
      </c>
      <c r="AH164" s="15" t="s">
        <v>279</v>
      </c>
      <c r="AP164" s="57"/>
    </row>
    <row r="165" spans="2:42" ht="15" x14ac:dyDescent="0.25">
      <c r="B165" s="15">
        <v>163</v>
      </c>
      <c r="C165" s="15" t="s">
        <v>1271</v>
      </c>
      <c r="D165" s="17">
        <f t="shared" si="10"/>
        <v>20240131027</v>
      </c>
      <c r="E165" s="15" t="s">
        <v>1272</v>
      </c>
      <c r="F165" s="15" t="s">
        <v>1273</v>
      </c>
      <c r="G165" s="15" t="s">
        <v>1274</v>
      </c>
      <c r="H165" s="15">
        <v>26668120</v>
      </c>
      <c r="I165" s="78">
        <v>8</v>
      </c>
      <c r="J165" s="26">
        <v>45322</v>
      </c>
      <c r="K165" s="28">
        <v>1745</v>
      </c>
      <c r="L165" s="28">
        <v>375</v>
      </c>
      <c r="M165" s="28">
        <v>80</v>
      </c>
      <c r="N165" s="28">
        <v>2200</v>
      </c>
      <c r="O165" s="17">
        <v>0</v>
      </c>
      <c r="P165" s="17">
        <v>360</v>
      </c>
      <c r="Q165" s="17">
        <v>6</v>
      </c>
      <c r="R165" s="13">
        <v>7.8299999999999995E-2</v>
      </c>
      <c r="S165" s="14">
        <v>45514</v>
      </c>
      <c r="T165" s="14">
        <v>56290</v>
      </c>
      <c r="U165" s="31">
        <v>45323</v>
      </c>
      <c r="V165" s="19">
        <v>1830.5589264125015</v>
      </c>
      <c r="W165" s="19">
        <v>1829.7931495106088</v>
      </c>
      <c r="X165" s="32">
        <f t="shared" si="11"/>
        <v>1828.7931495106088</v>
      </c>
      <c r="Y165" s="15">
        <v>0</v>
      </c>
      <c r="Z165" s="28">
        <v>2200</v>
      </c>
      <c r="AA165" s="33">
        <v>0.83172415886845852</v>
      </c>
      <c r="AB165" s="34">
        <v>7.329999999999999E-2</v>
      </c>
      <c r="AC165" s="34">
        <f t="shared" si="12"/>
        <v>5.0000000000000044E-3</v>
      </c>
      <c r="AD165" s="15">
        <v>12.71407</v>
      </c>
      <c r="AE165" s="15">
        <v>23.690016692378556</v>
      </c>
      <c r="AF165" s="15">
        <v>35.828563147501427</v>
      </c>
      <c r="AG165" s="15" t="s">
        <v>1275</v>
      </c>
      <c r="AH165" s="15" t="s">
        <v>152</v>
      </c>
      <c r="AP165" s="57"/>
    </row>
    <row r="166" spans="2:42" ht="15" x14ac:dyDescent="0.25">
      <c r="B166" s="15">
        <v>164</v>
      </c>
      <c r="C166" s="15" t="s">
        <v>1276</v>
      </c>
      <c r="D166" s="17">
        <f t="shared" si="10"/>
        <v>20240131037</v>
      </c>
      <c r="E166" s="15" t="s">
        <v>1277</v>
      </c>
      <c r="F166" s="15" t="s">
        <v>1278</v>
      </c>
      <c r="G166" s="15" t="s">
        <v>1279</v>
      </c>
      <c r="H166" s="15">
        <v>17458572</v>
      </c>
      <c r="I166" s="78">
        <v>5</v>
      </c>
      <c r="J166" s="26">
        <v>45322</v>
      </c>
      <c r="K166" s="28">
        <v>860</v>
      </c>
      <c r="L166" s="28">
        <v>500</v>
      </c>
      <c r="M166" s="28">
        <v>40</v>
      </c>
      <c r="N166" s="28">
        <v>1400</v>
      </c>
      <c r="O166" s="17">
        <v>0</v>
      </c>
      <c r="P166" s="17">
        <v>360</v>
      </c>
      <c r="Q166" s="17">
        <v>6</v>
      </c>
      <c r="R166" s="13">
        <v>7.8299999999999995E-2</v>
      </c>
      <c r="S166" s="14">
        <v>45514</v>
      </c>
      <c r="T166" s="14">
        <v>56290</v>
      </c>
      <c r="U166" s="31">
        <v>45323</v>
      </c>
      <c r="V166" s="19">
        <v>902.20638293186448</v>
      </c>
      <c r="W166" s="19">
        <v>902.698655935788</v>
      </c>
      <c r="X166" s="32">
        <f t="shared" si="11"/>
        <v>901.698655935788</v>
      </c>
      <c r="Y166" s="15">
        <v>0</v>
      </c>
      <c r="Z166" s="28">
        <v>1800</v>
      </c>
      <c r="AA166" s="33">
        <v>0.50149925329765999</v>
      </c>
      <c r="AB166" s="34">
        <v>7.329999999999999E-2</v>
      </c>
      <c r="AC166" s="34">
        <f t="shared" si="12"/>
        <v>5.0000000000000044E-3</v>
      </c>
      <c r="AD166" s="15">
        <v>6.2659599999999998</v>
      </c>
      <c r="AE166" s="15">
        <v>39.604783273807044</v>
      </c>
      <c r="AF166" s="15">
        <v>48.66946939365792</v>
      </c>
      <c r="AG166" s="15" t="s">
        <v>1280</v>
      </c>
      <c r="AH166" s="15" t="s">
        <v>353</v>
      </c>
      <c r="AP166" s="57"/>
    </row>
    <row r="167" spans="2:42" ht="15" x14ac:dyDescent="0.25">
      <c r="B167" s="15">
        <v>165</v>
      </c>
      <c r="C167" s="15" t="s">
        <v>1281</v>
      </c>
      <c r="D167" s="17">
        <f t="shared" si="10"/>
        <v>20240131031</v>
      </c>
      <c r="E167" s="15" t="s">
        <v>1282</v>
      </c>
      <c r="F167" s="15" t="s">
        <v>1283</v>
      </c>
      <c r="G167" s="15" t="s">
        <v>1284</v>
      </c>
      <c r="H167" s="15">
        <v>18401717</v>
      </c>
      <c r="I167" s="78">
        <v>2</v>
      </c>
      <c r="J167" s="26">
        <v>45322</v>
      </c>
      <c r="K167" s="28">
        <v>1820</v>
      </c>
      <c r="L167" s="28">
        <v>700</v>
      </c>
      <c r="M167" s="28">
        <v>80</v>
      </c>
      <c r="N167" s="28">
        <v>2600</v>
      </c>
      <c r="O167" s="17">
        <v>0</v>
      </c>
      <c r="P167" s="17">
        <v>360</v>
      </c>
      <c r="Q167" s="17">
        <v>6</v>
      </c>
      <c r="R167" s="13">
        <v>7.8299999999999995E-2</v>
      </c>
      <c r="S167" s="14">
        <v>45514</v>
      </c>
      <c r="T167" s="14">
        <v>56290</v>
      </c>
      <c r="U167" s="31">
        <v>45323</v>
      </c>
      <c r="V167" s="19">
        <v>1995.5150083798173</v>
      </c>
      <c r="W167" s="19">
        <v>1995.3187498380462</v>
      </c>
      <c r="X167" s="32">
        <f t="shared" si="11"/>
        <v>1994.3187498380462</v>
      </c>
      <c r="Y167" s="15">
        <v>0</v>
      </c>
      <c r="Z167" s="28">
        <v>2600</v>
      </c>
      <c r="AA167" s="33">
        <v>0.76743028839924854</v>
      </c>
      <c r="AB167" s="34">
        <v>7.329999999999999E-2</v>
      </c>
      <c r="AC167" s="34">
        <f t="shared" si="12"/>
        <v>5.0000000000000044E-3</v>
      </c>
      <c r="AD167" s="15">
        <v>13.86</v>
      </c>
      <c r="AE167" s="15">
        <v>30.397619577905161</v>
      </c>
      <c r="AF167" s="15">
        <v>41.032687661372549</v>
      </c>
      <c r="AG167" s="15" t="s">
        <v>1285</v>
      </c>
      <c r="AH167" s="15" t="s">
        <v>282</v>
      </c>
      <c r="AP167" s="57"/>
    </row>
    <row r="168" spans="2:42" ht="15" x14ac:dyDescent="0.25">
      <c r="B168" s="15">
        <v>166</v>
      </c>
      <c r="C168" s="15" t="s">
        <v>1286</v>
      </c>
      <c r="D168" s="17">
        <f t="shared" si="10"/>
        <v>20240129032</v>
      </c>
      <c r="E168" s="15" t="s">
        <v>1287</v>
      </c>
      <c r="F168" s="15" t="s">
        <v>1288</v>
      </c>
      <c r="G168" s="15" t="s">
        <v>1289</v>
      </c>
      <c r="H168" s="15">
        <v>17201112</v>
      </c>
      <c r="I168" s="78">
        <v>8</v>
      </c>
      <c r="J168" s="26">
        <v>45320</v>
      </c>
      <c r="K168" s="28">
        <v>1401</v>
      </c>
      <c r="L168" s="28">
        <v>375</v>
      </c>
      <c r="M168" s="28">
        <v>94</v>
      </c>
      <c r="N168" s="28">
        <v>1870</v>
      </c>
      <c r="O168" s="17">
        <v>0</v>
      </c>
      <c r="P168" s="17">
        <v>360</v>
      </c>
      <c r="Q168" s="17">
        <v>6</v>
      </c>
      <c r="R168" s="13">
        <v>7.8299999999999995E-2</v>
      </c>
      <c r="S168" s="14">
        <v>45514</v>
      </c>
      <c r="T168" s="14">
        <v>56290</v>
      </c>
      <c r="U168" s="31">
        <v>45323</v>
      </c>
      <c r="V168" s="19">
        <v>1553.5067877197778</v>
      </c>
      <c r="W168" s="19">
        <v>1553.3540009465453</v>
      </c>
      <c r="X168" s="32">
        <f t="shared" si="11"/>
        <v>1552.3540009465453</v>
      </c>
      <c r="Y168" s="15">
        <v>0</v>
      </c>
      <c r="Z168" s="28">
        <v>2400</v>
      </c>
      <c r="AA168" s="33">
        <v>0.64723083372772716</v>
      </c>
      <c r="AB168" s="34">
        <v>7.329999999999999E-2</v>
      </c>
      <c r="AC168" s="34">
        <f t="shared" si="12"/>
        <v>5.0000000000000044E-3</v>
      </c>
      <c r="AD168" s="15">
        <v>10.79</v>
      </c>
      <c r="AE168" s="15">
        <v>34.679409460815471</v>
      </c>
      <c r="AF168" s="15">
        <v>49.239793445830685</v>
      </c>
      <c r="AG168" s="15" t="s">
        <v>1290</v>
      </c>
      <c r="AH168" s="15" t="s">
        <v>279</v>
      </c>
      <c r="AP168" s="57"/>
    </row>
    <row r="169" spans="2:42" ht="15" x14ac:dyDescent="0.25">
      <c r="B169" s="15">
        <v>167</v>
      </c>
      <c r="C169" s="15" t="s">
        <v>1291</v>
      </c>
      <c r="D169" s="17">
        <f t="shared" si="10"/>
        <v>20240130035</v>
      </c>
      <c r="E169" s="15" t="s">
        <v>1292</v>
      </c>
      <c r="F169" s="15" t="s">
        <v>1277</v>
      </c>
      <c r="G169" s="15" t="s">
        <v>1293</v>
      </c>
      <c r="H169" s="15">
        <v>19023080</v>
      </c>
      <c r="I169" s="78">
        <v>5</v>
      </c>
      <c r="J169" s="26">
        <v>45321</v>
      </c>
      <c r="K169" s="28">
        <v>1543.85</v>
      </c>
      <c r="L169" s="28">
        <v>700</v>
      </c>
      <c r="M169" s="28">
        <v>81.150000000000091</v>
      </c>
      <c r="N169" s="28">
        <v>2325</v>
      </c>
      <c r="O169" s="17">
        <v>1</v>
      </c>
      <c r="P169" s="17">
        <v>360</v>
      </c>
      <c r="Q169" s="17">
        <v>6</v>
      </c>
      <c r="R169" s="13">
        <v>7.8299999999999995E-2</v>
      </c>
      <c r="S169" s="14">
        <v>45514</v>
      </c>
      <c r="T169" s="14">
        <v>56290</v>
      </c>
      <c r="U169" s="31">
        <v>45323</v>
      </c>
      <c r="V169" s="19">
        <v>1700.362564668766</v>
      </c>
      <c r="W169" s="19">
        <v>1700.1953351593538</v>
      </c>
      <c r="X169" s="32">
        <f t="shared" si="11"/>
        <v>1699.1953351593538</v>
      </c>
      <c r="Y169" s="15">
        <v>0</v>
      </c>
      <c r="Z169" s="28">
        <v>2600</v>
      </c>
      <c r="AA169" s="33">
        <v>0.65392128275359762</v>
      </c>
      <c r="AB169" s="34">
        <v>7.329999999999999E-2</v>
      </c>
      <c r="AC169" s="34">
        <f t="shared" si="12"/>
        <v>5.0000000000000044E-3</v>
      </c>
      <c r="AD169" s="15">
        <v>11.81</v>
      </c>
      <c r="AE169" s="15">
        <v>32.842104455167423</v>
      </c>
      <c r="AF169" s="15">
        <v>39.735613964785905</v>
      </c>
      <c r="AG169" s="15" t="s">
        <v>1294</v>
      </c>
      <c r="AH169" s="15" t="s">
        <v>282</v>
      </c>
      <c r="AP169" s="57"/>
    </row>
    <row r="170" spans="2:42" ht="15" x14ac:dyDescent="0.25">
      <c r="B170" s="15">
        <v>168</v>
      </c>
      <c r="C170" s="15" t="s">
        <v>1295</v>
      </c>
      <c r="D170" s="17">
        <f t="shared" si="10"/>
        <v>20240131061</v>
      </c>
      <c r="E170" s="15" t="s">
        <v>1032</v>
      </c>
      <c r="F170" s="15" t="s">
        <v>1296</v>
      </c>
      <c r="G170" s="15" t="s">
        <v>1297</v>
      </c>
      <c r="H170" s="15">
        <v>14201520</v>
      </c>
      <c r="I170" s="78" t="s">
        <v>23</v>
      </c>
      <c r="J170" s="26">
        <v>45322</v>
      </c>
      <c r="K170" s="28">
        <v>1760</v>
      </c>
      <c r="L170" s="28">
        <v>325</v>
      </c>
      <c r="M170" s="28">
        <v>115</v>
      </c>
      <c r="N170" s="28">
        <v>2200</v>
      </c>
      <c r="O170" s="17">
        <v>2</v>
      </c>
      <c r="P170" s="17">
        <v>360</v>
      </c>
      <c r="Q170" s="17">
        <v>6</v>
      </c>
      <c r="R170" s="13">
        <v>7.8299999999999995E-2</v>
      </c>
      <c r="S170" s="14">
        <v>45514</v>
      </c>
      <c r="T170" s="14">
        <v>56290</v>
      </c>
      <c r="U170" s="31">
        <v>45323</v>
      </c>
      <c r="V170" s="19">
        <v>1952.3206532332604</v>
      </c>
      <c r="W170" s="19">
        <v>1952.128645133532</v>
      </c>
      <c r="X170" s="32">
        <f t="shared" si="11"/>
        <v>1951.128645133532</v>
      </c>
      <c r="Y170" s="15">
        <v>0</v>
      </c>
      <c r="Z170" s="28">
        <v>2770</v>
      </c>
      <c r="AA170" s="33">
        <v>0.70473958308069751</v>
      </c>
      <c r="AB170" s="34">
        <v>7.329999999999999E-2</v>
      </c>
      <c r="AC170" s="34">
        <f t="shared" si="12"/>
        <v>5.0000000000000044E-3</v>
      </c>
      <c r="AD170" s="15">
        <v>13.56</v>
      </c>
      <c r="AE170" s="15">
        <v>30.574862583064512</v>
      </c>
      <c r="AF170" s="15">
        <v>32.902269226508416</v>
      </c>
      <c r="AG170" s="15" t="s">
        <v>1298</v>
      </c>
      <c r="AH170" s="15" t="s">
        <v>155</v>
      </c>
      <c r="AP170" s="57"/>
    </row>
    <row r="171" spans="2:42" ht="15" x14ac:dyDescent="0.25">
      <c r="B171" s="15">
        <v>169</v>
      </c>
      <c r="C171" s="15" t="s">
        <v>1299</v>
      </c>
      <c r="D171" s="17">
        <f t="shared" si="10"/>
        <v>20240131043</v>
      </c>
      <c r="E171" s="15" t="s">
        <v>1300</v>
      </c>
      <c r="F171" s="15" t="s">
        <v>1301</v>
      </c>
      <c r="G171" s="15" t="s">
        <v>1302</v>
      </c>
      <c r="H171" s="15">
        <v>19237117</v>
      </c>
      <c r="I171" s="78">
        <v>1</v>
      </c>
      <c r="J171" s="26">
        <v>45322</v>
      </c>
      <c r="K171" s="28">
        <v>2000</v>
      </c>
      <c r="L171" s="28">
        <v>325</v>
      </c>
      <c r="M171" s="28">
        <v>175</v>
      </c>
      <c r="N171" s="28">
        <v>2500</v>
      </c>
      <c r="O171" s="17">
        <v>3</v>
      </c>
      <c r="P171" s="17">
        <v>360</v>
      </c>
      <c r="Q171" s="17">
        <v>6</v>
      </c>
      <c r="R171" s="13">
        <v>7.8299999999999995E-2</v>
      </c>
      <c r="S171" s="14">
        <v>45514</v>
      </c>
      <c r="T171" s="14">
        <v>56290</v>
      </c>
      <c r="U171" s="31">
        <v>45323</v>
      </c>
      <c r="V171" s="19">
        <v>2197.0946544795797</v>
      </c>
      <c r="W171" s="19">
        <v>2196.8785501049911</v>
      </c>
      <c r="X171" s="32">
        <f t="shared" si="11"/>
        <v>2195.8785501049911</v>
      </c>
      <c r="Y171" s="15">
        <v>0</v>
      </c>
      <c r="Z171" s="28">
        <v>2891</v>
      </c>
      <c r="AA171" s="33">
        <v>0.75990264617951953</v>
      </c>
      <c r="AB171" s="34">
        <v>7.329999999999999E-2</v>
      </c>
      <c r="AC171" s="34">
        <f t="shared" si="12"/>
        <v>5.0000000000000044E-3</v>
      </c>
      <c r="AD171" s="15">
        <v>15.26</v>
      </c>
      <c r="AE171" s="15">
        <v>26.856175069936722</v>
      </c>
      <c r="AF171" s="15">
        <v>28.324577001767416</v>
      </c>
      <c r="AG171" s="15" t="s">
        <v>1303</v>
      </c>
      <c r="AH171" s="15" t="s">
        <v>290</v>
      </c>
      <c r="AP171" s="57"/>
    </row>
    <row r="172" spans="2:42" ht="15" x14ac:dyDescent="0.25">
      <c r="B172" s="15">
        <v>170</v>
      </c>
      <c r="C172" s="15" t="s">
        <v>1304</v>
      </c>
      <c r="D172" s="17">
        <f t="shared" si="10"/>
        <v>20240131047</v>
      </c>
      <c r="E172" s="15" t="s">
        <v>1305</v>
      </c>
      <c r="F172" s="15" t="s">
        <v>1306</v>
      </c>
      <c r="G172" s="15" t="s">
        <v>1307</v>
      </c>
      <c r="H172" s="15">
        <v>13792456</v>
      </c>
      <c r="I172" s="78">
        <v>0</v>
      </c>
      <c r="J172" s="26">
        <v>45322</v>
      </c>
      <c r="K172" s="28">
        <v>1545</v>
      </c>
      <c r="L172" s="28">
        <v>700</v>
      </c>
      <c r="M172" s="28">
        <v>80</v>
      </c>
      <c r="N172" s="28">
        <v>2325</v>
      </c>
      <c r="O172" s="17">
        <v>4</v>
      </c>
      <c r="P172" s="17">
        <v>360</v>
      </c>
      <c r="Q172" s="17">
        <v>6</v>
      </c>
      <c r="R172" s="13">
        <v>7.8299999999999995E-2</v>
      </c>
      <c r="S172" s="14">
        <v>45514</v>
      </c>
      <c r="T172" s="14">
        <v>56290</v>
      </c>
      <c r="U172" s="31">
        <v>45323</v>
      </c>
      <c r="V172" s="19">
        <v>1701.8022567320033</v>
      </c>
      <c r="W172" s="19">
        <v>1701.6348857499199</v>
      </c>
      <c r="X172" s="32">
        <f t="shared" si="11"/>
        <v>1700.6348857499199</v>
      </c>
      <c r="Y172" s="15">
        <v>0</v>
      </c>
      <c r="Z172" s="28">
        <v>2600</v>
      </c>
      <c r="AA172" s="33">
        <v>0.65447495605766148</v>
      </c>
      <c r="AB172" s="34">
        <v>7.329999999999999E-2</v>
      </c>
      <c r="AC172" s="34">
        <f t="shared" si="12"/>
        <v>5.0000000000000044E-3</v>
      </c>
      <c r="AD172" s="15">
        <v>11.82</v>
      </c>
      <c r="AE172" s="15">
        <v>24.86413171459095</v>
      </c>
      <c r="AF172" s="15">
        <v>28.54413308753368</v>
      </c>
      <c r="AG172" s="15" t="s">
        <v>1308</v>
      </c>
      <c r="AH172" s="15" t="s">
        <v>282</v>
      </c>
      <c r="AP172" s="57"/>
    </row>
    <row r="173" spans="2:42" ht="15" x14ac:dyDescent="0.25">
      <c r="B173" s="15">
        <v>171</v>
      </c>
      <c r="C173" s="15" t="s">
        <v>1309</v>
      </c>
      <c r="D173" s="17">
        <f t="shared" si="10"/>
        <v>20240131051</v>
      </c>
      <c r="E173" s="15" t="s">
        <v>1310</v>
      </c>
      <c r="F173" s="15" t="s">
        <v>1311</v>
      </c>
      <c r="G173" s="15" t="s">
        <v>1312</v>
      </c>
      <c r="H173" s="15">
        <v>18545308</v>
      </c>
      <c r="I173" s="78">
        <v>1</v>
      </c>
      <c r="J173" s="26">
        <v>45322</v>
      </c>
      <c r="K173" s="28">
        <v>1195</v>
      </c>
      <c r="L173" s="28">
        <v>625</v>
      </c>
      <c r="M173" s="28">
        <v>80</v>
      </c>
      <c r="N173" s="28">
        <v>1900</v>
      </c>
      <c r="O173" s="17">
        <v>5</v>
      </c>
      <c r="P173" s="17">
        <v>360</v>
      </c>
      <c r="Q173" s="17">
        <v>6</v>
      </c>
      <c r="R173" s="13">
        <v>7.8299999999999995E-2</v>
      </c>
      <c r="S173" s="14">
        <v>45514</v>
      </c>
      <c r="T173" s="14">
        <v>56290</v>
      </c>
      <c r="U173" s="31">
        <v>45323</v>
      </c>
      <c r="V173" s="19">
        <v>1326.023464230283</v>
      </c>
      <c r="W173" s="19">
        <v>1325.8930510119926</v>
      </c>
      <c r="X173" s="32">
        <f t="shared" si="11"/>
        <v>1324.8930510119926</v>
      </c>
      <c r="Y173" s="15">
        <v>0</v>
      </c>
      <c r="Z173" s="28">
        <v>2025</v>
      </c>
      <c r="AA173" s="33">
        <v>0.65476200049974942</v>
      </c>
      <c r="AB173" s="34">
        <v>7.329999999999999E-2</v>
      </c>
      <c r="AC173" s="34">
        <f t="shared" si="12"/>
        <v>5.0000000000000044E-3</v>
      </c>
      <c r="AD173" s="15">
        <v>9.2100000000000009</v>
      </c>
      <c r="AE173" s="15">
        <v>23.532344066732058</v>
      </c>
      <c r="AF173" s="15">
        <v>27.434038088889412</v>
      </c>
      <c r="AG173" s="15" t="s">
        <v>1313</v>
      </c>
      <c r="AH173" s="15" t="s">
        <v>306</v>
      </c>
      <c r="AP173" s="57"/>
    </row>
    <row r="174" spans="2:42" ht="15" x14ac:dyDescent="0.25">
      <c r="B174" s="15">
        <v>172</v>
      </c>
      <c r="C174" s="15" t="s">
        <v>1314</v>
      </c>
      <c r="D174" s="17">
        <f t="shared" si="10"/>
        <v>20240131056</v>
      </c>
      <c r="E174" s="15" t="s">
        <v>1315</v>
      </c>
      <c r="F174" s="15" t="s">
        <v>1128</v>
      </c>
      <c r="G174" s="15" t="s">
        <v>1316</v>
      </c>
      <c r="H174" s="15">
        <v>14564680</v>
      </c>
      <c r="I174" s="78">
        <v>4</v>
      </c>
      <c r="J174" s="26">
        <v>45322</v>
      </c>
      <c r="K174" s="28">
        <v>1246</v>
      </c>
      <c r="L174" s="28">
        <v>475</v>
      </c>
      <c r="M174" s="28">
        <v>129</v>
      </c>
      <c r="N174" s="28">
        <v>1850</v>
      </c>
      <c r="O174" s="17">
        <v>6</v>
      </c>
      <c r="P174" s="17">
        <v>348</v>
      </c>
      <c r="Q174" s="17">
        <v>6</v>
      </c>
      <c r="R174" s="13">
        <v>7.8299999999999995E-2</v>
      </c>
      <c r="S174" s="14">
        <v>45514</v>
      </c>
      <c r="T174" s="14">
        <v>55925</v>
      </c>
      <c r="U174" s="31">
        <v>45323</v>
      </c>
      <c r="V174" s="19">
        <v>1377.767282905535</v>
      </c>
      <c r="W174" s="19">
        <v>1377.631826847055</v>
      </c>
      <c r="X174" s="32">
        <f t="shared" si="11"/>
        <v>1376.631826847055</v>
      </c>
      <c r="Y174" s="15">
        <v>0</v>
      </c>
      <c r="Z174" s="28">
        <v>1850</v>
      </c>
      <c r="AA174" s="33">
        <v>0.74466585234975946</v>
      </c>
      <c r="AB174" s="34">
        <v>7.329999999999999E-2</v>
      </c>
      <c r="AC174" s="34">
        <f t="shared" si="12"/>
        <v>5.0000000000000044E-3</v>
      </c>
      <c r="AD174" s="15">
        <v>9.67</v>
      </c>
      <c r="AE174" s="15">
        <v>33.85018999630028</v>
      </c>
      <c r="AF174" s="15">
        <v>49.957545042589778</v>
      </c>
      <c r="AG174" s="15" t="s">
        <v>1317</v>
      </c>
      <c r="AH174" s="15" t="s">
        <v>156</v>
      </c>
      <c r="AP174" s="57"/>
    </row>
    <row r="175" spans="2:42" ht="15" x14ac:dyDescent="0.25">
      <c r="B175" s="15">
        <v>173</v>
      </c>
      <c r="D175" s="17">
        <f t="shared" si="10"/>
        <v>0</v>
      </c>
      <c r="J175" s="26"/>
      <c r="K175" s="28"/>
      <c r="L175" s="28"/>
      <c r="M175" s="28"/>
      <c r="N175" s="28"/>
      <c r="R175" s="13"/>
      <c r="U175" s="31"/>
      <c r="X175" s="32"/>
      <c r="Y175" s="28"/>
      <c r="Z175" s="28"/>
      <c r="AA175" s="33"/>
      <c r="AB175" s="34"/>
      <c r="AC175" s="34" t="str">
        <f t="shared" ref="AC131:AC194" si="13">+IF(AB175="","",R175-AB175)</f>
        <v/>
      </c>
      <c r="AP175" s="57"/>
    </row>
    <row r="176" spans="2:42" ht="15" x14ac:dyDescent="0.25">
      <c r="B176" s="15">
        <v>174</v>
      </c>
      <c r="D176" s="17">
        <f t="shared" si="10"/>
        <v>0</v>
      </c>
      <c r="J176" s="26"/>
      <c r="K176" s="28"/>
      <c r="L176" s="28"/>
      <c r="M176" s="28"/>
      <c r="N176" s="28"/>
      <c r="R176" s="13"/>
      <c r="U176" s="31"/>
      <c r="X176" s="32"/>
      <c r="Y176" s="28"/>
      <c r="Z176" s="28"/>
      <c r="AA176" s="33"/>
      <c r="AB176" s="34"/>
      <c r="AC176" s="34" t="str">
        <f t="shared" si="13"/>
        <v/>
      </c>
      <c r="AP176" s="57"/>
    </row>
    <row r="177" spans="2:42" ht="15" x14ac:dyDescent="0.25">
      <c r="B177" s="15">
        <v>175</v>
      </c>
      <c r="D177" s="17">
        <f t="shared" ref="D177:D240" si="14">_xlfn.NUMBERVALUE(+LEFT(C177,11))</f>
        <v>0</v>
      </c>
      <c r="J177" s="26"/>
      <c r="K177" s="28"/>
      <c r="L177" s="28"/>
      <c r="M177" s="28"/>
      <c r="N177" s="28"/>
      <c r="R177" s="13"/>
      <c r="U177" s="31"/>
      <c r="X177" s="32"/>
      <c r="Y177" s="28"/>
      <c r="Z177" s="28"/>
      <c r="AA177" s="33"/>
      <c r="AB177" s="34"/>
      <c r="AC177" s="34" t="str">
        <f t="shared" si="13"/>
        <v/>
      </c>
      <c r="AP177" s="57"/>
    </row>
    <row r="178" spans="2:42" ht="15" x14ac:dyDescent="0.25">
      <c r="B178" s="15">
        <v>176</v>
      </c>
      <c r="D178" s="17">
        <f t="shared" si="14"/>
        <v>0</v>
      </c>
      <c r="J178" s="26"/>
      <c r="K178" s="28"/>
      <c r="L178" s="28"/>
      <c r="M178" s="28"/>
      <c r="N178" s="28"/>
      <c r="R178" s="13"/>
      <c r="U178" s="31"/>
      <c r="X178" s="32"/>
      <c r="Y178" s="28"/>
      <c r="Z178" s="28"/>
      <c r="AA178" s="33"/>
      <c r="AB178" s="34"/>
      <c r="AC178" s="34" t="str">
        <f t="shared" si="13"/>
        <v/>
      </c>
      <c r="AP178" s="57"/>
    </row>
    <row r="179" spans="2:42" ht="15" x14ac:dyDescent="0.25">
      <c r="B179" s="15">
        <v>177</v>
      </c>
      <c r="D179" s="17">
        <f t="shared" si="14"/>
        <v>0</v>
      </c>
      <c r="J179" s="26"/>
      <c r="K179" s="28"/>
      <c r="L179" s="28"/>
      <c r="M179" s="28"/>
      <c r="N179" s="28"/>
      <c r="R179" s="13"/>
      <c r="U179" s="31"/>
      <c r="X179" s="32"/>
      <c r="Y179" s="28"/>
      <c r="Z179" s="28"/>
      <c r="AA179" s="33"/>
      <c r="AB179" s="34"/>
      <c r="AC179" s="34" t="str">
        <f t="shared" si="13"/>
        <v/>
      </c>
      <c r="AP179" s="57"/>
    </row>
    <row r="180" spans="2:42" ht="15" x14ac:dyDescent="0.25">
      <c r="B180" s="15">
        <v>178</v>
      </c>
      <c r="D180" s="17">
        <f t="shared" si="14"/>
        <v>0</v>
      </c>
      <c r="J180" s="26"/>
      <c r="K180" s="28"/>
      <c r="L180" s="28"/>
      <c r="M180" s="28"/>
      <c r="N180" s="28"/>
      <c r="R180" s="13"/>
      <c r="U180" s="31"/>
      <c r="X180" s="32"/>
      <c r="Y180" s="28"/>
      <c r="Z180" s="28"/>
      <c r="AA180" s="33"/>
      <c r="AB180" s="34"/>
      <c r="AC180" s="34" t="str">
        <f t="shared" si="13"/>
        <v/>
      </c>
      <c r="AP180" s="57"/>
    </row>
    <row r="181" spans="2:42" ht="15" x14ac:dyDescent="0.25">
      <c r="B181" s="15">
        <v>179</v>
      </c>
      <c r="D181" s="17">
        <f t="shared" si="14"/>
        <v>0</v>
      </c>
      <c r="J181" s="26"/>
      <c r="K181" s="28"/>
      <c r="L181" s="28"/>
      <c r="M181" s="28"/>
      <c r="N181" s="28"/>
      <c r="R181" s="13"/>
      <c r="U181" s="31"/>
      <c r="X181" s="32"/>
      <c r="Y181" s="28"/>
      <c r="Z181" s="28"/>
      <c r="AA181" s="33"/>
      <c r="AB181" s="34"/>
      <c r="AC181" s="34" t="str">
        <f t="shared" si="13"/>
        <v/>
      </c>
      <c r="AP181" s="57"/>
    </row>
    <row r="182" spans="2:42" ht="15" x14ac:dyDescent="0.25">
      <c r="B182" s="15">
        <v>180</v>
      </c>
      <c r="D182" s="17">
        <f t="shared" si="14"/>
        <v>0</v>
      </c>
      <c r="J182" s="26"/>
      <c r="K182" s="28"/>
      <c r="L182" s="28"/>
      <c r="M182" s="28"/>
      <c r="N182" s="28"/>
      <c r="R182" s="13"/>
      <c r="U182" s="31"/>
      <c r="X182" s="32"/>
      <c r="Y182" s="28"/>
      <c r="Z182" s="28"/>
      <c r="AA182" s="33"/>
      <c r="AB182" s="34"/>
      <c r="AC182" s="34" t="str">
        <f t="shared" si="13"/>
        <v/>
      </c>
      <c r="AP182" s="57"/>
    </row>
    <row r="183" spans="2:42" ht="15" x14ac:dyDescent="0.25">
      <c r="B183" s="15">
        <v>181</v>
      </c>
      <c r="D183" s="17">
        <f t="shared" si="14"/>
        <v>0</v>
      </c>
      <c r="J183" s="26"/>
      <c r="K183" s="28"/>
      <c r="L183" s="28"/>
      <c r="M183" s="28"/>
      <c r="N183" s="28"/>
      <c r="R183" s="13"/>
      <c r="U183" s="31"/>
      <c r="X183" s="32"/>
      <c r="Y183" s="28"/>
      <c r="Z183" s="28"/>
      <c r="AA183" s="33"/>
      <c r="AB183" s="34"/>
      <c r="AC183" s="34" t="str">
        <f t="shared" si="13"/>
        <v/>
      </c>
      <c r="AP183" s="57"/>
    </row>
    <row r="184" spans="2:42" ht="15" x14ac:dyDescent="0.25">
      <c r="B184" s="15">
        <v>182</v>
      </c>
      <c r="D184" s="17">
        <f t="shared" si="14"/>
        <v>0</v>
      </c>
      <c r="J184" s="26"/>
      <c r="K184" s="28"/>
      <c r="L184" s="28"/>
      <c r="M184" s="28"/>
      <c r="N184" s="28"/>
      <c r="R184" s="13"/>
      <c r="U184" s="31"/>
      <c r="X184" s="32"/>
      <c r="Y184" s="28"/>
      <c r="Z184" s="28"/>
      <c r="AA184" s="33"/>
      <c r="AB184" s="34"/>
      <c r="AC184" s="34" t="str">
        <f t="shared" si="13"/>
        <v/>
      </c>
      <c r="AP184" s="57"/>
    </row>
    <row r="185" spans="2:42" ht="15" x14ac:dyDescent="0.25">
      <c r="B185" s="15">
        <v>183</v>
      </c>
      <c r="D185" s="17">
        <f t="shared" si="14"/>
        <v>0</v>
      </c>
      <c r="J185" s="26"/>
      <c r="K185" s="28"/>
      <c r="L185" s="28"/>
      <c r="M185" s="28"/>
      <c r="N185" s="28"/>
      <c r="R185" s="13"/>
      <c r="U185" s="31"/>
      <c r="X185" s="32"/>
      <c r="Y185" s="28"/>
      <c r="Z185" s="28"/>
      <c r="AA185" s="33"/>
      <c r="AB185" s="34"/>
      <c r="AC185" s="34" t="str">
        <f t="shared" si="13"/>
        <v/>
      </c>
      <c r="AP185" s="57"/>
    </row>
    <row r="186" spans="2:42" ht="15" x14ac:dyDescent="0.25">
      <c r="B186" s="15">
        <v>184</v>
      </c>
      <c r="D186" s="17">
        <f t="shared" si="14"/>
        <v>0</v>
      </c>
      <c r="J186" s="26"/>
      <c r="K186" s="28"/>
      <c r="L186" s="28"/>
      <c r="M186" s="28"/>
      <c r="N186" s="28"/>
      <c r="R186" s="13"/>
      <c r="U186" s="31"/>
      <c r="X186" s="32"/>
      <c r="Y186" s="28"/>
      <c r="Z186" s="28"/>
      <c r="AA186" s="33"/>
      <c r="AB186" s="34"/>
      <c r="AC186" s="34" t="str">
        <f t="shared" si="13"/>
        <v/>
      </c>
      <c r="AP186" s="57"/>
    </row>
    <row r="187" spans="2:42" ht="15" x14ac:dyDescent="0.25">
      <c r="B187" s="15">
        <v>185</v>
      </c>
      <c r="D187" s="17">
        <f t="shared" si="14"/>
        <v>0</v>
      </c>
      <c r="J187" s="26"/>
      <c r="K187" s="28"/>
      <c r="L187" s="28"/>
      <c r="M187" s="28"/>
      <c r="N187" s="28"/>
      <c r="R187" s="13"/>
      <c r="U187" s="31"/>
      <c r="X187" s="32"/>
      <c r="Y187" s="28"/>
      <c r="Z187" s="28"/>
      <c r="AA187" s="33"/>
      <c r="AB187" s="34"/>
      <c r="AC187" s="34" t="str">
        <f t="shared" si="13"/>
        <v/>
      </c>
      <c r="AP187" s="57"/>
    </row>
    <row r="188" spans="2:42" ht="15" x14ac:dyDescent="0.25">
      <c r="B188" s="15">
        <v>186</v>
      </c>
      <c r="D188" s="17">
        <f t="shared" si="14"/>
        <v>0</v>
      </c>
      <c r="J188" s="26"/>
      <c r="K188" s="28"/>
      <c r="L188" s="28"/>
      <c r="M188" s="28"/>
      <c r="N188" s="28"/>
      <c r="R188" s="13"/>
      <c r="U188" s="31"/>
      <c r="X188" s="32"/>
      <c r="Y188" s="28"/>
      <c r="Z188" s="28"/>
      <c r="AA188" s="33"/>
      <c r="AB188" s="34"/>
      <c r="AC188" s="34" t="str">
        <f t="shared" si="13"/>
        <v/>
      </c>
      <c r="AP188" s="57"/>
    </row>
    <row r="189" spans="2:42" ht="15" x14ac:dyDescent="0.25">
      <c r="B189" s="15">
        <v>187</v>
      </c>
      <c r="D189" s="17">
        <f t="shared" si="14"/>
        <v>0</v>
      </c>
      <c r="J189" s="26"/>
      <c r="K189" s="28"/>
      <c r="L189" s="28"/>
      <c r="M189" s="28"/>
      <c r="N189" s="28"/>
      <c r="R189" s="13"/>
      <c r="U189" s="31"/>
      <c r="X189" s="32"/>
      <c r="Y189" s="28"/>
      <c r="Z189" s="28"/>
      <c r="AA189" s="33"/>
      <c r="AB189" s="34"/>
      <c r="AC189" s="34" t="str">
        <f t="shared" si="13"/>
        <v/>
      </c>
      <c r="AP189" s="57"/>
    </row>
    <row r="190" spans="2:42" ht="15" x14ac:dyDescent="0.25">
      <c r="B190" s="15">
        <v>188</v>
      </c>
      <c r="D190" s="17">
        <f t="shared" si="14"/>
        <v>0</v>
      </c>
      <c r="J190" s="26"/>
      <c r="K190" s="28"/>
      <c r="L190" s="28"/>
      <c r="M190" s="28"/>
      <c r="N190" s="28"/>
      <c r="R190" s="13"/>
      <c r="U190" s="31"/>
      <c r="X190" s="32"/>
      <c r="Y190" s="28"/>
      <c r="Z190" s="28"/>
      <c r="AA190" s="33"/>
      <c r="AB190" s="34"/>
      <c r="AC190" s="34" t="str">
        <f t="shared" si="13"/>
        <v/>
      </c>
      <c r="AP190" s="57"/>
    </row>
    <row r="191" spans="2:42" ht="15" x14ac:dyDescent="0.25">
      <c r="B191" s="15">
        <v>189</v>
      </c>
      <c r="D191" s="17">
        <f t="shared" si="14"/>
        <v>0</v>
      </c>
      <c r="F191" s="25"/>
      <c r="G191" s="25"/>
      <c r="H191" s="25"/>
      <c r="I191" s="25"/>
      <c r="J191" s="26"/>
      <c r="K191" s="27"/>
      <c r="L191" s="28"/>
      <c r="M191" s="28"/>
      <c r="N191" s="28"/>
      <c r="O191" s="29"/>
      <c r="P191" s="35"/>
      <c r="Q191" s="35"/>
      <c r="R191" s="13"/>
      <c r="U191" s="31"/>
      <c r="X191" s="32"/>
      <c r="Y191" s="28"/>
      <c r="Z191" s="28"/>
      <c r="AA191" s="33"/>
      <c r="AB191" s="34"/>
      <c r="AC191" s="34" t="str">
        <f t="shared" si="13"/>
        <v/>
      </c>
      <c r="AP191" s="57"/>
    </row>
    <row r="192" spans="2:42" ht="15" x14ac:dyDescent="0.25">
      <c r="B192" s="15">
        <v>190</v>
      </c>
      <c r="D192" s="17">
        <f t="shared" si="14"/>
        <v>0</v>
      </c>
      <c r="F192" s="25"/>
      <c r="G192" s="25"/>
      <c r="H192" s="25"/>
      <c r="I192" s="25"/>
      <c r="J192" s="26"/>
      <c r="K192" s="27"/>
      <c r="L192" s="28"/>
      <c r="M192" s="28"/>
      <c r="N192" s="28"/>
      <c r="P192" s="29"/>
      <c r="Q192" s="35"/>
      <c r="R192" s="13"/>
      <c r="U192" s="31"/>
      <c r="X192" s="32"/>
      <c r="Y192" s="28"/>
      <c r="Z192" s="28"/>
      <c r="AA192" s="33"/>
      <c r="AB192" s="34"/>
      <c r="AC192" s="34" t="str">
        <f t="shared" si="13"/>
        <v/>
      </c>
      <c r="AP192" s="57"/>
    </row>
    <row r="193" spans="2:42" ht="15" x14ac:dyDescent="0.25">
      <c r="B193" s="15">
        <v>191</v>
      </c>
      <c r="D193" s="17">
        <f t="shared" si="14"/>
        <v>0</v>
      </c>
      <c r="F193" s="25"/>
      <c r="G193" s="25"/>
      <c r="H193" s="25"/>
      <c r="I193" s="25"/>
      <c r="J193" s="26"/>
      <c r="K193" s="27"/>
      <c r="L193" s="28"/>
      <c r="M193" s="28"/>
      <c r="N193" s="28"/>
      <c r="P193" s="29"/>
      <c r="Q193" s="30"/>
      <c r="R193" s="13"/>
      <c r="U193" s="31"/>
      <c r="X193" s="32"/>
      <c r="Y193" s="28"/>
      <c r="Z193" s="28"/>
      <c r="AA193" s="33"/>
      <c r="AB193" s="34"/>
      <c r="AC193" s="34" t="str">
        <f t="shared" si="13"/>
        <v/>
      </c>
      <c r="AP193" s="57"/>
    </row>
    <row r="194" spans="2:42" ht="15" x14ac:dyDescent="0.25">
      <c r="B194" s="15">
        <v>192</v>
      </c>
      <c r="D194" s="17">
        <f t="shared" si="14"/>
        <v>0</v>
      </c>
      <c r="H194" s="25"/>
      <c r="J194" s="26"/>
      <c r="K194" s="27"/>
      <c r="L194" s="28"/>
      <c r="M194" s="28"/>
      <c r="N194" s="28"/>
      <c r="Q194" s="30"/>
      <c r="R194" s="13"/>
      <c r="U194" s="31"/>
      <c r="X194" s="32"/>
      <c r="Y194" s="28"/>
      <c r="Z194" s="28"/>
      <c r="AA194" s="33"/>
      <c r="AB194" s="34"/>
      <c r="AC194" s="34" t="str">
        <f t="shared" si="13"/>
        <v/>
      </c>
      <c r="AP194" s="57"/>
    </row>
    <row r="195" spans="2:42" ht="15" x14ac:dyDescent="0.25">
      <c r="B195" s="15">
        <v>193</v>
      </c>
      <c r="D195" s="17">
        <f t="shared" si="14"/>
        <v>0</v>
      </c>
      <c r="H195" s="25"/>
      <c r="I195" s="25"/>
      <c r="J195" s="26"/>
      <c r="K195" s="27"/>
      <c r="L195" s="28"/>
      <c r="M195" s="28"/>
      <c r="N195" s="28"/>
      <c r="P195" s="29"/>
      <c r="Q195" s="35"/>
      <c r="R195" s="13"/>
      <c r="U195" s="31"/>
      <c r="X195" s="32"/>
      <c r="Y195" s="28"/>
      <c r="Z195" s="28"/>
      <c r="AA195" s="33"/>
      <c r="AB195" s="34"/>
      <c r="AC195" s="34" t="str">
        <f t="shared" ref="AC195:AC258" si="15">+IF(AB195="","",R195-AB195)</f>
        <v/>
      </c>
      <c r="AP195" s="57"/>
    </row>
    <row r="196" spans="2:42" ht="15" x14ac:dyDescent="0.25">
      <c r="B196" s="15">
        <v>194</v>
      </c>
      <c r="D196" s="17">
        <f t="shared" si="14"/>
        <v>0</v>
      </c>
      <c r="H196" s="25"/>
      <c r="I196" s="25"/>
      <c r="J196" s="26"/>
      <c r="K196" s="27"/>
      <c r="L196" s="28"/>
      <c r="M196" s="28"/>
      <c r="N196" s="28"/>
      <c r="P196" s="29"/>
      <c r="Q196" s="35"/>
      <c r="R196" s="13"/>
      <c r="U196" s="31"/>
      <c r="X196" s="32"/>
      <c r="Y196" s="28"/>
      <c r="Z196" s="28"/>
      <c r="AA196" s="33"/>
      <c r="AB196" s="34"/>
      <c r="AC196" s="34" t="str">
        <f t="shared" si="15"/>
        <v/>
      </c>
      <c r="AP196" s="57"/>
    </row>
    <row r="197" spans="2:42" ht="15" x14ac:dyDescent="0.25">
      <c r="B197" s="15">
        <v>195</v>
      </c>
      <c r="D197" s="17">
        <f t="shared" si="14"/>
        <v>0</v>
      </c>
      <c r="H197" s="25"/>
      <c r="I197" s="25"/>
      <c r="J197" s="26"/>
      <c r="K197" s="27"/>
      <c r="L197" s="28"/>
      <c r="M197" s="28"/>
      <c r="N197" s="28"/>
      <c r="P197" s="29"/>
      <c r="Q197" s="35"/>
      <c r="R197" s="13"/>
      <c r="U197" s="31"/>
      <c r="X197" s="32"/>
      <c r="Y197" s="28"/>
      <c r="Z197" s="28"/>
      <c r="AA197" s="33"/>
      <c r="AB197" s="34"/>
      <c r="AC197" s="34" t="str">
        <f t="shared" si="15"/>
        <v/>
      </c>
      <c r="AP197" s="57"/>
    </row>
    <row r="198" spans="2:42" ht="15" x14ac:dyDescent="0.25">
      <c r="B198" s="15">
        <v>196</v>
      </c>
      <c r="D198" s="17">
        <f t="shared" si="14"/>
        <v>0</v>
      </c>
      <c r="H198" s="25"/>
      <c r="I198" s="25"/>
      <c r="J198" s="26"/>
      <c r="K198" s="27"/>
      <c r="L198" s="28"/>
      <c r="M198" s="28"/>
      <c r="N198" s="28"/>
      <c r="P198" s="29"/>
      <c r="Q198" s="35"/>
      <c r="R198" s="13"/>
      <c r="U198" s="31"/>
      <c r="X198" s="32"/>
      <c r="Y198" s="28"/>
      <c r="Z198" s="28"/>
      <c r="AA198" s="33"/>
      <c r="AB198" s="34"/>
      <c r="AC198" s="34" t="str">
        <f t="shared" si="15"/>
        <v/>
      </c>
      <c r="AP198" s="57"/>
    </row>
    <row r="199" spans="2:42" ht="15" x14ac:dyDescent="0.25">
      <c r="B199" s="15">
        <v>197</v>
      </c>
      <c r="D199" s="17">
        <f t="shared" si="14"/>
        <v>0</v>
      </c>
      <c r="H199" s="25"/>
      <c r="I199" s="25"/>
      <c r="J199" s="26"/>
      <c r="K199" s="27"/>
      <c r="L199" s="28"/>
      <c r="M199" s="28"/>
      <c r="N199" s="28"/>
      <c r="P199" s="29"/>
      <c r="Q199" s="35"/>
      <c r="R199" s="13"/>
      <c r="U199" s="31"/>
      <c r="X199" s="32"/>
      <c r="Y199" s="28"/>
      <c r="Z199" s="28"/>
      <c r="AA199" s="33"/>
      <c r="AB199" s="34"/>
      <c r="AC199" s="34" t="str">
        <f t="shared" si="15"/>
        <v/>
      </c>
      <c r="AP199" s="57"/>
    </row>
    <row r="200" spans="2:42" ht="15" x14ac:dyDescent="0.25">
      <c r="B200" s="15">
        <v>198</v>
      </c>
      <c r="D200" s="17">
        <f t="shared" si="14"/>
        <v>0</v>
      </c>
      <c r="F200" s="25"/>
      <c r="G200" s="25"/>
      <c r="H200" s="25"/>
      <c r="I200" s="25"/>
      <c r="J200" s="26"/>
      <c r="K200" s="27"/>
      <c r="L200" s="28"/>
      <c r="M200" s="28"/>
      <c r="N200" s="28"/>
      <c r="P200" s="29"/>
      <c r="Q200" s="35"/>
      <c r="R200" s="13"/>
      <c r="U200" s="31"/>
      <c r="X200" s="32"/>
      <c r="Y200" s="28"/>
      <c r="Z200" s="28"/>
      <c r="AA200" s="33"/>
      <c r="AB200" s="34"/>
      <c r="AC200" s="34" t="str">
        <f t="shared" si="15"/>
        <v/>
      </c>
      <c r="AP200" s="57"/>
    </row>
    <row r="201" spans="2:42" ht="15" x14ac:dyDescent="0.25">
      <c r="B201" s="15">
        <v>199</v>
      </c>
      <c r="D201" s="17">
        <f t="shared" si="14"/>
        <v>0</v>
      </c>
      <c r="F201" s="25"/>
      <c r="G201" s="25"/>
      <c r="H201" s="25"/>
      <c r="I201" s="25"/>
      <c r="J201" s="26"/>
      <c r="K201" s="27"/>
      <c r="L201" s="28"/>
      <c r="M201" s="28"/>
      <c r="N201" s="28"/>
      <c r="P201" s="29"/>
      <c r="Q201" s="35"/>
      <c r="R201" s="13"/>
      <c r="U201" s="31"/>
      <c r="X201" s="32"/>
      <c r="Y201" s="28"/>
      <c r="Z201" s="28"/>
      <c r="AA201" s="33"/>
      <c r="AB201" s="34"/>
      <c r="AC201" s="34" t="str">
        <f t="shared" si="15"/>
        <v/>
      </c>
      <c r="AP201" s="57"/>
    </row>
    <row r="202" spans="2:42" ht="15" x14ac:dyDescent="0.25">
      <c r="B202" s="15">
        <v>200</v>
      </c>
      <c r="D202" s="17">
        <f t="shared" si="14"/>
        <v>0</v>
      </c>
      <c r="I202" s="25"/>
      <c r="J202" s="26"/>
      <c r="K202" s="27"/>
      <c r="L202" s="28"/>
      <c r="M202" s="28"/>
      <c r="N202" s="28"/>
      <c r="R202" s="13"/>
      <c r="U202" s="31"/>
      <c r="X202" s="32"/>
      <c r="Y202" s="28"/>
      <c r="Z202" s="28"/>
      <c r="AA202" s="33"/>
      <c r="AB202" s="34"/>
      <c r="AC202" s="34" t="str">
        <f t="shared" si="15"/>
        <v/>
      </c>
      <c r="AP202" s="57"/>
    </row>
    <row r="203" spans="2:42" ht="15" x14ac:dyDescent="0.25">
      <c r="B203" s="15">
        <v>201</v>
      </c>
      <c r="D203" s="17">
        <f t="shared" si="14"/>
        <v>0</v>
      </c>
      <c r="I203" s="25"/>
      <c r="J203" s="26"/>
      <c r="K203" s="27"/>
      <c r="L203" s="28"/>
      <c r="M203" s="28"/>
      <c r="N203" s="28"/>
      <c r="R203" s="13"/>
      <c r="U203" s="31"/>
      <c r="X203" s="32"/>
      <c r="Y203" s="28"/>
      <c r="Z203" s="28"/>
      <c r="AA203" s="33"/>
      <c r="AB203" s="34"/>
      <c r="AC203" s="34" t="str">
        <f t="shared" si="15"/>
        <v/>
      </c>
      <c r="AP203" s="57"/>
    </row>
    <row r="204" spans="2:42" ht="15" x14ac:dyDescent="0.25">
      <c r="B204" s="15">
        <v>202</v>
      </c>
      <c r="D204" s="17">
        <f t="shared" si="14"/>
        <v>0</v>
      </c>
      <c r="I204" s="25"/>
      <c r="J204" s="26"/>
      <c r="K204" s="27"/>
      <c r="L204" s="28"/>
      <c r="M204" s="28"/>
      <c r="N204" s="28"/>
      <c r="R204" s="13"/>
      <c r="U204" s="31"/>
      <c r="X204" s="32"/>
      <c r="Y204" s="28"/>
      <c r="Z204" s="28"/>
      <c r="AA204" s="33"/>
      <c r="AB204" s="34"/>
      <c r="AC204" s="34" t="str">
        <f t="shared" si="15"/>
        <v/>
      </c>
      <c r="AP204" s="57"/>
    </row>
    <row r="205" spans="2:42" ht="15" x14ac:dyDescent="0.25">
      <c r="B205" s="15">
        <v>203</v>
      </c>
      <c r="D205" s="17">
        <f t="shared" si="14"/>
        <v>0</v>
      </c>
      <c r="I205" s="25"/>
      <c r="J205" s="26"/>
      <c r="K205" s="27"/>
      <c r="L205" s="28"/>
      <c r="M205" s="28"/>
      <c r="N205" s="28"/>
      <c r="R205" s="13"/>
      <c r="U205" s="31"/>
      <c r="X205" s="32"/>
      <c r="Y205" s="28"/>
      <c r="Z205" s="28"/>
      <c r="AA205" s="33"/>
      <c r="AB205" s="34"/>
      <c r="AC205" s="34" t="str">
        <f t="shared" si="15"/>
        <v/>
      </c>
      <c r="AP205" s="57"/>
    </row>
    <row r="206" spans="2:42" ht="15" x14ac:dyDescent="0.25">
      <c r="B206" s="15">
        <v>204</v>
      </c>
      <c r="D206" s="17">
        <f t="shared" si="14"/>
        <v>0</v>
      </c>
      <c r="I206" s="25"/>
      <c r="J206" s="26"/>
      <c r="K206" s="27"/>
      <c r="L206" s="28"/>
      <c r="M206" s="28"/>
      <c r="N206" s="28"/>
      <c r="R206" s="13"/>
      <c r="U206" s="31"/>
      <c r="X206" s="32"/>
      <c r="Y206" s="28"/>
      <c r="Z206" s="28"/>
      <c r="AA206" s="33"/>
      <c r="AB206" s="34"/>
      <c r="AC206" s="34" t="str">
        <f t="shared" si="15"/>
        <v/>
      </c>
      <c r="AP206" s="57"/>
    </row>
    <row r="207" spans="2:42" ht="15" x14ac:dyDescent="0.25">
      <c r="B207" s="15">
        <v>205</v>
      </c>
      <c r="D207" s="17">
        <f t="shared" si="14"/>
        <v>0</v>
      </c>
      <c r="I207" s="25"/>
      <c r="J207" s="26"/>
      <c r="K207" s="27"/>
      <c r="L207" s="28"/>
      <c r="M207" s="28"/>
      <c r="N207" s="28"/>
      <c r="R207" s="13"/>
      <c r="U207" s="31"/>
      <c r="X207" s="32"/>
      <c r="Y207" s="28"/>
      <c r="Z207" s="28"/>
      <c r="AA207" s="33"/>
      <c r="AB207" s="34"/>
      <c r="AC207" s="34" t="str">
        <f t="shared" si="15"/>
        <v/>
      </c>
      <c r="AP207" s="57"/>
    </row>
    <row r="208" spans="2:42" ht="15" x14ac:dyDescent="0.25">
      <c r="B208" s="15">
        <v>206</v>
      </c>
      <c r="D208" s="17">
        <f t="shared" si="14"/>
        <v>0</v>
      </c>
      <c r="I208" s="25"/>
      <c r="J208" s="26"/>
      <c r="K208" s="27"/>
      <c r="L208" s="28"/>
      <c r="M208" s="28"/>
      <c r="N208" s="28"/>
      <c r="R208" s="13"/>
      <c r="U208" s="31"/>
      <c r="X208" s="32"/>
      <c r="Y208" s="28"/>
      <c r="Z208" s="28"/>
      <c r="AA208" s="33"/>
      <c r="AB208" s="34"/>
      <c r="AC208" s="34" t="str">
        <f t="shared" si="15"/>
        <v/>
      </c>
      <c r="AP208" s="57"/>
    </row>
    <row r="209" spans="2:42" ht="15" x14ac:dyDescent="0.25">
      <c r="B209" s="15">
        <v>207</v>
      </c>
      <c r="D209" s="17">
        <f t="shared" si="14"/>
        <v>0</v>
      </c>
      <c r="I209" s="25"/>
      <c r="J209" s="26"/>
      <c r="K209" s="27"/>
      <c r="L209" s="28"/>
      <c r="M209" s="28"/>
      <c r="N209" s="28"/>
      <c r="R209" s="13"/>
      <c r="U209" s="31"/>
      <c r="X209" s="32"/>
      <c r="Y209" s="28"/>
      <c r="Z209" s="28"/>
      <c r="AA209" s="33"/>
      <c r="AB209" s="34"/>
      <c r="AC209" s="34" t="str">
        <f t="shared" si="15"/>
        <v/>
      </c>
      <c r="AP209" s="57"/>
    </row>
    <row r="210" spans="2:42" ht="15" x14ac:dyDescent="0.25">
      <c r="B210" s="15">
        <v>208</v>
      </c>
      <c r="D210" s="17">
        <f t="shared" si="14"/>
        <v>0</v>
      </c>
      <c r="I210" s="25"/>
      <c r="J210" s="26"/>
      <c r="K210" s="27"/>
      <c r="L210" s="28"/>
      <c r="M210" s="28"/>
      <c r="N210" s="28"/>
      <c r="R210" s="13"/>
      <c r="U210" s="31"/>
      <c r="X210" s="32"/>
      <c r="Y210" s="28"/>
      <c r="Z210" s="28"/>
      <c r="AA210" s="33"/>
      <c r="AB210" s="34"/>
      <c r="AC210" s="34" t="str">
        <f t="shared" si="15"/>
        <v/>
      </c>
      <c r="AP210" s="57"/>
    </row>
    <row r="211" spans="2:42" ht="15" x14ac:dyDescent="0.25">
      <c r="B211" s="15">
        <v>209</v>
      </c>
      <c r="D211" s="17">
        <f t="shared" si="14"/>
        <v>0</v>
      </c>
      <c r="I211" s="25"/>
      <c r="J211" s="26"/>
      <c r="K211" s="27"/>
      <c r="L211" s="28"/>
      <c r="M211" s="28"/>
      <c r="N211" s="28"/>
      <c r="R211" s="13"/>
      <c r="U211" s="31"/>
      <c r="X211" s="32"/>
      <c r="Y211" s="28"/>
      <c r="Z211" s="28"/>
      <c r="AA211" s="33"/>
      <c r="AB211" s="34"/>
      <c r="AC211" s="34" t="str">
        <f t="shared" si="15"/>
        <v/>
      </c>
      <c r="AP211" s="57"/>
    </row>
    <row r="212" spans="2:42" ht="15" x14ac:dyDescent="0.25">
      <c r="B212" s="15">
        <v>210</v>
      </c>
      <c r="D212" s="17">
        <f t="shared" si="14"/>
        <v>0</v>
      </c>
      <c r="I212" s="25"/>
      <c r="J212" s="26"/>
      <c r="K212" s="27"/>
      <c r="L212" s="28"/>
      <c r="M212" s="28"/>
      <c r="N212" s="28"/>
      <c r="R212" s="13"/>
      <c r="U212" s="31"/>
      <c r="X212" s="32"/>
      <c r="Y212" s="28"/>
      <c r="Z212" s="28"/>
      <c r="AA212" s="33"/>
      <c r="AB212" s="34"/>
      <c r="AC212" s="34" t="str">
        <f t="shared" si="15"/>
        <v/>
      </c>
      <c r="AP212" s="57"/>
    </row>
    <row r="213" spans="2:42" ht="15" x14ac:dyDescent="0.25">
      <c r="B213" s="15">
        <v>211</v>
      </c>
      <c r="D213" s="17">
        <f t="shared" si="14"/>
        <v>0</v>
      </c>
      <c r="F213" s="25"/>
      <c r="G213" s="25"/>
      <c r="H213" s="25"/>
      <c r="I213" s="25"/>
      <c r="J213" s="26"/>
      <c r="K213" s="27"/>
      <c r="L213" s="28"/>
      <c r="M213" s="28"/>
      <c r="N213" s="28"/>
      <c r="O213" s="29"/>
      <c r="P213" s="35"/>
      <c r="Q213" s="35"/>
      <c r="R213" s="13"/>
      <c r="U213" s="31"/>
      <c r="X213" s="32"/>
      <c r="Y213" s="28"/>
      <c r="Z213" s="28"/>
      <c r="AA213" s="33"/>
      <c r="AB213" s="34"/>
      <c r="AC213" s="34" t="str">
        <f t="shared" si="15"/>
        <v/>
      </c>
      <c r="AP213" s="57"/>
    </row>
    <row r="214" spans="2:42" ht="15" x14ac:dyDescent="0.25">
      <c r="B214" s="15">
        <v>212</v>
      </c>
      <c r="D214" s="17">
        <f t="shared" si="14"/>
        <v>0</v>
      </c>
      <c r="F214" s="25"/>
      <c r="G214" s="25"/>
      <c r="H214" s="25"/>
      <c r="I214" s="25"/>
      <c r="J214" s="26"/>
      <c r="K214" s="27"/>
      <c r="L214" s="28"/>
      <c r="M214" s="28"/>
      <c r="N214" s="28"/>
      <c r="P214" s="29"/>
      <c r="Q214" s="35"/>
      <c r="R214" s="13"/>
      <c r="U214" s="31"/>
      <c r="X214" s="32"/>
      <c r="Y214" s="28"/>
      <c r="Z214" s="28"/>
      <c r="AA214" s="33"/>
      <c r="AB214" s="34"/>
      <c r="AC214" s="34" t="str">
        <f t="shared" si="15"/>
        <v/>
      </c>
      <c r="AP214" s="57"/>
    </row>
    <row r="215" spans="2:42" ht="15" x14ac:dyDescent="0.25">
      <c r="B215" s="15">
        <v>213</v>
      </c>
      <c r="D215" s="17">
        <f t="shared" si="14"/>
        <v>0</v>
      </c>
      <c r="F215" s="25"/>
      <c r="G215" s="25"/>
      <c r="H215" s="25"/>
      <c r="I215" s="25"/>
      <c r="J215" s="26"/>
      <c r="K215" s="27"/>
      <c r="L215" s="28"/>
      <c r="M215" s="28"/>
      <c r="N215" s="28"/>
      <c r="P215" s="29"/>
      <c r="Q215" s="30"/>
      <c r="R215" s="13"/>
      <c r="U215" s="31"/>
      <c r="X215" s="32"/>
      <c r="Y215" s="28"/>
      <c r="Z215" s="28"/>
      <c r="AA215" s="33"/>
      <c r="AB215" s="34"/>
      <c r="AC215" s="34" t="str">
        <f t="shared" si="15"/>
        <v/>
      </c>
      <c r="AP215" s="57"/>
    </row>
    <row r="216" spans="2:42" ht="15" x14ac:dyDescent="0.25">
      <c r="B216" s="15">
        <v>214</v>
      </c>
      <c r="D216" s="17">
        <f t="shared" si="14"/>
        <v>0</v>
      </c>
      <c r="H216" s="25"/>
      <c r="J216" s="26"/>
      <c r="K216" s="27"/>
      <c r="L216" s="28"/>
      <c r="M216" s="28"/>
      <c r="N216" s="28"/>
      <c r="Q216" s="30"/>
      <c r="R216" s="13"/>
      <c r="U216" s="31"/>
      <c r="X216" s="32"/>
      <c r="Y216" s="28"/>
      <c r="Z216" s="28"/>
      <c r="AA216" s="33"/>
      <c r="AB216" s="34"/>
      <c r="AC216" s="34" t="str">
        <f t="shared" si="15"/>
        <v/>
      </c>
      <c r="AP216" s="57"/>
    </row>
    <row r="217" spans="2:42" ht="15" x14ac:dyDescent="0.25">
      <c r="B217" s="15">
        <v>215</v>
      </c>
      <c r="D217" s="17">
        <f t="shared" si="14"/>
        <v>0</v>
      </c>
      <c r="H217" s="25"/>
      <c r="I217" s="25"/>
      <c r="J217" s="26"/>
      <c r="K217" s="27"/>
      <c r="L217" s="28"/>
      <c r="M217" s="28"/>
      <c r="N217" s="28"/>
      <c r="P217" s="29"/>
      <c r="Q217" s="35"/>
      <c r="R217" s="13"/>
      <c r="U217" s="31"/>
      <c r="X217" s="32"/>
      <c r="Y217" s="28"/>
      <c r="Z217" s="28"/>
      <c r="AA217" s="33"/>
      <c r="AB217" s="34"/>
      <c r="AC217" s="34" t="str">
        <f t="shared" si="15"/>
        <v/>
      </c>
      <c r="AP217" s="57"/>
    </row>
    <row r="218" spans="2:42" ht="15" x14ac:dyDescent="0.25">
      <c r="B218" s="15">
        <v>216</v>
      </c>
      <c r="D218" s="17">
        <f t="shared" si="14"/>
        <v>0</v>
      </c>
      <c r="H218" s="25"/>
      <c r="I218" s="25"/>
      <c r="J218" s="26"/>
      <c r="K218" s="27"/>
      <c r="L218" s="28"/>
      <c r="M218" s="28"/>
      <c r="N218" s="28"/>
      <c r="P218" s="29"/>
      <c r="Q218" s="35"/>
      <c r="R218" s="13"/>
      <c r="U218" s="31"/>
      <c r="X218" s="32"/>
      <c r="Y218" s="28"/>
      <c r="Z218" s="28"/>
      <c r="AA218" s="33"/>
      <c r="AB218" s="34"/>
      <c r="AC218" s="34" t="str">
        <f t="shared" si="15"/>
        <v/>
      </c>
      <c r="AP218" s="57"/>
    </row>
    <row r="219" spans="2:42" ht="15" x14ac:dyDescent="0.25">
      <c r="B219" s="15">
        <v>217</v>
      </c>
      <c r="D219" s="17">
        <f t="shared" si="14"/>
        <v>0</v>
      </c>
      <c r="H219" s="25"/>
      <c r="I219" s="25"/>
      <c r="J219" s="26"/>
      <c r="K219" s="27"/>
      <c r="L219" s="28"/>
      <c r="M219" s="28"/>
      <c r="N219" s="28"/>
      <c r="P219" s="29"/>
      <c r="Q219" s="35"/>
      <c r="R219" s="13"/>
      <c r="U219" s="31"/>
      <c r="X219" s="32"/>
      <c r="Y219" s="28"/>
      <c r="Z219" s="28"/>
      <c r="AA219" s="33"/>
      <c r="AB219" s="34"/>
      <c r="AC219" s="34" t="str">
        <f t="shared" si="15"/>
        <v/>
      </c>
      <c r="AP219" s="57"/>
    </row>
    <row r="220" spans="2:42" ht="15" x14ac:dyDescent="0.25">
      <c r="B220" s="15">
        <v>218</v>
      </c>
      <c r="D220" s="17">
        <f t="shared" si="14"/>
        <v>0</v>
      </c>
      <c r="H220" s="25"/>
      <c r="I220" s="25"/>
      <c r="J220" s="26"/>
      <c r="K220" s="27"/>
      <c r="L220" s="28"/>
      <c r="M220" s="28"/>
      <c r="N220" s="28"/>
      <c r="P220" s="29"/>
      <c r="Q220" s="35"/>
      <c r="R220" s="13"/>
      <c r="U220" s="31"/>
      <c r="X220" s="32"/>
      <c r="Y220" s="28"/>
      <c r="Z220" s="28"/>
      <c r="AA220" s="33"/>
      <c r="AB220" s="34"/>
      <c r="AC220" s="34" t="str">
        <f t="shared" si="15"/>
        <v/>
      </c>
      <c r="AP220" s="57"/>
    </row>
    <row r="221" spans="2:42" ht="15" x14ac:dyDescent="0.25">
      <c r="B221" s="15">
        <v>219</v>
      </c>
      <c r="D221" s="17">
        <f t="shared" si="14"/>
        <v>0</v>
      </c>
      <c r="H221" s="25"/>
      <c r="I221" s="25"/>
      <c r="J221" s="26"/>
      <c r="K221" s="27"/>
      <c r="L221" s="28"/>
      <c r="M221" s="28"/>
      <c r="N221" s="28"/>
      <c r="P221" s="29"/>
      <c r="Q221" s="35"/>
      <c r="R221" s="13"/>
      <c r="U221" s="31"/>
      <c r="X221" s="32"/>
      <c r="Y221" s="28"/>
      <c r="Z221" s="28"/>
      <c r="AA221" s="33"/>
      <c r="AB221" s="34"/>
      <c r="AC221" s="34" t="str">
        <f t="shared" si="15"/>
        <v/>
      </c>
      <c r="AP221" s="57"/>
    </row>
    <row r="222" spans="2:42" ht="15" x14ac:dyDescent="0.25">
      <c r="B222" s="15">
        <v>220</v>
      </c>
      <c r="D222" s="17">
        <f t="shared" si="14"/>
        <v>0</v>
      </c>
      <c r="H222" s="25"/>
      <c r="I222" s="25"/>
      <c r="J222" s="26"/>
      <c r="K222" s="27"/>
      <c r="L222" s="28"/>
      <c r="M222" s="28"/>
      <c r="N222" s="28"/>
      <c r="P222" s="29"/>
      <c r="Q222" s="35"/>
      <c r="R222" s="13"/>
      <c r="U222" s="31"/>
      <c r="X222" s="32"/>
      <c r="Y222" s="28"/>
      <c r="Z222" s="28"/>
      <c r="AA222" s="33"/>
      <c r="AB222" s="34"/>
      <c r="AC222" s="34" t="str">
        <f t="shared" si="15"/>
        <v/>
      </c>
      <c r="AP222" s="57"/>
    </row>
    <row r="223" spans="2:42" ht="15" x14ac:dyDescent="0.25">
      <c r="B223" s="15">
        <v>221</v>
      </c>
      <c r="D223" s="17">
        <f t="shared" si="14"/>
        <v>0</v>
      </c>
      <c r="F223" s="25"/>
      <c r="G223" s="25"/>
      <c r="H223" s="25"/>
      <c r="I223" s="25"/>
      <c r="J223" s="26"/>
      <c r="K223" s="27"/>
      <c r="L223" s="28"/>
      <c r="M223" s="28"/>
      <c r="N223" s="28"/>
      <c r="P223" s="29"/>
      <c r="Q223" s="35"/>
      <c r="R223" s="13"/>
      <c r="U223" s="31"/>
      <c r="X223" s="32"/>
      <c r="Y223" s="28"/>
      <c r="Z223" s="28"/>
      <c r="AA223" s="33"/>
      <c r="AB223" s="34"/>
      <c r="AC223" s="34" t="str">
        <f t="shared" si="15"/>
        <v/>
      </c>
      <c r="AP223" s="57"/>
    </row>
    <row r="224" spans="2:42" ht="15" x14ac:dyDescent="0.25">
      <c r="B224" s="15">
        <v>222</v>
      </c>
      <c r="D224" s="17">
        <f t="shared" si="14"/>
        <v>0</v>
      </c>
      <c r="F224" s="25"/>
      <c r="G224" s="25"/>
      <c r="H224" s="25"/>
      <c r="I224" s="25"/>
      <c r="J224" s="26"/>
      <c r="K224" s="27"/>
      <c r="L224" s="28"/>
      <c r="M224" s="28"/>
      <c r="N224" s="28"/>
      <c r="P224" s="29"/>
      <c r="Q224" s="35"/>
      <c r="R224" s="13"/>
      <c r="U224" s="31"/>
      <c r="X224" s="32"/>
      <c r="Y224" s="28"/>
      <c r="Z224" s="28"/>
      <c r="AA224" s="33"/>
      <c r="AB224" s="34"/>
      <c r="AC224" s="34" t="str">
        <f t="shared" si="15"/>
        <v/>
      </c>
      <c r="AP224" s="57"/>
    </row>
    <row r="225" spans="2:42" ht="15" x14ac:dyDescent="0.25">
      <c r="B225" s="15">
        <v>223</v>
      </c>
      <c r="D225" s="17">
        <f t="shared" si="14"/>
        <v>0</v>
      </c>
      <c r="G225" s="25"/>
      <c r="H225" s="25"/>
      <c r="I225" s="25"/>
      <c r="J225" s="26"/>
      <c r="K225" s="27"/>
      <c r="L225" s="28"/>
      <c r="M225" s="28"/>
      <c r="N225" s="28"/>
      <c r="P225" s="29"/>
      <c r="Q225" s="35"/>
      <c r="R225" s="13"/>
      <c r="U225" s="31"/>
      <c r="X225" s="32"/>
      <c r="Y225" s="28"/>
      <c r="Z225" s="28"/>
      <c r="AA225" s="33"/>
      <c r="AB225" s="34"/>
      <c r="AC225" s="34" t="str">
        <f t="shared" si="15"/>
        <v/>
      </c>
      <c r="AP225" s="57"/>
    </row>
    <row r="226" spans="2:42" ht="15" x14ac:dyDescent="0.25">
      <c r="B226" s="15">
        <v>224</v>
      </c>
      <c r="D226" s="17">
        <f t="shared" si="14"/>
        <v>0</v>
      </c>
      <c r="I226" s="25"/>
      <c r="J226" s="26"/>
      <c r="K226" s="27"/>
      <c r="L226" s="28"/>
      <c r="M226" s="28"/>
      <c r="N226" s="28"/>
      <c r="R226" s="13"/>
      <c r="U226" s="31"/>
      <c r="X226" s="32"/>
      <c r="Y226" s="28"/>
      <c r="Z226" s="28"/>
      <c r="AA226" s="33"/>
      <c r="AB226" s="34"/>
      <c r="AC226" s="34" t="str">
        <f t="shared" si="15"/>
        <v/>
      </c>
      <c r="AP226" s="57"/>
    </row>
    <row r="227" spans="2:42" ht="15" x14ac:dyDescent="0.25">
      <c r="B227" s="15">
        <v>225</v>
      </c>
      <c r="D227" s="17">
        <f t="shared" si="14"/>
        <v>0</v>
      </c>
      <c r="I227" s="25"/>
      <c r="J227" s="26"/>
      <c r="K227" s="27"/>
      <c r="L227" s="28"/>
      <c r="M227" s="28"/>
      <c r="N227" s="28"/>
      <c r="R227" s="13"/>
      <c r="U227" s="31"/>
      <c r="X227" s="32"/>
      <c r="Y227" s="28"/>
      <c r="Z227" s="28"/>
      <c r="AA227" s="33"/>
      <c r="AB227" s="34"/>
      <c r="AC227" s="34" t="str">
        <f t="shared" si="15"/>
        <v/>
      </c>
      <c r="AP227" s="57"/>
    </row>
    <row r="228" spans="2:42" ht="15" x14ac:dyDescent="0.25">
      <c r="B228" s="15">
        <v>226</v>
      </c>
      <c r="D228" s="17">
        <f t="shared" si="14"/>
        <v>0</v>
      </c>
      <c r="I228" s="25"/>
      <c r="J228" s="26"/>
      <c r="K228" s="27"/>
      <c r="L228" s="28"/>
      <c r="M228" s="28"/>
      <c r="N228" s="28"/>
      <c r="R228" s="39"/>
      <c r="U228" s="31"/>
      <c r="X228" s="32"/>
      <c r="Y228" s="28"/>
      <c r="Z228" s="28"/>
      <c r="AA228" s="33"/>
      <c r="AB228" s="34"/>
      <c r="AC228" s="34" t="str">
        <f t="shared" si="15"/>
        <v/>
      </c>
      <c r="AP228" s="57"/>
    </row>
    <row r="229" spans="2:42" ht="15" x14ac:dyDescent="0.25">
      <c r="B229" s="15">
        <v>227</v>
      </c>
      <c r="D229" s="17">
        <f t="shared" si="14"/>
        <v>0</v>
      </c>
      <c r="I229" s="25"/>
      <c r="J229" s="26"/>
      <c r="K229" s="27"/>
      <c r="L229" s="28"/>
      <c r="M229" s="28"/>
      <c r="N229" s="28"/>
      <c r="R229" s="13"/>
      <c r="U229" s="31"/>
      <c r="X229" s="32"/>
      <c r="Y229" s="28"/>
      <c r="Z229" s="28"/>
      <c r="AA229" s="33"/>
      <c r="AB229" s="34"/>
      <c r="AC229" s="34" t="str">
        <f t="shared" si="15"/>
        <v/>
      </c>
      <c r="AP229" s="57"/>
    </row>
    <row r="230" spans="2:42" ht="15" x14ac:dyDescent="0.25">
      <c r="B230" s="15">
        <v>228</v>
      </c>
      <c r="D230" s="17">
        <f t="shared" si="14"/>
        <v>0</v>
      </c>
      <c r="I230" s="25"/>
      <c r="J230" s="26"/>
      <c r="K230" s="27"/>
      <c r="L230" s="28"/>
      <c r="M230" s="28"/>
      <c r="N230" s="28"/>
      <c r="R230" s="13"/>
      <c r="U230" s="31"/>
      <c r="X230" s="32"/>
      <c r="Y230" s="28"/>
      <c r="Z230" s="28"/>
      <c r="AA230" s="33"/>
      <c r="AB230" s="34"/>
      <c r="AC230" s="34" t="str">
        <f t="shared" si="15"/>
        <v/>
      </c>
      <c r="AP230" s="57"/>
    </row>
    <row r="231" spans="2:42" ht="15" x14ac:dyDescent="0.25">
      <c r="B231" s="15">
        <v>229</v>
      </c>
      <c r="D231" s="17">
        <f t="shared" si="14"/>
        <v>0</v>
      </c>
      <c r="I231" s="25"/>
      <c r="J231" s="26"/>
      <c r="K231" s="27"/>
      <c r="L231" s="28"/>
      <c r="M231" s="28"/>
      <c r="N231" s="28"/>
      <c r="R231" s="13"/>
      <c r="U231" s="31"/>
      <c r="X231" s="32"/>
      <c r="Y231" s="28"/>
      <c r="Z231" s="28"/>
      <c r="AA231" s="33"/>
      <c r="AB231" s="34"/>
      <c r="AC231" s="34" t="str">
        <f t="shared" si="15"/>
        <v/>
      </c>
      <c r="AP231" s="57"/>
    </row>
    <row r="232" spans="2:42" ht="15" x14ac:dyDescent="0.25">
      <c r="B232" s="15">
        <v>230</v>
      </c>
      <c r="D232" s="17">
        <f t="shared" si="14"/>
        <v>0</v>
      </c>
      <c r="I232" s="25"/>
      <c r="J232" s="26"/>
      <c r="K232" s="27"/>
      <c r="L232" s="28"/>
      <c r="M232" s="28"/>
      <c r="N232" s="28"/>
      <c r="R232" s="13"/>
      <c r="U232" s="31"/>
      <c r="X232" s="32"/>
      <c r="Y232" s="28"/>
      <c r="Z232" s="28"/>
      <c r="AA232" s="33"/>
      <c r="AB232" s="34"/>
      <c r="AC232" s="34" t="str">
        <f t="shared" si="15"/>
        <v/>
      </c>
      <c r="AP232" s="57"/>
    </row>
    <row r="233" spans="2:42" ht="15" x14ac:dyDescent="0.25">
      <c r="B233" s="15">
        <v>231</v>
      </c>
      <c r="D233" s="17">
        <f t="shared" si="14"/>
        <v>0</v>
      </c>
      <c r="I233" s="25"/>
      <c r="J233" s="26"/>
      <c r="K233" s="27"/>
      <c r="L233" s="28"/>
      <c r="M233" s="28"/>
      <c r="N233" s="28"/>
      <c r="R233" s="13"/>
      <c r="U233" s="31"/>
      <c r="X233" s="32"/>
      <c r="Y233" s="28"/>
      <c r="Z233" s="28"/>
      <c r="AA233" s="33"/>
      <c r="AB233" s="34"/>
      <c r="AC233" s="34" t="str">
        <f t="shared" si="15"/>
        <v/>
      </c>
      <c r="AP233" s="57"/>
    </row>
    <row r="234" spans="2:42" ht="15" x14ac:dyDescent="0.25">
      <c r="B234" s="15">
        <v>232</v>
      </c>
      <c r="D234" s="17">
        <f t="shared" si="14"/>
        <v>0</v>
      </c>
      <c r="I234" s="25"/>
      <c r="J234" s="26"/>
      <c r="K234" s="27"/>
      <c r="L234" s="28"/>
      <c r="M234" s="28"/>
      <c r="N234" s="28"/>
      <c r="R234" s="13"/>
      <c r="U234" s="31"/>
      <c r="X234" s="32"/>
      <c r="Y234" s="28"/>
      <c r="Z234" s="28"/>
      <c r="AA234" s="33"/>
      <c r="AB234" s="34"/>
      <c r="AC234" s="34" t="str">
        <f t="shared" si="15"/>
        <v/>
      </c>
      <c r="AP234" s="57"/>
    </row>
    <row r="235" spans="2:42" ht="15" x14ac:dyDescent="0.25">
      <c r="B235" s="15">
        <v>233</v>
      </c>
      <c r="D235" s="17">
        <f t="shared" si="14"/>
        <v>0</v>
      </c>
      <c r="I235" s="25"/>
      <c r="J235" s="26"/>
      <c r="K235" s="27"/>
      <c r="L235" s="28"/>
      <c r="M235" s="28"/>
      <c r="N235" s="28"/>
      <c r="R235" s="13"/>
      <c r="U235" s="31"/>
      <c r="X235" s="32"/>
      <c r="Y235" s="28"/>
      <c r="Z235" s="28"/>
      <c r="AA235" s="33"/>
      <c r="AB235" s="34"/>
      <c r="AC235" s="34" t="str">
        <f t="shared" si="15"/>
        <v/>
      </c>
      <c r="AP235" s="57"/>
    </row>
    <row r="236" spans="2:42" ht="15" x14ac:dyDescent="0.25">
      <c r="B236" s="15">
        <v>234</v>
      </c>
      <c r="D236" s="17">
        <f t="shared" si="14"/>
        <v>0</v>
      </c>
      <c r="I236" s="25"/>
      <c r="J236" s="26"/>
      <c r="K236" s="27"/>
      <c r="L236" s="28"/>
      <c r="M236" s="28"/>
      <c r="N236" s="28"/>
      <c r="R236" s="13"/>
      <c r="U236" s="31"/>
      <c r="X236" s="32"/>
      <c r="Y236" s="28"/>
      <c r="Z236" s="28"/>
      <c r="AA236" s="33"/>
      <c r="AB236" s="34"/>
      <c r="AC236" s="34" t="str">
        <f t="shared" si="15"/>
        <v/>
      </c>
      <c r="AP236" s="57"/>
    </row>
    <row r="237" spans="2:42" ht="15" x14ac:dyDescent="0.25">
      <c r="B237" s="15">
        <v>235</v>
      </c>
      <c r="D237" s="17">
        <f t="shared" si="14"/>
        <v>0</v>
      </c>
      <c r="I237" s="25"/>
      <c r="J237" s="26"/>
      <c r="K237" s="27"/>
      <c r="L237" s="28"/>
      <c r="M237" s="28"/>
      <c r="N237" s="28"/>
      <c r="R237" s="13"/>
      <c r="U237" s="31"/>
      <c r="X237" s="32"/>
      <c r="Y237" s="28"/>
      <c r="Z237" s="28"/>
      <c r="AA237" s="33"/>
      <c r="AB237" s="34"/>
      <c r="AC237" s="34" t="str">
        <f t="shared" si="15"/>
        <v/>
      </c>
      <c r="AP237" s="57"/>
    </row>
    <row r="238" spans="2:42" ht="15" x14ac:dyDescent="0.25">
      <c r="B238" s="15">
        <v>236</v>
      </c>
      <c r="D238" s="17">
        <f t="shared" si="14"/>
        <v>0</v>
      </c>
      <c r="I238" s="25"/>
      <c r="J238" s="26"/>
      <c r="K238" s="27"/>
      <c r="L238" s="28"/>
      <c r="M238" s="28"/>
      <c r="N238" s="28"/>
      <c r="R238" s="13"/>
      <c r="U238" s="31"/>
      <c r="X238" s="32"/>
      <c r="Y238" s="28"/>
      <c r="Z238" s="28"/>
      <c r="AA238" s="33"/>
      <c r="AB238" s="34"/>
      <c r="AC238" s="34" t="str">
        <f t="shared" si="15"/>
        <v/>
      </c>
      <c r="AP238" s="57"/>
    </row>
    <row r="239" spans="2:42" ht="15" x14ac:dyDescent="0.25">
      <c r="B239" s="15">
        <v>237</v>
      </c>
      <c r="D239" s="17">
        <f t="shared" si="14"/>
        <v>0</v>
      </c>
      <c r="I239" s="25"/>
      <c r="J239" s="26"/>
      <c r="K239" s="27"/>
      <c r="L239" s="28"/>
      <c r="M239" s="28"/>
      <c r="N239" s="28"/>
      <c r="R239" s="13"/>
      <c r="U239" s="31"/>
      <c r="X239" s="32"/>
      <c r="Y239" s="28"/>
      <c r="Z239" s="28"/>
      <c r="AA239" s="33"/>
      <c r="AB239" s="34"/>
      <c r="AC239" s="34" t="str">
        <f t="shared" si="15"/>
        <v/>
      </c>
      <c r="AP239" s="57"/>
    </row>
    <row r="240" spans="2:42" ht="15" x14ac:dyDescent="0.25">
      <c r="B240" s="15">
        <v>238</v>
      </c>
      <c r="D240" s="17">
        <f t="shared" si="14"/>
        <v>0</v>
      </c>
      <c r="I240" s="25"/>
      <c r="J240" s="26"/>
      <c r="K240" s="27"/>
      <c r="L240" s="28"/>
      <c r="M240" s="28"/>
      <c r="N240" s="28"/>
      <c r="R240" s="13"/>
      <c r="U240" s="31"/>
      <c r="X240" s="32"/>
      <c r="Y240" s="28"/>
      <c r="Z240" s="28"/>
      <c r="AA240" s="33"/>
      <c r="AB240" s="34"/>
      <c r="AC240" s="34" t="str">
        <f t="shared" si="15"/>
        <v/>
      </c>
      <c r="AP240" s="57"/>
    </row>
    <row r="241" spans="2:42" ht="15" x14ac:dyDescent="0.25">
      <c r="B241" s="15">
        <v>239</v>
      </c>
      <c r="D241" s="17">
        <f t="shared" ref="D241:D304" si="16">_xlfn.NUMBERVALUE(+LEFT(C241,11))</f>
        <v>0</v>
      </c>
      <c r="I241" s="25"/>
      <c r="J241" s="26"/>
      <c r="K241" s="27"/>
      <c r="L241" s="28"/>
      <c r="M241" s="28"/>
      <c r="N241" s="28"/>
      <c r="R241" s="13"/>
      <c r="U241" s="31"/>
      <c r="X241" s="32"/>
      <c r="Y241" s="28"/>
      <c r="Z241" s="28"/>
      <c r="AA241" s="33"/>
      <c r="AB241" s="34"/>
      <c r="AC241" s="34" t="str">
        <f t="shared" si="15"/>
        <v/>
      </c>
      <c r="AP241" s="57"/>
    </row>
    <row r="242" spans="2:42" ht="15" x14ac:dyDescent="0.25">
      <c r="B242" s="15">
        <v>240</v>
      </c>
      <c r="D242" s="17">
        <f t="shared" si="16"/>
        <v>0</v>
      </c>
      <c r="I242" s="25"/>
      <c r="J242" s="26"/>
      <c r="K242" s="27"/>
      <c r="L242" s="28"/>
      <c r="M242" s="28"/>
      <c r="N242" s="28"/>
      <c r="R242" s="13"/>
      <c r="U242" s="31"/>
      <c r="X242" s="32"/>
      <c r="Y242" s="28"/>
      <c r="Z242" s="28"/>
      <c r="AA242" s="33"/>
      <c r="AB242" s="34"/>
      <c r="AC242" s="34" t="str">
        <f t="shared" si="15"/>
        <v/>
      </c>
      <c r="AP242" s="57"/>
    </row>
    <row r="243" spans="2:42" ht="15" x14ac:dyDescent="0.25">
      <c r="B243" s="15">
        <v>241</v>
      </c>
      <c r="D243" s="17">
        <f t="shared" si="16"/>
        <v>0</v>
      </c>
      <c r="I243" s="25"/>
      <c r="J243" s="26"/>
      <c r="K243" s="27"/>
      <c r="L243" s="28"/>
      <c r="M243" s="28"/>
      <c r="N243" s="28"/>
      <c r="R243" s="13"/>
      <c r="U243" s="31"/>
      <c r="X243" s="32"/>
      <c r="Y243" s="28"/>
      <c r="Z243" s="28"/>
      <c r="AA243" s="33"/>
      <c r="AB243" s="34"/>
      <c r="AC243" s="34" t="str">
        <f t="shared" si="15"/>
        <v/>
      </c>
      <c r="AP243" s="57"/>
    </row>
    <row r="244" spans="2:42" ht="15" x14ac:dyDescent="0.25">
      <c r="B244" s="15">
        <v>242</v>
      </c>
      <c r="D244" s="17">
        <f t="shared" si="16"/>
        <v>0</v>
      </c>
      <c r="I244" s="25"/>
      <c r="J244" s="26"/>
      <c r="K244" s="27"/>
      <c r="L244" s="28"/>
      <c r="M244" s="28"/>
      <c r="N244" s="28"/>
      <c r="R244" s="13"/>
      <c r="U244" s="31"/>
      <c r="X244" s="32"/>
      <c r="Y244" s="28"/>
      <c r="Z244" s="28"/>
      <c r="AA244" s="33"/>
      <c r="AB244" s="34"/>
      <c r="AC244" s="34" t="str">
        <f t="shared" si="15"/>
        <v/>
      </c>
      <c r="AP244" s="57"/>
    </row>
    <row r="245" spans="2:42" ht="15" x14ac:dyDescent="0.25">
      <c r="B245" s="15">
        <v>243</v>
      </c>
      <c r="D245" s="17">
        <f t="shared" si="16"/>
        <v>0</v>
      </c>
      <c r="I245" s="25"/>
      <c r="J245" s="26"/>
      <c r="K245" s="27"/>
      <c r="L245" s="28"/>
      <c r="M245" s="28"/>
      <c r="N245" s="28"/>
      <c r="R245" s="13"/>
      <c r="U245" s="31"/>
      <c r="X245" s="32"/>
      <c r="Y245" s="28"/>
      <c r="Z245" s="28"/>
      <c r="AA245" s="33"/>
      <c r="AB245" s="34"/>
      <c r="AC245" s="34" t="str">
        <f t="shared" si="15"/>
        <v/>
      </c>
      <c r="AP245" s="57"/>
    </row>
    <row r="246" spans="2:42" ht="15" x14ac:dyDescent="0.25">
      <c r="B246" s="15">
        <v>244</v>
      </c>
      <c r="D246" s="17">
        <f t="shared" si="16"/>
        <v>0</v>
      </c>
      <c r="I246" s="25"/>
      <c r="J246" s="26"/>
      <c r="K246" s="27"/>
      <c r="L246" s="28"/>
      <c r="M246" s="28"/>
      <c r="N246" s="28"/>
      <c r="R246" s="13"/>
      <c r="U246" s="31"/>
      <c r="X246" s="32"/>
      <c r="Y246" s="28"/>
      <c r="Z246" s="28"/>
      <c r="AA246" s="33"/>
      <c r="AB246" s="34"/>
      <c r="AC246" s="34" t="str">
        <f t="shared" si="15"/>
        <v/>
      </c>
      <c r="AP246" s="57"/>
    </row>
    <row r="247" spans="2:42" ht="15" x14ac:dyDescent="0.25">
      <c r="B247" s="15">
        <v>245</v>
      </c>
      <c r="D247" s="17">
        <f t="shared" si="16"/>
        <v>0</v>
      </c>
      <c r="I247" s="25"/>
      <c r="J247" s="26"/>
      <c r="K247" s="27"/>
      <c r="L247" s="28"/>
      <c r="M247" s="28"/>
      <c r="N247" s="28"/>
      <c r="R247" s="13"/>
      <c r="U247" s="31"/>
      <c r="X247" s="32"/>
      <c r="Y247" s="28"/>
      <c r="Z247" s="28"/>
      <c r="AA247" s="33"/>
      <c r="AB247" s="34"/>
      <c r="AC247" s="34" t="str">
        <f t="shared" si="15"/>
        <v/>
      </c>
      <c r="AP247" s="57"/>
    </row>
    <row r="248" spans="2:42" ht="15" x14ac:dyDescent="0.25">
      <c r="B248" s="15">
        <v>246</v>
      </c>
      <c r="D248" s="17">
        <f t="shared" si="16"/>
        <v>0</v>
      </c>
      <c r="J248" s="26"/>
      <c r="K248" s="27"/>
      <c r="L248" s="28"/>
      <c r="M248" s="28"/>
      <c r="N248" s="28"/>
      <c r="R248" s="13"/>
      <c r="U248" s="31"/>
      <c r="X248" s="32"/>
      <c r="Y248" s="28"/>
      <c r="Z248" s="28"/>
      <c r="AA248" s="33"/>
      <c r="AB248" s="34"/>
      <c r="AC248" s="34" t="str">
        <f t="shared" si="15"/>
        <v/>
      </c>
      <c r="AP248" s="57"/>
    </row>
    <row r="249" spans="2:42" ht="15" x14ac:dyDescent="0.25">
      <c r="B249" s="15">
        <v>247</v>
      </c>
      <c r="D249" s="17">
        <f t="shared" si="16"/>
        <v>0</v>
      </c>
      <c r="I249" s="25"/>
      <c r="J249" s="26"/>
      <c r="K249" s="27"/>
      <c r="L249" s="28"/>
      <c r="M249" s="28"/>
      <c r="N249" s="28"/>
      <c r="R249" s="13"/>
      <c r="U249" s="31"/>
      <c r="X249" s="32"/>
      <c r="Y249" s="28"/>
      <c r="Z249" s="28"/>
      <c r="AA249" s="33"/>
      <c r="AB249" s="34"/>
      <c r="AC249" s="34" t="str">
        <f t="shared" si="15"/>
        <v/>
      </c>
      <c r="AP249" s="57"/>
    </row>
    <row r="250" spans="2:42" ht="15" x14ac:dyDescent="0.25">
      <c r="B250" s="15">
        <v>248</v>
      </c>
      <c r="D250" s="17">
        <f t="shared" si="16"/>
        <v>0</v>
      </c>
      <c r="I250" s="25"/>
      <c r="J250" s="26"/>
      <c r="K250" s="27"/>
      <c r="L250" s="28"/>
      <c r="M250" s="28"/>
      <c r="N250" s="28"/>
      <c r="R250" s="13"/>
      <c r="U250" s="31"/>
      <c r="X250" s="32"/>
      <c r="Y250" s="28"/>
      <c r="Z250" s="28"/>
      <c r="AA250" s="33"/>
      <c r="AB250" s="34"/>
      <c r="AC250" s="34" t="str">
        <f t="shared" si="15"/>
        <v/>
      </c>
      <c r="AP250" s="57"/>
    </row>
    <row r="251" spans="2:42" ht="15" x14ac:dyDescent="0.25">
      <c r="B251" s="15">
        <v>249</v>
      </c>
      <c r="D251" s="17">
        <f t="shared" si="16"/>
        <v>0</v>
      </c>
      <c r="I251" s="25"/>
      <c r="J251" s="26"/>
      <c r="K251" s="27"/>
      <c r="L251" s="28"/>
      <c r="M251" s="28"/>
      <c r="N251" s="28"/>
      <c r="R251" s="13"/>
      <c r="U251" s="31"/>
      <c r="X251" s="32"/>
      <c r="Y251" s="28"/>
      <c r="Z251" s="28"/>
      <c r="AA251" s="33"/>
      <c r="AB251" s="34"/>
      <c r="AC251" s="34" t="str">
        <f t="shared" si="15"/>
        <v/>
      </c>
      <c r="AP251" s="57"/>
    </row>
    <row r="252" spans="2:42" ht="15" x14ac:dyDescent="0.25">
      <c r="B252" s="15">
        <v>250</v>
      </c>
      <c r="D252" s="17">
        <f t="shared" si="16"/>
        <v>0</v>
      </c>
      <c r="I252" s="25"/>
      <c r="J252" s="26"/>
      <c r="K252" s="27"/>
      <c r="L252" s="28"/>
      <c r="M252" s="28"/>
      <c r="N252" s="28"/>
      <c r="R252" s="13"/>
      <c r="U252" s="31"/>
      <c r="X252" s="32"/>
      <c r="Y252" s="28"/>
      <c r="Z252" s="28"/>
      <c r="AA252" s="33"/>
      <c r="AB252" s="34"/>
      <c r="AC252" s="34" t="str">
        <f t="shared" si="15"/>
        <v/>
      </c>
      <c r="AP252" s="57"/>
    </row>
    <row r="253" spans="2:42" ht="15" x14ac:dyDescent="0.25">
      <c r="B253" s="15">
        <v>251</v>
      </c>
      <c r="D253" s="17">
        <f t="shared" si="16"/>
        <v>0</v>
      </c>
      <c r="I253" s="25"/>
      <c r="J253" s="26"/>
      <c r="K253" s="27"/>
      <c r="L253" s="28"/>
      <c r="M253" s="28"/>
      <c r="N253" s="28"/>
      <c r="R253" s="13"/>
      <c r="U253" s="31"/>
      <c r="X253" s="32"/>
      <c r="Y253" s="28"/>
      <c r="Z253" s="28"/>
      <c r="AA253" s="33"/>
      <c r="AB253" s="34"/>
      <c r="AC253" s="34" t="str">
        <f t="shared" si="15"/>
        <v/>
      </c>
      <c r="AP253" s="57"/>
    </row>
    <row r="254" spans="2:42" ht="15" x14ac:dyDescent="0.25">
      <c r="B254" s="15">
        <v>252</v>
      </c>
      <c r="D254" s="17">
        <f t="shared" si="16"/>
        <v>0</v>
      </c>
      <c r="F254" s="25"/>
      <c r="G254" s="25"/>
      <c r="H254" s="25"/>
      <c r="I254" s="25"/>
      <c r="J254" s="26"/>
      <c r="K254" s="27"/>
      <c r="L254" s="28"/>
      <c r="M254" s="28"/>
      <c r="N254" s="28"/>
      <c r="O254" s="29"/>
      <c r="P254" s="35"/>
      <c r="Q254" s="35"/>
      <c r="R254" s="13"/>
      <c r="U254" s="31"/>
      <c r="X254" s="32"/>
      <c r="Y254" s="28"/>
      <c r="Z254" s="28"/>
      <c r="AA254" s="33"/>
      <c r="AB254" s="34"/>
      <c r="AC254" s="34" t="str">
        <f t="shared" si="15"/>
        <v/>
      </c>
      <c r="AP254" s="57"/>
    </row>
    <row r="255" spans="2:42" ht="15" x14ac:dyDescent="0.25">
      <c r="B255" s="15">
        <v>253</v>
      </c>
      <c r="D255" s="17">
        <f t="shared" si="16"/>
        <v>0</v>
      </c>
      <c r="F255" s="25"/>
      <c r="G255" s="25"/>
      <c r="H255" s="25"/>
      <c r="I255" s="25"/>
      <c r="J255" s="26"/>
      <c r="K255" s="27"/>
      <c r="L255" s="28"/>
      <c r="M255" s="28"/>
      <c r="N255" s="28"/>
      <c r="P255" s="29"/>
      <c r="Q255" s="35"/>
      <c r="R255" s="13"/>
      <c r="U255" s="31"/>
      <c r="X255" s="32"/>
      <c r="Y255" s="28"/>
      <c r="Z255" s="28"/>
      <c r="AA255" s="33"/>
      <c r="AB255" s="34"/>
      <c r="AC255" s="34" t="str">
        <f t="shared" si="15"/>
        <v/>
      </c>
      <c r="AP255" s="57"/>
    </row>
    <row r="256" spans="2:42" ht="15" x14ac:dyDescent="0.25">
      <c r="B256" s="15">
        <v>254</v>
      </c>
      <c r="D256" s="17">
        <f t="shared" si="16"/>
        <v>0</v>
      </c>
      <c r="F256" s="25"/>
      <c r="G256" s="25"/>
      <c r="H256" s="25"/>
      <c r="I256" s="25"/>
      <c r="J256" s="26"/>
      <c r="K256" s="27"/>
      <c r="L256" s="28"/>
      <c r="M256" s="28"/>
      <c r="N256" s="28"/>
      <c r="P256" s="29"/>
      <c r="Q256" s="30"/>
      <c r="R256" s="13"/>
      <c r="U256" s="31"/>
      <c r="X256" s="32"/>
      <c r="Y256" s="28"/>
      <c r="Z256" s="28"/>
      <c r="AA256" s="33"/>
      <c r="AB256" s="34"/>
      <c r="AC256" s="34" t="str">
        <f t="shared" si="15"/>
        <v/>
      </c>
      <c r="AP256" s="57"/>
    </row>
    <row r="257" spans="2:42" ht="15" x14ac:dyDescent="0.25">
      <c r="B257" s="15">
        <v>255</v>
      </c>
      <c r="D257" s="17">
        <f t="shared" si="16"/>
        <v>0</v>
      </c>
      <c r="H257" s="25"/>
      <c r="J257" s="26"/>
      <c r="K257" s="27"/>
      <c r="L257" s="28"/>
      <c r="M257" s="28"/>
      <c r="N257" s="28"/>
      <c r="Q257" s="30"/>
      <c r="R257" s="13"/>
      <c r="U257" s="31"/>
      <c r="X257" s="32"/>
      <c r="Y257" s="28"/>
      <c r="Z257" s="28"/>
      <c r="AA257" s="33"/>
      <c r="AB257" s="34"/>
      <c r="AC257" s="34" t="str">
        <f t="shared" si="15"/>
        <v/>
      </c>
      <c r="AP257" s="57"/>
    </row>
    <row r="258" spans="2:42" ht="15" x14ac:dyDescent="0.25">
      <c r="B258" s="15">
        <v>256</v>
      </c>
      <c r="D258" s="17">
        <f t="shared" si="16"/>
        <v>0</v>
      </c>
      <c r="H258" s="25"/>
      <c r="I258" s="25"/>
      <c r="J258" s="26"/>
      <c r="K258" s="27"/>
      <c r="L258" s="28"/>
      <c r="M258" s="28"/>
      <c r="N258" s="28"/>
      <c r="P258" s="29"/>
      <c r="Q258" s="35"/>
      <c r="R258" s="13"/>
      <c r="U258" s="31"/>
      <c r="X258" s="32"/>
      <c r="Y258" s="28"/>
      <c r="Z258" s="28"/>
      <c r="AA258" s="33"/>
      <c r="AB258" s="34"/>
      <c r="AC258" s="34" t="str">
        <f t="shared" si="15"/>
        <v/>
      </c>
      <c r="AP258" s="57"/>
    </row>
    <row r="259" spans="2:42" ht="15" x14ac:dyDescent="0.25">
      <c r="B259" s="15">
        <v>257</v>
      </c>
      <c r="D259" s="17">
        <f t="shared" si="16"/>
        <v>0</v>
      </c>
      <c r="H259" s="25"/>
      <c r="I259" s="25"/>
      <c r="J259" s="26"/>
      <c r="K259" s="27"/>
      <c r="L259" s="28"/>
      <c r="M259" s="28"/>
      <c r="N259" s="28"/>
      <c r="P259" s="29"/>
      <c r="Q259" s="35"/>
      <c r="R259" s="13"/>
      <c r="U259" s="31"/>
      <c r="X259" s="32"/>
      <c r="Y259" s="28"/>
      <c r="Z259" s="28"/>
      <c r="AA259" s="33"/>
      <c r="AB259" s="34"/>
      <c r="AC259" s="34" t="str">
        <f t="shared" ref="AC259:AC322" si="17">+IF(AB259="","",R259-AB259)</f>
        <v/>
      </c>
      <c r="AP259" s="57"/>
    </row>
    <row r="260" spans="2:42" ht="15" x14ac:dyDescent="0.25">
      <c r="B260" s="15">
        <v>258</v>
      </c>
      <c r="D260" s="17">
        <f t="shared" si="16"/>
        <v>0</v>
      </c>
      <c r="H260" s="25"/>
      <c r="I260" s="25"/>
      <c r="J260" s="26"/>
      <c r="K260" s="27"/>
      <c r="L260" s="28"/>
      <c r="M260" s="28"/>
      <c r="N260" s="28"/>
      <c r="P260" s="29"/>
      <c r="Q260" s="35"/>
      <c r="R260" s="13"/>
      <c r="U260" s="31"/>
      <c r="X260" s="32"/>
      <c r="Y260" s="28"/>
      <c r="Z260" s="28"/>
      <c r="AA260" s="33"/>
      <c r="AB260" s="34"/>
      <c r="AC260" s="34" t="str">
        <f t="shared" si="17"/>
        <v/>
      </c>
      <c r="AP260" s="57"/>
    </row>
    <row r="261" spans="2:42" ht="15" x14ac:dyDescent="0.25">
      <c r="B261" s="15">
        <v>259</v>
      </c>
      <c r="D261" s="17">
        <f t="shared" si="16"/>
        <v>0</v>
      </c>
      <c r="H261" s="25"/>
      <c r="I261" s="25"/>
      <c r="J261" s="26"/>
      <c r="K261" s="27"/>
      <c r="L261" s="28"/>
      <c r="M261" s="28"/>
      <c r="N261" s="28"/>
      <c r="P261" s="29"/>
      <c r="Q261" s="35"/>
      <c r="R261" s="13"/>
      <c r="U261" s="31"/>
      <c r="X261" s="32"/>
      <c r="Y261" s="28"/>
      <c r="Z261" s="28"/>
      <c r="AA261" s="33"/>
      <c r="AB261" s="34"/>
      <c r="AC261" s="34" t="str">
        <f t="shared" si="17"/>
        <v/>
      </c>
      <c r="AP261" s="57"/>
    </row>
    <row r="262" spans="2:42" ht="15" x14ac:dyDescent="0.25">
      <c r="B262" s="15">
        <v>260</v>
      </c>
      <c r="D262" s="17">
        <f t="shared" si="16"/>
        <v>0</v>
      </c>
      <c r="H262" s="25"/>
      <c r="I262" s="25"/>
      <c r="J262" s="26"/>
      <c r="K262" s="27"/>
      <c r="L262" s="28"/>
      <c r="M262" s="28"/>
      <c r="N262" s="28"/>
      <c r="P262" s="29"/>
      <c r="Q262" s="35"/>
      <c r="R262" s="13"/>
      <c r="U262" s="31"/>
      <c r="X262" s="32"/>
      <c r="Y262" s="28"/>
      <c r="Z262" s="28"/>
      <c r="AA262" s="33"/>
      <c r="AB262" s="34"/>
      <c r="AC262" s="34" t="str">
        <f t="shared" si="17"/>
        <v/>
      </c>
      <c r="AP262" s="57"/>
    </row>
    <row r="263" spans="2:42" ht="15" x14ac:dyDescent="0.25">
      <c r="B263" s="15">
        <v>261</v>
      </c>
      <c r="D263" s="17">
        <f t="shared" si="16"/>
        <v>0</v>
      </c>
      <c r="H263" s="25"/>
      <c r="I263" s="25"/>
      <c r="J263" s="26"/>
      <c r="K263" s="27"/>
      <c r="L263" s="28"/>
      <c r="M263" s="28"/>
      <c r="N263" s="28"/>
      <c r="P263" s="29"/>
      <c r="Q263" s="35"/>
      <c r="R263" s="13"/>
      <c r="U263" s="31"/>
      <c r="X263" s="32"/>
      <c r="Y263" s="28"/>
      <c r="Z263" s="28"/>
      <c r="AA263" s="33"/>
      <c r="AB263" s="34"/>
      <c r="AC263" s="34" t="str">
        <f t="shared" si="17"/>
        <v/>
      </c>
      <c r="AP263" s="57"/>
    </row>
    <row r="264" spans="2:42" ht="15" x14ac:dyDescent="0.25">
      <c r="B264" s="15">
        <v>262</v>
      </c>
      <c r="D264" s="17">
        <f t="shared" si="16"/>
        <v>0</v>
      </c>
      <c r="F264" s="25"/>
      <c r="G264" s="25"/>
      <c r="H264" s="25"/>
      <c r="I264" s="25"/>
      <c r="J264" s="26"/>
      <c r="K264" s="27"/>
      <c r="L264" s="28"/>
      <c r="M264" s="28"/>
      <c r="N264" s="28"/>
      <c r="P264" s="29"/>
      <c r="Q264" s="35"/>
      <c r="R264" s="13"/>
      <c r="U264" s="31"/>
      <c r="X264" s="32"/>
      <c r="Y264" s="28"/>
      <c r="Z264" s="28"/>
      <c r="AA264" s="33"/>
      <c r="AB264" s="34"/>
      <c r="AC264" s="34" t="str">
        <f t="shared" si="17"/>
        <v/>
      </c>
      <c r="AP264" s="57"/>
    </row>
    <row r="265" spans="2:42" ht="15" x14ac:dyDescent="0.25">
      <c r="B265" s="15">
        <v>263</v>
      </c>
      <c r="D265" s="17">
        <f t="shared" si="16"/>
        <v>0</v>
      </c>
      <c r="F265" s="25"/>
      <c r="G265" s="25"/>
      <c r="H265" s="25"/>
      <c r="I265" s="25"/>
      <c r="J265" s="26"/>
      <c r="K265" s="27"/>
      <c r="L265" s="28"/>
      <c r="M265" s="28"/>
      <c r="N265" s="28"/>
      <c r="P265" s="29"/>
      <c r="Q265" s="35"/>
      <c r="R265" s="13"/>
      <c r="U265" s="31"/>
      <c r="X265" s="32"/>
      <c r="Y265" s="28"/>
      <c r="Z265" s="28"/>
      <c r="AA265" s="33"/>
      <c r="AB265" s="34"/>
      <c r="AC265" s="34" t="str">
        <f t="shared" si="17"/>
        <v/>
      </c>
      <c r="AP265" s="57"/>
    </row>
    <row r="266" spans="2:42" ht="15" x14ac:dyDescent="0.25">
      <c r="B266" s="15">
        <v>264</v>
      </c>
      <c r="D266" s="17">
        <f t="shared" si="16"/>
        <v>0</v>
      </c>
      <c r="G266" s="25"/>
      <c r="H266" s="25"/>
      <c r="I266" s="25"/>
      <c r="J266" s="26"/>
      <c r="K266" s="27"/>
      <c r="L266" s="28"/>
      <c r="M266" s="28"/>
      <c r="N266" s="28"/>
      <c r="P266" s="29"/>
      <c r="Q266" s="35"/>
      <c r="R266" s="13"/>
      <c r="U266" s="31"/>
      <c r="X266" s="32"/>
      <c r="Y266" s="28"/>
      <c r="Z266" s="28"/>
      <c r="AA266" s="33"/>
      <c r="AB266" s="34"/>
      <c r="AC266" s="34" t="str">
        <f t="shared" si="17"/>
        <v/>
      </c>
      <c r="AP266" s="57"/>
    </row>
    <row r="267" spans="2:42" ht="15" x14ac:dyDescent="0.25">
      <c r="B267" s="15">
        <v>265</v>
      </c>
      <c r="D267" s="17">
        <f t="shared" si="16"/>
        <v>0</v>
      </c>
      <c r="I267" s="25"/>
      <c r="J267" s="26"/>
      <c r="K267" s="27"/>
      <c r="L267" s="28"/>
      <c r="M267" s="28"/>
      <c r="N267" s="28"/>
      <c r="R267" s="13"/>
      <c r="U267" s="31"/>
      <c r="X267" s="32"/>
      <c r="Y267" s="28"/>
      <c r="Z267" s="28"/>
      <c r="AA267" s="33"/>
      <c r="AB267" s="34"/>
      <c r="AC267" s="34" t="str">
        <f t="shared" si="17"/>
        <v/>
      </c>
      <c r="AP267" s="57"/>
    </row>
    <row r="268" spans="2:42" ht="15" x14ac:dyDescent="0.25">
      <c r="B268" s="15">
        <v>266</v>
      </c>
      <c r="D268" s="17">
        <f t="shared" si="16"/>
        <v>0</v>
      </c>
      <c r="I268" s="25"/>
      <c r="J268" s="26"/>
      <c r="K268" s="27"/>
      <c r="L268" s="28"/>
      <c r="M268" s="28"/>
      <c r="N268" s="28"/>
      <c r="R268" s="13"/>
      <c r="U268" s="31"/>
      <c r="X268" s="32"/>
      <c r="Y268" s="28"/>
      <c r="Z268" s="28"/>
      <c r="AA268" s="33"/>
      <c r="AB268" s="34"/>
      <c r="AC268" s="34" t="str">
        <f t="shared" si="17"/>
        <v/>
      </c>
      <c r="AP268" s="57"/>
    </row>
    <row r="269" spans="2:42" ht="15" x14ac:dyDescent="0.25">
      <c r="B269" s="15">
        <v>267</v>
      </c>
      <c r="D269" s="17">
        <f t="shared" si="16"/>
        <v>0</v>
      </c>
      <c r="I269" s="25"/>
      <c r="J269" s="26"/>
      <c r="K269" s="27"/>
      <c r="L269" s="28"/>
      <c r="M269" s="28"/>
      <c r="N269" s="28"/>
      <c r="R269" s="13"/>
      <c r="U269" s="31"/>
      <c r="X269" s="32"/>
      <c r="Y269" s="28"/>
      <c r="Z269" s="28"/>
      <c r="AA269" s="33"/>
      <c r="AB269" s="34"/>
      <c r="AC269" s="34" t="str">
        <f t="shared" si="17"/>
        <v/>
      </c>
      <c r="AP269" s="57"/>
    </row>
    <row r="270" spans="2:42" ht="15" x14ac:dyDescent="0.25">
      <c r="B270" s="15">
        <v>268</v>
      </c>
      <c r="D270" s="17">
        <f t="shared" si="16"/>
        <v>0</v>
      </c>
      <c r="I270" s="25"/>
      <c r="J270" s="26"/>
      <c r="K270" s="27"/>
      <c r="L270" s="28"/>
      <c r="M270" s="28"/>
      <c r="N270" s="28"/>
      <c r="R270" s="13"/>
      <c r="U270" s="31"/>
      <c r="X270" s="32"/>
      <c r="Y270" s="28"/>
      <c r="Z270" s="28"/>
      <c r="AA270" s="33"/>
      <c r="AB270" s="34"/>
      <c r="AC270" s="34" t="str">
        <f t="shared" si="17"/>
        <v/>
      </c>
      <c r="AP270" s="57"/>
    </row>
    <row r="271" spans="2:42" ht="15" x14ac:dyDescent="0.25">
      <c r="B271" s="15">
        <v>269</v>
      </c>
      <c r="D271" s="17">
        <f t="shared" si="16"/>
        <v>0</v>
      </c>
      <c r="I271" s="25"/>
      <c r="J271" s="26"/>
      <c r="K271" s="27"/>
      <c r="L271" s="28"/>
      <c r="M271" s="28"/>
      <c r="N271" s="28"/>
      <c r="R271" s="13"/>
      <c r="U271" s="31"/>
      <c r="X271" s="32"/>
      <c r="Y271" s="28"/>
      <c r="Z271" s="28"/>
      <c r="AA271" s="33"/>
      <c r="AB271" s="34"/>
      <c r="AC271" s="34" t="str">
        <f t="shared" si="17"/>
        <v/>
      </c>
      <c r="AP271" s="57"/>
    </row>
    <row r="272" spans="2:42" ht="15" x14ac:dyDescent="0.25">
      <c r="B272" s="15">
        <v>270</v>
      </c>
      <c r="D272" s="17">
        <f t="shared" si="16"/>
        <v>0</v>
      </c>
      <c r="I272" s="25"/>
      <c r="J272" s="26"/>
      <c r="K272" s="27"/>
      <c r="L272" s="28"/>
      <c r="M272" s="28"/>
      <c r="N272" s="28"/>
      <c r="R272" s="13"/>
      <c r="U272" s="31"/>
      <c r="X272" s="32"/>
      <c r="Y272" s="28"/>
      <c r="Z272" s="28"/>
      <c r="AA272" s="33"/>
      <c r="AB272" s="34"/>
      <c r="AC272" s="34" t="str">
        <f t="shared" si="17"/>
        <v/>
      </c>
      <c r="AP272" s="57"/>
    </row>
    <row r="273" spans="2:42" ht="15" x14ac:dyDescent="0.25">
      <c r="B273" s="15">
        <v>271</v>
      </c>
      <c r="D273" s="17">
        <f t="shared" si="16"/>
        <v>0</v>
      </c>
      <c r="I273" s="25"/>
      <c r="J273" s="26"/>
      <c r="K273" s="27"/>
      <c r="L273" s="28"/>
      <c r="M273" s="28"/>
      <c r="N273" s="28"/>
      <c r="R273" s="13"/>
      <c r="U273" s="31"/>
      <c r="X273" s="32"/>
      <c r="Y273" s="28"/>
      <c r="Z273" s="28"/>
      <c r="AA273" s="33"/>
      <c r="AB273" s="34"/>
      <c r="AC273" s="34" t="str">
        <f t="shared" si="17"/>
        <v/>
      </c>
      <c r="AP273" s="57"/>
    </row>
    <row r="274" spans="2:42" ht="15" x14ac:dyDescent="0.25">
      <c r="B274" s="15">
        <v>272</v>
      </c>
      <c r="D274" s="17">
        <f t="shared" si="16"/>
        <v>0</v>
      </c>
      <c r="I274" s="25"/>
      <c r="J274" s="26"/>
      <c r="K274" s="27"/>
      <c r="L274" s="28"/>
      <c r="M274" s="28"/>
      <c r="N274" s="28"/>
      <c r="R274" s="13"/>
      <c r="U274" s="31"/>
      <c r="X274" s="32"/>
      <c r="Y274" s="28"/>
      <c r="Z274" s="28"/>
      <c r="AA274" s="33"/>
      <c r="AB274" s="34"/>
      <c r="AC274" s="34" t="str">
        <f t="shared" si="17"/>
        <v/>
      </c>
      <c r="AP274" s="57"/>
    </row>
    <row r="275" spans="2:42" ht="15" x14ac:dyDescent="0.25">
      <c r="B275" s="15">
        <v>273</v>
      </c>
      <c r="D275" s="17">
        <f t="shared" si="16"/>
        <v>0</v>
      </c>
      <c r="I275" s="25"/>
      <c r="J275" s="26"/>
      <c r="K275" s="27"/>
      <c r="L275" s="28"/>
      <c r="M275" s="28"/>
      <c r="N275" s="28"/>
      <c r="R275" s="13"/>
      <c r="U275" s="31"/>
      <c r="X275" s="32"/>
      <c r="Y275" s="28"/>
      <c r="Z275" s="28"/>
      <c r="AA275" s="33"/>
      <c r="AB275" s="34"/>
      <c r="AC275" s="34" t="str">
        <f t="shared" si="17"/>
        <v/>
      </c>
      <c r="AP275" s="57"/>
    </row>
    <row r="276" spans="2:42" ht="15" x14ac:dyDescent="0.25">
      <c r="B276" s="15">
        <v>274</v>
      </c>
      <c r="D276" s="17">
        <f t="shared" si="16"/>
        <v>0</v>
      </c>
      <c r="I276" s="25"/>
      <c r="J276" s="26"/>
      <c r="K276" s="27"/>
      <c r="L276" s="28"/>
      <c r="M276" s="28"/>
      <c r="N276" s="28"/>
      <c r="R276" s="13"/>
      <c r="U276" s="31"/>
      <c r="X276" s="32"/>
      <c r="Y276" s="28"/>
      <c r="Z276" s="28"/>
      <c r="AA276" s="33"/>
      <c r="AB276" s="34"/>
      <c r="AC276" s="34" t="str">
        <f t="shared" si="17"/>
        <v/>
      </c>
      <c r="AP276" s="57"/>
    </row>
    <row r="277" spans="2:42" ht="15" x14ac:dyDescent="0.25">
      <c r="B277" s="15">
        <v>275</v>
      </c>
      <c r="D277" s="17">
        <f t="shared" si="16"/>
        <v>0</v>
      </c>
      <c r="I277" s="25"/>
      <c r="J277" s="26"/>
      <c r="K277" s="27"/>
      <c r="L277" s="28"/>
      <c r="M277" s="28"/>
      <c r="N277" s="28"/>
      <c r="R277" s="13"/>
      <c r="U277" s="31"/>
      <c r="X277" s="32"/>
      <c r="Y277" s="28"/>
      <c r="Z277" s="28"/>
      <c r="AA277" s="33"/>
      <c r="AB277" s="34"/>
      <c r="AC277" s="34" t="str">
        <f t="shared" si="17"/>
        <v/>
      </c>
      <c r="AP277" s="57"/>
    </row>
    <row r="278" spans="2:42" ht="15" x14ac:dyDescent="0.25">
      <c r="B278" s="15">
        <v>276</v>
      </c>
      <c r="D278" s="17">
        <f t="shared" si="16"/>
        <v>0</v>
      </c>
      <c r="I278" s="25"/>
      <c r="J278" s="26"/>
      <c r="K278" s="27"/>
      <c r="L278" s="28"/>
      <c r="M278" s="28"/>
      <c r="N278" s="28"/>
      <c r="R278" s="13"/>
      <c r="U278" s="31"/>
      <c r="X278" s="32"/>
      <c r="Y278" s="28"/>
      <c r="Z278" s="28"/>
      <c r="AA278" s="33"/>
      <c r="AB278" s="34"/>
      <c r="AC278" s="34" t="str">
        <f t="shared" si="17"/>
        <v/>
      </c>
      <c r="AP278" s="57"/>
    </row>
    <row r="279" spans="2:42" ht="15" x14ac:dyDescent="0.25">
      <c r="B279" s="15">
        <v>277</v>
      </c>
      <c r="D279" s="17">
        <f t="shared" si="16"/>
        <v>0</v>
      </c>
      <c r="I279" s="25"/>
      <c r="J279" s="26"/>
      <c r="K279" s="27"/>
      <c r="L279" s="28"/>
      <c r="M279" s="28"/>
      <c r="N279" s="28"/>
      <c r="R279" s="13"/>
      <c r="U279" s="31"/>
      <c r="X279" s="32"/>
      <c r="Y279" s="28"/>
      <c r="Z279" s="28"/>
      <c r="AA279" s="33"/>
      <c r="AB279" s="34"/>
      <c r="AC279" s="34" t="str">
        <f t="shared" si="17"/>
        <v/>
      </c>
      <c r="AP279" s="57"/>
    </row>
    <row r="280" spans="2:42" ht="15" x14ac:dyDescent="0.25">
      <c r="B280" s="15">
        <v>278</v>
      </c>
      <c r="D280" s="17">
        <f t="shared" si="16"/>
        <v>0</v>
      </c>
      <c r="I280" s="25"/>
      <c r="J280" s="26"/>
      <c r="K280" s="27"/>
      <c r="L280" s="28"/>
      <c r="M280" s="28"/>
      <c r="N280" s="28"/>
      <c r="R280" s="13"/>
      <c r="U280" s="31"/>
      <c r="X280" s="32"/>
      <c r="Y280" s="28"/>
      <c r="Z280" s="28"/>
      <c r="AA280" s="33"/>
      <c r="AB280" s="34"/>
      <c r="AC280" s="34" t="str">
        <f t="shared" si="17"/>
        <v/>
      </c>
      <c r="AP280" s="57"/>
    </row>
    <row r="281" spans="2:42" ht="15" x14ac:dyDescent="0.25">
      <c r="B281" s="15">
        <v>279</v>
      </c>
      <c r="D281" s="17">
        <f t="shared" si="16"/>
        <v>0</v>
      </c>
      <c r="I281" s="25"/>
      <c r="J281" s="26"/>
      <c r="K281" s="27"/>
      <c r="L281" s="28"/>
      <c r="M281" s="28"/>
      <c r="N281" s="28"/>
      <c r="R281" s="13"/>
      <c r="U281" s="31"/>
      <c r="X281" s="32"/>
      <c r="Y281" s="28"/>
      <c r="Z281" s="28"/>
      <c r="AA281" s="33"/>
      <c r="AB281" s="34"/>
      <c r="AC281" s="34" t="str">
        <f t="shared" si="17"/>
        <v/>
      </c>
      <c r="AP281" s="57"/>
    </row>
    <row r="282" spans="2:42" ht="15" x14ac:dyDescent="0.25">
      <c r="B282" s="15">
        <v>280</v>
      </c>
      <c r="D282" s="17">
        <f t="shared" si="16"/>
        <v>0</v>
      </c>
      <c r="G282" s="25"/>
      <c r="H282" s="25"/>
      <c r="I282" s="25"/>
      <c r="J282" s="26"/>
      <c r="K282" s="27"/>
      <c r="L282" s="28"/>
      <c r="M282" s="28"/>
      <c r="N282" s="28"/>
      <c r="O282" s="29"/>
      <c r="P282" s="35"/>
      <c r="Q282" s="35"/>
      <c r="R282" s="13"/>
      <c r="U282" s="31"/>
      <c r="X282" s="32"/>
      <c r="Y282" s="28"/>
      <c r="Z282" s="28"/>
      <c r="AA282" s="33"/>
      <c r="AB282" s="34"/>
      <c r="AC282" s="34" t="str">
        <f t="shared" si="17"/>
        <v/>
      </c>
      <c r="AP282" s="57"/>
    </row>
    <row r="283" spans="2:42" ht="15" x14ac:dyDescent="0.25">
      <c r="B283" s="15">
        <v>281</v>
      </c>
      <c r="D283" s="17">
        <f t="shared" si="16"/>
        <v>0</v>
      </c>
      <c r="F283" s="25"/>
      <c r="G283" s="25"/>
      <c r="H283" s="25"/>
      <c r="I283" s="25"/>
      <c r="J283" s="26"/>
      <c r="K283" s="27"/>
      <c r="L283" s="28"/>
      <c r="M283" s="28"/>
      <c r="N283" s="28"/>
      <c r="P283" s="29"/>
      <c r="Q283" s="35"/>
      <c r="R283" s="13"/>
      <c r="U283" s="31"/>
      <c r="X283" s="32"/>
      <c r="Y283" s="28"/>
      <c r="Z283" s="28"/>
      <c r="AA283" s="33"/>
      <c r="AB283" s="34"/>
      <c r="AC283" s="34" t="str">
        <f t="shared" si="17"/>
        <v/>
      </c>
      <c r="AP283" s="57"/>
    </row>
    <row r="284" spans="2:42" ht="15" x14ac:dyDescent="0.25">
      <c r="B284" s="15">
        <v>282</v>
      </c>
      <c r="D284" s="17">
        <f t="shared" si="16"/>
        <v>0</v>
      </c>
      <c r="F284" s="25"/>
      <c r="G284" s="25"/>
      <c r="H284" s="25"/>
      <c r="I284" s="25"/>
      <c r="J284" s="26"/>
      <c r="K284" s="27"/>
      <c r="L284" s="28"/>
      <c r="M284" s="28"/>
      <c r="N284" s="28"/>
      <c r="P284" s="29"/>
      <c r="Q284" s="30"/>
      <c r="R284" s="13"/>
      <c r="U284" s="31"/>
      <c r="X284" s="32"/>
      <c r="Y284" s="28"/>
      <c r="Z284" s="28"/>
      <c r="AA284" s="33"/>
      <c r="AB284" s="34"/>
      <c r="AC284" s="34" t="str">
        <f t="shared" si="17"/>
        <v/>
      </c>
      <c r="AP284" s="57"/>
    </row>
    <row r="285" spans="2:42" ht="15" x14ac:dyDescent="0.25">
      <c r="B285" s="15">
        <v>283</v>
      </c>
      <c r="D285" s="17">
        <f t="shared" si="16"/>
        <v>0</v>
      </c>
      <c r="H285" s="25"/>
      <c r="J285" s="26"/>
      <c r="K285" s="27"/>
      <c r="L285" s="28"/>
      <c r="M285" s="28"/>
      <c r="N285" s="28"/>
      <c r="Q285" s="30"/>
      <c r="R285" s="13"/>
      <c r="U285" s="31"/>
      <c r="X285" s="32"/>
      <c r="Y285" s="28"/>
      <c r="Z285" s="28"/>
      <c r="AA285" s="33"/>
      <c r="AB285" s="34"/>
      <c r="AC285" s="34" t="str">
        <f t="shared" si="17"/>
        <v/>
      </c>
      <c r="AP285" s="57"/>
    </row>
    <row r="286" spans="2:42" ht="15" x14ac:dyDescent="0.25">
      <c r="B286" s="15">
        <v>284</v>
      </c>
      <c r="D286" s="17">
        <f t="shared" si="16"/>
        <v>0</v>
      </c>
      <c r="H286" s="25"/>
      <c r="I286" s="25"/>
      <c r="J286" s="26"/>
      <c r="K286" s="27"/>
      <c r="L286" s="28"/>
      <c r="M286" s="28"/>
      <c r="N286" s="28"/>
      <c r="P286" s="29"/>
      <c r="Q286" s="35"/>
      <c r="R286" s="13"/>
      <c r="U286" s="31"/>
      <c r="X286" s="32"/>
      <c r="Y286" s="28"/>
      <c r="Z286" s="28"/>
      <c r="AA286" s="33"/>
      <c r="AB286" s="34"/>
      <c r="AC286" s="34" t="str">
        <f t="shared" si="17"/>
        <v/>
      </c>
      <c r="AP286" s="57"/>
    </row>
    <row r="287" spans="2:42" ht="15" x14ac:dyDescent="0.25">
      <c r="B287" s="15">
        <v>285</v>
      </c>
      <c r="D287" s="17">
        <f t="shared" si="16"/>
        <v>0</v>
      </c>
      <c r="I287" s="25"/>
      <c r="J287" s="26"/>
      <c r="K287" s="27"/>
      <c r="L287" s="28"/>
      <c r="M287" s="28"/>
      <c r="N287" s="28"/>
      <c r="R287" s="13"/>
      <c r="U287" s="31"/>
      <c r="X287" s="32"/>
      <c r="Y287" s="28"/>
      <c r="Z287" s="28"/>
      <c r="AA287" s="33"/>
      <c r="AB287" s="34"/>
      <c r="AC287" s="34" t="str">
        <f t="shared" si="17"/>
        <v/>
      </c>
      <c r="AP287" s="57"/>
    </row>
    <row r="288" spans="2:42" ht="15" x14ac:dyDescent="0.25">
      <c r="B288" s="15">
        <v>286</v>
      </c>
      <c r="D288" s="17">
        <f t="shared" si="16"/>
        <v>0</v>
      </c>
      <c r="I288" s="25"/>
      <c r="J288" s="26"/>
      <c r="K288" s="27"/>
      <c r="L288" s="28"/>
      <c r="M288" s="28"/>
      <c r="N288" s="28"/>
      <c r="R288" s="13"/>
      <c r="U288" s="31"/>
      <c r="X288" s="32"/>
      <c r="Y288" s="28"/>
      <c r="Z288" s="28"/>
      <c r="AA288" s="33"/>
      <c r="AB288" s="34"/>
      <c r="AC288" s="34" t="str">
        <f t="shared" si="17"/>
        <v/>
      </c>
      <c r="AP288" s="57"/>
    </row>
    <row r="289" spans="2:42" ht="15" x14ac:dyDescent="0.25">
      <c r="B289" s="15">
        <v>287</v>
      </c>
      <c r="D289" s="17">
        <f t="shared" si="16"/>
        <v>0</v>
      </c>
      <c r="I289" s="25"/>
      <c r="J289" s="26"/>
      <c r="K289" s="27"/>
      <c r="L289" s="28"/>
      <c r="M289" s="28"/>
      <c r="N289" s="28"/>
      <c r="R289" s="13"/>
      <c r="U289" s="31"/>
      <c r="X289" s="32"/>
      <c r="Y289" s="28"/>
      <c r="Z289" s="28"/>
      <c r="AA289" s="33"/>
      <c r="AB289" s="34"/>
      <c r="AC289" s="34" t="str">
        <f t="shared" si="17"/>
        <v/>
      </c>
      <c r="AP289" s="57"/>
    </row>
    <row r="290" spans="2:42" ht="15" x14ac:dyDescent="0.25">
      <c r="B290" s="15">
        <v>288</v>
      </c>
      <c r="D290" s="17">
        <f t="shared" si="16"/>
        <v>0</v>
      </c>
      <c r="I290" s="25"/>
      <c r="J290" s="26"/>
      <c r="K290" s="27"/>
      <c r="L290" s="28"/>
      <c r="M290" s="28"/>
      <c r="N290" s="28"/>
      <c r="R290" s="13"/>
      <c r="U290" s="31"/>
      <c r="X290" s="32"/>
      <c r="Y290" s="28"/>
      <c r="Z290" s="28"/>
      <c r="AA290" s="33"/>
      <c r="AB290" s="34"/>
      <c r="AC290" s="34" t="str">
        <f t="shared" si="17"/>
        <v/>
      </c>
      <c r="AP290" s="57"/>
    </row>
    <row r="291" spans="2:42" ht="15" x14ac:dyDescent="0.25">
      <c r="B291" s="15">
        <v>289</v>
      </c>
      <c r="D291" s="17">
        <f t="shared" si="16"/>
        <v>0</v>
      </c>
      <c r="I291" s="25"/>
      <c r="J291" s="26"/>
      <c r="K291" s="27"/>
      <c r="L291" s="28"/>
      <c r="M291" s="28"/>
      <c r="N291" s="28"/>
      <c r="R291" s="13"/>
      <c r="U291" s="31"/>
      <c r="X291" s="32"/>
      <c r="Y291" s="28"/>
      <c r="Z291" s="28"/>
      <c r="AA291" s="33"/>
      <c r="AB291" s="34"/>
      <c r="AC291" s="34" t="str">
        <f t="shared" si="17"/>
        <v/>
      </c>
      <c r="AP291" s="57"/>
    </row>
    <row r="292" spans="2:42" ht="15" x14ac:dyDescent="0.25">
      <c r="B292" s="15">
        <v>290</v>
      </c>
      <c r="D292" s="17">
        <f t="shared" si="16"/>
        <v>0</v>
      </c>
      <c r="I292" s="25"/>
      <c r="J292" s="26"/>
      <c r="K292" s="27"/>
      <c r="L292" s="28"/>
      <c r="M292" s="28"/>
      <c r="N292" s="28"/>
      <c r="R292" s="13"/>
      <c r="U292" s="31"/>
      <c r="X292" s="32"/>
      <c r="Y292" s="28"/>
      <c r="Z292" s="28"/>
      <c r="AA292" s="33"/>
      <c r="AB292" s="34"/>
      <c r="AC292" s="34" t="str">
        <f t="shared" si="17"/>
        <v/>
      </c>
      <c r="AP292" s="57"/>
    </row>
    <row r="293" spans="2:42" ht="15" x14ac:dyDescent="0.25">
      <c r="B293" s="15">
        <v>291</v>
      </c>
      <c r="D293" s="17">
        <f t="shared" si="16"/>
        <v>0</v>
      </c>
      <c r="J293" s="26"/>
      <c r="K293" s="27"/>
      <c r="L293" s="28"/>
      <c r="M293" s="28"/>
      <c r="N293" s="28"/>
      <c r="R293" s="13"/>
      <c r="U293" s="31"/>
      <c r="X293" s="32"/>
      <c r="Y293" s="28"/>
      <c r="Z293" s="28"/>
      <c r="AA293" s="33"/>
      <c r="AB293" s="34"/>
      <c r="AC293" s="34" t="str">
        <f t="shared" si="17"/>
        <v/>
      </c>
      <c r="AP293" s="57"/>
    </row>
    <row r="294" spans="2:42" ht="15" x14ac:dyDescent="0.25">
      <c r="B294" s="15">
        <v>292</v>
      </c>
      <c r="D294" s="17">
        <f t="shared" si="16"/>
        <v>0</v>
      </c>
      <c r="I294" s="25"/>
      <c r="J294" s="26"/>
      <c r="K294" s="27"/>
      <c r="L294" s="28"/>
      <c r="M294" s="28"/>
      <c r="N294" s="28"/>
      <c r="R294" s="13"/>
      <c r="U294" s="31"/>
      <c r="X294" s="32"/>
      <c r="Y294" s="28"/>
      <c r="Z294" s="28"/>
      <c r="AA294" s="33"/>
      <c r="AB294" s="34"/>
      <c r="AC294" s="34" t="str">
        <f t="shared" si="17"/>
        <v/>
      </c>
      <c r="AP294" s="57"/>
    </row>
    <row r="295" spans="2:42" ht="15" x14ac:dyDescent="0.25">
      <c r="B295" s="15">
        <v>293</v>
      </c>
      <c r="D295" s="17">
        <f t="shared" si="16"/>
        <v>0</v>
      </c>
      <c r="I295" s="25"/>
      <c r="J295" s="26"/>
      <c r="K295" s="27"/>
      <c r="L295" s="28"/>
      <c r="M295" s="28"/>
      <c r="N295" s="28"/>
      <c r="R295" s="13"/>
      <c r="U295" s="31"/>
      <c r="X295" s="32"/>
      <c r="Y295" s="28"/>
      <c r="Z295" s="28"/>
      <c r="AA295" s="33"/>
      <c r="AB295" s="34"/>
      <c r="AC295" s="34" t="str">
        <f t="shared" si="17"/>
        <v/>
      </c>
      <c r="AP295" s="57"/>
    </row>
    <row r="296" spans="2:42" ht="15" x14ac:dyDescent="0.25">
      <c r="B296" s="15">
        <v>294</v>
      </c>
      <c r="D296" s="17">
        <f t="shared" si="16"/>
        <v>0</v>
      </c>
      <c r="I296" s="25"/>
      <c r="J296" s="26"/>
      <c r="K296" s="27"/>
      <c r="L296" s="28"/>
      <c r="M296" s="28"/>
      <c r="N296" s="28"/>
      <c r="R296" s="13"/>
      <c r="U296" s="31"/>
      <c r="X296" s="32"/>
      <c r="Y296" s="28"/>
      <c r="Z296" s="28"/>
      <c r="AA296" s="33"/>
      <c r="AB296" s="34"/>
      <c r="AC296" s="34" t="str">
        <f t="shared" si="17"/>
        <v/>
      </c>
      <c r="AP296" s="57"/>
    </row>
    <row r="297" spans="2:42" ht="15" x14ac:dyDescent="0.25">
      <c r="B297" s="15">
        <v>295</v>
      </c>
      <c r="D297" s="17">
        <f t="shared" si="16"/>
        <v>0</v>
      </c>
      <c r="I297" s="25"/>
      <c r="J297" s="26"/>
      <c r="K297" s="27"/>
      <c r="L297" s="28"/>
      <c r="M297" s="28"/>
      <c r="N297" s="28"/>
      <c r="R297" s="13"/>
      <c r="U297" s="31"/>
      <c r="X297" s="32"/>
      <c r="Y297" s="28"/>
      <c r="Z297" s="28"/>
      <c r="AA297" s="33"/>
      <c r="AB297" s="34"/>
      <c r="AC297" s="34" t="str">
        <f t="shared" si="17"/>
        <v/>
      </c>
      <c r="AP297" s="57"/>
    </row>
    <row r="298" spans="2:42" ht="15" x14ac:dyDescent="0.25">
      <c r="B298" s="15">
        <v>296</v>
      </c>
      <c r="D298" s="17">
        <f t="shared" si="16"/>
        <v>0</v>
      </c>
      <c r="I298" s="25"/>
      <c r="J298" s="26"/>
      <c r="K298" s="27"/>
      <c r="L298" s="28"/>
      <c r="M298" s="28"/>
      <c r="N298" s="28"/>
      <c r="R298" s="13"/>
      <c r="U298" s="31"/>
      <c r="X298" s="32"/>
      <c r="Y298" s="28"/>
      <c r="Z298" s="28"/>
      <c r="AA298" s="33"/>
      <c r="AB298" s="34"/>
      <c r="AC298" s="34" t="str">
        <f t="shared" si="17"/>
        <v/>
      </c>
      <c r="AP298" s="57"/>
    </row>
    <row r="299" spans="2:42" ht="15" x14ac:dyDescent="0.25">
      <c r="B299" s="15">
        <v>297</v>
      </c>
      <c r="D299" s="17">
        <f t="shared" si="16"/>
        <v>0</v>
      </c>
      <c r="I299" s="25"/>
      <c r="J299" s="26"/>
      <c r="K299" s="27"/>
      <c r="L299" s="28"/>
      <c r="M299" s="28"/>
      <c r="N299" s="28"/>
      <c r="R299" s="13"/>
      <c r="U299" s="31"/>
      <c r="X299" s="32"/>
      <c r="Y299" s="28"/>
      <c r="Z299" s="28"/>
      <c r="AA299" s="33"/>
      <c r="AB299" s="34"/>
      <c r="AC299" s="34" t="str">
        <f t="shared" si="17"/>
        <v/>
      </c>
      <c r="AP299" s="57"/>
    </row>
    <row r="300" spans="2:42" ht="15" x14ac:dyDescent="0.25">
      <c r="B300" s="15">
        <v>298</v>
      </c>
      <c r="D300" s="17">
        <f t="shared" si="16"/>
        <v>0</v>
      </c>
      <c r="I300" s="25"/>
      <c r="J300" s="26"/>
      <c r="K300" s="27"/>
      <c r="L300" s="28"/>
      <c r="M300" s="28"/>
      <c r="N300" s="28"/>
      <c r="R300" s="13"/>
      <c r="U300" s="31"/>
      <c r="X300" s="32"/>
      <c r="Y300" s="28"/>
      <c r="Z300" s="28"/>
      <c r="AA300" s="33"/>
      <c r="AB300" s="34"/>
      <c r="AC300" s="34" t="str">
        <f t="shared" si="17"/>
        <v/>
      </c>
      <c r="AP300" s="57"/>
    </row>
    <row r="301" spans="2:42" ht="15" x14ac:dyDescent="0.25">
      <c r="B301" s="15">
        <v>299</v>
      </c>
      <c r="D301" s="17">
        <f t="shared" si="16"/>
        <v>0</v>
      </c>
      <c r="I301" s="25"/>
      <c r="J301" s="26"/>
      <c r="K301" s="27"/>
      <c r="L301" s="28"/>
      <c r="M301" s="28"/>
      <c r="N301" s="28"/>
      <c r="R301" s="13"/>
      <c r="U301" s="31"/>
      <c r="X301" s="32"/>
      <c r="Y301" s="28"/>
      <c r="Z301" s="28"/>
      <c r="AA301" s="33"/>
      <c r="AB301" s="34"/>
      <c r="AC301" s="34" t="str">
        <f t="shared" si="17"/>
        <v/>
      </c>
      <c r="AP301" s="57"/>
    </row>
    <row r="302" spans="2:42" ht="15" x14ac:dyDescent="0.25">
      <c r="B302" s="15">
        <v>300</v>
      </c>
      <c r="D302" s="17">
        <f t="shared" si="16"/>
        <v>0</v>
      </c>
      <c r="I302" s="25"/>
      <c r="J302" s="26"/>
      <c r="K302" s="27"/>
      <c r="L302" s="28"/>
      <c r="M302" s="28"/>
      <c r="N302" s="28"/>
      <c r="R302" s="13"/>
      <c r="U302" s="31"/>
      <c r="X302" s="32"/>
      <c r="Y302" s="28"/>
      <c r="Z302" s="28"/>
      <c r="AA302" s="33"/>
      <c r="AB302" s="34"/>
      <c r="AC302" s="34" t="str">
        <f t="shared" si="17"/>
        <v/>
      </c>
      <c r="AP302" s="57"/>
    </row>
    <row r="303" spans="2:42" ht="15" x14ac:dyDescent="0.25">
      <c r="B303" s="15">
        <v>301</v>
      </c>
      <c r="D303" s="17">
        <f t="shared" si="16"/>
        <v>0</v>
      </c>
      <c r="I303" s="25"/>
      <c r="J303" s="26"/>
      <c r="K303" s="27"/>
      <c r="L303" s="28"/>
      <c r="M303" s="28"/>
      <c r="N303" s="28"/>
      <c r="R303" s="13"/>
      <c r="U303" s="31"/>
      <c r="X303" s="32"/>
      <c r="Y303" s="28"/>
      <c r="Z303" s="28"/>
      <c r="AA303" s="33"/>
      <c r="AB303" s="34"/>
      <c r="AC303" s="34" t="str">
        <f t="shared" si="17"/>
        <v/>
      </c>
      <c r="AP303" s="57"/>
    </row>
    <row r="304" spans="2:42" ht="15" x14ac:dyDescent="0.25">
      <c r="B304" s="15">
        <v>302</v>
      </c>
      <c r="D304" s="17">
        <f t="shared" si="16"/>
        <v>0</v>
      </c>
      <c r="I304" s="25"/>
      <c r="J304" s="26"/>
      <c r="K304" s="27"/>
      <c r="L304" s="28"/>
      <c r="M304" s="28"/>
      <c r="N304" s="28"/>
      <c r="R304" s="13"/>
      <c r="U304" s="31"/>
      <c r="X304" s="32"/>
      <c r="Y304" s="28"/>
      <c r="Z304" s="28"/>
      <c r="AA304" s="33"/>
      <c r="AB304" s="34"/>
      <c r="AC304" s="34" t="str">
        <f t="shared" si="17"/>
        <v/>
      </c>
      <c r="AP304" s="57"/>
    </row>
    <row r="305" spans="2:42" ht="15" x14ac:dyDescent="0.25">
      <c r="B305" s="15">
        <v>303</v>
      </c>
      <c r="D305" s="17">
        <f t="shared" ref="D305:D368" si="18">_xlfn.NUMBERVALUE(+LEFT(C305,11))</f>
        <v>0</v>
      </c>
      <c r="I305" s="25"/>
      <c r="J305" s="26"/>
      <c r="K305" s="27"/>
      <c r="L305" s="28"/>
      <c r="M305" s="28"/>
      <c r="N305" s="28"/>
      <c r="R305" s="13"/>
      <c r="U305" s="31"/>
      <c r="X305" s="32"/>
      <c r="Y305" s="28"/>
      <c r="Z305" s="28"/>
      <c r="AA305" s="33"/>
      <c r="AB305" s="34"/>
      <c r="AC305" s="34" t="str">
        <f t="shared" si="17"/>
        <v/>
      </c>
      <c r="AP305" s="57"/>
    </row>
    <row r="306" spans="2:42" ht="15" x14ac:dyDescent="0.25">
      <c r="B306" s="15">
        <v>304</v>
      </c>
      <c r="D306" s="17">
        <f t="shared" si="18"/>
        <v>0</v>
      </c>
      <c r="I306" s="25"/>
      <c r="J306" s="26"/>
      <c r="K306" s="27"/>
      <c r="L306" s="28"/>
      <c r="M306" s="28"/>
      <c r="N306" s="28"/>
      <c r="R306" s="13"/>
      <c r="U306" s="31"/>
      <c r="X306" s="32"/>
      <c r="Y306" s="28"/>
      <c r="Z306" s="28"/>
      <c r="AA306" s="33"/>
      <c r="AB306" s="34"/>
      <c r="AC306" s="34" t="str">
        <f t="shared" si="17"/>
        <v/>
      </c>
      <c r="AP306" s="57"/>
    </row>
    <row r="307" spans="2:42" ht="15" x14ac:dyDescent="0.25">
      <c r="B307" s="15">
        <v>305</v>
      </c>
      <c r="D307" s="17">
        <f t="shared" si="18"/>
        <v>0</v>
      </c>
      <c r="I307" s="25"/>
      <c r="J307" s="26"/>
      <c r="K307" s="27"/>
      <c r="L307" s="28"/>
      <c r="M307" s="28"/>
      <c r="N307" s="28"/>
      <c r="R307" s="13"/>
      <c r="U307" s="31"/>
      <c r="X307" s="32"/>
      <c r="Y307" s="28"/>
      <c r="Z307" s="28"/>
      <c r="AA307" s="33"/>
      <c r="AB307" s="34"/>
      <c r="AC307" s="34" t="str">
        <f t="shared" si="17"/>
        <v/>
      </c>
      <c r="AP307" s="57"/>
    </row>
    <row r="308" spans="2:42" ht="15" x14ac:dyDescent="0.25">
      <c r="B308" s="15">
        <v>306</v>
      </c>
      <c r="D308" s="17">
        <f t="shared" si="18"/>
        <v>0</v>
      </c>
      <c r="I308" s="25"/>
      <c r="J308" s="26"/>
      <c r="K308" s="27"/>
      <c r="L308" s="28"/>
      <c r="M308" s="28"/>
      <c r="N308" s="28"/>
      <c r="R308" s="13"/>
      <c r="U308" s="31"/>
      <c r="X308" s="32"/>
      <c r="Y308" s="28"/>
      <c r="Z308" s="28"/>
      <c r="AA308" s="33"/>
      <c r="AB308" s="34"/>
      <c r="AC308" s="34" t="str">
        <f t="shared" si="17"/>
        <v/>
      </c>
      <c r="AP308" s="57"/>
    </row>
    <row r="309" spans="2:42" ht="15" x14ac:dyDescent="0.25">
      <c r="B309" s="15">
        <v>307</v>
      </c>
      <c r="D309" s="17">
        <f t="shared" si="18"/>
        <v>0</v>
      </c>
      <c r="I309" s="25"/>
      <c r="J309" s="26"/>
      <c r="K309" s="27"/>
      <c r="L309" s="28"/>
      <c r="M309" s="28"/>
      <c r="N309" s="28"/>
      <c r="R309" s="13"/>
      <c r="U309" s="31"/>
      <c r="X309" s="32"/>
      <c r="Y309" s="28"/>
      <c r="Z309" s="28"/>
      <c r="AA309" s="33"/>
      <c r="AB309" s="34"/>
      <c r="AC309" s="34" t="str">
        <f t="shared" si="17"/>
        <v/>
      </c>
      <c r="AP309" s="57"/>
    </row>
    <row r="310" spans="2:42" ht="15" x14ac:dyDescent="0.25">
      <c r="B310" s="15">
        <v>308</v>
      </c>
      <c r="D310" s="17">
        <f t="shared" si="18"/>
        <v>0</v>
      </c>
      <c r="I310" s="25"/>
      <c r="J310" s="26"/>
      <c r="K310" s="27"/>
      <c r="L310" s="28"/>
      <c r="M310" s="28"/>
      <c r="N310" s="28"/>
      <c r="R310" s="13"/>
      <c r="U310" s="31"/>
      <c r="X310" s="32"/>
      <c r="Y310" s="28"/>
      <c r="Z310" s="28"/>
      <c r="AA310" s="33"/>
      <c r="AB310" s="34"/>
      <c r="AC310" s="34" t="str">
        <f t="shared" si="17"/>
        <v/>
      </c>
      <c r="AP310" s="57"/>
    </row>
    <row r="311" spans="2:42" ht="15" x14ac:dyDescent="0.25">
      <c r="B311" s="15">
        <v>309</v>
      </c>
      <c r="D311" s="17">
        <f t="shared" si="18"/>
        <v>0</v>
      </c>
      <c r="I311" s="25"/>
      <c r="J311" s="26"/>
      <c r="K311" s="27"/>
      <c r="L311" s="28"/>
      <c r="M311" s="28"/>
      <c r="N311" s="28"/>
      <c r="R311" s="13"/>
      <c r="U311" s="31"/>
      <c r="X311" s="32"/>
      <c r="Y311" s="28"/>
      <c r="Z311" s="28"/>
      <c r="AA311" s="33"/>
      <c r="AB311" s="34"/>
      <c r="AC311" s="34" t="str">
        <f t="shared" si="17"/>
        <v/>
      </c>
      <c r="AP311" s="57"/>
    </row>
    <row r="312" spans="2:42" ht="15" x14ac:dyDescent="0.25">
      <c r="B312" s="15">
        <v>310</v>
      </c>
      <c r="D312" s="17">
        <f t="shared" si="18"/>
        <v>0</v>
      </c>
      <c r="I312" s="25"/>
      <c r="J312" s="26"/>
      <c r="K312" s="27"/>
      <c r="L312" s="28"/>
      <c r="M312" s="28"/>
      <c r="N312" s="28"/>
      <c r="R312" s="13"/>
      <c r="U312" s="31"/>
      <c r="X312" s="32"/>
      <c r="Y312" s="28"/>
      <c r="Z312" s="28"/>
      <c r="AA312" s="33"/>
      <c r="AB312" s="34"/>
      <c r="AC312" s="34" t="str">
        <f t="shared" si="17"/>
        <v/>
      </c>
      <c r="AP312" s="57"/>
    </row>
    <row r="313" spans="2:42" ht="15" x14ac:dyDescent="0.25">
      <c r="B313" s="15">
        <v>311</v>
      </c>
      <c r="D313" s="17">
        <f t="shared" si="18"/>
        <v>0</v>
      </c>
      <c r="I313" s="25"/>
      <c r="J313" s="26"/>
      <c r="K313" s="27"/>
      <c r="L313" s="28"/>
      <c r="M313" s="28"/>
      <c r="N313" s="28"/>
      <c r="R313" s="13"/>
      <c r="U313" s="31"/>
      <c r="X313" s="32"/>
      <c r="Y313" s="28"/>
      <c r="Z313" s="28"/>
      <c r="AA313" s="33"/>
      <c r="AB313" s="34"/>
      <c r="AC313" s="34" t="str">
        <f t="shared" si="17"/>
        <v/>
      </c>
      <c r="AP313" s="57"/>
    </row>
    <row r="314" spans="2:42" ht="15" x14ac:dyDescent="0.25">
      <c r="B314" s="15">
        <v>312</v>
      </c>
      <c r="D314" s="17">
        <f t="shared" si="18"/>
        <v>0</v>
      </c>
      <c r="I314" s="25"/>
      <c r="J314" s="26"/>
      <c r="K314" s="27"/>
      <c r="L314" s="28"/>
      <c r="M314" s="28"/>
      <c r="N314" s="28"/>
      <c r="R314" s="13"/>
      <c r="U314" s="31"/>
      <c r="X314" s="32"/>
      <c r="Y314" s="28"/>
      <c r="Z314" s="28"/>
      <c r="AA314" s="33"/>
      <c r="AB314" s="34"/>
      <c r="AC314" s="34" t="str">
        <f t="shared" si="17"/>
        <v/>
      </c>
      <c r="AP314" s="57"/>
    </row>
    <row r="315" spans="2:42" ht="15" x14ac:dyDescent="0.25">
      <c r="B315" s="15">
        <v>313</v>
      </c>
      <c r="D315" s="17">
        <f t="shared" si="18"/>
        <v>0</v>
      </c>
      <c r="I315" s="25"/>
      <c r="J315" s="26"/>
      <c r="K315" s="27"/>
      <c r="L315" s="28"/>
      <c r="M315" s="28"/>
      <c r="N315" s="28"/>
      <c r="R315" s="13"/>
      <c r="U315" s="31"/>
      <c r="X315" s="32"/>
      <c r="Y315" s="28"/>
      <c r="Z315" s="28"/>
      <c r="AA315" s="33"/>
      <c r="AB315" s="34"/>
      <c r="AC315" s="34" t="str">
        <f t="shared" si="17"/>
        <v/>
      </c>
      <c r="AP315" s="57"/>
    </row>
    <row r="316" spans="2:42" ht="15" x14ac:dyDescent="0.25">
      <c r="B316" s="15">
        <v>314</v>
      </c>
      <c r="D316" s="17">
        <f t="shared" si="18"/>
        <v>0</v>
      </c>
      <c r="I316" s="25"/>
      <c r="J316" s="26"/>
      <c r="K316" s="27"/>
      <c r="L316" s="28"/>
      <c r="M316" s="28"/>
      <c r="N316" s="28"/>
      <c r="R316" s="13"/>
      <c r="U316" s="31"/>
      <c r="X316" s="32"/>
      <c r="Y316" s="28"/>
      <c r="Z316" s="28"/>
      <c r="AA316" s="33"/>
      <c r="AB316" s="34"/>
      <c r="AC316" s="34" t="str">
        <f t="shared" si="17"/>
        <v/>
      </c>
      <c r="AP316" s="57"/>
    </row>
    <row r="317" spans="2:42" ht="15" x14ac:dyDescent="0.25">
      <c r="B317" s="15">
        <v>315</v>
      </c>
      <c r="D317" s="17">
        <f t="shared" si="18"/>
        <v>0</v>
      </c>
      <c r="H317" s="40"/>
      <c r="I317" s="25"/>
      <c r="J317" s="26"/>
      <c r="K317" s="27"/>
      <c r="L317" s="28"/>
      <c r="M317" s="28"/>
      <c r="N317" s="28"/>
      <c r="O317" s="29"/>
      <c r="P317" s="35"/>
      <c r="Q317" s="35"/>
      <c r="R317" s="13"/>
      <c r="U317" s="31"/>
      <c r="X317" s="32"/>
      <c r="Y317" s="28"/>
      <c r="Z317" s="28"/>
      <c r="AA317" s="33"/>
      <c r="AB317" s="34"/>
      <c r="AC317" s="34" t="str">
        <f t="shared" si="17"/>
        <v/>
      </c>
      <c r="AP317" s="57"/>
    </row>
    <row r="318" spans="2:42" ht="15" x14ac:dyDescent="0.25">
      <c r="B318" s="15">
        <v>316</v>
      </c>
      <c r="D318" s="17">
        <f t="shared" si="18"/>
        <v>0</v>
      </c>
      <c r="H318" s="40"/>
      <c r="I318" s="25"/>
      <c r="J318" s="26"/>
      <c r="K318" s="27"/>
      <c r="L318" s="28"/>
      <c r="M318" s="28"/>
      <c r="N318" s="28"/>
      <c r="P318" s="29"/>
      <c r="Q318" s="35"/>
      <c r="R318" s="13"/>
      <c r="U318" s="31"/>
      <c r="X318" s="32"/>
      <c r="Y318" s="28"/>
      <c r="Z318" s="28"/>
      <c r="AA318" s="33"/>
      <c r="AB318" s="34"/>
      <c r="AC318" s="34" t="str">
        <f t="shared" si="17"/>
        <v/>
      </c>
      <c r="AP318" s="57"/>
    </row>
    <row r="319" spans="2:42" ht="15" x14ac:dyDescent="0.25">
      <c r="B319" s="15">
        <v>317</v>
      </c>
      <c r="D319" s="17">
        <f t="shared" si="18"/>
        <v>0</v>
      </c>
      <c r="H319" s="40"/>
      <c r="I319" s="25"/>
      <c r="J319" s="26"/>
      <c r="K319" s="27"/>
      <c r="L319" s="28"/>
      <c r="M319" s="28"/>
      <c r="N319" s="28"/>
      <c r="P319" s="29"/>
      <c r="Q319" s="30"/>
      <c r="R319" s="13"/>
      <c r="U319" s="31"/>
      <c r="X319" s="32"/>
      <c r="Y319" s="28"/>
      <c r="Z319" s="28"/>
      <c r="AA319" s="33"/>
      <c r="AB319" s="34"/>
      <c r="AC319" s="34" t="str">
        <f t="shared" si="17"/>
        <v/>
      </c>
      <c r="AP319" s="57"/>
    </row>
    <row r="320" spans="2:42" ht="15" x14ac:dyDescent="0.25">
      <c r="B320" s="15">
        <v>318</v>
      </c>
      <c r="D320" s="17">
        <f t="shared" si="18"/>
        <v>0</v>
      </c>
      <c r="H320" s="40"/>
      <c r="J320" s="26"/>
      <c r="K320" s="27"/>
      <c r="L320" s="28"/>
      <c r="M320" s="28"/>
      <c r="N320" s="28"/>
      <c r="P320" s="29"/>
      <c r="Q320" s="35"/>
      <c r="R320" s="13"/>
      <c r="U320" s="31"/>
      <c r="X320" s="32"/>
      <c r="Y320" s="28"/>
      <c r="Z320" s="28"/>
      <c r="AA320" s="33"/>
      <c r="AB320" s="34"/>
      <c r="AC320" s="34" t="str">
        <f t="shared" si="17"/>
        <v/>
      </c>
      <c r="AP320" s="57"/>
    </row>
    <row r="321" spans="2:42" ht="15" x14ac:dyDescent="0.25">
      <c r="B321" s="15">
        <v>319</v>
      </c>
      <c r="D321" s="17">
        <f t="shared" si="18"/>
        <v>0</v>
      </c>
      <c r="H321" s="40"/>
      <c r="I321" s="25"/>
      <c r="J321" s="26"/>
      <c r="K321" s="27"/>
      <c r="L321" s="28"/>
      <c r="M321" s="28"/>
      <c r="N321" s="28"/>
      <c r="P321" s="29"/>
      <c r="Q321" s="35"/>
      <c r="R321" s="13"/>
      <c r="U321" s="31"/>
      <c r="X321" s="32"/>
      <c r="Y321" s="28"/>
      <c r="Z321" s="28"/>
      <c r="AA321" s="33"/>
      <c r="AB321" s="34"/>
      <c r="AC321" s="34" t="str">
        <f t="shared" si="17"/>
        <v/>
      </c>
      <c r="AP321" s="57"/>
    </row>
    <row r="322" spans="2:42" ht="15" x14ac:dyDescent="0.25">
      <c r="B322" s="15">
        <v>320</v>
      </c>
      <c r="D322" s="17">
        <f t="shared" si="18"/>
        <v>0</v>
      </c>
      <c r="H322" s="40"/>
      <c r="I322" s="25"/>
      <c r="J322" s="26"/>
      <c r="K322" s="27"/>
      <c r="L322" s="28"/>
      <c r="M322" s="28"/>
      <c r="N322" s="28"/>
      <c r="P322" s="29"/>
      <c r="R322" s="13"/>
      <c r="U322" s="31"/>
      <c r="X322" s="32"/>
      <c r="Y322" s="28"/>
      <c r="Z322" s="28"/>
      <c r="AA322" s="33"/>
      <c r="AB322" s="34"/>
      <c r="AC322" s="34" t="str">
        <f t="shared" si="17"/>
        <v/>
      </c>
      <c r="AP322" s="57"/>
    </row>
    <row r="323" spans="2:42" ht="15" x14ac:dyDescent="0.25">
      <c r="B323" s="15">
        <v>321</v>
      </c>
      <c r="D323" s="17">
        <f t="shared" si="18"/>
        <v>0</v>
      </c>
      <c r="H323" s="40"/>
      <c r="I323" s="25"/>
      <c r="J323" s="26"/>
      <c r="K323" s="27"/>
      <c r="L323" s="28"/>
      <c r="M323" s="28"/>
      <c r="N323" s="28"/>
      <c r="P323" s="29"/>
      <c r="R323" s="13"/>
      <c r="U323" s="31"/>
      <c r="X323" s="32"/>
      <c r="Y323" s="28"/>
      <c r="Z323" s="28"/>
      <c r="AA323" s="33"/>
      <c r="AB323" s="34"/>
      <c r="AC323" s="34" t="str">
        <f t="shared" ref="AC323:AC386" si="19">+IF(AB323="","",R323-AB323)</f>
        <v/>
      </c>
      <c r="AP323" s="57"/>
    </row>
    <row r="324" spans="2:42" ht="15" x14ac:dyDescent="0.25">
      <c r="B324" s="15">
        <v>322</v>
      </c>
      <c r="D324" s="17">
        <f t="shared" si="18"/>
        <v>0</v>
      </c>
      <c r="H324" s="40"/>
      <c r="I324" s="25"/>
      <c r="J324" s="26"/>
      <c r="K324" s="27"/>
      <c r="L324" s="28"/>
      <c r="M324" s="28"/>
      <c r="N324" s="28"/>
      <c r="P324" s="29"/>
      <c r="R324" s="13"/>
      <c r="U324" s="31"/>
      <c r="X324" s="32"/>
      <c r="Y324" s="28"/>
      <c r="Z324" s="28"/>
      <c r="AA324" s="33"/>
      <c r="AB324" s="34"/>
      <c r="AC324" s="34" t="str">
        <f t="shared" si="19"/>
        <v/>
      </c>
      <c r="AP324" s="57"/>
    </row>
    <row r="325" spans="2:42" ht="15" x14ac:dyDescent="0.25">
      <c r="B325" s="15">
        <v>323</v>
      </c>
      <c r="D325" s="17">
        <f t="shared" si="18"/>
        <v>0</v>
      </c>
      <c r="H325" s="40"/>
      <c r="I325" s="25"/>
      <c r="J325" s="26"/>
      <c r="K325" s="27"/>
      <c r="L325" s="28"/>
      <c r="M325" s="28"/>
      <c r="N325" s="28"/>
      <c r="P325" s="29"/>
      <c r="R325" s="13"/>
      <c r="U325" s="31"/>
      <c r="X325" s="32"/>
      <c r="Y325" s="28"/>
      <c r="Z325" s="28"/>
      <c r="AA325" s="33"/>
      <c r="AB325" s="34"/>
      <c r="AC325" s="34" t="str">
        <f t="shared" si="19"/>
        <v/>
      </c>
      <c r="AP325" s="57"/>
    </row>
    <row r="326" spans="2:42" ht="15" x14ac:dyDescent="0.25">
      <c r="B326" s="15">
        <v>324</v>
      </c>
      <c r="D326" s="17">
        <f t="shared" si="18"/>
        <v>0</v>
      </c>
      <c r="H326" s="40"/>
      <c r="J326" s="26"/>
      <c r="K326" s="27"/>
      <c r="L326" s="28"/>
      <c r="M326" s="28"/>
      <c r="N326" s="28"/>
      <c r="P326" s="29"/>
      <c r="R326" s="13"/>
      <c r="U326" s="31"/>
      <c r="X326" s="32"/>
      <c r="Y326" s="28"/>
      <c r="Z326" s="28"/>
      <c r="AA326" s="33"/>
      <c r="AB326" s="34"/>
      <c r="AC326" s="34" t="str">
        <f t="shared" si="19"/>
        <v/>
      </c>
      <c r="AP326" s="57"/>
    </row>
    <row r="327" spans="2:42" ht="15" x14ac:dyDescent="0.25">
      <c r="B327" s="15">
        <v>325</v>
      </c>
      <c r="D327" s="17">
        <f t="shared" si="18"/>
        <v>0</v>
      </c>
      <c r="H327" s="40"/>
      <c r="J327" s="26"/>
      <c r="K327" s="27"/>
      <c r="L327" s="28"/>
      <c r="M327" s="28"/>
      <c r="N327" s="28"/>
      <c r="P327" s="29"/>
      <c r="R327" s="13"/>
      <c r="U327" s="31"/>
      <c r="X327" s="32"/>
      <c r="Y327" s="28"/>
      <c r="Z327" s="28"/>
      <c r="AA327" s="33"/>
      <c r="AB327" s="34"/>
      <c r="AC327" s="34" t="str">
        <f t="shared" si="19"/>
        <v/>
      </c>
      <c r="AP327" s="57"/>
    </row>
    <row r="328" spans="2:42" ht="15" x14ac:dyDescent="0.25">
      <c r="B328" s="15">
        <v>326</v>
      </c>
      <c r="D328" s="17">
        <f t="shared" si="18"/>
        <v>0</v>
      </c>
      <c r="H328" s="40"/>
      <c r="J328" s="26"/>
      <c r="K328" s="27"/>
      <c r="L328" s="28"/>
      <c r="M328" s="28"/>
      <c r="N328" s="28"/>
      <c r="P328" s="29"/>
      <c r="R328" s="13"/>
      <c r="U328" s="31"/>
      <c r="X328" s="32"/>
      <c r="Y328" s="28"/>
      <c r="Z328" s="28"/>
      <c r="AA328" s="33"/>
      <c r="AB328" s="34"/>
      <c r="AC328" s="34" t="str">
        <f t="shared" si="19"/>
        <v/>
      </c>
      <c r="AP328" s="57"/>
    </row>
    <row r="329" spans="2:42" ht="15" x14ac:dyDescent="0.25">
      <c r="B329" s="15">
        <v>327</v>
      </c>
      <c r="D329" s="17">
        <f t="shared" si="18"/>
        <v>0</v>
      </c>
      <c r="H329" s="40"/>
      <c r="J329" s="26"/>
      <c r="K329" s="27"/>
      <c r="L329" s="28"/>
      <c r="M329" s="28"/>
      <c r="N329" s="28"/>
      <c r="P329" s="29"/>
      <c r="R329" s="13"/>
      <c r="U329" s="31"/>
      <c r="X329" s="32"/>
      <c r="Y329" s="28"/>
      <c r="Z329" s="28"/>
      <c r="AA329" s="33"/>
      <c r="AB329" s="34"/>
      <c r="AC329" s="34" t="str">
        <f t="shared" si="19"/>
        <v/>
      </c>
      <c r="AP329" s="57"/>
    </row>
    <row r="330" spans="2:42" ht="15" x14ac:dyDescent="0.25">
      <c r="B330" s="15">
        <v>328</v>
      </c>
      <c r="D330" s="17">
        <f t="shared" si="18"/>
        <v>0</v>
      </c>
      <c r="H330" s="40"/>
      <c r="J330" s="26"/>
      <c r="K330" s="27"/>
      <c r="L330" s="28"/>
      <c r="M330" s="28"/>
      <c r="N330" s="28"/>
      <c r="P330" s="29"/>
      <c r="R330" s="13"/>
      <c r="U330" s="31"/>
      <c r="X330" s="32"/>
      <c r="Y330" s="28"/>
      <c r="Z330" s="28"/>
      <c r="AA330" s="33"/>
      <c r="AB330" s="34"/>
      <c r="AC330" s="34" t="str">
        <f t="shared" si="19"/>
        <v/>
      </c>
      <c r="AP330" s="57"/>
    </row>
    <row r="331" spans="2:42" ht="15" x14ac:dyDescent="0.25">
      <c r="B331" s="15">
        <v>329</v>
      </c>
      <c r="D331" s="17">
        <f t="shared" si="18"/>
        <v>0</v>
      </c>
      <c r="H331" s="40"/>
      <c r="J331" s="26"/>
      <c r="K331" s="27"/>
      <c r="L331" s="28"/>
      <c r="M331" s="28"/>
      <c r="N331" s="28"/>
      <c r="P331" s="29"/>
      <c r="R331" s="13"/>
      <c r="U331" s="31"/>
      <c r="X331" s="32"/>
      <c r="Y331" s="28"/>
      <c r="Z331" s="28"/>
      <c r="AA331" s="33"/>
      <c r="AB331" s="34"/>
      <c r="AC331" s="34" t="str">
        <f t="shared" si="19"/>
        <v/>
      </c>
      <c r="AP331" s="57"/>
    </row>
    <row r="332" spans="2:42" ht="15" x14ac:dyDescent="0.25">
      <c r="B332" s="15">
        <v>330</v>
      </c>
      <c r="D332" s="17">
        <f t="shared" si="18"/>
        <v>0</v>
      </c>
      <c r="H332" s="40"/>
      <c r="J332" s="26"/>
      <c r="K332" s="27"/>
      <c r="L332" s="28"/>
      <c r="M332" s="28"/>
      <c r="N332" s="28"/>
      <c r="P332" s="29"/>
      <c r="R332" s="13"/>
      <c r="U332" s="31"/>
      <c r="X332" s="32"/>
      <c r="Y332" s="28"/>
      <c r="Z332" s="28"/>
      <c r="AA332" s="33"/>
      <c r="AB332" s="34"/>
      <c r="AC332" s="34" t="str">
        <f t="shared" si="19"/>
        <v/>
      </c>
      <c r="AP332" s="57"/>
    </row>
    <row r="333" spans="2:42" ht="15" x14ac:dyDescent="0.25">
      <c r="B333" s="15">
        <v>331</v>
      </c>
      <c r="D333" s="17">
        <f t="shared" si="18"/>
        <v>0</v>
      </c>
      <c r="H333" s="40"/>
      <c r="J333" s="26"/>
      <c r="K333" s="27"/>
      <c r="L333" s="28"/>
      <c r="M333" s="28"/>
      <c r="N333" s="28"/>
      <c r="P333" s="29"/>
      <c r="R333" s="13"/>
      <c r="U333" s="31"/>
      <c r="X333" s="32"/>
      <c r="Y333" s="28"/>
      <c r="Z333" s="28"/>
      <c r="AA333" s="33"/>
      <c r="AB333" s="34"/>
      <c r="AC333" s="34" t="str">
        <f t="shared" si="19"/>
        <v/>
      </c>
      <c r="AP333" s="57"/>
    </row>
    <row r="334" spans="2:42" ht="15" x14ac:dyDescent="0.25">
      <c r="B334" s="15">
        <v>332</v>
      </c>
      <c r="D334" s="17">
        <f t="shared" si="18"/>
        <v>0</v>
      </c>
      <c r="H334" s="40"/>
      <c r="J334" s="26"/>
      <c r="K334" s="27"/>
      <c r="L334" s="28"/>
      <c r="M334" s="28"/>
      <c r="N334" s="28"/>
      <c r="P334" s="29"/>
      <c r="R334" s="13"/>
      <c r="U334" s="31"/>
      <c r="X334" s="32"/>
      <c r="Y334" s="28"/>
      <c r="Z334" s="28"/>
      <c r="AA334" s="33"/>
      <c r="AB334" s="34"/>
      <c r="AC334" s="34" t="str">
        <f t="shared" si="19"/>
        <v/>
      </c>
      <c r="AP334" s="57"/>
    </row>
    <row r="335" spans="2:42" ht="15" x14ac:dyDescent="0.25">
      <c r="B335" s="15">
        <v>333</v>
      </c>
      <c r="D335" s="17">
        <f t="shared" si="18"/>
        <v>0</v>
      </c>
      <c r="H335" s="40"/>
      <c r="J335" s="26"/>
      <c r="K335" s="27"/>
      <c r="L335" s="28"/>
      <c r="M335" s="28"/>
      <c r="N335" s="28"/>
      <c r="P335" s="29"/>
      <c r="R335" s="13"/>
      <c r="U335" s="31"/>
      <c r="X335" s="32"/>
      <c r="Y335" s="28"/>
      <c r="Z335" s="28"/>
      <c r="AA335" s="33"/>
      <c r="AB335" s="34"/>
      <c r="AC335" s="34" t="str">
        <f t="shared" si="19"/>
        <v/>
      </c>
      <c r="AP335" s="57"/>
    </row>
    <row r="336" spans="2:42" ht="15" x14ac:dyDescent="0.25">
      <c r="B336" s="15">
        <v>334</v>
      </c>
      <c r="C336" s="41"/>
      <c r="D336" s="17">
        <f t="shared" si="18"/>
        <v>0</v>
      </c>
      <c r="E336" s="41"/>
      <c r="H336" s="40"/>
      <c r="J336" s="26"/>
      <c r="K336" s="27"/>
      <c r="L336" s="28"/>
      <c r="M336" s="28"/>
      <c r="N336" s="28"/>
      <c r="P336" s="29"/>
      <c r="R336" s="13"/>
      <c r="U336" s="31"/>
      <c r="X336" s="32"/>
      <c r="Y336" s="28"/>
      <c r="Z336" s="28"/>
      <c r="AA336" s="33"/>
      <c r="AB336" s="34"/>
      <c r="AC336" s="34" t="str">
        <f t="shared" si="19"/>
        <v/>
      </c>
      <c r="AP336" s="57"/>
    </row>
    <row r="337" spans="2:42" ht="15" x14ac:dyDescent="0.25">
      <c r="B337" s="15">
        <v>335</v>
      </c>
      <c r="C337" s="41"/>
      <c r="D337" s="17">
        <f t="shared" si="18"/>
        <v>0</v>
      </c>
      <c r="E337" s="41"/>
      <c r="H337" s="40"/>
      <c r="J337" s="26"/>
      <c r="K337" s="27"/>
      <c r="L337" s="28"/>
      <c r="M337" s="28"/>
      <c r="N337" s="28"/>
      <c r="P337" s="29"/>
      <c r="R337" s="13"/>
      <c r="U337" s="31"/>
      <c r="X337" s="32"/>
      <c r="Y337" s="28"/>
      <c r="Z337" s="28"/>
      <c r="AA337" s="33"/>
      <c r="AB337" s="34"/>
      <c r="AC337" s="34" t="str">
        <f t="shared" si="19"/>
        <v/>
      </c>
      <c r="AP337" s="57"/>
    </row>
    <row r="338" spans="2:42" ht="15" x14ac:dyDescent="0.25">
      <c r="B338" s="15">
        <v>336</v>
      </c>
      <c r="D338" s="17">
        <f t="shared" si="18"/>
        <v>0</v>
      </c>
      <c r="H338" s="40"/>
      <c r="J338" s="26"/>
      <c r="K338" s="27"/>
      <c r="L338" s="28"/>
      <c r="M338" s="28"/>
      <c r="N338" s="28"/>
      <c r="P338" s="29"/>
      <c r="R338" s="13"/>
      <c r="U338" s="31"/>
      <c r="X338" s="32"/>
      <c r="Y338" s="28"/>
      <c r="Z338" s="28"/>
      <c r="AA338" s="33"/>
      <c r="AB338" s="34"/>
      <c r="AC338" s="34" t="str">
        <f t="shared" si="19"/>
        <v/>
      </c>
      <c r="AP338" s="57"/>
    </row>
    <row r="339" spans="2:42" ht="15" x14ac:dyDescent="0.25">
      <c r="B339" s="15">
        <v>337</v>
      </c>
      <c r="D339" s="17">
        <f t="shared" si="18"/>
        <v>0</v>
      </c>
      <c r="H339" s="40"/>
      <c r="J339" s="26"/>
      <c r="K339" s="27"/>
      <c r="L339" s="28"/>
      <c r="M339" s="28"/>
      <c r="N339" s="28"/>
      <c r="P339" s="29"/>
      <c r="R339" s="13"/>
      <c r="U339" s="31"/>
      <c r="X339" s="32"/>
      <c r="Y339" s="28"/>
      <c r="Z339" s="28"/>
      <c r="AA339" s="33"/>
      <c r="AB339" s="34"/>
      <c r="AC339" s="34" t="str">
        <f t="shared" si="19"/>
        <v/>
      </c>
      <c r="AP339" s="57"/>
    </row>
    <row r="340" spans="2:42" ht="15" x14ac:dyDescent="0.25">
      <c r="B340" s="15">
        <v>338</v>
      </c>
      <c r="D340" s="17">
        <f t="shared" si="18"/>
        <v>0</v>
      </c>
      <c r="I340" s="25"/>
      <c r="J340" s="26"/>
      <c r="K340" s="27"/>
      <c r="L340" s="28"/>
      <c r="M340" s="28"/>
      <c r="N340" s="28"/>
      <c r="R340" s="13"/>
      <c r="U340" s="31"/>
      <c r="X340" s="32"/>
      <c r="Y340" s="28"/>
      <c r="Z340" s="28"/>
      <c r="AA340" s="33"/>
      <c r="AB340" s="34"/>
      <c r="AC340" s="34" t="str">
        <f t="shared" si="19"/>
        <v/>
      </c>
      <c r="AP340" s="57"/>
    </row>
    <row r="341" spans="2:42" ht="15" x14ac:dyDescent="0.25">
      <c r="B341" s="15">
        <v>339</v>
      </c>
      <c r="D341" s="17">
        <f t="shared" si="18"/>
        <v>0</v>
      </c>
      <c r="I341" s="25"/>
      <c r="J341" s="26"/>
      <c r="K341" s="27"/>
      <c r="L341" s="28"/>
      <c r="M341" s="28"/>
      <c r="N341" s="28"/>
      <c r="R341" s="13"/>
      <c r="U341" s="31"/>
      <c r="X341" s="32"/>
      <c r="Y341" s="28"/>
      <c r="Z341" s="28"/>
      <c r="AA341" s="33"/>
      <c r="AB341" s="34"/>
      <c r="AC341" s="34" t="str">
        <f t="shared" si="19"/>
        <v/>
      </c>
      <c r="AP341" s="57"/>
    </row>
    <row r="342" spans="2:42" ht="15" x14ac:dyDescent="0.25">
      <c r="B342" s="15">
        <v>340</v>
      </c>
      <c r="D342" s="17">
        <f t="shared" si="18"/>
        <v>0</v>
      </c>
      <c r="I342" s="25"/>
      <c r="J342" s="26"/>
      <c r="K342" s="27"/>
      <c r="L342" s="28"/>
      <c r="M342" s="28"/>
      <c r="N342" s="28"/>
      <c r="R342" s="13"/>
      <c r="U342" s="31"/>
      <c r="X342" s="32"/>
      <c r="Y342" s="28"/>
      <c r="Z342" s="28"/>
      <c r="AA342" s="33"/>
      <c r="AB342" s="34"/>
      <c r="AC342" s="34" t="str">
        <f t="shared" si="19"/>
        <v/>
      </c>
      <c r="AP342" s="57"/>
    </row>
    <row r="343" spans="2:42" ht="15" x14ac:dyDescent="0.25">
      <c r="B343" s="15">
        <v>341</v>
      </c>
      <c r="D343" s="17">
        <f t="shared" si="18"/>
        <v>0</v>
      </c>
      <c r="I343" s="25"/>
      <c r="J343" s="26"/>
      <c r="K343" s="27"/>
      <c r="L343" s="28"/>
      <c r="M343" s="28"/>
      <c r="N343" s="28"/>
      <c r="R343" s="13"/>
      <c r="U343" s="31"/>
      <c r="X343" s="32"/>
      <c r="Y343" s="28"/>
      <c r="Z343" s="28"/>
      <c r="AA343" s="33"/>
      <c r="AB343" s="34"/>
      <c r="AC343" s="34" t="str">
        <f t="shared" si="19"/>
        <v/>
      </c>
      <c r="AP343" s="57"/>
    </row>
    <row r="344" spans="2:42" ht="15" x14ac:dyDescent="0.25">
      <c r="B344" s="15">
        <v>342</v>
      </c>
      <c r="D344" s="17">
        <f t="shared" si="18"/>
        <v>0</v>
      </c>
      <c r="I344" s="25"/>
      <c r="J344" s="26"/>
      <c r="K344" s="27"/>
      <c r="L344" s="28"/>
      <c r="M344" s="28"/>
      <c r="N344" s="28"/>
      <c r="R344" s="13"/>
      <c r="U344" s="31"/>
      <c r="X344" s="32"/>
      <c r="Y344" s="28"/>
      <c r="Z344" s="28"/>
      <c r="AA344" s="33"/>
      <c r="AB344" s="34"/>
      <c r="AC344" s="34" t="str">
        <f t="shared" si="19"/>
        <v/>
      </c>
      <c r="AP344" s="57"/>
    </row>
    <row r="345" spans="2:42" ht="15" x14ac:dyDescent="0.25">
      <c r="B345" s="15">
        <v>343</v>
      </c>
      <c r="D345" s="17">
        <f t="shared" si="18"/>
        <v>0</v>
      </c>
      <c r="I345" s="25"/>
      <c r="J345" s="26"/>
      <c r="K345" s="27"/>
      <c r="L345" s="28"/>
      <c r="M345" s="28"/>
      <c r="N345" s="28"/>
      <c r="R345" s="13"/>
      <c r="U345" s="31"/>
      <c r="X345" s="32"/>
      <c r="Y345" s="28"/>
      <c r="Z345" s="28"/>
      <c r="AA345" s="33"/>
      <c r="AB345" s="34"/>
      <c r="AC345" s="34" t="str">
        <f t="shared" si="19"/>
        <v/>
      </c>
      <c r="AP345" s="57"/>
    </row>
    <row r="346" spans="2:42" ht="15" x14ac:dyDescent="0.25">
      <c r="B346" s="15">
        <v>344</v>
      </c>
      <c r="D346" s="17">
        <f t="shared" si="18"/>
        <v>0</v>
      </c>
      <c r="I346" s="25"/>
      <c r="J346" s="26"/>
      <c r="K346" s="27"/>
      <c r="L346" s="28"/>
      <c r="M346" s="28"/>
      <c r="N346" s="28"/>
      <c r="R346" s="13"/>
      <c r="U346" s="31"/>
      <c r="X346" s="32"/>
      <c r="Y346" s="28"/>
      <c r="Z346" s="28"/>
      <c r="AA346" s="33"/>
      <c r="AB346" s="34"/>
      <c r="AC346" s="34" t="str">
        <f t="shared" si="19"/>
        <v/>
      </c>
      <c r="AP346" s="57"/>
    </row>
    <row r="347" spans="2:42" ht="15" x14ac:dyDescent="0.25">
      <c r="B347" s="15">
        <v>345</v>
      </c>
      <c r="D347" s="17">
        <f t="shared" si="18"/>
        <v>0</v>
      </c>
      <c r="I347" s="25"/>
      <c r="J347" s="26"/>
      <c r="K347" s="27"/>
      <c r="L347" s="28"/>
      <c r="M347" s="28"/>
      <c r="N347" s="28"/>
      <c r="R347" s="13"/>
      <c r="U347" s="31"/>
      <c r="X347" s="32"/>
      <c r="Y347" s="28"/>
      <c r="Z347" s="28"/>
      <c r="AA347" s="33"/>
      <c r="AB347" s="34"/>
      <c r="AC347" s="34" t="str">
        <f t="shared" si="19"/>
        <v/>
      </c>
      <c r="AP347" s="57"/>
    </row>
    <row r="348" spans="2:42" ht="15" x14ac:dyDescent="0.25">
      <c r="B348" s="15">
        <v>346</v>
      </c>
      <c r="D348" s="17">
        <f t="shared" si="18"/>
        <v>0</v>
      </c>
      <c r="I348" s="25"/>
      <c r="J348" s="26"/>
      <c r="K348" s="27"/>
      <c r="L348" s="28"/>
      <c r="M348" s="28"/>
      <c r="N348" s="28"/>
      <c r="R348" s="13"/>
      <c r="U348" s="31"/>
      <c r="X348" s="32"/>
      <c r="Y348" s="28"/>
      <c r="Z348" s="28"/>
      <c r="AA348" s="33"/>
      <c r="AB348" s="34"/>
      <c r="AC348" s="34" t="str">
        <f t="shared" si="19"/>
        <v/>
      </c>
      <c r="AP348" s="57"/>
    </row>
    <row r="349" spans="2:42" ht="15" x14ac:dyDescent="0.25">
      <c r="B349" s="15">
        <v>347</v>
      </c>
      <c r="D349" s="17">
        <f t="shared" si="18"/>
        <v>0</v>
      </c>
      <c r="I349" s="25"/>
      <c r="J349" s="26"/>
      <c r="K349" s="27"/>
      <c r="L349" s="28"/>
      <c r="M349" s="28"/>
      <c r="N349" s="28"/>
      <c r="R349" s="13"/>
      <c r="U349" s="31"/>
      <c r="X349" s="32"/>
      <c r="Y349" s="28"/>
      <c r="Z349" s="28"/>
      <c r="AA349" s="33"/>
      <c r="AB349" s="34"/>
      <c r="AC349" s="34" t="str">
        <f t="shared" si="19"/>
        <v/>
      </c>
      <c r="AP349" s="57"/>
    </row>
    <row r="350" spans="2:42" ht="15" x14ac:dyDescent="0.25">
      <c r="B350" s="15">
        <v>348</v>
      </c>
      <c r="D350" s="17">
        <f t="shared" si="18"/>
        <v>0</v>
      </c>
      <c r="I350" s="25"/>
      <c r="J350" s="26"/>
      <c r="K350" s="27"/>
      <c r="L350" s="28"/>
      <c r="M350" s="28"/>
      <c r="N350" s="28"/>
      <c r="R350" s="13"/>
      <c r="U350" s="31"/>
      <c r="X350" s="32"/>
      <c r="Y350" s="28"/>
      <c r="Z350" s="28"/>
      <c r="AA350" s="33"/>
      <c r="AB350" s="34"/>
      <c r="AC350" s="34" t="str">
        <f t="shared" si="19"/>
        <v/>
      </c>
      <c r="AP350" s="57"/>
    </row>
    <row r="351" spans="2:42" ht="15" x14ac:dyDescent="0.25">
      <c r="B351" s="15">
        <v>349</v>
      </c>
      <c r="D351" s="17">
        <f t="shared" si="18"/>
        <v>0</v>
      </c>
      <c r="I351" s="25"/>
      <c r="J351" s="26"/>
      <c r="K351" s="27"/>
      <c r="L351" s="28"/>
      <c r="M351" s="28"/>
      <c r="N351" s="28"/>
      <c r="R351" s="13"/>
      <c r="U351" s="31"/>
      <c r="X351" s="32"/>
      <c r="Y351" s="28"/>
      <c r="Z351" s="28"/>
      <c r="AA351" s="33"/>
      <c r="AB351" s="34"/>
      <c r="AC351" s="34" t="str">
        <f t="shared" si="19"/>
        <v/>
      </c>
      <c r="AP351" s="57"/>
    </row>
    <row r="352" spans="2:42" ht="15" x14ac:dyDescent="0.25">
      <c r="B352" s="15">
        <v>350</v>
      </c>
      <c r="D352" s="17">
        <f t="shared" si="18"/>
        <v>0</v>
      </c>
      <c r="I352" s="25"/>
      <c r="J352" s="26"/>
      <c r="K352" s="27"/>
      <c r="L352" s="28"/>
      <c r="M352" s="28"/>
      <c r="N352" s="28"/>
      <c r="R352" s="13"/>
      <c r="U352" s="31"/>
      <c r="X352" s="32"/>
      <c r="Y352" s="28"/>
      <c r="Z352" s="28"/>
      <c r="AA352" s="33"/>
      <c r="AB352" s="34"/>
      <c r="AC352" s="34" t="str">
        <f t="shared" si="19"/>
        <v/>
      </c>
      <c r="AP352" s="57"/>
    </row>
    <row r="353" spans="2:42" ht="15" x14ac:dyDescent="0.25">
      <c r="B353" s="15">
        <v>351</v>
      </c>
      <c r="D353" s="17">
        <f t="shared" si="18"/>
        <v>0</v>
      </c>
      <c r="I353" s="25"/>
      <c r="J353" s="26"/>
      <c r="K353" s="27"/>
      <c r="L353" s="28"/>
      <c r="M353" s="28"/>
      <c r="N353" s="28"/>
      <c r="R353" s="13"/>
      <c r="U353" s="31"/>
      <c r="X353" s="32"/>
      <c r="Y353" s="28"/>
      <c r="Z353" s="28"/>
      <c r="AA353" s="33"/>
      <c r="AB353" s="34"/>
      <c r="AC353" s="34" t="str">
        <f t="shared" si="19"/>
        <v/>
      </c>
      <c r="AP353" s="57"/>
    </row>
    <row r="354" spans="2:42" ht="15" x14ac:dyDescent="0.25">
      <c r="B354" s="15">
        <v>352</v>
      </c>
      <c r="D354" s="17">
        <f t="shared" si="18"/>
        <v>0</v>
      </c>
      <c r="I354" s="25"/>
      <c r="J354" s="26"/>
      <c r="K354" s="27"/>
      <c r="L354" s="28"/>
      <c r="M354" s="28"/>
      <c r="N354" s="28"/>
      <c r="R354" s="13"/>
      <c r="U354" s="31"/>
      <c r="X354" s="32"/>
      <c r="Y354" s="28"/>
      <c r="Z354" s="28"/>
      <c r="AA354" s="33"/>
      <c r="AB354" s="34"/>
      <c r="AC354" s="34" t="str">
        <f t="shared" si="19"/>
        <v/>
      </c>
      <c r="AP354" s="57"/>
    </row>
    <row r="355" spans="2:42" ht="15" x14ac:dyDescent="0.25">
      <c r="B355" s="15">
        <v>353</v>
      </c>
      <c r="D355" s="17">
        <f t="shared" si="18"/>
        <v>0</v>
      </c>
      <c r="I355" s="25"/>
      <c r="J355" s="26"/>
      <c r="K355" s="27"/>
      <c r="L355" s="28"/>
      <c r="M355" s="28"/>
      <c r="N355" s="28"/>
      <c r="R355" s="13"/>
      <c r="U355" s="31"/>
      <c r="X355" s="32"/>
      <c r="Y355" s="28"/>
      <c r="Z355" s="28"/>
      <c r="AA355" s="33"/>
      <c r="AB355" s="34"/>
      <c r="AC355" s="34" t="str">
        <f t="shared" si="19"/>
        <v/>
      </c>
      <c r="AP355" s="57"/>
    </row>
    <row r="356" spans="2:42" ht="15" x14ac:dyDescent="0.25">
      <c r="B356" s="15">
        <v>354</v>
      </c>
      <c r="D356" s="17">
        <f t="shared" si="18"/>
        <v>0</v>
      </c>
      <c r="I356" s="25"/>
      <c r="J356" s="26"/>
      <c r="K356" s="27"/>
      <c r="L356" s="28"/>
      <c r="M356" s="28"/>
      <c r="N356" s="28"/>
      <c r="R356" s="13"/>
      <c r="U356" s="31"/>
      <c r="X356" s="32"/>
      <c r="Y356" s="28"/>
      <c r="Z356" s="28"/>
      <c r="AA356" s="33"/>
      <c r="AB356" s="34"/>
      <c r="AC356" s="34" t="str">
        <f t="shared" si="19"/>
        <v/>
      </c>
      <c r="AP356" s="57"/>
    </row>
    <row r="357" spans="2:42" ht="15" x14ac:dyDescent="0.25">
      <c r="B357" s="15">
        <v>355</v>
      </c>
      <c r="D357" s="17">
        <f t="shared" si="18"/>
        <v>0</v>
      </c>
      <c r="I357" s="25"/>
      <c r="J357" s="26"/>
      <c r="K357" s="27"/>
      <c r="L357" s="28"/>
      <c r="M357" s="28"/>
      <c r="N357" s="28"/>
      <c r="R357" s="13"/>
      <c r="U357" s="31"/>
      <c r="X357" s="32"/>
      <c r="Y357" s="28"/>
      <c r="Z357" s="28"/>
      <c r="AA357" s="33"/>
      <c r="AB357" s="34"/>
      <c r="AC357" s="34" t="str">
        <f t="shared" si="19"/>
        <v/>
      </c>
      <c r="AP357" s="57"/>
    </row>
    <row r="358" spans="2:42" ht="15" x14ac:dyDescent="0.25">
      <c r="B358" s="15">
        <v>356</v>
      </c>
      <c r="D358" s="17">
        <f t="shared" si="18"/>
        <v>0</v>
      </c>
      <c r="I358" s="25"/>
      <c r="J358" s="26"/>
      <c r="K358" s="27"/>
      <c r="L358" s="28"/>
      <c r="M358" s="28"/>
      <c r="N358" s="28"/>
      <c r="R358" s="13"/>
      <c r="U358" s="31"/>
      <c r="X358" s="32"/>
      <c r="Y358" s="28"/>
      <c r="Z358" s="28"/>
      <c r="AA358" s="33"/>
      <c r="AB358" s="34"/>
      <c r="AC358" s="34" t="str">
        <f t="shared" si="19"/>
        <v/>
      </c>
      <c r="AP358" s="57"/>
    </row>
    <row r="359" spans="2:42" ht="15" x14ac:dyDescent="0.25">
      <c r="B359" s="15">
        <v>357</v>
      </c>
      <c r="D359" s="17">
        <f t="shared" si="18"/>
        <v>0</v>
      </c>
      <c r="I359" s="25"/>
      <c r="J359" s="26"/>
      <c r="K359" s="27"/>
      <c r="L359" s="28"/>
      <c r="M359" s="28"/>
      <c r="N359" s="28"/>
      <c r="R359" s="13"/>
      <c r="U359" s="31"/>
      <c r="X359" s="32"/>
      <c r="Y359" s="28"/>
      <c r="Z359" s="28"/>
      <c r="AA359" s="33"/>
      <c r="AB359" s="34"/>
      <c r="AC359" s="34" t="str">
        <f t="shared" si="19"/>
        <v/>
      </c>
      <c r="AP359" s="57"/>
    </row>
    <row r="360" spans="2:42" ht="15" x14ac:dyDescent="0.25">
      <c r="B360" s="15">
        <v>358</v>
      </c>
      <c r="D360" s="17">
        <f t="shared" si="18"/>
        <v>0</v>
      </c>
      <c r="I360" s="25"/>
      <c r="J360" s="26"/>
      <c r="K360" s="27"/>
      <c r="L360" s="28"/>
      <c r="M360" s="28"/>
      <c r="N360" s="28"/>
      <c r="R360" s="13"/>
      <c r="U360" s="31"/>
      <c r="X360" s="32"/>
      <c r="Y360" s="28"/>
      <c r="Z360" s="28"/>
      <c r="AA360" s="33"/>
      <c r="AB360" s="34"/>
      <c r="AC360" s="34" t="str">
        <f t="shared" si="19"/>
        <v/>
      </c>
      <c r="AP360" s="57"/>
    </row>
    <row r="361" spans="2:42" ht="15" x14ac:dyDescent="0.25">
      <c r="B361" s="15">
        <v>359</v>
      </c>
      <c r="D361" s="17">
        <f t="shared" si="18"/>
        <v>0</v>
      </c>
      <c r="I361" s="25"/>
      <c r="J361" s="26"/>
      <c r="K361" s="27"/>
      <c r="L361" s="28"/>
      <c r="M361" s="28"/>
      <c r="N361" s="28"/>
      <c r="R361" s="13"/>
      <c r="U361" s="31"/>
      <c r="X361" s="32"/>
      <c r="Y361" s="28"/>
      <c r="Z361" s="28"/>
      <c r="AA361" s="33"/>
      <c r="AB361" s="34"/>
      <c r="AC361" s="34" t="str">
        <f t="shared" si="19"/>
        <v/>
      </c>
      <c r="AP361" s="57"/>
    </row>
    <row r="362" spans="2:42" ht="15" x14ac:dyDescent="0.25">
      <c r="B362" s="15">
        <v>360</v>
      </c>
      <c r="D362" s="17">
        <f t="shared" si="18"/>
        <v>0</v>
      </c>
      <c r="I362" s="25"/>
      <c r="J362" s="26"/>
      <c r="K362" s="27"/>
      <c r="L362" s="28"/>
      <c r="M362" s="28"/>
      <c r="N362" s="28"/>
      <c r="R362" s="13"/>
      <c r="U362" s="31"/>
      <c r="X362" s="32"/>
      <c r="Y362" s="28"/>
      <c r="Z362" s="28"/>
      <c r="AA362" s="33"/>
      <c r="AB362" s="34"/>
      <c r="AC362" s="34" t="str">
        <f t="shared" si="19"/>
        <v/>
      </c>
      <c r="AP362" s="57"/>
    </row>
    <row r="363" spans="2:42" ht="15" x14ac:dyDescent="0.25">
      <c r="B363" s="15">
        <v>361</v>
      </c>
      <c r="D363" s="17">
        <f t="shared" si="18"/>
        <v>0</v>
      </c>
      <c r="I363" s="25"/>
      <c r="J363" s="26"/>
      <c r="K363" s="27"/>
      <c r="L363" s="28"/>
      <c r="M363" s="28"/>
      <c r="N363" s="28"/>
      <c r="R363" s="13"/>
      <c r="U363" s="31"/>
      <c r="X363" s="32"/>
      <c r="Y363" s="28"/>
      <c r="Z363" s="28"/>
      <c r="AA363" s="33"/>
      <c r="AB363" s="34"/>
      <c r="AC363" s="34" t="str">
        <f t="shared" si="19"/>
        <v/>
      </c>
      <c r="AP363" s="57"/>
    </row>
    <row r="364" spans="2:42" ht="15" x14ac:dyDescent="0.25">
      <c r="B364" s="15">
        <v>362</v>
      </c>
      <c r="C364" s="41"/>
      <c r="D364" s="17">
        <f t="shared" si="18"/>
        <v>0</v>
      </c>
      <c r="E364" s="41"/>
      <c r="F364" s="25"/>
      <c r="G364" s="25"/>
      <c r="H364" s="40"/>
      <c r="I364" s="25"/>
      <c r="J364" s="26"/>
      <c r="K364" s="27"/>
      <c r="L364" s="28"/>
      <c r="M364" s="28"/>
      <c r="N364" s="28"/>
      <c r="P364" s="29"/>
      <c r="Q364" s="30"/>
      <c r="R364" s="13"/>
      <c r="S364" s="42"/>
      <c r="T364" s="42"/>
      <c r="U364" s="31"/>
      <c r="X364" s="32"/>
      <c r="Y364" s="28"/>
      <c r="Z364" s="28"/>
      <c r="AA364" s="33"/>
      <c r="AB364" s="34"/>
      <c r="AC364" s="34" t="str">
        <f t="shared" si="19"/>
        <v/>
      </c>
      <c r="AP364" s="57"/>
    </row>
    <row r="365" spans="2:42" ht="15" x14ac:dyDescent="0.25">
      <c r="B365" s="15">
        <v>363</v>
      </c>
      <c r="D365" s="17">
        <f t="shared" si="18"/>
        <v>0</v>
      </c>
      <c r="H365" s="40"/>
      <c r="J365" s="26"/>
      <c r="K365" s="27"/>
      <c r="L365" s="28"/>
      <c r="M365" s="28"/>
      <c r="N365" s="28"/>
      <c r="Q365" s="35"/>
      <c r="R365" s="13"/>
      <c r="S365" s="42"/>
      <c r="T365" s="42"/>
      <c r="U365" s="31"/>
      <c r="X365" s="32"/>
      <c r="Y365" s="28"/>
      <c r="Z365" s="28"/>
      <c r="AA365" s="33"/>
      <c r="AB365" s="34"/>
      <c r="AC365" s="34" t="str">
        <f t="shared" si="19"/>
        <v/>
      </c>
      <c r="AP365" s="57"/>
    </row>
    <row r="366" spans="2:42" ht="15" x14ac:dyDescent="0.25">
      <c r="B366" s="15">
        <v>364</v>
      </c>
      <c r="D366" s="17">
        <f t="shared" si="18"/>
        <v>0</v>
      </c>
      <c r="H366" s="40"/>
      <c r="I366" s="25"/>
      <c r="J366" s="26"/>
      <c r="K366" s="27"/>
      <c r="L366" s="28"/>
      <c r="M366" s="28"/>
      <c r="N366" s="28"/>
      <c r="Q366" s="35"/>
      <c r="R366" s="13"/>
      <c r="S366" s="42"/>
      <c r="T366" s="42"/>
      <c r="U366" s="31"/>
      <c r="X366" s="32"/>
      <c r="Y366" s="28"/>
      <c r="Z366" s="28"/>
      <c r="AA366" s="33"/>
      <c r="AB366" s="34"/>
      <c r="AC366" s="34" t="str">
        <f t="shared" si="19"/>
        <v/>
      </c>
      <c r="AP366" s="57"/>
    </row>
    <row r="367" spans="2:42" ht="15" x14ac:dyDescent="0.25">
      <c r="B367" s="15">
        <v>365</v>
      </c>
      <c r="D367" s="17">
        <f t="shared" si="18"/>
        <v>0</v>
      </c>
      <c r="H367" s="40"/>
      <c r="I367" s="25"/>
      <c r="J367" s="26"/>
      <c r="K367" s="27"/>
      <c r="L367" s="28"/>
      <c r="M367" s="28"/>
      <c r="N367" s="28"/>
      <c r="Q367" s="35"/>
      <c r="R367" s="13"/>
      <c r="S367" s="42"/>
      <c r="T367" s="42"/>
      <c r="U367" s="31"/>
      <c r="X367" s="32"/>
      <c r="Y367" s="28"/>
      <c r="Z367" s="28"/>
      <c r="AA367" s="33"/>
      <c r="AB367" s="34"/>
      <c r="AC367" s="34" t="str">
        <f t="shared" si="19"/>
        <v/>
      </c>
      <c r="AP367" s="57"/>
    </row>
    <row r="368" spans="2:42" ht="15" x14ac:dyDescent="0.25">
      <c r="B368" s="15">
        <v>366</v>
      </c>
      <c r="D368" s="17">
        <f t="shared" si="18"/>
        <v>0</v>
      </c>
      <c r="H368" s="40"/>
      <c r="I368" s="25"/>
      <c r="J368" s="26"/>
      <c r="K368" s="27"/>
      <c r="L368" s="28"/>
      <c r="M368" s="28"/>
      <c r="N368" s="28"/>
      <c r="Q368" s="35"/>
      <c r="R368" s="13"/>
      <c r="S368" s="42"/>
      <c r="T368" s="42"/>
      <c r="U368" s="31"/>
      <c r="X368" s="32"/>
      <c r="Y368" s="28"/>
      <c r="Z368" s="28"/>
      <c r="AA368" s="33"/>
      <c r="AB368" s="34"/>
      <c r="AC368" s="34" t="str">
        <f t="shared" si="19"/>
        <v/>
      </c>
      <c r="AP368" s="57"/>
    </row>
    <row r="369" spans="2:42" ht="15" x14ac:dyDescent="0.25">
      <c r="B369" s="15">
        <v>367</v>
      </c>
      <c r="D369" s="17">
        <f t="shared" ref="D369:D432" si="20">_xlfn.NUMBERVALUE(+LEFT(C369,11))</f>
        <v>0</v>
      </c>
      <c r="H369" s="40"/>
      <c r="I369" s="25"/>
      <c r="J369" s="26"/>
      <c r="K369" s="27"/>
      <c r="L369" s="28"/>
      <c r="M369" s="28"/>
      <c r="N369" s="28"/>
      <c r="Q369" s="35"/>
      <c r="R369" s="13"/>
      <c r="S369" s="42"/>
      <c r="T369" s="42"/>
      <c r="U369" s="31"/>
      <c r="X369" s="32"/>
      <c r="Y369" s="28"/>
      <c r="Z369" s="28"/>
      <c r="AA369" s="33"/>
      <c r="AB369" s="34"/>
      <c r="AC369" s="34" t="str">
        <f t="shared" si="19"/>
        <v/>
      </c>
      <c r="AP369" s="57"/>
    </row>
    <row r="370" spans="2:42" ht="15" x14ac:dyDescent="0.25">
      <c r="B370" s="15">
        <v>368</v>
      </c>
      <c r="D370" s="17">
        <f t="shared" si="20"/>
        <v>0</v>
      </c>
      <c r="H370" s="40"/>
      <c r="I370" s="25"/>
      <c r="J370" s="26"/>
      <c r="K370" s="27"/>
      <c r="L370" s="28"/>
      <c r="M370" s="28"/>
      <c r="N370" s="28"/>
      <c r="Q370" s="35"/>
      <c r="R370" s="13"/>
      <c r="S370" s="42"/>
      <c r="T370" s="42"/>
      <c r="U370" s="31"/>
      <c r="X370" s="32"/>
      <c r="Y370" s="28"/>
      <c r="Z370" s="28"/>
      <c r="AA370" s="33"/>
      <c r="AB370" s="34"/>
      <c r="AC370" s="34" t="str">
        <f t="shared" si="19"/>
        <v/>
      </c>
      <c r="AP370" s="57"/>
    </row>
    <row r="371" spans="2:42" ht="15" x14ac:dyDescent="0.25">
      <c r="B371" s="15">
        <v>369</v>
      </c>
      <c r="D371" s="17">
        <f t="shared" si="20"/>
        <v>0</v>
      </c>
      <c r="H371" s="40"/>
      <c r="I371" s="25"/>
      <c r="J371" s="26"/>
      <c r="K371" s="27"/>
      <c r="L371" s="28"/>
      <c r="M371" s="28"/>
      <c r="N371" s="28"/>
      <c r="Q371" s="35"/>
      <c r="R371" s="13"/>
      <c r="S371" s="42"/>
      <c r="T371" s="42"/>
      <c r="U371" s="31"/>
      <c r="X371" s="32"/>
      <c r="Y371" s="28"/>
      <c r="Z371" s="28"/>
      <c r="AA371" s="33"/>
      <c r="AB371" s="34"/>
      <c r="AC371" s="34" t="str">
        <f t="shared" si="19"/>
        <v/>
      </c>
      <c r="AP371" s="57"/>
    </row>
    <row r="372" spans="2:42" ht="15" x14ac:dyDescent="0.25">
      <c r="B372" s="15">
        <v>370</v>
      </c>
      <c r="D372" s="17">
        <f t="shared" si="20"/>
        <v>0</v>
      </c>
      <c r="F372" s="25"/>
      <c r="G372" s="25"/>
      <c r="H372" s="40"/>
      <c r="I372" s="25"/>
      <c r="J372" s="26"/>
      <c r="K372" s="27"/>
      <c r="L372" s="28"/>
      <c r="M372" s="28"/>
      <c r="N372" s="28"/>
      <c r="Q372" s="35"/>
      <c r="R372" s="13"/>
      <c r="S372" s="42"/>
      <c r="T372" s="42"/>
      <c r="U372" s="31"/>
      <c r="X372" s="32"/>
      <c r="Y372" s="28"/>
      <c r="Z372" s="28"/>
      <c r="AA372" s="33"/>
      <c r="AB372" s="34"/>
      <c r="AC372" s="34" t="str">
        <f t="shared" si="19"/>
        <v/>
      </c>
      <c r="AP372" s="57"/>
    </row>
    <row r="373" spans="2:42" ht="15" x14ac:dyDescent="0.25">
      <c r="B373" s="15">
        <v>371</v>
      </c>
      <c r="D373" s="17">
        <f t="shared" si="20"/>
        <v>0</v>
      </c>
      <c r="F373" s="25"/>
      <c r="G373" s="25"/>
      <c r="H373" s="40"/>
      <c r="I373" s="25"/>
      <c r="J373" s="26"/>
      <c r="K373" s="27"/>
      <c r="L373" s="28"/>
      <c r="M373" s="28"/>
      <c r="N373" s="28"/>
      <c r="Q373" s="35"/>
      <c r="R373" s="13"/>
      <c r="S373" s="42"/>
      <c r="T373" s="42"/>
      <c r="U373" s="31"/>
      <c r="X373" s="32"/>
      <c r="Y373" s="28"/>
      <c r="Z373" s="28"/>
      <c r="AA373" s="33"/>
      <c r="AB373" s="34"/>
      <c r="AC373" s="34" t="str">
        <f t="shared" si="19"/>
        <v/>
      </c>
      <c r="AP373" s="57"/>
    </row>
    <row r="374" spans="2:42" ht="15" x14ac:dyDescent="0.25">
      <c r="B374" s="15">
        <v>372</v>
      </c>
      <c r="D374" s="17">
        <f t="shared" si="20"/>
        <v>0</v>
      </c>
      <c r="G374" s="25"/>
      <c r="H374" s="40"/>
      <c r="I374" s="25"/>
      <c r="J374" s="26"/>
      <c r="K374" s="27"/>
      <c r="L374" s="28"/>
      <c r="M374" s="28"/>
      <c r="N374" s="28"/>
      <c r="Q374" s="35"/>
      <c r="R374" s="13"/>
      <c r="S374" s="42"/>
      <c r="T374" s="42"/>
      <c r="U374" s="31"/>
      <c r="X374" s="32"/>
      <c r="Y374" s="28"/>
      <c r="Z374" s="28"/>
      <c r="AA374" s="33"/>
      <c r="AB374" s="34"/>
      <c r="AC374" s="34" t="str">
        <f t="shared" si="19"/>
        <v/>
      </c>
      <c r="AP374" s="57"/>
    </row>
    <row r="375" spans="2:42" ht="15" x14ac:dyDescent="0.25">
      <c r="B375" s="15">
        <v>373</v>
      </c>
      <c r="D375" s="17">
        <f t="shared" si="20"/>
        <v>0</v>
      </c>
      <c r="H375" s="40"/>
      <c r="I375" s="25"/>
      <c r="J375" s="26"/>
      <c r="K375" s="27"/>
      <c r="L375" s="28"/>
      <c r="M375" s="28"/>
      <c r="N375" s="28"/>
      <c r="Q375" s="35"/>
      <c r="R375" s="13"/>
      <c r="S375" s="42"/>
      <c r="T375" s="42"/>
      <c r="U375" s="31"/>
      <c r="X375" s="32"/>
      <c r="Y375" s="28"/>
      <c r="Z375" s="28"/>
      <c r="AA375" s="33"/>
      <c r="AB375" s="34"/>
      <c r="AC375" s="34" t="str">
        <f t="shared" si="19"/>
        <v/>
      </c>
      <c r="AP375" s="57"/>
    </row>
    <row r="376" spans="2:42" ht="15" x14ac:dyDescent="0.25">
      <c r="B376" s="15">
        <v>374</v>
      </c>
      <c r="D376" s="17">
        <f t="shared" si="20"/>
        <v>0</v>
      </c>
      <c r="H376" s="40"/>
      <c r="I376" s="25"/>
      <c r="J376" s="26"/>
      <c r="K376" s="27"/>
      <c r="L376" s="28"/>
      <c r="M376" s="28"/>
      <c r="N376" s="28"/>
      <c r="Q376" s="35"/>
      <c r="R376" s="13"/>
      <c r="S376" s="42"/>
      <c r="T376" s="42"/>
      <c r="U376" s="31"/>
      <c r="X376" s="32"/>
      <c r="Y376" s="28"/>
      <c r="Z376" s="28"/>
      <c r="AA376" s="33"/>
      <c r="AB376" s="34"/>
      <c r="AC376" s="34" t="str">
        <f t="shared" si="19"/>
        <v/>
      </c>
      <c r="AP376" s="57"/>
    </row>
    <row r="377" spans="2:42" ht="15" x14ac:dyDescent="0.25">
      <c r="B377" s="15">
        <v>375</v>
      </c>
      <c r="D377" s="17">
        <f t="shared" si="20"/>
        <v>0</v>
      </c>
      <c r="H377" s="40"/>
      <c r="I377" s="25"/>
      <c r="J377" s="26"/>
      <c r="K377" s="27"/>
      <c r="L377" s="28"/>
      <c r="M377" s="28"/>
      <c r="N377" s="28"/>
      <c r="Q377" s="35"/>
      <c r="R377" s="13"/>
      <c r="S377" s="42"/>
      <c r="T377" s="42"/>
      <c r="U377" s="31"/>
      <c r="X377" s="32"/>
      <c r="Y377" s="28"/>
      <c r="Z377" s="28"/>
      <c r="AA377" s="33"/>
      <c r="AB377" s="34"/>
      <c r="AC377" s="34" t="str">
        <f t="shared" si="19"/>
        <v/>
      </c>
      <c r="AP377" s="57"/>
    </row>
    <row r="378" spans="2:42" ht="15" x14ac:dyDescent="0.25">
      <c r="B378" s="15">
        <v>376</v>
      </c>
      <c r="D378" s="17">
        <f t="shared" si="20"/>
        <v>0</v>
      </c>
      <c r="H378" s="40"/>
      <c r="J378" s="26"/>
      <c r="K378" s="27"/>
      <c r="L378" s="28"/>
      <c r="M378" s="28"/>
      <c r="N378" s="28"/>
      <c r="Q378" s="35"/>
      <c r="R378" s="13"/>
      <c r="S378" s="42"/>
      <c r="T378" s="42"/>
      <c r="U378" s="31"/>
      <c r="X378" s="32"/>
      <c r="Y378" s="28"/>
      <c r="Z378" s="28"/>
      <c r="AA378" s="33"/>
      <c r="AB378" s="34"/>
      <c r="AC378" s="34" t="str">
        <f t="shared" si="19"/>
        <v/>
      </c>
      <c r="AP378" s="57"/>
    </row>
    <row r="379" spans="2:42" ht="15" x14ac:dyDescent="0.25">
      <c r="B379" s="15">
        <v>377</v>
      </c>
      <c r="D379" s="17">
        <f t="shared" si="20"/>
        <v>0</v>
      </c>
      <c r="H379" s="40"/>
      <c r="I379" s="25"/>
      <c r="J379" s="26"/>
      <c r="K379" s="27"/>
      <c r="L379" s="28"/>
      <c r="M379" s="28"/>
      <c r="N379" s="28"/>
      <c r="Q379" s="35"/>
      <c r="R379" s="13"/>
      <c r="S379" s="42"/>
      <c r="T379" s="42"/>
      <c r="U379" s="31"/>
      <c r="X379" s="32"/>
      <c r="Y379" s="28"/>
      <c r="Z379" s="28"/>
      <c r="AA379" s="33"/>
      <c r="AB379" s="34"/>
      <c r="AC379" s="34" t="str">
        <f t="shared" si="19"/>
        <v/>
      </c>
      <c r="AP379" s="57"/>
    </row>
    <row r="380" spans="2:42" ht="15" x14ac:dyDescent="0.25">
      <c r="B380" s="15">
        <v>378</v>
      </c>
      <c r="D380" s="17">
        <f t="shared" si="20"/>
        <v>0</v>
      </c>
      <c r="H380" s="40"/>
      <c r="I380" s="25"/>
      <c r="J380" s="26"/>
      <c r="K380" s="27"/>
      <c r="L380" s="28"/>
      <c r="M380" s="28"/>
      <c r="N380" s="28"/>
      <c r="Q380" s="35"/>
      <c r="R380" s="13"/>
      <c r="S380" s="42"/>
      <c r="T380" s="42"/>
      <c r="U380" s="31"/>
      <c r="X380" s="32"/>
      <c r="Y380" s="28"/>
      <c r="Z380" s="28"/>
      <c r="AA380" s="33"/>
      <c r="AB380" s="34"/>
      <c r="AC380" s="34" t="str">
        <f t="shared" si="19"/>
        <v/>
      </c>
      <c r="AP380" s="57"/>
    </row>
    <row r="381" spans="2:42" ht="15" x14ac:dyDescent="0.25">
      <c r="B381" s="15">
        <v>379</v>
      </c>
      <c r="D381" s="17">
        <f t="shared" si="20"/>
        <v>0</v>
      </c>
      <c r="H381" s="40"/>
      <c r="I381" s="25"/>
      <c r="J381" s="26"/>
      <c r="K381" s="27"/>
      <c r="L381" s="28"/>
      <c r="M381" s="28"/>
      <c r="N381" s="28"/>
      <c r="Q381" s="35"/>
      <c r="R381" s="13"/>
      <c r="S381" s="42"/>
      <c r="T381" s="42"/>
      <c r="U381" s="31"/>
      <c r="X381" s="32"/>
      <c r="Y381" s="28"/>
      <c r="Z381" s="28"/>
      <c r="AA381" s="33"/>
      <c r="AB381" s="34"/>
      <c r="AC381" s="34" t="str">
        <f t="shared" si="19"/>
        <v/>
      </c>
      <c r="AP381" s="57"/>
    </row>
    <row r="382" spans="2:42" ht="15" x14ac:dyDescent="0.25">
      <c r="B382" s="15">
        <v>380</v>
      </c>
      <c r="D382" s="17">
        <f t="shared" si="20"/>
        <v>0</v>
      </c>
      <c r="H382" s="40"/>
      <c r="I382" s="25"/>
      <c r="J382" s="26"/>
      <c r="K382" s="27"/>
      <c r="L382" s="28"/>
      <c r="M382" s="28"/>
      <c r="N382" s="28"/>
      <c r="Q382" s="35"/>
      <c r="R382" s="13"/>
      <c r="S382" s="42"/>
      <c r="T382" s="42"/>
      <c r="U382" s="31"/>
      <c r="X382" s="32"/>
      <c r="Y382" s="28"/>
      <c r="Z382" s="28"/>
      <c r="AA382" s="33"/>
      <c r="AB382" s="34"/>
      <c r="AC382" s="34" t="str">
        <f t="shared" si="19"/>
        <v/>
      </c>
      <c r="AP382" s="57"/>
    </row>
    <row r="383" spans="2:42" ht="15" x14ac:dyDescent="0.25">
      <c r="B383" s="15">
        <v>381</v>
      </c>
      <c r="D383" s="17">
        <f t="shared" si="20"/>
        <v>0</v>
      </c>
      <c r="H383" s="40"/>
      <c r="I383" s="25"/>
      <c r="J383" s="26"/>
      <c r="K383" s="27"/>
      <c r="L383" s="28"/>
      <c r="M383" s="28"/>
      <c r="N383" s="28"/>
      <c r="Q383" s="35"/>
      <c r="R383" s="13"/>
      <c r="S383" s="42"/>
      <c r="T383" s="42"/>
      <c r="U383" s="31"/>
      <c r="X383" s="32"/>
      <c r="Y383" s="28"/>
      <c r="Z383" s="28"/>
      <c r="AA383" s="33"/>
      <c r="AB383" s="34"/>
      <c r="AC383" s="34" t="str">
        <f t="shared" si="19"/>
        <v/>
      </c>
      <c r="AP383" s="57"/>
    </row>
    <row r="384" spans="2:42" ht="15" x14ac:dyDescent="0.25">
      <c r="B384" s="15">
        <v>382</v>
      </c>
      <c r="D384" s="17">
        <f t="shared" si="20"/>
        <v>0</v>
      </c>
      <c r="F384" s="25"/>
      <c r="G384" s="25"/>
      <c r="H384" s="40"/>
      <c r="I384" s="25"/>
      <c r="J384" s="26"/>
      <c r="K384" s="27"/>
      <c r="L384" s="28"/>
      <c r="M384" s="28"/>
      <c r="N384" s="28"/>
      <c r="Q384" s="35"/>
      <c r="R384" s="13"/>
      <c r="S384" s="42"/>
      <c r="T384" s="42"/>
      <c r="U384" s="31"/>
      <c r="X384" s="32"/>
      <c r="Y384" s="28"/>
      <c r="Z384" s="28"/>
      <c r="AA384" s="33"/>
      <c r="AB384" s="34"/>
      <c r="AC384" s="34" t="str">
        <f t="shared" si="19"/>
        <v/>
      </c>
      <c r="AP384" s="57"/>
    </row>
    <row r="385" spans="2:42" ht="15" x14ac:dyDescent="0.25">
      <c r="B385" s="15">
        <v>383</v>
      </c>
      <c r="D385" s="17">
        <f t="shared" si="20"/>
        <v>0</v>
      </c>
      <c r="F385" s="25"/>
      <c r="G385" s="25"/>
      <c r="H385" s="40"/>
      <c r="I385" s="25"/>
      <c r="J385" s="26"/>
      <c r="K385" s="27"/>
      <c r="L385" s="28"/>
      <c r="M385" s="28"/>
      <c r="N385" s="28"/>
      <c r="Q385" s="35"/>
      <c r="R385" s="13"/>
      <c r="S385" s="42"/>
      <c r="T385" s="42"/>
      <c r="U385" s="31"/>
      <c r="X385" s="32"/>
      <c r="Y385" s="28"/>
      <c r="Z385" s="28"/>
      <c r="AA385" s="33"/>
      <c r="AB385" s="34"/>
      <c r="AC385" s="34" t="str">
        <f t="shared" si="19"/>
        <v/>
      </c>
      <c r="AP385" s="57"/>
    </row>
    <row r="386" spans="2:42" ht="15" x14ac:dyDescent="0.25">
      <c r="B386" s="15">
        <v>384</v>
      </c>
      <c r="D386" s="17">
        <f t="shared" si="20"/>
        <v>0</v>
      </c>
      <c r="G386" s="25"/>
      <c r="H386" s="40"/>
      <c r="I386" s="25"/>
      <c r="J386" s="26"/>
      <c r="K386" s="27"/>
      <c r="L386" s="28"/>
      <c r="M386" s="28"/>
      <c r="N386" s="28"/>
      <c r="Q386" s="35"/>
      <c r="R386" s="13"/>
      <c r="S386" s="42"/>
      <c r="T386" s="42"/>
      <c r="U386" s="31"/>
      <c r="X386" s="32"/>
      <c r="Y386" s="28"/>
      <c r="Z386" s="28"/>
      <c r="AA386" s="33"/>
      <c r="AB386" s="34"/>
      <c r="AC386" s="34" t="str">
        <f t="shared" si="19"/>
        <v/>
      </c>
      <c r="AP386" s="57"/>
    </row>
    <row r="387" spans="2:42" ht="15" x14ac:dyDescent="0.25">
      <c r="B387" s="15">
        <v>385</v>
      </c>
      <c r="D387" s="17">
        <f t="shared" si="20"/>
        <v>0</v>
      </c>
      <c r="H387" s="40"/>
      <c r="I387" s="25"/>
      <c r="J387" s="26"/>
      <c r="K387" s="27"/>
      <c r="L387" s="28"/>
      <c r="M387" s="28"/>
      <c r="N387" s="28"/>
      <c r="Q387" s="35"/>
      <c r="R387" s="13"/>
      <c r="S387" s="42"/>
      <c r="T387" s="42"/>
      <c r="U387" s="31"/>
      <c r="X387" s="32"/>
      <c r="Y387" s="28"/>
      <c r="Z387" s="28"/>
      <c r="AA387" s="33"/>
      <c r="AB387" s="34"/>
      <c r="AC387" s="34" t="str">
        <f t="shared" ref="AC387:AC450" si="21">+IF(AB387="","",R387-AB387)</f>
        <v/>
      </c>
      <c r="AP387" s="57"/>
    </row>
    <row r="388" spans="2:42" ht="15" x14ac:dyDescent="0.25">
      <c r="B388" s="15">
        <v>386</v>
      </c>
      <c r="D388" s="17">
        <f t="shared" si="20"/>
        <v>0</v>
      </c>
      <c r="E388" s="41"/>
      <c r="H388" s="40"/>
      <c r="I388" s="25"/>
      <c r="J388" s="26"/>
      <c r="K388" s="27"/>
      <c r="L388" s="28"/>
      <c r="M388" s="28"/>
      <c r="N388" s="28"/>
      <c r="Q388" s="35"/>
      <c r="R388" s="13"/>
      <c r="S388" s="42"/>
      <c r="T388" s="42"/>
      <c r="U388" s="31"/>
      <c r="X388" s="32"/>
      <c r="Y388" s="28"/>
      <c r="Z388" s="28"/>
      <c r="AA388" s="33"/>
      <c r="AB388" s="34"/>
      <c r="AC388" s="34" t="str">
        <f t="shared" si="21"/>
        <v/>
      </c>
      <c r="AP388" s="57"/>
    </row>
    <row r="389" spans="2:42" ht="15" x14ac:dyDescent="0.25">
      <c r="B389" s="15">
        <v>387</v>
      </c>
      <c r="D389" s="17">
        <f t="shared" si="20"/>
        <v>0</v>
      </c>
      <c r="H389" s="43"/>
      <c r="I389" s="25"/>
      <c r="J389" s="26"/>
      <c r="K389" s="27"/>
      <c r="L389" s="28"/>
      <c r="M389" s="28"/>
      <c r="N389" s="28"/>
      <c r="Q389" s="35"/>
      <c r="R389" s="13"/>
      <c r="S389" s="42"/>
      <c r="T389" s="42"/>
      <c r="U389" s="31"/>
      <c r="X389" s="32"/>
      <c r="Y389" s="28"/>
      <c r="Z389" s="28"/>
      <c r="AA389" s="33"/>
      <c r="AB389" s="34"/>
      <c r="AC389" s="34" t="str">
        <f t="shared" si="21"/>
        <v/>
      </c>
      <c r="AP389" s="57"/>
    </row>
    <row r="390" spans="2:42" ht="15" x14ac:dyDescent="0.25">
      <c r="B390" s="15">
        <v>388</v>
      </c>
      <c r="D390" s="17">
        <f t="shared" si="20"/>
        <v>0</v>
      </c>
      <c r="H390" s="43"/>
      <c r="I390" s="25"/>
      <c r="J390" s="26"/>
      <c r="K390" s="27"/>
      <c r="L390" s="28"/>
      <c r="M390" s="28"/>
      <c r="N390" s="28"/>
      <c r="Q390" s="35"/>
      <c r="R390" s="13"/>
      <c r="S390" s="42"/>
      <c r="T390" s="42"/>
      <c r="U390" s="31"/>
      <c r="X390" s="32"/>
      <c r="Y390" s="28"/>
      <c r="Z390" s="28"/>
      <c r="AA390" s="33"/>
      <c r="AB390" s="34"/>
      <c r="AC390" s="34" t="str">
        <f t="shared" si="21"/>
        <v/>
      </c>
      <c r="AP390" s="57"/>
    </row>
    <row r="391" spans="2:42" ht="15" x14ac:dyDescent="0.25">
      <c r="B391" s="15">
        <v>389</v>
      </c>
      <c r="D391" s="17">
        <f t="shared" si="20"/>
        <v>0</v>
      </c>
      <c r="H391" s="40"/>
      <c r="J391" s="26"/>
      <c r="K391" s="27"/>
      <c r="L391" s="28"/>
      <c r="M391" s="28"/>
      <c r="N391" s="28"/>
      <c r="Q391" s="35"/>
      <c r="R391" s="13"/>
      <c r="S391" s="42"/>
      <c r="T391" s="42"/>
      <c r="U391" s="31"/>
      <c r="X391" s="32"/>
      <c r="Y391" s="28"/>
      <c r="Z391" s="28"/>
      <c r="AA391" s="33"/>
      <c r="AB391" s="34"/>
      <c r="AC391" s="34" t="str">
        <f t="shared" si="21"/>
        <v/>
      </c>
      <c r="AP391" s="57"/>
    </row>
    <row r="392" spans="2:42" ht="15" x14ac:dyDescent="0.25">
      <c r="B392" s="15">
        <v>390</v>
      </c>
      <c r="D392" s="17">
        <f t="shared" si="20"/>
        <v>0</v>
      </c>
      <c r="H392" s="40"/>
      <c r="I392" s="25"/>
      <c r="J392" s="26"/>
      <c r="K392" s="27"/>
      <c r="L392" s="28"/>
      <c r="M392" s="28"/>
      <c r="N392" s="28"/>
      <c r="Q392" s="35"/>
      <c r="R392" s="13"/>
      <c r="S392" s="42"/>
      <c r="T392" s="42"/>
      <c r="U392" s="31"/>
      <c r="X392" s="32"/>
      <c r="Y392" s="28"/>
      <c r="Z392" s="28"/>
      <c r="AA392" s="33"/>
      <c r="AB392" s="34"/>
      <c r="AC392" s="34" t="str">
        <f t="shared" si="21"/>
        <v/>
      </c>
      <c r="AP392" s="57"/>
    </row>
    <row r="393" spans="2:42" ht="15" x14ac:dyDescent="0.25">
      <c r="B393" s="15">
        <v>391</v>
      </c>
      <c r="D393" s="17">
        <f t="shared" si="20"/>
        <v>0</v>
      </c>
      <c r="H393" s="40"/>
      <c r="I393" s="25"/>
      <c r="J393" s="26"/>
      <c r="K393" s="27"/>
      <c r="L393" s="28"/>
      <c r="M393" s="28"/>
      <c r="N393" s="28"/>
      <c r="Q393" s="35"/>
      <c r="R393" s="13"/>
      <c r="S393" s="42"/>
      <c r="T393" s="42"/>
      <c r="U393" s="31"/>
      <c r="X393" s="32"/>
      <c r="Y393" s="28"/>
      <c r="Z393" s="28"/>
      <c r="AA393" s="33"/>
      <c r="AB393" s="34"/>
      <c r="AC393" s="34" t="str">
        <f t="shared" si="21"/>
        <v/>
      </c>
      <c r="AP393" s="57"/>
    </row>
    <row r="394" spans="2:42" ht="15" x14ac:dyDescent="0.25">
      <c r="B394" s="15">
        <v>392</v>
      </c>
      <c r="D394" s="17">
        <f t="shared" si="20"/>
        <v>0</v>
      </c>
      <c r="H394" s="40"/>
      <c r="I394" s="25"/>
      <c r="J394" s="26"/>
      <c r="K394" s="27"/>
      <c r="L394" s="28"/>
      <c r="M394" s="28"/>
      <c r="N394" s="28"/>
      <c r="Q394" s="35"/>
      <c r="R394" s="13"/>
      <c r="S394" s="42"/>
      <c r="T394" s="42"/>
      <c r="U394" s="31"/>
      <c r="X394" s="32"/>
      <c r="Y394" s="28"/>
      <c r="Z394" s="28"/>
      <c r="AA394" s="33"/>
      <c r="AB394" s="34"/>
      <c r="AC394" s="34" t="str">
        <f t="shared" si="21"/>
        <v/>
      </c>
      <c r="AP394" s="57"/>
    </row>
    <row r="395" spans="2:42" ht="15" x14ac:dyDescent="0.25">
      <c r="B395" s="15">
        <v>393</v>
      </c>
      <c r="D395" s="17">
        <f t="shared" si="20"/>
        <v>0</v>
      </c>
      <c r="H395" s="40"/>
      <c r="I395" s="25"/>
      <c r="J395" s="26"/>
      <c r="K395" s="27"/>
      <c r="L395" s="28"/>
      <c r="M395" s="28"/>
      <c r="N395" s="28"/>
      <c r="Q395" s="35"/>
      <c r="R395" s="13"/>
      <c r="S395" s="42"/>
      <c r="T395" s="42"/>
      <c r="U395" s="31"/>
      <c r="X395" s="32"/>
      <c r="Y395" s="28"/>
      <c r="Z395" s="28"/>
      <c r="AA395" s="33"/>
      <c r="AB395" s="34"/>
      <c r="AC395" s="34" t="str">
        <f t="shared" si="21"/>
        <v/>
      </c>
      <c r="AP395" s="57"/>
    </row>
    <row r="396" spans="2:42" ht="15" x14ac:dyDescent="0.25">
      <c r="B396" s="15">
        <v>394</v>
      </c>
      <c r="D396" s="17">
        <f t="shared" si="20"/>
        <v>0</v>
      </c>
      <c r="H396" s="40"/>
      <c r="I396" s="25"/>
      <c r="J396" s="26"/>
      <c r="K396" s="27"/>
      <c r="L396" s="28"/>
      <c r="M396" s="28"/>
      <c r="N396" s="28"/>
      <c r="Q396" s="35"/>
      <c r="R396" s="13"/>
      <c r="S396" s="42"/>
      <c r="T396" s="42"/>
      <c r="U396" s="31"/>
      <c r="X396" s="32"/>
      <c r="Y396" s="28"/>
      <c r="Z396" s="28"/>
      <c r="AA396" s="33"/>
      <c r="AB396" s="34"/>
      <c r="AC396" s="34" t="str">
        <f t="shared" si="21"/>
        <v/>
      </c>
      <c r="AP396" s="57"/>
    </row>
    <row r="397" spans="2:42" ht="15" x14ac:dyDescent="0.25">
      <c r="B397" s="15">
        <v>395</v>
      </c>
      <c r="D397" s="17">
        <f t="shared" si="20"/>
        <v>0</v>
      </c>
      <c r="F397" s="25"/>
      <c r="G397" s="25"/>
      <c r="H397" s="40"/>
      <c r="I397" s="25"/>
      <c r="J397" s="26"/>
      <c r="K397" s="27"/>
      <c r="L397" s="28"/>
      <c r="M397" s="28"/>
      <c r="N397" s="28"/>
      <c r="Q397" s="35"/>
      <c r="R397" s="13"/>
      <c r="S397" s="42"/>
      <c r="T397" s="42"/>
      <c r="U397" s="31"/>
      <c r="X397" s="32"/>
      <c r="Y397" s="28"/>
      <c r="Z397" s="28"/>
      <c r="AA397" s="33"/>
      <c r="AB397" s="34"/>
      <c r="AC397" s="34" t="str">
        <f t="shared" si="21"/>
        <v/>
      </c>
      <c r="AP397" s="57"/>
    </row>
    <row r="398" spans="2:42" ht="15" x14ac:dyDescent="0.25">
      <c r="B398" s="15">
        <v>396</v>
      </c>
      <c r="C398" s="41"/>
      <c r="D398" s="17">
        <f t="shared" si="20"/>
        <v>0</v>
      </c>
      <c r="E398" s="41"/>
      <c r="F398" s="25"/>
      <c r="G398" s="25"/>
      <c r="H398" s="40"/>
      <c r="I398" s="25"/>
      <c r="J398" s="26"/>
      <c r="K398" s="27"/>
      <c r="L398" s="28"/>
      <c r="M398" s="28"/>
      <c r="N398" s="28"/>
      <c r="P398" s="29"/>
      <c r="Q398" s="30"/>
      <c r="R398" s="13"/>
      <c r="S398" s="42"/>
      <c r="T398" s="42"/>
      <c r="U398" s="31"/>
      <c r="X398" s="32"/>
      <c r="Y398" s="28"/>
      <c r="Z398" s="28"/>
      <c r="AA398" s="33"/>
      <c r="AB398" s="34"/>
      <c r="AC398" s="34" t="str">
        <f t="shared" si="21"/>
        <v/>
      </c>
      <c r="AP398" s="57"/>
    </row>
    <row r="399" spans="2:42" ht="15" x14ac:dyDescent="0.25">
      <c r="B399" s="15">
        <v>397</v>
      </c>
      <c r="D399" s="17">
        <f t="shared" si="20"/>
        <v>0</v>
      </c>
      <c r="H399" s="40"/>
      <c r="I399" s="25"/>
      <c r="J399" s="26"/>
      <c r="K399" s="27"/>
      <c r="L399" s="28"/>
      <c r="M399" s="28"/>
      <c r="N399" s="28"/>
      <c r="Q399" s="35"/>
      <c r="R399" s="13"/>
      <c r="S399" s="42"/>
      <c r="T399" s="42"/>
      <c r="U399" s="31"/>
      <c r="X399" s="32"/>
      <c r="Y399" s="28"/>
      <c r="Z399" s="28"/>
      <c r="AA399" s="33"/>
      <c r="AB399" s="34"/>
      <c r="AC399" s="34" t="str">
        <f t="shared" si="21"/>
        <v/>
      </c>
      <c r="AP399" s="57"/>
    </row>
    <row r="400" spans="2:42" ht="15" x14ac:dyDescent="0.25">
      <c r="B400" s="15">
        <v>398</v>
      </c>
      <c r="D400" s="17">
        <f t="shared" si="20"/>
        <v>0</v>
      </c>
      <c r="H400" s="40"/>
      <c r="I400" s="25"/>
      <c r="J400" s="26"/>
      <c r="K400" s="27"/>
      <c r="L400" s="28"/>
      <c r="M400" s="28"/>
      <c r="N400" s="28"/>
      <c r="Q400" s="35"/>
      <c r="R400" s="13"/>
      <c r="S400" s="42"/>
      <c r="T400" s="42"/>
      <c r="U400" s="31"/>
      <c r="X400" s="32"/>
      <c r="Y400" s="28"/>
      <c r="Z400" s="28"/>
      <c r="AA400" s="33"/>
      <c r="AB400" s="34"/>
      <c r="AC400" s="34" t="str">
        <f t="shared" si="21"/>
        <v/>
      </c>
      <c r="AP400" s="57"/>
    </row>
    <row r="401" spans="2:42" ht="15" x14ac:dyDescent="0.25">
      <c r="B401" s="15">
        <v>399</v>
      </c>
      <c r="D401" s="17">
        <f t="shared" si="20"/>
        <v>0</v>
      </c>
      <c r="H401" s="40"/>
      <c r="I401" s="25"/>
      <c r="J401" s="26"/>
      <c r="K401" s="27"/>
      <c r="L401" s="28"/>
      <c r="M401" s="28"/>
      <c r="N401" s="28"/>
      <c r="Q401" s="35"/>
      <c r="R401" s="13"/>
      <c r="S401" s="42"/>
      <c r="T401" s="42"/>
      <c r="U401" s="31"/>
      <c r="X401" s="32"/>
      <c r="Y401" s="28"/>
      <c r="Z401" s="28"/>
      <c r="AA401" s="33"/>
      <c r="AB401" s="34"/>
      <c r="AC401" s="34" t="str">
        <f t="shared" si="21"/>
        <v/>
      </c>
      <c r="AP401" s="57"/>
    </row>
    <row r="402" spans="2:42" ht="15" x14ac:dyDescent="0.25">
      <c r="B402" s="15">
        <v>400</v>
      </c>
      <c r="D402" s="17">
        <f t="shared" si="20"/>
        <v>0</v>
      </c>
      <c r="H402" s="40"/>
      <c r="I402" s="25"/>
      <c r="J402" s="26"/>
      <c r="K402" s="27"/>
      <c r="L402" s="28"/>
      <c r="M402" s="28"/>
      <c r="N402" s="28"/>
      <c r="Q402" s="35"/>
      <c r="R402" s="13"/>
      <c r="S402" s="42"/>
      <c r="T402" s="42"/>
      <c r="U402" s="31"/>
      <c r="X402" s="32"/>
      <c r="Y402" s="28"/>
      <c r="Z402" s="28"/>
      <c r="AA402" s="33"/>
      <c r="AB402" s="34"/>
      <c r="AC402" s="34" t="str">
        <f t="shared" si="21"/>
        <v/>
      </c>
      <c r="AP402" s="57"/>
    </row>
    <row r="403" spans="2:42" ht="15" x14ac:dyDescent="0.25">
      <c r="B403" s="15">
        <v>401</v>
      </c>
      <c r="D403" s="17">
        <f t="shared" si="20"/>
        <v>0</v>
      </c>
      <c r="F403" s="25"/>
      <c r="G403" s="25"/>
      <c r="H403" s="40"/>
      <c r="I403" s="25"/>
      <c r="J403" s="26"/>
      <c r="K403" s="27"/>
      <c r="L403" s="28"/>
      <c r="M403" s="28"/>
      <c r="N403" s="28"/>
      <c r="Q403" s="35"/>
      <c r="R403" s="13"/>
      <c r="S403" s="42"/>
      <c r="T403" s="42"/>
      <c r="U403" s="31"/>
      <c r="X403" s="32"/>
      <c r="Y403" s="28"/>
      <c r="Z403" s="28"/>
      <c r="AA403" s="33"/>
      <c r="AB403" s="34"/>
      <c r="AC403" s="34" t="str">
        <f t="shared" si="21"/>
        <v/>
      </c>
      <c r="AP403" s="57"/>
    </row>
    <row r="404" spans="2:42" ht="15" x14ac:dyDescent="0.25">
      <c r="B404" s="15">
        <v>402</v>
      </c>
      <c r="D404" s="17">
        <f t="shared" si="20"/>
        <v>0</v>
      </c>
      <c r="F404" s="25"/>
      <c r="G404" s="25"/>
      <c r="H404" s="40"/>
      <c r="I404" s="25"/>
      <c r="J404" s="26"/>
      <c r="K404" s="27"/>
      <c r="L404" s="28"/>
      <c r="M404" s="28"/>
      <c r="N404" s="28"/>
      <c r="Q404" s="35"/>
      <c r="R404" s="13"/>
      <c r="S404" s="42"/>
      <c r="T404" s="42"/>
      <c r="U404" s="31"/>
      <c r="X404" s="32"/>
      <c r="Y404" s="28"/>
      <c r="Z404" s="28"/>
      <c r="AA404" s="33"/>
      <c r="AB404" s="34"/>
      <c r="AC404" s="34" t="str">
        <f t="shared" si="21"/>
        <v/>
      </c>
      <c r="AP404" s="57"/>
    </row>
    <row r="405" spans="2:42" ht="15" x14ac:dyDescent="0.25">
      <c r="B405" s="15">
        <v>403</v>
      </c>
      <c r="D405" s="17">
        <f t="shared" si="20"/>
        <v>0</v>
      </c>
      <c r="G405" s="25"/>
      <c r="H405" s="40"/>
      <c r="I405" s="25"/>
      <c r="J405" s="26"/>
      <c r="K405" s="27"/>
      <c r="L405" s="28"/>
      <c r="M405" s="28"/>
      <c r="N405" s="28"/>
      <c r="Q405" s="35"/>
      <c r="R405" s="13"/>
      <c r="S405" s="42"/>
      <c r="T405" s="42"/>
      <c r="U405" s="31"/>
      <c r="X405" s="32"/>
      <c r="Y405" s="28"/>
      <c r="Z405" s="28"/>
      <c r="AA405" s="33"/>
      <c r="AB405" s="34"/>
      <c r="AC405" s="34" t="str">
        <f t="shared" si="21"/>
        <v/>
      </c>
      <c r="AP405" s="57"/>
    </row>
    <row r="406" spans="2:42" ht="15" x14ac:dyDescent="0.25">
      <c r="B406" s="15">
        <v>404</v>
      </c>
      <c r="D406" s="17">
        <f t="shared" si="20"/>
        <v>0</v>
      </c>
      <c r="H406" s="40"/>
      <c r="I406" s="25"/>
      <c r="J406" s="26"/>
      <c r="K406" s="27"/>
      <c r="L406" s="28"/>
      <c r="M406" s="28"/>
      <c r="N406" s="28"/>
      <c r="Q406" s="35"/>
      <c r="R406" s="13"/>
      <c r="S406" s="42"/>
      <c r="T406" s="42"/>
      <c r="U406" s="31"/>
      <c r="X406" s="32"/>
      <c r="Y406" s="28"/>
      <c r="Z406" s="28"/>
      <c r="AA406" s="33"/>
      <c r="AB406" s="34"/>
      <c r="AC406" s="34" t="str">
        <f t="shared" si="21"/>
        <v/>
      </c>
      <c r="AP406" s="57"/>
    </row>
    <row r="407" spans="2:42" ht="15" x14ac:dyDescent="0.25">
      <c r="B407" s="15">
        <v>405</v>
      </c>
      <c r="D407" s="17">
        <f t="shared" si="20"/>
        <v>0</v>
      </c>
      <c r="H407" s="40"/>
      <c r="I407" s="25"/>
      <c r="J407" s="26"/>
      <c r="K407" s="27"/>
      <c r="L407" s="28"/>
      <c r="M407" s="28"/>
      <c r="N407" s="28"/>
      <c r="Q407" s="35"/>
      <c r="R407" s="13"/>
      <c r="S407" s="42"/>
      <c r="T407" s="42"/>
      <c r="U407" s="31"/>
      <c r="X407" s="32"/>
      <c r="Y407" s="28"/>
      <c r="Z407" s="28"/>
      <c r="AA407" s="33"/>
      <c r="AB407" s="34"/>
      <c r="AC407" s="34" t="str">
        <f t="shared" si="21"/>
        <v/>
      </c>
      <c r="AP407" s="57"/>
    </row>
    <row r="408" spans="2:42" ht="15" x14ac:dyDescent="0.25">
      <c r="B408" s="15">
        <v>406</v>
      </c>
      <c r="D408" s="17">
        <f t="shared" si="20"/>
        <v>0</v>
      </c>
      <c r="H408" s="43"/>
      <c r="I408" s="25"/>
      <c r="J408" s="26"/>
      <c r="K408" s="27"/>
      <c r="L408" s="28"/>
      <c r="M408" s="28"/>
      <c r="N408" s="28"/>
      <c r="Q408" s="35"/>
      <c r="R408" s="13"/>
      <c r="S408" s="42"/>
      <c r="T408" s="42"/>
      <c r="U408" s="31"/>
      <c r="X408" s="32"/>
      <c r="Y408" s="28"/>
      <c r="Z408" s="28"/>
      <c r="AA408" s="33"/>
      <c r="AB408" s="34"/>
      <c r="AC408" s="34" t="str">
        <f t="shared" si="21"/>
        <v/>
      </c>
      <c r="AP408" s="57"/>
    </row>
    <row r="409" spans="2:42" ht="15" x14ac:dyDescent="0.25">
      <c r="B409" s="15">
        <v>407</v>
      </c>
      <c r="D409" s="17">
        <f t="shared" si="20"/>
        <v>0</v>
      </c>
      <c r="I409" s="25"/>
      <c r="J409" s="26"/>
      <c r="K409" s="27"/>
      <c r="L409" s="28"/>
      <c r="M409" s="28"/>
      <c r="N409" s="28"/>
      <c r="Q409" s="35"/>
      <c r="R409" s="13"/>
      <c r="S409" s="42"/>
      <c r="T409" s="42"/>
      <c r="U409" s="31"/>
      <c r="X409" s="32"/>
      <c r="Y409" s="28"/>
      <c r="Z409" s="28"/>
      <c r="AA409" s="33"/>
      <c r="AB409" s="34"/>
      <c r="AC409" s="34" t="str">
        <f t="shared" si="21"/>
        <v/>
      </c>
      <c r="AP409" s="57"/>
    </row>
    <row r="410" spans="2:42" ht="15" x14ac:dyDescent="0.25">
      <c r="B410" s="15">
        <v>408</v>
      </c>
      <c r="D410" s="17">
        <f t="shared" si="20"/>
        <v>0</v>
      </c>
      <c r="I410" s="25"/>
      <c r="J410" s="26"/>
      <c r="K410" s="27"/>
      <c r="L410" s="28"/>
      <c r="M410" s="28"/>
      <c r="N410" s="28"/>
      <c r="Q410" s="35"/>
      <c r="R410" s="13"/>
      <c r="S410" s="42"/>
      <c r="T410" s="42"/>
      <c r="U410" s="31"/>
      <c r="X410" s="32"/>
      <c r="Y410" s="28"/>
      <c r="Z410" s="28"/>
      <c r="AA410" s="33"/>
      <c r="AB410" s="34"/>
      <c r="AC410" s="34" t="str">
        <f t="shared" si="21"/>
        <v/>
      </c>
      <c r="AP410" s="57"/>
    </row>
    <row r="411" spans="2:42" ht="15" x14ac:dyDescent="0.25">
      <c r="B411" s="15">
        <v>409</v>
      </c>
      <c r="D411" s="17">
        <f t="shared" si="20"/>
        <v>0</v>
      </c>
      <c r="J411" s="26"/>
      <c r="K411" s="27"/>
      <c r="L411" s="28"/>
      <c r="M411" s="28"/>
      <c r="N411" s="28"/>
      <c r="Q411" s="35"/>
      <c r="R411" s="13"/>
      <c r="S411" s="42"/>
      <c r="T411" s="42"/>
      <c r="U411" s="31"/>
      <c r="X411" s="32"/>
      <c r="Y411" s="28"/>
      <c r="Z411" s="28"/>
      <c r="AA411" s="33"/>
      <c r="AB411" s="34"/>
      <c r="AC411" s="34" t="str">
        <f t="shared" si="21"/>
        <v/>
      </c>
      <c r="AP411" s="57"/>
    </row>
    <row r="412" spans="2:42" ht="15" x14ac:dyDescent="0.25">
      <c r="B412" s="15">
        <v>410</v>
      </c>
      <c r="D412" s="17">
        <f t="shared" si="20"/>
        <v>0</v>
      </c>
      <c r="J412" s="26"/>
      <c r="K412" s="27"/>
      <c r="L412" s="28"/>
      <c r="M412" s="28"/>
      <c r="N412" s="28"/>
      <c r="Q412" s="35"/>
      <c r="R412" s="13"/>
      <c r="S412" s="42"/>
      <c r="T412" s="42"/>
      <c r="U412" s="31"/>
      <c r="X412" s="32"/>
      <c r="Y412" s="28"/>
      <c r="Z412" s="28"/>
      <c r="AA412" s="33"/>
      <c r="AB412" s="34"/>
      <c r="AC412" s="34" t="str">
        <f t="shared" si="21"/>
        <v/>
      </c>
      <c r="AP412" s="57"/>
    </row>
    <row r="413" spans="2:42" ht="15" x14ac:dyDescent="0.25">
      <c r="B413" s="15">
        <v>411</v>
      </c>
      <c r="D413" s="17">
        <f t="shared" si="20"/>
        <v>0</v>
      </c>
      <c r="H413" s="43"/>
      <c r="J413" s="26"/>
      <c r="K413" s="27"/>
      <c r="L413" s="28"/>
      <c r="M413" s="28"/>
      <c r="N413" s="28"/>
      <c r="Q413" s="35"/>
      <c r="R413" s="13"/>
      <c r="S413" s="42"/>
      <c r="T413" s="42"/>
      <c r="U413" s="31"/>
      <c r="X413" s="32"/>
      <c r="Y413" s="28"/>
      <c r="Z413" s="28"/>
      <c r="AA413" s="33"/>
      <c r="AB413" s="34"/>
      <c r="AC413" s="34" t="str">
        <f t="shared" si="21"/>
        <v/>
      </c>
      <c r="AP413" s="57"/>
    </row>
    <row r="414" spans="2:42" ht="15" x14ac:dyDescent="0.25">
      <c r="B414" s="15">
        <v>412</v>
      </c>
      <c r="D414" s="17">
        <f t="shared" si="20"/>
        <v>0</v>
      </c>
      <c r="H414" s="43"/>
      <c r="J414" s="26"/>
      <c r="K414" s="27"/>
      <c r="L414" s="28"/>
      <c r="M414" s="28"/>
      <c r="N414" s="28"/>
      <c r="Q414" s="35"/>
      <c r="R414" s="13"/>
      <c r="S414" s="42"/>
      <c r="T414" s="42"/>
      <c r="U414" s="31"/>
      <c r="X414" s="32"/>
      <c r="Y414" s="28"/>
      <c r="Z414" s="28"/>
      <c r="AA414" s="33"/>
      <c r="AB414" s="34"/>
      <c r="AC414" s="34" t="str">
        <f t="shared" si="21"/>
        <v/>
      </c>
      <c r="AP414" s="57"/>
    </row>
    <row r="415" spans="2:42" ht="15" x14ac:dyDescent="0.25">
      <c r="B415" s="15">
        <v>413</v>
      </c>
      <c r="D415" s="17">
        <f t="shared" si="20"/>
        <v>0</v>
      </c>
      <c r="H415" s="43"/>
      <c r="K415" s="27"/>
      <c r="L415" s="28"/>
      <c r="M415" s="28"/>
      <c r="N415" s="28"/>
      <c r="Q415" s="35"/>
      <c r="R415" s="13"/>
      <c r="S415" s="42"/>
      <c r="T415" s="42"/>
      <c r="U415" s="31"/>
      <c r="X415" s="32"/>
      <c r="Y415" s="28"/>
      <c r="Z415" s="28"/>
      <c r="AA415" s="33"/>
      <c r="AB415" s="34"/>
      <c r="AC415" s="34" t="str">
        <f t="shared" si="21"/>
        <v/>
      </c>
      <c r="AP415" s="57"/>
    </row>
    <row r="416" spans="2:42" ht="15" x14ac:dyDescent="0.25">
      <c r="B416" s="15">
        <v>414</v>
      </c>
      <c r="D416" s="17">
        <f t="shared" si="20"/>
        <v>0</v>
      </c>
      <c r="H416" s="43"/>
      <c r="K416" s="27"/>
      <c r="L416" s="28"/>
      <c r="M416" s="28"/>
      <c r="N416" s="28"/>
      <c r="Q416" s="35"/>
      <c r="R416" s="13"/>
      <c r="S416" s="42"/>
      <c r="T416" s="42"/>
      <c r="U416" s="31"/>
      <c r="X416" s="32"/>
      <c r="Y416" s="28"/>
      <c r="Z416" s="28"/>
      <c r="AA416" s="33"/>
      <c r="AB416" s="34"/>
      <c r="AC416" s="34" t="str">
        <f t="shared" si="21"/>
        <v/>
      </c>
      <c r="AP416" s="57"/>
    </row>
    <row r="417" spans="2:42" ht="15" x14ac:dyDescent="0.25">
      <c r="B417" s="15">
        <v>415</v>
      </c>
      <c r="D417" s="17">
        <f t="shared" si="20"/>
        <v>0</v>
      </c>
      <c r="H417" s="43"/>
      <c r="K417" s="27"/>
      <c r="L417" s="28"/>
      <c r="M417" s="28"/>
      <c r="N417" s="28"/>
      <c r="Q417" s="35"/>
      <c r="R417" s="13"/>
      <c r="S417" s="42"/>
      <c r="T417" s="42"/>
      <c r="U417" s="31"/>
      <c r="X417" s="32"/>
      <c r="Y417" s="28"/>
      <c r="Z417" s="28"/>
      <c r="AA417" s="33"/>
      <c r="AB417" s="34"/>
      <c r="AC417" s="34" t="str">
        <f t="shared" si="21"/>
        <v/>
      </c>
      <c r="AP417" s="57"/>
    </row>
    <row r="418" spans="2:42" ht="15" x14ac:dyDescent="0.25">
      <c r="B418" s="15">
        <v>416</v>
      </c>
      <c r="D418" s="17">
        <f t="shared" si="20"/>
        <v>0</v>
      </c>
      <c r="H418" s="43"/>
      <c r="K418" s="27"/>
      <c r="L418" s="28"/>
      <c r="M418" s="28"/>
      <c r="N418" s="28"/>
      <c r="Q418" s="35"/>
      <c r="R418" s="13"/>
      <c r="S418" s="42"/>
      <c r="T418" s="42"/>
      <c r="U418" s="31"/>
      <c r="X418" s="32"/>
      <c r="Y418" s="28"/>
      <c r="Z418" s="28"/>
      <c r="AA418" s="33"/>
      <c r="AB418" s="34"/>
      <c r="AC418" s="34" t="str">
        <f t="shared" si="21"/>
        <v/>
      </c>
      <c r="AP418" s="57"/>
    </row>
    <row r="419" spans="2:42" ht="15" x14ac:dyDescent="0.25">
      <c r="B419" s="15">
        <v>417</v>
      </c>
      <c r="D419" s="17">
        <f t="shared" si="20"/>
        <v>0</v>
      </c>
      <c r="H419" s="43"/>
      <c r="K419" s="27"/>
      <c r="L419" s="28"/>
      <c r="M419" s="28"/>
      <c r="N419" s="28"/>
      <c r="Q419" s="35"/>
      <c r="R419" s="13"/>
      <c r="S419" s="42"/>
      <c r="T419" s="42"/>
      <c r="U419" s="31"/>
      <c r="X419" s="32"/>
      <c r="Y419" s="28"/>
      <c r="Z419" s="28"/>
      <c r="AA419" s="33"/>
      <c r="AB419" s="34"/>
      <c r="AC419" s="34" t="str">
        <f t="shared" si="21"/>
        <v/>
      </c>
      <c r="AP419" s="57"/>
    </row>
    <row r="420" spans="2:42" ht="15" x14ac:dyDescent="0.25">
      <c r="B420" s="15">
        <v>418</v>
      </c>
      <c r="D420" s="17">
        <f t="shared" si="20"/>
        <v>0</v>
      </c>
      <c r="H420" s="43"/>
      <c r="K420" s="27"/>
      <c r="L420" s="28"/>
      <c r="M420" s="28"/>
      <c r="N420" s="28"/>
      <c r="Q420" s="35"/>
      <c r="R420" s="13"/>
      <c r="S420" s="42"/>
      <c r="T420" s="42"/>
      <c r="U420" s="31"/>
      <c r="X420" s="32"/>
      <c r="Y420" s="28"/>
      <c r="Z420" s="28"/>
      <c r="AA420" s="33"/>
      <c r="AB420" s="34"/>
      <c r="AC420" s="34" t="str">
        <f t="shared" si="21"/>
        <v/>
      </c>
      <c r="AP420" s="57"/>
    </row>
    <row r="421" spans="2:42" ht="15" x14ac:dyDescent="0.25">
      <c r="B421" s="15">
        <v>419</v>
      </c>
      <c r="D421" s="17">
        <f t="shared" si="20"/>
        <v>0</v>
      </c>
      <c r="H421" s="40"/>
      <c r="J421" s="26"/>
      <c r="K421" s="27"/>
      <c r="L421" s="28"/>
      <c r="M421" s="28"/>
      <c r="N421" s="28"/>
      <c r="Q421" s="35"/>
      <c r="R421" s="13"/>
      <c r="S421" s="42"/>
      <c r="T421" s="42"/>
      <c r="U421" s="31"/>
      <c r="X421" s="32"/>
      <c r="Y421" s="28"/>
      <c r="Z421" s="28"/>
      <c r="AA421" s="33"/>
      <c r="AB421" s="34"/>
      <c r="AC421" s="34" t="str">
        <f t="shared" si="21"/>
        <v/>
      </c>
      <c r="AP421" s="57"/>
    </row>
    <row r="422" spans="2:42" ht="15" x14ac:dyDescent="0.25">
      <c r="B422" s="15">
        <v>420</v>
      </c>
      <c r="D422" s="17">
        <f t="shared" si="20"/>
        <v>0</v>
      </c>
      <c r="H422" s="40"/>
      <c r="I422" s="25"/>
      <c r="J422" s="26"/>
      <c r="K422" s="27"/>
      <c r="L422" s="28"/>
      <c r="M422" s="28"/>
      <c r="N422" s="28"/>
      <c r="Q422" s="35"/>
      <c r="R422" s="13"/>
      <c r="S422" s="42"/>
      <c r="T422" s="42"/>
      <c r="U422" s="31"/>
      <c r="X422" s="32"/>
      <c r="Y422" s="28"/>
      <c r="Z422" s="28"/>
      <c r="AA422" s="33"/>
      <c r="AB422" s="34"/>
      <c r="AC422" s="34" t="str">
        <f t="shared" si="21"/>
        <v/>
      </c>
      <c r="AP422" s="57"/>
    </row>
    <row r="423" spans="2:42" ht="15" x14ac:dyDescent="0.25">
      <c r="B423" s="15">
        <v>421</v>
      </c>
      <c r="D423" s="17">
        <f t="shared" si="20"/>
        <v>0</v>
      </c>
      <c r="H423" s="40"/>
      <c r="I423" s="25"/>
      <c r="J423" s="26"/>
      <c r="K423" s="27"/>
      <c r="L423" s="28"/>
      <c r="M423" s="28"/>
      <c r="N423" s="28"/>
      <c r="Q423" s="35"/>
      <c r="R423" s="13"/>
      <c r="S423" s="42"/>
      <c r="T423" s="42"/>
      <c r="U423" s="31"/>
      <c r="X423" s="32"/>
      <c r="Y423" s="28"/>
      <c r="Z423" s="28"/>
      <c r="AA423" s="33"/>
      <c r="AB423" s="34"/>
      <c r="AC423" s="34" t="str">
        <f t="shared" si="21"/>
        <v/>
      </c>
      <c r="AP423" s="57"/>
    </row>
    <row r="424" spans="2:42" ht="15" x14ac:dyDescent="0.25">
      <c r="B424" s="15">
        <v>422</v>
      </c>
      <c r="D424" s="17">
        <f t="shared" si="20"/>
        <v>0</v>
      </c>
      <c r="H424" s="40"/>
      <c r="I424" s="25"/>
      <c r="J424" s="26"/>
      <c r="K424" s="27"/>
      <c r="L424" s="28"/>
      <c r="M424" s="28"/>
      <c r="N424" s="28"/>
      <c r="Q424" s="35"/>
      <c r="R424" s="13"/>
      <c r="S424" s="42"/>
      <c r="T424" s="42"/>
      <c r="U424" s="31"/>
      <c r="X424" s="32"/>
      <c r="Y424" s="28"/>
      <c r="Z424" s="28"/>
      <c r="AA424" s="33"/>
      <c r="AB424" s="34"/>
      <c r="AC424" s="34" t="str">
        <f t="shared" si="21"/>
        <v/>
      </c>
      <c r="AP424" s="57"/>
    </row>
    <row r="425" spans="2:42" ht="15" x14ac:dyDescent="0.25">
      <c r="B425" s="15">
        <v>423</v>
      </c>
      <c r="D425" s="17">
        <f t="shared" si="20"/>
        <v>0</v>
      </c>
      <c r="H425" s="40"/>
      <c r="I425" s="25"/>
      <c r="J425" s="26"/>
      <c r="K425" s="27"/>
      <c r="L425" s="28"/>
      <c r="M425" s="28"/>
      <c r="N425" s="28"/>
      <c r="Q425" s="35"/>
      <c r="R425" s="13"/>
      <c r="S425" s="42"/>
      <c r="T425" s="42"/>
      <c r="U425" s="31"/>
      <c r="X425" s="32"/>
      <c r="Y425" s="28"/>
      <c r="Z425" s="28"/>
      <c r="AA425" s="33"/>
      <c r="AB425" s="34"/>
      <c r="AC425" s="34" t="str">
        <f t="shared" si="21"/>
        <v/>
      </c>
      <c r="AP425" s="57"/>
    </row>
    <row r="426" spans="2:42" ht="15" x14ac:dyDescent="0.25">
      <c r="B426" s="15">
        <v>424</v>
      </c>
      <c r="D426" s="17">
        <f t="shared" si="20"/>
        <v>0</v>
      </c>
      <c r="H426" s="40"/>
      <c r="I426" s="25"/>
      <c r="J426" s="26"/>
      <c r="K426" s="27"/>
      <c r="L426" s="28"/>
      <c r="M426" s="28"/>
      <c r="N426" s="28"/>
      <c r="Q426" s="35"/>
      <c r="R426" s="13"/>
      <c r="S426" s="42"/>
      <c r="T426" s="42"/>
      <c r="U426" s="31"/>
      <c r="X426" s="32"/>
      <c r="Y426" s="28"/>
      <c r="Z426" s="28"/>
      <c r="AA426" s="33"/>
      <c r="AB426" s="34"/>
      <c r="AC426" s="34" t="str">
        <f t="shared" si="21"/>
        <v/>
      </c>
      <c r="AP426" s="57"/>
    </row>
    <row r="427" spans="2:42" ht="15" x14ac:dyDescent="0.25">
      <c r="B427" s="15">
        <v>425</v>
      </c>
      <c r="D427" s="17">
        <f t="shared" si="20"/>
        <v>0</v>
      </c>
      <c r="F427" s="25"/>
      <c r="G427" s="25"/>
      <c r="H427" s="40"/>
      <c r="I427" s="25"/>
      <c r="J427" s="26"/>
      <c r="K427" s="27"/>
      <c r="L427" s="28"/>
      <c r="M427" s="28"/>
      <c r="N427" s="28"/>
      <c r="Q427" s="35"/>
      <c r="R427" s="13"/>
      <c r="S427" s="42"/>
      <c r="T427" s="42"/>
      <c r="U427" s="31"/>
      <c r="X427" s="32"/>
      <c r="Y427" s="28"/>
      <c r="Z427" s="28"/>
      <c r="AA427" s="33"/>
      <c r="AB427" s="34"/>
      <c r="AC427" s="34" t="str">
        <f t="shared" si="21"/>
        <v/>
      </c>
      <c r="AP427" s="57"/>
    </row>
    <row r="428" spans="2:42" ht="15" x14ac:dyDescent="0.25">
      <c r="B428" s="15">
        <v>426</v>
      </c>
      <c r="D428" s="17">
        <f t="shared" si="20"/>
        <v>0</v>
      </c>
      <c r="F428" s="25"/>
      <c r="G428" s="25"/>
      <c r="H428" s="40"/>
      <c r="I428" s="25"/>
      <c r="J428" s="26"/>
      <c r="K428" s="27"/>
      <c r="L428" s="28"/>
      <c r="M428" s="28"/>
      <c r="N428" s="28"/>
      <c r="P428" s="29"/>
      <c r="Q428" s="30"/>
      <c r="R428" s="13"/>
      <c r="S428" s="42"/>
      <c r="T428" s="42"/>
      <c r="U428" s="31"/>
      <c r="X428" s="32"/>
      <c r="Y428" s="28"/>
      <c r="Z428" s="28"/>
      <c r="AA428" s="33"/>
      <c r="AB428" s="34"/>
      <c r="AC428" s="34" t="str">
        <f t="shared" si="21"/>
        <v/>
      </c>
      <c r="AP428" s="57"/>
    </row>
    <row r="429" spans="2:42" ht="15" x14ac:dyDescent="0.25">
      <c r="B429" s="15">
        <v>427</v>
      </c>
      <c r="D429" s="17">
        <f t="shared" si="20"/>
        <v>0</v>
      </c>
      <c r="F429" s="25"/>
      <c r="G429" s="25"/>
      <c r="H429" s="40"/>
      <c r="I429" s="25"/>
      <c r="J429" s="26"/>
      <c r="K429" s="27"/>
      <c r="L429" s="28"/>
      <c r="M429" s="28"/>
      <c r="N429" s="28"/>
      <c r="P429" s="29"/>
      <c r="Q429" s="35"/>
      <c r="R429" s="13"/>
      <c r="S429" s="42"/>
      <c r="T429" s="42"/>
      <c r="U429" s="31"/>
      <c r="X429" s="32"/>
      <c r="Y429" s="28"/>
      <c r="Z429" s="28"/>
      <c r="AA429" s="33"/>
      <c r="AB429" s="34"/>
      <c r="AC429" s="34" t="str">
        <f t="shared" si="21"/>
        <v/>
      </c>
      <c r="AP429" s="57"/>
    </row>
    <row r="430" spans="2:42" ht="15" x14ac:dyDescent="0.25">
      <c r="B430" s="15">
        <v>428</v>
      </c>
      <c r="D430" s="17">
        <f t="shared" si="20"/>
        <v>0</v>
      </c>
      <c r="H430" s="40"/>
      <c r="I430" s="25"/>
      <c r="J430" s="26"/>
      <c r="K430" s="27"/>
      <c r="L430" s="28"/>
      <c r="M430" s="28"/>
      <c r="N430" s="28"/>
      <c r="Q430" s="35"/>
      <c r="R430" s="13"/>
      <c r="S430" s="42"/>
      <c r="T430" s="42"/>
      <c r="U430" s="31"/>
      <c r="X430" s="32"/>
      <c r="Y430" s="28"/>
      <c r="Z430" s="28"/>
      <c r="AA430" s="33"/>
      <c r="AB430" s="13"/>
      <c r="AC430" s="34" t="str">
        <f t="shared" si="21"/>
        <v/>
      </c>
      <c r="AD430" s="43"/>
      <c r="AE430" s="43"/>
      <c r="AF430" s="44"/>
      <c r="AP430" s="57"/>
    </row>
    <row r="431" spans="2:42" ht="15" x14ac:dyDescent="0.25">
      <c r="B431" s="15">
        <v>429</v>
      </c>
      <c r="D431" s="17">
        <f t="shared" si="20"/>
        <v>0</v>
      </c>
      <c r="H431" s="40"/>
      <c r="I431" s="25"/>
      <c r="J431" s="26"/>
      <c r="K431" s="27"/>
      <c r="L431" s="28"/>
      <c r="M431" s="28"/>
      <c r="N431" s="28"/>
      <c r="Q431" s="35"/>
      <c r="R431" s="13"/>
      <c r="S431" s="42"/>
      <c r="T431" s="42"/>
      <c r="U431" s="31"/>
      <c r="X431" s="32"/>
      <c r="Y431" s="28"/>
      <c r="Z431" s="28"/>
      <c r="AA431" s="33"/>
      <c r="AB431" s="13"/>
      <c r="AC431" s="34" t="str">
        <f t="shared" si="21"/>
        <v/>
      </c>
      <c r="AD431" s="43"/>
      <c r="AE431" s="43"/>
      <c r="AF431" s="44"/>
      <c r="AP431" s="57"/>
    </row>
    <row r="432" spans="2:42" ht="15" x14ac:dyDescent="0.25">
      <c r="B432" s="15">
        <v>430</v>
      </c>
      <c r="D432" s="17">
        <f t="shared" si="20"/>
        <v>0</v>
      </c>
      <c r="F432" s="25"/>
      <c r="G432" s="25"/>
      <c r="H432" s="40"/>
      <c r="I432" s="25"/>
      <c r="J432" s="26"/>
      <c r="K432" s="27"/>
      <c r="L432" s="28"/>
      <c r="M432" s="28"/>
      <c r="N432" s="28"/>
      <c r="Q432" s="35"/>
      <c r="R432" s="13"/>
      <c r="S432" s="42"/>
      <c r="T432" s="42"/>
      <c r="U432" s="31"/>
      <c r="X432" s="32"/>
      <c r="Y432" s="28"/>
      <c r="Z432" s="28"/>
      <c r="AA432" s="33"/>
      <c r="AB432" s="13"/>
      <c r="AC432" s="34" t="str">
        <f t="shared" si="21"/>
        <v/>
      </c>
      <c r="AD432" s="43"/>
      <c r="AE432" s="43"/>
      <c r="AF432" s="44"/>
      <c r="AP432" s="57"/>
    </row>
    <row r="433" spans="2:42" ht="15" x14ac:dyDescent="0.25">
      <c r="B433" s="15">
        <v>431</v>
      </c>
      <c r="D433" s="17">
        <f t="shared" ref="D433:D496" si="22">_xlfn.NUMBERVALUE(+LEFT(C433,11))</f>
        <v>0</v>
      </c>
      <c r="F433" s="25"/>
      <c r="G433" s="25"/>
      <c r="H433" s="40"/>
      <c r="I433" s="25"/>
      <c r="J433" s="26"/>
      <c r="K433" s="27"/>
      <c r="L433" s="28"/>
      <c r="M433" s="28"/>
      <c r="N433" s="28"/>
      <c r="Q433" s="35"/>
      <c r="R433" s="13"/>
      <c r="S433" s="42"/>
      <c r="T433" s="42"/>
      <c r="U433" s="31"/>
      <c r="X433" s="32"/>
      <c r="Y433" s="28"/>
      <c r="Z433" s="28"/>
      <c r="AA433" s="33"/>
      <c r="AB433" s="13"/>
      <c r="AC433" s="34" t="str">
        <f t="shared" si="21"/>
        <v/>
      </c>
      <c r="AD433" s="43"/>
      <c r="AE433" s="43"/>
      <c r="AF433" s="44"/>
      <c r="AP433" s="57"/>
    </row>
    <row r="434" spans="2:42" ht="15" x14ac:dyDescent="0.25">
      <c r="B434" s="15">
        <v>432</v>
      </c>
      <c r="D434" s="17">
        <f t="shared" si="22"/>
        <v>0</v>
      </c>
      <c r="G434" s="25"/>
      <c r="H434" s="40"/>
      <c r="I434" s="25"/>
      <c r="J434" s="26"/>
      <c r="K434" s="27"/>
      <c r="L434" s="28"/>
      <c r="M434" s="28"/>
      <c r="N434" s="28"/>
      <c r="Q434" s="35"/>
      <c r="R434" s="13"/>
      <c r="S434" s="42"/>
      <c r="T434" s="42"/>
      <c r="U434" s="31"/>
      <c r="X434" s="32"/>
      <c r="Y434" s="28"/>
      <c r="Z434" s="28"/>
      <c r="AA434" s="33"/>
      <c r="AB434" s="13"/>
      <c r="AC434" s="34" t="str">
        <f t="shared" si="21"/>
        <v/>
      </c>
      <c r="AD434" s="43"/>
      <c r="AE434" s="43"/>
      <c r="AF434" s="44"/>
      <c r="AP434" s="57"/>
    </row>
    <row r="435" spans="2:42" ht="15" x14ac:dyDescent="0.25">
      <c r="B435" s="15">
        <v>433</v>
      </c>
      <c r="D435" s="17">
        <f t="shared" si="22"/>
        <v>0</v>
      </c>
      <c r="H435" s="40"/>
      <c r="I435" s="25"/>
      <c r="J435" s="26"/>
      <c r="K435" s="27"/>
      <c r="L435" s="28"/>
      <c r="M435" s="28"/>
      <c r="N435" s="28"/>
      <c r="Q435" s="35"/>
      <c r="R435" s="13"/>
      <c r="S435" s="42"/>
      <c r="T435" s="42"/>
      <c r="U435" s="31"/>
      <c r="X435" s="32"/>
      <c r="Y435" s="28"/>
      <c r="Z435" s="28"/>
      <c r="AA435" s="33"/>
      <c r="AB435" s="13"/>
      <c r="AC435" s="34" t="str">
        <f t="shared" si="21"/>
        <v/>
      </c>
      <c r="AD435" s="43"/>
      <c r="AE435" s="43"/>
      <c r="AF435" s="44"/>
      <c r="AP435" s="57"/>
    </row>
    <row r="436" spans="2:42" ht="15" x14ac:dyDescent="0.25">
      <c r="B436" s="15">
        <v>434</v>
      </c>
      <c r="D436" s="17">
        <f t="shared" si="22"/>
        <v>0</v>
      </c>
      <c r="H436" s="40"/>
      <c r="I436" s="25"/>
      <c r="J436" s="26"/>
      <c r="K436" s="27"/>
      <c r="L436" s="28"/>
      <c r="M436" s="28"/>
      <c r="N436" s="28"/>
      <c r="Q436" s="35"/>
      <c r="R436" s="13"/>
      <c r="S436" s="42"/>
      <c r="T436" s="42"/>
      <c r="U436" s="31"/>
      <c r="X436" s="32"/>
      <c r="Y436" s="28"/>
      <c r="Z436" s="28"/>
      <c r="AA436" s="33"/>
      <c r="AB436" s="13"/>
      <c r="AC436" s="34" t="str">
        <f t="shared" si="21"/>
        <v/>
      </c>
      <c r="AD436" s="43"/>
      <c r="AE436" s="43"/>
      <c r="AF436" s="44"/>
      <c r="AP436" s="57"/>
    </row>
    <row r="437" spans="2:42" ht="15" x14ac:dyDescent="0.25">
      <c r="B437" s="15">
        <v>435</v>
      </c>
      <c r="D437" s="17">
        <f t="shared" si="22"/>
        <v>0</v>
      </c>
      <c r="H437" s="40"/>
      <c r="I437" s="25"/>
      <c r="J437" s="26"/>
      <c r="K437" s="27"/>
      <c r="L437" s="28"/>
      <c r="M437" s="28"/>
      <c r="N437" s="28"/>
      <c r="Q437" s="35"/>
      <c r="R437" s="13"/>
      <c r="S437" s="42"/>
      <c r="T437" s="42"/>
      <c r="U437" s="31"/>
      <c r="X437" s="32"/>
      <c r="Y437" s="28"/>
      <c r="Z437" s="28"/>
      <c r="AA437" s="33"/>
      <c r="AB437" s="13"/>
      <c r="AC437" s="34" t="str">
        <f t="shared" si="21"/>
        <v/>
      </c>
      <c r="AD437" s="43"/>
      <c r="AE437" s="43"/>
      <c r="AF437" s="44"/>
      <c r="AP437" s="57"/>
    </row>
    <row r="438" spans="2:42" ht="15" x14ac:dyDescent="0.25">
      <c r="B438" s="15">
        <v>436</v>
      </c>
      <c r="D438" s="17">
        <f t="shared" si="22"/>
        <v>0</v>
      </c>
      <c r="I438" s="25"/>
      <c r="J438" s="26"/>
      <c r="K438" s="27"/>
      <c r="L438" s="28"/>
      <c r="M438" s="28"/>
      <c r="N438" s="28"/>
      <c r="Q438" s="35"/>
      <c r="R438" s="13"/>
      <c r="S438" s="42"/>
      <c r="T438" s="42"/>
      <c r="U438" s="31"/>
      <c r="X438" s="32"/>
      <c r="Y438" s="28"/>
      <c r="Z438" s="28"/>
      <c r="AA438" s="33"/>
      <c r="AB438" s="13"/>
      <c r="AC438" s="34" t="str">
        <f t="shared" si="21"/>
        <v/>
      </c>
      <c r="AD438" s="43"/>
      <c r="AE438" s="43"/>
      <c r="AF438" s="44"/>
      <c r="AP438" s="57"/>
    </row>
    <row r="439" spans="2:42" ht="15" x14ac:dyDescent="0.25">
      <c r="B439" s="15">
        <v>437</v>
      </c>
      <c r="D439" s="17">
        <f t="shared" si="22"/>
        <v>0</v>
      </c>
      <c r="H439" s="40"/>
      <c r="J439" s="26"/>
      <c r="K439" s="27"/>
      <c r="L439" s="28"/>
      <c r="M439" s="28"/>
      <c r="N439" s="28"/>
      <c r="Q439" s="35"/>
      <c r="R439" s="13"/>
      <c r="S439" s="42"/>
      <c r="T439" s="42"/>
      <c r="U439" s="31"/>
      <c r="X439" s="32"/>
      <c r="Y439" s="28"/>
      <c r="Z439" s="28"/>
      <c r="AA439" s="33"/>
      <c r="AB439" s="34"/>
      <c r="AC439" s="34" t="str">
        <f t="shared" si="21"/>
        <v/>
      </c>
      <c r="AP439" s="57"/>
    </row>
    <row r="440" spans="2:42" ht="15" x14ac:dyDescent="0.25">
      <c r="B440" s="15">
        <v>438</v>
      </c>
      <c r="D440" s="17">
        <f t="shared" si="22"/>
        <v>0</v>
      </c>
      <c r="H440" s="40"/>
      <c r="I440" s="25"/>
      <c r="J440" s="26"/>
      <c r="K440" s="27"/>
      <c r="L440" s="28"/>
      <c r="M440" s="28"/>
      <c r="N440" s="28"/>
      <c r="Q440" s="35"/>
      <c r="R440" s="13"/>
      <c r="S440" s="42"/>
      <c r="T440" s="42"/>
      <c r="U440" s="31"/>
      <c r="X440" s="32"/>
      <c r="Y440" s="28"/>
      <c r="Z440" s="28"/>
      <c r="AA440" s="33"/>
      <c r="AB440" s="34"/>
      <c r="AC440" s="34" t="str">
        <f t="shared" si="21"/>
        <v/>
      </c>
      <c r="AP440" s="57"/>
    </row>
    <row r="441" spans="2:42" ht="15" x14ac:dyDescent="0.25">
      <c r="B441" s="15">
        <v>439</v>
      </c>
      <c r="D441" s="17">
        <f t="shared" si="22"/>
        <v>0</v>
      </c>
      <c r="H441" s="40"/>
      <c r="I441" s="25"/>
      <c r="J441" s="26"/>
      <c r="K441" s="27"/>
      <c r="L441" s="28"/>
      <c r="M441" s="28"/>
      <c r="N441" s="28"/>
      <c r="Q441" s="35"/>
      <c r="R441" s="13"/>
      <c r="S441" s="42"/>
      <c r="T441" s="42"/>
      <c r="U441" s="31"/>
      <c r="X441" s="32"/>
      <c r="Y441" s="28"/>
      <c r="Z441" s="28"/>
      <c r="AA441" s="33"/>
      <c r="AB441" s="34"/>
      <c r="AC441" s="34" t="str">
        <f t="shared" si="21"/>
        <v/>
      </c>
      <c r="AP441" s="57"/>
    </row>
    <row r="442" spans="2:42" ht="15" x14ac:dyDescent="0.25">
      <c r="B442" s="15">
        <v>440</v>
      </c>
      <c r="D442" s="17">
        <f t="shared" si="22"/>
        <v>0</v>
      </c>
      <c r="H442" s="40"/>
      <c r="I442" s="25"/>
      <c r="J442" s="26"/>
      <c r="K442" s="27"/>
      <c r="L442" s="28"/>
      <c r="M442" s="28"/>
      <c r="N442" s="28"/>
      <c r="Q442" s="35"/>
      <c r="R442" s="13"/>
      <c r="S442" s="42"/>
      <c r="T442" s="42"/>
      <c r="U442" s="31"/>
      <c r="X442" s="32"/>
      <c r="Y442" s="28"/>
      <c r="Z442" s="28"/>
      <c r="AA442" s="33"/>
      <c r="AB442" s="34"/>
      <c r="AC442" s="34" t="str">
        <f t="shared" si="21"/>
        <v/>
      </c>
      <c r="AP442" s="57"/>
    </row>
    <row r="443" spans="2:42" ht="15" x14ac:dyDescent="0.25">
      <c r="B443" s="15">
        <v>441</v>
      </c>
      <c r="D443" s="17">
        <f t="shared" si="22"/>
        <v>0</v>
      </c>
      <c r="F443" s="25"/>
      <c r="G443" s="25"/>
      <c r="H443" s="40"/>
      <c r="I443" s="25"/>
      <c r="J443" s="26"/>
      <c r="K443" s="27"/>
      <c r="L443" s="28"/>
      <c r="M443" s="28"/>
      <c r="N443" s="28"/>
      <c r="P443" s="29"/>
      <c r="Q443" s="35"/>
      <c r="R443" s="13"/>
      <c r="S443" s="42"/>
      <c r="T443" s="42"/>
      <c r="U443" s="31"/>
      <c r="X443" s="32"/>
      <c r="Y443" s="28"/>
      <c r="Z443" s="28"/>
      <c r="AA443" s="33"/>
      <c r="AB443" s="34"/>
      <c r="AC443" s="34" t="str">
        <f t="shared" si="21"/>
        <v/>
      </c>
      <c r="AP443" s="57"/>
    </row>
    <row r="444" spans="2:42" ht="15" x14ac:dyDescent="0.25">
      <c r="B444" s="15">
        <v>442</v>
      </c>
      <c r="D444" s="17">
        <f t="shared" si="22"/>
        <v>0</v>
      </c>
      <c r="F444" s="25"/>
      <c r="G444" s="25"/>
      <c r="H444" s="40"/>
      <c r="I444" s="25"/>
      <c r="J444" s="26"/>
      <c r="K444" s="27"/>
      <c r="L444" s="28"/>
      <c r="M444" s="28"/>
      <c r="N444" s="28"/>
      <c r="P444" s="29"/>
      <c r="Q444" s="35"/>
      <c r="R444" s="13"/>
      <c r="S444" s="42"/>
      <c r="T444" s="42"/>
      <c r="U444" s="31"/>
      <c r="X444" s="32"/>
      <c r="Y444" s="28"/>
      <c r="Z444" s="28"/>
      <c r="AA444" s="33"/>
      <c r="AB444" s="34"/>
      <c r="AC444" s="34" t="str">
        <f t="shared" si="21"/>
        <v/>
      </c>
      <c r="AP444" s="57"/>
    </row>
    <row r="445" spans="2:42" ht="15" x14ac:dyDescent="0.25">
      <c r="B445" s="15">
        <v>443</v>
      </c>
      <c r="D445" s="17">
        <f t="shared" si="22"/>
        <v>0</v>
      </c>
      <c r="H445" s="40"/>
      <c r="I445" s="25"/>
      <c r="J445" s="26"/>
      <c r="K445" s="27"/>
      <c r="L445" s="28"/>
      <c r="M445" s="28"/>
      <c r="N445" s="28"/>
      <c r="Q445" s="35"/>
      <c r="R445" s="13"/>
      <c r="S445" s="42"/>
      <c r="T445" s="42"/>
      <c r="U445" s="31"/>
      <c r="X445" s="32"/>
      <c r="Y445" s="28"/>
      <c r="Z445" s="28"/>
      <c r="AA445" s="33"/>
      <c r="AB445" s="34"/>
      <c r="AC445" s="34" t="str">
        <f t="shared" si="21"/>
        <v/>
      </c>
      <c r="AP445" s="57"/>
    </row>
    <row r="446" spans="2:42" ht="15" x14ac:dyDescent="0.25">
      <c r="B446" s="15">
        <v>444</v>
      </c>
      <c r="D446" s="17">
        <f t="shared" si="22"/>
        <v>0</v>
      </c>
      <c r="H446" s="40"/>
      <c r="I446" s="25"/>
      <c r="J446" s="26"/>
      <c r="K446" s="27"/>
      <c r="L446" s="28"/>
      <c r="M446" s="28"/>
      <c r="N446" s="28"/>
      <c r="Q446" s="35"/>
      <c r="R446" s="13"/>
      <c r="S446" s="42"/>
      <c r="T446" s="42"/>
      <c r="U446" s="31"/>
      <c r="X446" s="32"/>
      <c r="Y446" s="28"/>
      <c r="Z446" s="28"/>
      <c r="AA446" s="33"/>
      <c r="AB446" s="34"/>
      <c r="AC446" s="34" t="str">
        <f t="shared" si="21"/>
        <v/>
      </c>
      <c r="AP446" s="57"/>
    </row>
    <row r="447" spans="2:42" ht="15" x14ac:dyDescent="0.25">
      <c r="B447" s="15">
        <v>445</v>
      </c>
      <c r="D447" s="17">
        <f t="shared" si="22"/>
        <v>0</v>
      </c>
      <c r="H447" s="40"/>
      <c r="I447" s="25"/>
      <c r="J447" s="26"/>
      <c r="K447" s="27"/>
      <c r="L447" s="28"/>
      <c r="M447" s="28"/>
      <c r="N447" s="28"/>
      <c r="Q447" s="35"/>
      <c r="R447" s="13"/>
      <c r="S447" s="42"/>
      <c r="T447" s="42"/>
      <c r="U447" s="31"/>
      <c r="X447" s="32"/>
      <c r="Y447" s="28"/>
      <c r="Z447" s="28"/>
      <c r="AA447" s="33"/>
      <c r="AB447" s="34"/>
      <c r="AC447" s="34" t="str">
        <f t="shared" si="21"/>
        <v/>
      </c>
      <c r="AP447" s="57"/>
    </row>
    <row r="448" spans="2:42" ht="15" x14ac:dyDescent="0.25">
      <c r="B448" s="15">
        <v>446</v>
      </c>
      <c r="D448" s="17">
        <f t="shared" si="22"/>
        <v>0</v>
      </c>
      <c r="H448" s="40"/>
      <c r="J448" s="26"/>
      <c r="K448" s="27"/>
      <c r="L448" s="28"/>
      <c r="M448" s="28"/>
      <c r="N448" s="28"/>
      <c r="Q448" s="35"/>
      <c r="R448" s="13"/>
      <c r="S448" s="42"/>
      <c r="T448" s="42"/>
      <c r="U448" s="31"/>
      <c r="X448" s="32"/>
      <c r="Y448" s="28"/>
      <c r="Z448" s="28"/>
      <c r="AA448" s="33"/>
      <c r="AB448" s="34"/>
      <c r="AC448" s="34" t="str">
        <f t="shared" si="21"/>
        <v/>
      </c>
      <c r="AP448" s="57"/>
    </row>
    <row r="449" spans="2:42" ht="15" x14ac:dyDescent="0.25">
      <c r="B449" s="15">
        <v>447</v>
      </c>
      <c r="D449" s="17">
        <f t="shared" si="22"/>
        <v>0</v>
      </c>
      <c r="H449" s="40"/>
      <c r="I449" s="25"/>
      <c r="J449" s="26"/>
      <c r="K449" s="27"/>
      <c r="L449" s="28"/>
      <c r="M449" s="28"/>
      <c r="N449" s="28"/>
      <c r="Q449" s="35"/>
      <c r="R449" s="13"/>
      <c r="S449" s="42"/>
      <c r="T449" s="42"/>
      <c r="U449" s="31"/>
      <c r="X449" s="32"/>
      <c r="Y449" s="28"/>
      <c r="Z449" s="28"/>
      <c r="AA449" s="33"/>
      <c r="AB449" s="34"/>
      <c r="AC449" s="34" t="str">
        <f t="shared" si="21"/>
        <v/>
      </c>
      <c r="AP449" s="57"/>
    </row>
    <row r="450" spans="2:42" ht="15" x14ac:dyDescent="0.25">
      <c r="B450" s="15">
        <v>448</v>
      </c>
      <c r="D450" s="17">
        <f t="shared" si="22"/>
        <v>0</v>
      </c>
      <c r="H450" s="40"/>
      <c r="I450" s="25"/>
      <c r="J450" s="26"/>
      <c r="K450" s="27"/>
      <c r="L450" s="28"/>
      <c r="M450" s="28"/>
      <c r="N450" s="28"/>
      <c r="Q450" s="35"/>
      <c r="R450" s="13"/>
      <c r="S450" s="42"/>
      <c r="T450" s="42"/>
      <c r="U450" s="31"/>
      <c r="X450" s="32"/>
      <c r="Y450" s="28"/>
      <c r="Z450" s="28"/>
      <c r="AA450" s="33"/>
      <c r="AB450" s="34"/>
      <c r="AC450" s="34" t="str">
        <f t="shared" si="21"/>
        <v/>
      </c>
      <c r="AP450" s="57"/>
    </row>
    <row r="451" spans="2:42" ht="15" x14ac:dyDescent="0.25">
      <c r="B451" s="15">
        <v>449</v>
      </c>
      <c r="D451" s="17">
        <f t="shared" si="22"/>
        <v>0</v>
      </c>
      <c r="H451" s="40"/>
      <c r="I451" s="25"/>
      <c r="J451" s="26"/>
      <c r="K451" s="27"/>
      <c r="L451" s="28"/>
      <c r="M451" s="28"/>
      <c r="N451" s="28"/>
      <c r="Q451" s="35"/>
      <c r="R451" s="13"/>
      <c r="S451" s="42"/>
      <c r="T451" s="42"/>
      <c r="U451" s="31"/>
      <c r="X451" s="32"/>
      <c r="Y451" s="28"/>
      <c r="Z451" s="28"/>
      <c r="AA451" s="33"/>
      <c r="AB451" s="34"/>
      <c r="AC451" s="34" t="str">
        <f t="shared" ref="AC451:AC514" si="23">+IF(AB451="","",R451-AB451)</f>
        <v/>
      </c>
      <c r="AP451" s="57"/>
    </row>
    <row r="452" spans="2:42" ht="15" x14ac:dyDescent="0.25">
      <c r="B452" s="15">
        <v>450</v>
      </c>
      <c r="D452" s="17">
        <f t="shared" si="22"/>
        <v>0</v>
      </c>
      <c r="H452" s="40"/>
      <c r="I452" s="25"/>
      <c r="J452" s="26"/>
      <c r="K452" s="27"/>
      <c r="L452" s="28"/>
      <c r="M452" s="28"/>
      <c r="N452" s="28"/>
      <c r="Q452" s="35"/>
      <c r="R452" s="13"/>
      <c r="S452" s="42"/>
      <c r="T452" s="42"/>
      <c r="U452" s="31"/>
      <c r="X452" s="32"/>
      <c r="Y452" s="28"/>
      <c r="Z452" s="28"/>
      <c r="AA452" s="33"/>
      <c r="AB452" s="34"/>
      <c r="AC452" s="34" t="str">
        <f t="shared" si="23"/>
        <v/>
      </c>
      <c r="AP452" s="57"/>
    </row>
    <row r="453" spans="2:42" ht="15" x14ac:dyDescent="0.25">
      <c r="B453" s="15">
        <v>451</v>
      </c>
      <c r="D453" s="17">
        <f t="shared" si="22"/>
        <v>0</v>
      </c>
      <c r="H453" s="40"/>
      <c r="I453" s="25"/>
      <c r="J453" s="26"/>
      <c r="K453" s="27"/>
      <c r="L453" s="28"/>
      <c r="M453" s="28"/>
      <c r="N453" s="28"/>
      <c r="Q453" s="35"/>
      <c r="R453" s="13"/>
      <c r="S453" s="42"/>
      <c r="T453" s="42"/>
      <c r="U453" s="31"/>
      <c r="X453" s="32"/>
      <c r="Y453" s="28"/>
      <c r="Z453" s="28"/>
      <c r="AA453" s="33"/>
      <c r="AB453" s="34"/>
      <c r="AC453" s="34" t="str">
        <f t="shared" si="23"/>
        <v/>
      </c>
      <c r="AP453" s="57"/>
    </row>
    <row r="454" spans="2:42" ht="15" x14ac:dyDescent="0.25">
      <c r="B454" s="15">
        <v>452</v>
      </c>
      <c r="D454" s="17">
        <f t="shared" si="22"/>
        <v>0</v>
      </c>
      <c r="H454" s="40"/>
      <c r="I454" s="25"/>
      <c r="J454" s="26"/>
      <c r="K454" s="27"/>
      <c r="L454" s="28"/>
      <c r="M454" s="28"/>
      <c r="N454" s="28"/>
      <c r="P454" s="29"/>
      <c r="Q454" s="35"/>
      <c r="R454" s="13"/>
      <c r="S454" s="42"/>
      <c r="T454" s="42"/>
      <c r="U454" s="31"/>
      <c r="X454" s="32"/>
      <c r="Y454" s="28"/>
      <c r="Z454" s="28"/>
      <c r="AA454" s="33"/>
      <c r="AB454" s="34"/>
      <c r="AC454" s="34" t="str">
        <f t="shared" si="23"/>
        <v/>
      </c>
      <c r="AP454" s="57"/>
    </row>
    <row r="455" spans="2:42" ht="15" x14ac:dyDescent="0.25">
      <c r="B455" s="15">
        <v>453</v>
      </c>
      <c r="D455" s="17">
        <f t="shared" si="22"/>
        <v>0</v>
      </c>
      <c r="H455" s="40"/>
      <c r="I455" s="25"/>
      <c r="J455" s="26"/>
      <c r="K455" s="27"/>
      <c r="L455" s="28"/>
      <c r="M455" s="28"/>
      <c r="N455" s="28"/>
      <c r="P455" s="29"/>
      <c r="Q455" s="35"/>
      <c r="R455" s="13"/>
      <c r="S455" s="42"/>
      <c r="T455" s="42"/>
      <c r="U455" s="31"/>
      <c r="X455" s="32"/>
      <c r="Y455" s="28"/>
      <c r="Z455" s="28"/>
      <c r="AA455" s="33"/>
      <c r="AB455" s="34"/>
      <c r="AC455" s="34" t="str">
        <f t="shared" si="23"/>
        <v/>
      </c>
      <c r="AP455" s="57"/>
    </row>
    <row r="456" spans="2:42" ht="15" x14ac:dyDescent="0.25">
      <c r="B456" s="15">
        <v>454</v>
      </c>
      <c r="D456" s="17">
        <f t="shared" si="22"/>
        <v>0</v>
      </c>
      <c r="H456" s="40"/>
      <c r="I456" s="25"/>
      <c r="J456" s="26"/>
      <c r="K456" s="27"/>
      <c r="L456" s="28"/>
      <c r="M456" s="28"/>
      <c r="N456" s="28"/>
      <c r="Q456" s="35"/>
      <c r="R456" s="13"/>
      <c r="S456" s="42"/>
      <c r="T456" s="42"/>
      <c r="U456" s="31"/>
      <c r="X456" s="32"/>
      <c r="Y456" s="28"/>
      <c r="Z456" s="28"/>
      <c r="AA456" s="33"/>
      <c r="AB456" s="34"/>
      <c r="AC456" s="34" t="str">
        <f t="shared" si="23"/>
        <v/>
      </c>
      <c r="AP456" s="57"/>
    </row>
    <row r="457" spans="2:42" ht="15" x14ac:dyDescent="0.25">
      <c r="B457" s="15">
        <v>455</v>
      </c>
      <c r="D457" s="17">
        <f t="shared" si="22"/>
        <v>0</v>
      </c>
      <c r="H457" s="40"/>
      <c r="I457" s="25"/>
      <c r="J457" s="26"/>
      <c r="K457" s="27"/>
      <c r="L457" s="28"/>
      <c r="M457" s="28"/>
      <c r="N457" s="28"/>
      <c r="Q457" s="35"/>
      <c r="R457" s="13"/>
      <c r="S457" s="42"/>
      <c r="T457" s="42"/>
      <c r="U457" s="31"/>
      <c r="X457" s="32"/>
      <c r="Y457" s="28"/>
      <c r="Z457" s="28"/>
      <c r="AA457" s="33"/>
      <c r="AB457" s="34"/>
      <c r="AC457" s="34" t="str">
        <f t="shared" si="23"/>
        <v/>
      </c>
      <c r="AP457" s="57"/>
    </row>
    <row r="458" spans="2:42" ht="15" x14ac:dyDescent="0.25">
      <c r="B458" s="15">
        <v>456</v>
      </c>
      <c r="D458" s="17">
        <f t="shared" si="22"/>
        <v>0</v>
      </c>
      <c r="H458" s="40"/>
      <c r="I458" s="25"/>
      <c r="J458" s="26"/>
      <c r="K458" s="27"/>
      <c r="L458" s="28"/>
      <c r="M458" s="28"/>
      <c r="N458" s="28"/>
      <c r="Q458" s="35"/>
      <c r="R458" s="13"/>
      <c r="S458" s="42"/>
      <c r="T458" s="42"/>
      <c r="U458" s="31"/>
      <c r="X458" s="32"/>
      <c r="Y458" s="28"/>
      <c r="Z458" s="28"/>
      <c r="AA458" s="33"/>
      <c r="AB458" s="34"/>
      <c r="AC458" s="34" t="str">
        <f t="shared" si="23"/>
        <v/>
      </c>
      <c r="AP458" s="57"/>
    </row>
    <row r="459" spans="2:42" ht="15" x14ac:dyDescent="0.25">
      <c r="B459" s="15">
        <v>457</v>
      </c>
      <c r="D459" s="17">
        <f t="shared" si="22"/>
        <v>0</v>
      </c>
      <c r="H459" s="40"/>
      <c r="I459" s="25"/>
      <c r="J459" s="26"/>
      <c r="K459" s="27"/>
      <c r="L459" s="28"/>
      <c r="M459" s="28"/>
      <c r="N459" s="28"/>
      <c r="Q459" s="35"/>
      <c r="R459" s="13"/>
      <c r="S459" s="42"/>
      <c r="T459" s="42"/>
      <c r="U459" s="31"/>
      <c r="X459" s="32"/>
      <c r="Y459" s="28"/>
      <c r="Z459" s="28"/>
      <c r="AA459" s="33"/>
      <c r="AB459" s="34"/>
      <c r="AC459" s="34" t="str">
        <f t="shared" si="23"/>
        <v/>
      </c>
      <c r="AP459" s="57"/>
    </row>
    <row r="460" spans="2:42" ht="15" x14ac:dyDescent="0.25">
      <c r="B460" s="15">
        <v>458</v>
      </c>
      <c r="D460" s="17">
        <f t="shared" si="22"/>
        <v>0</v>
      </c>
      <c r="H460" s="40"/>
      <c r="I460" s="25"/>
      <c r="J460" s="26"/>
      <c r="K460" s="27"/>
      <c r="L460" s="28"/>
      <c r="M460" s="28"/>
      <c r="N460" s="28"/>
      <c r="Q460" s="35"/>
      <c r="R460" s="13"/>
      <c r="S460" s="42"/>
      <c r="T460" s="42"/>
      <c r="U460" s="31"/>
      <c r="X460" s="32"/>
      <c r="Y460" s="28"/>
      <c r="Z460" s="28"/>
      <c r="AA460" s="33"/>
      <c r="AB460" s="34"/>
      <c r="AC460" s="34" t="str">
        <f t="shared" si="23"/>
        <v/>
      </c>
      <c r="AP460" s="57"/>
    </row>
    <row r="461" spans="2:42" ht="15" x14ac:dyDescent="0.25">
      <c r="B461" s="15">
        <v>459</v>
      </c>
      <c r="D461" s="17">
        <f t="shared" si="22"/>
        <v>0</v>
      </c>
      <c r="H461" s="40"/>
      <c r="J461" s="26"/>
      <c r="K461" s="27"/>
      <c r="L461" s="28"/>
      <c r="M461" s="28"/>
      <c r="N461" s="28"/>
      <c r="Q461" s="35"/>
      <c r="R461" s="13"/>
      <c r="S461" s="42"/>
      <c r="T461" s="42"/>
      <c r="U461" s="31"/>
      <c r="X461" s="32"/>
      <c r="Y461" s="28"/>
      <c r="Z461" s="28"/>
      <c r="AA461" s="33"/>
      <c r="AB461" s="34"/>
      <c r="AC461" s="34" t="str">
        <f t="shared" si="23"/>
        <v/>
      </c>
      <c r="AP461" s="57"/>
    </row>
    <row r="462" spans="2:42" ht="15" x14ac:dyDescent="0.25">
      <c r="B462" s="15">
        <v>460</v>
      </c>
      <c r="D462" s="17">
        <f t="shared" si="22"/>
        <v>0</v>
      </c>
      <c r="H462" s="40"/>
      <c r="J462" s="26"/>
      <c r="K462" s="27"/>
      <c r="L462" s="28"/>
      <c r="M462" s="28"/>
      <c r="N462" s="28"/>
      <c r="Q462" s="35"/>
      <c r="R462" s="13"/>
      <c r="S462" s="42"/>
      <c r="T462" s="42"/>
      <c r="U462" s="31"/>
      <c r="X462" s="32"/>
      <c r="Y462" s="28"/>
      <c r="Z462" s="28"/>
      <c r="AA462" s="33"/>
      <c r="AB462" s="34"/>
      <c r="AC462" s="34" t="str">
        <f t="shared" si="23"/>
        <v/>
      </c>
      <c r="AP462" s="57"/>
    </row>
    <row r="463" spans="2:42" ht="15" x14ac:dyDescent="0.25">
      <c r="B463" s="15">
        <v>461</v>
      </c>
      <c r="D463" s="17">
        <f t="shared" si="22"/>
        <v>0</v>
      </c>
      <c r="H463" s="40"/>
      <c r="J463" s="26"/>
      <c r="K463" s="27"/>
      <c r="L463" s="28"/>
      <c r="M463" s="28"/>
      <c r="N463" s="28"/>
      <c r="Q463" s="35"/>
      <c r="R463" s="13"/>
      <c r="S463" s="42"/>
      <c r="T463" s="42"/>
      <c r="U463" s="31"/>
      <c r="X463" s="32"/>
      <c r="Y463" s="28"/>
      <c r="Z463" s="28"/>
      <c r="AA463" s="33"/>
      <c r="AB463" s="34"/>
      <c r="AC463" s="34" t="str">
        <f t="shared" si="23"/>
        <v/>
      </c>
      <c r="AP463" s="57"/>
    </row>
    <row r="464" spans="2:42" ht="15" x14ac:dyDescent="0.25">
      <c r="B464" s="15">
        <v>462</v>
      </c>
      <c r="D464" s="17">
        <f t="shared" si="22"/>
        <v>0</v>
      </c>
      <c r="H464" s="40"/>
      <c r="J464" s="26"/>
      <c r="K464" s="27"/>
      <c r="L464" s="28"/>
      <c r="M464" s="28"/>
      <c r="N464" s="28"/>
      <c r="Q464" s="35"/>
      <c r="R464" s="13"/>
      <c r="S464" s="42"/>
      <c r="T464" s="42"/>
      <c r="U464" s="31"/>
      <c r="X464" s="32"/>
      <c r="Y464" s="28"/>
      <c r="Z464" s="28"/>
      <c r="AA464" s="33"/>
      <c r="AB464" s="34"/>
      <c r="AC464" s="34" t="str">
        <f t="shared" si="23"/>
        <v/>
      </c>
      <c r="AP464" s="57"/>
    </row>
    <row r="465" spans="2:42" ht="15" x14ac:dyDescent="0.25">
      <c r="B465" s="15">
        <v>463</v>
      </c>
      <c r="D465" s="17">
        <f t="shared" si="22"/>
        <v>0</v>
      </c>
      <c r="H465" s="40"/>
      <c r="J465" s="26"/>
      <c r="K465" s="27"/>
      <c r="L465" s="28"/>
      <c r="M465" s="28"/>
      <c r="N465" s="28"/>
      <c r="Q465" s="35"/>
      <c r="R465" s="13"/>
      <c r="S465" s="42"/>
      <c r="T465" s="42"/>
      <c r="U465" s="31"/>
      <c r="X465" s="32"/>
      <c r="Y465" s="28"/>
      <c r="Z465" s="28"/>
      <c r="AA465" s="33"/>
      <c r="AB465" s="34"/>
      <c r="AC465" s="34" t="str">
        <f t="shared" si="23"/>
        <v/>
      </c>
      <c r="AP465" s="57"/>
    </row>
    <row r="466" spans="2:42" ht="15" x14ac:dyDescent="0.25">
      <c r="B466" s="15">
        <v>464</v>
      </c>
      <c r="D466" s="17">
        <f t="shared" si="22"/>
        <v>0</v>
      </c>
      <c r="H466" s="40"/>
      <c r="J466" s="26"/>
      <c r="K466" s="27"/>
      <c r="L466" s="28"/>
      <c r="M466" s="28"/>
      <c r="N466" s="28"/>
      <c r="Q466" s="35"/>
      <c r="R466" s="13"/>
      <c r="S466" s="42"/>
      <c r="T466" s="42"/>
      <c r="U466" s="31"/>
      <c r="X466" s="32"/>
      <c r="Y466" s="28"/>
      <c r="Z466" s="28"/>
      <c r="AA466" s="33"/>
      <c r="AB466" s="34"/>
      <c r="AC466" s="34" t="str">
        <f t="shared" si="23"/>
        <v/>
      </c>
      <c r="AP466" s="57"/>
    </row>
    <row r="467" spans="2:42" ht="15" x14ac:dyDescent="0.25">
      <c r="B467" s="15">
        <v>465</v>
      </c>
      <c r="D467" s="17">
        <f t="shared" si="22"/>
        <v>0</v>
      </c>
      <c r="H467" s="40"/>
      <c r="J467" s="26"/>
      <c r="K467" s="27"/>
      <c r="L467" s="28"/>
      <c r="M467" s="28"/>
      <c r="N467" s="28"/>
      <c r="Q467" s="35"/>
      <c r="R467" s="13"/>
      <c r="S467" s="42"/>
      <c r="T467" s="42"/>
      <c r="U467" s="31"/>
      <c r="X467" s="32"/>
      <c r="Y467" s="28"/>
      <c r="Z467" s="28"/>
      <c r="AA467" s="33"/>
      <c r="AB467" s="34"/>
      <c r="AC467" s="34" t="str">
        <f t="shared" si="23"/>
        <v/>
      </c>
      <c r="AP467" s="57"/>
    </row>
    <row r="468" spans="2:42" ht="15" x14ac:dyDescent="0.25">
      <c r="B468" s="15">
        <v>466</v>
      </c>
      <c r="D468" s="17">
        <f t="shared" si="22"/>
        <v>0</v>
      </c>
      <c r="H468" s="40"/>
      <c r="J468" s="26"/>
      <c r="K468" s="27"/>
      <c r="L468" s="28"/>
      <c r="M468" s="28"/>
      <c r="N468" s="28"/>
      <c r="Q468" s="35"/>
      <c r="R468" s="13"/>
      <c r="S468" s="42"/>
      <c r="T468" s="42"/>
      <c r="U468" s="31"/>
      <c r="X468" s="32"/>
      <c r="Y468" s="28"/>
      <c r="Z468" s="28"/>
      <c r="AA468" s="33"/>
      <c r="AB468" s="34"/>
      <c r="AC468" s="34" t="str">
        <f t="shared" si="23"/>
        <v/>
      </c>
      <c r="AP468" s="57"/>
    </row>
    <row r="469" spans="2:42" ht="15" x14ac:dyDescent="0.25">
      <c r="B469" s="15">
        <v>467</v>
      </c>
      <c r="D469" s="17">
        <f t="shared" si="22"/>
        <v>0</v>
      </c>
      <c r="H469" s="40"/>
      <c r="J469" s="26"/>
      <c r="K469" s="27"/>
      <c r="L469" s="28"/>
      <c r="M469" s="28"/>
      <c r="N469" s="28"/>
      <c r="Q469" s="35"/>
      <c r="R469" s="13"/>
      <c r="S469" s="42"/>
      <c r="T469" s="42"/>
      <c r="U469" s="31"/>
      <c r="X469" s="32"/>
      <c r="Y469" s="28"/>
      <c r="Z469" s="28"/>
      <c r="AA469" s="33"/>
      <c r="AB469" s="13"/>
      <c r="AC469" s="34" t="str">
        <f t="shared" si="23"/>
        <v/>
      </c>
      <c r="AP469" s="57"/>
    </row>
    <row r="470" spans="2:42" ht="15" x14ac:dyDescent="0.25">
      <c r="B470" s="15">
        <v>468</v>
      </c>
      <c r="D470" s="17">
        <f t="shared" si="22"/>
        <v>0</v>
      </c>
      <c r="H470" s="40"/>
      <c r="I470" s="25"/>
      <c r="J470" s="26"/>
      <c r="K470" s="27"/>
      <c r="L470" s="28"/>
      <c r="M470" s="28"/>
      <c r="N470" s="28"/>
      <c r="Q470" s="35"/>
      <c r="R470" s="13"/>
      <c r="S470" s="42"/>
      <c r="T470" s="42"/>
      <c r="U470" s="31"/>
      <c r="X470" s="32"/>
      <c r="Y470" s="28"/>
      <c r="Z470" s="28"/>
      <c r="AA470" s="33"/>
      <c r="AB470" s="13"/>
      <c r="AC470" s="34" t="str">
        <f t="shared" si="23"/>
        <v/>
      </c>
      <c r="AP470" s="57"/>
    </row>
    <row r="471" spans="2:42" ht="15" x14ac:dyDescent="0.25">
      <c r="B471" s="15">
        <v>469</v>
      </c>
      <c r="D471" s="17">
        <f t="shared" si="22"/>
        <v>0</v>
      </c>
      <c r="H471" s="40"/>
      <c r="I471" s="25"/>
      <c r="J471" s="26"/>
      <c r="K471" s="27"/>
      <c r="L471" s="28"/>
      <c r="M471" s="28"/>
      <c r="N471" s="28"/>
      <c r="Q471" s="35"/>
      <c r="R471" s="13"/>
      <c r="S471" s="42"/>
      <c r="T471" s="42"/>
      <c r="U471" s="31"/>
      <c r="X471" s="32"/>
      <c r="Y471" s="28"/>
      <c r="Z471" s="28"/>
      <c r="AA471" s="33"/>
      <c r="AB471" s="13"/>
      <c r="AC471" s="34" t="str">
        <f t="shared" si="23"/>
        <v/>
      </c>
      <c r="AP471" s="57"/>
    </row>
    <row r="472" spans="2:42" ht="15" x14ac:dyDescent="0.25">
      <c r="B472" s="15">
        <v>470</v>
      </c>
      <c r="D472" s="17">
        <f t="shared" si="22"/>
        <v>0</v>
      </c>
      <c r="F472" s="25"/>
      <c r="G472" s="25"/>
      <c r="H472" s="40"/>
      <c r="I472" s="25"/>
      <c r="J472" s="26"/>
      <c r="K472" s="27"/>
      <c r="L472" s="28"/>
      <c r="M472" s="28"/>
      <c r="N472" s="28"/>
      <c r="P472" s="29"/>
      <c r="Q472" s="35"/>
      <c r="R472" s="13"/>
      <c r="S472" s="42"/>
      <c r="T472" s="42"/>
      <c r="U472" s="31"/>
      <c r="X472" s="32"/>
      <c r="Y472" s="28"/>
      <c r="Z472" s="28"/>
      <c r="AA472" s="33"/>
      <c r="AB472" s="13"/>
      <c r="AC472" s="34" t="str">
        <f t="shared" si="23"/>
        <v/>
      </c>
      <c r="AP472" s="57"/>
    </row>
    <row r="473" spans="2:42" ht="15" x14ac:dyDescent="0.25">
      <c r="B473" s="15">
        <v>471</v>
      </c>
      <c r="D473" s="17">
        <f t="shared" si="22"/>
        <v>0</v>
      </c>
      <c r="F473" s="25"/>
      <c r="G473" s="25"/>
      <c r="H473" s="40"/>
      <c r="I473" s="25"/>
      <c r="J473" s="26"/>
      <c r="K473" s="27"/>
      <c r="L473" s="28"/>
      <c r="M473" s="28"/>
      <c r="N473" s="28"/>
      <c r="P473" s="29"/>
      <c r="Q473" s="35"/>
      <c r="R473" s="13"/>
      <c r="S473" s="42"/>
      <c r="T473" s="42"/>
      <c r="U473" s="31"/>
      <c r="X473" s="32"/>
      <c r="Y473" s="28"/>
      <c r="Z473" s="28"/>
      <c r="AA473" s="33"/>
      <c r="AB473" s="13"/>
      <c r="AC473" s="34" t="str">
        <f t="shared" si="23"/>
        <v/>
      </c>
      <c r="AP473" s="57"/>
    </row>
    <row r="474" spans="2:42" ht="15" x14ac:dyDescent="0.25">
      <c r="B474" s="15">
        <v>472</v>
      </c>
      <c r="D474" s="17">
        <f t="shared" si="22"/>
        <v>0</v>
      </c>
      <c r="H474" s="40"/>
      <c r="J474" s="26"/>
      <c r="K474" s="27"/>
      <c r="L474" s="28"/>
      <c r="M474" s="28"/>
      <c r="N474" s="28"/>
      <c r="Q474" s="35"/>
      <c r="R474" s="13"/>
      <c r="S474" s="42"/>
      <c r="T474" s="42"/>
      <c r="U474" s="31"/>
      <c r="X474" s="32"/>
      <c r="Y474" s="28"/>
      <c r="Z474" s="28"/>
      <c r="AA474" s="33"/>
      <c r="AB474" s="13"/>
      <c r="AC474" s="34" t="str">
        <f t="shared" si="23"/>
        <v/>
      </c>
      <c r="AP474" s="57"/>
    </row>
    <row r="475" spans="2:42" ht="15" x14ac:dyDescent="0.25">
      <c r="B475" s="15">
        <v>473</v>
      </c>
      <c r="D475" s="17">
        <f t="shared" si="22"/>
        <v>0</v>
      </c>
      <c r="H475" s="40"/>
      <c r="I475" s="25"/>
      <c r="J475" s="26"/>
      <c r="K475" s="27"/>
      <c r="L475" s="28"/>
      <c r="M475" s="28"/>
      <c r="N475" s="28"/>
      <c r="Q475" s="35"/>
      <c r="R475" s="13"/>
      <c r="S475" s="42"/>
      <c r="T475" s="42"/>
      <c r="U475" s="31"/>
      <c r="X475" s="32"/>
      <c r="Y475" s="28"/>
      <c r="Z475" s="28"/>
      <c r="AA475" s="33"/>
      <c r="AB475" s="13"/>
      <c r="AC475" s="34" t="str">
        <f t="shared" si="23"/>
        <v/>
      </c>
      <c r="AP475" s="57"/>
    </row>
    <row r="476" spans="2:42" ht="15" x14ac:dyDescent="0.25">
      <c r="B476" s="15">
        <v>474</v>
      </c>
      <c r="D476" s="17">
        <f t="shared" si="22"/>
        <v>0</v>
      </c>
      <c r="H476" s="40"/>
      <c r="J476" s="26"/>
      <c r="K476" s="27"/>
      <c r="L476" s="28"/>
      <c r="M476" s="28"/>
      <c r="N476" s="28"/>
      <c r="Q476" s="35"/>
      <c r="R476" s="13"/>
      <c r="S476" s="42"/>
      <c r="T476" s="42"/>
      <c r="U476" s="31"/>
      <c r="X476" s="32"/>
      <c r="Y476" s="28"/>
      <c r="Z476" s="28"/>
      <c r="AA476" s="33"/>
      <c r="AB476" s="13"/>
      <c r="AC476" s="34" t="str">
        <f t="shared" si="23"/>
        <v/>
      </c>
      <c r="AP476" s="57"/>
    </row>
    <row r="477" spans="2:42" ht="15" x14ac:dyDescent="0.25">
      <c r="B477" s="15">
        <v>475</v>
      </c>
      <c r="D477" s="17">
        <f t="shared" si="22"/>
        <v>0</v>
      </c>
      <c r="H477" s="40"/>
      <c r="I477" s="25"/>
      <c r="J477" s="26"/>
      <c r="K477" s="27"/>
      <c r="L477" s="28"/>
      <c r="M477" s="28"/>
      <c r="N477" s="28"/>
      <c r="Q477" s="35"/>
      <c r="R477" s="13"/>
      <c r="S477" s="42"/>
      <c r="T477" s="42"/>
      <c r="U477" s="31"/>
      <c r="X477" s="32"/>
      <c r="Y477" s="28"/>
      <c r="Z477" s="28"/>
      <c r="AA477" s="33"/>
      <c r="AB477" s="13"/>
      <c r="AC477" s="34" t="str">
        <f t="shared" si="23"/>
        <v/>
      </c>
      <c r="AP477" s="57"/>
    </row>
    <row r="478" spans="2:42" ht="15" x14ac:dyDescent="0.25">
      <c r="B478" s="15">
        <v>476</v>
      </c>
      <c r="D478" s="17">
        <f t="shared" si="22"/>
        <v>0</v>
      </c>
      <c r="H478" s="40"/>
      <c r="I478" s="25"/>
      <c r="J478" s="26"/>
      <c r="K478" s="27"/>
      <c r="L478" s="28"/>
      <c r="M478" s="28"/>
      <c r="N478" s="28"/>
      <c r="Q478" s="35"/>
      <c r="R478" s="13"/>
      <c r="S478" s="42"/>
      <c r="T478" s="42"/>
      <c r="U478" s="31"/>
      <c r="X478" s="32"/>
      <c r="Y478" s="28"/>
      <c r="Z478" s="28"/>
      <c r="AA478" s="33"/>
      <c r="AB478" s="13"/>
      <c r="AC478" s="34" t="str">
        <f t="shared" si="23"/>
        <v/>
      </c>
      <c r="AP478" s="57"/>
    </row>
    <row r="479" spans="2:42" ht="15" x14ac:dyDescent="0.25">
      <c r="B479" s="15">
        <v>477</v>
      </c>
      <c r="D479" s="17">
        <f t="shared" si="22"/>
        <v>0</v>
      </c>
      <c r="H479" s="40"/>
      <c r="I479" s="25"/>
      <c r="J479" s="26"/>
      <c r="K479" s="27"/>
      <c r="L479" s="28"/>
      <c r="M479" s="28"/>
      <c r="N479" s="28"/>
      <c r="Q479" s="35"/>
      <c r="R479" s="13"/>
      <c r="S479" s="42"/>
      <c r="T479" s="42"/>
      <c r="U479" s="31"/>
      <c r="X479" s="32"/>
      <c r="Y479" s="28"/>
      <c r="Z479" s="28"/>
      <c r="AA479" s="33"/>
      <c r="AB479" s="13"/>
      <c r="AC479" s="34" t="str">
        <f t="shared" si="23"/>
        <v/>
      </c>
      <c r="AP479" s="57"/>
    </row>
    <row r="480" spans="2:42" ht="15" x14ac:dyDescent="0.25">
      <c r="B480" s="15">
        <v>478</v>
      </c>
      <c r="D480" s="17">
        <f t="shared" si="22"/>
        <v>0</v>
      </c>
      <c r="F480" s="25"/>
      <c r="G480" s="25"/>
      <c r="H480" s="40"/>
      <c r="I480" s="25"/>
      <c r="J480" s="26"/>
      <c r="K480" s="27"/>
      <c r="L480" s="28"/>
      <c r="M480" s="28"/>
      <c r="N480" s="28"/>
      <c r="P480" s="29"/>
      <c r="Q480" s="35"/>
      <c r="R480" s="13"/>
      <c r="S480" s="42"/>
      <c r="T480" s="42"/>
      <c r="U480" s="31"/>
      <c r="X480" s="32"/>
      <c r="Y480" s="28"/>
      <c r="Z480" s="28"/>
      <c r="AA480" s="33"/>
      <c r="AB480" s="13"/>
      <c r="AC480" s="34" t="str">
        <f t="shared" si="23"/>
        <v/>
      </c>
      <c r="AP480" s="57"/>
    </row>
    <row r="481" spans="2:42" ht="15" x14ac:dyDescent="0.25">
      <c r="B481" s="15">
        <v>479</v>
      </c>
      <c r="D481" s="17">
        <f t="shared" si="22"/>
        <v>0</v>
      </c>
      <c r="H481" s="40"/>
      <c r="I481" s="25"/>
      <c r="J481" s="26"/>
      <c r="K481" s="27"/>
      <c r="L481" s="28"/>
      <c r="M481" s="28"/>
      <c r="N481" s="28"/>
      <c r="Q481" s="35"/>
      <c r="R481" s="13"/>
      <c r="S481" s="42"/>
      <c r="T481" s="42"/>
      <c r="U481" s="31"/>
      <c r="X481" s="32"/>
      <c r="Y481" s="28"/>
      <c r="Z481" s="28"/>
      <c r="AA481" s="33"/>
      <c r="AB481" s="13"/>
      <c r="AC481" s="34" t="str">
        <f t="shared" si="23"/>
        <v/>
      </c>
      <c r="AP481" s="57"/>
    </row>
    <row r="482" spans="2:42" ht="15" x14ac:dyDescent="0.25">
      <c r="B482" s="15">
        <v>480</v>
      </c>
      <c r="D482" s="17">
        <f t="shared" si="22"/>
        <v>0</v>
      </c>
      <c r="H482" s="40"/>
      <c r="I482" s="25"/>
      <c r="J482" s="26"/>
      <c r="K482" s="27"/>
      <c r="L482" s="28"/>
      <c r="M482" s="28"/>
      <c r="N482" s="28"/>
      <c r="Q482" s="35"/>
      <c r="R482" s="13"/>
      <c r="S482" s="42"/>
      <c r="T482" s="42"/>
      <c r="U482" s="31"/>
      <c r="X482" s="32"/>
      <c r="Y482" s="28"/>
      <c r="Z482" s="28"/>
      <c r="AA482" s="33"/>
      <c r="AB482" s="13"/>
      <c r="AC482" s="34" t="str">
        <f t="shared" si="23"/>
        <v/>
      </c>
      <c r="AP482" s="57"/>
    </row>
    <row r="483" spans="2:42" ht="15" x14ac:dyDescent="0.25">
      <c r="B483" s="15">
        <v>481</v>
      </c>
      <c r="D483" s="17">
        <f t="shared" si="22"/>
        <v>0</v>
      </c>
      <c r="H483" s="40"/>
      <c r="I483" s="25"/>
      <c r="J483" s="26"/>
      <c r="K483" s="27"/>
      <c r="L483" s="28"/>
      <c r="M483" s="28"/>
      <c r="N483" s="28"/>
      <c r="Q483" s="35"/>
      <c r="R483" s="13"/>
      <c r="S483" s="42"/>
      <c r="T483" s="42"/>
      <c r="U483" s="31"/>
      <c r="X483" s="32"/>
      <c r="Y483" s="28"/>
      <c r="Z483" s="28"/>
      <c r="AA483" s="33"/>
      <c r="AB483" s="13"/>
      <c r="AC483" s="34" t="str">
        <f t="shared" si="23"/>
        <v/>
      </c>
      <c r="AP483" s="57"/>
    </row>
    <row r="484" spans="2:42" ht="15" x14ac:dyDescent="0.25">
      <c r="B484" s="15">
        <v>482</v>
      </c>
      <c r="D484" s="17">
        <f t="shared" si="22"/>
        <v>0</v>
      </c>
      <c r="H484" s="40"/>
      <c r="I484" s="25"/>
      <c r="J484" s="26"/>
      <c r="K484" s="27"/>
      <c r="L484" s="28"/>
      <c r="M484" s="28"/>
      <c r="N484" s="28"/>
      <c r="Q484" s="35"/>
      <c r="R484" s="13"/>
      <c r="S484" s="42"/>
      <c r="T484" s="42"/>
      <c r="U484" s="31"/>
      <c r="X484" s="32"/>
      <c r="Y484" s="28"/>
      <c r="Z484" s="28"/>
      <c r="AA484" s="33"/>
      <c r="AB484" s="13"/>
      <c r="AC484" s="34" t="str">
        <f t="shared" si="23"/>
        <v/>
      </c>
      <c r="AP484" s="57"/>
    </row>
    <row r="485" spans="2:42" ht="15" x14ac:dyDescent="0.25">
      <c r="B485" s="15">
        <v>483</v>
      </c>
      <c r="D485" s="17">
        <f t="shared" si="22"/>
        <v>0</v>
      </c>
      <c r="H485" s="40"/>
      <c r="I485" s="25"/>
      <c r="J485" s="26"/>
      <c r="K485" s="27"/>
      <c r="L485" s="28"/>
      <c r="M485" s="28"/>
      <c r="N485" s="28"/>
      <c r="Q485" s="35"/>
      <c r="R485" s="13"/>
      <c r="S485" s="42"/>
      <c r="T485" s="42"/>
      <c r="U485" s="31"/>
      <c r="X485" s="32"/>
      <c r="Y485" s="28"/>
      <c r="Z485" s="28"/>
      <c r="AA485" s="33"/>
      <c r="AB485" s="13"/>
      <c r="AC485" s="34" t="str">
        <f t="shared" si="23"/>
        <v/>
      </c>
      <c r="AP485" s="57"/>
    </row>
    <row r="486" spans="2:42" ht="15" x14ac:dyDescent="0.25">
      <c r="B486" s="15">
        <v>484</v>
      </c>
      <c r="D486" s="17">
        <f t="shared" si="22"/>
        <v>0</v>
      </c>
      <c r="H486" s="40"/>
      <c r="I486" s="25"/>
      <c r="J486" s="26"/>
      <c r="K486" s="27"/>
      <c r="L486" s="28"/>
      <c r="M486" s="28"/>
      <c r="N486" s="28"/>
      <c r="Q486" s="35"/>
      <c r="R486" s="13"/>
      <c r="S486" s="42"/>
      <c r="T486" s="42"/>
      <c r="U486" s="31"/>
      <c r="X486" s="32"/>
      <c r="Y486" s="28"/>
      <c r="Z486" s="28"/>
      <c r="AA486" s="33"/>
      <c r="AB486" s="13"/>
      <c r="AC486" s="34" t="str">
        <f t="shared" si="23"/>
        <v/>
      </c>
      <c r="AP486" s="57"/>
    </row>
    <row r="487" spans="2:42" ht="15" x14ac:dyDescent="0.25">
      <c r="B487" s="15">
        <v>485</v>
      </c>
      <c r="D487" s="17">
        <f t="shared" si="22"/>
        <v>0</v>
      </c>
      <c r="H487" s="40"/>
      <c r="I487" s="25"/>
      <c r="J487" s="26"/>
      <c r="K487" s="27"/>
      <c r="L487" s="28"/>
      <c r="M487" s="28"/>
      <c r="N487" s="28"/>
      <c r="Q487" s="35"/>
      <c r="R487" s="13"/>
      <c r="S487" s="42"/>
      <c r="T487" s="42"/>
      <c r="U487" s="31"/>
      <c r="X487" s="32"/>
      <c r="Y487" s="28"/>
      <c r="Z487" s="28"/>
      <c r="AA487" s="33"/>
      <c r="AB487" s="13"/>
      <c r="AC487" s="34" t="str">
        <f t="shared" si="23"/>
        <v/>
      </c>
      <c r="AP487" s="57"/>
    </row>
    <row r="488" spans="2:42" ht="15" x14ac:dyDescent="0.25">
      <c r="B488" s="15">
        <v>486</v>
      </c>
      <c r="D488" s="17">
        <f t="shared" si="22"/>
        <v>0</v>
      </c>
      <c r="H488" s="40"/>
      <c r="I488" s="25"/>
      <c r="J488" s="26"/>
      <c r="K488" s="27"/>
      <c r="L488" s="28"/>
      <c r="M488" s="28"/>
      <c r="N488" s="28"/>
      <c r="Q488" s="35"/>
      <c r="R488" s="13"/>
      <c r="S488" s="42"/>
      <c r="T488" s="42"/>
      <c r="U488" s="31"/>
      <c r="X488" s="32"/>
      <c r="Y488" s="28"/>
      <c r="Z488" s="28"/>
      <c r="AA488" s="33"/>
      <c r="AB488" s="13"/>
      <c r="AC488" s="34" t="str">
        <f t="shared" si="23"/>
        <v/>
      </c>
      <c r="AP488" s="57"/>
    </row>
    <row r="489" spans="2:42" ht="15" x14ac:dyDescent="0.25">
      <c r="B489" s="15">
        <v>487</v>
      </c>
      <c r="D489" s="17">
        <f t="shared" si="22"/>
        <v>0</v>
      </c>
      <c r="H489" s="40"/>
      <c r="I489" s="25"/>
      <c r="J489" s="26"/>
      <c r="K489" s="27"/>
      <c r="L489" s="28"/>
      <c r="M489" s="28"/>
      <c r="N489" s="28"/>
      <c r="Q489" s="35"/>
      <c r="R489" s="13"/>
      <c r="S489" s="42"/>
      <c r="T489" s="42"/>
      <c r="U489" s="31"/>
      <c r="X489" s="32"/>
      <c r="Y489" s="28"/>
      <c r="Z489" s="28"/>
      <c r="AA489" s="33"/>
      <c r="AB489" s="13"/>
      <c r="AC489" s="34" t="str">
        <f t="shared" si="23"/>
        <v/>
      </c>
      <c r="AP489" s="57"/>
    </row>
    <row r="490" spans="2:42" ht="15" x14ac:dyDescent="0.25">
      <c r="B490" s="15">
        <v>488</v>
      </c>
      <c r="D490" s="17">
        <f t="shared" si="22"/>
        <v>0</v>
      </c>
      <c r="H490" s="40"/>
      <c r="I490" s="25"/>
      <c r="J490" s="26"/>
      <c r="K490" s="27"/>
      <c r="L490" s="28"/>
      <c r="M490" s="28"/>
      <c r="N490" s="28"/>
      <c r="Q490" s="35"/>
      <c r="R490" s="13"/>
      <c r="S490" s="42"/>
      <c r="T490" s="42"/>
      <c r="U490" s="31"/>
      <c r="X490" s="32"/>
      <c r="Y490" s="28"/>
      <c r="Z490" s="28"/>
      <c r="AA490" s="33"/>
      <c r="AB490" s="13"/>
      <c r="AC490" s="34" t="str">
        <f t="shared" si="23"/>
        <v/>
      </c>
      <c r="AP490" s="57"/>
    </row>
    <row r="491" spans="2:42" ht="15" x14ac:dyDescent="0.25">
      <c r="B491" s="15">
        <v>489</v>
      </c>
      <c r="D491" s="17">
        <f t="shared" si="22"/>
        <v>0</v>
      </c>
      <c r="H491" s="40"/>
      <c r="I491" s="25"/>
      <c r="J491" s="26"/>
      <c r="K491" s="27"/>
      <c r="L491" s="28"/>
      <c r="M491" s="28"/>
      <c r="N491" s="28"/>
      <c r="Q491" s="35"/>
      <c r="R491" s="13"/>
      <c r="S491" s="42"/>
      <c r="T491" s="42"/>
      <c r="U491" s="31"/>
      <c r="X491" s="32"/>
      <c r="Y491" s="28"/>
      <c r="Z491" s="28"/>
      <c r="AA491" s="33"/>
      <c r="AB491" s="13"/>
      <c r="AC491" s="34" t="str">
        <f t="shared" si="23"/>
        <v/>
      </c>
      <c r="AP491" s="57"/>
    </row>
    <row r="492" spans="2:42" ht="15" x14ac:dyDescent="0.25">
      <c r="B492" s="15">
        <v>490</v>
      </c>
      <c r="D492" s="17">
        <f t="shared" si="22"/>
        <v>0</v>
      </c>
      <c r="H492" s="40"/>
      <c r="I492" s="25"/>
      <c r="J492" s="26"/>
      <c r="K492" s="27"/>
      <c r="L492" s="28"/>
      <c r="M492" s="28"/>
      <c r="N492" s="28"/>
      <c r="Q492" s="35"/>
      <c r="R492" s="13"/>
      <c r="S492" s="42"/>
      <c r="T492" s="42"/>
      <c r="U492" s="31"/>
      <c r="X492" s="32"/>
      <c r="Y492" s="28"/>
      <c r="Z492" s="28"/>
      <c r="AA492" s="33"/>
      <c r="AB492" s="13"/>
      <c r="AC492" s="34" t="str">
        <f t="shared" si="23"/>
        <v/>
      </c>
      <c r="AP492" s="57"/>
    </row>
    <row r="493" spans="2:42" ht="15" x14ac:dyDescent="0.25">
      <c r="B493" s="15">
        <v>491</v>
      </c>
      <c r="D493" s="17">
        <f t="shared" si="22"/>
        <v>0</v>
      </c>
      <c r="H493" s="40"/>
      <c r="I493" s="25"/>
      <c r="J493" s="26"/>
      <c r="K493" s="27"/>
      <c r="L493" s="28"/>
      <c r="M493" s="28"/>
      <c r="N493" s="28"/>
      <c r="Q493" s="35"/>
      <c r="R493" s="13"/>
      <c r="S493" s="42"/>
      <c r="T493" s="42"/>
      <c r="U493" s="31"/>
      <c r="X493" s="32"/>
      <c r="Y493" s="28"/>
      <c r="Z493" s="28"/>
      <c r="AA493" s="33"/>
      <c r="AB493" s="13"/>
      <c r="AC493" s="34" t="str">
        <f t="shared" si="23"/>
        <v/>
      </c>
      <c r="AP493" s="57"/>
    </row>
    <row r="494" spans="2:42" ht="15" x14ac:dyDescent="0.25">
      <c r="B494" s="15">
        <v>492</v>
      </c>
      <c r="D494" s="17">
        <f t="shared" si="22"/>
        <v>0</v>
      </c>
      <c r="H494" s="40"/>
      <c r="I494" s="25"/>
      <c r="J494" s="26"/>
      <c r="K494" s="27"/>
      <c r="L494" s="28"/>
      <c r="M494" s="28"/>
      <c r="N494" s="28"/>
      <c r="Q494" s="35"/>
      <c r="R494" s="13"/>
      <c r="S494" s="42"/>
      <c r="T494" s="42"/>
      <c r="U494" s="31"/>
      <c r="X494" s="32"/>
      <c r="Y494" s="28"/>
      <c r="Z494" s="28"/>
      <c r="AA494" s="33"/>
      <c r="AB494" s="13"/>
      <c r="AC494" s="34" t="str">
        <f t="shared" si="23"/>
        <v/>
      </c>
      <c r="AP494" s="57"/>
    </row>
    <row r="495" spans="2:42" ht="15" x14ac:dyDescent="0.25">
      <c r="B495" s="15">
        <v>493</v>
      </c>
      <c r="D495" s="17">
        <f t="shared" si="22"/>
        <v>0</v>
      </c>
      <c r="H495" s="40"/>
      <c r="I495" s="25"/>
      <c r="J495" s="26"/>
      <c r="K495" s="27"/>
      <c r="L495" s="28"/>
      <c r="M495" s="28"/>
      <c r="N495" s="28"/>
      <c r="Q495" s="35"/>
      <c r="R495" s="13"/>
      <c r="S495" s="42"/>
      <c r="T495" s="42"/>
      <c r="U495" s="31"/>
      <c r="X495" s="32"/>
      <c r="Y495" s="28"/>
      <c r="Z495" s="28"/>
      <c r="AA495" s="33"/>
      <c r="AB495" s="13"/>
      <c r="AC495" s="34" t="str">
        <f t="shared" si="23"/>
        <v/>
      </c>
      <c r="AP495" s="57"/>
    </row>
    <row r="496" spans="2:42" ht="15" x14ac:dyDescent="0.25">
      <c r="B496" s="15">
        <v>494</v>
      </c>
      <c r="D496" s="17">
        <f t="shared" si="22"/>
        <v>0</v>
      </c>
      <c r="H496" s="40"/>
      <c r="I496" s="25"/>
      <c r="J496" s="26"/>
      <c r="K496" s="27"/>
      <c r="L496" s="28"/>
      <c r="M496" s="28"/>
      <c r="N496" s="28"/>
      <c r="Q496" s="35"/>
      <c r="R496" s="13"/>
      <c r="S496" s="42"/>
      <c r="T496" s="42"/>
      <c r="U496" s="31"/>
      <c r="X496" s="32"/>
      <c r="Y496" s="28"/>
      <c r="Z496" s="28"/>
      <c r="AA496" s="33"/>
      <c r="AB496" s="13"/>
      <c r="AC496" s="34" t="str">
        <f t="shared" si="23"/>
        <v/>
      </c>
      <c r="AP496" s="57"/>
    </row>
    <row r="497" spans="2:42" ht="15" x14ac:dyDescent="0.25">
      <c r="B497" s="15">
        <v>495</v>
      </c>
      <c r="D497" s="17">
        <f t="shared" ref="D497:D560" si="24">_xlfn.NUMBERVALUE(+LEFT(C497,11))</f>
        <v>0</v>
      </c>
      <c r="H497" s="40"/>
      <c r="I497" s="25"/>
      <c r="J497" s="26"/>
      <c r="K497" s="27"/>
      <c r="L497" s="28"/>
      <c r="M497" s="28"/>
      <c r="N497" s="28"/>
      <c r="Q497" s="35"/>
      <c r="R497" s="13"/>
      <c r="S497" s="42"/>
      <c r="T497" s="42"/>
      <c r="U497" s="31"/>
      <c r="X497" s="32"/>
      <c r="Y497" s="28"/>
      <c r="Z497" s="28"/>
      <c r="AA497" s="33"/>
      <c r="AB497" s="13"/>
      <c r="AC497" s="34" t="str">
        <f t="shared" si="23"/>
        <v/>
      </c>
      <c r="AP497" s="57"/>
    </row>
    <row r="498" spans="2:42" ht="15" x14ac:dyDescent="0.25">
      <c r="B498" s="15">
        <v>496</v>
      </c>
      <c r="D498" s="17">
        <f t="shared" si="24"/>
        <v>0</v>
      </c>
      <c r="H498" s="40"/>
      <c r="I498" s="25"/>
      <c r="J498" s="26"/>
      <c r="K498" s="27"/>
      <c r="L498" s="28"/>
      <c r="M498" s="28"/>
      <c r="N498" s="28"/>
      <c r="Q498" s="35"/>
      <c r="R498" s="13"/>
      <c r="S498" s="42"/>
      <c r="T498" s="42"/>
      <c r="U498" s="31"/>
      <c r="X498" s="32"/>
      <c r="Y498" s="28"/>
      <c r="Z498" s="28"/>
      <c r="AA498" s="33"/>
      <c r="AB498" s="13"/>
      <c r="AC498" s="34" t="str">
        <f t="shared" si="23"/>
        <v/>
      </c>
      <c r="AP498" s="57"/>
    </row>
    <row r="499" spans="2:42" ht="15" x14ac:dyDescent="0.25">
      <c r="B499" s="15">
        <v>497</v>
      </c>
      <c r="D499" s="17">
        <f t="shared" si="24"/>
        <v>0</v>
      </c>
      <c r="H499" s="40"/>
      <c r="I499" s="25"/>
      <c r="J499" s="26"/>
      <c r="K499" s="27"/>
      <c r="L499" s="28"/>
      <c r="M499" s="28"/>
      <c r="N499" s="28"/>
      <c r="Q499" s="35"/>
      <c r="R499" s="13"/>
      <c r="S499" s="42"/>
      <c r="T499" s="42"/>
      <c r="U499" s="31"/>
      <c r="X499" s="32"/>
      <c r="Y499" s="28"/>
      <c r="Z499" s="28"/>
      <c r="AA499" s="33"/>
      <c r="AB499" s="13"/>
      <c r="AC499" s="34" t="str">
        <f t="shared" si="23"/>
        <v/>
      </c>
      <c r="AP499" s="57"/>
    </row>
    <row r="500" spans="2:42" ht="15" x14ac:dyDescent="0.25">
      <c r="B500" s="15">
        <v>498</v>
      </c>
      <c r="D500" s="17">
        <f t="shared" si="24"/>
        <v>0</v>
      </c>
      <c r="H500" s="40"/>
      <c r="I500" s="25"/>
      <c r="J500" s="26"/>
      <c r="K500" s="27"/>
      <c r="L500" s="28"/>
      <c r="M500" s="28"/>
      <c r="N500" s="28"/>
      <c r="Q500" s="35"/>
      <c r="R500" s="13"/>
      <c r="S500" s="42"/>
      <c r="T500" s="42"/>
      <c r="U500" s="31"/>
      <c r="X500" s="32"/>
      <c r="Y500" s="28"/>
      <c r="Z500" s="28"/>
      <c r="AA500" s="33"/>
      <c r="AB500" s="13"/>
      <c r="AC500" s="34" t="str">
        <f t="shared" si="23"/>
        <v/>
      </c>
      <c r="AP500" s="57"/>
    </row>
    <row r="501" spans="2:42" ht="15" x14ac:dyDescent="0.25">
      <c r="B501" s="15">
        <v>499</v>
      </c>
      <c r="D501" s="17">
        <f t="shared" si="24"/>
        <v>0</v>
      </c>
      <c r="H501" s="43"/>
      <c r="I501" s="25"/>
      <c r="J501" s="26"/>
      <c r="K501" s="27"/>
      <c r="L501" s="28"/>
      <c r="M501" s="28"/>
      <c r="N501" s="28"/>
      <c r="Q501" s="35"/>
      <c r="R501" s="13"/>
      <c r="S501" s="42"/>
      <c r="T501" s="42"/>
      <c r="U501" s="31"/>
      <c r="X501" s="32"/>
      <c r="Y501" s="28"/>
      <c r="Z501" s="28"/>
      <c r="AA501" s="33"/>
      <c r="AB501" s="13"/>
      <c r="AC501" s="34" t="str">
        <f t="shared" si="23"/>
        <v/>
      </c>
      <c r="AP501" s="57"/>
    </row>
    <row r="502" spans="2:42" ht="15" x14ac:dyDescent="0.25">
      <c r="B502" s="15">
        <v>500</v>
      </c>
      <c r="D502" s="17">
        <f t="shared" si="24"/>
        <v>0</v>
      </c>
      <c r="H502" s="43"/>
      <c r="I502" s="25"/>
      <c r="J502" s="26"/>
      <c r="K502" s="27"/>
      <c r="L502" s="28"/>
      <c r="M502" s="28"/>
      <c r="N502" s="28"/>
      <c r="Q502" s="35"/>
      <c r="R502" s="13"/>
      <c r="S502" s="42"/>
      <c r="T502" s="42"/>
      <c r="U502" s="31"/>
      <c r="X502" s="32"/>
      <c r="Y502" s="28"/>
      <c r="Z502" s="28"/>
      <c r="AA502" s="33"/>
      <c r="AB502" s="13"/>
      <c r="AC502" s="34" t="str">
        <f t="shared" si="23"/>
        <v/>
      </c>
      <c r="AP502" s="57"/>
    </row>
    <row r="503" spans="2:42" ht="15" x14ac:dyDescent="0.25">
      <c r="B503" s="15">
        <v>501</v>
      </c>
      <c r="D503" s="17">
        <f t="shared" si="24"/>
        <v>0</v>
      </c>
      <c r="H503" s="40"/>
      <c r="J503" s="26"/>
      <c r="K503" s="27"/>
      <c r="L503" s="28"/>
      <c r="M503" s="28"/>
      <c r="N503" s="28"/>
      <c r="Q503" s="35"/>
      <c r="R503" s="13"/>
      <c r="S503" s="42"/>
      <c r="T503" s="42"/>
      <c r="U503" s="31"/>
      <c r="X503" s="32"/>
      <c r="Y503" s="28"/>
      <c r="Z503" s="28"/>
      <c r="AA503" s="33"/>
      <c r="AB503" s="13"/>
      <c r="AC503" s="34" t="str">
        <f t="shared" si="23"/>
        <v/>
      </c>
      <c r="AP503" s="57"/>
    </row>
    <row r="504" spans="2:42" ht="15" x14ac:dyDescent="0.25">
      <c r="B504" s="15">
        <v>502</v>
      </c>
      <c r="D504" s="17">
        <f t="shared" si="24"/>
        <v>0</v>
      </c>
      <c r="H504" s="40"/>
      <c r="I504" s="25"/>
      <c r="J504" s="26"/>
      <c r="K504" s="27"/>
      <c r="L504" s="28"/>
      <c r="M504" s="28"/>
      <c r="N504" s="28"/>
      <c r="Q504" s="35"/>
      <c r="R504" s="13"/>
      <c r="S504" s="42"/>
      <c r="T504" s="42"/>
      <c r="U504" s="31"/>
      <c r="X504" s="32"/>
      <c r="Y504" s="28"/>
      <c r="Z504" s="28"/>
      <c r="AA504" s="33"/>
      <c r="AB504" s="13"/>
      <c r="AC504" s="34" t="str">
        <f t="shared" si="23"/>
        <v/>
      </c>
      <c r="AP504" s="57"/>
    </row>
    <row r="505" spans="2:42" ht="15" x14ac:dyDescent="0.25">
      <c r="B505" s="15">
        <v>503</v>
      </c>
      <c r="D505" s="17">
        <f t="shared" si="24"/>
        <v>0</v>
      </c>
      <c r="H505" s="40"/>
      <c r="I505" s="25"/>
      <c r="J505" s="26"/>
      <c r="K505" s="27"/>
      <c r="L505" s="28"/>
      <c r="M505" s="28"/>
      <c r="N505" s="28"/>
      <c r="Q505" s="35"/>
      <c r="R505" s="13"/>
      <c r="S505" s="42"/>
      <c r="T505" s="42"/>
      <c r="U505" s="31"/>
      <c r="X505" s="32"/>
      <c r="Y505" s="28"/>
      <c r="Z505" s="28"/>
      <c r="AA505" s="33"/>
      <c r="AB505" s="13"/>
      <c r="AC505" s="34" t="str">
        <f t="shared" si="23"/>
        <v/>
      </c>
      <c r="AP505" s="57"/>
    </row>
    <row r="506" spans="2:42" ht="15" x14ac:dyDescent="0.25">
      <c r="B506" s="15">
        <v>504</v>
      </c>
      <c r="D506" s="17">
        <f t="shared" si="24"/>
        <v>0</v>
      </c>
      <c r="F506" s="25"/>
      <c r="G506" s="25"/>
      <c r="H506" s="40"/>
      <c r="I506" s="25"/>
      <c r="J506" s="26"/>
      <c r="K506" s="27"/>
      <c r="L506" s="28"/>
      <c r="M506" s="28"/>
      <c r="N506" s="28"/>
      <c r="P506" s="29"/>
      <c r="Q506" s="35"/>
      <c r="R506" s="13"/>
      <c r="S506" s="42"/>
      <c r="T506" s="42"/>
      <c r="U506" s="31"/>
      <c r="X506" s="32"/>
      <c r="Y506" s="28"/>
      <c r="Z506" s="28"/>
      <c r="AA506" s="33"/>
      <c r="AB506" s="13"/>
      <c r="AC506" s="34" t="str">
        <f t="shared" si="23"/>
        <v/>
      </c>
      <c r="AP506" s="57"/>
    </row>
    <row r="507" spans="2:42" ht="15" x14ac:dyDescent="0.25">
      <c r="B507" s="15">
        <v>505</v>
      </c>
      <c r="D507" s="17">
        <f t="shared" si="24"/>
        <v>0</v>
      </c>
      <c r="F507" s="25"/>
      <c r="G507" s="25"/>
      <c r="H507" s="40"/>
      <c r="I507" s="25"/>
      <c r="J507" s="26"/>
      <c r="K507" s="27"/>
      <c r="L507" s="28"/>
      <c r="M507" s="28"/>
      <c r="N507" s="28"/>
      <c r="P507" s="29"/>
      <c r="Q507" s="35"/>
      <c r="R507" s="13"/>
      <c r="S507" s="42"/>
      <c r="T507" s="42"/>
      <c r="U507" s="31"/>
      <c r="X507" s="32"/>
      <c r="Y507" s="28"/>
      <c r="Z507" s="28"/>
      <c r="AA507" s="33"/>
      <c r="AB507" s="13"/>
      <c r="AC507" s="34" t="str">
        <f t="shared" si="23"/>
        <v/>
      </c>
      <c r="AP507" s="57"/>
    </row>
    <row r="508" spans="2:42" ht="15" x14ac:dyDescent="0.25">
      <c r="B508" s="15">
        <v>506</v>
      </c>
      <c r="D508" s="17">
        <f t="shared" si="24"/>
        <v>0</v>
      </c>
      <c r="H508" s="40"/>
      <c r="I508" s="25"/>
      <c r="J508" s="26"/>
      <c r="K508" s="27"/>
      <c r="L508" s="28"/>
      <c r="M508" s="28"/>
      <c r="N508" s="28"/>
      <c r="Q508" s="35"/>
      <c r="R508" s="13"/>
      <c r="S508" s="42"/>
      <c r="T508" s="42"/>
      <c r="U508" s="31"/>
      <c r="X508" s="32"/>
      <c r="Y508" s="28"/>
      <c r="Z508" s="28"/>
      <c r="AA508" s="33"/>
      <c r="AB508" s="13"/>
      <c r="AC508" s="34" t="str">
        <f t="shared" si="23"/>
        <v/>
      </c>
      <c r="AP508" s="57"/>
    </row>
    <row r="509" spans="2:42" ht="15" x14ac:dyDescent="0.25">
      <c r="B509" s="15">
        <v>507</v>
      </c>
      <c r="D509" s="17">
        <f t="shared" si="24"/>
        <v>0</v>
      </c>
      <c r="H509" s="40"/>
      <c r="I509" s="25"/>
      <c r="J509" s="26"/>
      <c r="K509" s="27"/>
      <c r="L509" s="28"/>
      <c r="M509" s="28"/>
      <c r="N509" s="28"/>
      <c r="Q509" s="35"/>
      <c r="R509" s="13"/>
      <c r="S509" s="42"/>
      <c r="T509" s="42"/>
      <c r="U509" s="31"/>
      <c r="X509" s="32"/>
      <c r="Y509" s="28"/>
      <c r="Z509" s="28"/>
      <c r="AA509" s="33"/>
      <c r="AB509" s="13"/>
      <c r="AC509" s="34" t="str">
        <f t="shared" si="23"/>
        <v/>
      </c>
      <c r="AP509" s="57"/>
    </row>
    <row r="510" spans="2:42" ht="15" x14ac:dyDescent="0.25">
      <c r="B510" s="15">
        <v>508</v>
      </c>
      <c r="D510" s="17">
        <f t="shared" si="24"/>
        <v>0</v>
      </c>
      <c r="H510" s="40"/>
      <c r="I510" s="25"/>
      <c r="J510" s="26"/>
      <c r="K510" s="27"/>
      <c r="L510" s="28"/>
      <c r="M510" s="28"/>
      <c r="N510" s="28"/>
      <c r="Q510" s="35"/>
      <c r="R510" s="13"/>
      <c r="S510" s="42"/>
      <c r="T510" s="42"/>
      <c r="U510" s="31"/>
      <c r="X510" s="32"/>
      <c r="Y510" s="28"/>
      <c r="Z510" s="28"/>
      <c r="AA510" s="33"/>
      <c r="AB510" s="13"/>
      <c r="AC510" s="34" t="str">
        <f t="shared" si="23"/>
        <v/>
      </c>
      <c r="AP510" s="57"/>
    </row>
    <row r="511" spans="2:42" ht="15" x14ac:dyDescent="0.25">
      <c r="B511" s="15">
        <v>509</v>
      </c>
      <c r="D511" s="17">
        <f t="shared" si="24"/>
        <v>0</v>
      </c>
      <c r="H511" s="40"/>
      <c r="I511" s="25"/>
      <c r="J511" s="26"/>
      <c r="K511" s="27"/>
      <c r="L511" s="28"/>
      <c r="M511" s="28"/>
      <c r="N511" s="28"/>
      <c r="Q511" s="35"/>
      <c r="R511" s="13"/>
      <c r="S511" s="42"/>
      <c r="T511" s="42"/>
      <c r="U511" s="31"/>
      <c r="X511" s="32"/>
      <c r="Y511" s="28"/>
      <c r="Z511" s="28"/>
      <c r="AA511" s="33"/>
      <c r="AB511" s="13"/>
      <c r="AC511" s="34" t="str">
        <f t="shared" si="23"/>
        <v/>
      </c>
      <c r="AP511" s="57"/>
    </row>
    <row r="512" spans="2:42" ht="15" x14ac:dyDescent="0.25">
      <c r="B512" s="15">
        <v>510</v>
      </c>
      <c r="D512" s="17">
        <f t="shared" si="24"/>
        <v>0</v>
      </c>
      <c r="H512" s="40"/>
      <c r="I512" s="25"/>
      <c r="J512" s="26"/>
      <c r="K512" s="27"/>
      <c r="L512" s="28"/>
      <c r="M512" s="28"/>
      <c r="N512" s="28"/>
      <c r="Q512" s="35"/>
      <c r="R512" s="13"/>
      <c r="S512" s="42"/>
      <c r="T512" s="42"/>
      <c r="U512" s="31"/>
      <c r="X512" s="32"/>
      <c r="Y512" s="28"/>
      <c r="Z512" s="28"/>
      <c r="AA512" s="33"/>
      <c r="AB512" s="13"/>
      <c r="AC512" s="34" t="str">
        <f t="shared" si="23"/>
        <v/>
      </c>
      <c r="AP512" s="57"/>
    </row>
    <row r="513" spans="2:42" ht="15" x14ac:dyDescent="0.25">
      <c r="B513" s="15">
        <v>511</v>
      </c>
      <c r="D513" s="17">
        <f t="shared" si="24"/>
        <v>0</v>
      </c>
      <c r="H513" s="40"/>
      <c r="I513" s="25"/>
      <c r="J513" s="26"/>
      <c r="K513" s="27"/>
      <c r="L513" s="28"/>
      <c r="M513" s="28"/>
      <c r="N513" s="28"/>
      <c r="Q513" s="35"/>
      <c r="R513" s="13"/>
      <c r="S513" s="42"/>
      <c r="T513" s="42"/>
      <c r="U513" s="31"/>
      <c r="X513" s="32"/>
      <c r="Y513" s="28"/>
      <c r="Z513" s="28"/>
      <c r="AA513" s="33"/>
      <c r="AB513" s="13"/>
      <c r="AC513" s="34" t="str">
        <f t="shared" si="23"/>
        <v/>
      </c>
      <c r="AP513" s="57"/>
    </row>
    <row r="514" spans="2:42" ht="15" x14ac:dyDescent="0.25">
      <c r="B514" s="15">
        <v>512</v>
      </c>
      <c r="D514" s="17">
        <f t="shared" si="24"/>
        <v>0</v>
      </c>
      <c r="H514" s="40"/>
      <c r="I514" s="25"/>
      <c r="J514" s="26"/>
      <c r="K514" s="27"/>
      <c r="L514" s="28"/>
      <c r="M514" s="28"/>
      <c r="N514" s="28"/>
      <c r="Q514" s="35"/>
      <c r="R514" s="13"/>
      <c r="S514" s="42"/>
      <c r="T514" s="42"/>
      <c r="U514" s="31"/>
      <c r="X514" s="32"/>
      <c r="Y514" s="28"/>
      <c r="Z514" s="28"/>
      <c r="AA514" s="33"/>
      <c r="AB514" s="13"/>
      <c r="AC514" s="34" t="str">
        <f t="shared" si="23"/>
        <v/>
      </c>
      <c r="AP514" s="57"/>
    </row>
    <row r="515" spans="2:42" ht="15" x14ac:dyDescent="0.25">
      <c r="B515" s="15">
        <v>513</v>
      </c>
      <c r="D515" s="17">
        <f t="shared" si="24"/>
        <v>0</v>
      </c>
      <c r="H515" s="40"/>
      <c r="I515" s="25"/>
      <c r="J515" s="26"/>
      <c r="K515" s="27"/>
      <c r="L515" s="28"/>
      <c r="M515" s="28"/>
      <c r="N515" s="28"/>
      <c r="Q515" s="35"/>
      <c r="R515" s="13"/>
      <c r="S515" s="42"/>
      <c r="T515" s="42"/>
      <c r="U515" s="31"/>
      <c r="X515" s="32"/>
      <c r="Y515" s="28"/>
      <c r="Z515" s="28"/>
      <c r="AA515" s="33"/>
      <c r="AB515" s="13"/>
      <c r="AC515" s="34" t="str">
        <f t="shared" ref="AC515:AC578" si="25">+IF(AB515="","",R515-AB515)</f>
        <v/>
      </c>
      <c r="AP515" s="57"/>
    </row>
    <row r="516" spans="2:42" ht="15" x14ac:dyDescent="0.25">
      <c r="B516" s="15">
        <v>514</v>
      </c>
      <c r="D516" s="17">
        <f t="shared" si="24"/>
        <v>0</v>
      </c>
      <c r="H516" s="40"/>
      <c r="I516" s="25"/>
      <c r="J516" s="26"/>
      <c r="K516" s="27"/>
      <c r="L516" s="28"/>
      <c r="M516" s="28"/>
      <c r="N516" s="28"/>
      <c r="Q516" s="35"/>
      <c r="R516" s="13"/>
      <c r="S516" s="42"/>
      <c r="T516" s="42"/>
      <c r="U516" s="31"/>
      <c r="X516" s="32"/>
      <c r="Y516" s="28"/>
      <c r="Z516" s="28"/>
      <c r="AA516" s="33"/>
      <c r="AB516" s="13"/>
      <c r="AC516" s="34" t="str">
        <f t="shared" si="25"/>
        <v/>
      </c>
      <c r="AP516" s="57"/>
    </row>
    <row r="517" spans="2:42" ht="15" x14ac:dyDescent="0.25">
      <c r="B517" s="15">
        <v>515</v>
      </c>
      <c r="D517" s="17">
        <f t="shared" si="24"/>
        <v>0</v>
      </c>
      <c r="H517" s="40"/>
      <c r="I517" s="25"/>
      <c r="J517" s="26"/>
      <c r="K517" s="27"/>
      <c r="L517" s="28"/>
      <c r="M517" s="28"/>
      <c r="N517" s="28"/>
      <c r="Q517" s="35"/>
      <c r="R517" s="13"/>
      <c r="S517" s="42"/>
      <c r="T517" s="42"/>
      <c r="U517" s="31"/>
      <c r="X517" s="32"/>
      <c r="Y517" s="28"/>
      <c r="Z517" s="28"/>
      <c r="AA517" s="33"/>
      <c r="AB517" s="13"/>
      <c r="AC517" s="34" t="str">
        <f t="shared" si="25"/>
        <v/>
      </c>
      <c r="AP517" s="57"/>
    </row>
    <row r="518" spans="2:42" ht="15" x14ac:dyDescent="0.25">
      <c r="B518" s="15">
        <v>516</v>
      </c>
      <c r="D518" s="17">
        <f t="shared" si="24"/>
        <v>0</v>
      </c>
      <c r="H518" s="40"/>
      <c r="I518" s="25"/>
      <c r="J518" s="26"/>
      <c r="K518" s="27"/>
      <c r="L518" s="28"/>
      <c r="M518" s="28"/>
      <c r="N518" s="28"/>
      <c r="Q518" s="35"/>
      <c r="R518" s="13"/>
      <c r="S518" s="42"/>
      <c r="T518" s="42"/>
      <c r="U518" s="31"/>
      <c r="X518" s="32"/>
      <c r="Y518" s="28"/>
      <c r="Z518" s="28"/>
      <c r="AA518" s="33"/>
      <c r="AB518" s="13"/>
      <c r="AC518" s="34" t="str">
        <f t="shared" si="25"/>
        <v/>
      </c>
      <c r="AP518" s="57"/>
    </row>
    <row r="519" spans="2:42" ht="15" x14ac:dyDescent="0.25">
      <c r="B519" s="15">
        <v>517</v>
      </c>
      <c r="D519" s="17">
        <f t="shared" si="24"/>
        <v>0</v>
      </c>
      <c r="H519" s="40"/>
      <c r="I519" s="25"/>
      <c r="J519" s="26"/>
      <c r="K519" s="27"/>
      <c r="L519" s="28"/>
      <c r="M519" s="28"/>
      <c r="N519" s="28"/>
      <c r="Q519" s="35"/>
      <c r="R519" s="13"/>
      <c r="S519" s="42"/>
      <c r="T519" s="42"/>
      <c r="U519" s="31"/>
      <c r="X519" s="32"/>
      <c r="Y519" s="28"/>
      <c r="Z519" s="28"/>
      <c r="AA519" s="33"/>
      <c r="AB519" s="13"/>
      <c r="AC519" s="34" t="str">
        <f t="shared" si="25"/>
        <v/>
      </c>
      <c r="AP519" s="57"/>
    </row>
    <row r="520" spans="2:42" ht="15" x14ac:dyDescent="0.25">
      <c r="B520" s="15">
        <v>518</v>
      </c>
      <c r="D520" s="17">
        <f t="shared" si="24"/>
        <v>0</v>
      </c>
      <c r="H520" s="40"/>
      <c r="I520" s="25"/>
      <c r="J520" s="26"/>
      <c r="K520" s="27"/>
      <c r="L520" s="28"/>
      <c r="M520" s="28"/>
      <c r="N520" s="28"/>
      <c r="Q520" s="35"/>
      <c r="R520" s="13"/>
      <c r="S520" s="42"/>
      <c r="T520" s="42"/>
      <c r="U520" s="31"/>
      <c r="X520" s="32"/>
      <c r="Y520" s="28"/>
      <c r="Z520" s="28"/>
      <c r="AA520" s="33"/>
      <c r="AB520" s="13"/>
      <c r="AC520" s="34" t="str">
        <f t="shared" si="25"/>
        <v/>
      </c>
      <c r="AP520" s="57"/>
    </row>
    <row r="521" spans="2:42" ht="15" x14ac:dyDescent="0.25">
      <c r="B521" s="15">
        <v>519</v>
      </c>
      <c r="D521" s="17">
        <f t="shared" si="24"/>
        <v>0</v>
      </c>
      <c r="H521" s="40"/>
      <c r="I521" s="25"/>
      <c r="J521" s="26"/>
      <c r="K521" s="27"/>
      <c r="L521" s="28"/>
      <c r="M521" s="28"/>
      <c r="N521" s="28"/>
      <c r="Q521" s="35"/>
      <c r="R521" s="13"/>
      <c r="S521" s="42"/>
      <c r="T521" s="42"/>
      <c r="U521" s="31"/>
      <c r="X521" s="32"/>
      <c r="Y521" s="28"/>
      <c r="Z521" s="28"/>
      <c r="AA521" s="33"/>
      <c r="AB521" s="13"/>
      <c r="AC521" s="34" t="str">
        <f t="shared" si="25"/>
        <v/>
      </c>
      <c r="AP521" s="57"/>
    </row>
    <row r="522" spans="2:42" ht="15" x14ac:dyDescent="0.25">
      <c r="B522" s="15">
        <v>520</v>
      </c>
      <c r="D522" s="17">
        <f t="shared" si="24"/>
        <v>0</v>
      </c>
      <c r="H522" s="40"/>
      <c r="J522" s="26"/>
      <c r="K522" s="27"/>
      <c r="L522" s="28"/>
      <c r="M522" s="28"/>
      <c r="N522" s="28"/>
      <c r="Q522" s="35"/>
      <c r="R522" s="13"/>
      <c r="S522" s="42"/>
      <c r="T522" s="42"/>
      <c r="U522" s="31"/>
      <c r="X522" s="32"/>
      <c r="Y522" s="28"/>
      <c r="Z522" s="28"/>
      <c r="AA522" s="33"/>
      <c r="AB522" s="13"/>
      <c r="AC522" s="34" t="str">
        <f t="shared" si="25"/>
        <v/>
      </c>
      <c r="AP522" s="57"/>
    </row>
    <row r="523" spans="2:42" ht="15" x14ac:dyDescent="0.25">
      <c r="B523" s="15">
        <v>521</v>
      </c>
      <c r="D523" s="17">
        <f t="shared" si="24"/>
        <v>0</v>
      </c>
      <c r="H523" s="40"/>
      <c r="J523" s="26"/>
      <c r="K523" s="27"/>
      <c r="L523" s="28"/>
      <c r="M523" s="28"/>
      <c r="N523" s="28"/>
      <c r="Q523" s="35"/>
      <c r="R523" s="13"/>
      <c r="S523" s="42"/>
      <c r="T523" s="42"/>
      <c r="U523" s="31"/>
      <c r="X523" s="32"/>
      <c r="Y523" s="28"/>
      <c r="Z523" s="28"/>
      <c r="AA523" s="33"/>
      <c r="AB523" s="13"/>
      <c r="AC523" s="34" t="str">
        <f t="shared" si="25"/>
        <v/>
      </c>
      <c r="AP523" s="57"/>
    </row>
    <row r="524" spans="2:42" ht="15" x14ac:dyDescent="0.25">
      <c r="B524" s="15">
        <v>522</v>
      </c>
      <c r="D524" s="17">
        <f t="shared" si="24"/>
        <v>0</v>
      </c>
      <c r="H524" s="40"/>
      <c r="J524" s="26"/>
      <c r="K524" s="27"/>
      <c r="L524" s="28"/>
      <c r="M524" s="28"/>
      <c r="N524" s="28"/>
      <c r="Q524" s="35"/>
      <c r="R524" s="13"/>
      <c r="S524" s="42"/>
      <c r="T524" s="42"/>
      <c r="U524" s="31"/>
      <c r="X524" s="32"/>
      <c r="Y524" s="28"/>
      <c r="Z524" s="28"/>
      <c r="AA524" s="33"/>
      <c r="AB524" s="13"/>
      <c r="AC524" s="34" t="str">
        <f t="shared" si="25"/>
        <v/>
      </c>
      <c r="AP524" s="57"/>
    </row>
    <row r="525" spans="2:42" ht="15" x14ac:dyDescent="0.25">
      <c r="B525" s="15">
        <v>523</v>
      </c>
      <c r="D525" s="17">
        <f t="shared" si="24"/>
        <v>0</v>
      </c>
      <c r="H525" s="40"/>
      <c r="J525" s="26"/>
      <c r="K525" s="27"/>
      <c r="L525" s="28"/>
      <c r="M525" s="28"/>
      <c r="N525" s="28"/>
      <c r="Q525" s="35"/>
      <c r="R525" s="13"/>
      <c r="S525" s="42"/>
      <c r="T525" s="42"/>
      <c r="U525" s="31"/>
      <c r="X525" s="32"/>
      <c r="Y525" s="28"/>
      <c r="Z525" s="28"/>
      <c r="AA525" s="33"/>
      <c r="AB525" s="13"/>
      <c r="AC525" s="34" t="str">
        <f t="shared" si="25"/>
        <v/>
      </c>
      <c r="AP525" s="57"/>
    </row>
    <row r="526" spans="2:42" ht="15" x14ac:dyDescent="0.25">
      <c r="B526" s="15">
        <v>524</v>
      </c>
      <c r="D526" s="17">
        <f t="shared" si="24"/>
        <v>0</v>
      </c>
      <c r="F526" s="25"/>
      <c r="G526" s="25"/>
      <c r="H526" s="40"/>
      <c r="I526" s="25"/>
      <c r="J526" s="26"/>
      <c r="K526" s="27"/>
      <c r="L526" s="28"/>
      <c r="M526" s="28"/>
      <c r="N526" s="28"/>
      <c r="P526" s="29"/>
      <c r="Q526" s="35"/>
      <c r="R526" s="13"/>
      <c r="S526" s="42"/>
      <c r="T526" s="42"/>
      <c r="U526" s="31"/>
      <c r="X526" s="32"/>
      <c r="Y526" s="28"/>
      <c r="Z526" s="28"/>
      <c r="AA526" s="33"/>
      <c r="AB526" s="13"/>
      <c r="AC526" s="34" t="str">
        <f t="shared" si="25"/>
        <v/>
      </c>
      <c r="AP526" s="57"/>
    </row>
    <row r="527" spans="2:42" ht="15" x14ac:dyDescent="0.25">
      <c r="B527" s="15">
        <v>525</v>
      </c>
      <c r="D527" s="17">
        <f t="shared" si="24"/>
        <v>0</v>
      </c>
      <c r="F527" s="25"/>
      <c r="G527" s="25"/>
      <c r="H527" s="40"/>
      <c r="I527" s="25"/>
      <c r="J527" s="26"/>
      <c r="K527" s="27"/>
      <c r="L527" s="28"/>
      <c r="M527" s="28"/>
      <c r="N527" s="28"/>
      <c r="P527" s="29"/>
      <c r="Q527" s="35"/>
      <c r="R527" s="13"/>
      <c r="S527" s="42"/>
      <c r="T527" s="42"/>
      <c r="U527" s="31"/>
      <c r="X527" s="32"/>
      <c r="Y527" s="28"/>
      <c r="Z527" s="28"/>
      <c r="AA527" s="33"/>
      <c r="AB527" s="13"/>
      <c r="AC527" s="34" t="str">
        <f t="shared" si="25"/>
        <v/>
      </c>
      <c r="AP527" s="57"/>
    </row>
    <row r="528" spans="2:42" ht="15" x14ac:dyDescent="0.25">
      <c r="B528" s="15">
        <v>526</v>
      </c>
      <c r="D528" s="17">
        <f t="shared" si="24"/>
        <v>0</v>
      </c>
      <c r="H528" s="40"/>
      <c r="I528" s="25"/>
      <c r="J528" s="26"/>
      <c r="K528" s="27"/>
      <c r="L528" s="28"/>
      <c r="M528" s="28"/>
      <c r="N528" s="28"/>
      <c r="Q528" s="35"/>
      <c r="R528" s="13"/>
      <c r="S528" s="42"/>
      <c r="T528" s="42"/>
      <c r="U528" s="31"/>
      <c r="X528" s="32"/>
      <c r="Y528" s="28"/>
      <c r="Z528" s="28"/>
      <c r="AA528" s="33"/>
      <c r="AB528" s="13"/>
      <c r="AC528" s="34" t="str">
        <f t="shared" si="25"/>
        <v/>
      </c>
      <c r="AP528" s="57"/>
    </row>
    <row r="529" spans="2:42" ht="15" x14ac:dyDescent="0.25">
      <c r="B529" s="15">
        <v>527</v>
      </c>
      <c r="D529" s="17">
        <f t="shared" si="24"/>
        <v>0</v>
      </c>
      <c r="H529" s="40"/>
      <c r="I529" s="25"/>
      <c r="J529" s="26"/>
      <c r="K529" s="27"/>
      <c r="L529" s="28"/>
      <c r="M529" s="28"/>
      <c r="N529" s="28"/>
      <c r="Q529" s="35"/>
      <c r="R529" s="13"/>
      <c r="S529" s="42"/>
      <c r="T529" s="42"/>
      <c r="U529" s="31"/>
      <c r="X529" s="32"/>
      <c r="Y529" s="28"/>
      <c r="Z529" s="28"/>
      <c r="AA529" s="33"/>
      <c r="AB529" s="13"/>
      <c r="AC529" s="34" t="str">
        <f t="shared" si="25"/>
        <v/>
      </c>
      <c r="AP529" s="57"/>
    </row>
    <row r="530" spans="2:42" ht="15" x14ac:dyDescent="0.25">
      <c r="B530" s="15">
        <v>528</v>
      </c>
      <c r="D530" s="17">
        <f t="shared" si="24"/>
        <v>0</v>
      </c>
      <c r="H530" s="40"/>
      <c r="I530" s="25"/>
      <c r="J530" s="26"/>
      <c r="K530" s="27"/>
      <c r="L530" s="28"/>
      <c r="M530" s="28"/>
      <c r="N530" s="28"/>
      <c r="Q530" s="35"/>
      <c r="R530" s="13"/>
      <c r="S530" s="42"/>
      <c r="T530" s="42"/>
      <c r="U530" s="31"/>
      <c r="X530" s="32"/>
      <c r="Y530" s="28"/>
      <c r="Z530" s="28"/>
      <c r="AA530" s="33"/>
      <c r="AB530" s="13"/>
      <c r="AC530" s="34" t="str">
        <f t="shared" si="25"/>
        <v/>
      </c>
      <c r="AP530" s="57"/>
    </row>
    <row r="531" spans="2:42" ht="15" x14ac:dyDescent="0.25">
      <c r="B531" s="15">
        <v>529</v>
      </c>
      <c r="D531" s="17">
        <f t="shared" si="24"/>
        <v>0</v>
      </c>
      <c r="H531" s="40"/>
      <c r="I531" s="25"/>
      <c r="J531" s="26"/>
      <c r="K531" s="27"/>
      <c r="L531" s="28"/>
      <c r="M531" s="28"/>
      <c r="N531" s="28"/>
      <c r="Q531" s="35"/>
      <c r="R531" s="13"/>
      <c r="S531" s="42"/>
      <c r="T531" s="42"/>
      <c r="U531" s="31"/>
      <c r="X531" s="32"/>
      <c r="Y531" s="28"/>
      <c r="Z531" s="28"/>
      <c r="AA531" s="33"/>
      <c r="AB531" s="13"/>
      <c r="AC531" s="34" t="str">
        <f t="shared" si="25"/>
        <v/>
      </c>
      <c r="AP531" s="57"/>
    </row>
    <row r="532" spans="2:42" ht="15" x14ac:dyDescent="0.25">
      <c r="B532" s="15">
        <v>530</v>
      </c>
      <c r="D532" s="17">
        <f t="shared" si="24"/>
        <v>0</v>
      </c>
      <c r="H532" s="40"/>
      <c r="J532" s="26"/>
      <c r="K532" s="27"/>
      <c r="L532" s="28"/>
      <c r="M532" s="28"/>
      <c r="N532" s="28"/>
      <c r="Q532" s="35"/>
      <c r="R532" s="13"/>
      <c r="S532" s="42"/>
      <c r="T532" s="42"/>
      <c r="U532" s="31"/>
      <c r="X532" s="32"/>
      <c r="Y532" s="28"/>
      <c r="Z532" s="28"/>
      <c r="AA532" s="33"/>
      <c r="AB532" s="13"/>
      <c r="AC532" s="34" t="str">
        <f t="shared" si="25"/>
        <v/>
      </c>
      <c r="AP532" s="57"/>
    </row>
    <row r="533" spans="2:42" ht="15" x14ac:dyDescent="0.25">
      <c r="B533" s="15">
        <v>531</v>
      </c>
      <c r="D533" s="17">
        <f t="shared" si="24"/>
        <v>0</v>
      </c>
      <c r="H533" s="40"/>
      <c r="I533" s="25"/>
      <c r="J533" s="26"/>
      <c r="K533" s="27"/>
      <c r="L533" s="28"/>
      <c r="M533" s="28"/>
      <c r="N533" s="28"/>
      <c r="Q533" s="35"/>
      <c r="R533" s="13"/>
      <c r="S533" s="42"/>
      <c r="T533" s="42"/>
      <c r="U533" s="31"/>
      <c r="X533" s="32"/>
      <c r="Y533" s="28"/>
      <c r="Z533" s="28"/>
      <c r="AA533" s="33"/>
      <c r="AB533" s="13"/>
      <c r="AC533" s="34" t="str">
        <f t="shared" si="25"/>
        <v/>
      </c>
      <c r="AP533" s="57"/>
    </row>
    <row r="534" spans="2:42" ht="15" x14ac:dyDescent="0.25">
      <c r="B534" s="15">
        <v>532</v>
      </c>
      <c r="D534" s="17">
        <f t="shared" si="24"/>
        <v>0</v>
      </c>
      <c r="H534" s="40"/>
      <c r="I534" s="25"/>
      <c r="J534" s="26"/>
      <c r="K534" s="27"/>
      <c r="L534" s="28"/>
      <c r="M534" s="28"/>
      <c r="N534" s="28"/>
      <c r="Q534" s="35"/>
      <c r="R534" s="13"/>
      <c r="S534" s="42"/>
      <c r="T534" s="42"/>
      <c r="U534" s="31"/>
      <c r="X534" s="32"/>
      <c r="Y534" s="28"/>
      <c r="Z534" s="28"/>
      <c r="AA534" s="33"/>
      <c r="AB534" s="13"/>
      <c r="AC534" s="34" t="str">
        <f t="shared" si="25"/>
        <v/>
      </c>
      <c r="AP534" s="57"/>
    </row>
    <row r="535" spans="2:42" ht="15" x14ac:dyDescent="0.25">
      <c r="B535" s="15">
        <v>533</v>
      </c>
      <c r="D535" s="17">
        <f t="shared" si="24"/>
        <v>0</v>
      </c>
      <c r="H535" s="40"/>
      <c r="I535" s="25"/>
      <c r="J535" s="26"/>
      <c r="K535" s="27"/>
      <c r="L535" s="28"/>
      <c r="M535" s="28"/>
      <c r="N535" s="28"/>
      <c r="P535" s="29"/>
      <c r="Q535" s="35"/>
      <c r="R535" s="13"/>
      <c r="S535" s="42"/>
      <c r="T535" s="42"/>
      <c r="U535" s="31"/>
      <c r="X535" s="32"/>
      <c r="Y535" s="28"/>
      <c r="Z535" s="28"/>
      <c r="AA535" s="33"/>
      <c r="AB535" s="13"/>
      <c r="AC535" s="34" t="str">
        <f t="shared" si="25"/>
        <v/>
      </c>
      <c r="AP535" s="57"/>
    </row>
    <row r="536" spans="2:42" ht="15" x14ac:dyDescent="0.25">
      <c r="B536" s="15">
        <v>534</v>
      </c>
      <c r="D536" s="17">
        <f t="shared" si="24"/>
        <v>0</v>
      </c>
      <c r="F536" s="25"/>
      <c r="G536" s="25"/>
      <c r="H536" s="40"/>
      <c r="I536" s="25"/>
      <c r="J536" s="26"/>
      <c r="K536" s="27"/>
      <c r="L536" s="28"/>
      <c r="M536" s="28"/>
      <c r="N536" s="28"/>
      <c r="P536" s="29"/>
      <c r="Q536" s="35"/>
      <c r="R536" s="13"/>
      <c r="S536" s="42"/>
      <c r="T536" s="42"/>
      <c r="U536" s="31"/>
      <c r="X536" s="32"/>
      <c r="Y536" s="28"/>
      <c r="Z536" s="28"/>
      <c r="AA536" s="33"/>
      <c r="AB536" s="13"/>
      <c r="AC536" s="34" t="str">
        <f t="shared" si="25"/>
        <v/>
      </c>
      <c r="AP536" s="57"/>
    </row>
    <row r="537" spans="2:42" ht="15" x14ac:dyDescent="0.25">
      <c r="B537" s="15">
        <v>535</v>
      </c>
      <c r="D537" s="17">
        <f t="shared" si="24"/>
        <v>0</v>
      </c>
      <c r="H537" s="40"/>
      <c r="I537" s="25"/>
      <c r="J537" s="26"/>
      <c r="K537" s="27"/>
      <c r="L537" s="28"/>
      <c r="M537" s="28"/>
      <c r="N537" s="28"/>
      <c r="Q537" s="35"/>
      <c r="R537" s="13"/>
      <c r="S537" s="42"/>
      <c r="T537" s="42"/>
      <c r="U537" s="31"/>
      <c r="X537" s="32"/>
      <c r="Y537" s="28"/>
      <c r="Z537" s="28"/>
      <c r="AA537" s="33"/>
      <c r="AB537" s="13"/>
      <c r="AC537" s="34" t="str">
        <f t="shared" si="25"/>
        <v/>
      </c>
      <c r="AP537" s="57"/>
    </row>
    <row r="538" spans="2:42" ht="15" x14ac:dyDescent="0.25">
      <c r="B538" s="15">
        <v>536</v>
      </c>
      <c r="D538" s="17">
        <f t="shared" si="24"/>
        <v>0</v>
      </c>
      <c r="H538" s="40"/>
      <c r="I538" s="25"/>
      <c r="J538" s="26"/>
      <c r="K538" s="27"/>
      <c r="L538" s="28"/>
      <c r="M538" s="28"/>
      <c r="N538" s="28"/>
      <c r="Q538" s="35"/>
      <c r="R538" s="13"/>
      <c r="S538" s="42"/>
      <c r="T538" s="42"/>
      <c r="U538" s="31"/>
      <c r="X538" s="32"/>
      <c r="Y538" s="28"/>
      <c r="Z538" s="28"/>
      <c r="AA538" s="33"/>
      <c r="AB538" s="13"/>
      <c r="AC538" s="34" t="str">
        <f t="shared" si="25"/>
        <v/>
      </c>
      <c r="AP538" s="57"/>
    </row>
    <row r="539" spans="2:42" ht="15" x14ac:dyDescent="0.25">
      <c r="B539" s="15">
        <v>537</v>
      </c>
      <c r="D539" s="17">
        <f t="shared" si="24"/>
        <v>0</v>
      </c>
      <c r="H539" s="40"/>
      <c r="I539" s="25"/>
      <c r="J539" s="26"/>
      <c r="K539" s="27"/>
      <c r="L539" s="28"/>
      <c r="M539" s="28"/>
      <c r="N539" s="28"/>
      <c r="Q539" s="35"/>
      <c r="R539" s="13"/>
      <c r="S539" s="42"/>
      <c r="T539" s="42"/>
      <c r="U539" s="31"/>
      <c r="X539" s="32"/>
      <c r="Y539" s="28"/>
      <c r="Z539" s="28"/>
      <c r="AA539" s="33"/>
      <c r="AB539" s="13"/>
      <c r="AC539" s="34" t="str">
        <f t="shared" si="25"/>
        <v/>
      </c>
      <c r="AP539" s="57"/>
    </row>
    <row r="540" spans="2:42" ht="15" x14ac:dyDescent="0.25">
      <c r="B540" s="15">
        <v>538</v>
      </c>
      <c r="D540" s="17">
        <f t="shared" si="24"/>
        <v>0</v>
      </c>
      <c r="H540" s="40"/>
      <c r="I540" s="25"/>
      <c r="J540" s="26"/>
      <c r="K540" s="27"/>
      <c r="L540" s="28"/>
      <c r="M540" s="28"/>
      <c r="N540" s="28"/>
      <c r="Q540" s="35"/>
      <c r="R540" s="13"/>
      <c r="S540" s="42"/>
      <c r="T540" s="42"/>
      <c r="U540" s="31"/>
      <c r="X540" s="32"/>
      <c r="Y540" s="28"/>
      <c r="Z540" s="28"/>
      <c r="AA540" s="33"/>
      <c r="AB540" s="13"/>
      <c r="AC540" s="34" t="str">
        <f t="shared" si="25"/>
        <v/>
      </c>
      <c r="AP540" s="57"/>
    </row>
    <row r="541" spans="2:42" ht="15" x14ac:dyDescent="0.25">
      <c r="B541" s="15">
        <v>539</v>
      </c>
      <c r="D541" s="17">
        <f t="shared" si="24"/>
        <v>0</v>
      </c>
      <c r="H541" s="40"/>
      <c r="I541" s="25"/>
      <c r="J541" s="26"/>
      <c r="K541" s="27"/>
      <c r="L541" s="28"/>
      <c r="M541" s="28"/>
      <c r="N541" s="28"/>
      <c r="Q541" s="35"/>
      <c r="R541" s="13"/>
      <c r="S541" s="42"/>
      <c r="T541" s="42"/>
      <c r="U541" s="31"/>
      <c r="X541" s="32"/>
      <c r="Y541" s="28"/>
      <c r="Z541" s="28"/>
      <c r="AA541" s="33"/>
      <c r="AB541" s="13"/>
      <c r="AC541" s="34" t="str">
        <f t="shared" si="25"/>
        <v/>
      </c>
      <c r="AP541" s="57"/>
    </row>
    <row r="542" spans="2:42" ht="15" x14ac:dyDescent="0.25">
      <c r="B542" s="15">
        <v>540</v>
      </c>
      <c r="D542" s="17">
        <f t="shared" si="24"/>
        <v>0</v>
      </c>
      <c r="H542" s="40"/>
      <c r="I542" s="25"/>
      <c r="J542" s="26"/>
      <c r="K542" s="27"/>
      <c r="L542" s="28"/>
      <c r="M542" s="28"/>
      <c r="N542" s="28"/>
      <c r="Q542" s="35"/>
      <c r="R542" s="13"/>
      <c r="S542" s="42"/>
      <c r="T542" s="42"/>
      <c r="U542" s="31"/>
      <c r="X542" s="32"/>
      <c r="Y542" s="28"/>
      <c r="Z542" s="28"/>
      <c r="AA542" s="33"/>
      <c r="AB542" s="13"/>
      <c r="AC542" s="34" t="str">
        <f t="shared" si="25"/>
        <v/>
      </c>
      <c r="AP542" s="57"/>
    </row>
    <row r="543" spans="2:42" ht="15" x14ac:dyDescent="0.25">
      <c r="B543" s="15">
        <v>541</v>
      </c>
      <c r="D543" s="17">
        <f t="shared" si="24"/>
        <v>0</v>
      </c>
      <c r="H543" s="40"/>
      <c r="I543" s="25"/>
      <c r="J543" s="26"/>
      <c r="K543" s="27"/>
      <c r="L543" s="28"/>
      <c r="M543" s="28"/>
      <c r="N543" s="28"/>
      <c r="Q543" s="35"/>
      <c r="R543" s="13"/>
      <c r="S543" s="42"/>
      <c r="T543" s="42"/>
      <c r="U543" s="31"/>
      <c r="X543" s="32"/>
      <c r="Y543" s="28"/>
      <c r="Z543" s="28"/>
      <c r="AA543" s="33"/>
      <c r="AB543" s="13"/>
      <c r="AC543" s="34" t="str">
        <f t="shared" si="25"/>
        <v/>
      </c>
      <c r="AP543" s="57"/>
    </row>
    <row r="544" spans="2:42" ht="15" x14ac:dyDescent="0.25">
      <c r="B544" s="15">
        <v>542</v>
      </c>
      <c r="D544" s="17">
        <f t="shared" si="24"/>
        <v>0</v>
      </c>
      <c r="H544" s="40"/>
      <c r="I544" s="25"/>
      <c r="J544" s="26"/>
      <c r="K544" s="27"/>
      <c r="L544" s="28"/>
      <c r="M544" s="28"/>
      <c r="N544" s="28"/>
      <c r="Q544" s="35"/>
      <c r="R544" s="13"/>
      <c r="S544" s="42"/>
      <c r="T544" s="42"/>
      <c r="U544" s="31"/>
      <c r="X544" s="32"/>
      <c r="Y544" s="28"/>
      <c r="Z544" s="28"/>
      <c r="AA544" s="33"/>
      <c r="AB544" s="13"/>
      <c r="AC544" s="34" t="str">
        <f t="shared" si="25"/>
        <v/>
      </c>
      <c r="AP544" s="57"/>
    </row>
    <row r="545" spans="2:42" ht="15" x14ac:dyDescent="0.25">
      <c r="B545" s="15">
        <v>543</v>
      </c>
      <c r="D545" s="17">
        <f t="shared" si="24"/>
        <v>0</v>
      </c>
      <c r="H545" s="40"/>
      <c r="J545" s="26"/>
      <c r="K545" s="27"/>
      <c r="L545" s="28"/>
      <c r="M545" s="28"/>
      <c r="N545" s="28"/>
      <c r="Q545" s="35"/>
      <c r="R545" s="13"/>
      <c r="S545" s="42"/>
      <c r="T545" s="42"/>
      <c r="U545" s="31"/>
      <c r="X545" s="32"/>
      <c r="Y545" s="28"/>
      <c r="Z545" s="28"/>
      <c r="AA545" s="33"/>
      <c r="AB545" s="13"/>
      <c r="AC545" s="34" t="str">
        <f t="shared" si="25"/>
        <v/>
      </c>
      <c r="AP545" s="57"/>
    </row>
    <row r="546" spans="2:42" ht="15" x14ac:dyDescent="0.25">
      <c r="B546" s="15">
        <v>544</v>
      </c>
      <c r="D546" s="17">
        <f t="shared" si="24"/>
        <v>0</v>
      </c>
      <c r="H546" s="40"/>
      <c r="J546" s="26"/>
      <c r="K546" s="27"/>
      <c r="L546" s="28"/>
      <c r="M546" s="28"/>
      <c r="N546" s="28"/>
      <c r="Q546" s="35"/>
      <c r="R546" s="13"/>
      <c r="S546" s="42"/>
      <c r="T546" s="42"/>
      <c r="U546" s="31"/>
      <c r="X546" s="32"/>
      <c r="Y546" s="28"/>
      <c r="Z546" s="28"/>
      <c r="AA546" s="33"/>
      <c r="AB546" s="13"/>
      <c r="AC546" s="34" t="str">
        <f t="shared" si="25"/>
        <v/>
      </c>
      <c r="AP546" s="57"/>
    </row>
    <row r="547" spans="2:42" ht="15" x14ac:dyDescent="0.25">
      <c r="B547" s="15">
        <v>545</v>
      </c>
      <c r="D547" s="17">
        <f t="shared" si="24"/>
        <v>0</v>
      </c>
      <c r="H547" s="40"/>
      <c r="J547" s="26"/>
      <c r="K547" s="27"/>
      <c r="L547" s="28"/>
      <c r="M547" s="28"/>
      <c r="N547" s="28"/>
      <c r="Q547" s="35"/>
      <c r="R547" s="13"/>
      <c r="S547" s="42"/>
      <c r="T547" s="42"/>
      <c r="U547" s="31"/>
      <c r="X547" s="32"/>
      <c r="Y547" s="28"/>
      <c r="Z547" s="28"/>
      <c r="AA547" s="33"/>
      <c r="AB547" s="13"/>
      <c r="AC547" s="34" t="str">
        <f t="shared" si="25"/>
        <v/>
      </c>
      <c r="AP547" s="57"/>
    </row>
    <row r="548" spans="2:42" ht="15" x14ac:dyDescent="0.25">
      <c r="B548" s="15">
        <v>546</v>
      </c>
      <c r="D548" s="17">
        <f t="shared" si="24"/>
        <v>0</v>
      </c>
      <c r="H548" s="40"/>
      <c r="I548" s="25"/>
      <c r="J548" s="26"/>
      <c r="K548" s="27"/>
      <c r="L548" s="28"/>
      <c r="M548" s="28"/>
      <c r="N548" s="28"/>
      <c r="Q548" s="35"/>
      <c r="R548" s="13"/>
      <c r="S548" s="42"/>
      <c r="T548" s="42"/>
      <c r="U548" s="31"/>
      <c r="X548" s="32"/>
      <c r="Y548" s="28"/>
      <c r="Z548" s="28"/>
      <c r="AA548" s="33"/>
      <c r="AB548" s="13"/>
      <c r="AC548" s="34" t="str">
        <f t="shared" si="25"/>
        <v/>
      </c>
      <c r="AP548" s="57"/>
    </row>
    <row r="549" spans="2:42" ht="15" x14ac:dyDescent="0.25">
      <c r="B549" s="15">
        <v>547</v>
      </c>
      <c r="D549" s="17">
        <f t="shared" si="24"/>
        <v>0</v>
      </c>
      <c r="H549" s="40"/>
      <c r="I549" s="25"/>
      <c r="J549" s="26"/>
      <c r="K549" s="27"/>
      <c r="L549" s="28"/>
      <c r="M549" s="28"/>
      <c r="N549" s="28"/>
      <c r="Q549" s="35"/>
      <c r="R549" s="13"/>
      <c r="S549" s="42"/>
      <c r="T549" s="42"/>
      <c r="U549" s="31"/>
      <c r="X549" s="32"/>
      <c r="Y549" s="28"/>
      <c r="Z549" s="28"/>
      <c r="AA549" s="33"/>
      <c r="AB549" s="13"/>
      <c r="AC549" s="34" t="str">
        <f t="shared" si="25"/>
        <v/>
      </c>
      <c r="AP549" s="57"/>
    </row>
    <row r="550" spans="2:42" ht="15" x14ac:dyDescent="0.25">
      <c r="B550" s="15">
        <v>548</v>
      </c>
      <c r="D550" s="17">
        <f t="shared" si="24"/>
        <v>0</v>
      </c>
      <c r="H550" s="40"/>
      <c r="I550" s="25"/>
      <c r="J550" s="26"/>
      <c r="K550" s="27"/>
      <c r="L550" s="28"/>
      <c r="M550" s="28"/>
      <c r="N550" s="28"/>
      <c r="Q550" s="35"/>
      <c r="R550" s="13"/>
      <c r="S550" s="42"/>
      <c r="T550" s="42"/>
      <c r="U550" s="31"/>
      <c r="X550" s="32"/>
      <c r="Y550" s="28"/>
      <c r="Z550" s="28"/>
      <c r="AA550" s="33"/>
      <c r="AB550" s="13"/>
      <c r="AC550" s="34" t="str">
        <f t="shared" si="25"/>
        <v/>
      </c>
      <c r="AP550" s="57"/>
    </row>
    <row r="551" spans="2:42" ht="15" x14ac:dyDescent="0.25">
      <c r="B551" s="15">
        <v>549</v>
      </c>
      <c r="D551" s="17">
        <f t="shared" si="24"/>
        <v>0</v>
      </c>
      <c r="H551" s="40"/>
      <c r="I551" s="25"/>
      <c r="J551" s="26"/>
      <c r="K551" s="27"/>
      <c r="L551" s="28"/>
      <c r="M551" s="28"/>
      <c r="N551" s="28"/>
      <c r="Q551" s="35"/>
      <c r="R551" s="13"/>
      <c r="S551" s="42"/>
      <c r="T551" s="42"/>
      <c r="U551" s="31"/>
      <c r="X551" s="32"/>
      <c r="Y551" s="28"/>
      <c r="Z551" s="28"/>
      <c r="AA551" s="33"/>
      <c r="AB551" s="13"/>
      <c r="AC551" s="34" t="str">
        <f t="shared" si="25"/>
        <v/>
      </c>
      <c r="AP551" s="57"/>
    </row>
    <row r="552" spans="2:42" ht="15" x14ac:dyDescent="0.25">
      <c r="B552" s="15">
        <v>550</v>
      </c>
      <c r="D552" s="17">
        <f t="shared" si="24"/>
        <v>0</v>
      </c>
      <c r="H552" s="40"/>
      <c r="I552" s="25"/>
      <c r="J552" s="26"/>
      <c r="K552" s="27"/>
      <c r="L552" s="28"/>
      <c r="M552" s="28"/>
      <c r="N552" s="28"/>
      <c r="Q552" s="35"/>
      <c r="R552" s="13"/>
      <c r="S552" s="42"/>
      <c r="T552" s="42"/>
      <c r="U552" s="31"/>
      <c r="X552" s="32"/>
      <c r="Y552" s="28"/>
      <c r="Z552" s="28"/>
      <c r="AA552" s="33"/>
      <c r="AB552" s="13"/>
      <c r="AC552" s="34" t="str">
        <f t="shared" si="25"/>
        <v/>
      </c>
      <c r="AP552" s="57"/>
    </row>
    <row r="553" spans="2:42" ht="15" x14ac:dyDescent="0.25">
      <c r="B553" s="15">
        <v>551</v>
      </c>
      <c r="D553" s="17">
        <f t="shared" si="24"/>
        <v>0</v>
      </c>
      <c r="H553" s="40"/>
      <c r="I553" s="25"/>
      <c r="J553" s="26"/>
      <c r="K553" s="27"/>
      <c r="L553" s="28"/>
      <c r="M553" s="28"/>
      <c r="N553" s="28"/>
      <c r="Q553" s="35"/>
      <c r="R553" s="13"/>
      <c r="S553" s="42"/>
      <c r="T553" s="42"/>
      <c r="U553" s="31"/>
      <c r="X553" s="32"/>
      <c r="Y553" s="28"/>
      <c r="Z553" s="28"/>
      <c r="AA553" s="33"/>
      <c r="AB553" s="13"/>
      <c r="AC553" s="34" t="str">
        <f t="shared" si="25"/>
        <v/>
      </c>
      <c r="AP553" s="57"/>
    </row>
    <row r="554" spans="2:42" ht="15" x14ac:dyDescent="0.25">
      <c r="B554" s="15">
        <v>552</v>
      </c>
      <c r="D554" s="17">
        <f t="shared" si="24"/>
        <v>0</v>
      </c>
      <c r="H554" s="40"/>
      <c r="I554" s="25"/>
      <c r="J554" s="26"/>
      <c r="K554" s="27"/>
      <c r="L554" s="28"/>
      <c r="M554" s="28"/>
      <c r="N554" s="28"/>
      <c r="Q554" s="35"/>
      <c r="R554" s="13"/>
      <c r="S554" s="42"/>
      <c r="T554" s="42"/>
      <c r="U554" s="31"/>
      <c r="X554" s="32"/>
      <c r="Y554" s="28"/>
      <c r="Z554" s="28"/>
      <c r="AA554" s="33"/>
      <c r="AB554" s="13"/>
      <c r="AC554" s="34" t="str">
        <f t="shared" si="25"/>
        <v/>
      </c>
      <c r="AP554" s="57"/>
    </row>
    <row r="555" spans="2:42" ht="15" x14ac:dyDescent="0.25">
      <c r="B555" s="15">
        <v>553</v>
      </c>
      <c r="D555" s="17">
        <f t="shared" si="24"/>
        <v>0</v>
      </c>
      <c r="H555" s="40"/>
      <c r="I555" s="25"/>
      <c r="J555" s="26"/>
      <c r="K555" s="27"/>
      <c r="L555" s="28"/>
      <c r="M555" s="28"/>
      <c r="N555" s="28"/>
      <c r="Q555" s="35"/>
      <c r="R555" s="13"/>
      <c r="S555" s="42"/>
      <c r="T555" s="42"/>
      <c r="U555" s="31"/>
      <c r="X555" s="32"/>
      <c r="Y555" s="28"/>
      <c r="Z555" s="28"/>
      <c r="AA555" s="33"/>
      <c r="AB555" s="13"/>
      <c r="AC555" s="34" t="str">
        <f t="shared" si="25"/>
        <v/>
      </c>
      <c r="AP555" s="57"/>
    </row>
    <row r="556" spans="2:42" ht="15" x14ac:dyDescent="0.25">
      <c r="B556" s="15">
        <v>554</v>
      </c>
      <c r="D556" s="17">
        <f t="shared" si="24"/>
        <v>0</v>
      </c>
      <c r="H556" s="40"/>
      <c r="J556" s="26"/>
      <c r="K556" s="27"/>
      <c r="L556" s="28"/>
      <c r="M556" s="28"/>
      <c r="N556" s="28"/>
      <c r="Q556" s="35"/>
      <c r="R556" s="13"/>
      <c r="S556" s="42"/>
      <c r="T556" s="42"/>
      <c r="U556" s="31"/>
      <c r="X556" s="32"/>
      <c r="Y556" s="28"/>
      <c r="Z556" s="28"/>
      <c r="AA556" s="33"/>
      <c r="AB556" s="13"/>
      <c r="AC556" s="34" t="str">
        <f t="shared" si="25"/>
        <v/>
      </c>
      <c r="AP556" s="57"/>
    </row>
    <row r="557" spans="2:42" ht="15" x14ac:dyDescent="0.25">
      <c r="B557" s="15">
        <v>555</v>
      </c>
      <c r="D557" s="17">
        <f t="shared" si="24"/>
        <v>0</v>
      </c>
      <c r="F557" s="25"/>
      <c r="G557" s="25"/>
      <c r="H557" s="40"/>
      <c r="I557" s="25"/>
      <c r="J557" s="26"/>
      <c r="K557" s="27"/>
      <c r="L557" s="28"/>
      <c r="M557" s="28"/>
      <c r="N557" s="28"/>
      <c r="Q557" s="35"/>
      <c r="R557" s="13"/>
      <c r="S557" s="42"/>
      <c r="T557" s="42"/>
      <c r="U557" s="31"/>
      <c r="X557" s="32"/>
      <c r="Y557" s="28"/>
      <c r="Z557" s="28"/>
      <c r="AA557" s="33"/>
      <c r="AB557" s="13"/>
      <c r="AC557" s="34" t="str">
        <f t="shared" si="25"/>
        <v/>
      </c>
      <c r="AP557" s="57"/>
    </row>
    <row r="558" spans="2:42" ht="15" x14ac:dyDescent="0.25">
      <c r="B558" s="15">
        <v>556</v>
      </c>
      <c r="D558" s="17">
        <f t="shared" si="24"/>
        <v>0</v>
      </c>
      <c r="H558" s="40"/>
      <c r="I558" s="25"/>
      <c r="J558" s="26"/>
      <c r="K558" s="27"/>
      <c r="L558" s="28"/>
      <c r="M558" s="28"/>
      <c r="N558" s="28"/>
      <c r="Q558" s="35"/>
      <c r="R558" s="13"/>
      <c r="S558" s="42"/>
      <c r="T558" s="42"/>
      <c r="U558" s="31"/>
      <c r="X558" s="32"/>
      <c r="Y558" s="28"/>
      <c r="Z558" s="28"/>
      <c r="AA558" s="33"/>
      <c r="AB558" s="13"/>
      <c r="AC558" s="34" t="str">
        <f t="shared" si="25"/>
        <v/>
      </c>
      <c r="AP558" s="57"/>
    </row>
    <row r="559" spans="2:42" ht="15" x14ac:dyDescent="0.25">
      <c r="B559" s="15">
        <v>557</v>
      </c>
      <c r="D559" s="17">
        <f t="shared" si="24"/>
        <v>0</v>
      </c>
      <c r="H559" s="40"/>
      <c r="I559" s="25"/>
      <c r="J559" s="26"/>
      <c r="K559" s="27"/>
      <c r="L559" s="28"/>
      <c r="M559" s="28"/>
      <c r="N559" s="28"/>
      <c r="Q559" s="35"/>
      <c r="R559" s="13"/>
      <c r="S559" s="42"/>
      <c r="T559" s="42"/>
      <c r="U559" s="31"/>
      <c r="X559" s="32"/>
      <c r="Y559" s="28"/>
      <c r="Z559" s="28"/>
      <c r="AA559" s="33"/>
      <c r="AB559" s="13"/>
      <c r="AC559" s="34" t="str">
        <f t="shared" si="25"/>
        <v/>
      </c>
      <c r="AP559" s="57"/>
    </row>
    <row r="560" spans="2:42" ht="15" x14ac:dyDescent="0.25">
      <c r="B560" s="15">
        <v>558</v>
      </c>
      <c r="D560" s="17">
        <f t="shared" si="24"/>
        <v>0</v>
      </c>
      <c r="H560" s="40"/>
      <c r="J560" s="26"/>
      <c r="K560" s="27"/>
      <c r="L560" s="28"/>
      <c r="M560" s="28"/>
      <c r="N560" s="28"/>
      <c r="Q560" s="35"/>
      <c r="R560" s="13"/>
      <c r="S560" s="42"/>
      <c r="T560" s="42"/>
      <c r="U560" s="31"/>
      <c r="X560" s="32"/>
      <c r="Y560" s="28"/>
      <c r="Z560" s="28"/>
      <c r="AA560" s="33"/>
      <c r="AB560" s="13"/>
      <c r="AC560" s="34" t="str">
        <f t="shared" si="25"/>
        <v/>
      </c>
      <c r="AP560" s="57"/>
    </row>
    <row r="561" spans="2:42" ht="15" x14ac:dyDescent="0.25">
      <c r="B561" s="15">
        <v>559</v>
      </c>
      <c r="D561" s="17">
        <f t="shared" ref="D561:D624" si="26">_xlfn.NUMBERVALUE(+LEFT(C561,11))</f>
        <v>0</v>
      </c>
      <c r="F561" s="25"/>
      <c r="G561" s="25"/>
      <c r="H561" s="40"/>
      <c r="I561" s="25"/>
      <c r="J561" s="26"/>
      <c r="K561" s="27"/>
      <c r="L561" s="28"/>
      <c r="M561" s="28"/>
      <c r="N561" s="28"/>
      <c r="Q561" s="35"/>
      <c r="R561" s="13"/>
      <c r="S561" s="42"/>
      <c r="T561" s="42"/>
      <c r="U561" s="31"/>
      <c r="X561" s="32"/>
      <c r="Y561" s="28"/>
      <c r="Z561" s="28"/>
      <c r="AA561" s="33"/>
      <c r="AB561" s="13"/>
      <c r="AC561" s="34" t="str">
        <f t="shared" si="25"/>
        <v/>
      </c>
      <c r="AP561" s="57"/>
    </row>
    <row r="562" spans="2:42" ht="15" x14ac:dyDescent="0.25">
      <c r="B562" s="15">
        <v>560</v>
      </c>
      <c r="D562" s="17">
        <f t="shared" si="26"/>
        <v>0</v>
      </c>
      <c r="H562" s="40"/>
      <c r="I562" s="25"/>
      <c r="J562" s="26"/>
      <c r="K562" s="27"/>
      <c r="L562" s="28"/>
      <c r="M562" s="28"/>
      <c r="N562" s="28"/>
      <c r="Q562" s="35"/>
      <c r="R562" s="13"/>
      <c r="S562" s="42"/>
      <c r="T562" s="42"/>
      <c r="U562" s="31"/>
      <c r="X562" s="32"/>
      <c r="Y562" s="28"/>
      <c r="Z562" s="28"/>
      <c r="AA562" s="33"/>
      <c r="AB562" s="13"/>
      <c r="AC562" s="34" t="str">
        <f t="shared" si="25"/>
        <v/>
      </c>
      <c r="AP562" s="57"/>
    </row>
    <row r="563" spans="2:42" ht="15" x14ac:dyDescent="0.25">
      <c r="B563" s="15">
        <v>561</v>
      </c>
      <c r="D563" s="17">
        <f t="shared" si="26"/>
        <v>0</v>
      </c>
      <c r="H563" s="40"/>
      <c r="I563" s="25"/>
      <c r="J563" s="26"/>
      <c r="K563" s="27"/>
      <c r="L563" s="28"/>
      <c r="M563" s="28"/>
      <c r="N563" s="28"/>
      <c r="Q563" s="35"/>
      <c r="R563" s="13"/>
      <c r="S563" s="42"/>
      <c r="T563" s="42"/>
      <c r="U563" s="31"/>
      <c r="X563" s="32"/>
      <c r="Y563" s="28"/>
      <c r="Z563" s="28"/>
      <c r="AA563" s="33"/>
      <c r="AB563" s="13"/>
      <c r="AC563" s="34" t="str">
        <f t="shared" si="25"/>
        <v/>
      </c>
      <c r="AP563" s="57"/>
    </row>
    <row r="564" spans="2:42" ht="15" x14ac:dyDescent="0.25">
      <c r="B564" s="15">
        <v>562</v>
      </c>
      <c r="D564" s="17">
        <f t="shared" si="26"/>
        <v>0</v>
      </c>
      <c r="H564" s="40"/>
      <c r="I564" s="25"/>
      <c r="J564" s="26"/>
      <c r="K564" s="27"/>
      <c r="L564" s="28"/>
      <c r="M564" s="28"/>
      <c r="N564" s="28"/>
      <c r="Q564" s="35"/>
      <c r="R564" s="13"/>
      <c r="S564" s="42"/>
      <c r="T564" s="42"/>
      <c r="U564" s="31"/>
      <c r="X564" s="32"/>
      <c r="Y564" s="28"/>
      <c r="Z564" s="28"/>
      <c r="AA564" s="33"/>
      <c r="AB564" s="13"/>
      <c r="AC564" s="34" t="str">
        <f t="shared" si="25"/>
        <v/>
      </c>
      <c r="AP564" s="57"/>
    </row>
    <row r="565" spans="2:42" ht="15" x14ac:dyDescent="0.25">
      <c r="B565" s="15">
        <v>563</v>
      </c>
      <c r="D565" s="17">
        <f t="shared" si="26"/>
        <v>0</v>
      </c>
      <c r="H565" s="40"/>
      <c r="J565" s="26"/>
      <c r="K565" s="27"/>
      <c r="L565" s="28"/>
      <c r="M565" s="28"/>
      <c r="N565" s="28"/>
      <c r="Q565" s="35"/>
      <c r="R565" s="13"/>
      <c r="S565" s="42"/>
      <c r="T565" s="42"/>
      <c r="U565" s="31"/>
      <c r="X565" s="32"/>
      <c r="Y565" s="28"/>
      <c r="Z565" s="28"/>
      <c r="AA565" s="33"/>
      <c r="AB565" s="13"/>
      <c r="AC565" s="34" t="str">
        <f t="shared" si="25"/>
        <v/>
      </c>
      <c r="AP565" s="57"/>
    </row>
    <row r="566" spans="2:42" ht="15" x14ac:dyDescent="0.25">
      <c r="B566" s="15">
        <v>564</v>
      </c>
      <c r="D566" s="17">
        <f t="shared" si="26"/>
        <v>0</v>
      </c>
      <c r="F566" s="25"/>
      <c r="G566" s="25"/>
      <c r="H566" s="40"/>
      <c r="I566" s="25"/>
      <c r="J566" s="26"/>
      <c r="K566" s="27"/>
      <c r="L566" s="28"/>
      <c r="M566" s="28"/>
      <c r="N566" s="28"/>
      <c r="Q566" s="35"/>
      <c r="R566" s="13"/>
      <c r="S566" s="42"/>
      <c r="T566" s="42"/>
      <c r="U566" s="31"/>
      <c r="X566" s="32"/>
      <c r="Y566" s="28"/>
      <c r="Z566" s="28"/>
      <c r="AA566" s="33"/>
      <c r="AB566" s="13"/>
      <c r="AC566" s="34" t="str">
        <f t="shared" si="25"/>
        <v/>
      </c>
      <c r="AP566" s="57"/>
    </row>
    <row r="567" spans="2:42" ht="15" x14ac:dyDescent="0.25">
      <c r="B567" s="15">
        <v>565</v>
      </c>
      <c r="D567" s="17">
        <f t="shared" si="26"/>
        <v>0</v>
      </c>
      <c r="H567" s="40"/>
      <c r="I567" s="25"/>
      <c r="J567" s="26"/>
      <c r="K567" s="27"/>
      <c r="L567" s="28"/>
      <c r="M567" s="28"/>
      <c r="N567" s="28"/>
      <c r="Q567" s="35"/>
      <c r="R567" s="13"/>
      <c r="S567" s="42"/>
      <c r="T567" s="42"/>
      <c r="U567" s="31"/>
      <c r="X567" s="32"/>
      <c r="Y567" s="28"/>
      <c r="Z567" s="28"/>
      <c r="AA567" s="33"/>
      <c r="AB567" s="13"/>
      <c r="AC567" s="34" t="str">
        <f t="shared" si="25"/>
        <v/>
      </c>
      <c r="AP567" s="57"/>
    </row>
    <row r="568" spans="2:42" ht="15" x14ac:dyDescent="0.25">
      <c r="B568" s="15">
        <v>566</v>
      </c>
      <c r="D568" s="17">
        <f t="shared" si="26"/>
        <v>0</v>
      </c>
      <c r="H568" s="40"/>
      <c r="I568" s="25"/>
      <c r="J568" s="26"/>
      <c r="K568" s="27"/>
      <c r="L568" s="28"/>
      <c r="M568" s="28"/>
      <c r="N568" s="28"/>
      <c r="Q568" s="35"/>
      <c r="R568" s="13"/>
      <c r="S568" s="42"/>
      <c r="T568" s="42"/>
      <c r="U568" s="31"/>
      <c r="X568" s="32"/>
      <c r="Y568" s="28"/>
      <c r="Z568" s="28"/>
      <c r="AA568" s="33"/>
      <c r="AB568" s="13"/>
      <c r="AC568" s="34" t="str">
        <f t="shared" si="25"/>
        <v/>
      </c>
      <c r="AP568" s="57"/>
    </row>
    <row r="569" spans="2:42" ht="15" x14ac:dyDescent="0.25">
      <c r="B569" s="15">
        <v>567</v>
      </c>
      <c r="D569" s="17">
        <f t="shared" si="26"/>
        <v>0</v>
      </c>
      <c r="H569" s="40"/>
      <c r="I569" s="25"/>
      <c r="J569" s="26"/>
      <c r="K569" s="27"/>
      <c r="L569" s="28"/>
      <c r="M569" s="28"/>
      <c r="N569" s="28"/>
      <c r="Q569" s="35"/>
      <c r="R569" s="13"/>
      <c r="S569" s="42"/>
      <c r="T569" s="42"/>
      <c r="U569" s="31"/>
      <c r="X569" s="32"/>
      <c r="Y569" s="28"/>
      <c r="Z569" s="28"/>
      <c r="AA569" s="33"/>
      <c r="AB569" s="13"/>
      <c r="AC569" s="34" t="str">
        <f t="shared" si="25"/>
        <v/>
      </c>
      <c r="AP569" s="57"/>
    </row>
    <row r="570" spans="2:42" ht="15" x14ac:dyDescent="0.25">
      <c r="B570" s="15">
        <v>568</v>
      </c>
      <c r="D570" s="17">
        <f t="shared" si="26"/>
        <v>0</v>
      </c>
      <c r="H570" s="40"/>
      <c r="I570" s="25"/>
      <c r="J570" s="26"/>
      <c r="K570" s="27"/>
      <c r="L570" s="28"/>
      <c r="M570" s="28"/>
      <c r="N570" s="28"/>
      <c r="Q570" s="35"/>
      <c r="R570" s="13"/>
      <c r="S570" s="42"/>
      <c r="T570" s="42"/>
      <c r="U570" s="31"/>
      <c r="X570" s="32"/>
      <c r="Y570" s="28"/>
      <c r="Z570" s="28"/>
      <c r="AA570" s="33"/>
      <c r="AB570" s="13"/>
      <c r="AC570" s="34" t="str">
        <f t="shared" si="25"/>
        <v/>
      </c>
      <c r="AP570" s="57"/>
    </row>
    <row r="571" spans="2:42" ht="15" x14ac:dyDescent="0.25">
      <c r="B571" s="15">
        <v>569</v>
      </c>
      <c r="D571" s="17">
        <f t="shared" si="26"/>
        <v>0</v>
      </c>
      <c r="H571" s="40"/>
      <c r="I571" s="25"/>
      <c r="J571" s="26"/>
      <c r="K571" s="27"/>
      <c r="L571" s="28"/>
      <c r="M571" s="28"/>
      <c r="N571" s="28"/>
      <c r="Q571" s="35"/>
      <c r="R571" s="13"/>
      <c r="S571" s="42"/>
      <c r="T571" s="42"/>
      <c r="U571" s="31"/>
      <c r="X571" s="32"/>
      <c r="Y571" s="28"/>
      <c r="Z571" s="28"/>
      <c r="AA571" s="33"/>
      <c r="AB571" s="13"/>
      <c r="AC571" s="34" t="str">
        <f t="shared" si="25"/>
        <v/>
      </c>
      <c r="AP571" s="57"/>
    </row>
    <row r="572" spans="2:42" ht="15" x14ac:dyDescent="0.25">
      <c r="B572" s="15">
        <v>570</v>
      </c>
      <c r="D572" s="17">
        <f t="shared" si="26"/>
        <v>0</v>
      </c>
      <c r="H572" s="40"/>
      <c r="I572" s="25"/>
      <c r="J572" s="26"/>
      <c r="K572" s="27"/>
      <c r="L572" s="28"/>
      <c r="M572" s="28"/>
      <c r="N572" s="28"/>
      <c r="Q572" s="35"/>
      <c r="R572" s="13"/>
      <c r="S572" s="42"/>
      <c r="T572" s="42"/>
      <c r="U572" s="31"/>
      <c r="X572" s="32"/>
      <c r="Y572" s="28"/>
      <c r="Z572" s="28"/>
      <c r="AA572" s="33"/>
      <c r="AB572" s="13"/>
      <c r="AC572" s="34" t="str">
        <f t="shared" si="25"/>
        <v/>
      </c>
      <c r="AP572" s="57"/>
    </row>
    <row r="573" spans="2:42" ht="15" x14ac:dyDescent="0.25">
      <c r="B573" s="15">
        <v>571</v>
      </c>
      <c r="D573" s="17">
        <f t="shared" si="26"/>
        <v>0</v>
      </c>
      <c r="H573" s="40"/>
      <c r="I573" s="25"/>
      <c r="J573" s="26"/>
      <c r="K573" s="27"/>
      <c r="L573" s="28"/>
      <c r="M573" s="28"/>
      <c r="N573" s="28"/>
      <c r="Q573" s="35"/>
      <c r="R573" s="13"/>
      <c r="S573" s="42"/>
      <c r="T573" s="42"/>
      <c r="U573" s="31"/>
      <c r="X573" s="32"/>
      <c r="Y573" s="28"/>
      <c r="Z573" s="28"/>
      <c r="AA573" s="33"/>
      <c r="AB573" s="13"/>
      <c r="AC573" s="34" t="str">
        <f t="shared" si="25"/>
        <v/>
      </c>
      <c r="AP573" s="57"/>
    </row>
    <row r="574" spans="2:42" ht="15" x14ac:dyDescent="0.25">
      <c r="B574" s="15">
        <v>572</v>
      </c>
      <c r="D574" s="17">
        <f t="shared" si="26"/>
        <v>0</v>
      </c>
      <c r="H574" s="40"/>
      <c r="J574" s="26"/>
      <c r="K574" s="27"/>
      <c r="L574" s="28"/>
      <c r="M574" s="28"/>
      <c r="N574" s="28"/>
      <c r="Q574" s="35"/>
      <c r="R574" s="13"/>
      <c r="S574" s="42"/>
      <c r="T574" s="42"/>
      <c r="U574" s="31"/>
      <c r="X574" s="32"/>
      <c r="Y574" s="28"/>
      <c r="Z574" s="28"/>
      <c r="AA574" s="33"/>
      <c r="AB574" s="13"/>
      <c r="AC574" s="34" t="str">
        <f t="shared" si="25"/>
        <v/>
      </c>
      <c r="AP574" s="57"/>
    </row>
    <row r="575" spans="2:42" ht="15" x14ac:dyDescent="0.25">
      <c r="B575" s="15">
        <v>573</v>
      </c>
      <c r="D575" s="17">
        <f t="shared" si="26"/>
        <v>0</v>
      </c>
      <c r="H575" s="40"/>
      <c r="I575" s="25"/>
      <c r="J575" s="26"/>
      <c r="K575" s="27"/>
      <c r="L575" s="28"/>
      <c r="M575" s="28"/>
      <c r="N575" s="28"/>
      <c r="Q575" s="35"/>
      <c r="R575" s="13"/>
      <c r="S575" s="42"/>
      <c r="T575" s="42"/>
      <c r="U575" s="31"/>
      <c r="X575" s="32"/>
      <c r="Y575" s="28"/>
      <c r="Z575" s="28"/>
      <c r="AA575" s="33"/>
      <c r="AB575" s="13"/>
      <c r="AC575" s="34" t="str">
        <f t="shared" si="25"/>
        <v/>
      </c>
      <c r="AP575" s="57"/>
    </row>
    <row r="576" spans="2:42" ht="15" x14ac:dyDescent="0.25">
      <c r="B576" s="15">
        <v>574</v>
      </c>
      <c r="D576" s="17">
        <f t="shared" si="26"/>
        <v>0</v>
      </c>
      <c r="H576" s="40"/>
      <c r="I576" s="25"/>
      <c r="J576" s="26"/>
      <c r="K576" s="27"/>
      <c r="L576" s="28"/>
      <c r="M576" s="28"/>
      <c r="N576" s="28"/>
      <c r="Q576" s="35"/>
      <c r="R576" s="13"/>
      <c r="S576" s="42"/>
      <c r="T576" s="42"/>
      <c r="U576" s="31"/>
      <c r="X576" s="32"/>
      <c r="Y576" s="28"/>
      <c r="Z576" s="28"/>
      <c r="AA576" s="33"/>
      <c r="AB576" s="13"/>
      <c r="AC576" s="34" t="str">
        <f t="shared" si="25"/>
        <v/>
      </c>
      <c r="AP576" s="57"/>
    </row>
    <row r="577" spans="2:42" ht="15" x14ac:dyDescent="0.25">
      <c r="B577" s="15">
        <v>575</v>
      </c>
      <c r="D577" s="17">
        <f t="shared" si="26"/>
        <v>0</v>
      </c>
      <c r="H577" s="40"/>
      <c r="I577" s="25"/>
      <c r="J577" s="26"/>
      <c r="K577" s="27"/>
      <c r="L577" s="28"/>
      <c r="M577" s="28"/>
      <c r="N577" s="28"/>
      <c r="Q577" s="35"/>
      <c r="R577" s="13"/>
      <c r="S577" s="42"/>
      <c r="T577" s="42"/>
      <c r="U577" s="31"/>
      <c r="X577" s="32"/>
      <c r="Y577" s="28"/>
      <c r="Z577" s="28"/>
      <c r="AA577" s="33"/>
      <c r="AB577" s="13"/>
      <c r="AC577" s="34" t="str">
        <f t="shared" si="25"/>
        <v/>
      </c>
      <c r="AP577" s="57"/>
    </row>
    <row r="578" spans="2:42" ht="15" x14ac:dyDescent="0.25">
      <c r="B578" s="15">
        <v>576</v>
      </c>
      <c r="D578" s="17">
        <f t="shared" si="26"/>
        <v>0</v>
      </c>
      <c r="H578" s="40"/>
      <c r="I578" s="25"/>
      <c r="J578" s="26"/>
      <c r="K578" s="27"/>
      <c r="L578" s="28"/>
      <c r="M578" s="28"/>
      <c r="N578" s="28"/>
      <c r="Q578" s="35"/>
      <c r="R578" s="13"/>
      <c r="S578" s="42"/>
      <c r="T578" s="42"/>
      <c r="U578" s="31"/>
      <c r="X578" s="32"/>
      <c r="Y578" s="28"/>
      <c r="Z578" s="28"/>
      <c r="AA578" s="33"/>
      <c r="AB578" s="13"/>
      <c r="AC578" s="34" t="str">
        <f t="shared" si="25"/>
        <v/>
      </c>
      <c r="AP578" s="57"/>
    </row>
    <row r="579" spans="2:42" ht="15" x14ac:dyDescent="0.25">
      <c r="B579" s="15">
        <v>577</v>
      </c>
      <c r="D579" s="17">
        <f t="shared" si="26"/>
        <v>0</v>
      </c>
      <c r="H579" s="40"/>
      <c r="I579" s="25"/>
      <c r="J579" s="26"/>
      <c r="K579" s="27"/>
      <c r="L579" s="28"/>
      <c r="M579" s="28"/>
      <c r="N579" s="28"/>
      <c r="Q579" s="35"/>
      <c r="R579" s="13"/>
      <c r="S579" s="42"/>
      <c r="T579" s="42"/>
      <c r="U579" s="31"/>
      <c r="X579" s="32"/>
      <c r="Y579" s="28"/>
      <c r="Z579" s="28"/>
      <c r="AA579" s="33"/>
      <c r="AB579" s="13"/>
      <c r="AC579" s="34" t="str">
        <f t="shared" ref="AC579:AC642" si="27">+IF(AB579="","",R579-AB579)</f>
        <v/>
      </c>
      <c r="AP579" s="57"/>
    </row>
    <row r="580" spans="2:42" ht="15" x14ac:dyDescent="0.25">
      <c r="B580" s="15">
        <v>578</v>
      </c>
      <c r="D580" s="17">
        <f t="shared" si="26"/>
        <v>0</v>
      </c>
      <c r="H580" s="40"/>
      <c r="I580" s="25"/>
      <c r="J580" s="26"/>
      <c r="K580" s="27"/>
      <c r="L580" s="28"/>
      <c r="M580" s="28"/>
      <c r="N580" s="28"/>
      <c r="Q580" s="35"/>
      <c r="R580" s="13"/>
      <c r="S580" s="42"/>
      <c r="T580" s="42"/>
      <c r="U580" s="31"/>
      <c r="X580" s="32"/>
      <c r="Y580" s="28"/>
      <c r="Z580" s="28"/>
      <c r="AA580" s="33"/>
      <c r="AB580" s="13"/>
      <c r="AC580" s="34" t="str">
        <f t="shared" si="27"/>
        <v/>
      </c>
      <c r="AP580" s="57"/>
    </row>
    <row r="581" spans="2:42" ht="15" x14ac:dyDescent="0.25">
      <c r="B581" s="15">
        <v>579</v>
      </c>
      <c r="D581" s="17">
        <f t="shared" si="26"/>
        <v>0</v>
      </c>
      <c r="H581" s="40"/>
      <c r="J581" s="26"/>
      <c r="K581" s="27"/>
      <c r="L581" s="28"/>
      <c r="M581" s="28"/>
      <c r="N581" s="28"/>
      <c r="Q581" s="35"/>
      <c r="R581" s="13"/>
      <c r="S581" s="42"/>
      <c r="T581" s="42"/>
      <c r="U581" s="31"/>
      <c r="X581" s="32"/>
      <c r="Y581" s="28"/>
      <c r="Z581" s="28"/>
      <c r="AA581" s="33"/>
      <c r="AB581" s="13"/>
      <c r="AC581" s="34" t="str">
        <f t="shared" si="27"/>
        <v/>
      </c>
      <c r="AP581" s="57"/>
    </row>
    <row r="582" spans="2:42" ht="15" x14ac:dyDescent="0.25">
      <c r="B582" s="15">
        <v>580</v>
      </c>
      <c r="D582" s="17">
        <f t="shared" si="26"/>
        <v>0</v>
      </c>
      <c r="F582" s="25"/>
      <c r="G582" s="25"/>
      <c r="H582" s="40"/>
      <c r="I582" s="25"/>
      <c r="J582" s="26"/>
      <c r="K582" s="27"/>
      <c r="L582" s="28"/>
      <c r="M582" s="28"/>
      <c r="N582" s="28"/>
      <c r="Q582" s="35"/>
      <c r="R582" s="13"/>
      <c r="S582" s="42"/>
      <c r="T582" s="42"/>
      <c r="U582" s="31"/>
      <c r="X582" s="32"/>
      <c r="Y582" s="28"/>
      <c r="Z582" s="28"/>
      <c r="AA582" s="33"/>
      <c r="AB582" s="13"/>
      <c r="AC582" s="34" t="str">
        <f t="shared" si="27"/>
        <v/>
      </c>
      <c r="AP582" s="57"/>
    </row>
    <row r="583" spans="2:42" ht="15" x14ac:dyDescent="0.25">
      <c r="B583" s="15">
        <v>581</v>
      </c>
      <c r="D583" s="17">
        <f t="shared" si="26"/>
        <v>0</v>
      </c>
      <c r="H583" s="40"/>
      <c r="I583" s="25"/>
      <c r="J583" s="26"/>
      <c r="K583" s="27"/>
      <c r="L583" s="28"/>
      <c r="M583" s="28"/>
      <c r="N583" s="28"/>
      <c r="Q583" s="35"/>
      <c r="R583" s="13"/>
      <c r="S583" s="42"/>
      <c r="T583" s="42"/>
      <c r="U583" s="31"/>
      <c r="X583" s="32"/>
      <c r="Y583" s="28"/>
      <c r="Z583" s="28"/>
      <c r="AA583" s="33"/>
      <c r="AB583" s="13"/>
      <c r="AC583" s="34" t="str">
        <f t="shared" si="27"/>
        <v/>
      </c>
      <c r="AP583" s="57"/>
    </row>
    <row r="584" spans="2:42" ht="15" x14ac:dyDescent="0.25">
      <c r="B584" s="15">
        <v>582</v>
      </c>
      <c r="D584" s="17">
        <f t="shared" si="26"/>
        <v>0</v>
      </c>
      <c r="H584" s="40"/>
      <c r="I584" s="25"/>
      <c r="J584" s="26"/>
      <c r="K584" s="27"/>
      <c r="L584" s="28"/>
      <c r="M584" s="28"/>
      <c r="N584" s="28"/>
      <c r="Q584" s="35"/>
      <c r="R584" s="13"/>
      <c r="S584" s="42"/>
      <c r="T584" s="42"/>
      <c r="U584" s="31"/>
      <c r="X584" s="32"/>
      <c r="Y584" s="28"/>
      <c r="Z584" s="28"/>
      <c r="AA584" s="33"/>
      <c r="AB584" s="13"/>
      <c r="AC584" s="34" t="str">
        <f t="shared" si="27"/>
        <v/>
      </c>
      <c r="AP584" s="57"/>
    </row>
    <row r="585" spans="2:42" ht="15" x14ac:dyDescent="0.25">
      <c r="B585" s="15">
        <v>583</v>
      </c>
      <c r="D585" s="17">
        <f t="shared" si="26"/>
        <v>0</v>
      </c>
      <c r="H585" s="40"/>
      <c r="I585" s="25"/>
      <c r="J585" s="26"/>
      <c r="K585" s="27"/>
      <c r="L585" s="28"/>
      <c r="M585" s="28"/>
      <c r="N585" s="28"/>
      <c r="Q585" s="35"/>
      <c r="R585" s="13"/>
      <c r="S585" s="42"/>
      <c r="T585" s="42"/>
      <c r="U585" s="31"/>
      <c r="X585" s="32"/>
      <c r="Y585" s="28"/>
      <c r="Z585" s="28"/>
      <c r="AA585" s="33"/>
      <c r="AB585" s="13"/>
      <c r="AC585" s="34" t="str">
        <f t="shared" si="27"/>
        <v/>
      </c>
      <c r="AP585" s="57"/>
    </row>
    <row r="586" spans="2:42" ht="15" x14ac:dyDescent="0.25">
      <c r="B586" s="15">
        <v>584</v>
      </c>
      <c r="D586" s="17">
        <f t="shared" si="26"/>
        <v>0</v>
      </c>
      <c r="H586" s="40"/>
      <c r="I586" s="25"/>
      <c r="J586" s="26"/>
      <c r="K586" s="27"/>
      <c r="L586" s="28"/>
      <c r="M586" s="28"/>
      <c r="N586" s="28"/>
      <c r="Q586" s="35"/>
      <c r="R586" s="13"/>
      <c r="S586" s="42"/>
      <c r="T586" s="42"/>
      <c r="U586" s="31"/>
      <c r="X586" s="32"/>
      <c r="Y586" s="28"/>
      <c r="Z586" s="28"/>
      <c r="AA586" s="33"/>
      <c r="AB586" s="13"/>
      <c r="AC586" s="34" t="str">
        <f t="shared" si="27"/>
        <v/>
      </c>
      <c r="AP586" s="57"/>
    </row>
    <row r="587" spans="2:42" ht="15" x14ac:dyDescent="0.25">
      <c r="B587" s="15">
        <v>585</v>
      </c>
      <c r="D587" s="17">
        <f t="shared" si="26"/>
        <v>0</v>
      </c>
      <c r="H587" s="40"/>
      <c r="I587" s="25"/>
      <c r="J587" s="26"/>
      <c r="K587" s="27"/>
      <c r="L587" s="28"/>
      <c r="M587" s="28"/>
      <c r="N587" s="28"/>
      <c r="Q587" s="35"/>
      <c r="R587" s="13"/>
      <c r="S587" s="42"/>
      <c r="T587" s="42"/>
      <c r="U587" s="31"/>
      <c r="X587" s="32"/>
      <c r="Y587" s="28"/>
      <c r="Z587" s="28"/>
      <c r="AA587" s="33"/>
      <c r="AB587" s="13"/>
      <c r="AC587" s="34" t="str">
        <f t="shared" si="27"/>
        <v/>
      </c>
      <c r="AP587" s="57"/>
    </row>
    <row r="588" spans="2:42" ht="15" x14ac:dyDescent="0.25">
      <c r="B588" s="15">
        <v>586</v>
      </c>
      <c r="D588" s="17">
        <f t="shared" si="26"/>
        <v>0</v>
      </c>
      <c r="H588" s="40"/>
      <c r="I588" s="25"/>
      <c r="J588" s="26"/>
      <c r="K588" s="27"/>
      <c r="L588" s="28"/>
      <c r="M588" s="28"/>
      <c r="N588" s="28"/>
      <c r="Q588" s="35"/>
      <c r="R588" s="13"/>
      <c r="S588" s="42"/>
      <c r="T588" s="42"/>
      <c r="U588" s="31"/>
      <c r="X588" s="32"/>
      <c r="Y588" s="28"/>
      <c r="Z588" s="28"/>
      <c r="AA588" s="33"/>
      <c r="AB588" s="13"/>
      <c r="AC588" s="34" t="str">
        <f t="shared" si="27"/>
        <v/>
      </c>
      <c r="AP588" s="57"/>
    </row>
    <row r="589" spans="2:42" ht="15" x14ac:dyDescent="0.25">
      <c r="B589" s="15">
        <v>587</v>
      </c>
      <c r="D589" s="17">
        <f t="shared" si="26"/>
        <v>0</v>
      </c>
      <c r="H589" s="40"/>
      <c r="I589" s="25"/>
      <c r="J589" s="26"/>
      <c r="K589" s="27"/>
      <c r="L589" s="28"/>
      <c r="M589" s="28"/>
      <c r="N589" s="28"/>
      <c r="Q589" s="35"/>
      <c r="R589" s="13"/>
      <c r="S589" s="42"/>
      <c r="T589" s="42"/>
      <c r="U589" s="31"/>
      <c r="X589" s="32"/>
      <c r="Y589" s="28"/>
      <c r="Z589" s="28"/>
      <c r="AA589" s="33"/>
      <c r="AB589" s="13"/>
      <c r="AC589" s="34" t="str">
        <f t="shared" si="27"/>
        <v/>
      </c>
      <c r="AP589" s="57"/>
    </row>
    <row r="590" spans="2:42" ht="15" x14ac:dyDescent="0.25">
      <c r="B590" s="15">
        <v>588</v>
      </c>
      <c r="D590" s="17">
        <f t="shared" si="26"/>
        <v>0</v>
      </c>
      <c r="H590" s="40"/>
      <c r="I590" s="25"/>
      <c r="J590" s="26"/>
      <c r="K590" s="27"/>
      <c r="L590" s="28"/>
      <c r="M590" s="28"/>
      <c r="N590" s="28"/>
      <c r="Q590" s="35"/>
      <c r="R590" s="13"/>
      <c r="S590" s="42"/>
      <c r="T590" s="42"/>
      <c r="U590" s="31"/>
      <c r="X590" s="32"/>
      <c r="Y590" s="28"/>
      <c r="Z590" s="28"/>
      <c r="AA590" s="33"/>
      <c r="AB590" s="13"/>
      <c r="AC590" s="34" t="str">
        <f t="shared" si="27"/>
        <v/>
      </c>
      <c r="AP590" s="57"/>
    </row>
    <row r="591" spans="2:42" ht="15" x14ac:dyDescent="0.25">
      <c r="B591" s="15">
        <v>589</v>
      </c>
      <c r="D591" s="17">
        <f t="shared" si="26"/>
        <v>0</v>
      </c>
      <c r="H591" s="40"/>
      <c r="I591" s="25"/>
      <c r="J591" s="26"/>
      <c r="K591" s="27"/>
      <c r="L591" s="28"/>
      <c r="M591" s="28"/>
      <c r="N591" s="28"/>
      <c r="Q591" s="35"/>
      <c r="R591" s="13"/>
      <c r="S591" s="42"/>
      <c r="T591" s="42"/>
      <c r="U591" s="31"/>
      <c r="X591" s="32"/>
      <c r="Y591" s="28"/>
      <c r="Z591" s="28"/>
      <c r="AA591" s="33"/>
      <c r="AB591" s="13"/>
      <c r="AC591" s="34" t="str">
        <f t="shared" si="27"/>
        <v/>
      </c>
      <c r="AP591" s="57"/>
    </row>
    <row r="592" spans="2:42" ht="15" x14ac:dyDescent="0.25">
      <c r="B592" s="15">
        <v>590</v>
      </c>
      <c r="D592" s="17">
        <f t="shared" si="26"/>
        <v>0</v>
      </c>
      <c r="H592" s="40"/>
      <c r="J592" s="26"/>
      <c r="K592" s="27"/>
      <c r="L592" s="28"/>
      <c r="M592" s="28"/>
      <c r="N592" s="28"/>
      <c r="Q592" s="35"/>
      <c r="R592" s="13"/>
      <c r="S592" s="42"/>
      <c r="T592" s="42"/>
      <c r="U592" s="31"/>
      <c r="X592" s="32"/>
      <c r="Y592" s="28"/>
      <c r="Z592" s="28"/>
      <c r="AA592" s="33"/>
      <c r="AB592" s="13"/>
      <c r="AC592" s="34" t="str">
        <f t="shared" si="27"/>
        <v/>
      </c>
      <c r="AP592" s="57"/>
    </row>
    <row r="593" spans="2:42" ht="15" x14ac:dyDescent="0.25">
      <c r="B593" s="15">
        <v>591</v>
      </c>
      <c r="D593" s="17">
        <f t="shared" si="26"/>
        <v>0</v>
      </c>
      <c r="F593" s="25"/>
      <c r="G593" s="25"/>
      <c r="H593" s="40"/>
      <c r="I593" s="25"/>
      <c r="J593" s="26"/>
      <c r="K593" s="27"/>
      <c r="L593" s="28"/>
      <c r="M593" s="28"/>
      <c r="N593" s="28"/>
      <c r="Q593" s="35"/>
      <c r="R593" s="13"/>
      <c r="S593" s="42"/>
      <c r="T593" s="42"/>
      <c r="U593" s="31"/>
      <c r="X593" s="32"/>
      <c r="Y593" s="28"/>
      <c r="Z593" s="28"/>
      <c r="AA593" s="33"/>
      <c r="AB593" s="13"/>
      <c r="AC593" s="34" t="str">
        <f t="shared" si="27"/>
        <v/>
      </c>
      <c r="AP593" s="57"/>
    </row>
    <row r="594" spans="2:42" ht="15" x14ac:dyDescent="0.25">
      <c r="B594" s="15">
        <v>592</v>
      </c>
      <c r="D594" s="17">
        <f t="shared" si="26"/>
        <v>0</v>
      </c>
      <c r="H594" s="40"/>
      <c r="I594" s="25"/>
      <c r="J594" s="26"/>
      <c r="K594" s="27"/>
      <c r="L594" s="28"/>
      <c r="M594" s="28"/>
      <c r="N594" s="28"/>
      <c r="Q594" s="35"/>
      <c r="R594" s="13"/>
      <c r="S594" s="42"/>
      <c r="T594" s="42"/>
      <c r="U594" s="31"/>
      <c r="X594" s="32"/>
      <c r="Y594" s="28"/>
      <c r="Z594" s="28"/>
      <c r="AA594" s="33"/>
      <c r="AB594" s="13"/>
      <c r="AC594" s="34" t="str">
        <f t="shared" si="27"/>
        <v/>
      </c>
      <c r="AP594" s="57"/>
    </row>
    <row r="595" spans="2:42" ht="15" x14ac:dyDescent="0.25">
      <c r="B595" s="15">
        <v>593</v>
      </c>
      <c r="D595" s="17">
        <f t="shared" si="26"/>
        <v>0</v>
      </c>
      <c r="H595" s="40"/>
      <c r="I595" s="25"/>
      <c r="J595" s="26"/>
      <c r="K595" s="27"/>
      <c r="L595" s="28"/>
      <c r="M595" s="28"/>
      <c r="N595" s="28"/>
      <c r="Q595" s="35"/>
      <c r="R595" s="13"/>
      <c r="S595" s="42"/>
      <c r="T595" s="42"/>
      <c r="U595" s="31"/>
      <c r="X595" s="32"/>
      <c r="Y595" s="28"/>
      <c r="Z595" s="28"/>
      <c r="AA595" s="33"/>
      <c r="AB595" s="13"/>
      <c r="AC595" s="34" t="str">
        <f t="shared" si="27"/>
        <v/>
      </c>
      <c r="AP595" s="57"/>
    </row>
    <row r="596" spans="2:42" ht="15" x14ac:dyDescent="0.25">
      <c r="B596" s="15">
        <v>594</v>
      </c>
      <c r="D596" s="17">
        <f t="shared" si="26"/>
        <v>0</v>
      </c>
      <c r="H596" s="40"/>
      <c r="I596" s="25"/>
      <c r="J596" s="26"/>
      <c r="K596" s="27"/>
      <c r="L596" s="28"/>
      <c r="M596" s="28"/>
      <c r="N596" s="28"/>
      <c r="Q596" s="35"/>
      <c r="R596" s="13"/>
      <c r="S596" s="42"/>
      <c r="T596" s="42"/>
      <c r="U596" s="31"/>
      <c r="X596" s="32"/>
      <c r="Y596" s="28"/>
      <c r="Z596" s="28"/>
      <c r="AA596" s="33"/>
      <c r="AB596" s="13"/>
      <c r="AC596" s="34" t="str">
        <f t="shared" si="27"/>
        <v/>
      </c>
      <c r="AP596" s="57"/>
    </row>
    <row r="597" spans="2:42" ht="15" x14ac:dyDescent="0.25">
      <c r="B597" s="15">
        <v>595</v>
      </c>
      <c r="D597" s="17">
        <f t="shared" si="26"/>
        <v>0</v>
      </c>
      <c r="H597" s="40"/>
      <c r="I597" s="25"/>
      <c r="J597" s="26"/>
      <c r="K597" s="27"/>
      <c r="L597" s="28"/>
      <c r="M597" s="28"/>
      <c r="N597" s="28"/>
      <c r="Q597" s="35"/>
      <c r="R597" s="13"/>
      <c r="S597" s="42"/>
      <c r="T597" s="42"/>
      <c r="U597" s="31"/>
      <c r="X597" s="32"/>
      <c r="Y597" s="28"/>
      <c r="Z597" s="28"/>
      <c r="AA597" s="33"/>
      <c r="AB597" s="13"/>
      <c r="AC597" s="34" t="str">
        <f t="shared" si="27"/>
        <v/>
      </c>
      <c r="AP597" s="57"/>
    </row>
    <row r="598" spans="2:42" ht="15" x14ac:dyDescent="0.25">
      <c r="B598" s="15">
        <v>596</v>
      </c>
      <c r="D598" s="17">
        <f t="shared" si="26"/>
        <v>0</v>
      </c>
      <c r="H598" s="40"/>
      <c r="I598" s="25"/>
      <c r="J598" s="26"/>
      <c r="K598" s="27"/>
      <c r="L598" s="28"/>
      <c r="M598" s="28"/>
      <c r="N598" s="28"/>
      <c r="Q598" s="35"/>
      <c r="R598" s="13"/>
      <c r="S598" s="42"/>
      <c r="T598" s="42"/>
      <c r="U598" s="31"/>
      <c r="X598" s="32"/>
      <c r="Y598" s="28"/>
      <c r="Z598" s="28"/>
      <c r="AA598" s="33"/>
      <c r="AB598" s="13"/>
      <c r="AC598" s="34" t="str">
        <f t="shared" si="27"/>
        <v/>
      </c>
      <c r="AP598" s="57"/>
    </row>
    <row r="599" spans="2:42" ht="15" x14ac:dyDescent="0.25">
      <c r="B599" s="15">
        <v>597</v>
      </c>
      <c r="D599" s="17">
        <f t="shared" si="26"/>
        <v>0</v>
      </c>
      <c r="H599" s="40"/>
      <c r="I599" s="25"/>
      <c r="J599" s="26"/>
      <c r="K599" s="27"/>
      <c r="L599" s="28"/>
      <c r="M599" s="28"/>
      <c r="N599" s="28"/>
      <c r="Q599" s="35"/>
      <c r="R599" s="13"/>
      <c r="S599" s="42"/>
      <c r="T599" s="42"/>
      <c r="U599" s="31"/>
      <c r="X599" s="32"/>
      <c r="Y599" s="28"/>
      <c r="Z599" s="28"/>
      <c r="AA599" s="33"/>
      <c r="AB599" s="13"/>
      <c r="AC599" s="34" t="str">
        <f t="shared" si="27"/>
        <v/>
      </c>
      <c r="AP599" s="57"/>
    </row>
    <row r="600" spans="2:42" ht="15" x14ac:dyDescent="0.25">
      <c r="B600" s="15">
        <v>598</v>
      </c>
      <c r="D600" s="17">
        <f t="shared" si="26"/>
        <v>0</v>
      </c>
      <c r="H600" s="40"/>
      <c r="I600" s="25"/>
      <c r="J600" s="26"/>
      <c r="K600" s="27"/>
      <c r="L600" s="28"/>
      <c r="M600" s="28"/>
      <c r="N600" s="28"/>
      <c r="Q600" s="35"/>
      <c r="R600" s="13"/>
      <c r="S600" s="42"/>
      <c r="T600" s="42"/>
      <c r="U600" s="31"/>
      <c r="X600" s="32"/>
      <c r="Y600" s="28"/>
      <c r="Z600" s="28"/>
      <c r="AA600" s="33"/>
      <c r="AB600" s="13"/>
      <c r="AC600" s="34" t="str">
        <f t="shared" si="27"/>
        <v/>
      </c>
      <c r="AP600" s="57"/>
    </row>
    <row r="601" spans="2:42" ht="15" x14ac:dyDescent="0.25">
      <c r="B601" s="15">
        <v>599</v>
      </c>
      <c r="D601" s="17">
        <f t="shared" si="26"/>
        <v>0</v>
      </c>
      <c r="H601" s="40"/>
      <c r="I601" s="25"/>
      <c r="J601" s="26"/>
      <c r="K601" s="27"/>
      <c r="L601" s="28"/>
      <c r="M601" s="28"/>
      <c r="N601" s="28"/>
      <c r="Q601" s="35"/>
      <c r="R601" s="13"/>
      <c r="S601" s="42"/>
      <c r="T601" s="42"/>
      <c r="U601" s="31"/>
      <c r="X601" s="32"/>
      <c r="Y601" s="28"/>
      <c r="Z601" s="28"/>
      <c r="AA601" s="33"/>
      <c r="AB601" s="13"/>
      <c r="AC601" s="34" t="str">
        <f t="shared" si="27"/>
        <v/>
      </c>
      <c r="AP601" s="57"/>
    </row>
    <row r="602" spans="2:42" ht="15" x14ac:dyDescent="0.25">
      <c r="B602" s="15">
        <v>600</v>
      </c>
      <c r="D602" s="17">
        <f t="shared" si="26"/>
        <v>0</v>
      </c>
      <c r="H602" s="40"/>
      <c r="I602" s="25"/>
      <c r="J602" s="26"/>
      <c r="K602" s="27"/>
      <c r="L602" s="28"/>
      <c r="M602" s="28"/>
      <c r="N602" s="28"/>
      <c r="Q602" s="35"/>
      <c r="R602" s="13"/>
      <c r="S602" s="42"/>
      <c r="T602" s="42"/>
      <c r="U602" s="31"/>
      <c r="X602" s="32"/>
      <c r="Y602" s="28"/>
      <c r="Z602" s="28"/>
      <c r="AA602" s="33"/>
      <c r="AB602" s="13"/>
      <c r="AC602" s="34" t="str">
        <f t="shared" si="27"/>
        <v/>
      </c>
      <c r="AP602" s="57"/>
    </row>
    <row r="603" spans="2:42" ht="15" x14ac:dyDescent="0.25">
      <c r="B603" s="15">
        <v>601</v>
      </c>
      <c r="D603" s="17">
        <f t="shared" si="26"/>
        <v>0</v>
      </c>
      <c r="H603" s="40"/>
      <c r="J603" s="26"/>
      <c r="K603" s="27"/>
      <c r="L603" s="28"/>
      <c r="M603" s="28"/>
      <c r="N603" s="28"/>
      <c r="Q603" s="35"/>
      <c r="R603" s="13"/>
      <c r="S603" s="42"/>
      <c r="T603" s="42"/>
      <c r="U603" s="31"/>
      <c r="X603" s="32"/>
      <c r="Y603" s="28"/>
      <c r="Z603" s="28"/>
      <c r="AA603" s="33"/>
      <c r="AB603" s="13"/>
      <c r="AC603" s="34" t="str">
        <f t="shared" si="27"/>
        <v/>
      </c>
      <c r="AP603" s="57"/>
    </row>
    <row r="604" spans="2:42" ht="15" x14ac:dyDescent="0.25">
      <c r="B604" s="15">
        <v>602</v>
      </c>
      <c r="D604" s="17">
        <f t="shared" si="26"/>
        <v>0</v>
      </c>
      <c r="F604" s="25"/>
      <c r="G604" s="25"/>
      <c r="H604" s="40"/>
      <c r="I604" s="25"/>
      <c r="J604" s="26"/>
      <c r="K604" s="27"/>
      <c r="L604" s="28"/>
      <c r="M604" s="28"/>
      <c r="N604" s="28"/>
      <c r="Q604" s="35"/>
      <c r="R604" s="13"/>
      <c r="S604" s="42"/>
      <c r="T604" s="42"/>
      <c r="U604" s="31"/>
      <c r="X604" s="32"/>
      <c r="Y604" s="28"/>
      <c r="Z604" s="28"/>
      <c r="AA604" s="33"/>
      <c r="AB604" s="13"/>
      <c r="AC604" s="34" t="str">
        <f t="shared" si="27"/>
        <v/>
      </c>
      <c r="AP604" s="57"/>
    </row>
    <row r="605" spans="2:42" ht="15" x14ac:dyDescent="0.25">
      <c r="B605" s="15">
        <v>603</v>
      </c>
      <c r="D605" s="17">
        <f t="shared" si="26"/>
        <v>0</v>
      </c>
      <c r="H605" s="40"/>
      <c r="I605" s="25"/>
      <c r="J605" s="26"/>
      <c r="K605" s="27"/>
      <c r="L605" s="28"/>
      <c r="M605" s="28"/>
      <c r="N605" s="28"/>
      <c r="Q605" s="35"/>
      <c r="R605" s="13"/>
      <c r="S605" s="42"/>
      <c r="T605" s="42"/>
      <c r="U605" s="31"/>
      <c r="X605" s="32"/>
      <c r="Y605" s="28"/>
      <c r="Z605" s="28"/>
      <c r="AA605" s="33"/>
      <c r="AB605" s="13"/>
      <c r="AC605" s="34" t="str">
        <f t="shared" si="27"/>
        <v/>
      </c>
      <c r="AP605" s="57"/>
    </row>
    <row r="606" spans="2:42" ht="15" x14ac:dyDescent="0.25">
      <c r="B606" s="15">
        <v>604</v>
      </c>
      <c r="D606" s="17">
        <f t="shared" si="26"/>
        <v>0</v>
      </c>
      <c r="H606" s="40"/>
      <c r="I606" s="25"/>
      <c r="J606" s="26"/>
      <c r="K606" s="27"/>
      <c r="L606" s="28"/>
      <c r="M606" s="28"/>
      <c r="N606" s="28"/>
      <c r="Q606" s="35"/>
      <c r="R606" s="13"/>
      <c r="S606" s="42"/>
      <c r="T606" s="42"/>
      <c r="U606" s="31"/>
      <c r="X606" s="32"/>
      <c r="Y606" s="28"/>
      <c r="Z606" s="28"/>
      <c r="AA606" s="33"/>
      <c r="AB606" s="13"/>
      <c r="AC606" s="34" t="str">
        <f t="shared" si="27"/>
        <v/>
      </c>
      <c r="AP606" s="57"/>
    </row>
    <row r="607" spans="2:42" ht="15" x14ac:dyDescent="0.25">
      <c r="B607" s="15">
        <v>605</v>
      </c>
      <c r="D607" s="17">
        <f t="shared" si="26"/>
        <v>0</v>
      </c>
      <c r="H607" s="40"/>
      <c r="I607" s="25"/>
      <c r="J607" s="26"/>
      <c r="K607" s="27"/>
      <c r="L607" s="28"/>
      <c r="M607" s="28"/>
      <c r="N607" s="28"/>
      <c r="Q607" s="35"/>
      <c r="R607" s="13"/>
      <c r="S607" s="42"/>
      <c r="T607" s="42"/>
      <c r="U607" s="31"/>
      <c r="X607" s="32"/>
      <c r="Y607" s="28"/>
      <c r="Z607" s="28"/>
      <c r="AA607" s="33"/>
      <c r="AB607" s="13"/>
      <c r="AC607" s="34" t="str">
        <f t="shared" si="27"/>
        <v/>
      </c>
      <c r="AP607" s="57"/>
    </row>
    <row r="608" spans="2:42" ht="15" x14ac:dyDescent="0.25">
      <c r="B608" s="15">
        <v>606</v>
      </c>
      <c r="D608" s="17">
        <f t="shared" si="26"/>
        <v>0</v>
      </c>
      <c r="H608" s="40"/>
      <c r="I608" s="25"/>
      <c r="J608" s="26"/>
      <c r="K608" s="27"/>
      <c r="L608" s="28"/>
      <c r="M608" s="28"/>
      <c r="N608" s="28"/>
      <c r="Q608" s="35"/>
      <c r="R608" s="13"/>
      <c r="S608" s="42"/>
      <c r="T608" s="42"/>
      <c r="U608" s="31"/>
      <c r="X608" s="32"/>
      <c r="Y608" s="28"/>
      <c r="Z608" s="28"/>
      <c r="AA608" s="33"/>
      <c r="AB608" s="13"/>
      <c r="AC608" s="34" t="str">
        <f t="shared" si="27"/>
        <v/>
      </c>
      <c r="AP608" s="57"/>
    </row>
    <row r="609" spans="2:42" ht="15" x14ac:dyDescent="0.25">
      <c r="B609" s="15">
        <v>607</v>
      </c>
      <c r="D609" s="17">
        <f t="shared" si="26"/>
        <v>0</v>
      </c>
      <c r="H609" s="40"/>
      <c r="I609" s="25"/>
      <c r="J609" s="26"/>
      <c r="K609" s="27"/>
      <c r="L609" s="28"/>
      <c r="M609" s="28"/>
      <c r="N609" s="28"/>
      <c r="Q609" s="35"/>
      <c r="R609" s="13"/>
      <c r="S609" s="42"/>
      <c r="T609" s="42"/>
      <c r="U609" s="31"/>
      <c r="X609" s="32"/>
      <c r="Y609" s="28"/>
      <c r="Z609" s="28"/>
      <c r="AA609" s="33"/>
      <c r="AB609" s="13"/>
      <c r="AC609" s="34" t="str">
        <f t="shared" si="27"/>
        <v/>
      </c>
      <c r="AP609" s="57"/>
    </row>
    <row r="610" spans="2:42" ht="15" x14ac:dyDescent="0.25">
      <c r="B610" s="15">
        <v>608</v>
      </c>
      <c r="D610" s="17">
        <f t="shared" si="26"/>
        <v>0</v>
      </c>
      <c r="H610" s="40"/>
      <c r="I610" s="25"/>
      <c r="J610" s="26"/>
      <c r="K610" s="27"/>
      <c r="L610" s="28"/>
      <c r="M610" s="28"/>
      <c r="N610" s="28"/>
      <c r="Q610" s="35"/>
      <c r="R610" s="13"/>
      <c r="S610" s="42"/>
      <c r="T610" s="42"/>
      <c r="U610" s="31"/>
      <c r="X610" s="32"/>
      <c r="Y610" s="28"/>
      <c r="Z610" s="28"/>
      <c r="AA610" s="33"/>
      <c r="AB610" s="13"/>
      <c r="AC610" s="34" t="str">
        <f t="shared" si="27"/>
        <v/>
      </c>
      <c r="AP610" s="57"/>
    </row>
    <row r="611" spans="2:42" ht="15" x14ac:dyDescent="0.25">
      <c r="B611" s="15">
        <v>609</v>
      </c>
      <c r="D611" s="17">
        <f t="shared" si="26"/>
        <v>0</v>
      </c>
      <c r="H611" s="40"/>
      <c r="I611" s="25"/>
      <c r="J611" s="26"/>
      <c r="K611" s="27"/>
      <c r="L611" s="28"/>
      <c r="M611" s="28"/>
      <c r="N611" s="28"/>
      <c r="Q611" s="35"/>
      <c r="R611" s="13"/>
      <c r="S611" s="42"/>
      <c r="T611" s="42"/>
      <c r="U611" s="31"/>
      <c r="X611" s="32"/>
      <c r="Y611" s="28"/>
      <c r="Z611" s="28"/>
      <c r="AA611" s="33"/>
      <c r="AB611" s="13"/>
      <c r="AC611" s="34" t="str">
        <f t="shared" si="27"/>
        <v/>
      </c>
      <c r="AP611" s="57"/>
    </row>
    <row r="612" spans="2:42" ht="15" x14ac:dyDescent="0.25">
      <c r="B612" s="15">
        <v>610</v>
      </c>
      <c r="C612" s="17"/>
      <c r="D612" s="17">
        <f t="shared" si="26"/>
        <v>0</v>
      </c>
      <c r="F612" s="25"/>
      <c r="G612" s="25"/>
      <c r="H612" s="25"/>
      <c r="I612" s="25"/>
      <c r="J612" s="26"/>
      <c r="K612" s="27"/>
      <c r="L612" s="28"/>
      <c r="M612" s="28"/>
      <c r="N612" s="28"/>
      <c r="P612" s="29"/>
      <c r="Q612" s="35"/>
      <c r="R612" s="13"/>
      <c r="T612" s="45"/>
      <c r="U612" s="45"/>
      <c r="X612" s="32"/>
      <c r="Y612" s="28"/>
      <c r="Z612" s="28"/>
      <c r="AA612" s="33"/>
      <c r="AB612" s="34"/>
      <c r="AC612" s="34" t="str">
        <f t="shared" si="27"/>
        <v/>
      </c>
      <c r="AP612" s="57"/>
    </row>
    <row r="613" spans="2:42" ht="15" x14ac:dyDescent="0.25">
      <c r="B613" s="15">
        <v>611</v>
      </c>
      <c r="C613" s="17"/>
      <c r="D613" s="17">
        <f t="shared" si="26"/>
        <v>0</v>
      </c>
      <c r="F613" s="25"/>
      <c r="G613" s="25"/>
      <c r="H613" s="25"/>
      <c r="I613" s="25"/>
      <c r="J613" s="26"/>
      <c r="K613" s="27"/>
      <c r="L613" s="28"/>
      <c r="M613" s="28"/>
      <c r="N613" s="28"/>
      <c r="P613" s="29"/>
      <c r="Q613" s="35"/>
      <c r="R613" s="13"/>
      <c r="T613" s="45"/>
      <c r="U613" s="45"/>
      <c r="X613" s="32"/>
      <c r="Y613" s="28"/>
      <c r="Z613" s="28"/>
      <c r="AA613" s="33"/>
      <c r="AB613" s="34"/>
      <c r="AC613" s="34" t="str">
        <f t="shared" si="27"/>
        <v/>
      </c>
      <c r="AP613" s="57"/>
    </row>
    <row r="614" spans="2:42" ht="15" x14ac:dyDescent="0.25">
      <c r="B614" s="15">
        <v>612</v>
      </c>
      <c r="C614" s="17"/>
      <c r="D614" s="17">
        <f t="shared" si="26"/>
        <v>0</v>
      </c>
      <c r="F614" s="25"/>
      <c r="G614" s="25"/>
      <c r="H614" s="25"/>
      <c r="I614" s="25"/>
      <c r="J614" s="26"/>
      <c r="K614" s="27"/>
      <c r="L614" s="28"/>
      <c r="M614" s="28"/>
      <c r="N614" s="28"/>
      <c r="P614" s="29"/>
      <c r="Q614" s="35"/>
      <c r="R614" s="13"/>
      <c r="T614" s="45"/>
      <c r="U614" s="45"/>
      <c r="X614" s="32"/>
      <c r="Y614" s="28"/>
      <c r="Z614" s="28"/>
      <c r="AA614" s="33"/>
      <c r="AB614" s="34"/>
      <c r="AC614" s="34" t="str">
        <f t="shared" si="27"/>
        <v/>
      </c>
      <c r="AP614" s="57"/>
    </row>
    <row r="615" spans="2:42" ht="15" x14ac:dyDescent="0.25">
      <c r="B615" s="15">
        <v>613</v>
      </c>
      <c r="C615" s="17"/>
      <c r="D615" s="17">
        <f t="shared" si="26"/>
        <v>0</v>
      </c>
      <c r="F615" s="25"/>
      <c r="G615" s="25"/>
      <c r="H615" s="25"/>
      <c r="I615" s="25"/>
      <c r="J615" s="26"/>
      <c r="K615" s="27"/>
      <c r="L615" s="28"/>
      <c r="M615" s="28"/>
      <c r="N615" s="28"/>
      <c r="P615" s="29"/>
      <c r="Q615" s="35"/>
      <c r="R615" s="13"/>
      <c r="T615" s="45"/>
      <c r="U615" s="45"/>
      <c r="X615" s="32"/>
      <c r="Y615" s="28"/>
      <c r="Z615" s="28"/>
      <c r="AA615" s="33"/>
      <c r="AB615" s="34"/>
      <c r="AC615" s="34" t="str">
        <f t="shared" si="27"/>
        <v/>
      </c>
      <c r="AP615" s="57"/>
    </row>
    <row r="616" spans="2:42" ht="15" x14ac:dyDescent="0.25">
      <c r="B616" s="15">
        <v>614</v>
      </c>
      <c r="C616" s="17"/>
      <c r="D616" s="17">
        <f t="shared" si="26"/>
        <v>0</v>
      </c>
      <c r="F616" s="25"/>
      <c r="G616" s="25"/>
      <c r="H616" s="25"/>
      <c r="I616" s="25"/>
      <c r="J616" s="26"/>
      <c r="K616" s="27"/>
      <c r="L616" s="28"/>
      <c r="M616" s="28"/>
      <c r="N616" s="28"/>
      <c r="P616" s="29"/>
      <c r="Q616" s="35"/>
      <c r="R616" s="13"/>
      <c r="T616" s="45"/>
      <c r="U616" s="45"/>
      <c r="X616" s="32"/>
      <c r="Y616" s="28"/>
      <c r="Z616" s="28"/>
      <c r="AA616" s="33"/>
      <c r="AB616" s="34"/>
      <c r="AC616" s="34" t="str">
        <f t="shared" si="27"/>
        <v/>
      </c>
      <c r="AP616" s="57"/>
    </row>
    <row r="617" spans="2:42" ht="15" x14ac:dyDescent="0.25">
      <c r="B617" s="15">
        <v>615</v>
      </c>
      <c r="C617" s="17"/>
      <c r="D617" s="17">
        <f t="shared" si="26"/>
        <v>0</v>
      </c>
      <c r="F617" s="25"/>
      <c r="G617" s="25"/>
      <c r="H617" s="25"/>
      <c r="I617" s="25"/>
      <c r="J617" s="26"/>
      <c r="K617" s="27"/>
      <c r="L617" s="28"/>
      <c r="M617" s="28"/>
      <c r="N617" s="28"/>
      <c r="P617" s="29"/>
      <c r="Q617" s="35"/>
      <c r="R617" s="13"/>
      <c r="T617" s="45"/>
      <c r="U617" s="45"/>
      <c r="X617" s="32"/>
      <c r="Y617" s="28"/>
      <c r="Z617" s="28"/>
      <c r="AA617" s="33"/>
      <c r="AB617" s="34"/>
      <c r="AC617" s="34" t="str">
        <f t="shared" si="27"/>
        <v/>
      </c>
      <c r="AP617" s="57"/>
    </row>
    <row r="618" spans="2:42" ht="15" x14ac:dyDescent="0.25">
      <c r="B618" s="15">
        <v>616</v>
      </c>
      <c r="C618" s="17"/>
      <c r="D618" s="17">
        <f t="shared" si="26"/>
        <v>0</v>
      </c>
      <c r="F618" s="25"/>
      <c r="G618" s="25"/>
      <c r="H618" s="25"/>
      <c r="I618" s="25"/>
      <c r="J618" s="26"/>
      <c r="K618" s="27"/>
      <c r="L618" s="28"/>
      <c r="M618" s="28"/>
      <c r="N618" s="28"/>
      <c r="P618" s="29"/>
      <c r="Q618" s="35"/>
      <c r="R618" s="13"/>
      <c r="T618" s="45"/>
      <c r="U618" s="45"/>
      <c r="X618" s="32"/>
      <c r="Y618" s="28"/>
      <c r="Z618" s="28"/>
      <c r="AA618" s="33"/>
      <c r="AB618" s="34"/>
      <c r="AC618" s="34" t="str">
        <f t="shared" si="27"/>
        <v/>
      </c>
      <c r="AP618" s="57"/>
    </row>
    <row r="619" spans="2:42" ht="15" x14ac:dyDescent="0.25">
      <c r="B619" s="15">
        <v>617</v>
      </c>
      <c r="C619" s="17"/>
      <c r="D619" s="17">
        <f t="shared" si="26"/>
        <v>0</v>
      </c>
      <c r="F619" s="25"/>
      <c r="G619" s="25"/>
      <c r="H619" s="25"/>
      <c r="I619" s="25"/>
      <c r="J619" s="26"/>
      <c r="K619" s="27"/>
      <c r="L619" s="28"/>
      <c r="M619" s="28"/>
      <c r="N619" s="28"/>
      <c r="P619" s="29"/>
      <c r="Q619" s="35"/>
      <c r="R619" s="13"/>
      <c r="T619" s="45"/>
      <c r="U619" s="45"/>
      <c r="X619" s="32"/>
      <c r="Y619" s="28"/>
      <c r="Z619" s="28"/>
      <c r="AA619" s="33"/>
      <c r="AB619" s="34"/>
      <c r="AC619" s="34" t="str">
        <f t="shared" si="27"/>
        <v/>
      </c>
      <c r="AP619" s="57"/>
    </row>
    <row r="620" spans="2:42" ht="15" x14ac:dyDescent="0.25">
      <c r="B620" s="15">
        <v>618</v>
      </c>
      <c r="C620" s="17"/>
      <c r="D620" s="17">
        <f t="shared" si="26"/>
        <v>0</v>
      </c>
      <c r="F620" s="25"/>
      <c r="G620" s="25"/>
      <c r="H620" s="25"/>
      <c r="I620" s="25"/>
      <c r="J620" s="26"/>
      <c r="K620" s="27"/>
      <c r="L620" s="28"/>
      <c r="M620" s="28"/>
      <c r="N620" s="28"/>
      <c r="P620" s="29"/>
      <c r="Q620" s="35"/>
      <c r="R620" s="13"/>
      <c r="T620" s="45"/>
      <c r="U620" s="45"/>
      <c r="X620" s="32"/>
      <c r="Y620" s="28"/>
      <c r="Z620" s="28"/>
      <c r="AA620" s="33"/>
      <c r="AB620" s="34"/>
      <c r="AC620" s="34" t="str">
        <f t="shared" si="27"/>
        <v/>
      </c>
      <c r="AP620" s="57"/>
    </row>
    <row r="621" spans="2:42" ht="15" x14ac:dyDescent="0.25">
      <c r="B621" s="15">
        <v>619</v>
      </c>
      <c r="C621" s="17"/>
      <c r="D621" s="17">
        <f t="shared" si="26"/>
        <v>0</v>
      </c>
      <c r="F621" s="25"/>
      <c r="G621" s="25"/>
      <c r="H621" s="25"/>
      <c r="I621" s="25"/>
      <c r="J621" s="26"/>
      <c r="K621" s="27"/>
      <c r="L621" s="28"/>
      <c r="M621" s="28"/>
      <c r="N621" s="28"/>
      <c r="P621" s="29"/>
      <c r="Q621" s="35"/>
      <c r="R621" s="13"/>
      <c r="T621" s="45"/>
      <c r="U621" s="45"/>
      <c r="X621" s="32"/>
      <c r="Y621" s="28"/>
      <c r="Z621" s="28"/>
      <c r="AA621" s="33"/>
      <c r="AB621" s="34"/>
      <c r="AC621" s="34" t="str">
        <f t="shared" si="27"/>
        <v/>
      </c>
      <c r="AP621" s="57"/>
    </row>
    <row r="622" spans="2:42" ht="15" x14ac:dyDescent="0.25">
      <c r="B622" s="15">
        <v>620</v>
      </c>
      <c r="C622" s="17"/>
      <c r="D622" s="17">
        <f t="shared" si="26"/>
        <v>0</v>
      </c>
      <c r="F622" s="25"/>
      <c r="G622" s="25"/>
      <c r="H622" s="25"/>
      <c r="I622" s="25"/>
      <c r="J622" s="26"/>
      <c r="K622" s="27"/>
      <c r="L622" s="28"/>
      <c r="M622" s="28"/>
      <c r="N622" s="28"/>
      <c r="P622" s="29"/>
      <c r="Q622" s="35"/>
      <c r="R622" s="13"/>
      <c r="T622" s="45"/>
      <c r="U622" s="45"/>
      <c r="X622" s="32"/>
      <c r="Y622" s="28"/>
      <c r="Z622" s="28"/>
      <c r="AA622" s="33"/>
      <c r="AB622" s="34"/>
      <c r="AC622" s="34" t="str">
        <f t="shared" si="27"/>
        <v/>
      </c>
      <c r="AP622" s="57"/>
    </row>
    <row r="623" spans="2:42" ht="15" x14ac:dyDescent="0.25">
      <c r="B623" s="15">
        <v>621</v>
      </c>
      <c r="D623" s="17">
        <f t="shared" si="26"/>
        <v>0</v>
      </c>
      <c r="H623" s="40"/>
      <c r="J623" s="26"/>
      <c r="K623" s="27"/>
      <c r="L623" s="28"/>
      <c r="M623" s="28"/>
      <c r="N623" s="28"/>
      <c r="Q623" s="35"/>
      <c r="R623" s="13"/>
      <c r="S623" s="42"/>
      <c r="T623" s="42"/>
      <c r="U623" s="31"/>
      <c r="X623" s="32"/>
      <c r="Y623" s="28"/>
      <c r="Z623" s="28"/>
      <c r="AA623" s="33"/>
      <c r="AB623" s="13"/>
      <c r="AC623" s="34" t="str">
        <f t="shared" si="27"/>
        <v/>
      </c>
      <c r="AP623" s="57"/>
    </row>
    <row r="624" spans="2:42" ht="15" x14ac:dyDescent="0.25">
      <c r="B624" s="15">
        <v>622</v>
      </c>
      <c r="D624" s="17">
        <f t="shared" si="26"/>
        <v>0</v>
      </c>
      <c r="F624" s="25"/>
      <c r="G624" s="25"/>
      <c r="H624" s="40"/>
      <c r="I624" s="25"/>
      <c r="J624" s="26"/>
      <c r="K624" s="27"/>
      <c r="L624" s="28"/>
      <c r="M624" s="28"/>
      <c r="N624" s="28"/>
      <c r="Q624" s="35"/>
      <c r="R624" s="13"/>
      <c r="S624" s="42"/>
      <c r="T624" s="42"/>
      <c r="U624" s="31"/>
      <c r="X624" s="32"/>
      <c r="Y624" s="28"/>
      <c r="Z624" s="28"/>
      <c r="AA624" s="33"/>
      <c r="AB624" s="13"/>
      <c r="AC624" s="34" t="str">
        <f t="shared" si="27"/>
        <v/>
      </c>
      <c r="AP624" s="57"/>
    </row>
    <row r="625" spans="2:42" ht="15" x14ac:dyDescent="0.25">
      <c r="B625" s="15">
        <v>623</v>
      </c>
      <c r="D625" s="17">
        <f t="shared" ref="D625:D688" si="28">_xlfn.NUMBERVALUE(+LEFT(C625,11))</f>
        <v>0</v>
      </c>
      <c r="H625" s="40"/>
      <c r="I625" s="25"/>
      <c r="J625" s="26"/>
      <c r="K625" s="27"/>
      <c r="L625" s="28"/>
      <c r="M625" s="28"/>
      <c r="N625" s="28"/>
      <c r="Q625" s="35"/>
      <c r="R625" s="13"/>
      <c r="S625" s="42"/>
      <c r="T625" s="42"/>
      <c r="U625" s="31"/>
      <c r="X625" s="32"/>
      <c r="Y625" s="28"/>
      <c r="Z625" s="28"/>
      <c r="AA625" s="33"/>
      <c r="AB625" s="13"/>
      <c r="AC625" s="34" t="str">
        <f t="shared" si="27"/>
        <v/>
      </c>
      <c r="AP625" s="57"/>
    </row>
    <row r="626" spans="2:42" ht="15" x14ac:dyDescent="0.25">
      <c r="B626" s="15">
        <v>624</v>
      </c>
      <c r="D626" s="17">
        <f t="shared" si="28"/>
        <v>0</v>
      </c>
      <c r="H626" s="40"/>
      <c r="I626" s="25"/>
      <c r="J626" s="26"/>
      <c r="K626" s="27"/>
      <c r="L626" s="28"/>
      <c r="M626" s="28"/>
      <c r="N626" s="28"/>
      <c r="Q626" s="35"/>
      <c r="R626" s="13"/>
      <c r="S626" s="42"/>
      <c r="T626" s="42"/>
      <c r="U626" s="31"/>
      <c r="X626" s="32"/>
      <c r="Y626" s="28"/>
      <c r="Z626" s="28"/>
      <c r="AA626" s="33"/>
      <c r="AB626" s="13"/>
      <c r="AC626" s="34" t="str">
        <f t="shared" si="27"/>
        <v/>
      </c>
      <c r="AP626" s="57"/>
    </row>
    <row r="627" spans="2:42" ht="15" x14ac:dyDescent="0.25">
      <c r="B627" s="15">
        <v>625</v>
      </c>
      <c r="D627" s="17">
        <f t="shared" si="28"/>
        <v>0</v>
      </c>
      <c r="H627" s="40"/>
      <c r="I627" s="25"/>
      <c r="J627" s="26"/>
      <c r="K627" s="27"/>
      <c r="L627" s="28"/>
      <c r="M627" s="28"/>
      <c r="N627" s="28"/>
      <c r="Q627" s="35"/>
      <c r="R627" s="13"/>
      <c r="S627" s="42"/>
      <c r="T627" s="42"/>
      <c r="U627" s="31"/>
      <c r="X627" s="32"/>
      <c r="Y627" s="28"/>
      <c r="Z627" s="28"/>
      <c r="AA627" s="33"/>
      <c r="AB627" s="13"/>
      <c r="AC627" s="34" t="str">
        <f t="shared" si="27"/>
        <v/>
      </c>
      <c r="AP627" s="57"/>
    </row>
    <row r="628" spans="2:42" ht="15" x14ac:dyDescent="0.25">
      <c r="B628" s="15">
        <v>626</v>
      </c>
      <c r="D628" s="17">
        <f t="shared" si="28"/>
        <v>0</v>
      </c>
      <c r="H628" s="40"/>
      <c r="I628" s="25"/>
      <c r="J628" s="26"/>
      <c r="K628" s="27"/>
      <c r="L628" s="28"/>
      <c r="M628" s="28"/>
      <c r="N628" s="28"/>
      <c r="Q628" s="35"/>
      <c r="R628" s="13"/>
      <c r="S628" s="42"/>
      <c r="T628" s="42"/>
      <c r="U628" s="31"/>
      <c r="X628" s="32"/>
      <c r="Y628" s="28"/>
      <c r="Z628" s="28"/>
      <c r="AA628" s="33"/>
      <c r="AB628" s="13"/>
      <c r="AC628" s="34" t="str">
        <f t="shared" si="27"/>
        <v/>
      </c>
      <c r="AP628" s="57"/>
    </row>
    <row r="629" spans="2:42" ht="15" x14ac:dyDescent="0.25">
      <c r="B629" s="15">
        <v>627</v>
      </c>
      <c r="D629" s="17">
        <f t="shared" si="28"/>
        <v>0</v>
      </c>
      <c r="H629" s="40"/>
      <c r="I629" s="25"/>
      <c r="J629" s="26"/>
      <c r="K629" s="27"/>
      <c r="L629" s="28"/>
      <c r="M629" s="28"/>
      <c r="N629" s="28"/>
      <c r="Q629" s="35"/>
      <c r="R629" s="13"/>
      <c r="S629" s="42"/>
      <c r="T629" s="42"/>
      <c r="U629" s="31"/>
      <c r="X629" s="32"/>
      <c r="Y629" s="28"/>
      <c r="Z629" s="28"/>
      <c r="AA629" s="33"/>
      <c r="AB629" s="13"/>
      <c r="AC629" s="34" t="str">
        <f t="shared" si="27"/>
        <v/>
      </c>
      <c r="AP629" s="57"/>
    </row>
    <row r="630" spans="2:42" ht="15" x14ac:dyDescent="0.25">
      <c r="B630" s="15">
        <v>628</v>
      </c>
      <c r="D630" s="17">
        <f t="shared" si="28"/>
        <v>0</v>
      </c>
      <c r="H630" s="40"/>
      <c r="J630" s="26"/>
      <c r="K630" s="27"/>
      <c r="L630" s="28"/>
      <c r="M630" s="28"/>
      <c r="N630" s="28"/>
      <c r="Q630" s="35"/>
      <c r="R630" s="13"/>
      <c r="S630" s="42"/>
      <c r="T630" s="42"/>
      <c r="U630" s="31"/>
      <c r="X630" s="32"/>
      <c r="Y630" s="28"/>
      <c r="Z630" s="28"/>
      <c r="AA630" s="33"/>
      <c r="AB630" s="13"/>
      <c r="AC630" s="34" t="str">
        <f t="shared" si="27"/>
        <v/>
      </c>
      <c r="AP630" s="57"/>
    </row>
    <row r="631" spans="2:42" ht="15" x14ac:dyDescent="0.25">
      <c r="B631" s="15">
        <v>629</v>
      </c>
      <c r="D631" s="17">
        <f t="shared" si="28"/>
        <v>0</v>
      </c>
      <c r="F631" s="25"/>
      <c r="G631" s="25"/>
      <c r="H631" s="40"/>
      <c r="I631" s="25"/>
      <c r="J631" s="26"/>
      <c r="K631" s="27"/>
      <c r="L631" s="28"/>
      <c r="M631" s="28"/>
      <c r="N631" s="28"/>
      <c r="Q631" s="35"/>
      <c r="R631" s="13"/>
      <c r="S631" s="42"/>
      <c r="T631" s="42"/>
      <c r="U631" s="31"/>
      <c r="X631" s="32"/>
      <c r="Y631" s="28"/>
      <c r="Z631" s="28"/>
      <c r="AA631" s="33"/>
      <c r="AB631" s="13"/>
      <c r="AC631" s="34" t="str">
        <f t="shared" si="27"/>
        <v/>
      </c>
      <c r="AP631" s="57"/>
    </row>
    <row r="632" spans="2:42" ht="15" x14ac:dyDescent="0.25">
      <c r="B632" s="15">
        <v>630</v>
      </c>
      <c r="D632" s="17">
        <f t="shared" si="28"/>
        <v>0</v>
      </c>
      <c r="H632" s="40"/>
      <c r="I632" s="25"/>
      <c r="J632" s="26"/>
      <c r="K632" s="27"/>
      <c r="L632" s="28"/>
      <c r="M632" s="28"/>
      <c r="N632" s="28"/>
      <c r="Q632" s="35"/>
      <c r="R632" s="13"/>
      <c r="S632" s="42"/>
      <c r="T632" s="42"/>
      <c r="U632" s="31"/>
      <c r="X632" s="32"/>
      <c r="Y632" s="28"/>
      <c r="Z632" s="28"/>
      <c r="AA632" s="33"/>
      <c r="AB632" s="13"/>
      <c r="AC632" s="34" t="str">
        <f t="shared" si="27"/>
        <v/>
      </c>
      <c r="AP632" s="57"/>
    </row>
    <row r="633" spans="2:42" ht="15" x14ac:dyDescent="0.25">
      <c r="B633" s="15">
        <v>631</v>
      </c>
      <c r="D633" s="17">
        <f t="shared" si="28"/>
        <v>0</v>
      </c>
      <c r="H633" s="40"/>
      <c r="I633" s="25"/>
      <c r="J633" s="26"/>
      <c r="K633" s="27"/>
      <c r="L633" s="28"/>
      <c r="M633" s="28"/>
      <c r="N633" s="28"/>
      <c r="Q633" s="35"/>
      <c r="R633" s="13"/>
      <c r="S633" s="42"/>
      <c r="T633" s="42"/>
      <c r="U633" s="31"/>
      <c r="X633" s="32"/>
      <c r="Y633" s="28"/>
      <c r="Z633" s="28"/>
      <c r="AA633" s="33"/>
      <c r="AB633" s="13"/>
      <c r="AC633" s="34" t="str">
        <f t="shared" si="27"/>
        <v/>
      </c>
      <c r="AP633" s="57"/>
    </row>
    <row r="634" spans="2:42" ht="15" x14ac:dyDescent="0.25">
      <c r="B634" s="15">
        <v>632</v>
      </c>
      <c r="D634" s="17">
        <f t="shared" si="28"/>
        <v>0</v>
      </c>
      <c r="H634" s="40"/>
      <c r="I634" s="25"/>
      <c r="J634" s="26"/>
      <c r="K634" s="27"/>
      <c r="L634" s="28"/>
      <c r="M634" s="28"/>
      <c r="N634" s="28"/>
      <c r="Q634" s="35"/>
      <c r="R634" s="13"/>
      <c r="S634" s="42"/>
      <c r="T634" s="42"/>
      <c r="U634" s="31"/>
      <c r="X634" s="32"/>
      <c r="Y634" s="28"/>
      <c r="Z634" s="28"/>
      <c r="AA634" s="33"/>
      <c r="AB634" s="13"/>
      <c r="AC634" s="34" t="str">
        <f t="shared" si="27"/>
        <v/>
      </c>
      <c r="AP634" s="57"/>
    </row>
    <row r="635" spans="2:42" ht="15" x14ac:dyDescent="0.25">
      <c r="B635" s="15">
        <v>633</v>
      </c>
      <c r="D635" s="17">
        <f t="shared" si="28"/>
        <v>0</v>
      </c>
      <c r="H635" s="40"/>
      <c r="I635" s="25"/>
      <c r="J635" s="26"/>
      <c r="K635" s="27"/>
      <c r="L635" s="28"/>
      <c r="M635" s="28"/>
      <c r="N635" s="28"/>
      <c r="Q635" s="35"/>
      <c r="R635" s="13"/>
      <c r="S635" s="42"/>
      <c r="T635" s="42"/>
      <c r="U635" s="31"/>
      <c r="X635" s="32"/>
      <c r="Y635" s="28"/>
      <c r="Z635" s="28"/>
      <c r="AA635" s="33"/>
      <c r="AB635" s="13"/>
      <c r="AC635" s="34" t="str">
        <f t="shared" si="27"/>
        <v/>
      </c>
      <c r="AP635" s="57"/>
    </row>
    <row r="636" spans="2:42" ht="15" x14ac:dyDescent="0.25">
      <c r="B636" s="15">
        <v>634</v>
      </c>
      <c r="D636" s="17">
        <f t="shared" si="28"/>
        <v>0</v>
      </c>
      <c r="H636" s="40"/>
      <c r="I636" s="25"/>
      <c r="J636" s="26"/>
      <c r="K636" s="27"/>
      <c r="L636" s="28"/>
      <c r="M636" s="28"/>
      <c r="N636" s="28"/>
      <c r="Q636" s="35"/>
      <c r="R636" s="13"/>
      <c r="S636" s="42"/>
      <c r="T636" s="42"/>
      <c r="U636" s="31"/>
      <c r="X636" s="32"/>
      <c r="Y636" s="28"/>
      <c r="Z636" s="28"/>
      <c r="AA636" s="33"/>
      <c r="AB636" s="13"/>
      <c r="AC636" s="34" t="str">
        <f t="shared" si="27"/>
        <v/>
      </c>
      <c r="AP636" s="57"/>
    </row>
    <row r="637" spans="2:42" ht="15" x14ac:dyDescent="0.25">
      <c r="B637" s="15">
        <v>635</v>
      </c>
      <c r="D637" s="17">
        <f t="shared" si="28"/>
        <v>0</v>
      </c>
      <c r="H637" s="40"/>
      <c r="I637" s="25"/>
      <c r="J637" s="26"/>
      <c r="K637" s="27"/>
      <c r="L637" s="28"/>
      <c r="M637" s="28"/>
      <c r="N637" s="28"/>
      <c r="Q637" s="35"/>
      <c r="R637" s="13"/>
      <c r="S637" s="42"/>
      <c r="T637" s="42"/>
      <c r="U637" s="31"/>
      <c r="X637" s="32"/>
      <c r="Y637" s="28"/>
      <c r="Z637" s="28"/>
      <c r="AA637" s="33"/>
      <c r="AB637" s="13"/>
      <c r="AC637" s="34" t="str">
        <f t="shared" si="27"/>
        <v/>
      </c>
      <c r="AP637" s="57"/>
    </row>
    <row r="638" spans="2:42" ht="15" x14ac:dyDescent="0.25">
      <c r="B638" s="15">
        <v>636</v>
      </c>
      <c r="D638" s="17">
        <f t="shared" si="28"/>
        <v>0</v>
      </c>
      <c r="H638" s="40"/>
      <c r="I638" s="25"/>
      <c r="J638" s="26"/>
      <c r="K638" s="27"/>
      <c r="L638" s="28"/>
      <c r="M638" s="28"/>
      <c r="N638" s="28"/>
      <c r="Q638" s="35"/>
      <c r="R638" s="13"/>
      <c r="S638" s="42"/>
      <c r="T638" s="42"/>
      <c r="U638" s="31"/>
      <c r="X638" s="32"/>
      <c r="Y638" s="28"/>
      <c r="Z638" s="28"/>
      <c r="AA638" s="33"/>
      <c r="AB638" s="13"/>
      <c r="AC638" s="34" t="str">
        <f t="shared" si="27"/>
        <v/>
      </c>
      <c r="AP638" s="57"/>
    </row>
    <row r="639" spans="2:42" ht="15" x14ac:dyDescent="0.25">
      <c r="B639" s="15">
        <v>637</v>
      </c>
      <c r="D639" s="17">
        <f t="shared" si="28"/>
        <v>0</v>
      </c>
      <c r="H639" s="40"/>
      <c r="I639" s="25"/>
      <c r="J639" s="26"/>
      <c r="K639" s="27"/>
      <c r="L639" s="28"/>
      <c r="M639" s="28"/>
      <c r="N639" s="28"/>
      <c r="Q639" s="35"/>
      <c r="R639" s="13"/>
      <c r="S639" s="42"/>
      <c r="T639" s="42"/>
      <c r="U639" s="31"/>
      <c r="X639" s="32"/>
      <c r="Y639" s="28"/>
      <c r="Z639" s="28"/>
      <c r="AA639" s="33"/>
      <c r="AB639" s="13"/>
      <c r="AC639" s="34" t="str">
        <f t="shared" si="27"/>
        <v/>
      </c>
      <c r="AP639" s="57"/>
    </row>
    <row r="640" spans="2:42" ht="15" x14ac:dyDescent="0.25">
      <c r="B640" s="15">
        <v>638</v>
      </c>
      <c r="D640" s="17">
        <f t="shared" si="28"/>
        <v>0</v>
      </c>
      <c r="H640" s="40"/>
      <c r="J640" s="26"/>
      <c r="K640" s="27"/>
      <c r="L640" s="28"/>
      <c r="M640" s="28"/>
      <c r="N640" s="28"/>
      <c r="Q640" s="35"/>
      <c r="R640" s="13"/>
      <c r="S640" s="42"/>
      <c r="T640" s="42"/>
      <c r="U640" s="31"/>
      <c r="X640" s="32"/>
      <c r="Y640" s="28"/>
      <c r="Z640" s="28"/>
      <c r="AA640" s="33"/>
      <c r="AB640" s="13"/>
      <c r="AC640" s="34" t="str">
        <f t="shared" si="27"/>
        <v/>
      </c>
      <c r="AP640" s="57"/>
    </row>
    <row r="641" spans="2:42" ht="15" x14ac:dyDescent="0.25">
      <c r="B641" s="15">
        <v>639</v>
      </c>
      <c r="D641" s="17">
        <f t="shared" si="28"/>
        <v>0</v>
      </c>
      <c r="F641" s="25"/>
      <c r="G641" s="25"/>
      <c r="H641" s="40"/>
      <c r="I641" s="25"/>
      <c r="J641" s="26"/>
      <c r="K641" s="27"/>
      <c r="L641" s="28"/>
      <c r="M641" s="28"/>
      <c r="N641" s="28"/>
      <c r="Q641" s="35"/>
      <c r="R641" s="13"/>
      <c r="S641" s="42"/>
      <c r="T641" s="42"/>
      <c r="U641" s="31"/>
      <c r="X641" s="32"/>
      <c r="Y641" s="28"/>
      <c r="Z641" s="28"/>
      <c r="AA641" s="33"/>
      <c r="AB641" s="13"/>
      <c r="AC641" s="34" t="str">
        <f t="shared" si="27"/>
        <v/>
      </c>
      <c r="AP641" s="57"/>
    </row>
    <row r="642" spans="2:42" ht="15" x14ac:dyDescent="0.25">
      <c r="B642" s="15">
        <v>640</v>
      </c>
      <c r="D642" s="17">
        <f t="shared" si="28"/>
        <v>0</v>
      </c>
      <c r="H642" s="40"/>
      <c r="I642" s="25"/>
      <c r="J642" s="26"/>
      <c r="K642" s="27"/>
      <c r="L642" s="28"/>
      <c r="M642" s="28"/>
      <c r="N642" s="28"/>
      <c r="Q642" s="35"/>
      <c r="R642" s="13"/>
      <c r="S642" s="42"/>
      <c r="T642" s="42"/>
      <c r="U642" s="31"/>
      <c r="X642" s="32"/>
      <c r="Y642" s="28"/>
      <c r="Z642" s="28"/>
      <c r="AA642" s="33"/>
      <c r="AB642" s="13"/>
      <c r="AC642" s="34" t="str">
        <f t="shared" si="27"/>
        <v/>
      </c>
      <c r="AP642" s="57"/>
    </row>
    <row r="643" spans="2:42" ht="15" x14ac:dyDescent="0.25">
      <c r="B643" s="15">
        <v>641</v>
      </c>
      <c r="D643" s="17">
        <f t="shared" si="28"/>
        <v>0</v>
      </c>
      <c r="H643" s="40"/>
      <c r="I643" s="25"/>
      <c r="J643" s="26"/>
      <c r="K643" s="27"/>
      <c r="L643" s="28"/>
      <c r="M643" s="28"/>
      <c r="N643" s="28"/>
      <c r="Q643" s="35"/>
      <c r="R643" s="13"/>
      <c r="S643" s="42"/>
      <c r="T643" s="42"/>
      <c r="U643" s="31"/>
      <c r="X643" s="32"/>
      <c r="Y643" s="28"/>
      <c r="Z643" s="28"/>
      <c r="AA643" s="33"/>
      <c r="AB643" s="13"/>
      <c r="AC643" s="34" t="str">
        <f t="shared" ref="AC643:AC706" si="29">+IF(AB643="","",R643-AB643)</f>
        <v/>
      </c>
      <c r="AP643" s="57"/>
    </row>
    <row r="644" spans="2:42" ht="15" x14ac:dyDescent="0.25">
      <c r="B644" s="15">
        <v>642</v>
      </c>
      <c r="D644" s="17">
        <f t="shared" si="28"/>
        <v>0</v>
      </c>
      <c r="H644" s="40"/>
      <c r="I644" s="25"/>
      <c r="J644" s="26"/>
      <c r="K644" s="27"/>
      <c r="L644" s="28"/>
      <c r="M644" s="28"/>
      <c r="N644" s="28"/>
      <c r="Q644" s="35"/>
      <c r="R644" s="13"/>
      <c r="S644" s="42"/>
      <c r="T644" s="42"/>
      <c r="U644" s="31"/>
      <c r="X644" s="32"/>
      <c r="Y644" s="28"/>
      <c r="Z644" s="28"/>
      <c r="AA644" s="33"/>
      <c r="AB644" s="13"/>
      <c r="AC644" s="34" t="str">
        <f t="shared" si="29"/>
        <v/>
      </c>
      <c r="AP644" s="57"/>
    </row>
    <row r="645" spans="2:42" ht="15" x14ac:dyDescent="0.25">
      <c r="B645" s="15">
        <v>643</v>
      </c>
      <c r="D645" s="17">
        <f t="shared" si="28"/>
        <v>0</v>
      </c>
      <c r="H645" s="40"/>
      <c r="I645" s="25"/>
      <c r="J645" s="26"/>
      <c r="K645" s="27"/>
      <c r="L645" s="28"/>
      <c r="M645" s="28"/>
      <c r="N645" s="28"/>
      <c r="Q645" s="35"/>
      <c r="R645" s="13"/>
      <c r="S645" s="42"/>
      <c r="T645" s="42"/>
      <c r="U645" s="31"/>
      <c r="X645" s="32"/>
      <c r="Y645" s="28"/>
      <c r="Z645" s="28"/>
      <c r="AA645" s="33"/>
      <c r="AB645" s="13"/>
      <c r="AC645" s="34" t="str">
        <f t="shared" si="29"/>
        <v/>
      </c>
      <c r="AP645" s="57"/>
    </row>
    <row r="646" spans="2:42" ht="15" x14ac:dyDescent="0.25">
      <c r="B646" s="15">
        <v>644</v>
      </c>
      <c r="D646" s="17">
        <f t="shared" si="28"/>
        <v>0</v>
      </c>
      <c r="H646" s="40"/>
      <c r="I646" s="25"/>
      <c r="J646" s="26"/>
      <c r="K646" s="27"/>
      <c r="L646" s="28"/>
      <c r="M646" s="28"/>
      <c r="N646" s="28"/>
      <c r="Q646" s="35"/>
      <c r="R646" s="13"/>
      <c r="S646" s="42"/>
      <c r="T646" s="42"/>
      <c r="U646" s="31"/>
      <c r="X646" s="32"/>
      <c r="Y646" s="28"/>
      <c r="Z646" s="28"/>
      <c r="AA646" s="33"/>
      <c r="AB646" s="13"/>
      <c r="AC646" s="34" t="str">
        <f t="shared" si="29"/>
        <v/>
      </c>
      <c r="AP646" s="57"/>
    </row>
    <row r="647" spans="2:42" ht="15" x14ac:dyDescent="0.25">
      <c r="B647" s="15">
        <v>645</v>
      </c>
      <c r="D647" s="17">
        <f t="shared" si="28"/>
        <v>0</v>
      </c>
      <c r="H647" s="40"/>
      <c r="I647" s="25"/>
      <c r="J647" s="26"/>
      <c r="K647" s="27"/>
      <c r="L647" s="28"/>
      <c r="M647" s="28"/>
      <c r="N647" s="28"/>
      <c r="Q647" s="35"/>
      <c r="R647" s="13"/>
      <c r="S647" s="42"/>
      <c r="T647" s="42"/>
      <c r="U647" s="31"/>
      <c r="X647" s="32"/>
      <c r="Y647" s="28"/>
      <c r="Z647" s="28"/>
      <c r="AA647" s="33"/>
      <c r="AB647" s="13"/>
      <c r="AC647" s="34" t="str">
        <f t="shared" si="29"/>
        <v/>
      </c>
      <c r="AP647" s="57"/>
    </row>
    <row r="648" spans="2:42" ht="15" x14ac:dyDescent="0.25">
      <c r="B648" s="15">
        <v>646</v>
      </c>
      <c r="D648" s="17">
        <f t="shared" si="28"/>
        <v>0</v>
      </c>
      <c r="H648" s="40"/>
      <c r="I648" s="25"/>
      <c r="J648" s="26"/>
      <c r="K648" s="27"/>
      <c r="L648" s="28"/>
      <c r="M648" s="28"/>
      <c r="N648" s="28"/>
      <c r="Q648" s="35"/>
      <c r="R648" s="13"/>
      <c r="S648" s="42"/>
      <c r="T648" s="42"/>
      <c r="U648" s="31"/>
      <c r="X648" s="32"/>
      <c r="Y648" s="28"/>
      <c r="Z648" s="28"/>
      <c r="AA648" s="33"/>
      <c r="AB648" s="13"/>
      <c r="AC648" s="34" t="str">
        <f t="shared" si="29"/>
        <v/>
      </c>
      <c r="AP648" s="57"/>
    </row>
    <row r="649" spans="2:42" ht="15" x14ac:dyDescent="0.25">
      <c r="B649" s="15">
        <v>647</v>
      </c>
      <c r="D649" s="17">
        <f t="shared" si="28"/>
        <v>0</v>
      </c>
      <c r="H649" s="40"/>
      <c r="I649" s="25"/>
      <c r="J649" s="26"/>
      <c r="K649" s="27"/>
      <c r="L649" s="28"/>
      <c r="M649" s="28"/>
      <c r="N649" s="28"/>
      <c r="Q649" s="35"/>
      <c r="R649" s="13"/>
      <c r="S649" s="42"/>
      <c r="T649" s="42"/>
      <c r="U649" s="31"/>
      <c r="X649" s="32"/>
      <c r="Y649" s="28"/>
      <c r="Z649" s="28"/>
      <c r="AA649" s="33"/>
      <c r="AB649" s="13"/>
      <c r="AC649" s="34" t="str">
        <f t="shared" si="29"/>
        <v/>
      </c>
      <c r="AP649" s="57"/>
    </row>
    <row r="650" spans="2:42" ht="15" x14ac:dyDescent="0.25">
      <c r="B650" s="15">
        <v>648</v>
      </c>
      <c r="D650" s="17">
        <f t="shared" si="28"/>
        <v>0</v>
      </c>
      <c r="H650" s="40"/>
      <c r="I650" s="25"/>
      <c r="J650" s="26"/>
      <c r="K650" s="27"/>
      <c r="L650" s="28"/>
      <c r="M650" s="28"/>
      <c r="N650" s="28"/>
      <c r="Q650" s="35"/>
      <c r="R650" s="13"/>
      <c r="S650" s="42"/>
      <c r="T650" s="42"/>
      <c r="U650" s="31"/>
      <c r="X650" s="32"/>
      <c r="Y650" s="28"/>
      <c r="Z650" s="28"/>
      <c r="AA650" s="33"/>
      <c r="AB650" s="13"/>
      <c r="AC650" s="34" t="str">
        <f t="shared" si="29"/>
        <v/>
      </c>
      <c r="AP650" s="57"/>
    </row>
    <row r="651" spans="2:42" ht="15" x14ac:dyDescent="0.25">
      <c r="B651" s="15">
        <v>649</v>
      </c>
      <c r="D651" s="17">
        <f t="shared" si="28"/>
        <v>0</v>
      </c>
      <c r="H651" s="40"/>
      <c r="I651" s="25"/>
      <c r="J651" s="26"/>
      <c r="K651" s="27"/>
      <c r="L651" s="28"/>
      <c r="M651" s="28"/>
      <c r="N651" s="28"/>
      <c r="Q651" s="35"/>
      <c r="R651" s="13"/>
      <c r="S651" s="42"/>
      <c r="T651" s="42"/>
      <c r="U651" s="31"/>
      <c r="X651" s="32"/>
      <c r="Y651" s="28"/>
      <c r="Z651" s="28"/>
      <c r="AA651" s="33"/>
      <c r="AB651" s="13"/>
      <c r="AC651" s="34" t="str">
        <f t="shared" si="29"/>
        <v/>
      </c>
      <c r="AP651" s="57"/>
    </row>
    <row r="652" spans="2:42" ht="15" x14ac:dyDescent="0.25">
      <c r="B652" s="15">
        <v>650</v>
      </c>
      <c r="D652" s="17">
        <f t="shared" si="28"/>
        <v>0</v>
      </c>
      <c r="H652" s="40"/>
      <c r="I652" s="25"/>
      <c r="J652" s="26"/>
      <c r="K652" s="27"/>
      <c r="L652" s="28"/>
      <c r="M652" s="28"/>
      <c r="N652" s="28"/>
      <c r="Q652" s="35"/>
      <c r="R652" s="13"/>
      <c r="S652" s="42"/>
      <c r="T652" s="42"/>
      <c r="U652" s="31"/>
      <c r="X652" s="32"/>
      <c r="Y652" s="28"/>
      <c r="Z652" s="28"/>
      <c r="AA652" s="33"/>
      <c r="AB652" s="13"/>
      <c r="AC652" s="34" t="str">
        <f t="shared" si="29"/>
        <v/>
      </c>
      <c r="AP652" s="57"/>
    </row>
    <row r="653" spans="2:42" ht="15" x14ac:dyDescent="0.25">
      <c r="B653" s="15">
        <v>651</v>
      </c>
      <c r="D653" s="17">
        <f t="shared" si="28"/>
        <v>0</v>
      </c>
      <c r="H653" s="40"/>
      <c r="I653" s="25"/>
      <c r="J653" s="26"/>
      <c r="K653" s="27"/>
      <c r="L653" s="28"/>
      <c r="M653" s="28"/>
      <c r="N653" s="28"/>
      <c r="Q653" s="35"/>
      <c r="R653" s="13"/>
      <c r="S653" s="42"/>
      <c r="T653" s="42"/>
      <c r="U653" s="31"/>
      <c r="X653" s="32"/>
      <c r="Y653" s="28"/>
      <c r="Z653" s="28"/>
      <c r="AA653" s="33"/>
      <c r="AB653" s="13"/>
      <c r="AC653" s="34" t="str">
        <f t="shared" si="29"/>
        <v/>
      </c>
      <c r="AP653" s="57"/>
    </row>
    <row r="654" spans="2:42" ht="15" x14ac:dyDescent="0.25">
      <c r="B654" s="15">
        <v>652</v>
      </c>
      <c r="D654" s="17">
        <f t="shared" si="28"/>
        <v>0</v>
      </c>
      <c r="H654" s="40"/>
      <c r="I654" s="25"/>
      <c r="J654" s="26"/>
      <c r="K654" s="27"/>
      <c r="L654" s="28"/>
      <c r="M654" s="28"/>
      <c r="N654" s="28"/>
      <c r="Q654" s="35"/>
      <c r="R654" s="13"/>
      <c r="S654" s="42"/>
      <c r="T654" s="42"/>
      <c r="U654" s="31"/>
      <c r="X654" s="32"/>
      <c r="Y654" s="28"/>
      <c r="Z654" s="28"/>
      <c r="AA654" s="33"/>
      <c r="AB654" s="13"/>
      <c r="AC654" s="34" t="str">
        <f t="shared" si="29"/>
        <v/>
      </c>
      <c r="AP654" s="57"/>
    </row>
    <row r="655" spans="2:42" ht="15" x14ac:dyDescent="0.25">
      <c r="B655" s="15">
        <v>653</v>
      </c>
      <c r="D655" s="17">
        <f t="shared" si="28"/>
        <v>0</v>
      </c>
      <c r="H655" s="40"/>
      <c r="I655" s="25"/>
      <c r="J655" s="26"/>
      <c r="K655" s="27"/>
      <c r="L655" s="28"/>
      <c r="M655" s="28"/>
      <c r="N655" s="28"/>
      <c r="Q655" s="35"/>
      <c r="R655" s="13"/>
      <c r="S655" s="42"/>
      <c r="T655" s="42"/>
      <c r="U655" s="31"/>
      <c r="X655" s="32"/>
      <c r="Y655" s="28"/>
      <c r="Z655" s="28"/>
      <c r="AA655" s="33"/>
      <c r="AB655" s="13"/>
      <c r="AC655" s="34" t="str">
        <f t="shared" si="29"/>
        <v/>
      </c>
      <c r="AP655" s="57"/>
    </row>
    <row r="656" spans="2:42" ht="15" x14ac:dyDescent="0.25">
      <c r="B656" s="15">
        <v>654</v>
      </c>
      <c r="C656" s="17"/>
      <c r="D656" s="17">
        <f t="shared" si="28"/>
        <v>0</v>
      </c>
      <c r="F656" s="25"/>
      <c r="G656" s="25"/>
      <c r="H656" s="25"/>
      <c r="I656" s="25"/>
      <c r="J656" s="26"/>
      <c r="K656" s="27"/>
      <c r="L656" s="28"/>
      <c r="M656" s="28"/>
      <c r="N656" s="28"/>
      <c r="P656" s="29"/>
      <c r="Q656" s="35"/>
      <c r="R656" s="13"/>
      <c r="T656" s="45"/>
      <c r="U656" s="45"/>
      <c r="X656" s="32"/>
      <c r="Y656" s="28"/>
      <c r="Z656" s="28"/>
      <c r="AA656" s="33"/>
      <c r="AB656" s="34"/>
      <c r="AC656" s="34" t="str">
        <f t="shared" si="29"/>
        <v/>
      </c>
      <c r="AP656" s="57"/>
    </row>
    <row r="657" spans="2:42" ht="15" x14ac:dyDescent="0.25">
      <c r="B657" s="15">
        <v>655</v>
      </c>
      <c r="C657" s="17"/>
      <c r="D657" s="17">
        <f t="shared" si="28"/>
        <v>0</v>
      </c>
      <c r="F657" s="25"/>
      <c r="G657" s="25"/>
      <c r="H657" s="25"/>
      <c r="I657" s="25"/>
      <c r="J657" s="26"/>
      <c r="K657" s="27"/>
      <c r="L657" s="28"/>
      <c r="M657" s="28"/>
      <c r="N657" s="28"/>
      <c r="P657" s="29"/>
      <c r="Q657" s="35"/>
      <c r="R657" s="13"/>
      <c r="T657" s="45"/>
      <c r="U657" s="45"/>
      <c r="X657" s="32"/>
      <c r="Y657" s="28"/>
      <c r="Z657" s="28"/>
      <c r="AA657" s="33"/>
      <c r="AB657" s="34"/>
      <c r="AC657" s="34" t="str">
        <f t="shared" si="29"/>
        <v/>
      </c>
      <c r="AP657" s="57"/>
    </row>
    <row r="658" spans="2:42" ht="15" x14ac:dyDescent="0.25">
      <c r="B658" s="15">
        <v>656</v>
      </c>
      <c r="C658" s="17"/>
      <c r="D658" s="17">
        <f t="shared" si="28"/>
        <v>0</v>
      </c>
      <c r="F658" s="25"/>
      <c r="G658" s="25"/>
      <c r="H658" s="25"/>
      <c r="I658" s="25"/>
      <c r="J658" s="26"/>
      <c r="K658" s="27"/>
      <c r="L658" s="28"/>
      <c r="M658" s="28"/>
      <c r="N658" s="28"/>
      <c r="P658" s="29"/>
      <c r="Q658" s="35"/>
      <c r="R658" s="13"/>
      <c r="T658" s="45"/>
      <c r="U658" s="45"/>
      <c r="X658" s="32"/>
      <c r="Y658" s="28"/>
      <c r="Z658" s="28"/>
      <c r="AA658" s="33"/>
      <c r="AB658" s="34"/>
      <c r="AC658" s="34" t="str">
        <f t="shared" si="29"/>
        <v/>
      </c>
      <c r="AP658" s="57"/>
    </row>
    <row r="659" spans="2:42" ht="15" x14ac:dyDescent="0.25">
      <c r="B659" s="15">
        <v>657</v>
      </c>
      <c r="C659" s="17"/>
      <c r="D659" s="17">
        <f t="shared" si="28"/>
        <v>0</v>
      </c>
      <c r="F659" s="25"/>
      <c r="G659" s="25"/>
      <c r="H659" s="25"/>
      <c r="I659" s="25"/>
      <c r="J659" s="26"/>
      <c r="K659" s="27"/>
      <c r="L659" s="28"/>
      <c r="M659" s="28"/>
      <c r="N659" s="28"/>
      <c r="P659" s="29"/>
      <c r="Q659" s="35"/>
      <c r="R659" s="13"/>
      <c r="T659" s="45"/>
      <c r="U659" s="45"/>
      <c r="X659" s="32"/>
      <c r="Y659" s="28"/>
      <c r="Z659" s="28"/>
      <c r="AA659" s="33"/>
      <c r="AB659" s="34"/>
      <c r="AC659" s="34" t="str">
        <f t="shared" si="29"/>
        <v/>
      </c>
      <c r="AP659" s="57"/>
    </row>
    <row r="660" spans="2:42" ht="15" x14ac:dyDescent="0.25">
      <c r="B660" s="15">
        <v>658</v>
      </c>
      <c r="D660" s="17">
        <f t="shared" si="28"/>
        <v>0</v>
      </c>
      <c r="H660" s="40"/>
      <c r="J660" s="26"/>
      <c r="K660" s="27"/>
      <c r="L660" s="28"/>
      <c r="M660" s="28"/>
      <c r="N660" s="28"/>
      <c r="Q660" s="35"/>
      <c r="R660" s="13"/>
      <c r="S660" s="42"/>
      <c r="T660" s="42"/>
      <c r="U660" s="31"/>
      <c r="X660" s="32"/>
      <c r="Y660" s="28"/>
      <c r="Z660" s="28"/>
      <c r="AA660" s="33"/>
      <c r="AB660" s="13"/>
      <c r="AC660" s="34" t="str">
        <f t="shared" si="29"/>
        <v/>
      </c>
      <c r="AP660" s="57"/>
    </row>
    <row r="661" spans="2:42" ht="15" x14ac:dyDescent="0.25">
      <c r="B661" s="15">
        <v>659</v>
      </c>
      <c r="D661" s="17">
        <f t="shared" si="28"/>
        <v>0</v>
      </c>
      <c r="F661" s="25"/>
      <c r="G661" s="25"/>
      <c r="H661" s="40"/>
      <c r="I661" s="25"/>
      <c r="J661" s="26"/>
      <c r="K661" s="27"/>
      <c r="L661" s="28"/>
      <c r="M661" s="28"/>
      <c r="N661" s="28"/>
      <c r="Q661" s="35"/>
      <c r="R661" s="13"/>
      <c r="S661" s="42"/>
      <c r="T661" s="42"/>
      <c r="U661" s="31"/>
      <c r="X661" s="32"/>
      <c r="Y661" s="28"/>
      <c r="Z661" s="28"/>
      <c r="AA661" s="33"/>
      <c r="AB661" s="13"/>
      <c r="AC661" s="34" t="str">
        <f t="shared" si="29"/>
        <v/>
      </c>
      <c r="AP661" s="57"/>
    </row>
    <row r="662" spans="2:42" ht="15" x14ac:dyDescent="0.25">
      <c r="B662" s="15">
        <v>660</v>
      </c>
      <c r="D662" s="17">
        <f t="shared" si="28"/>
        <v>0</v>
      </c>
      <c r="H662" s="40"/>
      <c r="I662" s="25"/>
      <c r="J662" s="26"/>
      <c r="K662" s="27"/>
      <c r="L662" s="28"/>
      <c r="M662" s="28"/>
      <c r="N662" s="28"/>
      <c r="Q662" s="35"/>
      <c r="R662" s="13"/>
      <c r="S662" s="42"/>
      <c r="T662" s="42"/>
      <c r="U662" s="31"/>
      <c r="X662" s="32"/>
      <c r="Y662" s="28"/>
      <c r="Z662" s="28"/>
      <c r="AA662" s="33"/>
      <c r="AB662" s="13"/>
      <c r="AC662" s="34" t="str">
        <f t="shared" si="29"/>
        <v/>
      </c>
      <c r="AP662" s="57"/>
    </row>
    <row r="663" spans="2:42" ht="15" x14ac:dyDescent="0.25">
      <c r="B663" s="15">
        <v>661</v>
      </c>
      <c r="D663" s="17">
        <f t="shared" si="28"/>
        <v>0</v>
      </c>
      <c r="H663" s="40"/>
      <c r="I663" s="25"/>
      <c r="J663" s="26"/>
      <c r="K663" s="27"/>
      <c r="L663" s="28"/>
      <c r="M663" s="28"/>
      <c r="N663" s="28"/>
      <c r="Q663" s="35"/>
      <c r="R663" s="13"/>
      <c r="S663" s="42"/>
      <c r="T663" s="42"/>
      <c r="U663" s="31"/>
      <c r="X663" s="32"/>
      <c r="Y663" s="28"/>
      <c r="Z663" s="28"/>
      <c r="AA663" s="33"/>
      <c r="AB663" s="13"/>
      <c r="AC663" s="34" t="str">
        <f t="shared" si="29"/>
        <v/>
      </c>
      <c r="AP663" s="57"/>
    </row>
    <row r="664" spans="2:42" ht="15" x14ac:dyDescent="0.25">
      <c r="B664" s="15">
        <v>662</v>
      </c>
      <c r="D664" s="17">
        <f t="shared" si="28"/>
        <v>0</v>
      </c>
      <c r="H664" s="40"/>
      <c r="I664" s="25"/>
      <c r="J664" s="26"/>
      <c r="K664" s="27"/>
      <c r="L664" s="28"/>
      <c r="M664" s="28"/>
      <c r="N664" s="28"/>
      <c r="Q664" s="35"/>
      <c r="R664" s="13"/>
      <c r="S664" s="42"/>
      <c r="T664" s="42"/>
      <c r="U664" s="31"/>
      <c r="X664" s="32"/>
      <c r="Y664" s="28"/>
      <c r="Z664" s="28"/>
      <c r="AA664" s="33"/>
      <c r="AB664" s="13"/>
      <c r="AC664" s="34" t="str">
        <f t="shared" si="29"/>
        <v/>
      </c>
      <c r="AP664" s="57"/>
    </row>
    <row r="665" spans="2:42" ht="15" x14ac:dyDescent="0.25">
      <c r="B665" s="15">
        <v>663</v>
      </c>
      <c r="D665" s="17">
        <f t="shared" si="28"/>
        <v>0</v>
      </c>
      <c r="H665" s="40"/>
      <c r="I665" s="25"/>
      <c r="J665" s="26"/>
      <c r="K665" s="27"/>
      <c r="L665" s="28"/>
      <c r="M665" s="28"/>
      <c r="N665" s="28"/>
      <c r="Q665" s="35"/>
      <c r="R665" s="13"/>
      <c r="S665" s="42"/>
      <c r="T665" s="42"/>
      <c r="U665" s="31"/>
      <c r="X665" s="32"/>
      <c r="Y665" s="28"/>
      <c r="Z665" s="28"/>
      <c r="AA665" s="33"/>
      <c r="AB665" s="13"/>
      <c r="AC665" s="34" t="str">
        <f t="shared" si="29"/>
        <v/>
      </c>
      <c r="AP665" s="57"/>
    </row>
    <row r="666" spans="2:42" ht="15" x14ac:dyDescent="0.25">
      <c r="B666" s="15">
        <v>664</v>
      </c>
      <c r="D666" s="17">
        <f t="shared" si="28"/>
        <v>0</v>
      </c>
      <c r="H666" s="40"/>
      <c r="I666" s="25"/>
      <c r="J666" s="26"/>
      <c r="K666" s="27"/>
      <c r="L666" s="28"/>
      <c r="M666" s="28"/>
      <c r="N666" s="28"/>
      <c r="Q666" s="35"/>
      <c r="R666" s="13"/>
      <c r="S666" s="42"/>
      <c r="T666" s="42"/>
      <c r="U666" s="31"/>
      <c r="X666" s="32"/>
      <c r="Y666" s="28"/>
      <c r="Z666" s="28"/>
      <c r="AA666" s="33"/>
      <c r="AB666" s="13"/>
      <c r="AC666" s="34" t="str">
        <f t="shared" si="29"/>
        <v/>
      </c>
      <c r="AP666" s="57"/>
    </row>
    <row r="667" spans="2:42" ht="15" x14ac:dyDescent="0.25">
      <c r="B667" s="15">
        <v>665</v>
      </c>
      <c r="D667" s="17">
        <f t="shared" si="28"/>
        <v>0</v>
      </c>
      <c r="H667" s="40"/>
      <c r="I667" s="25"/>
      <c r="J667" s="26"/>
      <c r="K667" s="27"/>
      <c r="L667" s="28"/>
      <c r="M667" s="28"/>
      <c r="N667" s="28"/>
      <c r="Q667" s="35"/>
      <c r="R667" s="13"/>
      <c r="S667" s="42"/>
      <c r="T667" s="42"/>
      <c r="U667" s="31"/>
      <c r="X667" s="32"/>
      <c r="Y667" s="28"/>
      <c r="Z667" s="28"/>
      <c r="AA667" s="33"/>
      <c r="AB667" s="13"/>
      <c r="AC667" s="34" t="str">
        <f t="shared" si="29"/>
        <v/>
      </c>
      <c r="AP667" s="57"/>
    </row>
    <row r="668" spans="2:42" ht="15" x14ac:dyDescent="0.25">
      <c r="B668" s="15">
        <v>666</v>
      </c>
      <c r="D668" s="17">
        <f t="shared" si="28"/>
        <v>0</v>
      </c>
      <c r="H668" s="40"/>
      <c r="I668" s="25"/>
      <c r="J668" s="26"/>
      <c r="K668" s="27"/>
      <c r="L668" s="28"/>
      <c r="M668" s="28"/>
      <c r="N668" s="28"/>
      <c r="Q668" s="35"/>
      <c r="R668" s="13"/>
      <c r="S668" s="42"/>
      <c r="T668" s="42"/>
      <c r="U668" s="31"/>
      <c r="X668" s="32"/>
      <c r="Y668" s="28"/>
      <c r="Z668" s="28"/>
      <c r="AA668" s="33"/>
      <c r="AB668" s="13"/>
      <c r="AC668" s="34" t="str">
        <f t="shared" si="29"/>
        <v/>
      </c>
      <c r="AP668" s="57"/>
    </row>
    <row r="669" spans="2:42" ht="15" x14ac:dyDescent="0.25">
      <c r="B669" s="15">
        <v>667</v>
      </c>
      <c r="D669" s="17">
        <f t="shared" si="28"/>
        <v>0</v>
      </c>
      <c r="H669" s="40"/>
      <c r="J669" s="26"/>
      <c r="K669" s="27"/>
      <c r="L669" s="28"/>
      <c r="M669" s="28"/>
      <c r="N669" s="28"/>
      <c r="Q669" s="35"/>
      <c r="R669" s="13"/>
      <c r="S669" s="42"/>
      <c r="T669" s="42"/>
      <c r="U669" s="31"/>
      <c r="X669" s="32"/>
      <c r="Y669" s="28"/>
      <c r="Z669" s="28"/>
      <c r="AA669" s="33"/>
      <c r="AB669" s="13"/>
      <c r="AC669" s="34" t="str">
        <f t="shared" si="29"/>
        <v/>
      </c>
      <c r="AP669" s="57"/>
    </row>
    <row r="670" spans="2:42" ht="15" x14ac:dyDescent="0.25">
      <c r="B670" s="15">
        <v>668</v>
      </c>
      <c r="D670" s="17">
        <f t="shared" si="28"/>
        <v>0</v>
      </c>
      <c r="F670" s="25"/>
      <c r="G670" s="25"/>
      <c r="H670" s="40"/>
      <c r="I670" s="25"/>
      <c r="J670" s="26"/>
      <c r="K670" s="27"/>
      <c r="L670" s="28"/>
      <c r="M670" s="28"/>
      <c r="N670" s="28"/>
      <c r="Q670" s="35"/>
      <c r="R670" s="13"/>
      <c r="S670" s="42"/>
      <c r="T670" s="42"/>
      <c r="U670" s="31"/>
      <c r="X670" s="32"/>
      <c r="Y670" s="28"/>
      <c r="Z670" s="28"/>
      <c r="AA670" s="33"/>
      <c r="AB670" s="13"/>
      <c r="AC670" s="34" t="str">
        <f t="shared" si="29"/>
        <v/>
      </c>
      <c r="AP670" s="57"/>
    </row>
    <row r="671" spans="2:42" ht="15" x14ac:dyDescent="0.25">
      <c r="B671" s="15">
        <v>669</v>
      </c>
      <c r="D671" s="17">
        <f t="shared" si="28"/>
        <v>0</v>
      </c>
      <c r="F671" s="25"/>
      <c r="G671" s="25"/>
      <c r="H671" s="40"/>
      <c r="I671" s="25"/>
      <c r="J671" s="26"/>
      <c r="K671" s="27"/>
      <c r="L671" s="28"/>
      <c r="M671" s="28"/>
      <c r="N671" s="28"/>
      <c r="Q671" s="35"/>
      <c r="R671" s="13"/>
      <c r="S671" s="42"/>
      <c r="T671" s="42"/>
      <c r="U671" s="31"/>
      <c r="X671" s="32"/>
      <c r="Y671" s="28"/>
      <c r="Z671" s="28"/>
      <c r="AA671" s="33"/>
      <c r="AB671" s="13"/>
      <c r="AC671" s="34" t="str">
        <f t="shared" si="29"/>
        <v/>
      </c>
      <c r="AP671" s="57"/>
    </row>
    <row r="672" spans="2:42" ht="15" x14ac:dyDescent="0.25">
      <c r="B672" s="15">
        <v>670</v>
      </c>
      <c r="D672" s="17">
        <f t="shared" si="28"/>
        <v>0</v>
      </c>
      <c r="H672" s="40"/>
      <c r="I672" s="25"/>
      <c r="J672" s="26"/>
      <c r="K672" s="27"/>
      <c r="L672" s="28"/>
      <c r="M672" s="28"/>
      <c r="N672" s="28"/>
      <c r="Q672" s="35"/>
      <c r="R672" s="13"/>
      <c r="S672" s="42"/>
      <c r="T672" s="42"/>
      <c r="U672" s="31"/>
      <c r="X672" s="32"/>
      <c r="Y672" s="28"/>
      <c r="Z672" s="28"/>
      <c r="AA672" s="33"/>
      <c r="AB672" s="13"/>
      <c r="AC672" s="34" t="str">
        <f t="shared" si="29"/>
        <v/>
      </c>
      <c r="AP672" s="57"/>
    </row>
    <row r="673" spans="2:42" ht="15" x14ac:dyDescent="0.25">
      <c r="B673" s="15">
        <v>671</v>
      </c>
      <c r="D673" s="17">
        <f t="shared" si="28"/>
        <v>0</v>
      </c>
      <c r="H673" s="40"/>
      <c r="I673" s="25"/>
      <c r="J673" s="26"/>
      <c r="K673" s="27"/>
      <c r="L673" s="28"/>
      <c r="M673" s="28"/>
      <c r="N673" s="28"/>
      <c r="Q673" s="35"/>
      <c r="R673" s="13"/>
      <c r="S673" s="42"/>
      <c r="T673" s="42"/>
      <c r="U673" s="31"/>
      <c r="X673" s="32"/>
      <c r="Y673" s="28"/>
      <c r="Z673" s="28"/>
      <c r="AA673" s="33"/>
      <c r="AB673" s="13"/>
      <c r="AC673" s="34" t="str">
        <f t="shared" si="29"/>
        <v/>
      </c>
      <c r="AP673" s="57"/>
    </row>
    <row r="674" spans="2:42" ht="15" x14ac:dyDescent="0.25">
      <c r="B674" s="15">
        <v>672</v>
      </c>
      <c r="D674" s="17">
        <f t="shared" si="28"/>
        <v>0</v>
      </c>
      <c r="H674" s="40"/>
      <c r="I674" s="25"/>
      <c r="J674" s="26"/>
      <c r="K674" s="27"/>
      <c r="L674" s="28"/>
      <c r="M674" s="28"/>
      <c r="N674" s="28"/>
      <c r="Q674" s="35"/>
      <c r="R674" s="13"/>
      <c r="S674" s="42"/>
      <c r="T674" s="42"/>
      <c r="U674" s="31"/>
      <c r="X674" s="32"/>
      <c r="Y674" s="28"/>
      <c r="Z674" s="28"/>
      <c r="AA674" s="33"/>
      <c r="AB674" s="13"/>
      <c r="AC674" s="34" t="str">
        <f t="shared" si="29"/>
        <v/>
      </c>
      <c r="AP674" s="57"/>
    </row>
    <row r="675" spans="2:42" ht="15" x14ac:dyDescent="0.25">
      <c r="B675" s="15">
        <v>673</v>
      </c>
      <c r="D675" s="17">
        <f t="shared" si="28"/>
        <v>0</v>
      </c>
      <c r="H675" s="40"/>
      <c r="I675" s="25"/>
      <c r="J675" s="26"/>
      <c r="K675" s="27"/>
      <c r="L675" s="28"/>
      <c r="M675" s="28"/>
      <c r="N675" s="28"/>
      <c r="Q675" s="35"/>
      <c r="R675" s="13"/>
      <c r="S675" s="42"/>
      <c r="T675" s="42"/>
      <c r="U675" s="31"/>
      <c r="X675" s="32"/>
      <c r="Y675" s="28"/>
      <c r="Z675" s="28"/>
      <c r="AA675" s="33"/>
      <c r="AB675" s="13"/>
      <c r="AC675" s="34" t="str">
        <f t="shared" si="29"/>
        <v/>
      </c>
      <c r="AP675" s="57"/>
    </row>
    <row r="676" spans="2:42" ht="15" x14ac:dyDescent="0.25">
      <c r="B676" s="15">
        <v>674</v>
      </c>
      <c r="D676" s="17">
        <f t="shared" si="28"/>
        <v>0</v>
      </c>
      <c r="H676" s="40"/>
      <c r="I676" s="25"/>
      <c r="J676" s="26"/>
      <c r="K676" s="27"/>
      <c r="L676" s="28"/>
      <c r="M676" s="28"/>
      <c r="N676" s="28"/>
      <c r="Q676" s="35"/>
      <c r="R676" s="13"/>
      <c r="S676" s="42"/>
      <c r="T676" s="42"/>
      <c r="U676" s="31"/>
      <c r="X676" s="32"/>
      <c r="Y676" s="28"/>
      <c r="Z676" s="28"/>
      <c r="AA676" s="33"/>
      <c r="AB676" s="13"/>
      <c r="AC676" s="34" t="str">
        <f t="shared" si="29"/>
        <v/>
      </c>
      <c r="AP676" s="57"/>
    </row>
    <row r="677" spans="2:42" ht="15" x14ac:dyDescent="0.25">
      <c r="B677" s="15">
        <v>675</v>
      </c>
      <c r="D677" s="17">
        <f t="shared" si="28"/>
        <v>0</v>
      </c>
      <c r="H677" s="40"/>
      <c r="I677" s="25"/>
      <c r="J677" s="26"/>
      <c r="K677" s="27"/>
      <c r="L677" s="28"/>
      <c r="M677" s="28"/>
      <c r="N677" s="28"/>
      <c r="Q677" s="35"/>
      <c r="R677" s="13"/>
      <c r="S677" s="42"/>
      <c r="T677" s="42"/>
      <c r="U677" s="31"/>
      <c r="X677" s="32"/>
      <c r="Y677" s="28"/>
      <c r="Z677" s="28"/>
      <c r="AA677" s="33"/>
      <c r="AB677" s="13"/>
      <c r="AC677" s="34" t="str">
        <f t="shared" si="29"/>
        <v/>
      </c>
      <c r="AP677" s="57"/>
    </row>
    <row r="678" spans="2:42" ht="15" x14ac:dyDescent="0.25">
      <c r="B678" s="15">
        <v>676</v>
      </c>
      <c r="D678" s="17">
        <f t="shared" si="28"/>
        <v>0</v>
      </c>
      <c r="H678" s="40"/>
      <c r="I678" s="25"/>
      <c r="J678" s="26"/>
      <c r="K678" s="27"/>
      <c r="L678" s="28"/>
      <c r="M678" s="28"/>
      <c r="N678" s="28"/>
      <c r="Q678" s="35"/>
      <c r="R678" s="13"/>
      <c r="S678" s="42"/>
      <c r="T678" s="42"/>
      <c r="U678" s="31"/>
      <c r="X678" s="32"/>
      <c r="Y678" s="28"/>
      <c r="Z678" s="28"/>
      <c r="AA678" s="33"/>
      <c r="AB678" s="13"/>
      <c r="AC678" s="34" t="str">
        <f t="shared" si="29"/>
        <v/>
      </c>
      <c r="AP678" s="57"/>
    </row>
    <row r="679" spans="2:42" ht="15" x14ac:dyDescent="0.25">
      <c r="B679" s="15">
        <v>677</v>
      </c>
      <c r="D679" s="17">
        <f t="shared" si="28"/>
        <v>0</v>
      </c>
      <c r="H679" s="40"/>
      <c r="I679" s="25"/>
      <c r="J679" s="26"/>
      <c r="K679" s="27"/>
      <c r="L679" s="28"/>
      <c r="M679" s="28"/>
      <c r="N679" s="28"/>
      <c r="Q679" s="35"/>
      <c r="R679" s="13"/>
      <c r="S679" s="42"/>
      <c r="T679" s="42"/>
      <c r="U679" s="31"/>
      <c r="X679" s="32"/>
      <c r="Y679" s="28"/>
      <c r="Z679" s="28"/>
      <c r="AA679" s="33"/>
      <c r="AB679" s="13"/>
      <c r="AC679" s="34" t="str">
        <f t="shared" si="29"/>
        <v/>
      </c>
      <c r="AP679" s="57"/>
    </row>
    <row r="680" spans="2:42" ht="15" x14ac:dyDescent="0.25">
      <c r="B680" s="15">
        <v>678</v>
      </c>
      <c r="D680" s="17">
        <f t="shared" si="28"/>
        <v>0</v>
      </c>
      <c r="H680" s="40"/>
      <c r="I680" s="25"/>
      <c r="J680" s="26"/>
      <c r="K680" s="27"/>
      <c r="L680" s="28"/>
      <c r="M680" s="28"/>
      <c r="N680" s="28"/>
      <c r="Q680" s="35"/>
      <c r="R680" s="13"/>
      <c r="S680" s="42"/>
      <c r="T680" s="42"/>
      <c r="U680" s="31"/>
      <c r="X680" s="32"/>
      <c r="Y680" s="28"/>
      <c r="Z680" s="28"/>
      <c r="AA680" s="33"/>
      <c r="AB680" s="13"/>
      <c r="AC680" s="34" t="str">
        <f t="shared" si="29"/>
        <v/>
      </c>
      <c r="AP680" s="57"/>
    </row>
    <row r="681" spans="2:42" ht="15" x14ac:dyDescent="0.25">
      <c r="B681" s="15">
        <v>679</v>
      </c>
      <c r="D681" s="17">
        <f t="shared" si="28"/>
        <v>0</v>
      </c>
      <c r="H681" s="40"/>
      <c r="I681" s="25"/>
      <c r="J681" s="26"/>
      <c r="K681" s="27"/>
      <c r="L681" s="28"/>
      <c r="M681" s="28"/>
      <c r="N681" s="28"/>
      <c r="Q681" s="35"/>
      <c r="R681" s="13"/>
      <c r="S681" s="42"/>
      <c r="T681" s="42"/>
      <c r="U681" s="31"/>
      <c r="X681" s="32"/>
      <c r="Y681" s="28"/>
      <c r="Z681" s="28"/>
      <c r="AA681" s="33"/>
      <c r="AB681" s="13"/>
      <c r="AC681" s="34" t="str">
        <f t="shared" si="29"/>
        <v/>
      </c>
      <c r="AP681" s="57"/>
    </row>
    <row r="682" spans="2:42" ht="15" x14ac:dyDescent="0.25">
      <c r="B682" s="15">
        <v>680</v>
      </c>
      <c r="D682" s="17">
        <f t="shared" si="28"/>
        <v>0</v>
      </c>
      <c r="H682" s="40"/>
      <c r="I682" s="25"/>
      <c r="J682" s="26"/>
      <c r="K682" s="27"/>
      <c r="L682" s="28"/>
      <c r="M682" s="28"/>
      <c r="N682" s="28"/>
      <c r="Q682" s="35"/>
      <c r="R682" s="13"/>
      <c r="S682" s="42"/>
      <c r="T682" s="42"/>
      <c r="U682" s="31"/>
      <c r="X682" s="32"/>
      <c r="Y682" s="28"/>
      <c r="Z682" s="28"/>
      <c r="AA682" s="33"/>
      <c r="AB682" s="13"/>
      <c r="AC682" s="34" t="str">
        <f t="shared" si="29"/>
        <v/>
      </c>
      <c r="AP682" s="57"/>
    </row>
    <row r="683" spans="2:42" ht="15" x14ac:dyDescent="0.25">
      <c r="B683" s="15">
        <v>681</v>
      </c>
      <c r="D683" s="17">
        <f t="shared" si="28"/>
        <v>0</v>
      </c>
      <c r="H683" s="40"/>
      <c r="I683" s="25"/>
      <c r="J683" s="26"/>
      <c r="K683" s="27"/>
      <c r="L683" s="28"/>
      <c r="M683" s="28"/>
      <c r="N683" s="28"/>
      <c r="Q683" s="35"/>
      <c r="R683" s="13"/>
      <c r="S683" s="42"/>
      <c r="T683" s="42"/>
      <c r="U683" s="31"/>
      <c r="X683" s="32"/>
      <c r="Y683" s="28"/>
      <c r="Z683" s="28"/>
      <c r="AA683" s="33"/>
      <c r="AB683" s="13"/>
      <c r="AC683" s="34" t="str">
        <f t="shared" si="29"/>
        <v/>
      </c>
      <c r="AP683" s="57"/>
    </row>
    <row r="684" spans="2:42" ht="15" x14ac:dyDescent="0.25">
      <c r="B684" s="15">
        <v>682</v>
      </c>
      <c r="D684" s="17">
        <f t="shared" si="28"/>
        <v>0</v>
      </c>
      <c r="H684" s="40"/>
      <c r="I684" s="25"/>
      <c r="J684" s="26"/>
      <c r="K684" s="27"/>
      <c r="L684" s="28"/>
      <c r="M684" s="28"/>
      <c r="N684" s="28"/>
      <c r="Q684" s="35"/>
      <c r="R684" s="13"/>
      <c r="S684" s="42"/>
      <c r="T684" s="42"/>
      <c r="U684" s="31"/>
      <c r="X684" s="32"/>
      <c r="Y684" s="28"/>
      <c r="Z684" s="28"/>
      <c r="AA684" s="33"/>
      <c r="AB684" s="13"/>
      <c r="AC684" s="34" t="str">
        <f t="shared" si="29"/>
        <v/>
      </c>
      <c r="AP684" s="57"/>
    </row>
    <row r="685" spans="2:42" ht="15" x14ac:dyDescent="0.25">
      <c r="B685" s="15">
        <v>683</v>
      </c>
      <c r="D685" s="17">
        <f t="shared" si="28"/>
        <v>0</v>
      </c>
      <c r="H685" s="40"/>
      <c r="I685" s="25"/>
      <c r="J685" s="26"/>
      <c r="K685" s="27"/>
      <c r="L685" s="28"/>
      <c r="M685" s="28"/>
      <c r="N685" s="28"/>
      <c r="Q685" s="35"/>
      <c r="R685" s="13"/>
      <c r="S685" s="42"/>
      <c r="T685" s="42"/>
      <c r="U685" s="31"/>
      <c r="X685" s="32"/>
      <c r="Y685" s="28"/>
      <c r="Z685" s="28"/>
      <c r="AA685" s="33"/>
      <c r="AB685" s="13"/>
      <c r="AC685" s="34" t="str">
        <f t="shared" si="29"/>
        <v/>
      </c>
      <c r="AP685" s="57"/>
    </row>
    <row r="686" spans="2:42" ht="15" x14ac:dyDescent="0.25">
      <c r="B686" s="15">
        <v>684</v>
      </c>
      <c r="D686" s="17">
        <f t="shared" si="28"/>
        <v>0</v>
      </c>
      <c r="H686" s="40"/>
      <c r="I686" s="25"/>
      <c r="J686" s="26"/>
      <c r="K686" s="27"/>
      <c r="L686" s="28"/>
      <c r="M686" s="28"/>
      <c r="N686" s="28"/>
      <c r="Q686" s="35"/>
      <c r="R686" s="13"/>
      <c r="S686" s="42"/>
      <c r="T686" s="42"/>
      <c r="U686" s="31"/>
      <c r="X686" s="32"/>
      <c r="Y686" s="28"/>
      <c r="Z686" s="28"/>
      <c r="AA686" s="33"/>
      <c r="AB686" s="13"/>
      <c r="AC686" s="34" t="str">
        <f t="shared" si="29"/>
        <v/>
      </c>
      <c r="AP686" s="57"/>
    </row>
    <row r="687" spans="2:42" ht="15" x14ac:dyDescent="0.25">
      <c r="B687" s="15">
        <v>685</v>
      </c>
      <c r="D687" s="17">
        <f t="shared" si="28"/>
        <v>0</v>
      </c>
      <c r="H687" s="40"/>
      <c r="I687" s="25"/>
      <c r="J687" s="26"/>
      <c r="K687" s="27"/>
      <c r="L687" s="28"/>
      <c r="M687" s="28"/>
      <c r="N687" s="28"/>
      <c r="Q687" s="35"/>
      <c r="R687" s="13"/>
      <c r="S687" s="42"/>
      <c r="T687" s="42"/>
      <c r="U687" s="31"/>
      <c r="X687" s="32"/>
      <c r="Y687" s="28"/>
      <c r="Z687" s="28"/>
      <c r="AA687" s="33"/>
      <c r="AB687" s="13"/>
      <c r="AC687" s="34" t="str">
        <f t="shared" si="29"/>
        <v/>
      </c>
      <c r="AP687" s="57"/>
    </row>
    <row r="688" spans="2:42" ht="15" x14ac:dyDescent="0.25">
      <c r="B688" s="15">
        <v>686</v>
      </c>
      <c r="D688" s="17">
        <f t="shared" si="28"/>
        <v>0</v>
      </c>
      <c r="H688" s="40"/>
      <c r="I688" s="25"/>
      <c r="J688" s="26"/>
      <c r="K688" s="27"/>
      <c r="L688" s="28"/>
      <c r="M688" s="28"/>
      <c r="N688" s="28"/>
      <c r="Q688" s="35"/>
      <c r="R688" s="13"/>
      <c r="S688" s="42"/>
      <c r="T688" s="42"/>
      <c r="U688" s="31"/>
      <c r="X688" s="32"/>
      <c r="Y688" s="28"/>
      <c r="Z688" s="28"/>
      <c r="AA688" s="33"/>
      <c r="AB688" s="13"/>
      <c r="AC688" s="34" t="str">
        <f t="shared" si="29"/>
        <v/>
      </c>
      <c r="AP688" s="57"/>
    </row>
    <row r="689" spans="2:42" ht="15" x14ac:dyDescent="0.25">
      <c r="B689" s="15">
        <v>687</v>
      </c>
      <c r="D689" s="17">
        <f t="shared" ref="D689:D752" si="30">_xlfn.NUMBERVALUE(+LEFT(C689,11))</f>
        <v>0</v>
      </c>
      <c r="H689" s="40"/>
      <c r="I689" s="25"/>
      <c r="J689" s="26"/>
      <c r="K689" s="27"/>
      <c r="L689" s="28"/>
      <c r="M689" s="28"/>
      <c r="N689" s="28"/>
      <c r="Q689" s="35"/>
      <c r="R689" s="13"/>
      <c r="S689" s="42"/>
      <c r="T689" s="42"/>
      <c r="U689" s="31"/>
      <c r="X689" s="32"/>
      <c r="Y689" s="28"/>
      <c r="Z689" s="28"/>
      <c r="AA689" s="33"/>
      <c r="AB689" s="13"/>
      <c r="AC689" s="34" t="str">
        <f t="shared" si="29"/>
        <v/>
      </c>
      <c r="AP689" s="57"/>
    </row>
    <row r="690" spans="2:42" ht="15" x14ac:dyDescent="0.25">
      <c r="B690" s="15">
        <v>688</v>
      </c>
      <c r="D690" s="17">
        <f t="shared" si="30"/>
        <v>0</v>
      </c>
      <c r="H690" s="40"/>
      <c r="I690" s="25"/>
      <c r="J690" s="26"/>
      <c r="K690" s="27"/>
      <c r="L690" s="28"/>
      <c r="M690" s="28"/>
      <c r="N690" s="28"/>
      <c r="Q690" s="35"/>
      <c r="R690" s="13"/>
      <c r="S690" s="42"/>
      <c r="T690" s="42"/>
      <c r="U690" s="31"/>
      <c r="X690" s="32"/>
      <c r="Y690" s="28"/>
      <c r="Z690" s="28"/>
      <c r="AA690" s="33"/>
      <c r="AB690" s="13"/>
      <c r="AC690" s="34" t="str">
        <f t="shared" si="29"/>
        <v/>
      </c>
      <c r="AP690" s="57"/>
    </row>
    <row r="691" spans="2:42" ht="15" x14ac:dyDescent="0.25">
      <c r="B691" s="15">
        <v>689</v>
      </c>
      <c r="D691" s="17">
        <f t="shared" si="30"/>
        <v>0</v>
      </c>
      <c r="H691" s="40"/>
      <c r="I691" s="25"/>
      <c r="J691" s="26"/>
      <c r="K691" s="27"/>
      <c r="L691" s="28"/>
      <c r="M691" s="28"/>
      <c r="N691" s="28"/>
      <c r="Q691" s="35"/>
      <c r="R691" s="13"/>
      <c r="S691" s="42"/>
      <c r="T691" s="42"/>
      <c r="U691" s="31"/>
      <c r="X691" s="32"/>
      <c r="Y691" s="28"/>
      <c r="Z691" s="28"/>
      <c r="AA691" s="33"/>
      <c r="AB691" s="13"/>
      <c r="AC691" s="34" t="str">
        <f t="shared" si="29"/>
        <v/>
      </c>
      <c r="AP691" s="57"/>
    </row>
    <row r="692" spans="2:42" ht="15" x14ac:dyDescent="0.25">
      <c r="B692" s="15">
        <v>690</v>
      </c>
      <c r="D692" s="17">
        <f t="shared" si="30"/>
        <v>0</v>
      </c>
      <c r="H692" s="40"/>
      <c r="I692" s="25"/>
      <c r="J692" s="26"/>
      <c r="K692" s="27"/>
      <c r="L692" s="28"/>
      <c r="M692" s="28"/>
      <c r="N692" s="28"/>
      <c r="Q692" s="35"/>
      <c r="R692" s="13"/>
      <c r="S692" s="42"/>
      <c r="T692" s="42"/>
      <c r="U692" s="31"/>
      <c r="X692" s="32"/>
      <c r="Y692" s="28"/>
      <c r="Z692" s="28"/>
      <c r="AA692" s="33"/>
      <c r="AB692" s="13"/>
      <c r="AC692" s="34" t="str">
        <f t="shared" si="29"/>
        <v/>
      </c>
      <c r="AP692" s="57"/>
    </row>
    <row r="693" spans="2:42" ht="15" x14ac:dyDescent="0.25">
      <c r="B693" s="15">
        <v>691</v>
      </c>
      <c r="D693" s="17">
        <f t="shared" si="30"/>
        <v>0</v>
      </c>
      <c r="H693" s="40"/>
      <c r="I693" s="25"/>
      <c r="J693" s="26"/>
      <c r="K693" s="27"/>
      <c r="L693" s="28"/>
      <c r="M693" s="28"/>
      <c r="N693" s="28"/>
      <c r="Q693" s="35"/>
      <c r="R693" s="13"/>
      <c r="S693" s="42"/>
      <c r="T693" s="42"/>
      <c r="U693" s="31"/>
      <c r="X693" s="32"/>
      <c r="Y693" s="28"/>
      <c r="Z693" s="28"/>
      <c r="AA693" s="33"/>
      <c r="AB693" s="13"/>
      <c r="AC693" s="34" t="str">
        <f t="shared" si="29"/>
        <v/>
      </c>
      <c r="AP693" s="57"/>
    </row>
    <row r="694" spans="2:42" ht="15" x14ac:dyDescent="0.25">
      <c r="B694" s="15">
        <v>692</v>
      </c>
      <c r="D694" s="17">
        <f t="shared" si="30"/>
        <v>0</v>
      </c>
      <c r="H694" s="40"/>
      <c r="I694" s="25"/>
      <c r="J694" s="26"/>
      <c r="K694" s="27"/>
      <c r="L694" s="28"/>
      <c r="M694" s="28"/>
      <c r="N694" s="28"/>
      <c r="Q694" s="35"/>
      <c r="R694" s="13"/>
      <c r="S694" s="42"/>
      <c r="T694" s="42"/>
      <c r="U694" s="31"/>
      <c r="X694" s="32"/>
      <c r="Y694" s="28"/>
      <c r="Z694" s="28"/>
      <c r="AA694" s="33"/>
      <c r="AB694" s="13"/>
      <c r="AC694" s="34" t="str">
        <f t="shared" si="29"/>
        <v/>
      </c>
      <c r="AP694" s="57"/>
    </row>
    <row r="695" spans="2:42" ht="15" x14ac:dyDescent="0.25">
      <c r="B695" s="15">
        <v>693</v>
      </c>
      <c r="D695" s="17">
        <f t="shared" si="30"/>
        <v>0</v>
      </c>
      <c r="H695" s="40"/>
      <c r="I695" s="25"/>
      <c r="J695" s="26"/>
      <c r="K695" s="27"/>
      <c r="L695" s="28"/>
      <c r="M695" s="28"/>
      <c r="N695" s="28"/>
      <c r="Q695" s="35"/>
      <c r="R695" s="13"/>
      <c r="S695" s="42"/>
      <c r="T695" s="42"/>
      <c r="U695" s="31"/>
      <c r="X695" s="32"/>
      <c r="Y695" s="28"/>
      <c r="Z695" s="28"/>
      <c r="AA695" s="33"/>
      <c r="AB695" s="13"/>
      <c r="AC695" s="34" t="str">
        <f t="shared" si="29"/>
        <v/>
      </c>
      <c r="AP695" s="57"/>
    </row>
    <row r="696" spans="2:42" ht="15" x14ac:dyDescent="0.25">
      <c r="B696" s="15">
        <v>694</v>
      </c>
      <c r="D696" s="17">
        <f t="shared" si="30"/>
        <v>0</v>
      </c>
      <c r="H696" s="40"/>
      <c r="I696" s="25"/>
      <c r="J696" s="26"/>
      <c r="K696" s="27"/>
      <c r="L696" s="28"/>
      <c r="M696" s="28"/>
      <c r="N696" s="28"/>
      <c r="Q696" s="35"/>
      <c r="R696" s="13"/>
      <c r="S696" s="42"/>
      <c r="T696" s="42"/>
      <c r="U696" s="31"/>
      <c r="X696" s="32"/>
      <c r="Y696" s="28"/>
      <c r="Z696" s="28"/>
      <c r="AA696" s="33"/>
      <c r="AB696" s="13"/>
      <c r="AC696" s="34" t="str">
        <f t="shared" si="29"/>
        <v/>
      </c>
      <c r="AP696" s="57"/>
    </row>
    <row r="697" spans="2:42" ht="15" x14ac:dyDescent="0.25">
      <c r="B697" s="15">
        <v>695</v>
      </c>
      <c r="D697" s="17">
        <f t="shared" si="30"/>
        <v>0</v>
      </c>
      <c r="H697" s="40"/>
      <c r="J697" s="26"/>
      <c r="K697" s="27"/>
      <c r="L697" s="28"/>
      <c r="M697" s="28"/>
      <c r="N697" s="28"/>
      <c r="Q697" s="35"/>
      <c r="R697" s="13"/>
      <c r="S697" s="42"/>
      <c r="T697" s="42"/>
      <c r="U697" s="31"/>
      <c r="X697" s="32"/>
      <c r="Y697" s="28"/>
      <c r="Z697" s="28"/>
      <c r="AA697" s="33"/>
      <c r="AB697" s="13"/>
      <c r="AC697" s="34" t="str">
        <f t="shared" si="29"/>
        <v/>
      </c>
      <c r="AP697" s="57"/>
    </row>
    <row r="698" spans="2:42" ht="15" x14ac:dyDescent="0.25">
      <c r="B698" s="15">
        <v>696</v>
      </c>
      <c r="D698" s="17">
        <f t="shared" si="30"/>
        <v>0</v>
      </c>
      <c r="F698" s="25"/>
      <c r="G698" s="25"/>
      <c r="H698" s="40"/>
      <c r="I698" s="25"/>
      <c r="J698" s="26"/>
      <c r="K698" s="27"/>
      <c r="L698" s="28"/>
      <c r="M698" s="28"/>
      <c r="N698" s="28"/>
      <c r="Q698" s="35"/>
      <c r="R698" s="13"/>
      <c r="S698" s="42"/>
      <c r="T698" s="42"/>
      <c r="U698" s="31"/>
      <c r="X698" s="32"/>
      <c r="Y698" s="28"/>
      <c r="Z698" s="28"/>
      <c r="AA698" s="33"/>
      <c r="AB698" s="13"/>
      <c r="AC698" s="34" t="str">
        <f t="shared" si="29"/>
        <v/>
      </c>
      <c r="AP698" s="57"/>
    </row>
    <row r="699" spans="2:42" ht="15" x14ac:dyDescent="0.25">
      <c r="B699" s="15">
        <v>697</v>
      </c>
      <c r="D699" s="17">
        <f t="shared" si="30"/>
        <v>0</v>
      </c>
      <c r="F699" s="25"/>
      <c r="G699" s="25"/>
      <c r="H699" s="40"/>
      <c r="I699" s="25"/>
      <c r="J699" s="26"/>
      <c r="K699" s="27"/>
      <c r="L699" s="28"/>
      <c r="M699" s="28"/>
      <c r="N699" s="28"/>
      <c r="Q699" s="35"/>
      <c r="R699" s="13"/>
      <c r="S699" s="42"/>
      <c r="T699" s="42"/>
      <c r="U699" s="31"/>
      <c r="X699" s="32"/>
      <c r="Y699" s="28"/>
      <c r="Z699" s="28"/>
      <c r="AA699" s="33"/>
      <c r="AB699" s="13"/>
      <c r="AC699" s="34" t="str">
        <f t="shared" si="29"/>
        <v/>
      </c>
      <c r="AP699" s="57"/>
    </row>
    <row r="700" spans="2:42" ht="15" x14ac:dyDescent="0.25">
      <c r="B700" s="15">
        <v>698</v>
      </c>
      <c r="D700" s="17">
        <f t="shared" si="30"/>
        <v>0</v>
      </c>
      <c r="H700" s="40"/>
      <c r="I700" s="25"/>
      <c r="J700" s="26"/>
      <c r="K700" s="27"/>
      <c r="L700" s="28"/>
      <c r="M700" s="28"/>
      <c r="N700" s="28"/>
      <c r="Q700" s="35"/>
      <c r="R700" s="13"/>
      <c r="S700" s="42"/>
      <c r="T700" s="42"/>
      <c r="U700" s="31"/>
      <c r="X700" s="32"/>
      <c r="Y700" s="28"/>
      <c r="Z700" s="28"/>
      <c r="AA700" s="33"/>
      <c r="AB700" s="13"/>
      <c r="AC700" s="34" t="str">
        <f t="shared" si="29"/>
        <v/>
      </c>
      <c r="AP700" s="57"/>
    </row>
    <row r="701" spans="2:42" ht="15" x14ac:dyDescent="0.25">
      <c r="B701" s="15">
        <v>699</v>
      </c>
      <c r="D701" s="17">
        <f t="shared" si="30"/>
        <v>0</v>
      </c>
      <c r="H701" s="40"/>
      <c r="I701" s="25"/>
      <c r="J701" s="26"/>
      <c r="K701" s="27"/>
      <c r="L701" s="28"/>
      <c r="M701" s="28"/>
      <c r="N701" s="28"/>
      <c r="Q701" s="35"/>
      <c r="R701" s="13"/>
      <c r="S701" s="42"/>
      <c r="T701" s="42"/>
      <c r="U701" s="31"/>
      <c r="X701" s="32"/>
      <c r="Y701" s="28"/>
      <c r="Z701" s="28"/>
      <c r="AA701" s="33"/>
      <c r="AB701" s="13"/>
      <c r="AC701" s="34" t="str">
        <f t="shared" si="29"/>
        <v/>
      </c>
      <c r="AP701" s="57"/>
    </row>
    <row r="702" spans="2:42" ht="15" x14ac:dyDescent="0.25">
      <c r="B702" s="15">
        <v>700</v>
      </c>
      <c r="D702" s="17">
        <f t="shared" si="30"/>
        <v>0</v>
      </c>
      <c r="H702" s="40"/>
      <c r="I702" s="25"/>
      <c r="J702" s="26"/>
      <c r="K702" s="27"/>
      <c r="L702" s="28"/>
      <c r="M702" s="28"/>
      <c r="N702" s="28"/>
      <c r="Q702" s="35"/>
      <c r="R702" s="13"/>
      <c r="S702" s="42"/>
      <c r="T702" s="42"/>
      <c r="U702" s="31"/>
      <c r="X702" s="32"/>
      <c r="Y702" s="28"/>
      <c r="Z702" s="28"/>
      <c r="AA702" s="33"/>
      <c r="AB702" s="13"/>
      <c r="AC702" s="34" t="str">
        <f t="shared" si="29"/>
        <v/>
      </c>
      <c r="AP702" s="57"/>
    </row>
    <row r="703" spans="2:42" ht="15" x14ac:dyDescent="0.25">
      <c r="B703" s="15">
        <v>701</v>
      </c>
      <c r="D703" s="17">
        <f t="shared" si="30"/>
        <v>0</v>
      </c>
      <c r="H703" s="40"/>
      <c r="I703" s="25"/>
      <c r="J703" s="26"/>
      <c r="K703" s="27"/>
      <c r="L703" s="28"/>
      <c r="M703" s="28"/>
      <c r="N703" s="28"/>
      <c r="Q703" s="35"/>
      <c r="R703" s="13"/>
      <c r="S703" s="42"/>
      <c r="T703" s="42"/>
      <c r="U703" s="31"/>
      <c r="X703" s="32"/>
      <c r="Y703" s="28"/>
      <c r="Z703" s="28"/>
      <c r="AA703" s="33"/>
      <c r="AB703" s="13"/>
      <c r="AC703" s="34" t="str">
        <f t="shared" si="29"/>
        <v/>
      </c>
      <c r="AP703" s="57"/>
    </row>
    <row r="704" spans="2:42" ht="15" x14ac:dyDescent="0.25">
      <c r="B704" s="15">
        <v>702</v>
      </c>
      <c r="D704" s="17">
        <f t="shared" si="30"/>
        <v>0</v>
      </c>
      <c r="H704" s="40"/>
      <c r="I704" s="25"/>
      <c r="J704" s="26"/>
      <c r="K704" s="27"/>
      <c r="L704" s="28"/>
      <c r="M704" s="28"/>
      <c r="N704" s="28"/>
      <c r="Q704" s="35"/>
      <c r="R704" s="13"/>
      <c r="S704" s="42"/>
      <c r="T704" s="42"/>
      <c r="U704" s="31"/>
      <c r="X704" s="32"/>
      <c r="Y704" s="28"/>
      <c r="Z704" s="28"/>
      <c r="AA704" s="33"/>
      <c r="AB704" s="13"/>
      <c r="AC704" s="34" t="str">
        <f t="shared" si="29"/>
        <v/>
      </c>
      <c r="AP704" s="57"/>
    </row>
    <row r="705" spans="2:42" ht="15" x14ac:dyDescent="0.25">
      <c r="B705" s="15">
        <v>703</v>
      </c>
      <c r="D705" s="17">
        <f t="shared" si="30"/>
        <v>0</v>
      </c>
      <c r="H705" s="40"/>
      <c r="I705" s="25"/>
      <c r="J705" s="26"/>
      <c r="K705" s="27"/>
      <c r="L705" s="28"/>
      <c r="M705" s="28"/>
      <c r="N705" s="28"/>
      <c r="Q705" s="35"/>
      <c r="R705" s="13"/>
      <c r="S705" s="42"/>
      <c r="T705" s="42"/>
      <c r="U705" s="31"/>
      <c r="X705" s="32"/>
      <c r="Y705" s="28"/>
      <c r="Z705" s="28"/>
      <c r="AA705" s="33"/>
      <c r="AB705" s="13"/>
      <c r="AC705" s="34" t="str">
        <f t="shared" si="29"/>
        <v/>
      </c>
      <c r="AP705" s="57"/>
    </row>
    <row r="706" spans="2:42" ht="15" x14ac:dyDescent="0.25">
      <c r="B706" s="15">
        <v>704</v>
      </c>
      <c r="D706" s="17">
        <f t="shared" si="30"/>
        <v>0</v>
      </c>
      <c r="H706" s="40"/>
      <c r="I706" s="25"/>
      <c r="J706" s="26"/>
      <c r="K706" s="27"/>
      <c r="L706" s="28"/>
      <c r="M706" s="28"/>
      <c r="N706" s="28"/>
      <c r="Q706" s="35"/>
      <c r="R706" s="13"/>
      <c r="S706" s="42"/>
      <c r="T706" s="42"/>
      <c r="U706" s="31"/>
      <c r="X706" s="32"/>
      <c r="Y706" s="28"/>
      <c r="Z706" s="28"/>
      <c r="AA706" s="33"/>
      <c r="AB706" s="13"/>
      <c r="AC706" s="34" t="str">
        <f t="shared" si="29"/>
        <v/>
      </c>
      <c r="AP706" s="57"/>
    </row>
    <row r="707" spans="2:42" ht="15" x14ac:dyDescent="0.25">
      <c r="B707" s="15">
        <v>705</v>
      </c>
      <c r="D707" s="17">
        <f t="shared" si="30"/>
        <v>0</v>
      </c>
      <c r="H707" s="40"/>
      <c r="I707" s="25"/>
      <c r="J707" s="26"/>
      <c r="K707" s="27"/>
      <c r="L707" s="28"/>
      <c r="M707" s="28"/>
      <c r="N707" s="28"/>
      <c r="Q707" s="35"/>
      <c r="R707" s="13"/>
      <c r="S707" s="42"/>
      <c r="T707" s="42"/>
      <c r="U707" s="31"/>
      <c r="X707" s="32"/>
      <c r="Y707" s="28"/>
      <c r="Z707" s="28"/>
      <c r="AA707" s="33"/>
      <c r="AB707" s="13"/>
      <c r="AC707" s="34" t="str">
        <f t="shared" ref="AC707:AC770" si="31">+IF(AB707="","",R707-AB707)</f>
        <v/>
      </c>
      <c r="AP707" s="57"/>
    </row>
    <row r="708" spans="2:42" ht="15" x14ac:dyDescent="0.25">
      <c r="B708" s="15">
        <v>706</v>
      </c>
      <c r="D708" s="17">
        <f t="shared" si="30"/>
        <v>0</v>
      </c>
      <c r="H708" s="40"/>
      <c r="J708" s="26"/>
      <c r="K708" s="27"/>
      <c r="L708" s="28"/>
      <c r="M708" s="28"/>
      <c r="N708" s="28"/>
      <c r="Q708" s="35"/>
      <c r="R708" s="13"/>
      <c r="S708" s="42"/>
      <c r="T708" s="42"/>
      <c r="U708" s="31"/>
      <c r="X708" s="32"/>
      <c r="Y708" s="28"/>
      <c r="Z708" s="28"/>
      <c r="AA708" s="33"/>
      <c r="AB708" s="13"/>
      <c r="AC708" s="34" t="str">
        <f t="shared" si="31"/>
        <v/>
      </c>
      <c r="AP708" s="57"/>
    </row>
    <row r="709" spans="2:42" ht="15" x14ac:dyDescent="0.25">
      <c r="B709" s="15">
        <v>707</v>
      </c>
      <c r="D709" s="17">
        <f t="shared" si="30"/>
        <v>0</v>
      </c>
      <c r="F709" s="25"/>
      <c r="G709" s="25"/>
      <c r="H709" s="40"/>
      <c r="I709" s="25"/>
      <c r="J709" s="26"/>
      <c r="K709" s="27"/>
      <c r="L709" s="28"/>
      <c r="M709" s="28"/>
      <c r="N709" s="28"/>
      <c r="Q709" s="35"/>
      <c r="R709" s="13"/>
      <c r="S709" s="42"/>
      <c r="T709" s="42"/>
      <c r="U709" s="31"/>
      <c r="X709" s="32"/>
      <c r="Y709" s="28"/>
      <c r="Z709" s="28"/>
      <c r="AA709" s="33"/>
      <c r="AB709" s="13"/>
      <c r="AC709" s="34" t="str">
        <f t="shared" si="31"/>
        <v/>
      </c>
      <c r="AP709" s="57"/>
    </row>
    <row r="710" spans="2:42" ht="15" x14ac:dyDescent="0.25">
      <c r="B710" s="15">
        <v>708</v>
      </c>
      <c r="D710" s="17">
        <f t="shared" si="30"/>
        <v>0</v>
      </c>
      <c r="F710" s="25"/>
      <c r="G710" s="25"/>
      <c r="H710" s="40"/>
      <c r="I710" s="25"/>
      <c r="J710" s="26"/>
      <c r="K710" s="27"/>
      <c r="L710" s="28"/>
      <c r="M710" s="28"/>
      <c r="N710" s="28"/>
      <c r="Q710" s="35"/>
      <c r="R710" s="13"/>
      <c r="S710" s="42"/>
      <c r="T710" s="42"/>
      <c r="U710" s="31"/>
      <c r="X710" s="32"/>
      <c r="Y710" s="28"/>
      <c r="Z710" s="28"/>
      <c r="AA710" s="33"/>
      <c r="AB710" s="13"/>
      <c r="AC710" s="34" t="str">
        <f t="shared" si="31"/>
        <v/>
      </c>
      <c r="AP710" s="57"/>
    </row>
    <row r="711" spans="2:42" ht="15" x14ac:dyDescent="0.25">
      <c r="B711" s="15">
        <v>709</v>
      </c>
      <c r="D711" s="17">
        <f t="shared" si="30"/>
        <v>0</v>
      </c>
      <c r="H711" s="40"/>
      <c r="I711" s="25"/>
      <c r="J711" s="26"/>
      <c r="K711" s="27"/>
      <c r="L711" s="28"/>
      <c r="M711" s="28"/>
      <c r="N711" s="28"/>
      <c r="Q711" s="35"/>
      <c r="R711" s="13"/>
      <c r="S711" s="42"/>
      <c r="T711" s="42"/>
      <c r="U711" s="31"/>
      <c r="X711" s="32"/>
      <c r="Y711" s="28"/>
      <c r="Z711" s="28"/>
      <c r="AA711" s="33"/>
      <c r="AB711" s="13"/>
      <c r="AC711" s="34" t="str">
        <f t="shared" si="31"/>
        <v/>
      </c>
      <c r="AP711" s="57"/>
    </row>
    <row r="712" spans="2:42" ht="15" x14ac:dyDescent="0.25">
      <c r="B712" s="15">
        <v>710</v>
      </c>
      <c r="D712" s="17">
        <f t="shared" si="30"/>
        <v>0</v>
      </c>
      <c r="H712" s="40"/>
      <c r="I712" s="25"/>
      <c r="J712" s="26"/>
      <c r="K712" s="27"/>
      <c r="L712" s="28"/>
      <c r="M712" s="28"/>
      <c r="N712" s="28"/>
      <c r="Q712" s="35"/>
      <c r="R712" s="13"/>
      <c r="S712" s="42"/>
      <c r="T712" s="42"/>
      <c r="U712" s="31"/>
      <c r="X712" s="32"/>
      <c r="Y712" s="28"/>
      <c r="Z712" s="28"/>
      <c r="AA712" s="33"/>
      <c r="AB712" s="13"/>
      <c r="AC712" s="34" t="str">
        <f t="shared" si="31"/>
        <v/>
      </c>
      <c r="AP712" s="57"/>
    </row>
    <row r="713" spans="2:42" ht="15" x14ac:dyDescent="0.25">
      <c r="B713" s="15">
        <v>711</v>
      </c>
      <c r="D713" s="17">
        <f t="shared" si="30"/>
        <v>0</v>
      </c>
      <c r="H713" s="40"/>
      <c r="I713" s="25"/>
      <c r="J713" s="26"/>
      <c r="K713" s="27"/>
      <c r="L713" s="28"/>
      <c r="M713" s="28"/>
      <c r="N713" s="28"/>
      <c r="Q713" s="35"/>
      <c r="R713" s="13"/>
      <c r="S713" s="42"/>
      <c r="T713" s="42"/>
      <c r="U713" s="31"/>
      <c r="X713" s="32"/>
      <c r="Y713" s="28"/>
      <c r="Z713" s="28"/>
      <c r="AA713" s="33"/>
      <c r="AB713" s="13"/>
      <c r="AC713" s="34" t="str">
        <f t="shared" si="31"/>
        <v/>
      </c>
      <c r="AP713" s="57"/>
    </row>
    <row r="714" spans="2:42" ht="15" x14ac:dyDescent="0.25">
      <c r="B714" s="15">
        <v>712</v>
      </c>
      <c r="D714" s="17">
        <f t="shared" si="30"/>
        <v>0</v>
      </c>
      <c r="H714" s="40"/>
      <c r="I714" s="25"/>
      <c r="J714" s="26"/>
      <c r="K714" s="27"/>
      <c r="L714" s="28"/>
      <c r="M714" s="28"/>
      <c r="N714" s="28"/>
      <c r="Q714" s="35"/>
      <c r="R714" s="13"/>
      <c r="S714" s="42"/>
      <c r="T714" s="42"/>
      <c r="U714" s="31"/>
      <c r="X714" s="32"/>
      <c r="Y714" s="28"/>
      <c r="Z714" s="28"/>
      <c r="AA714" s="33"/>
      <c r="AB714" s="13"/>
      <c r="AC714" s="34" t="str">
        <f t="shared" si="31"/>
        <v/>
      </c>
      <c r="AP714" s="57"/>
    </row>
    <row r="715" spans="2:42" ht="15" x14ac:dyDescent="0.25">
      <c r="B715" s="15">
        <v>713</v>
      </c>
      <c r="C715" s="17"/>
      <c r="D715" s="17">
        <f t="shared" si="30"/>
        <v>0</v>
      </c>
      <c r="F715" s="25"/>
      <c r="G715" s="25"/>
      <c r="H715" s="25"/>
      <c r="I715" s="25"/>
      <c r="J715" s="26"/>
      <c r="K715" s="27"/>
      <c r="L715" s="28"/>
      <c r="M715" s="28"/>
      <c r="N715" s="28"/>
      <c r="P715" s="29"/>
      <c r="Q715" s="35"/>
      <c r="R715" s="13"/>
      <c r="T715" s="46"/>
      <c r="U715" s="45"/>
      <c r="X715" s="32"/>
      <c r="Y715" s="28"/>
      <c r="Z715" s="28"/>
      <c r="AA715" s="33"/>
      <c r="AB715" s="34"/>
      <c r="AC715" s="34" t="str">
        <f t="shared" si="31"/>
        <v/>
      </c>
      <c r="AP715" s="57"/>
    </row>
    <row r="716" spans="2:42" ht="15" x14ac:dyDescent="0.25">
      <c r="B716" s="15">
        <v>714</v>
      </c>
      <c r="C716" s="17"/>
      <c r="D716" s="17">
        <f t="shared" si="30"/>
        <v>0</v>
      </c>
      <c r="F716" s="25"/>
      <c r="G716" s="25"/>
      <c r="H716" s="25"/>
      <c r="I716" s="25"/>
      <c r="J716" s="26"/>
      <c r="K716" s="27"/>
      <c r="L716" s="28"/>
      <c r="M716" s="28"/>
      <c r="N716" s="28"/>
      <c r="P716" s="29"/>
      <c r="Q716" s="35"/>
      <c r="R716" s="13"/>
      <c r="T716" s="46"/>
      <c r="U716" s="45"/>
      <c r="X716" s="32"/>
      <c r="Y716" s="28"/>
      <c r="Z716" s="28"/>
      <c r="AA716" s="33"/>
      <c r="AB716" s="34"/>
      <c r="AC716" s="34" t="str">
        <f t="shared" si="31"/>
        <v/>
      </c>
      <c r="AP716" s="57"/>
    </row>
    <row r="717" spans="2:42" ht="15" x14ac:dyDescent="0.25">
      <c r="B717" s="15">
        <v>715</v>
      </c>
      <c r="C717" s="17"/>
      <c r="D717" s="17">
        <f t="shared" si="30"/>
        <v>0</v>
      </c>
      <c r="F717" s="25"/>
      <c r="G717" s="25"/>
      <c r="H717" s="25"/>
      <c r="I717" s="25"/>
      <c r="J717" s="26"/>
      <c r="K717" s="47"/>
      <c r="L717" s="28"/>
      <c r="M717" s="28"/>
      <c r="N717" s="28"/>
      <c r="P717" s="29"/>
      <c r="Q717" s="35"/>
      <c r="R717" s="13"/>
      <c r="T717" s="46"/>
      <c r="U717" s="45"/>
      <c r="X717" s="32"/>
      <c r="Y717" s="28"/>
      <c r="Z717" s="28"/>
      <c r="AA717" s="33"/>
      <c r="AB717" s="34"/>
      <c r="AC717" s="34" t="str">
        <f t="shared" si="31"/>
        <v/>
      </c>
      <c r="AP717" s="57"/>
    </row>
    <row r="718" spans="2:42" ht="15" x14ac:dyDescent="0.25">
      <c r="B718" s="15">
        <v>716</v>
      </c>
      <c r="C718" s="17"/>
      <c r="D718" s="17">
        <f t="shared" si="30"/>
        <v>0</v>
      </c>
      <c r="F718" s="25"/>
      <c r="G718" s="25"/>
      <c r="H718" s="25"/>
      <c r="I718" s="25"/>
      <c r="J718" s="26"/>
      <c r="K718" s="47"/>
      <c r="L718" s="28"/>
      <c r="M718" s="28"/>
      <c r="N718" s="28"/>
      <c r="P718" s="29"/>
      <c r="Q718" s="35"/>
      <c r="R718" s="13"/>
      <c r="T718" s="46"/>
      <c r="U718" s="45"/>
      <c r="X718" s="32"/>
      <c r="Y718" s="28"/>
      <c r="Z718" s="28"/>
      <c r="AA718" s="33"/>
      <c r="AB718" s="34"/>
      <c r="AC718" s="34" t="str">
        <f t="shared" si="31"/>
        <v/>
      </c>
      <c r="AP718" s="57"/>
    </row>
    <row r="719" spans="2:42" ht="15" x14ac:dyDescent="0.25">
      <c r="B719" s="15">
        <v>717</v>
      </c>
      <c r="D719" s="17">
        <f t="shared" si="30"/>
        <v>0</v>
      </c>
      <c r="H719" s="40"/>
      <c r="J719" s="26"/>
      <c r="K719" s="27"/>
      <c r="L719" s="28"/>
      <c r="M719" s="28"/>
      <c r="N719" s="28"/>
      <c r="Q719" s="35"/>
      <c r="R719" s="13"/>
      <c r="S719" s="42"/>
      <c r="T719" s="42"/>
      <c r="U719" s="31"/>
      <c r="X719" s="32"/>
      <c r="Y719" s="28"/>
      <c r="Z719" s="28"/>
      <c r="AA719" s="33"/>
      <c r="AB719" s="13"/>
      <c r="AC719" s="34" t="str">
        <f t="shared" si="31"/>
        <v/>
      </c>
      <c r="AP719" s="57"/>
    </row>
    <row r="720" spans="2:42" ht="15" x14ac:dyDescent="0.25">
      <c r="B720" s="15">
        <v>718</v>
      </c>
      <c r="D720" s="17">
        <f t="shared" si="30"/>
        <v>0</v>
      </c>
      <c r="F720" s="25"/>
      <c r="G720" s="25"/>
      <c r="H720" s="40"/>
      <c r="I720" s="25"/>
      <c r="J720" s="26"/>
      <c r="K720" s="27"/>
      <c r="L720" s="28"/>
      <c r="M720" s="28"/>
      <c r="N720" s="28"/>
      <c r="Q720" s="35"/>
      <c r="R720" s="13"/>
      <c r="S720" s="42"/>
      <c r="T720" s="42"/>
      <c r="U720" s="31"/>
      <c r="X720" s="32"/>
      <c r="Y720" s="28"/>
      <c r="Z720" s="28"/>
      <c r="AA720" s="33"/>
      <c r="AB720" s="13"/>
      <c r="AC720" s="34" t="str">
        <f t="shared" si="31"/>
        <v/>
      </c>
      <c r="AP720" s="57"/>
    </row>
    <row r="721" spans="2:42" ht="15" x14ac:dyDescent="0.25">
      <c r="B721" s="15">
        <v>719</v>
      </c>
      <c r="D721" s="17">
        <f t="shared" si="30"/>
        <v>0</v>
      </c>
      <c r="F721" s="25"/>
      <c r="G721" s="25"/>
      <c r="H721" s="40"/>
      <c r="I721" s="25"/>
      <c r="J721" s="26"/>
      <c r="K721" s="27"/>
      <c r="L721" s="28"/>
      <c r="M721" s="28"/>
      <c r="N721" s="28"/>
      <c r="Q721" s="35"/>
      <c r="R721" s="13"/>
      <c r="S721" s="42"/>
      <c r="T721" s="42"/>
      <c r="U721" s="31"/>
      <c r="X721" s="32"/>
      <c r="Y721" s="28"/>
      <c r="Z721" s="28"/>
      <c r="AA721" s="33"/>
      <c r="AB721" s="13"/>
      <c r="AC721" s="34" t="str">
        <f t="shared" si="31"/>
        <v/>
      </c>
      <c r="AP721" s="57"/>
    </row>
    <row r="722" spans="2:42" ht="15" x14ac:dyDescent="0.25">
      <c r="B722" s="15">
        <v>720</v>
      </c>
      <c r="D722" s="17">
        <f t="shared" si="30"/>
        <v>0</v>
      </c>
      <c r="F722" s="25"/>
      <c r="G722" s="25"/>
      <c r="H722" s="40"/>
      <c r="I722" s="25"/>
      <c r="J722" s="26"/>
      <c r="K722" s="27"/>
      <c r="L722" s="28"/>
      <c r="M722" s="28"/>
      <c r="N722" s="28"/>
      <c r="Q722" s="35"/>
      <c r="R722" s="13"/>
      <c r="S722" s="42"/>
      <c r="T722" s="42"/>
      <c r="U722" s="31"/>
      <c r="X722" s="32"/>
      <c r="Y722" s="28"/>
      <c r="Z722" s="28"/>
      <c r="AA722" s="33"/>
      <c r="AB722" s="13"/>
      <c r="AC722" s="34" t="str">
        <f t="shared" si="31"/>
        <v/>
      </c>
      <c r="AP722" s="57"/>
    </row>
    <row r="723" spans="2:42" ht="15" x14ac:dyDescent="0.25">
      <c r="B723" s="15">
        <v>721</v>
      </c>
      <c r="D723" s="17">
        <f t="shared" si="30"/>
        <v>0</v>
      </c>
      <c r="H723" s="40"/>
      <c r="J723" s="26"/>
      <c r="K723" s="27"/>
      <c r="L723" s="28"/>
      <c r="M723" s="28"/>
      <c r="N723" s="28"/>
      <c r="Q723" s="35"/>
      <c r="R723" s="13"/>
      <c r="S723" s="42"/>
      <c r="T723" s="42"/>
      <c r="U723" s="31"/>
      <c r="X723" s="32"/>
      <c r="Y723" s="28"/>
      <c r="Z723" s="28"/>
      <c r="AA723" s="33"/>
      <c r="AB723" s="13"/>
      <c r="AC723" s="34" t="str">
        <f t="shared" si="31"/>
        <v/>
      </c>
      <c r="AP723" s="57"/>
    </row>
    <row r="724" spans="2:42" ht="15" x14ac:dyDescent="0.25">
      <c r="B724" s="15">
        <v>722</v>
      </c>
      <c r="D724" s="17">
        <f t="shared" si="30"/>
        <v>0</v>
      </c>
      <c r="H724" s="40"/>
      <c r="I724" s="25"/>
      <c r="J724" s="26"/>
      <c r="K724" s="27"/>
      <c r="L724" s="28"/>
      <c r="M724" s="28"/>
      <c r="N724" s="28"/>
      <c r="Q724" s="35"/>
      <c r="R724" s="13"/>
      <c r="S724" s="42"/>
      <c r="T724" s="42"/>
      <c r="U724" s="31"/>
      <c r="X724" s="32"/>
      <c r="Y724" s="28"/>
      <c r="Z724" s="28"/>
      <c r="AA724" s="33"/>
      <c r="AB724" s="13"/>
      <c r="AC724" s="34" t="str">
        <f t="shared" si="31"/>
        <v/>
      </c>
      <c r="AP724" s="57"/>
    </row>
    <row r="725" spans="2:42" ht="15" x14ac:dyDescent="0.25">
      <c r="B725" s="15">
        <v>723</v>
      </c>
      <c r="D725" s="17">
        <f t="shared" si="30"/>
        <v>0</v>
      </c>
      <c r="H725" s="40"/>
      <c r="I725" s="25"/>
      <c r="J725" s="26"/>
      <c r="K725" s="27"/>
      <c r="L725" s="28"/>
      <c r="M725" s="28"/>
      <c r="N725" s="28"/>
      <c r="Q725" s="35"/>
      <c r="R725" s="13"/>
      <c r="S725" s="42"/>
      <c r="T725" s="42"/>
      <c r="U725" s="31"/>
      <c r="X725" s="32"/>
      <c r="Y725" s="28"/>
      <c r="Z725" s="28"/>
      <c r="AA725" s="33"/>
      <c r="AB725" s="13"/>
      <c r="AC725" s="34" t="str">
        <f t="shared" si="31"/>
        <v/>
      </c>
      <c r="AP725" s="57"/>
    </row>
    <row r="726" spans="2:42" ht="15" x14ac:dyDescent="0.25">
      <c r="B726" s="15">
        <v>724</v>
      </c>
      <c r="D726" s="17">
        <f t="shared" si="30"/>
        <v>0</v>
      </c>
      <c r="H726" s="40"/>
      <c r="I726" s="25"/>
      <c r="J726" s="26"/>
      <c r="K726" s="27"/>
      <c r="L726" s="28"/>
      <c r="M726" s="28"/>
      <c r="N726" s="28"/>
      <c r="Q726" s="35"/>
      <c r="R726" s="13"/>
      <c r="S726" s="42"/>
      <c r="T726" s="42"/>
      <c r="U726" s="31"/>
      <c r="X726" s="32"/>
      <c r="Y726" s="28"/>
      <c r="Z726" s="28"/>
      <c r="AA726" s="33"/>
      <c r="AB726" s="13"/>
      <c r="AC726" s="34" t="str">
        <f t="shared" si="31"/>
        <v/>
      </c>
      <c r="AP726" s="57"/>
    </row>
    <row r="727" spans="2:42" ht="15" x14ac:dyDescent="0.25">
      <c r="B727" s="15">
        <v>725</v>
      </c>
      <c r="C727" s="17"/>
      <c r="D727" s="17">
        <f t="shared" si="30"/>
        <v>0</v>
      </c>
      <c r="F727" s="25"/>
      <c r="G727" s="25"/>
      <c r="H727" s="25"/>
      <c r="I727" s="25"/>
      <c r="J727" s="26"/>
      <c r="K727" s="47"/>
      <c r="L727" s="28"/>
      <c r="M727" s="28"/>
      <c r="N727" s="28"/>
      <c r="P727" s="29"/>
      <c r="Q727" s="35"/>
      <c r="R727" s="13"/>
      <c r="T727" s="46"/>
      <c r="U727" s="45"/>
      <c r="X727" s="32"/>
      <c r="Y727" s="28"/>
      <c r="Z727" s="28"/>
      <c r="AA727" s="33"/>
      <c r="AB727" s="34"/>
      <c r="AC727" s="34" t="str">
        <f t="shared" si="31"/>
        <v/>
      </c>
      <c r="AP727" s="57"/>
    </row>
    <row r="728" spans="2:42" ht="15" x14ac:dyDescent="0.25">
      <c r="B728" s="15">
        <v>726</v>
      </c>
      <c r="D728" s="17">
        <f t="shared" si="30"/>
        <v>0</v>
      </c>
      <c r="H728" s="40"/>
      <c r="J728" s="26"/>
      <c r="K728" s="27"/>
      <c r="L728" s="28"/>
      <c r="M728" s="28"/>
      <c r="N728" s="28"/>
      <c r="Q728" s="35"/>
      <c r="R728" s="13"/>
      <c r="S728" s="42"/>
      <c r="T728" s="42"/>
      <c r="U728" s="31"/>
      <c r="X728" s="32"/>
      <c r="Y728" s="28"/>
      <c r="Z728" s="28"/>
      <c r="AA728" s="33"/>
      <c r="AB728" s="13"/>
      <c r="AC728" s="34" t="str">
        <f t="shared" si="31"/>
        <v/>
      </c>
      <c r="AP728" s="57"/>
    </row>
    <row r="729" spans="2:42" ht="15" x14ac:dyDescent="0.25">
      <c r="B729" s="15">
        <v>727</v>
      </c>
      <c r="D729" s="17">
        <f t="shared" si="30"/>
        <v>0</v>
      </c>
      <c r="F729" s="25"/>
      <c r="G729" s="25"/>
      <c r="H729" s="40"/>
      <c r="I729" s="25"/>
      <c r="J729" s="26"/>
      <c r="K729" s="27"/>
      <c r="L729" s="28"/>
      <c r="M729" s="28"/>
      <c r="N729" s="28"/>
      <c r="Q729" s="35"/>
      <c r="R729" s="13"/>
      <c r="S729" s="42"/>
      <c r="T729" s="42"/>
      <c r="U729" s="31"/>
      <c r="X729" s="32"/>
      <c r="Y729" s="28"/>
      <c r="Z729" s="28"/>
      <c r="AA729" s="33"/>
      <c r="AB729" s="13"/>
      <c r="AC729" s="34" t="str">
        <f t="shared" si="31"/>
        <v/>
      </c>
      <c r="AP729" s="57"/>
    </row>
    <row r="730" spans="2:42" ht="15" x14ac:dyDescent="0.25">
      <c r="B730" s="15">
        <v>728</v>
      </c>
      <c r="D730" s="17">
        <f t="shared" si="30"/>
        <v>0</v>
      </c>
      <c r="F730" s="25"/>
      <c r="G730" s="25"/>
      <c r="H730" s="40"/>
      <c r="I730" s="25"/>
      <c r="J730" s="26"/>
      <c r="K730" s="27"/>
      <c r="L730" s="28"/>
      <c r="M730" s="28"/>
      <c r="N730" s="28"/>
      <c r="Q730" s="35"/>
      <c r="R730" s="13"/>
      <c r="S730" s="42"/>
      <c r="T730" s="42"/>
      <c r="U730" s="31"/>
      <c r="X730" s="32"/>
      <c r="Y730" s="28"/>
      <c r="Z730" s="28"/>
      <c r="AA730" s="33"/>
      <c r="AB730" s="13"/>
      <c r="AC730" s="34" t="str">
        <f t="shared" si="31"/>
        <v/>
      </c>
      <c r="AP730" s="57"/>
    </row>
    <row r="731" spans="2:42" ht="15" x14ac:dyDescent="0.25">
      <c r="B731" s="15">
        <v>729</v>
      </c>
      <c r="D731" s="17">
        <f t="shared" si="30"/>
        <v>0</v>
      </c>
      <c r="H731" s="40"/>
      <c r="J731" s="26"/>
      <c r="K731" s="27"/>
      <c r="L731" s="28"/>
      <c r="M731" s="28"/>
      <c r="N731" s="28"/>
      <c r="Q731" s="35"/>
      <c r="R731" s="13"/>
      <c r="S731" s="42"/>
      <c r="T731" s="42"/>
      <c r="U731" s="31"/>
      <c r="X731" s="32"/>
      <c r="Y731" s="28"/>
      <c r="Z731" s="28"/>
      <c r="AA731" s="33"/>
      <c r="AB731" s="13"/>
      <c r="AC731" s="34" t="str">
        <f t="shared" si="31"/>
        <v/>
      </c>
      <c r="AP731" s="57"/>
    </row>
    <row r="732" spans="2:42" ht="15" x14ac:dyDescent="0.25">
      <c r="B732" s="15">
        <v>730</v>
      </c>
      <c r="D732" s="17">
        <f t="shared" si="30"/>
        <v>0</v>
      </c>
      <c r="H732" s="40"/>
      <c r="I732" s="25"/>
      <c r="J732" s="26"/>
      <c r="K732" s="27"/>
      <c r="L732" s="28"/>
      <c r="M732" s="28"/>
      <c r="N732" s="28"/>
      <c r="Q732" s="35"/>
      <c r="R732" s="13"/>
      <c r="S732" s="42"/>
      <c r="T732" s="42"/>
      <c r="U732" s="31"/>
      <c r="X732" s="32"/>
      <c r="Y732" s="28"/>
      <c r="Z732" s="28"/>
      <c r="AA732" s="33"/>
      <c r="AB732" s="13"/>
      <c r="AC732" s="34" t="str">
        <f t="shared" si="31"/>
        <v/>
      </c>
      <c r="AP732" s="57"/>
    </row>
    <row r="733" spans="2:42" ht="15" x14ac:dyDescent="0.25">
      <c r="B733" s="15">
        <v>731</v>
      </c>
      <c r="D733" s="17">
        <f t="shared" si="30"/>
        <v>0</v>
      </c>
      <c r="H733" s="40"/>
      <c r="J733" s="26"/>
      <c r="K733" s="27"/>
      <c r="L733" s="28"/>
      <c r="M733" s="28"/>
      <c r="N733" s="28"/>
      <c r="Q733" s="35"/>
      <c r="R733" s="13"/>
      <c r="S733" s="42"/>
      <c r="T733" s="42"/>
      <c r="U733" s="31"/>
      <c r="X733" s="32"/>
      <c r="Y733" s="28"/>
      <c r="Z733" s="28"/>
      <c r="AA733" s="33"/>
      <c r="AB733" s="13"/>
      <c r="AC733" s="34" t="str">
        <f t="shared" si="31"/>
        <v/>
      </c>
      <c r="AP733" s="57"/>
    </row>
    <row r="734" spans="2:42" ht="15" x14ac:dyDescent="0.25">
      <c r="B734" s="15">
        <v>732</v>
      </c>
      <c r="D734" s="17">
        <f t="shared" si="30"/>
        <v>0</v>
      </c>
      <c r="F734" s="25"/>
      <c r="G734" s="25"/>
      <c r="H734" s="40"/>
      <c r="I734" s="25"/>
      <c r="J734" s="26"/>
      <c r="K734" s="27"/>
      <c r="L734" s="28"/>
      <c r="M734" s="28"/>
      <c r="N734" s="28"/>
      <c r="Q734" s="35"/>
      <c r="R734" s="13"/>
      <c r="S734" s="42"/>
      <c r="T734" s="42"/>
      <c r="U734" s="31"/>
      <c r="X734" s="32"/>
      <c r="Y734" s="28"/>
      <c r="Z734" s="28"/>
      <c r="AA734" s="33"/>
      <c r="AB734" s="13"/>
      <c r="AC734" s="34" t="str">
        <f t="shared" si="31"/>
        <v/>
      </c>
      <c r="AP734" s="57"/>
    </row>
    <row r="735" spans="2:42" ht="15" x14ac:dyDescent="0.25">
      <c r="B735" s="15">
        <v>733</v>
      </c>
      <c r="D735" s="17">
        <f t="shared" si="30"/>
        <v>0</v>
      </c>
      <c r="F735" s="25"/>
      <c r="G735" s="25"/>
      <c r="H735" s="40"/>
      <c r="I735" s="25"/>
      <c r="J735" s="26"/>
      <c r="K735" s="27"/>
      <c r="L735" s="28"/>
      <c r="M735" s="28"/>
      <c r="N735" s="28"/>
      <c r="Q735" s="35"/>
      <c r="R735" s="13"/>
      <c r="S735" s="42"/>
      <c r="T735" s="42"/>
      <c r="U735" s="31"/>
      <c r="X735" s="32"/>
      <c r="Y735" s="28"/>
      <c r="Z735" s="28"/>
      <c r="AA735" s="33"/>
      <c r="AB735" s="13"/>
      <c r="AC735" s="34" t="str">
        <f t="shared" si="31"/>
        <v/>
      </c>
      <c r="AP735" s="57"/>
    </row>
    <row r="736" spans="2:42" ht="15" x14ac:dyDescent="0.25">
      <c r="B736" s="15">
        <v>734</v>
      </c>
      <c r="D736" s="17">
        <f t="shared" si="30"/>
        <v>0</v>
      </c>
      <c r="F736" s="25"/>
      <c r="G736" s="25"/>
      <c r="H736" s="40"/>
      <c r="I736" s="25"/>
      <c r="J736" s="26"/>
      <c r="K736" s="27"/>
      <c r="L736" s="28"/>
      <c r="M736" s="28"/>
      <c r="N736" s="28"/>
      <c r="Q736" s="35"/>
      <c r="R736" s="13"/>
      <c r="S736" s="42"/>
      <c r="T736" s="42"/>
      <c r="U736" s="31"/>
      <c r="X736" s="32"/>
      <c r="Y736" s="28"/>
      <c r="Z736" s="28"/>
      <c r="AA736" s="33"/>
      <c r="AB736" s="13"/>
      <c r="AC736" s="34" t="str">
        <f t="shared" si="31"/>
        <v/>
      </c>
      <c r="AP736" s="57"/>
    </row>
    <row r="737" spans="2:42" ht="15" x14ac:dyDescent="0.25">
      <c r="B737" s="15">
        <v>735</v>
      </c>
      <c r="C737" s="17"/>
      <c r="D737" s="17">
        <f t="shared" si="30"/>
        <v>0</v>
      </c>
      <c r="F737" s="25"/>
      <c r="G737" s="25"/>
      <c r="H737" s="25"/>
      <c r="I737" s="25"/>
      <c r="J737" s="26"/>
      <c r="K737" s="47"/>
      <c r="L737" s="28"/>
      <c r="M737" s="28"/>
      <c r="N737" s="28"/>
      <c r="P737" s="29"/>
      <c r="Q737" s="35"/>
      <c r="R737" s="13"/>
      <c r="T737" s="46"/>
      <c r="U737" s="45"/>
      <c r="X737" s="32"/>
      <c r="Y737" s="28"/>
      <c r="Z737" s="28"/>
      <c r="AA737" s="33"/>
      <c r="AB737" s="34"/>
      <c r="AC737" s="34" t="str">
        <f t="shared" si="31"/>
        <v/>
      </c>
      <c r="AP737" s="57"/>
    </row>
    <row r="738" spans="2:42" ht="15" x14ac:dyDescent="0.25">
      <c r="B738" s="15">
        <v>736</v>
      </c>
      <c r="C738" s="17"/>
      <c r="D738" s="17">
        <f t="shared" si="30"/>
        <v>0</v>
      </c>
      <c r="F738" s="25"/>
      <c r="G738" s="25"/>
      <c r="H738" s="25"/>
      <c r="I738" s="25"/>
      <c r="J738" s="26"/>
      <c r="K738" s="47"/>
      <c r="L738" s="28"/>
      <c r="M738" s="28"/>
      <c r="N738" s="28"/>
      <c r="P738" s="29"/>
      <c r="Q738" s="35"/>
      <c r="R738" s="13"/>
      <c r="T738" s="46"/>
      <c r="U738" s="45"/>
      <c r="X738" s="32"/>
      <c r="Y738" s="28"/>
      <c r="Z738" s="28"/>
      <c r="AA738" s="33"/>
      <c r="AB738" s="34"/>
      <c r="AC738" s="34" t="str">
        <f t="shared" si="31"/>
        <v/>
      </c>
      <c r="AP738" s="57"/>
    </row>
    <row r="739" spans="2:42" ht="15" x14ac:dyDescent="0.25">
      <c r="B739" s="15">
        <v>737</v>
      </c>
      <c r="C739" s="17"/>
      <c r="D739" s="17">
        <f t="shared" si="30"/>
        <v>0</v>
      </c>
      <c r="F739" s="25"/>
      <c r="G739" s="25"/>
      <c r="H739" s="25"/>
      <c r="I739" s="25"/>
      <c r="J739" s="26"/>
      <c r="K739" s="47"/>
      <c r="L739" s="28"/>
      <c r="M739" s="28"/>
      <c r="N739" s="28"/>
      <c r="P739" s="29"/>
      <c r="Q739" s="35"/>
      <c r="R739" s="13"/>
      <c r="T739" s="46"/>
      <c r="U739" s="45"/>
      <c r="X739" s="32"/>
      <c r="Y739" s="28"/>
      <c r="Z739" s="28"/>
      <c r="AA739" s="33"/>
      <c r="AB739" s="34"/>
      <c r="AC739" s="34" t="str">
        <f t="shared" si="31"/>
        <v/>
      </c>
      <c r="AP739" s="57"/>
    </row>
    <row r="740" spans="2:42" ht="15" x14ac:dyDescent="0.25">
      <c r="B740" s="15">
        <v>738</v>
      </c>
      <c r="C740" s="17"/>
      <c r="D740" s="17">
        <f t="shared" si="30"/>
        <v>0</v>
      </c>
      <c r="F740" s="25"/>
      <c r="G740" s="25"/>
      <c r="H740" s="25"/>
      <c r="I740" s="25"/>
      <c r="J740" s="26"/>
      <c r="K740" s="47"/>
      <c r="L740" s="28"/>
      <c r="M740" s="28"/>
      <c r="N740" s="28"/>
      <c r="P740" s="29"/>
      <c r="Q740" s="35"/>
      <c r="R740" s="13"/>
      <c r="T740" s="46"/>
      <c r="U740" s="45"/>
      <c r="X740" s="32"/>
      <c r="Y740" s="28"/>
      <c r="Z740" s="28"/>
      <c r="AA740" s="33"/>
      <c r="AB740" s="34"/>
      <c r="AC740" s="34" t="str">
        <f t="shared" si="31"/>
        <v/>
      </c>
      <c r="AP740" s="57"/>
    </row>
    <row r="741" spans="2:42" ht="15" x14ac:dyDescent="0.25">
      <c r="B741" s="15">
        <v>739</v>
      </c>
      <c r="C741" s="17"/>
      <c r="D741" s="17">
        <f t="shared" si="30"/>
        <v>0</v>
      </c>
      <c r="F741" s="25"/>
      <c r="G741" s="25"/>
      <c r="H741" s="25"/>
      <c r="I741" s="25"/>
      <c r="J741" s="26"/>
      <c r="K741" s="47"/>
      <c r="L741" s="28"/>
      <c r="M741" s="28"/>
      <c r="N741" s="28"/>
      <c r="P741" s="29"/>
      <c r="Q741" s="35"/>
      <c r="R741" s="13"/>
      <c r="T741" s="46"/>
      <c r="U741" s="45"/>
      <c r="X741" s="32"/>
      <c r="Y741" s="28"/>
      <c r="Z741" s="28"/>
      <c r="AA741" s="33"/>
      <c r="AB741" s="34"/>
      <c r="AC741" s="34" t="str">
        <f t="shared" si="31"/>
        <v/>
      </c>
      <c r="AP741" s="57"/>
    </row>
    <row r="742" spans="2:42" ht="15" x14ac:dyDescent="0.25">
      <c r="B742" s="15">
        <v>740</v>
      </c>
      <c r="C742" s="17"/>
      <c r="D742" s="17">
        <f t="shared" si="30"/>
        <v>0</v>
      </c>
      <c r="F742" s="25"/>
      <c r="G742" s="25"/>
      <c r="H742" s="25"/>
      <c r="I742" s="25"/>
      <c r="J742" s="26"/>
      <c r="K742" s="47"/>
      <c r="L742" s="28"/>
      <c r="M742" s="28"/>
      <c r="N742" s="28"/>
      <c r="P742" s="29"/>
      <c r="Q742" s="35"/>
      <c r="R742" s="13"/>
      <c r="T742" s="46"/>
      <c r="U742" s="45"/>
      <c r="X742" s="32"/>
      <c r="Y742" s="28"/>
      <c r="Z742" s="28"/>
      <c r="AA742" s="33"/>
      <c r="AB742" s="34"/>
      <c r="AC742" s="34" t="str">
        <f t="shared" si="31"/>
        <v/>
      </c>
      <c r="AP742" s="57"/>
    </row>
    <row r="743" spans="2:42" ht="15" x14ac:dyDescent="0.25">
      <c r="B743" s="15">
        <v>741</v>
      </c>
      <c r="C743" s="17"/>
      <c r="D743" s="17">
        <f t="shared" si="30"/>
        <v>0</v>
      </c>
      <c r="F743" s="25"/>
      <c r="G743" s="25"/>
      <c r="H743" s="25"/>
      <c r="I743" s="25"/>
      <c r="J743" s="26"/>
      <c r="K743" s="47"/>
      <c r="L743" s="28"/>
      <c r="M743" s="28"/>
      <c r="N743" s="28"/>
      <c r="P743" s="29"/>
      <c r="Q743" s="35"/>
      <c r="R743" s="13"/>
      <c r="T743" s="46"/>
      <c r="U743" s="45"/>
      <c r="X743" s="32"/>
      <c r="Y743" s="28"/>
      <c r="Z743" s="28"/>
      <c r="AA743" s="33"/>
      <c r="AB743" s="34"/>
      <c r="AC743" s="34" t="str">
        <f t="shared" si="31"/>
        <v/>
      </c>
      <c r="AP743" s="57"/>
    </row>
    <row r="744" spans="2:42" ht="15" x14ac:dyDescent="0.25">
      <c r="B744" s="15">
        <v>742</v>
      </c>
      <c r="C744" s="17"/>
      <c r="D744" s="17">
        <f t="shared" si="30"/>
        <v>0</v>
      </c>
      <c r="F744" s="25"/>
      <c r="G744" s="25"/>
      <c r="H744" s="25"/>
      <c r="I744" s="25"/>
      <c r="J744" s="26"/>
      <c r="K744" s="47"/>
      <c r="L744" s="28"/>
      <c r="M744" s="28"/>
      <c r="N744" s="28"/>
      <c r="P744" s="29"/>
      <c r="Q744" s="35"/>
      <c r="R744" s="13"/>
      <c r="T744" s="46"/>
      <c r="U744" s="45"/>
      <c r="X744" s="32"/>
      <c r="Y744" s="28"/>
      <c r="Z744" s="28"/>
      <c r="AA744" s="33"/>
      <c r="AB744" s="34"/>
      <c r="AC744" s="34" t="str">
        <f t="shared" si="31"/>
        <v/>
      </c>
      <c r="AP744" s="57"/>
    </row>
    <row r="745" spans="2:42" ht="15" x14ac:dyDescent="0.25">
      <c r="B745" s="15">
        <v>743</v>
      </c>
      <c r="C745" s="17"/>
      <c r="D745" s="17">
        <f t="shared" si="30"/>
        <v>0</v>
      </c>
      <c r="F745" s="25"/>
      <c r="G745" s="25"/>
      <c r="H745" s="25"/>
      <c r="I745" s="25"/>
      <c r="J745" s="26"/>
      <c r="K745" s="47"/>
      <c r="L745" s="28"/>
      <c r="M745" s="28"/>
      <c r="N745" s="28"/>
      <c r="P745" s="29"/>
      <c r="Q745" s="35"/>
      <c r="R745" s="13"/>
      <c r="T745" s="46"/>
      <c r="U745" s="45"/>
      <c r="X745" s="32"/>
      <c r="Y745" s="28"/>
      <c r="Z745" s="28"/>
      <c r="AA745" s="33"/>
      <c r="AB745" s="34"/>
      <c r="AC745" s="34" t="str">
        <f t="shared" si="31"/>
        <v/>
      </c>
      <c r="AP745" s="57"/>
    </row>
    <row r="746" spans="2:42" ht="15" x14ac:dyDescent="0.25">
      <c r="B746" s="15">
        <v>744</v>
      </c>
      <c r="D746" s="17">
        <f t="shared" si="30"/>
        <v>0</v>
      </c>
      <c r="F746" s="25"/>
      <c r="G746" s="25"/>
      <c r="H746" s="40"/>
      <c r="I746" s="25"/>
      <c r="J746" s="26"/>
      <c r="K746" s="27"/>
      <c r="L746" s="28"/>
      <c r="M746" s="28"/>
      <c r="N746" s="28"/>
      <c r="Q746" s="35"/>
      <c r="R746" s="13"/>
      <c r="S746" s="42"/>
      <c r="T746" s="42"/>
      <c r="U746" s="31"/>
      <c r="X746" s="32"/>
      <c r="Y746" s="28"/>
      <c r="Z746" s="28"/>
      <c r="AA746" s="33"/>
      <c r="AB746" s="13"/>
      <c r="AC746" s="34" t="str">
        <f t="shared" si="31"/>
        <v/>
      </c>
      <c r="AP746" s="57"/>
    </row>
    <row r="747" spans="2:42" ht="15" x14ac:dyDescent="0.25">
      <c r="B747" s="15">
        <v>745</v>
      </c>
      <c r="D747" s="17">
        <f t="shared" si="30"/>
        <v>0</v>
      </c>
      <c r="F747" s="25"/>
      <c r="G747" s="25"/>
      <c r="H747" s="40"/>
      <c r="I747" s="25"/>
      <c r="J747" s="26"/>
      <c r="K747" s="27"/>
      <c r="L747" s="28"/>
      <c r="M747" s="28"/>
      <c r="N747" s="28"/>
      <c r="Q747" s="35"/>
      <c r="R747" s="13"/>
      <c r="S747" s="42"/>
      <c r="T747" s="42"/>
      <c r="U747" s="31"/>
      <c r="X747" s="32"/>
      <c r="Y747" s="28"/>
      <c r="Z747" s="28"/>
      <c r="AA747" s="33"/>
      <c r="AB747" s="13"/>
      <c r="AC747" s="34" t="str">
        <f t="shared" si="31"/>
        <v/>
      </c>
      <c r="AP747" s="57"/>
    </row>
    <row r="748" spans="2:42" ht="15" x14ac:dyDescent="0.25">
      <c r="B748" s="15">
        <v>746</v>
      </c>
      <c r="D748" s="17">
        <f t="shared" si="30"/>
        <v>0</v>
      </c>
      <c r="F748" s="25"/>
      <c r="G748" s="25"/>
      <c r="H748" s="40"/>
      <c r="I748" s="25"/>
      <c r="J748" s="26"/>
      <c r="K748" s="27"/>
      <c r="L748" s="28"/>
      <c r="M748" s="28"/>
      <c r="N748" s="28"/>
      <c r="Q748" s="35"/>
      <c r="R748" s="13"/>
      <c r="S748" s="42"/>
      <c r="T748" s="42"/>
      <c r="U748" s="31"/>
      <c r="X748" s="32"/>
      <c r="Y748" s="28"/>
      <c r="Z748" s="28"/>
      <c r="AA748" s="33"/>
      <c r="AB748" s="13"/>
      <c r="AC748" s="34" t="str">
        <f t="shared" si="31"/>
        <v/>
      </c>
      <c r="AP748" s="57"/>
    </row>
    <row r="749" spans="2:42" ht="15" x14ac:dyDescent="0.25">
      <c r="B749" s="15">
        <v>747</v>
      </c>
      <c r="D749" s="17">
        <f t="shared" si="30"/>
        <v>0</v>
      </c>
      <c r="H749" s="40"/>
      <c r="J749" s="26"/>
      <c r="K749" s="27"/>
      <c r="L749" s="28"/>
      <c r="M749" s="28"/>
      <c r="N749" s="28"/>
      <c r="Q749" s="35"/>
      <c r="R749" s="13"/>
      <c r="S749" s="42"/>
      <c r="T749" s="42"/>
      <c r="U749" s="31"/>
      <c r="X749" s="32"/>
      <c r="Y749" s="28"/>
      <c r="Z749" s="28"/>
      <c r="AA749" s="33"/>
      <c r="AB749" s="13"/>
      <c r="AC749" s="34" t="str">
        <f t="shared" si="31"/>
        <v/>
      </c>
      <c r="AP749" s="57"/>
    </row>
    <row r="750" spans="2:42" ht="15" x14ac:dyDescent="0.25">
      <c r="B750" s="15">
        <v>748</v>
      </c>
      <c r="D750" s="17">
        <f t="shared" si="30"/>
        <v>0</v>
      </c>
      <c r="H750" s="40"/>
      <c r="I750" s="25"/>
      <c r="J750" s="26"/>
      <c r="K750" s="27"/>
      <c r="L750" s="28"/>
      <c r="M750" s="28"/>
      <c r="N750" s="28"/>
      <c r="Q750" s="35"/>
      <c r="R750" s="13"/>
      <c r="S750" s="42"/>
      <c r="T750" s="42"/>
      <c r="U750" s="31"/>
      <c r="X750" s="32"/>
      <c r="Y750" s="28"/>
      <c r="Z750" s="28"/>
      <c r="AA750" s="33"/>
      <c r="AB750" s="13"/>
      <c r="AC750" s="34" t="str">
        <f t="shared" si="31"/>
        <v/>
      </c>
      <c r="AP750" s="57"/>
    </row>
    <row r="751" spans="2:42" ht="15" x14ac:dyDescent="0.25">
      <c r="B751" s="15">
        <v>749</v>
      </c>
      <c r="D751" s="17">
        <f t="shared" si="30"/>
        <v>0</v>
      </c>
      <c r="H751" s="40"/>
      <c r="I751" s="25"/>
      <c r="J751" s="26"/>
      <c r="K751" s="27"/>
      <c r="L751" s="28"/>
      <c r="M751" s="28"/>
      <c r="N751" s="28"/>
      <c r="Q751" s="35"/>
      <c r="R751" s="13"/>
      <c r="S751" s="42"/>
      <c r="T751" s="42"/>
      <c r="U751" s="31"/>
      <c r="X751" s="32"/>
      <c r="Y751" s="28"/>
      <c r="Z751" s="28"/>
      <c r="AA751" s="33"/>
      <c r="AB751" s="13"/>
      <c r="AC751" s="34" t="str">
        <f t="shared" si="31"/>
        <v/>
      </c>
      <c r="AP751" s="57"/>
    </row>
    <row r="752" spans="2:42" ht="15" x14ac:dyDescent="0.25">
      <c r="B752" s="15">
        <v>750</v>
      </c>
      <c r="D752" s="17">
        <f t="shared" si="30"/>
        <v>0</v>
      </c>
      <c r="H752" s="40"/>
      <c r="I752" s="25"/>
      <c r="J752" s="26"/>
      <c r="K752" s="27"/>
      <c r="L752" s="28"/>
      <c r="M752" s="28"/>
      <c r="N752" s="28"/>
      <c r="Q752" s="35"/>
      <c r="R752" s="13"/>
      <c r="S752" s="42"/>
      <c r="T752" s="42"/>
      <c r="U752" s="31"/>
      <c r="X752" s="32"/>
      <c r="Y752" s="28"/>
      <c r="Z752" s="28"/>
      <c r="AA752" s="33"/>
      <c r="AB752" s="13"/>
      <c r="AC752" s="34" t="str">
        <f t="shared" si="31"/>
        <v/>
      </c>
      <c r="AP752" s="57"/>
    </row>
    <row r="753" spans="2:42" ht="15" x14ac:dyDescent="0.25">
      <c r="B753" s="15">
        <v>751</v>
      </c>
      <c r="D753" s="17">
        <f t="shared" ref="D753:D816" si="32">_xlfn.NUMBERVALUE(+LEFT(C753,11))</f>
        <v>0</v>
      </c>
      <c r="H753" s="40"/>
      <c r="I753" s="25"/>
      <c r="J753" s="26"/>
      <c r="K753" s="27"/>
      <c r="L753" s="28"/>
      <c r="M753" s="28"/>
      <c r="N753" s="28"/>
      <c r="Q753" s="35"/>
      <c r="R753" s="13"/>
      <c r="S753" s="42"/>
      <c r="T753" s="42"/>
      <c r="U753" s="31"/>
      <c r="X753" s="32"/>
      <c r="Y753" s="28"/>
      <c r="Z753" s="28"/>
      <c r="AA753" s="33"/>
      <c r="AB753" s="13"/>
      <c r="AC753" s="34" t="str">
        <f t="shared" si="31"/>
        <v/>
      </c>
      <c r="AP753" s="57"/>
    </row>
    <row r="754" spans="2:42" ht="15" x14ac:dyDescent="0.25">
      <c r="B754" s="15">
        <v>752</v>
      </c>
      <c r="D754" s="17">
        <f t="shared" si="32"/>
        <v>0</v>
      </c>
      <c r="H754" s="40"/>
      <c r="I754" s="25"/>
      <c r="J754" s="26"/>
      <c r="K754" s="27"/>
      <c r="L754" s="28"/>
      <c r="M754" s="28"/>
      <c r="N754" s="28"/>
      <c r="Q754" s="35"/>
      <c r="R754" s="13"/>
      <c r="S754" s="42"/>
      <c r="T754" s="42"/>
      <c r="U754" s="31"/>
      <c r="X754" s="32"/>
      <c r="Y754" s="28"/>
      <c r="Z754" s="28"/>
      <c r="AA754" s="33"/>
      <c r="AB754" s="13"/>
      <c r="AC754" s="34" t="str">
        <f t="shared" si="31"/>
        <v/>
      </c>
      <c r="AP754" s="57"/>
    </row>
    <row r="755" spans="2:42" ht="15" x14ac:dyDescent="0.25">
      <c r="B755" s="15">
        <v>753</v>
      </c>
      <c r="D755" s="17">
        <f t="shared" si="32"/>
        <v>0</v>
      </c>
      <c r="H755" s="40"/>
      <c r="I755" s="25"/>
      <c r="J755" s="26"/>
      <c r="K755" s="27"/>
      <c r="L755" s="28"/>
      <c r="M755" s="28"/>
      <c r="N755" s="28"/>
      <c r="Q755" s="35"/>
      <c r="R755" s="13"/>
      <c r="S755" s="42"/>
      <c r="T755" s="42"/>
      <c r="U755" s="31"/>
      <c r="X755" s="32"/>
      <c r="Y755" s="28"/>
      <c r="Z755" s="28"/>
      <c r="AA755" s="33"/>
      <c r="AB755" s="13"/>
      <c r="AC755" s="34" t="str">
        <f t="shared" si="31"/>
        <v/>
      </c>
      <c r="AP755" s="57"/>
    </row>
    <row r="756" spans="2:42" ht="15" x14ac:dyDescent="0.25">
      <c r="B756" s="15">
        <v>754</v>
      </c>
      <c r="D756" s="17">
        <f t="shared" si="32"/>
        <v>0</v>
      </c>
      <c r="H756" s="40"/>
      <c r="J756" s="26"/>
      <c r="K756" s="27"/>
      <c r="L756" s="28"/>
      <c r="M756" s="28"/>
      <c r="N756" s="28"/>
      <c r="Q756" s="35"/>
      <c r="R756" s="13"/>
      <c r="S756" s="42"/>
      <c r="T756" s="42"/>
      <c r="U756" s="31"/>
      <c r="X756" s="32"/>
      <c r="Y756" s="28"/>
      <c r="Z756" s="28"/>
      <c r="AA756" s="33"/>
      <c r="AB756" s="13"/>
      <c r="AC756" s="34" t="str">
        <f t="shared" si="31"/>
        <v/>
      </c>
      <c r="AP756" s="57"/>
    </row>
    <row r="757" spans="2:42" ht="15" x14ac:dyDescent="0.25">
      <c r="B757" s="15">
        <v>755</v>
      </c>
      <c r="D757" s="17">
        <f t="shared" si="32"/>
        <v>0</v>
      </c>
      <c r="F757" s="25"/>
      <c r="G757" s="25"/>
      <c r="H757" s="40"/>
      <c r="I757" s="25"/>
      <c r="J757" s="26"/>
      <c r="K757" s="27"/>
      <c r="L757" s="28"/>
      <c r="M757" s="28"/>
      <c r="N757" s="28"/>
      <c r="Q757" s="35"/>
      <c r="R757" s="13"/>
      <c r="S757" s="42"/>
      <c r="T757" s="42"/>
      <c r="U757" s="31"/>
      <c r="X757" s="32"/>
      <c r="Y757" s="28"/>
      <c r="Z757" s="28"/>
      <c r="AA757" s="33"/>
      <c r="AB757" s="13"/>
      <c r="AC757" s="34" t="str">
        <f t="shared" si="31"/>
        <v/>
      </c>
      <c r="AP757" s="57"/>
    </row>
    <row r="758" spans="2:42" ht="15" x14ac:dyDescent="0.25">
      <c r="B758" s="15">
        <v>756</v>
      </c>
      <c r="D758" s="17">
        <f t="shared" si="32"/>
        <v>0</v>
      </c>
      <c r="F758" s="25"/>
      <c r="G758" s="25"/>
      <c r="H758" s="40"/>
      <c r="I758" s="25"/>
      <c r="J758" s="26"/>
      <c r="K758" s="27"/>
      <c r="L758" s="28"/>
      <c r="M758" s="28"/>
      <c r="N758" s="28"/>
      <c r="Q758" s="35"/>
      <c r="R758" s="13"/>
      <c r="S758" s="42"/>
      <c r="T758" s="42"/>
      <c r="U758" s="31"/>
      <c r="X758" s="32"/>
      <c r="Y758" s="28"/>
      <c r="Z758" s="28"/>
      <c r="AA758" s="33"/>
      <c r="AB758" s="13"/>
      <c r="AC758" s="34" t="str">
        <f t="shared" si="31"/>
        <v/>
      </c>
      <c r="AP758" s="57"/>
    </row>
    <row r="759" spans="2:42" ht="15" x14ac:dyDescent="0.25">
      <c r="B759" s="15">
        <v>757</v>
      </c>
      <c r="D759" s="17">
        <f t="shared" si="32"/>
        <v>0</v>
      </c>
      <c r="F759" s="25"/>
      <c r="G759" s="25"/>
      <c r="H759" s="40"/>
      <c r="I759" s="25"/>
      <c r="J759" s="26"/>
      <c r="K759" s="27"/>
      <c r="L759" s="28"/>
      <c r="M759" s="28"/>
      <c r="N759" s="28"/>
      <c r="Q759" s="35"/>
      <c r="R759" s="13"/>
      <c r="S759" s="42"/>
      <c r="T759" s="42"/>
      <c r="U759" s="31"/>
      <c r="X759" s="32"/>
      <c r="Y759" s="28"/>
      <c r="Z759" s="28"/>
      <c r="AA759" s="33"/>
      <c r="AB759" s="13"/>
      <c r="AC759" s="34" t="str">
        <f t="shared" si="31"/>
        <v/>
      </c>
      <c r="AP759" s="57"/>
    </row>
    <row r="760" spans="2:42" ht="15" x14ac:dyDescent="0.25">
      <c r="B760" s="15">
        <v>758</v>
      </c>
      <c r="D760" s="17">
        <f t="shared" si="32"/>
        <v>0</v>
      </c>
      <c r="F760" s="25"/>
      <c r="G760" s="25"/>
      <c r="H760" s="40"/>
      <c r="I760" s="25"/>
      <c r="J760" s="26"/>
      <c r="K760" s="27"/>
      <c r="L760" s="28"/>
      <c r="M760" s="28"/>
      <c r="N760" s="28"/>
      <c r="Q760" s="35"/>
      <c r="R760" s="13"/>
      <c r="S760" s="42"/>
      <c r="T760" s="42"/>
      <c r="U760" s="31"/>
      <c r="X760" s="32"/>
      <c r="Y760" s="28"/>
      <c r="Z760" s="28"/>
      <c r="AA760" s="33"/>
      <c r="AB760" s="13"/>
      <c r="AC760" s="34" t="str">
        <f t="shared" si="31"/>
        <v/>
      </c>
      <c r="AP760" s="57"/>
    </row>
    <row r="761" spans="2:42" ht="15" x14ac:dyDescent="0.25">
      <c r="B761" s="15">
        <v>759</v>
      </c>
      <c r="D761" s="17">
        <f t="shared" si="32"/>
        <v>0</v>
      </c>
      <c r="H761" s="40"/>
      <c r="I761" s="25"/>
      <c r="J761" s="26"/>
      <c r="K761" s="27"/>
      <c r="L761" s="28"/>
      <c r="M761" s="28"/>
      <c r="N761" s="28"/>
      <c r="Q761" s="35"/>
      <c r="R761" s="13"/>
      <c r="S761" s="42"/>
      <c r="T761" s="42"/>
      <c r="U761" s="31"/>
      <c r="X761" s="32"/>
      <c r="Y761" s="28"/>
      <c r="Z761" s="28"/>
      <c r="AA761" s="33"/>
      <c r="AB761" s="13"/>
      <c r="AC761" s="34" t="str">
        <f t="shared" si="31"/>
        <v/>
      </c>
      <c r="AP761" s="57"/>
    </row>
    <row r="762" spans="2:42" ht="15" x14ac:dyDescent="0.25">
      <c r="B762" s="15">
        <v>760</v>
      </c>
      <c r="D762" s="17">
        <f t="shared" si="32"/>
        <v>0</v>
      </c>
      <c r="H762" s="40"/>
      <c r="J762" s="26"/>
      <c r="K762" s="27"/>
      <c r="L762" s="28"/>
      <c r="M762" s="28"/>
      <c r="N762" s="28"/>
      <c r="Q762" s="35"/>
      <c r="R762" s="13"/>
      <c r="S762" s="42"/>
      <c r="T762" s="42"/>
      <c r="U762" s="31"/>
      <c r="X762" s="32"/>
      <c r="Y762" s="28"/>
      <c r="Z762" s="28"/>
      <c r="AA762" s="33"/>
      <c r="AB762" s="13"/>
      <c r="AC762" s="34" t="str">
        <f t="shared" si="31"/>
        <v/>
      </c>
      <c r="AP762" s="57"/>
    </row>
    <row r="763" spans="2:42" ht="15" x14ac:dyDescent="0.25">
      <c r="B763" s="15">
        <v>761</v>
      </c>
      <c r="D763" s="17">
        <f t="shared" si="32"/>
        <v>0</v>
      </c>
      <c r="F763" s="25"/>
      <c r="G763" s="25"/>
      <c r="H763" s="40"/>
      <c r="I763" s="25"/>
      <c r="J763" s="26"/>
      <c r="K763" s="27"/>
      <c r="L763" s="28"/>
      <c r="M763" s="28"/>
      <c r="N763" s="28"/>
      <c r="Q763" s="35"/>
      <c r="R763" s="13"/>
      <c r="S763" s="42"/>
      <c r="T763" s="42"/>
      <c r="U763" s="31"/>
      <c r="X763" s="32"/>
      <c r="Y763" s="28"/>
      <c r="Z763" s="28"/>
      <c r="AA763" s="33"/>
      <c r="AB763" s="13"/>
      <c r="AC763" s="34" t="str">
        <f t="shared" si="31"/>
        <v/>
      </c>
      <c r="AP763" s="57"/>
    </row>
    <row r="764" spans="2:42" ht="15" x14ac:dyDescent="0.25">
      <c r="B764" s="15">
        <v>762</v>
      </c>
      <c r="D764" s="17">
        <f t="shared" si="32"/>
        <v>0</v>
      </c>
      <c r="F764" s="25"/>
      <c r="G764" s="25"/>
      <c r="H764" s="40"/>
      <c r="I764" s="25"/>
      <c r="J764" s="26"/>
      <c r="K764" s="27"/>
      <c r="L764" s="28"/>
      <c r="M764" s="28"/>
      <c r="N764" s="28"/>
      <c r="Q764" s="35"/>
      <c r="R764" s="13"/>
      <c r="S764" s="42"/>
      <c r="T764" s="42"/>
      <c r="U764" s="31"/>
      <c r="X764" s="32"/>
      <c r="Y764" s="28"/>
      <c r="Z764" s="28"/>
      <c r="AA764" s="33"/>
      <c r="AB764" s="13"/>
      <c r="AC764" s="34" t="str">
        <f t="shared" si="31"/>
        <v/>
      </c>
      <c r="AP764" s="57"/>
    </row>
    <row r="765" spans="2:42" ht="15" x14ac:dyDescent="0.25">
      <c r="B765" s="15">
        <v>763</v>
      </c>
      <c r="D765" s="17">
        <f t="shared" si="32"/>
        <v>0</v>
      </c>
      <c r="F765" s="25"/>
      <c r="G765" s="25"/>
      <c r="H765" s="40"/>
      <c r="I765" s="25"/>
      <c r="J765" s="26"/>
      <c r="K765" s="27"/>
      <c r="L765" s="28"/>
      <c r="M765" s="28"/>
      <c r="N765" s="28"/>
      <c r="Q765" s="35"/>
      <c r="R765" s="13"/>
      <c r="S765" s="42"/>
      <c r="T765" s="42"/>
      <c r="U765" s="31"/>
      <c r="X765" s="32"/>
      <c r="Y765" s="28"/>
      <c r="Z765" s="28"/>
      <c r="AA765" s="33"/>
      <c r="AB765" s="13"/>
      <c r="AC765" s="34" t="str">
        <f t="shared" si="31"/>
        <v/>
      </c>
      <c r="AP765" s="57"/>
    </row>
    <row r="766" spans="2:42" ht="15" x14ac:dyDescent="0.25">
      <c r="B766" s="15">
        <v>764</v>
      </c>
      <c r="D766" s="17">
        <f t="shared" si="32"/>
        <v>0</v>
      </c>
      <c r="F766" s="25"/>
      <c r="G766" s="25"/>
      <c r="H766" s="40"/>
      <c r="I766" s="25"/>
      <c r="J766" s="26"/>
      <c r="K766" s="27"/>
      <c r="L766" s="28"/>
      <c r="M766" s="28"/>
      <c r="N766" s="28"/>
      <c r="Q766" s="35"/>
      <c r="R766" s="13"/>
      <c r="S766" s="42"/>
      <c r="T766" s="42"/>
      <c r="U766" s="31"/>
      <c r="X766" s="32"/>
      <c r="Y766" s="28"/>
      <c r="Z766" s="28"/>
      <c r="AA766" s="33"/>
      <c r="AB766" s="13"/>
      <c r="AC766" s="34" t="str">
        <f t="shared" si="31"/>
        <v/>
      </c>
      <c r="AP766" s="57"/>
    </row>
    <row r="767" spans="2:42" ht="15" x14ac:dyDescent="0.25">
      <c r="B767" s="15">
        <v>765</v>
      </c>
      <c r="D767" s="17">
        <f t="shared" si="32"/>
        <v>0</v>
      </c>
      <c r="H767" s="40"/>
      <c r="I767" s="25"/>
      <c r="J767" s="26"/>
      <c r="K767" s="27"/>
      <c r="L767" s="28"/>
      <c r="M767" s="28"/>
      <c r="N767" s="28"/>
      <c r="Q767" s="35"/>
      <c r="R767" s="13"/>
      <c r="S767" s="42"/>
      <c r="T767" s="42"/>
      <c r="U767" s="31"/>
      <c r="X767" s="32"/>
      <c r="Y767" s="28"/>
      <c r="Z767" s="28"/>
      <c r="AA767" s="33"/>
      <c r="AB767" s="13"/>
      <c r="AC767" s="34" t="str">
        <f t="shared" si="31"/>
        <v/>
      </c>
      <c r="AP767" s="57"/>
    </row>
    <row r="768" spans="2:42" ht="15" x14ac:dyDescent="0.25">
      <c r="B768" s="15">
        <v>766</v>
      </c>
      <c r="D768" s="17">
        <f t="shared" si="32"/>
        <v>0</v>
      </c>
      <c r="H768" s="40"/>
      <c r="I768" s="25"/>
      <c r="J768" s="26"/>
      <c r="K768" s="27"/>
      <c r="L768" s="28"/>
      <c r="M768" s="28"/>
      <c r="N768" s="28"/>
      <c r="Q768" s="35"/>
      <c r="R768" s="13"/>
      <c r="S768" s="42"/>
      <c r="T768" s="42"/>
      <c r="U768" s="31"/>
      <c r="X768" s="32"/>
      <c r="Y768" s="28"/>
      <c r="Z768" s="28"/>
      <c r="AA768" s="33"/>
      <c r="AB768" s="13"/>
      <c r="AC768" s="34" t="str">
        <f t="shared" si="31"/>
        <v/>
      </c>
      <c r="AP768" s="57"/>
    </row>
    <row r="769" spans="2:42" ht="15" x14ac:dyDescent="0.25">
      <c r="B769" s="15">
        <v>767</v>
      </c>
      <c r="D769" s="17">
        <f t="shared" si="32"/>
        <v>0</v>
      </c>
      <c r="H769" s="40"/>
      <c r="I769" s="25"/>
      <c r="J769" s="26"/>
      <c r="K769" s="27"/>
      <c r="L769" s="28"/>
      <c r="M769" s="28"/>
      <c r="N769" s="28"/>
      <c r="Q769" s="35"/>
      <c r="R769" s="13"/>
      <c r="S769" s="42"/>
      <c r="T769" s="42"/>
      <c r="U769" s="31"/>
      <c r="X769" s="32"/>
      <c r="Y769" s="28"/>
      <c r="Z769" s="28"/>
      <c r="AA769" s="33"/>
      <c r="AB769" s="13"/>
      <c r="AC769" s="34" t="str">
        <f t="shared" si="31"/>
        <v/>
      </c>
      <c r="AP769" s="57"/>
    </row>
    <row r="770" spans="2:42" ht="15" x14ac:dyDescent="0.25">
      <c r="B770" s="15">
        <v>768</v>
      </c>
      <c r="D770" s="17">
        <f t="shared" si="32"/>
        <v>0</v>
      </c>
      <c r="H770" s="40"/>
      <c r="I770" s="25"/>
      <c r="J770" s="26"/>
      <c r="K770" s="27"/>
      <c r="L770" s="28"/>
      <c r="M770" s="28"/>
      <c r="N770" s="28"/>
      <c r="Q770" s="35"/>
      <c r="R770" s="13"/>
      <c r="S770" s="42"/>
      <c r="T770" s="42"/>
      <c r="U770" s="31"/>
      <c r="X770" s="32"/>
      <c r="Y770" s="28"/>
      <c r="Z770" s="28"/>
      <c r="AA770" s="33"/>
      <c r="AB770" s="13"/>
      <c r="AC770" s="34" t="str">
        <f t="shared" si="31"/>
        <v/>
      </c>
      <c r="AP770" s="57"/>
    </row>
    <row r="771" spans="2:42" ht="15" x14ac:dyDescent="0.25">
      <c r="B771" s="15">
        <v>769</v>
      </c>
      <c r="D771" s="17">
        <f t="shared" si="32"/>
        <v>0</v>
      </c>
      <c r="H771" s="40"/>
      <c r="I771" s="25"/>
      <c r="J771" s="26"/>
      <c r="K771" s="27"/>
      <c r="L771" s="28"/>
      <c r="M771" s="28"/>
      <c r="N771" s="28"/>
      <c r="Q771" s="35"/>
      <c r="R771" s="13"/>
      <c r="S771" s="42"/>
      <c r="T771" s="42"/>
      <c r="U771" s="31"/>
      <c r="X771" s="32"/>
      <c r="Y771" s="28"/>
      <c r="Z771" s="28"/>
      <c r="AA771" s="33"/>
      <c r="AB771" s="13"/>
      <c r="AC771" s="34" t="str">
        <f t="shared" ref="AC771:AC834" si="33">+IF(AB771="","",R771-AB771)</f>
        <v/>
      </c>
      <c r="AP771" s="57"/>
    </row>
    <row r="772" spans="2:42" ht="15" x14ac:dyDescent="0.25">
      <c r="B772" s="15">
        <v>770</v>
      </c>
      <c r="D772" s="17">
        <f t="shared" si="32"/>
        <v>0</v>
      </c>
      <c r="H772" s="40"/>
      <c r="I772" s="25"/>
      <c r="J772" s="26"/>
      <c r="K772" s="27"/>
      <c r="L772" s="28"/>
      <c r="M772" s="28"/>
      <c r="N772" s="28"/>
      <c r="Q772" s="35"/>
      <c r="R772" s="13"/>
      <c r="S772" s="42"/>
      <c r="T772" s="42"/>
      <c r="U772" s="31"/>
      <c r="X772" s="32"/>
      <c r="Y772" s="28"/>
      <c r="Z772" s="28"/>
      <c r="AA772" s="33"/>
      <c r="AB772" s="13"/>
      <c r="AC772" s="34" t="str">
        <f t="shared" si="33"/>
        <v/>
      </c>
      <c r="AP772" s="57"/>
    </row>
    <row r="773" spans="2:42" ht="15" x14ac:dyDescent="0.25">
      <c r="B773" s="15">
        <v>771</v>
      </c>
      <c r="D773" s="17">
        <f t="shared" si="32"/>
        <v>0</v>
      </c>
      <c r="H773" s="40"/>
      <c r="I773" s="25"/>
      <c r="J773" s="26"/>
      <c r="K773" s="27"/>
      <c r="L773" s="28"/>
      <c r="M773" s="28"/>
      <c r="N773" s="28"/>
      <c r="Q773" s="35"/>
      <c r="R773" s="13"/>
      <c r="S773" s="42"/>
      <c r="T773" s="42"/>
      <c r="U773" s="31"/>
      <c r="X773" s="32"/>
      <c r="Y773" s="28"/>
      <c r="Z773" s="28"/>
      <c r="AA773" s="33"/>
      <c r="AB773" s="13"/>
      <c r="AC773" s="34" t="str">
        <f t="shared" si="33"/>
        <v/>
      </c>
      <c r="AP773" s="57"/>
    </row>
    <row r="774" spans="2:42" ht="15" x14ac:dyDescent="0.25">
      <c r="B774" s="15">
        <v>772</v>
      </c>
      <c r="D774" s="17">
        <f t="shared" si="32"/>
        <v>0</v>
      </c>
      <c r="H774" s="40"/>
      <c r="I774" s="25"/>
      <c r="J774" s="26"/>
      <c r="K774" s="27"/>
      <c r="L774" s="28"/>
      <c r="M774" s="28"/>
      <c r="N774" s="28"/>
      <c r="Q774" s="35"/>
      <c r="R774" s="13"/>
      <c r="S774" s="42"/>
      <c r="T774" s="42"/>
      <c r="U774" s="31"/>
      <c r="X774" s="32"/>
      <c r="Y774" s="28"/>
      <c r="Z774" s="28"/>
      <c r="AA774" s="33"/>
      <c r="AB774" s="13"/>
      <c r="AC774" s="34" t="str">
        <f t="shared" si="33"/>
        <v/>
      </c>
      <c r="AP774" s="57"/>
    </row>
    <row r="775" spans="2:42" ht="15" x14ac:dyDescent="0.25">
      <c r="B775" s="15">
        <v>773</v>
      </c>
      <c r="D775" s="17">
        <f t="shared" si="32"/>
        <v>0</v>
      </c>
      <c r="H775" s="40"/>
      <c r="I775" s="25"/>
      <c r="J775" s="26"/>
      <c r="K775" s="27"/>
      <c r="L775" s="28"/>
      <c r="M775" s="28"/>
      <c r="N775" s="28"/>
      <c r="Q775" s="35"/>
      <c r="R775" s="13"/>
      <c r="S775" s="42"/>
      <c r="T775" s="42"/>
      <c r="U775" s="31"/>
      <c r="X775" s="32"/>
      <c r="Y775" s="28"/>
      <c r="Z775" s="28"/>
      <c r="AA775" s="33"/>
      <c r="AB775" s="13"/>
      <c r="AC775" s="34" t="str">
        <f t="shared" si="33"/>
        <v/>
      </c>
      <c r="AP775" s="57"/>
    </row>
    <row r="776" spans="2:42" ht="15" x14ac:dyDescent="0.25">
      <c r="B776" s="15">
        <v>774</v>
      </c>
      <c r="D776" s="17">
        <f t="shared" si="32"/>
        <v>0</v>
      </c>
      <c r="H776" s="40"/>
      <c r="I776" s="25"/>
      <c r="J776" s="26"/>
      <c r="K776" s="27"/>
      <c r="L776" s="28"/>
      <c r="M776" s="28"/>
      <c r="N776" s="28"/>
      <c r="Q776" s="35"/>
      <c r="R776" s="13"/>
      <c r="S776" s="42"/>
      <c r="T776" s="42"/>
      <c r="U776" s="31"/>
      <c r="X776" s="32"/>
      <c r="Y776" s="28"/>
      <c r="Z776" s="28"/>
      <c r="AA776" s="33"/>
      <c r="AB776" s="13"/>
      <c r="AC776" s="34" t="str">
        <f t="shared" si="33"/>
        <v/>
      </c>
      <c r="AP776" s="57"/>
    </row>
    <row r="777" spans="2:42" ht="15" x14ac:dyDescent="0.25">
      <c r="B777" s="15">
        <v>775</v>
      </c>
      <c r="D777" s="17">
        <f t="shared" si="32"/>
        <v>0</v>
      </c>
      <c r="H777" s="40"/>
      <c r="J777" s="26"/>
      <c r="K777" s="27"/>
      <c r="L777" s="28"/>
      <c r="M777" s="28"/>
      <c r="N777" s="28"/>
      <c r="Q777" s="35"/>
      <c r="R777" s="13"/>
      <c r="S777" s="42"/>
      <c r="T777" s="42"/>
      <c r="U777" s="31"/>
      <c r="X777" s="32"/>
      <c r="Y777" s="28"/>
      <c r="Z777" s="28"/>
      <c r="AA777" s="33"/>
      <c r="AB777" s="13"/>
      <c r="AC777" s="34" t="str">
        <f t="shared" si="33"/>
        <v/>
      </c>
      <c r="AP777" s="57"/>
    </row>
    <row r="778" spans="2:42" ht="15" x14ac:dyDescent="0.25">
      <c r="B778" s="15">
        <v>776</v>
      </c>
      <c r="D778" s="17">
        <f t="shared" si="32"/>
        <v>0</v>
      </c>
      <c r="F778" s="25"/>
      <c r="G778" s="25"/>
      <c r="H778" s="40"/>
      <c r="I778" s="25"/>
      <c r="J778" s="26"/>
      <c r="K778" s="27"/>
      <c r="L778" s="28"/>
      <c r="M778" s="28"/>
      <c r="N778" s="28"/>
      <c r="Q778" s="35"/>
      <c r="R778" s="13"/>
      <c r="S778" s="42"/>
      <c r="T778" s="42"/>
      <c r="U778" s="31"/>
      <c r="X778" s="32"/>
      <c r="Y778" s="28"/>
      <c r="Z778" s="28"/>
      <c r="AA778" s="33"/>
      <c r="AB778" s="13"/>
      <c r="AC778" s="34" t="str">
        <f t="shared" si="33"/>
        <v/>
      </c>
      <c r="AP778" s="57"/>
    </row>
    <row r="779" spans="2:42" ht="15" x14ac:dyDescent="0.25">
      <c r="B779" s="15">
        <v>777</v>
      </c>
      <c r="D779" s="17">
        <f t="shared" si="32"/>
        <v>0</v>
      </c>
      <c r="F779" s="25"/>
      <c r="G779" s="25"/>
      <c r="H779" s="40"/>
      <c r="I779" s="25"/>
      <c r="J779" s="26"/>
      <c r="K779" s="27"/>
      <c r="L779" s="28"/>
      <c r="M779" s="28"/>
      <c r="N779" s="28"/>
      <c r="Q779" s="35"/>
      <c r="R779" s="13"/>
      <c r="S779" s="42"/>
      <c r="T779" s="42"/>
      <c r="U779" s="31"/>
      <c r="X779" s="32"/>
      <c r="Y779" s="28"/>
      <c r="Z779" s="28"/>
      <c r="AA779" s="33"/>
      <c r="AB779" s="13"/>
      <c r="AC779" s="34" t="str">
        <f t="shared" si="33"/>
        <v/>
      </c>
      <c r="AP779" s="57"/>
    </row>
    <row r="780" spans="2:42" ht="15" x14ac:dyDescent="0.25">
      <c r="B780" s="15">
        <v>778</v>
      </c>
      <c r="D780" s="17">
        <f t="shared" si="32"/>
        <v>0</v>
      </c>
      <c r="F780" s="25"/>
      <c r="G780" s="25"/>
      <c r="H780" s="25"/>
      <c r="I780" s="25"/>
      <c r="J780" s="26"/>
      <c r="K780" s="47"/>
      <c r="L780" s="28"/>
      <c r="M780" s="28"/>
      <c r="N780" s="28"/>
      <c r="P780" s="29"/>
      <c r="Q780" s="35"/>
      <c r="R780" s="13"/>
      <c r="T780" s="46"/>
      <c r="U780" s="45"/>
      <c r="X780" s="32"/>
      <c r="Y780" s="28"/>
      <c r="Z780" s="28"/>
      <c r="AA780" s="33"/>
      <c r="AB780" s="34"/>
      <c r="AC780" s="34" t="str">
        <f t="shared" si="33"/>
        <v/>
      </c>
      <c r="AP780" s="57"/>
    </row>
    <row r="781" spans="2:42" ht="15" x14ac:dyDescent="0.25">
      <c r="B781" s="15">
        <v>779</v>
      </c>
      <c r="D781" s="17">
        <f t="shared" si="32"/>
        <v>0</v>
      </c>
      <c r="F781" s="25"/>
      <c r="G781" s="25"/>
      <c r="H781" s="25"/>
      <c r="I781" s="25"/>
      <c r="J781" s="26"/>
      <c r="K781" s="47"/>
      <c r="L781" s="28"/>
      <c r="M781" s="28"/>
      <c r="N781" s="28"/>
      <c r="P781" s="29"/>
      <c r="Q781" s="35"/>
      <c r="R781" s="13"/>
      <c r="T781" s="46"/>
      <c r="U781" s="45"/>
      <c r="X781" s="32"/>
      <c r="Y781" s="28"/>
      <c r="Z781" s="28"/>
      <c r="AA781" s="33"/>
      <c r="AB781" s="34"/>
      <c r="AC781" s="34" t="str">
        <f t="shared" si="33"/>
        <v/>
      </c>
      <c r="AP781" s="57"/>
    </row>
    <row r="782" spans="2:42" ht="15" x14ac:dyDescent="0.25">
      <c r="B782" s="15">
        <v>780</v>
      </c>
      <c r="D782" s="17">
        <f t="shared" si="32"/>
        <v>0</v>
      </c>
      <c r="F782" s="25"/>
      <c r="G782" s="25"/>
      <c r="H782" s="25"/>
      <c r="I782" s="25"/>
      <c r="J782" s="26"/>
      <c r="K782" s="47"/>
      <c r="L782" s="28"/>
      <c r="M782" s="28"/>
      <c r="N782" s="28"/>
      <c r="P782" s="29"/>
      <c r="Q782" s="35"/>
      <c r="R782" s="13"/>
      <c r="T782" s="46"/>
      <c r="U782" s="45"/>
      <c r="X782" s="32"/>
      <c r="Y782" s="28"/>
      <c r="Z782" s="28"/>
      <c r="AA782" s="33"/>
      <c r="AB782" s="34"/>
      <c r="AC782" s="34" t="str">
        <f t="shared" si="33"/>
        <v/>
      </c>
      <c r="AP782" s="57"/>
    </row>
    <row r="783" spans="2:42" ht="15" x14ac:dyDescent="0.25">
      <c r="B783" s="15">
        <v>781</v>
      </c>
      <c r="D783" s="17">
        <f t="shared" si="32"/>
        <v>0</v>
      </c>
      <c r="F783" s="25"/>
      <c r="G783" s="25"/>
      <c r="H783" s="25"/>
      <c r="I783" s="25"/>
      <c r="J783" s="26"/>
      <c r="K783" s="47"/>
      <c r="L783" s="28"/>
      <c r="M783" s="28"/>
      <c r="N783" s="28"/>
      <c r="P783" s="29"/>
      <c r="Q783" s="35"/>
      <c r="R783" s="13"/>
      <c r="T783" s="46"/>
      <c r="U783" s="45"/>
      <c r="X783" s="32"/>
      <c r="Y783" s="28"/>
      <c r="Z783" s="28"/>
      <c r="AA783" s="33"/>
      <c r="AB783" s="34"/>
      <c r="AC783" s="34" t="str">
        <f t="shared" si="33"/>
        <v/>
      </c>
      <c r="AP783" s="57"/>
    </row>
    <row r="784" spans="2:42" ht="15" x14ac:dyDescent="0.25">
      <c r="B784" s="15">
        <v>782</v>
      </c>
      <c r="D784" s="17">
        <f t="shared" si="32"/>
        <v>0</v>
      </c>
      <c r="F784" s="25"/>
      <c r="G784" s="25"/>
      <c r="H784" s="25"/>
      <c r="I784" s="25"/>
      <c r="J784" s="26"/>
      <c r="K784" s="47"/>
      <c r="L784" s="28"/>
      <c r="M784" s="28"/>
      <c r="N784" s="28"/>
      <c r="P784" s="29"/>
      <c r="Q784" s="35"/>
      <c r="R784" s="13"/>
      <c r="T784" s="46"/>
      <c r="U784" s="45"/>
      <c r="X784" s="32"/>
      <c r="Y784" s="28"/>
      <c r="Z784" s="28"/>
      <c r="AA784" s="33"/>
      <c r="AB784" s="34"/>
      <c r="AC784" s="34" t="str">
        <f t="shared" si="33"/>
        <v/>
      </c>
      <c r="AP784" s="57"/>
    </row>
    <row r="785" spans="2:42" ht="15" x14ac:dyDescent="0.25">
      <c r="B785" s="15">
        <v>783</v>
      </c>
      <c r="D785" s="17">
        <f t="shared" si="32"/>
        <v>0</v>
      </c>
      <c r="H785" s="40"/>
      <c r="J785" s="26"/>
      <c r="K785" s="27"/>
      <c r="L785" s="28"/>
      <c r="M785" s="28"/>
      <c r="N785" s="28"/>
      <c r="Q785" s="35"/>
      <c r="R785" s="13"/>
      <c r="S785" s="42"/>
      <c r="T785" s="42"/>
      <c r="U785" s="31"/>
      <c r="X785" s="32"/>
      <c r="Y785" s="28"/>
      <c r="Z785" s="28"/>
      <c r="AA785" s="33"/>
      <c r="AB785" s="13"/>
      <c r="AC785" s="34" t="str">
        <f t="shared" si="33"/>
        <v/>
      </c>
      <c r="AP785" s="57"/>
    </row>
    <row r="786" spans="2:42" ht="15" x14ac:dyDescent="0.25">
      <c r="B786" s="15">
        <v>784</v>
      </c>
      <c r="D786" s="17">
        <f t="shared" si="32"/>
        <v>0</v>
      </c>
      <c r="F786" s="25"/>
      <c r="G786" s="25"/>
      <c r="H786" s="40"/>
      <c r="I786" s="25"/>
      <c r="J786" s="26"/>
      <c r="K786" s="27"/>
      <c r="L786" s="28"/>
      <c r="M786" s="28"/>
      <c r="N786" s="28"/>
      <c r="Q786" s="35"/>
      <c r="R786" s="13"/>
      <c r="S786" s="42"/>
      <c r="T786" s="42"/>
      <c r="U786" s="31"/>
      <c r="X786" s="32"/>
      <c r="Y786" s="28"/>
      <c r="Z786" s="28"/>
      <c r="AA786" s="33"/>
      <c r="AB786" s="13"/>
      <c r="AC786" s="34" t="str">
        <f t="shared" si="33"/>
        <v/>
      </c>
      <c r="AP786" s="57"/>
    </row>
    <row r="787" spans="2:42" ht="15" x14ac:dyDescent="0.25">
      <c r="B787" s="15">
        <v>785</v>
      </c>
      <c r="D787" s="17">
        <f t="shared" si="32"/>
        <v>0</v>
      </c>
      <c r="F787" s="25"/>
      <c r="G787" s="25"/>
      <c r="H787" s="40"/>
      <c r="I787" s="25"/>
      <c r="J787" s="26"/>
      <c r="K787" s="27"/>
      <c r="L787" s="28"/>
      <c r="M787" s="28"/>
      <c r="N787" s="28"/>
      <c r="Q787" s="35"/>
      <c r="R787" s="13"/>
      <c r="S787" s="42"/>
      <c r="T787" s="42"/>
      <c r="U787" s="31"/>
      <c r="X787" s="32"/>
      <c r="Y787" s="28"/>
      <c r="Z787" s="28"/>
      <c r="AA787" s="33"/>
      <c r="AB787" s="13"/>
      <c r="AC787" s="34" t="str">
        <f t="shared" si="33"/>
        <v/>
      </c>
      <c r="AP787" s="57"/>
    </row>
    <row r="788" spans="2:42" ht="15" x14ac:dyDescent="0.25">
      <c r="B788" s="15">
        <v>786</v>
      </c>
      <c r="D788" s="17">
        <f t="shared" si="32"/>
        <v>0</v>
      </c>
      <c r="F788" s="25"/>
      <c r="G788" s="25"/>
      <c r="H788" s="40"/>
      <c r="I788" s="25"/>
      <c r="J788" s="26"/>
      <c r="K788" s="27"/>
      <c r="L788" s="28"/>
      <c r="M788" s="28"/>
      <c r="N788" s="28"/>
      <c r="Q788" s="35"/>
      <c r="R788" s="13"/>
      <c r="S788" s="42"/>
      <c r="T788" s="42"/>
      <c r="U788" s="31"/>
      <c r="X788" s="32"/>
      <c r="Y788" s="28"/>
      <c r="Z788" s="28"/>
      <c r="AA788" s="33"/>
      <c r="AB788" s="13"/>
      <c r="AC788" s="34" t="str">
        <f t="shared" si="33"/>
        <v/>
      </c>
      <c r="AP788" s="57"/>
    </row>
    <row r="789" spans="2:42" ht="15" x14ac:dyDescent="0.25">
      <c r="B789" s="15">
        <v>787</v>
      </c>
      <c r="D789" s="17">
        <f t="shared" si="32"/>
        <v>0</v>
      </c>
      <c r="F789" s="25"/>
      <c r="G789" s="25"/>
      <c r="H789" s="40"/>
      <c r="I789" s="25"/>
      <c r="J789" s="26"/>
      <c r="K789" s="27"/>
      <c r="L789" s="28"/>
      <c r="M789" s="28"/>
      <c r="N789" s="28"/>
      <c r="Q789" s="35"/>
      <c r="R789" s="13"/>
      <c r="S789" s="42"/>
      <c r="T789" s="42"/>
      <c r="U789" s="31"/>
      <c r="X789" s="32"/>
      <c r="Y789" s="28"/>
      <c r="Z789" s="28"/>
      <c r="AA789" s="33"/>
      <c r="AB789" s="13"/>
      <c r="AC789" s="34" t="str">
        <f t="shared" si="33"/>
        <v/>
      </c>
      <c r="AP789" s="57"/>
    </row>
    <row r="790" spans="2:42" ht="15" x14ac:dyDescent="0.25">
      <c r="B790" s="15">
        <v>788</v>
      </c>
      <c r="D790" s="17">
        <f t="shared" si="32"/>
        <v>0</v>
      </c>
      <c r="H790" s="40"/>
      <c r="I790" s="25"/>
      <c r="J790" s="26"/>
      <c r="K790" s="27"/>
      <c r="L790" s="28"/>
      <c r="M790" s="28"/>
      <c r="N790" s="28"/>
      <c r="Q790" s="35"/>
      <c r="R790" s="13"/>
      <c r="S790" s="42"/>
      <c r="T790" s="42"/>
      <c r="U790" s="31"/>
      <c r="X790" s="32"/>
      <c r="Y790" s="28"/>
      <c r="Z790" s="28"/>
      <c r="AA790" s="33"/>
      <c r="AB790" s="13"/>
      <c r="AC790" s="34" t="str">
        <f t="shared" si="33"/>
        <v/>
      </c>
      <c r="AP790" s="57"/>
    </row>
    <row r="791" spans="2:42" ht="15" x14ac:dyDescent="0.25">
      <c r="B791" s="15">
        <v>789</v>
      </c>
      <c r="D791" s="17">
        <f t="shared" si="32"/>
        <v>0</v>
      </c>
      <c r="H791" s="40"/>
      <c r="I791" s="25"/>
      <c r="J791" s="26"/>
      <c r="K791" s="27"/>
      <c r="L791" s="28"/>
      <c r="M791" s="28"/>
      <c r="N791" s="28"/>
      <c r="Q791" s="35"/>
      <c r="R791" s="13"/>
      <c r="S791" s="42"/>
      <c r="T791" s="42"/>
      <c r="U791" s="31"/>
      <c r="X791" s="32"/>
      <c r="Y791" s="28"/>
      <c r="Z791" s="28"/>
      <c r="AA791" s="33"/>
      <c r="AB791" s="13"/>
      <c r="AC791" s="34" t="str">
        <f t="shared" si="33"/>
        <v/>
      </c>
      <c r="AP791" s="57"/>
    </row>
    <row r="792" spans="2:42" ht="15" x14ac:dyDescent="0.25">
      <c r="B792" s="15">
        <v>790</v>
      </c>
      <c r="D792" s="17">
        <f t="shared" si="32"/>
        <v>0</v>
      </c>
      <c r="H792" s="40"/>
      <c r="I792" s="25"/>
      <c r="J792" s="26"/>
      <c r="K792" s="27"/>
      <c r="L792" s="28"/>
      <c r="M792" s="28"/>
      <c r="N792" s="28"/>
      <c r="Q792" s="35"/>
      <c r="R792" s="13"/>
      <c r="S792" s="42"/>
      <c r="T792" s="42"/>
      <c r="U792" s="31"/>
      <c r="X792" s="32"/>
      <c r="Y792" s="28"/>
      <c r="Z792" s="28"/>
      <c r="AA792" s="33"/>
      <c r="AB792" s="13"/>
      <c r="AC792" s="34" t="str">
        <f t="shared" si="33"/>
        <v/>
      </c>
      <c r="AP792" s="57"/>
    </row>
    <row r="793" spans="2:42" ht="15" x14ac:dyDescent="0.25">
      <c r="B793" s="15">
        <v>791</v>
      </c>
      <c r="D793" s="17">
        <f t="shared" si="32"/>
        <v>0</v>
      </c>
      <c r="H793" s="40"/>
      <c r="I793" s="25"/>
      <c r="J793" s="26"/>
      <c r="K793" s="27"/>
      <c r="L793" s="28"/>
      <c r="M793" s="28"/>
      <c r="N793" s="28"/>
      <c r="Q793" s="35"/>
      <c r="R793" s="13"/>
      <c r="S793" s="42"/>
      <c r="T793" s="42"/>
      <c r="U793" s="31"/>
      <c r="X793" s="32"/>
      <c r="Y793" s="28"/>
      <c r="Z793" s="28"/>
      <c r="AA793" s="33"/>
      <c r="AB793" s="13"/>
      <c r="AC793" s="34" t="str">
        <f t="shared" si="33"/>
        <v/>
      </c>
      <c r="AP793" s="57"/>
    </row>
    <row r="794" spans="2:42" ht="15" x14ac:dyDescent="0.25">
      <c r="B794" s="15">
        <v>792</v>
      </c>
      <c r="D794" s="17">
        <f t="shared" si="32"/>
        <v>0</v>
      </c>
      <c r="H794" s="40"/>
      <c r="I794" s="25"/>
      <c r="J794" s="26"/>
      <c r="K794" s="27"/>
      <c r="L794" s="28"/>
      <c r="M794" s="28"/>
      <c r="N794" s="28"/>
      <c r="Q794" s="35"/>
      <c r="R794" s="13"/>
      <c r="S794" s="42"/>
      <c r="T794" s="42"/>
      <c r="U794" s="31"/>
      <c r="X794" s="32"/>
      <c r="Y794" s="28"/>
      <c r="Z794" s="28"/>
      <c r="AA794" s="33"/>
      <c r="AB794" s="13"/>
      <c r="AC794" s="34" t="str">
        <f t="shared" si="33"/>
        <v/>
      </c>
      <c r="AP794" s="57"/>
    </row>
    <row r="795" spans="2:42" ht="15" x14ac:dyDescent="0.25">
      <c r="B795" s="15">
        <v>793</v>
      </c>
      <c r="D795" s="17">
        <f t="shared" si="32"/>
        <v>0</v>
      </c>
      <c r="H795" s="40"/>
      <c r="I795" s="25"/>
      <c r="J795" s="26"/>
      <c r="K795" s="27"/>
      <c r="L795" s="28"/>
      <c r="M795" s="28"/>
      <c r="N795" s="28"/>
      <c r="Q795" s="35"/>
      <c r="R795" s="13"/>
      <c r="S795" s="42"/>
      <c r="T795" s="42"/>
      <c r="U795" s="31"/>
      <c r="X795" s="32"/>
      <c r="Y795" s="28"/>
      <c r="Z795" s="28"/>
      <c r="AA795" s="33"/>
      <c r="AB795" s="13"/>
      <c r="AC795" s="34" t="str">
        <f t="shared" si="33"/>
        <v/>
      </c>
      <c r="AP795" s="57"/>
    </row>
    <row r="796" spans="2:42" ht="15" x14ac:dyDescent="0.25">
      <c r="B796" s="15">
        <v>794</v>
      </c>
      <c r="D796" s="17">
        <f t="shared" si="32"/>
        <v>0</v>
      </c>
      <c r="H796" s="40"/>
      <c r="I796" s="25"/>
      <c r="J796" s="26"/>
      <c r="K796" s="27"/>
      <c r="L796" s="28"/>
      <c r="M796" s="28"/>
      <c r="N796" s="28"/>
      <c r="Q796" s="35"/>
      <c r="R796" s="13"/>
      <c r="S796" s="42"/>
      <c r="T796" s="42"/>
      <c r="U796" s="31"/>
      <c r="X796" s="32"/>
      <c r="Y796" s="28"/>
      <c r="Z796" s="28"/>
      <c r="AA796" s="33"/>
      <c r="AB796" s="13"/>
      <c r="AC796" s="34" t="str">
        <f t="shared" si="33"/>
        <v/>
      </c>
      <c r="AP796" s="57"/>
    </row>
    <row r="797" spans="2:42" ht="15" x14ac:dyDescent="0.25">
      <c r="B797" s="15">
        <v>795</v>
      </c>
      <c r="D797" s="17">
        <f t="shared" si="32"/>
        <v>0</v>
      </c>
      <c r="H797" s="40"/>
      <c r="I797" s="25"/>
      <c r="J797" s="26"/>
      <c r="K797" s="27"/>
      <c r="L797" s="28"/>
      <c r="M797" s="28"/>
      <c r="N797" s="28"/>
      <c r="Q797" s="35"/>
      <c r="R797" s="13"/>
      <c r="S797" s="42"/>
      <c r="T797" s="42"/>
      <c r="U797" s="31"/>
      <c r="X797" s="32"/>
      <c r="Y797" s="28"/>
      <c r="Z797" s="28"/>
      <c r="AA797" s="33"/>
      <c r="AB797" s="13"/>
      <c r="AC797" s="34" t="str">
        <f t="shared" si="33"/>
        <v/>
      </c>
      <c r="AP797" s="57"/>
    </row>
    <row r="798" spans="2:42" ht="15" x14ac:dyDescent="0.25">
      <c r="B798" s="15">
        <v>796</v>
      </c>
      <c r="D798" s="17">
        <f t="shared" si="32"/>
        <v>0</v>
      </c>
      <c r="H798" s="40"/>
      <c r="I798" s="25"/>
      <c r="J798" s="26"/>
      <c r="K798" s="27"/>
      <c r="L798" s="28"/>
      <c r="M798" s="28"/>
      <c r="N798" s="28"/>
      <c r="Q798" s="35"/>
      <c r="R798" s="13"/>
      <c r="S798" s="42"/>
      <c r="T798" s="42"/>
      <c r="U798" s="31"/>
      <c r="X798" s="32"/>
      <c r="Y798" s="28"/>
      <c r="Z798" s="28"/>
      <c r="AA798" s="33"/>
      <c r="AB798" s="13"/>
      <c r="AC798" s="34" t="str">
        <f t="shared" si="33"/>
        <v/>
      </c>
      <c r="AP798" s="57"/>
    </row>
    <row r="799" spans="2:42" ht="15" x14ac:dyDescent="0.25">
      <c r="B799" s="15">
        <v>797</v>
      </c>
      <c r="D799" s="17">
        <f t="shared" si="32"/>
        <v>0</v>
      </c>
      <c r="H799" s="40"/>
      <c r="I799" s="25"/>
      <c r="J799" s="26"/>
      <c r="K799" s="27"/>
      <c r="L799" s="28"/>
      <c r="M799" s="28"/>
      <c r="N799" s="28"/>
      <c r="Q799" s="35"/>
      <c r="R799" s="13"/>
      <c r="S799" s="42"/>
      <c r="T799" s="42"/>
      <c r="U799" s="31"/>
      <c r="X799" s="32"/>
      <c r="Y799" s="28"/>
      <c r="Z799" s="28"/>
      <c r="AA799" s="33"/>
      <c r="AB799" s="13"/>
      <c r="AC799" s="34" t="str">
        <f t="shared" si="33"/>
        <v/>
      </c>
      <c r="AP799" s="57"/>
    </row>
    <row r="800" spans="2:42" ht="15" x14ac:dyDescent="0.25">
      <c r="B800" s="15">
        <v>798</v>
      </c>
      <c r="C800" s="17"/>
      <c r="D800" s="17">
        <f t="shared" si="32"/>
        <v>0</v>
      </c>
      <c r="F800" s="25"/>
      <c r="G800" s="25"/>
      <c r="H800" s="25"/>
      <c r="I800" s="25"/>
      <c r="J800" s="26"/>
      <c r="K800" s="47"/>
      <c r="L800" s="28"/>
      <c r="M800" s="28"/>
      <c r="N800" s="28"/>
      <c r="P800" s="29"/>
      <c r="Q800" s="35"/>
      <c r="R800" s="13"/>
      <c r="T800" s="46"/>
      <c r="U800" s="45"/>
      <c r="X800" s="32"/>
      <c r="Y800" s="28"/>
      <c r="Z800" s="28"/>
      <c r="AA800" s="33"/>
      <c r="AB800" s="34"/>
      <c r="AC800" s="34" t="str">
        <f t="shared" si="33"/>
        <v/>
      </c>
      <c r="AP800" s="57"/>
    </row>
    <row r="801" spans="2:42" ht="15" x14ac:dyDescent="0.25">
      <c r="B801" s="15">
        <v>799</v>
      </c>
      <c r="C801" s="17"/>
      <c r="D801" s="17">
        <f t="shared" si="32"/>
        <v>0</v>
      </c>
      <c r="F801" s="25"/>
      <c r="G801" s="25"/>
      <c r="H801" s="25"/>
      <c r="I801" s="25"/>
      <c r="J801" s="26"/>
      <c r="K801" s="47"/>
      <c r="L801" s="28"/>
      <c r="M801" s="28"/>
      <c r="N801" s="28"/>
      <c r="P801" s="29"/>
      <c r="Q801" s="35"/>
      <c r="R801" s="13"/>
      <c r="T801" s="46"/>
      <c r="U801" s="45"/>
      <c r="X801" s="32"/>
      <c r="Y801" s="28"/>
      <c r="Z801" s="28"/>
      <c r="AA801" s="33"/>
      <c r="AB801" s="34"/>
      <c r="AC801" s="34" t="str">
        <f t="shared" si="33"/>
        <v/>
      </c>
      <c r="AP801" s="57"/>
    </row>
    <row r="802" spans="2:42" ht="15" x14ac:dyDescent="0.25">
      <c r="B802" s="15">
        <v>800</v>
      </c>
      <c r="C802" s="17"/>
      <c r="D802" s="17">
        <f t="shared" si="32"/>
        <v>0</v>
      </c>
      <c r="F802" s="25"/>
      <c r="G802" s="25"/>
      <c r="H802" s="25"/>
      <c r="I802" s="25"/>
      <c r="J802" s="26"/>
      <c r="K802" s="47"/>
      <c r="L802" s="28"/>
      <c r="M802" s="28"/>
      <c r="N802" s="28"/>
      <c r="P802" s="29"/>
      <c r="Q802" s="35"/>
      <c r="R802" s="13"/>
      <c r="T802" s="46"/>
      <c r="U802" s="45"/>
      <c r="X802" s="32"/>
      <c r="Y802" s="28"/>
      <c r="Z802" s="28"/>
      <c r="AA802" s="33"/>
      <c r="AB802" s="34"/>
      <c r="AC802" s="34" t="str">
        <f t="shared" si="33"/>
        <v/>
      </c>
      <c r="AP802" s="57"/>
    </row>
    <row r="803" spans="2:42" ht="15" x14ac:dyDescent="0.25">
      <c r="B803" s="15">
        <v>801</v>
      </c>
      <c r="C803" s="17"/>
      <c r="D803" s="17">
        <f t="shared" si="32"/>
        <v>0</v>
      </c>
      <c r="F803" s="25"/>
      <c r="G803" s="25"/>
      <c r="H803" s="25"/>
      <c r="I803" s="25"/>
      <c r="J803" s="26"/>
      <c r="K803" s="47"/>
      <c r="L803" s="28"/>
      <c r="M803" s="28"/>
      <c r="N803" s="28"/>
      <c r="P803" s="29"/>
      <c r="Q803" s="35"/>
      <c r="R803" s="13"/>
      <c r="T803" s="46"/>
      <c r="U803" s="45"/>
      <c r="X803" s="32"/>
      <c r="Y803" s="28"/>
      <c r="Z803" s="28"/>
      <c r="AA803" s="33"/>
      <c r="AB803" s="34"/>
      <c r="AC803" s="34" t="str">
        <f t="shared" si="33"/>
        <v/>
      </c>
      <c r="AP803" s="57"/>
    </row>
    <row r="804" spans="2:42" ht="15" x14ac:dyDescent="0.25">
      <c r="B804" s="15">
        <v>802</v>
      </c>
      <c r="D804" s="17">
        <f t="shared" si="32"/>
        <v>0</v>
      </c>
      <c r="H804" s="40"/>
      <c r="J804" s="26"/>
      <c r="K804" s="27"/>
      <c r="L804" s="28"/>
      <c r="M804" s="28"/>
      <c r="N804" s="28"/>
      <c r="Q804" s="35"/>
      <c r="R804" s="13"/>
      <c r="S804" s="42"/>
      <c r="T804" s="42"/>
      <c r="U804" s="31"/>
      <c r="X804" s="32"/>
      <c r="Y804" s="28"/>
      <c r="Z804" s="28"/>
      <c r="AA804" s="33"/>
      <c r="AB804" s="13"/>
      <c r="AC804" s="34" t="str">
        <f t="shared" si="33"/>
        <v/>
      </c>
      <c r="AP804" s="57"/>
    </row>
    <row r="805" spans="2:42" ht="15" x14ac:dyDescent="0.25">
      <c r="B805" s="15">
        <v>803</v>
      </c>
      <c r="D805" s="17">
        <f t="shared" si="32"/>
        <v>0</v>
      </c>
      <c r="F805" s="25"/>
      <c r="G805" s="25"/>
      <c r="H805" s="40"/>
      <c r="I805" s="25"/>
      <c r="J805" s="26"/>
      <c r="K805" s="27"/>
      <c r="L805" s="28"/>
      <c r="M805" s="28"/>
      <c r="N805" s="28"/>
      <c r="Q805" s="35"/>
      <c r="R805" s="13"/>
      <c r="S805" s="42"/>
      <c r="T805" s="42"/>
      <c r="U805" s="31"/>
      <c r="X805" s="32"/>
      <c r="Y805" s="28"/>
      <c r="Z805" s="28"/>
      <c r="AA805" s="33"/>
      <c r="AB805" s="13"/>
      <c r="AC805" s="34" t="str">
        <f t="shared" si="33"/>
        <v/>
      </c>
      <c r="AP805" s="57"/>
    </row>
    <row r="806" spans="2:42" ht="15" x14ac:dyDescent="0.25">
      <c r="B806" s="15">
        <v>804</v>
      </c>
      <c r="D806" s="17">
        <f t="shared" si="32"/>
        <v>0</v>
      </c>
      <c r="F806" s="25"/>
      <c r="G806" s="25"/>
      <c r="H806" s="40"/>
      <c r="I806" s="25"/>
      <c r="J806" s="26"/>
      <c r="K806" s="27"/>
      <c r="L806" s="28"/>
      <c r="M806" s="28"/>
      <c r="N806" s="28"/>
      <c r="Q806" s="35"/>
      <c r="R806" s="13"/>
      <c r="S806" s="42"/>
      <c r="T806" s="42"/>
      <c r="U806" s="31"/>
      <c r="X806" s="32"/>
      <c r="Y806" s="28"/>
      <c r="Z806" s="28"/>
      <c r="AA806" s="33"/>
      <c r="AB806" s="13"/>
      <c r="AC806" s="34" t="str">
        <f t="shared" si="33"/>
        <v/>
      </c>
      <c r="AP806" s="57"/>
    </row>
    <row r="807" spans="2:42" ht="15" x14ac:dyDescent="0.25">
      <c r="B807" s="15">
        <v>805</v>
      </c>
      <c r="D807" s="17">
        <f t="shared" si="32"/>
        <v>0</v>
      </c>
      <c r="F807" s="25"/>
      <c r="G807" s="25"/>
      <c r="H807" s="40"/>
      <c r="I807" s="25"/>
      <c r="J807" s="26"/>
      <c r="K807" s="27"/>
      <c r="L807" s="28"/>
      <c r="M807" s="28"/>
      <c r="N807" s="28"/>
      <c r="Q807" s="35"/>
      <c r="R807" s="13"/>
      <c r="S807" s="42"/>
      <c r="T807" s="42"/>
      <c r="U807" s="31"/>
      <c r="X807" s="32"/>
      <c r="Y807" s="28"/>
      <c r="Z807" s="28"/>
      <c r="AA807" s="33"/>
      <c r="AB807" s="13"/>
      <c r="AC807" s="34" t="str">
        <f t="shared" si="33"/>
        <v/>
      </c>
      <c r="AP807" s="57"/>
    </row>
    <row r="808" spans="2:42" ht="15" x14ac:dyDescent="0.25">
      <c r="B808" s="15">
        <v>806</v>
      </c>
      <c r="D808" s="17">
        <f t="shared" si="32"/>
        <v>0</v>
      </c>
      <c r="F808" s="25"/>
      <c r="G808" s="25"/>
      <c r="H808" s="40"/>
      <c r="I808" s="25"/>
      <c r="J808" s="26"/>
      <c r="K808" s="27"/>
      <c r="L808" s="28"/>
      <c r="M808" s="28"/>
      <c r="N808" s="28"/>
      <c r="Q808" s="35"/>
      <c r="R808" s="13"/>
      <c r="S808" s="42"/>
      <c r="T808" s="42"/>
      <c r="U808" s="31"/>
      <c r="X808" s="32"/>
      <c r="Y808" s="28"/>
      <c r="Z808" s="28"/>
      <c r="AA808" s="33"/>
      <c r="AB808" s="13"/>
      <c r="AC808" s="34" t="str">
        <f t="shared" si="33"/>
        <v/>
      </c>
      <c r="AP808" s="57"/>
    </row>
    <row r="809" spans="2:42" ht="15" x14ac:dyDescent="0.25">
      <c r="B809" s="15">
        <v>807</v>
      </c>
      <c r="D809" s="17">
        <f t="shared" si="32"/>
        <v>0</v>
      </c>
      <c r="H809" s="40"/>
      <c r="I809" s="25"/>
      <c r="J809" s="26"/>
      <c r="K809" s="27"/>
      <c r="L809" s="28"/>
      <c r="M809" s="28"/>
      <c r="N809" s="28"/>
      <c r="Q809" s="35"/>
      <c r="R809" s="13"/>
      <c r="S809" s="42"/>
      <c r="T809" s="42"/>
      <c r="U809" s="31"/>
      <c r="X809" s="32"/>
      <c r="Y809" s="28"/>
      <c r="Z809" s="28"/>
      <c r="AA809" s="33"/>
      <c r="AB809" s="13"/>
      <c r="AC809" s="34" t="str">
        <f t="shared" si="33"/>
        <v/>
      </c>
      <c r="AP809" s="57"/>
    </row>
    <row r="810" spans="2:42" ht="15" x14ac:dyDescent="0.25">
      <c r="B810" s="15">
        <v>808</v>
      </c>
      <c r="D810" s="17">
        <f t="shared" si="32"/>
        <v>0</v>
      </c>
      <c r="H810" s="40"/>
      <c r="I810" s="25"/>
      <c r="J810" s="26"/>
      <c r="K810" s="27"/>
      <c r="L810" s="28"/>
      <c r="M810" s="28"/>
      <c r="N810" s="28"/>
      <c r="Q810" s="35"/>
      <c r="R810" s="13"/>
      <c r="S810" s="42"/>
      <c r="T810" s="42"/>
      <c r="U810" s="31"/>
      <c r="X810" s="32"/>
      <c r="Y810" s="28"/>
      <c r="Z810" s="28"/>
      <c r="AA810" s="33"/>
      <c r="AB810" s="13"/>
      <c r="AC810" s="34" t="str">
        <f t="shared" si="33"/>
        <v/>
      </c>
      <c r="AP810" s="57"/>
    </row>
    <row r="811" spans="2:42" ht="15" x14ac:dyDescent="0.25">
      <c r="B811" s="15">
        <v>809</v>
      </c>
      <c r="D811" s="17">
        <f t="shared" si="32"/>
        <v>0</v>
      </c>
      <c r="H811" s="40"/>
      <c r="I811" s="25"/>
      <c r="J811" s="26"/>
      <c r="K811" s="27"/>
      <c r="L811" s="28"/>
      <c r="M811" s="28"/>
      <c r="N811" s="28"/>
      <c r="Q811" s="35"/>
      <c r="R811" s="13"/>
      <c r="S811" s="42"/>
      <c r="T811" s="42"/>
      <c r="U811" s="31"/>
      <c r="X811" s="32"/>
      <c r="Y811" s="28"/>
      <c r="Z811" s="28"/>
      <c r="AA811" s="33"/>
      <c r="AB811" s="13"/>
      <c r="AC811" s="34" t="str">
        <f t="shared" si="33"/>
        <v/>
      </c>
      <c r="AP811" s="57"/>
    </row>
    <row r="812" spans="2:42" ht="15" x14ac:dyDescent="0.25">
      <c r="B812" s="15">
        <v>810</v>
      </c>
      <c r="D812" s="17">
        <f t="shared" si="32"/>
        <v>0</v>
      </c>
      <c r="H812" s="40"/>
      <c r="I812" s="25"/>
      <c r="J812" s="26"/>
      <c r="K812" s="27"/>
      <c r="L812" s="28"/>
      <c r="M812" s="28"/>
      <c r="N812" s="28"/>
      <c r="Q812" s="35"/>
      <c r="R812" s="13"/>
      <c r="S812" s="42"/>
      <c r="T812" s="42"/>
      <c r="U812" s="31"/>
      <c r="X812" s="32"/>
      <c r="Y812" s="28"/>
      <c r="Z812" s="28"/>
      <c r="AA812" s="33"/>
      <c r="AB812" s="13"/>
      <c r="AC812" s="34" t="str">
        <f t="shared" si="33"/>
        <v/>
      </c>
      <c r="AP812" s="57"/>
    </row>
    <row r="813" spans="2:42" ht="15" x14ac:dyDescent="0.25">
      <c r="B813" s="15">
        <v>811</v>
      </c>
      <c r="D813" s="17">
        <f t="shared" si="32"/>
        <v>0</v>
      </c>
      <c r="H813" s="40"/>
      <c r="I813" s="25"/>
      <c r="J813" s="26"/>
      <c r="K813" s="27"/>
      <c r="L813" s="28"/>
      <c r="M813" s="28"/>
      <c r="N813" s="28"/>
      <c r="Q813" s="35"/>
      <c r="R813" s="13"/>
      <c r="S813" s="42"/>
      <c r="T813" s="42"/>
      <c r="U813" s="31"/>
      <c r="X813" s="32"/>
      <c r="Y813" s="28"/>
      <c r="Z813" s="28"/>
      <c r="AA813" s="33"/>
      <c r="AB813" s="13"/>
      <c r="AC813" s="34" t="str">
        <f t="shared" si="33"/>
        <v/>
      </c>
      <c r="AP813" s="57"/>
    </row>
    <row r="814" spans="2:42" ht="15" x14ac:dyDescent="0.25">
      <c r="B814" s="15">
        <v>812</v>
      </c>
      <c r="D814" s="17">
        <f t="shared" si="32"/>
        <v>0</v>
      </c>
      <c r="H814" s="40"/>
      <c r="I814" s="25"/>
      <c r="J814" s="26"/>
      <c r="K814" s="27"/>
      <c r="L814" s="28"/>
      <c r="M814" s="28"/>
      <c r="N814" s="28"/>
      <c r="Q814" s="35"/>
      <c r="R814" s="13"/>
      <c r="S814" s="42"/>
      <c r="T814" s="42"/>
      <c r="U814" s="31"/>
      <c r="X814" s="32"/>
      <c r="Y814" s="28"/>
      <c r="Z814" s="28"/>
      <c r="AA814" s="33"/>
      <c r="AB814" s="13"/>
      <c r="AC814" s="34" t="str">
        <f t="shared" si="33"/>
        <v/>
      </c>
      <c r="AP814" s="57"/>
    </row>
    <row r="815" spans="2:42" ht="15" x14ac:dyDescent="0.25">
      <c r="B815" s="15">
        <v>813</v>
      </c>
      <c r="D815" s="17">
        <f t="shared" si="32"/>
        <v>0</v>
      </c>
      <c r="H815" s="40"/>
      <c r="I815" s="25"/>
      <c r="J815" s="26"/>
      <c r="K815" s="27"/>
      <c r="L815" s="28"/>
      <c r="M815" s="28"/>
      <c r="N815" s="28"/>
      <c r="Q815" s="35"/>
      <c r="R815" s="13"/>
      <c r="S815" s="42"/>
      <c r="T815" s="42"/>
      <c r="U815" s="31"/>
      <c r="X815" s="32"/>
      <c r="Y815" s="28"/>
      <c r="Z815" s="28"/>
      <c r="AA815" s="33"/>
      <c r="AB815" s="13"/>
      <c r="AC815" s="34" t="str">
        <f t="shared" si="33"/>
        <v/>
      </c>
      <c r="AP815" s="57"/>
    </row>
    <row r="816" spans="2:42" ht="15" x14ac:dyDescent="0.25">
      <c r="B816" s="15">
        <v>814</v>
      </c>
      <c r="D816" s="17">
        <f t="shared" si="32"/>
        <v>0</v>
      </c>
      <c r="H816" s="40"/>
      <c r="I816" s="25"/>
      <c r="J816" s="26"/>
      <c r="K816" s="27"/>
      <c r="L816" s="28"/>
      <c r="M816" s="28"/>
      <c r="N816" s="28"/>
      <c r="Q816" s="35"/>
      <c r="R816" s="13"/>
      <c r="S816" s="42"/>
      <c r="T816" s="42"/>
      <c r="U816" s="31"/>
      <c r="X816" s="32"/>
      <c r="Y816" s="28"/>
      <c r="Z816" s="28"/>
      <c r="AA816" s="33"/>
      <c r="AB816" s="13"/>
      <c r="AC816" s="34" t="str">
        <f t="shared" si="33"/>
        <v/>
      </c>
      <c r="AP816" s="57"/>
    </row>
    <row r="817" spans="2:42" ht="15" x14ac:dyDescent="0.25">
      <c r="B817" s="15">
        <v>815</v>
      </c>
      <c r="D817" s="17">
        <f t="shared" ref="D817:D880" si="34">_xlfn.NUMBERVALUE(+LEFT(C817,11))</f>
        <v>0</v>
      </c>
      <c r="H817" s="40"/>
      <c r="I817" s="25"/>
      <c r="J817" s="26"/>
      <c r="K817" s="27"/>
      <c r="L817" s="28"/>
      <c r="M817" s="28"/>
      <c r="N817" s="28"/>
      <c r="Q817" s="35"/>
      <c r="R817" s="13"/>
      <c r="S817" s="42"/>
      <c r="T817" s="42"/>
      <c r="U817" s="31"/>
      <c r="X817" s="32"/>
      <c r="Y817" s="28"/>
      <c r="Z817" s="28"/>
      <c r="AA817" s="33"/>
      <c r="AB817" s="13"/>
      <c r="AC817" s="34" t="str">
        <f t="shared" si="33"/>
        <v/>
      </c>
      <c r="AP817" s="57"/>
    </row>
    <row r="818" spans="2:42" ht="15" x14ac:dyDescent="0.25">
      <c r="B818" s="15">
        <v>816</v>
      </c>
      <c r="D818" s="17">
        <f t="shared" si="34"/>
        <v>0</v>
      </c>
      <c r="H818" s="40"/>
      <c r="I818" s="25"/>
      <c r="J818" s="26"/>
      <c r="K818" s="27"/>
      <c r="L818" s="28"/>
      <c r="M818" s="28"/>
      <c r="N818" s="28"/>
      <c r="Q818" s="35"/>
      <c r="R818" s="13"/>
      <c r="S818" s="42"/>
      <c r="T818" s="42"/>
      <c r="U818" s="31"/>
      <c r="X818" s="32"/>
      <c r="Y818" s="28"/>
      <c r="Z818" s="28"/>
      <c r="AA818" s="33"/>
      <c r="AB818" s="13"/>
      <c r="AC818" s="34" t="str">
        <f t="shared" si="33"/>
        <v/>
      </c>
      <c r="AP818" s="57"/>
    </row>
    <row r="819" spans="2:42" ht="15" x14ac:dyDescent="0.25">
      <c r="B819" s="15">
        <v>817</v>
      </c>
      <c r="D819" s="17">
        <f t="shared" si="34"/>
        <v>0</v>
      </c>
      <c r="H819" s="40"/>
      <c r="I819" s="25"/>
      <c r="J819" s="26"/>
      <c r="K819" s="27"/>
      <c r="L819" s="28"/>
      <c r="M819" s="28"/>
      <c r="N819" s="28"/>
      <c r="Q819" s="35"/>
      <c r="R819" s="13"/>
      <c r="S819" s="42"/>
      <c r="T819" s="42"/>
      <c r="U819" s="31"/>
      <c r="X819" s="32"/>
      <c r="Y819" s="28"/>
      <c r="Z819" s="28"/>
      <c r="AA819" s="33"/>
      <c r="AB819" s="13"/>
      <c r="AC819" s="34" t="str">
        <f t="shared" si="33"/>
        <v/>
      </c>
      <c r="AP819" s="57"/>
    </row>
    <row r="820" spans="2:42" ht="15" x14ac:dyDescent="0.25">
      <c r="B820" s="15">
        <v>818</v>
      </c>
      <c r="D820" s="17">
        <f t="shared" si="34"/>
        <v>0</v>
      </c>
      <c r="H820" s="40"/>
      <c r="I820" s="25"/>
      <c r="J820" s="26"/>
      <c r="K820" s="27"/>
      <c r="L820" s="28"/>
      <c r="M820" s="28"/>
      <c r="N820" s="28"/>
      <c r="Q820" s="35"/>
      <c r="R820" s="13"/>
      <c r="S820" s="42"/>
      <c r="T820" s="42"/>
      <c r="U820" s="31"/>
      <c r="X820" s="32"/>
      <c r="Y820" s="28"/>
      <c r="Z820" s="28"/>
      <c r="AA820" s="33"/>
      <c r="AB820" s="13"/>
      <c r="AC820" s="34" t="str">
        <f t="shared" si="33"/>
        <v/>
      </c>
      <c r="AP820" s="57"/>
    </row>
    <row r="821" spans="2:42" ht="15" x14ac:dyDescent="0.25">
      <c r="B821" s="15">
        <v>819</v>
      </c>
      <c r="D821" s="17">
        <f t="shared" si="34"/>
        <v>0</v>
      </c>
      <c r="H821" s="40"/>
      <c r="J821" s="26"/>
      <c r="K821" s="27"/>
      <c r="L821" s="28"/>
      <c r="M821" s="28"/>
      <c r="N821" s="28"/>
      <c r="Q821" s="35"/>
      <c r="R821" s="13"/>
      <c r="S821" s="42"/>
      <c r="T821" s="42"/>
      <c r="U821" s="31"/>
      <c r="V821" s="38"/>
      <c r="W821" s="38"/>
      <c r="X821" s="32"/>
      <c r="Y821" s="28"/>
      <c r="Z821" s="28"/>
      <c r="AA821" s="33"/>
      <c r="AB821" s="13"/>
      <c r="AC821" s="34" t="str">
        <f t="shared" si="33"/>
        <v/>
      </c>
      <c r="AP821" s="57"/>
    </row>
    <row r="822" spans="2:42" ht="15" x14ac:dyDescent="0.25">
      <c r="B822" s="15">
        <v>820</v>
      </c>
      <c r="D822" s="17">
        <f t="shared" si="34"/>
        <v>0</v>
      </c>
      <c r="F822" s="25"/>
      <c r="G822" s="25"/>
      <c r="H822" s="40"/>
      <c r="I822" s="25"/>
      <c r="J822" s="26"/>
      <c r="K822" s="27"/>
      <c r="L822" s="28"/>
      <c r="M822" s="28"/>
      <c r="N822" s="28"/>
      <c r="Q822" s="35"/>
      <c r="R822" s="13"/>
      <c r="S822" s="42"/>
      <c r="T822" s="42"/>
      <c r="U822" s="31"/>
      <c r="V822" s="38"/>
      <c r="W822" s="38"/>
      <c r="X822" s="32"/>
      <c r="Y822" s="28"/>
      <c r="Z822" s="28"/>
      <c r="AA822" s="33"/>
      <c r="AB822" s="13"/>
      <c r="AC822" s="34" t="str">
        <f t="shared" si="33"/>
        <v/>
      </c>
      <c r="AP822" s="57"/>
    </row>
    <row r="823" spans="2:42" ht="15" x14ac:dyDescent="0.25">
      <c r="B823" s="15">
        <v>821</v>
      </c>
      <c r="D823" s="17">
        <f t="shared" si="34"/>
        <v>0</v>
      </c>
      <c r="F823" s="25"/>
      <c r="G823" s="25"/>
      <c r="H823" s="40"/>
      <c r="I823" s="25"/>
      <c r="J823" s="26"/>
      <c r="K823" s="27"/>
      <c r="L823" s="28"/>
      <c r="M823" s="28"/>
      <c r="N823" s="28"/>
      <c r="Q823" s="35"/>
      <c r="R823" s="13"/>
      <c r="S823" s="42"/>
      <c r="T823" s="42"/>
      <c r="U823" s="31"/>
      <c r="V823" s="38"/>
      <c r="W823" s="38"/>
      <c r="X823" s="32"/>
      <c r="Y823" s="28"/>
      <c r="Z823" s="28"/>
      <c r="AA823" s="33"/>
      <c r="AB823" s="13"/>
      <c r="AC823" s="34" t="str">
        <f t="shared" si="33"/>
        <v/>
      </c>
      <c r="AP823" s="57"/>
    </row>
    <row r="824" spans="2:42" ht="15" x14ac:dyDescent="0.25">
      <c r="B824" s="15">
        <v>822</v>
      </c>
      <c r="D824" s="17">
        <f t="shared" si="34"/>
        <v>0</v>
      </c>
      <c r="F824" s="25"/>
      <c r="G824" s="25"/>
      <c r="H824" s="40"/>
      <c r="I824" s="25"/>
      <c r="J824" s="26"/>
      <c r="K824" s="27"/>
      <c r="L824" s="28"/>
      <c r="M824" s="28"/>
      <c r="N824" s="28"/>
      <c r="Q824" s="35"/>
      <c r="R824" s="13"/>
      <c r="S824" s="42"/>
      <c r="T824" s="42"/>
      <c r="U824" s="31"/>
      <c r="V824" s="38"/>
      <c r="W824" s="38"/>
      <c r="X824" s="32"/>
      <c r="Y824" s="28"/>
      <c r="Z824" s="28"/>
      <c r="AA824" s="33"/>
      <c r="AB824" s="13"/>
      <c r="AC824" s="34" t="str">
        <f t="shared" si="33"/>
        <v/>
      </c>
      <c r="AP824" s="57"/>
    </row>
    <row r="825" spans="2:42" ht="15" x14ac:dyDescent="0.25">
      <c r="B825" s="15">
        <v>823</v>
      </c>
      <c r="D825" s="17">
        <f t="shared" si="34"/>
        <v>0</v>
      </c>
      <c r="F825" s="25"/>
      <c r="G825" s="25"/>
      <c r="H825" s="40"/>
      <c r="I825" s="25"/>
      <c r="J825" s="26"/>
      <c r="K825" s="27"/>
      <c r="L825" s="28"/>
      <c r="M825" s="28"/>
      <c r="N825" s="28"/>
      <c r="Q825" s="35"/>
      <c r="R825" s="13"/>
      <c r="S825" s="42"/>
      <c r="T825" s="42"/>
      <c r="U825" s="31"/>
      <c r="V825" s="38"/>
      <c r="W825" s="38"/>
      <c r="X825" s="32"/>
      <c r="Y825" s="28"/>
      <c r="Z825" s="28"/>
      <c r="AA825" s="33"/>
      <c r="AB825" s="13"/>
      <c r="AC825" s="34" t="str">
        <f t="shared" si="33"/>
        <v/>
      </c>
      <c r="AP825" s="57"/>
    </row>
    <row r="826" spans="2:42" ht="15" x14ac:dyDescent="0.25">
      <c r="B826" s="15">
        <v>824</v>
      </c>
      <c r="D826" s="17">
        <f t="shared" si="34"/>
        <v>0</v>
      </c>
      <c r="H826" s="40"/>
      <c r="I826" s="25"/>
      <c r="J826" s="26"/>
      <c r="K826" s="27"/>
      <c r="L826" s="28"/>
      <c r="M826" s="28"/>
      <c r="N826" s="28"/>
      <c r="Q826" s="35"/>
      <c r="R826" s="13"/>
      <c r="S826" s="42"/>
      <c r="T826" s="42"/>
      <c r="U826" s="31"/>
      <c r="V826" s="38"/>
      <c r="W826" s="38"/>
      <c r="X826" s="32"/>
      <c r="Y826" s="28"/>
      <c r="Z826" s="28"/>
      <c r="AA826" s="33"/>
      <c r="AB826" s="13"/>
      <c r="AC826" s="34" t="str">
        <f t="shared" si="33"/>
        <v/>
      </c>
      <c r="AP826" s="57"/>
    </row>
    <row r="827" spans="2:42" ht="15" x14ac:dyDescent="0.25">
      <c r="B827" s="15">
        <v>825</v>
      </c>
      <c r="D827" s="17">
        <f t="shared" si="34"/>
        <v>0</v>
      </c>
      <c r="H827" s="40"/>
      <c r="I827" s="25"/>
      <c r="J827" s="26"/>
      <c r="K827" s="27"/>
      <c r="L827" s="28"/>
      <c r="M827" s="28"/>
      <c r="N827" s="28"/>
      <c r="Q827" s="35"/>
      <c r="R827" s="13"/>
      <c r="S827" s="42"/>
      <c r="T827" s="42"/>
      <c r="U827" s="31"/>
      <c r="V827" s="38"/>
      <c r="W827" s="38"/>
      <c r="X827" s="32"/>
      <c r="Y827" s="28"/>
      <c r="Z827" s="28"/>
      <c r="AA827" s="33"/>
      <c r="AB827" s="13"/>
      <c r="AC827" s="34" t="str">
        <f t="shared" si="33"/>
        <v/>
      </c>
      <c r="AP827" s="57"/>
    </row>
    <row r="828" spans="2:42" ht="15" x14ac:dyDescent="0.25">
      <c r="B828" s="15">
        <v>826</v>
      </c>
      <c r="D828" s="17">
        <f t="shared" si="34"/>
        <v>0</v>
      </c>
      <c r="H828" s="40"/>
      <c r="I828" s="25"/>
      <c r="J828" s="26"/>
      <c r="K828" s="27"/>
      <c r="L828" s="28"/>
      <c r="M828" s="28"/>
      <c r="N828" s="28"/>
      <c r="Q828" s="35"/>
      <c r="R828" s="13"/>
      <c r="S828" s="42"/>
      <c r="T828" s="42"/>
      <c r="U828" s="31"/>
      <c r="V828" s="38"/>
      <c r="W828" s="38"/>
      <c r="X828" s="32"/>
      <c r="Y828" s="28"/>
      <c r="Z828" s="28"/>
      <c r="AA828" s="33"/>
      <c r="AB828" s="13"/>
      <c r="AC828" s="34" t="str">
        <f t="shared" si="33"/>
        <v/>
      </c>
      <c r="AP828" s="57"/>
    </row>
    <row r="829" spans="2:42" ht="15" x14ac:dyDescent="0.25">
      <c r="B829" s="15">
        <v>827</v>
      </c>
      <c r="D829" s="17">
        <f t="shared" si="34"/>
        <v>0</v>
      </c>
      <c r="H829" s="40"/>
      <c r="J829" s="26"/>
      <c r="K829" s="27"/>
      <c r="L829" s="28"/>
      <c r="M829" s="28"/>
      <c r="N829" s="28"/>
      <c r="Q829" s="35"/>
      <c r="R829" s="13"/>
      <c r="S829" s="42"/>
      <c r="T829" s="42"/>
      <c r="U829" s="31"/>
      <c r="V829" s="38"/>
      <c r="W829" s="38"/>
      <c r="X829" s="32"/>
      <c r="Y829" s="28"/>
      <c r="Z829" s="28"/>
      <c r="AA829" s="33"/>
      <c r="AB829" s="13"/>
      <c r="AC829" s="34" t="str">
        <f t="shared" si="33"/>
        <v/>
      </c>
      <c r="AP829" s="57"/>
    </row>
    <row r="830" spans="2:42" ht="15" x14ac:dyDescent="0.25">
      <c r="B830" s="15">
        <v>828</v>
      </c>
      <c r="D830" s="17">
        <f t="shared" si="34"/>
        <v>0</v>
      </c>
      <c r="F830" s="25"/>
      <c r="G830" s="25"/>
      <c r="H830" s="40"/>
      <c r="I830" s="25"/>
      <c r="J830" s="26"/>
      <c r="K830" s="27"/>
      <c r="L830" s="28"/>
      <c r="M830" s="28"/>
      <c r="N830" s="28"/>
      <c r="Q830" s="35"/>
      <c r="R830" s="13"/>
      <c r="S830" s="42"/>
      <c r="T830" s="42"/>
      <c r="U830" s="31"/>
      <c r="V830" s="38"/>
      <c r="W830" s="38"/>
      <c r="X830" s="32"/>
      <c r="Y830" s="28"/>
      <c r="Z830" s="28"/>
      <c r="AA830" s="33"/>
      <c r="AB830" s="13"/>
      <c r="AC830" s="34" t="str">
        <f t="shared" si="33"/>
        <v/>
      </c>
      <c r="AP830" s="57"/>
    </row>
    <row r="831" spans="2:42" ht="15" x14ac:dyDescent="0.25">
      <c r="B831" s="15">
        <v>829</v>
      </c>
      <c r="D831" s="17">
        <f t="shared" si="34"/>
        <v>0</v>
      </c>
      <c r="F831" s="25"/>
      <c r="G831" s="25"/>
      <c r="H831" s="40"/>
      <c r="I831" s="25"/>
      <c r="J831" s="26"/>
      <c r="K831" s="27"/>
      <c r="L831" s="28"/>
      <c r="M831" s="28"/>
      <c r="N831" s="28"/>
      <c r="Q831" s="35"/>
      <c r="R831" s="13"/>
      <c r="S831" s="42"/>
      <c r="T831" s="42"/>
      <c r="U831" s="31"/>
      <c r="V831" s="38"/>
      <c r="W831" s="38"/>
      <c r="X831" s="32"/>
      <c r="Y831" s="28"/>
      <c r="Z831" s="28"/>
      <c r="AA831" s="33"/>
      <c r="AB831" s="13"/>
      <c r="AC831" s="34" t="str">
        <f t="shared" si="33"/>
        <v/>
      </c>
      <c r="AP831" s="57"/>
    </row>
    <row r="832" spans="2:42" ht="15" x14ac:dyDescent="0.25">
      <c r="B832" s="15">
        <v>830</v>
      </c>
      <c r="D832" s="17">
        <f t="shared" si="34"/>
        <v>0</v>
      </c>
      <c r="F832" s="25"/>
      <c r="G832" s="25"/>
      <c r="H832" s="40"/>
      <c r="I832" s="25"/>
      <c r="J832" s="26"/>
      <c r="K832" s="27"/>
      <c r="L832" s="28"/>
      <c r="M832" s="28"/>
      <c r="N832" s="28"/>
      <c r="Q832" s="35"/>
      <c r="R832" s="13"/>
      <c r="S832" s="42"/>
      <c r="T832" s="42"/>
      <c r="U832" s="31"/>
      <c r="V832" s="38"/>
      <c r="W832" s="38"/>
      <c r="X832" s="32"/>
      <c r="Y832" s="28"/>
      <c r="Z832" s="28"/>
      <c r="AA832" s="33"/>
      <c r="AB832" s="13"/>
      <c r="AC832" s="34" t="str">
        <f t="shared" si="33"/>
        <v/>
      </c>
      <c r="AP832" s="57"/>
    </row>
    <row r="833" spans="2:42" ht="15" x14ac:dyDescent="0.25">
      <c r="B833" s="15">
        <v>831</v>
      </c>
      <c r="D833" s="17">
        <f t="shared" si="34"/>
        <v>0</v>
      </c>
      <c r="F833" s="25"/>
      <c r="G833" s="25"/>
      <c r="H833" s="40"/>
      <c r="I833" s="25"/>
      <c r="J833" s="26"/>
      <c r="K833" s="27"/>
      <c r="L833" s="28"/>
      <c r="M833" s="28"/>
      <c r="N833" s="28"/>
      <c r="Q833" s="35"/>
      <c r="R833" s="13"/>
      <c r="S833" s="42"/>
      <c r="T833" s="42"/>
      <c r="U833" s="31"/>
      <c r="V833" s="38"/>
      <c r="W833" s="38"/>
      <c r="X833" s="32"/>
      <c r="Y833" s="28"/>
      <c r="Z833" s="28"/>
      <c r="AA833" s="33"/>
      <c r="AB833" s="13"/>
      <c r="AC833" s="34" t="str">
        <f t="shared" si="33"/>
        <v/>
      </c>
      <c r="AP833" s="57"/>
    </row>
    <row r="834" spans="2:42" ht="15" x14ac:dyDescent="0.25">
      <c r="B834" s="15">
        <v>832</v>
      </c>
      <c r="D834" s="17">
        <f t="shared" si="34"/>
        <v>0</v>
      </c>
      <c r="H834" s="40"/>
      <c r="I834" s="25"/>
      <c r="J834" s="26"/>
      <c r="K834" s="27"/>
      <c r="L834" s="28"/>
      <c r="M834" s="28"/>
      <c r="N834" s="28"/>
      <c r="Q834" s="35"/>
      <c r="R834" s="13"/>
      <c r="S834" s="42"/>
      <c r="T834" s="42"/>
      <c r="U834" s="31"/>
      <c r="V834" s="38"/>
      <c r="W834" s="38"/>
      <c r="X834" s="32"/>
      <c r="Y834" s="28"/>
      <c r="Z834" s="28"/>
      <c r="AA834" s="33"/>
      <c r="AB834" s="13"/>
      <c r="AC834" s="34" t="str">
        <f t="shared" si="33"/>
        <v/>
      </c>
      <c r="AP834" s="57"/>
    </row>
    <row r="835" spans="2:42" ht="15" x14ac:dyDescent="0.25">
      <c r="B835" s="15">
        <v>833</v>
      </c>
      <c r="D835" s="17">
        <f t="shared" si="34"/>
        <v>0</v>
      </c>
      <c r="H835" s="40"/>
      <c r="I835" s="25"/>
      <c r="J835" s="26"/>
      <c r="K835" s="27"/>
      <c r="L835" s="28"/>
      <c r="M835" s="28"/>
      <c r="N835" s="28"/>
      <c r="Q835" s="35"/>
      <c r="R835" s="13"/>
      <c r="S835" s="42"/>
      <c r="T835" s="42"/>
      <c r="U835" s="31"/>
      <c r="V835" s="38"/>
      <c r="W835" s="38"/>
      <c r="X835" s="32"/>
      <c r="Y835" s="28"/>
      <c r="Z835" s="28"/>
      <c r="AA835" s="33"/>
      <c r="AB835" s="13"/>
      <c r="AC835" s="34" t="str">
        <f t="shared" ref="AC835:AC898" si="35">+IF(AB835="","",R835-AB835)</f>
        <v/>
      </c>
      <c r="AP835" s="57"/>
    </row>
    <row r="836" spans="2:42" ht="15" x14ac:dyDescent="0.25">
      <c r="B836" s="15">
        <v>834</v>
      </c>
      <c r="D836" s="17">
        <f t="shared" si="34"/>
        <v>0</v>
      </c>
      <c r="H836" s="40"/>
      <c r="I836" s="25"/>
      <c r="J836" s="26"/>
      <c r="K836" s="27"/>
      <c r="L836" s="28"/>
      <c r="M836" s="28"/>
      <c r="N836" s="28"/>
      <c r="Q836" s="35"/>
      <c r="R836" s="13"/>
      <c r="S836" s="42"/>
      <c r="T836" s="42"/>
      <c r="U836" s="31"/>
      <c r="V836" s="38"/>
      <c r="W836" s="38"/>
      <c r="X836" s="32"/>
      <c r="Y836" s="28"/>
      <c r="Z836" s="28"/>
      <c r="AA836" s="33"/>
      <c r="AB836" s="13"/>
      <c r="AC836" s="34" t="str">
        <f t="shared" si="35"/>
        <v/>
      </c>
      <c r="AP836" s="57"/>
    </row>
    <row r="837" spans="2:42" ht="15" x14ac:dyDescent="0.25">
      <c r="B837" s="15">
        <v>835</v>
      </c>
      <c r="D837" s="17">
        <f t="shared" si="34"/>
        <v>0</v>
      </c>
      <c r="H837" s="40"/>
      <c r="I837" s="25"/>
      <c r="J837" s="26"/>
      <c r="K837" s="27"/>
      <c r="L837" s="28"/>
      <c r="M837" s="28"/>
      <c r="N837" s="28"/>
      <c r="Q837" s="35"/>
      <c r="R837" s="13"/>
      <c r="S837" s="42"/>
      <c r="T837" s="42"/>
      <c r="U837" s="31"/>
      <c r="X837" s="32"/>
      <c r="Y837" s="28"/>
      <c r="Z837" s="28"/>
      <c r="AA837" s="33"/>
      <c r="AB837" s="13"/>
      <c r="AC837" s="34" t="str">
        <f t="shared" si="35"/>
        <v/>
      </c>
      <c r="AP837" s="57"/>
    </row>
    <row r="838" spans="2:42" ht="15" x14ac:dyDescent="0.25">
      <c r="B838" s="15">
        <v>836</v>
      </c>
      <c r="D838" s="17">
        <f t="shared" si="34"/>
        <v>0</v>
      </c>
      <c r="H838" s="40"/>
      <c r="J838" s="26"/>
      <c r="K838" s="27"/>
      <c r="L838" s="28"/>
      <c r="M838" s="28"/>
      <c r="N838" s="28"/>
      <c r="Q838" s="35"/>
      <c r="R838" s="13"/>
      <c r="S838" s="42"/>
      <c r="T838" s="42"/>
      <c r="U838" s="31"/>
      <c r="V838" s="38"/>
      <c r="W838" s="38"/>
      <c r="X838" s="32"/>
      <c r="Y838" s="28"/>
      <c r="Z838" s="28"/>
      <c r="AA838" s="33"/>
      <c r="AB838" s="13"/>
      <c r="AC838" s="34" t="str">
        <f t="shared" si="35"/>
        <v/>
      </c>
      <c r="AP838" s="57"/>
    </row>
    <row r="839" spans="2:42" ht="15" x14ac:dyDescent="0.25">
      <c r="B839" s="15">
        <v>837</v>
      </c>
      <c r="D839" s="17">
        <f t="shared" si="34"/>
        <v>0</v>
      </c>
      <c r="F839" s="25"/>
      <c r="G839" s="25"/>
      <c r="H839" s="40"/>
      <c r="I839" s="25"/>
      <c r="J839" s="26"/>
      <c r="K839" s="27"/>
      <c r="L839" s="28"/>
      <c r="M839" s="28"/>
      <c r="N839" s="28"/>
      <c r="Q839" s="35"/>
      <c r="R839" s="13"/>
      <c r="S839" s="42"/>
      <c r="T839" s="42"/>
      <c r="U839" s="31"/>
      <c r="V839" s="38"/>
      <c r="W839" s="38"/>
      <c r="X839" s="32"/>
      <c r="Y839" s="28"/>
      <c r="Z839" s="28"/>
      <c r="AA839" s="33"/>
      <c r="AB839" s="13"/>
      <c r="AC839" s="34" t="str">
        <f t="shared" si="35"/>
        <v/>
      </c>
      <c r="AP839" s="57"/>
    </row>
    <row r="840" spans="2:42" ht="15" x14ac:dyDescent="0.25">
      <c r="B840" s="15">
        <v>838</v>
      </c>
      <c r="C840" s="17"/>
      <c r="D840" s="17">
        <f t="shared" si="34"/>
        <v>0</v>
      </c>
      <c r="F840" s="25"/>
      <c r="G840" s="25"/>
      <c r="H840" s="25"/>
      <c r="I840" s="25"/>
      <c r="J840" s="26"/>
      <c r="K840" s="47"/>
      <c r="L840" s="28"/>
      <c r="M840" s="28"/>
      <c r="N840" s="28"/>
      <c r="P840" s="29"/>
      <c r="Q840" s="35"/>
      <c r="R840" s="13"/>
      <c r="T840" s="46"/>
      <c r="U840" s="45"/>
      <c r="X840" s="32"/>
      <c r="Y840" s="28"/>
      <c r="Z840" s="28"/>
      <c r="AA840" s="33"/>
      <c r="AB840" s="34"/>
      <c r="AC840" s="34" t="str">
        <f t="shared" si="35"/>
        <v/>
      </c>
      <c r="AP840" s="57"/>
    </row>
    <row r="841" spans="2:42" ht="15" x14ac:dyDescent="0.25">
      <c r="B841" s="15">
        <v>839</v>
      </c>
      <c r="C841" s="17"/>
      <c r="D841" s="17">
        <f t="shared" si="34"/>
        <v>0</v>
      </c>
      <c r="F841" s="25"/>
      <c r="G841" s="25"/>
      <c r="H841" s="25"/>
      <c r="I841" s="25"/>
      <c r="J841" s="26"/>
      <c r="K841" s="47"/>
      <c r="L841" s="28"/>
      <c r="M841" s="28"/>
      <c r="N841" s="28"/>
      <c r="P841" s="29"/>
      <c r="Q841" s="35"/>
      <c r="R841" s="13"/>
      <c r="T841" s="46"/>
      <c r="U841" s="45"/>
      <c r="X841" s="32"/>
      <c r="Y841" s="28"/>
      <c r="Z841" s="28"/>
      <c r="AA841" s="33"/>
      <c r="AB841" s="34"/>
      <c r="AC841" s="34" t="str">
        <f t="shared" si="35"/>
        <v/>
      </c>
      <c r="AP841" s="57"/>
    </row>
    <row r="842" spans="2:42" ht="15" x14ac:dyDescent="0.25">
      <c r="B842" s="15">
        <v>840</v>
      </c>
      <c r="C842" s="17"/>
      <c r="D842" s="17">
        <f t="shared" si="34"/>
        <v>0</v>
      </c>
      <c r="F842" s="25"/>
      <c r="G842" s="25"/>
      <c r="H842" s="25"/>
      <c r="I842" s="25"/>
      <c r="J842" s="26"/>
      <c r="K842" s="47"/>
      <c r="L842" s="28"/>
      <c r="M842" s="28"/>
      <c r="N842" s="28"/>
      <c r="P842" s="29"/>
      <c r="Q842" s="35"/>
      <c r="R842" s="13"/>
      <c r="T842" s="46"/>
      <c r="U842" s="45"/>
      <c r="X842" s="32"/>
      <c r="Y842" s="28"/>
      <c r="Z842" s="28"/>
      <c r="AA842" s="33"/>
      <c r="AB842" s="34"/>
      <c r="AC842" s="34" t="str">
        <f t="shared" si="35"/>
        <v/>
      </c>
      <c r="AP842" s="57"/>
    </row>
    <row r="843" spans="2:42" ht="15" x14ac:dyDescent="0.25">
      <c r="B843" s="15">
        <v>841</v>
      </c>
      <c r="C843" s="17"/>
      <c r="D843" s="17">
        <f t="shared" si="34"/>
        <v>0</v>
      </c>
      <c r="F843" s="25"/>
      <c r="G843" s="25"/>
      <c r="H843" s="25"/>
      <c r="I843" s="25"/>
      <c r="J843" s="26"/>
      <c r="K843" s="47"/>
      <c r="L843" s="28"/>
      <c r="M843" s="28"/>
      <c r="N843" s="28"/>
      <c r="P843" s="29"/>
      <c r="Q843" s="35"/>
      <c r="R843" s="13"/>
      <c r="T843" s="46"/>
      <c r="U843" s="45"/>
      <c r="X843" s="32"/>
      <c r="Y843" s="28"/>
      <c r="Z843" s="28"/>
      <c r="AA843" s="33"/>
      <c r="AB843" s="34"/>
      <c r="AC843" s="34" t="str">
        <f t="shared" si="35"/>
        <v/>
      </c>
      <c r="AP843" s="57"/>
    </row>
    <row r="844" spans="2:42" ht="15" x14ac:dyDescent="0.25">
      <c r="B844" s="15">
        <v>842</v>
      </c>
      <c r="D844" s="17">
        <f t="shared" si="34"/>
        <v>0</v>
      </c>
      <c r="H844" s="40"/>
      <c r="J844" s="26"/>
      <c r="K844" s="27"/>
      <c r="L844" s="28"/>
      <c r="M844" s="28"/>
      <c r="N844" s="28"/>
      <c r="Q844" s="35"/>
      <c r="R844" s="13"/>
      <c r="S844" s="42"/>
      <c r="T844" s="42"/>
      <c r="U844" s="31"/>
      <c r="V844" s="38"/>
      <c r="W844" s="38"/>
      <c r="X844" s="32"/>
      <c r="Y844" s="28"/>
      <c r="Z844" s="28"/>
      <c r="AA844" s="33"/>
      <c r="AB844" s="13"/>
      <c r="AC844" s="34" t="str">
        <f t="shared" si="35"/>
        <v/>
      </c>
      <c r="AP844" s="57"/>
    </row>
    <row r="845" spans="2:42" ht="15" x14ac:dyDescent="0.25">
      <c r="B845" s="15">
        <v>843</v>
      </c>
      <c r="D845" s="17">
        <f t="shared" si="34"/>
        <v>0</v>
      </c>
      <c r="F845" s="25"/>
      <c r="G845" s="25"/>
      <c r="H845" s="40"/>
      <c r="I845" s="25"/>
      <c r="J845" s="26"/>
      <c r="K845" s="27"/>
      <c r="L845" s="28"/>
      <c r="M845" s="28"/>
      <c r="N845" s="28"/>
      <c r="Q845" s="35"/>
      <c r="R845" s="13"/>
      <c r="S845" s="42"/>
      <c r="T845" s="42"/>
      <c r="U845" s="31"/>
      <c r="V845" s="38"/>
      <c r="W845" s="38"/>
      <c r="X845" s="32"/>
      <c r="Y845" s="28"/>
      <c r="Z845" s="28"/>
      <c r="AA845" s="33"/>
      <c r="AB845" s="13"/>
      <c r="AC845" s="34" t="str">
        <f t="shared" si="35"/>
        <v/>
      </c>
      <c r="AP845" s="57"/>
    </row>
    <row r="846" spans="2:42" ht="15" x14ac:dyDescent="0.25">
      <c r="B846" s="15">
        <v>844</v>
      </c>
      <c r="D846" s="17">
        <f t="shared" si="34"/>
        <v>0</v>
      </c>
      <c r="F846" s="25"/>
      <c r="G846" s="25"/>
      <c r="H846" s="40"/>
      <c r="I846" s="25"/>
      <c r="J846" s="26"/>
      <c r="K846" s="27"/>
      <c r="L846" s="28"/>
      <c r="M846" s="28"/>
      <c r="N846" s="28"/>
      <c r="Q846" s="35"/>
      <c r="R846" s="13"/>
      <c r="S846" s="42"/>
      <c r="T846" s="42"/>
      <c r="U846" s="31"/>
      <c r="V846" s="38"/>
      <c r="W846" s="38"/>
      <c r="X846" s="32"/>
      <c r="Y846" s="28"/>
      <c r="Z846" s="28"/>
      <c r="AA846" s="33"/>
      <c r="AB846" s="13"/>
      <c r="AC846" s="34" t="str">
        <f t="shared" si="35"/>
        <v/>
      </c>
      <c r="AP846" s="57"/>
    </row>
    <row r="847" spans="2:42" ht="15" x14ac:dyDescent="0.25">
      <c r="B847" s="15">
        <v>845</v>
      </c>
      <c r="D847" s="17">
        <f t="shared" si="34"/>
        <v>0</v>
      </c>
      <c r="F847" s="25"/>
      <c r="G847" s="25"/>
      <c r="H847" s="40"/>
      <c r="I847" s="25"/>
      <c r="J847" s="26"/>
      <c r="K847" s="27"/>
      <c r="L847" s="28"/>
      <c r="M847" s="28"/>
      <c r="N847" s="28"/>
      <c r="Q847" s="35"/>
      <c r="R847" s="13"/>
      <c r="S847" s="42"/>
      <c r="T847" s="42"/>
      <c r="U847" s="31"/>
      <c r="V847" s="38"/>
      <c r="W847" s="38"/>
      <c r="X847" s="32"/>
      <c r="Y847" s="28"/>
      <c r="Z847" s="28"/>
      <c r="AA847" s="33"/>
      <c r="AB847" s="13"/>
      <c r="AC847" s="34" t="str">
        <f t="shared" si="35"/>
        <v/>
      </c>
      <c r="AP847" s="57"/>
    </row>
    <row r="848" spans="2:42" ht="15" x14ac:dyDescent="0.25">
      <c r="B848" s="15">
        <v>846</v>
      </c>
      <c r="D848" s="17">
        <f t="shared" si="34"/>
        <v>0</v>
      </c>
      <c r="F848" s="25"/>
      <c r="G848" s="25"/>
      <c r="H848" s="40"/>
      <c r="I848" s="25"/>
      <c r="J848" s="26"/>
      <c r="K848" s="27"/>
      <c r="L848" s="28"/>
      <c r="M848" s="28"/>
      <c r="N848" s="28"/>
      <c r="Q848" s="35"/>
      <c r="R848" s="13"/>
      <c r="S848" s="42"/>
      <c r="T848" s="42"/>
      <c r="U848" s="31"/>
      <c r="V848" s="38"/>
      <c r="W848" s="38"/>
      <c r="X848" s="32"/>
      <c r="Y848" s="28"/>
      <c r="Z848" s="28"/>
      <c r="AA848" s="33"/>
      <c r="AB848" s="13"/>
      <c r="AC848" s="34" t="str">
        <f t="shared" si="35"/>
        <v/>
      </c>
      <c r="AP848" s="57"/>
    </row>
    <row r="849" spans="2:42" ht="15" x14ac:dyDescent="0.25">
      <c r="B849" s="15">
        <v>847</v>
      </c>
      <c r="D849" s="17">
        <f t="shared" si="34"/>
        <v>0</v>
      </c>
      <c r="F849" s="25"/>
      <c r="G849" s="25"/>
      <c r="H849" s="40"/>
      <c r="I849" s="25"/>
      <c r="J849" s="26"/>
      <c r="K849" s="27"/>
      <c r="L849" s="28"/>
      <c r="M849" s="28"/>
      <c r="N849" s="28"/>
      <c r="Q849" s="35"/>
      <c r="R849" s="13"/>
      <c r="S849" s="42"/>
      <c r="T849" s="42"/>
      <c r="U849" s="31"/>
      <c r="V849" s="38"/>
      <c r="W849" s="38"/>
      <c r="X849" s="32"/>
      <c r="Y849" s="28"/>
      <c r="Z849" s="28"/>
      <c r="AA849" s="33"/>
      <c r="AB849" s="13"/>
      <c r="AC849" s="34" t="str">
        <f t="shared" si="35"/>
        <v/>
      </c>
      <c r="AP849" s="57"/>
    </row>
    <row r="850" spans="2:42" ht="15" x14ac:dyDescent="0.25">
      <c r="B850" s="15">
        <v>848</v>
      </c>
      <c r="D850" s="17">
        <f t="shared" si="34"/>
        <v>0</v>
      </c>
      <c r="H850" s="40"/>
      <c r="J850" s="26"/>
      <c r="K850" s="27"/>
      <c r="L850" s="28"/>
      <c r="M850" s="28"/>
      <c r="N850" s="28"/>
      <c r="Q850" s="35"/>
      <c r="R850" s="13"/>
      <c r="S850" s="42"/>
      <c r="T850" s="42"/>
      <c r="U850" s="31"/>
      <c r="V850" s="38"/>
      <c r="W850" s="38"/>
      <c r="X850" s="32"/>
      <c r="Y850" s="28"/>
      <c r="Z850" s="28"/>
      <c r="AA850" s="33"/>
      <c r="AB850" s="13"/>
      <c r="AC850" s="34" t="str">
        <f t="shared" si="35"/>
        <v/>
      </c>
      <c r="AP850" s="57"/>
    </row>
    <row r="851" spans="2:42" ht="15" x14ac:dyDescent="0.25">
      <c r="B851" s="15">
        <v>849</v>
      </c>
      <c r="D851" s="17">
        <f t="shared" si="34"/>
        <v>0</v>
      </c>
      <c r="F851" s="25"/>
      <c r="G851" s="25"/>
      <c r="H851" s="40"/>
      <c r="I851" s="25"/>
      <c r="J851" s="26"/>
      <c r="K851" s="27"/>
      <c r="L851" s="28"/>
      <c r="M851" s="28"/>
      <c r="N851" s="28"/>
      <c r="Q851" s="35"/>
      <c r="R851" s="13"/>
      <c r="S851" s="42"/>
      <c r="T851" s="42"/>
      <c r="U851" s="31"/>
      <c r="V851" s="38"/>
      <c r="W851" s="38"/>
      <c r="X851" s="32"/>
      <c r="Y851" s="28"/>
      <c r="Z851" s="28"/>
      <c r="AA851" s="33"/>
      <c r="AB851" s="13"/>
      <c r="AC851" s="34" t="str">
        <f t="shared" si="35"/>
        <v/>
      </c>
      <c r="AP851" s="57"/>
    </row>
    <row r="852" spans="2:42" ht="15" x14ac:dyDescent="0.25">
      <c r="B852" s="15">
        <v>850</v>
      </c>
      <c r="D852" s="17">
        <f t="shared" si="34"/>
        <v>0</v>
      </c>
      <c r="F852" s="25"/>
      <c r="G852" s="25"/>
      <c r="H852" s="40"/>
      <c r="I852" s="25"/>
      <c r="J852" s="26"/>
      <c r="K852" s="27"/>
      <c r="L852" s="28"/>
      <c r="M852" s="28"/>
      <c r="N852" s="28"/>
      <c r="Q852" s="35"/>
      <c r="R852" s="13"/>
      <c r="S852" s="42"/>
      <c r="T852" s="42"/>
      <c r="U852" s="31"/>
      <c r="V852" s="38"/>
      <c r="W852" s="38"/>
      <c r="X852" s="32"/>
      <c r="Y852" s="28"/>
      <c r="Z852" s="28"/>
      <c r="AA852" s="33"/>
      <c r="AB852" s="13"/>
      <c r="AC852" s="34" t="str">
        <f t="shared" si="35"/>
        <v/>
      </c>
      <c r="AP852" s="57"/>
    </row>
    <row r="853" spans="2:42" ht="15" x14ac:dyDescent="0.25">
      <c r="B853" s="15">
        <v>851</v>
      </c>
      <c r="D853" s="17">
        <f t="shared" si="34"/>
        <v>0</v>
      </c>
      <c r="F853" s="25"/>
      <c r="G853" s="25"/>
      <c r="H853" s="40"/>
      <c r="I853" s="25"/>
      <c r="J853" s="26"/>
      <c r="K853" s="27"/>
      <c r="L853" s="28"/>
      <c r="M853" s="28"/>
      <c r="N853" s="28"/>
      <c r="Q853" s="35"/>
      <c r="R853" s="13"/>
      <c r="S853" s="42"/>
      <c r="T853" s="42"/>
      <c r="U853" s="31"/>
      <c r="V853" s="38"/>
      <c r="W853" s="38"/>
      <c r="X853" s="32"/>
      <c r="Y853" s="28"/>
      <c r="Z853" s="28"/>
      <c r="AA853" s="33"/>
      <c r="AB853" s="13"/>
      <c r="AC853" s="34" t="str">
        <f t="shared" si="35"/>
        <v/>
      </c>
      <c r="AP853" s="57"/>
    </row>
    <row r="854" spans="2:42" ht="15" x14ac:dyDescent="0.25">
      <c r="B854" s="15">
        <v>852</v>
      </c>
      <c r="D854" s="17">
        <f t="shared" si="34"/>
        <v>0</v>
      </c>
      <c r="H854" s="40"/>
      <c r="J854" s="26"/>
      <c r="K854" s="27"/>
      <c r="L854" s="28"/>
      <c r="M854" s="28"/>
      <c r="N854" s="28"/>
      <c r="Q854" s="35"/>
      <c r="R854" s="13"/>
      <c r="S854" s="42"/>
      <c r="T854" s="42"/>
      <c r="U854" s="31"/>
      <c r="V854" s="38"/>
      <c r="W854" s="38"/>
      <c r="X854" s="32"/>
      <c r="Y854" s="28"/>
      <c r="Z854" s="28"/>
      <c r="AA854" s="33"/>
      <c r="AB854" s="13"/>
      <c r="AC854" s="34" t="str">
        <f t="shared" si="35"/>
        <v/>
      </c>
      <c r="AP854" s="57"/>
    </row>
    <row r="855" spans="2:42" ht="15" x14ac:dyDescent="0.25">
      <c r="B855" s="15">
        <v>853</v>
      </c>
      <c r="D855" s="17">
        <f t="shared" si="34"/>
        <v>0</v>
      </c>
      <c r="F855" s="25"/>
      <c r="G855" s="25"/>
      <c r="H855" s="40"/>
      <c r="I855" s="25"/>
      <c r="J855" s="26"/>
      <c r="K855" s="27"/>
      <c r="L855" s="28"/>
      <c r="M855" s="28"/>
      <c r="N855" s="28"/>
      <c r="Q855" s="35"/>
      <c r="R855" s="13"/>
      <c r="S855" s="42"/>
      <c r="T855" s="42"/>
      <c r="U855" s="31"/>
      <c r="V855" s="38"/>
      <c r="W855" s="38"/>
      <c r="X855" s="32"/>
      <c r="Y855" s="28"/>
      <c r="Z855" s="28"/>
      <c r="AA855" s="33"/>
      <c r="AB855" s="13"/>
      <c r="AC855" s="34" t="str">
        <f t="shared" si="35"/>
        <v/>
      </c>
      <c r="AP855" s="57"/>
    </row>
    <row r="856" spans="2:42" ht="15" x14ac:dyDescent="0.25">
      <c r="B856" s="15">
        <v>854</v>
      </c>
      <c r="D856" s="17">
        <f t="shared" si="34"/>
        <v>0</v>
      </c>
      <c r="F856" s="25"/>
      <c r="G856" s="25"/>
      <c r="H856" s="40"/>
      <c r="I856" s="25"/>
      <c r="J856" s="26"/>
      <c r="K856" s="27"/>
      <c r="L856" s="28"/>
      <c r="M856" s="28"/>
      <c r="N856" s="28"/>
      <c r="Q856" s="35"/>
      <c r="R856" s="13"/>
      <c r="S856" s="42"/>
      <c r="T856" s="42"/>
      <c r="U856" s="31"/>
      <c r="V856" s="38"/>
      <c r="W856" s="38"/>
      <c r="X856" s="32"/>
      <c r="Y856" s="28"/>
      <c r="Z856" s="28"/>
      <c r="AA856" s="33"/>
      <c r="AB856" s="13"/>
      <c r="AC856" s="34" t="str">
        <f t="shared" si="35"/>
        <v/>
      </c>
      <c r="AP856" s="57"/>
    </row>
    <row r="857" spans="2:42" ht="15" x14ac:dyDescent="0.25">
      <c r="B857" s="15">
        <v>855</v>
      </c>
      <c r="D857" s="17">
        <f t="shared" si="34"/>
        <v>0</v>
      </c>
      <c r="F857" s="25"/>
      <c r="G857" s="25"/>
      <c r="H857" s="40"/>
      <c r="I857" s="25"/>
      <c r="J857" s="26"/>
      <c r="K857" s="27"/>
      <c r="L857" s="28"/>
      <c r="M857" s="28"/>
      <c r="N857" s="28"/>
      <c r="Q857" s="35"/>
      <c r="R857" s="13"/>
      <c r="S857" s="42"/>
      <c r="T857" s="42"/>
      <c r="U857" s="31"/>
      <c r="V857" s="38"/>
      <c r="W857" s="38"/>
      <c r="X857" s="32"/>
      <c r="Y857" s="28"/>
      <c r="Z857" s="28"/>
      <c r="AA857" s="33"/>
      <c r="AB857" s="13"/>
      <c r="AC857" s="34" t="str">
        <f t="shared" si="35"/>
        <v/>
      </c>
      <c r="AP857" s="57"/>
    </row>
    <row r="858" spans="2:42" ht="15" x14ac:dyDescent="0.25">
      <c r="B858" s="15">
        <v>856</v>
      </c>
      <c r="D858" s="17">
        <f t="shared" si="34"/>
        <v>0</v>
      </c>
      <c r="F858" s="25"/>
      <c r="G858" s="25"/>
      <c r="H858" s="40"/>
      <c r="I858" s="25"/>
      <c r="J858" s="26"/>
      <c r="K858" s="27"/>
      <c r="L858" s="28"/>
      <c r="M858" s="28"/>
      <c r="N858" s="28"/>
      <c r="Q858" s="35"/>
      <c r="R858" s="13"/>
      <c r="S858" s="42"/>
      <c r="T858" s="42"/>
      <c r="U858" s="31"/>
      <c r="V858" s="38"/>
      <c r="W858" s="38"/>
      <c r="X858" s="32"/>
      <c r="Y858" s="28"/>
      <c r="Z858" s="28"/>
      <c r="AA858" s="33"/>
      <c r="AB858" s="13"/>
      <c r="AC858" s="34" t="str">
        <f t="shared" si="35"/>
        <v/>
      </c>
      <c r="AP858" s="57"/>
    </row>
    <row r="859" spans="2:42" ht="15" x14ac:dyDescent="0.25">
      <c r="B859" s="15">
        <v>857</v>
      </c>
      <c r="D859" s="17">
        <f t="shared" si="34"/>
        <v>0</v>
      </c>
      <c r="F859" s="25"/>
      <c r="G859" s="25"/>
      <c r="H859" s="40"/>
      <c r="I859" s="25"/>
      <c r="J859" s="26"/>
      <c r="K859" s="27"/>
      <c r="L859" s="28"/>
      <c r="M859" s="28"/>
      <c r="N859" s="28"/>
      <c r="Q859" s="35"/>
      <c r="R859" s="13"/>
      <c r="S859" s="42"/>
      <c r="T859" s="42"/>
      <c r="U859" s="31"/>
      <c r="V859" s="38"/>
      <c r="W859" s="38"/>
      <c r="X859" s="32"/>
      <c r="Y859" s="28"/>
      <c r="Z859" s="28"/>
      <c r="AA859" s="33"/>
      <c r="AB859" s="13"/>
      <c r="AC859" s="34" t="str">
        <f t="shared" si="35"/>
        <v/>
      </c>
      <c r="AP859" s="57"/>
    </row>
    <row r="860" spans="2:42" ht="15" x14ac:dyDescent="0.25">
      <c r="B860" s="15">
        <v>858</v>
      </c>
      <c r="D860" s="17">
        <f t="shared" si="34"/>
        <v>0</v>
      </c>
      <c r="F860" s="25"/>
      <c r="G860" s="25"/>
      <c r="H860" s="40"/>
      <c r="I860" s="25"/>
      <c r="J860" s="26"/>
      <c r="K860" s="27"/>
      <c r="L860" s="28"/>
      <c r="M860" s="28"/>
      <c r="N860" s="28"/>
      <c r="Q860" s="35"/>
      <c r="R860" s="13"/>
      <c r="S860" s="42"/>
      <c r="T860" s="42"/>
      <c r="U860" s="31"/>
      <c r="V860" s="38"/>
      <c r="W860" s="38"/>
      <c r="X860" s="32"/>
      <c r="Y860" s="28"/>
      <c r="Z860" s="28"/>
      <c r="AA860" s="33"/>
      <c r="AB860" s="13"/>
      <c r="AC860" s="34" t="str">
        <f t="shared" si="35"/>
        <v/>
      </c>
      <c r="AP860" s="57"/>
    </row>
    <row r="861" spans="2:42" ht="15" x14ac:dyDescent="0.25">
      <c r="B861" s="15">
        <v>859</v>
      </c>
      <c r="D861" s="17">
        <f t="shared" si="34"/>
        <v>0</v>
      </c>
      <c r="F861" s="25"/>
      <c r="G861" s="25"/>
      <c r="H861" s="40"/>
      <c r="I861" s="25"/>
      <c r="J861" s="26"/>
      <c r="K861" s="27"/>
      <c r="L861" s="28"/>
      <c r="M861" s="28"/>
      <c r="N861" s="28"/>
      <c r="Q861" s="35"/>
      <c r="R861" s="13"/>
      <c r="S861" s="42"/>
      <c r="T861" s="42"/>
      <c r="U861" s="31"/>
      <c r="V861" s="38"/>
      <c r="W861" s="38"/>
      <c r="X861" s="32"/>
      <c r="Y861" s="28"/>
      <c r="Z861" s="28"/>
      <c r="AA861" s="33"/>
      <c r="AB861" s="13"/>
      <c r="AC861" s="34" t="str">
        <f t="shared" si="35"/>
        <v/>
      </c>
      <c r="AP861" s="57"/>
    </row>
    <row r="862" spans="2:42" ht="15" x14ac:dyDescent="0.25">
      <c r="B862" s="15">
        <v>860</v>
      </c>
      <c r="D862" s="17">
        <f t="shared" si="34"/>
        <v>0</v>
      </c>
      <c r="F862" s="25"/>
      <c r="G862" s="25"/>
      <c r="H862" s="40"/>
      <c r="I862" s="25"/>
      <c r="J862" s="26"/>
      <c r="K862" s="27"/>
      <c r="L862" s="28"/>
      <c r="M862" s="28"/>
      <c r="N862" s="28"/>
      <c r="Q862" s="35"/>
      <c r="R862" s="13"/>
      <c r="S862" s="42"/>
      <c r="T862" s="42"/>
      <c r="U862" s="31"/>
      <c r="V862" s="38"/>
      <c r="W862" s="38"/>
      <c r="X862" s="32"/>
      <c r="Y862" s="28"/>
      <c r="Z862" s="28"/>
      <c r="AA862" s="33"/>
      <c r="AB862" s="13"/>
      <c r="AC862" s="34" t="str">
        <f t="shared" si="35"/>
        <v/>
      </c>
      <c r="AP862" s="57"/>
    </row>
    <row r="863" spans="2:42" ht="15" x14ac:dyDescent="0.25">
      <c r="B863" s="15">
        <v>861</v>
      </c>
      <c r="D863" s="17">
        <f t="shared" si="34"/>
        <v>0</v>
      </c>
      <c r="F863" s="25"/>
      <c r="G863" s="25"/>
      <c r="H863" s="40"/>
      <c r="I863" s="25"/>
      <c r="J863" s="26"/>
      <c r="K863" s="27"/>
      <c r="L863" s="28"/>
      <c r="M863" s="28"/>
      <c r="N863" s="28"/>
      <c r="Q863" s="35"/>
      <c r="R863" s="13"/>
      <c r="S863" s="42"/>
      <c r="T863" s="42"/>
      <c r="U863" s="31"/>
      <c r="V863" s="38"/>
      <c r="W863" s="38"/>
      <c r="X863" s="32"/>
      <c r="Y863" s="28"/>
      <c r="Z863" s="28"/>
      <c r="AA863" s="33"/>
      <c r="AB863" s="13"/>
      <c r="AC863" s="34" t="str">
        <f t="shared" si="35"/>
        <v/>
      </c>
      <c r="AP863" s="57"/>
    </row>
    <row r="864" spans="2:42" ht="15" x14ac:dyDescent="0.25">
      <c r="B864" s="15">
        <v>862</v>
      </c>
      <c r="D864" s="17">
        <f t="shared" si="34"/>
        <v>0</v>
      </c>
      <c r="F864" s="25"/>
      <c r="G864" s="25"/>
      <c r="H864" s="40"/>
      <c r="I864" s="25"/>
      <c r="J864" s="26"/>
      <c r="K864" s="27"/>
      <c r="L864" s="28"/>
      <c r="M864" s="28"/>
      <c r="N864" s="28"/>
      <c r="Q864" s="35"/>
      <c r="R864" s="13"/>
      <c r="S864" s="42"/>
      <c r="T864" s="42"/>
      <c r="U864" s="31"/>
      <c r="V864" s="38"/>
      <c r="W864" s="38"/>
      <c r="X864" s="32"/>
      <c r="Y864" s="28"/>
      <c r="Z864" s="28"/>
      <c r="AA864" s="33"/>
      <c r="AB864" s="13"/>
      <c r="AC864" s="34" t="str">
        <f t="shared" si="35"/>
        <v/>
      </c>
      <c r="AP864" s="57"/>
    </row>
    <row r="865" spans="2:42" ht="15" x14ac:dyDescent="0.25">
      <c r="B865" s="15">
        <v>863</v>
      </c>
      <c r="D865" s="17">
        <f t="shared" si="34"/>
        <v>0</v>
      </c>
      <c r="F865" s="25"/>
      <c r="G865" s="25"/>
      <c r="H865" s="40"/>
      <c r="I865" s="25"/>
      <c r="J865" s="26"/>
      <c r="K865" s="27"/>
      <c r="L865" s="28"/>
      <c r="M865" s="28"/>
      <c r="N865" s="28"/>
      <c r="Q865" s="35"/>
      <c r="R865" s="13"/>
      <c r="S865" s="42"/>
      <c r="T865" s="42"/>
      <c r="U865" s="31"/>
      <c r="V865" s="38"/>
      <c r="W865" s="38"/>
      <c r="X865" s="32"/>
      <c r="Y865" s="28"/>
      <c r="Z865" s="28"/>
      <c r="AA865" s="33"/>
      <c r="AB865" s="13"/>
      <c r="AC865" s="34" t="str">
        <f t="shared" si="35"/>
        <v/>
      </c>
      <c r="AP865" s="57"/>
    </row>
    <row r="866" spans="2:42" ht="15" x14ac:dyDescent="0.25">
      <c r="B866" s="15">
        <v>864</v>
      </c>
      <c r="D866" s="17">
        <f t="shared" si="34"/>
        <v>0</v>
      </c>
      <c r="F866" s="25"/>
      <c r="G866" s="25"/>
      <c r="H866" s="40"/>
      <c r="I866" s="25"/>
      <c r="J866" s="26"/>
      <c r="K866" s="27"/>
      <c r="L866" s="28"/>
      <c r="M866" s="28"/>
      <c r="N866" s="28"/>
      <c r="Q866" s="35"/>
      <c r="R866" s="13"/>
      <c r="S866" s="42"/>
      <c r="T866" s="42"/>
      <c r="U866" s="31"/>
      <c r="V866" s="38"/>
      <c r="W866" s="38"/>
      <c r="X866" s="32"/>
      <c r="Y866" s="28"/>
      <c r="Z866" s="28"/>
      <c r="AA866" s="33"/>
      <c r="AB866" s="13"/>
      <c r="AC866" s="34" t="str">
        <f t="shared" si="35"/>
        <v/>
      </c>
      <c r="AP866" s="57"/>
    </row>
    <row r="867" spans="2:42" ht="15" x14ac:dyDescent="0.25">
      <c r="B867" s="15">
        <v>865</v>
      </c>
      <c r="C867" s="17"/>
      <c r="D867" s="17">
        <f t="shared" si="34"/>
        <v>0</v>
      </c>
      <c r="F867" s="25"/>
      <c r="G867" s="25"/>
      <c r="H867" s="25"/>
      <c r="I867" s="25"/>
      <c r="J867" s="26"/>
      <c r="K867" s="47"/>
      <c r="L867" s="28"/>
      <c r="M867" s="28"/>
      <c r="N867" s="28"/>
      <c r="P867" s="29"/>
      <c r="Q867" s="35"/>
      <c r="R867" s="13"/>
      <c r="T867" s="46"/>
      <c r="U867" s="45"/>
      <c r="X867" s="32"/>
      <c r="Y867" s="28"/>
      <c r="Z867" s="28"/>
      <c r="AA867" s="33"/>
      <c r="AB867" s="34"/>
      <c r="AC867" s="34" t="str">
        <f t="shared" si="35"/>
        <v/>
      </c>
      <c r="AP867" s="57"/>
    </row>
    <row r="868" spans="2:42" ht="15" x14ac:dyDescent="0.25">
      <c r="B868" s="15">
        <v>866</v>
      </c>
      <c r="D868" s="17">
        <f t="shared" si="34"/>
        <v>0</v>
      </c>
      <c r="H868" s="40"/>
      <c r="J868" s="26"/>
      <c r="K868" s="27"/>
      <c r="L868" s="28"/>
      <c r="M868" s="28"/>
      <c r="N868" s="28"/>
      <c r="Q868" s="35"/>
      <c r="R868" s="13"/>
      <c r="S868" s="42"/>
      <c r="T868" s="42"/>
      <c r="U868" s="31"/>
      <c r="V868" s="38"/>
      <c r="W868" s="38"/>
      <c r="X868" s="32"/>
      <c r="Y868" s="28"/>
      <c r="Z868" s="28"/>
      <c r="AA868" s="33"/>
      <c r="AB868" s="13"/>
      <c r="AC868" s="34" t="str">
        <f t="shared" si="35"/>
        <v/>
      </c>
      <c r="AP868" s="57"/>
    </row>
    <row r="869" spans="2:42" ht="15" x14ac:dyDescent="0.25">
      <c r="B869" s="15">
        <v>867</v>
      </c>
      <c r="D869" s="17">
        <f t="shared" si="34"/>
        <v>0</v>
      </c>
      <c r="H869" s="40"/>
      <c r="J869" s="26"/>
      <c r="K869" s="27"/>
      <c r="L869" s="28"/>
      <c r="M869" s="28"/>
      <c r="N869" s="28"/>
      <c r="Q869" s="35"/>
      <c r="R869" s="13"/>
      <c r="S869" s="42"/>
      <c r="T869" s="42"/>
      <c r="U869" s="31"/>
      <c r="V869" s="38"/>
      <c r="W869" s="38"/>
      <c r="X869" s="32"/>
      <c r="Y869" s="28"/>
      <c r="Z869" s="28"/>
      <c r="AA869" s="33"/>
      <c r="AB869" s="13"/>
      <c r="AC869" s="34" t="str">
        <f t="shared" si="35"/>
        <v/>
      </c>
      <c r="AP869" s="57"/>
    </row>
    <row r="870" spans="2:42" ht="15" x14ac:dyDescent="0.25">
      <c r="B870" s="15">
        <v>868</v>
      </c>
      <c r="D870" s="17">
        <f t="shared" si="34"/>
        <v>0</v>
      </c>
      <c r="H870" s="40"/>
      <c r="J870" s="26"/>
      <c r="K870" s="27"/>
      <c r="L870" s="28"/>
      <c r="M870" s="28"/>
      <c r="N870" s="28"/>
      <c r="Q870" s="35"/>
      <c r="R870" s="13"/>
      <c r="S870" s="42"/>
      <c r="T870" s="42"/>
      <c r="U870" s="31"/>
      <c r="V870" s="38"/>
      <c r="W870" s="38"/>
      <c r="X870" s="32"/>
      <c r="Y870" s="28"/>
      <c r="Z870" s="28"/>
      <c r="AA870" s="33"/>
      <c r="AB870" s="13"/>
      <c r="AC870" s="34" t="str">
        <f t="shared" si="35"/>
        <v/>
      </c>
      <c r="AP870" s="57"/>
    </row>
    <row r="871" spans="2:42" ht="15" x14ac:dyDescent="0.25">
      <c r="B871" s="15">
        <v>869</v>
      </c>
      <c r="D871" s="17">
        <f t="shared" si="34"/>
        <v>0</v>
      </c>
      <c r="H871" s="40"/>
      <c r="J871" s="26"/>
      <c r="K871" s="27"/>
      <c r="L871" s="28"/>
      <c r="M871" s="28"/>
      <c r="N871" s="28"/>
      <c r="Q871" s="35"/>
      <c r="R871" s="13"/>
      <c r="S871" s="42"/>
      <c r="T871" s="42"/>
      <c r="U871" s="31"/>
      <c r="V871" s="38"/>
      <c r="W871" s="38"/>
      <c r="X871" s="32"/>
      <c r="Y871" s="28"/>
      <c r="Z871" s="28"/>
      <c r="AA871" s="33"/>
      <c r="AB871" s="13"/>
      <c r="AC871" s="34" t="str">
        <f t="shared" si="35"/>
        <v/>
      </c>
      <c r="AP871" s="57"/>
    </row>
    <row r="872" spans="2:42" ht="15" x14ac:dyDescent="0.25">
      <c r="B872" s="15">
        <v>870</v>
      </c>
      <c r="D872" s="17">
        <f t="shared" si="34"/>
        <v>0</v>
      </c>
      <c r="H872" s="40"/>
      <c r="J872" s="26"/>
      <c r="K872" s="27"/>
      <c r="L872" s="28"/>
      <c r="M872" s="28"/>
      <c r="N872" s="28"/>
      <c r="Q872" s="35"/>
      <c r="R872" s="13"/>
      <c r="S872" s="42"/>
      <c r="T872" s="42"/>
      <c r="U872" s="31"/>
      <c r="V872" s="38"/>
      <c r="W872" s="38"/>
      <c r="X872" s="32"/>
      <c r="Y872" s="28"/>
      <c r="Z872" s="28"/>
      <c r="AA872" s="33"/>
      <c r="AB872" s="13"/>
      <c r="AC872" s="34" t="str">
        <f t="shared" si="35"/>
        <v/>
      </c>
      <c r="AP872" s="57"/>
    </row>
    <row r="873" spans="2:42" ht="15" x14ac:dyDescent="0.25">
      <c r="B873" s="15">
        <v>871</v>
      </c>
      <c r="D873" s="17">
        <f t="shared" si="34"/>
        <v>0</v>
      </c>
      <c r="H873" s="40"/>
      <c r="J873" s="26"/>
      <c r="K873" s="27"/>
      <c r="L873" s="28"/>
      <c r="M873" s="28"/>
      <c r="N873" s="28"/>
      <c r="Q873" s="35"/>
      <c r="R873" s="13"/>
      <c r="S873" s="42"/>
      <c r="T873" s="42"/>
      <c r="U873" s="31"/>
      <c r="V873" s="38"/>
      <c r="W873" s="38"/>
      <c r="X873" s="32"/>
      <c r="Y873" s="28"/>
      <c r="Z873" s="28"/>
      <c r="AA873" s="33"/>
      <c r="AB873" s="13"/>
      <c r="AC873" s="34" t="str">
        <f t="shared" si="35"/>
        <v/>
      </c>
      <c r="AP873" s="57"/>
    </row>
    <row r="874" spans="2:42" ht="15" x14ac:dyDescent="0.25">
      <c r="B874" s="15">
        <v>872</v>
      </c>
      <c r="D874" s="17">
        <f t="shared" si="34"/>
        <v>0</v>
      </c>
      <c r="H874" s="40"/>
      <c r="J874" s="26"/>
      <c r="K874" s="27"/>
      <c r="L874" s="28"/>
      <c r="M874" s="28"/>
      <c r="N874" s="28"/>
      <c r="Q874" s="35"/>
      <c r="R874" s="13"/>
      <c r="S874" s="42"/>
      <c r="T874" s="42"/>
      <c r="U874" s="31"/>
      <c r="V874" s="38"/>
      <c r="W874" s="38"/>
      <c r="X874" s="32"/>
      <c r="Y874" s="28"/>
      <c r="Z874" s="28"/>
      <c r="AA874" s="33"/>
      <c r="AB874" s="13"/>
      <c r="AC874" s="34" t="str">
        <f t="shared" si="35"/>
        <v/>
      </c>
      <c r="AP874" s="57"/>
    </row>
    <row r="875" spans="2:42" ht="15" x14ac:dyDescent="0.25">
      <c r="B875" s="15">
        <v>873</v>
      </c>
      <c r="D875" s="17">
        <f t="shared" si="34"/>
        <v>0</v>
      </c>
      <c r="H875" s="40"/>
      <c r="J875" s="26"/>
      <c r="K875" s="27"/>
      <c r="L875" s="28"/>
      <c r="M875" s="28"/>
      <c r="N875" s="28"/>
      <c r="Q875" s="35"/>
      <c r="R875" s="13"/>
      <c r="S875" s="42"/>
      <c r="T875" s="42"/>
      <c r="U875" s="31"/>
      <c r="V875" s="38"/>
      <c r="W875" s="38"/>
      <c r="X875" s="32"/>
      <c r="Y875" s="28"/>
      <c r="Z875" s="28"/>
      <c r="AA875" s="33"/>
      <c r="AB875" s="13"/>
      <c r="AC875" s="34" t="str">
        <f t="shared" si="35"/>
        <v/>
      </c>
      <c r="AP875" s="57"/>
    </row>
    <row r="876" spans="2:42" ht="15" x14ac:dyDescent="0.25">
      <c r="B876" s="15">
        <v>874</v>
      </c>
      <c r="D876" s="17">
        <f t="shared" si="34"/>
        <v>0</v>
      </c>
      <c r="H876" s="40"/>
      <c r="J876" s="26"/>
      <c r="K876" s="27"/>
      <c r="L876" s="28"/>
      <c r="M876" s="28"/>
      <c r="N876" s="28"/>
      <c r="Q876" s="35"/>
      <c r="R876" s="13"/>
      <c r="S876" s="42"/>
      <c r="T876" s="42"/>
      <c r="U876" s="31"/>
      <c r="V876" s="38"/>
      <c r="W876" s="38"/>
      <c r="X876" s="32"/>
      <c r="Y876" s="28"/>
      <c r="Z876" s="28"/>
      <c r="AA876" s="33"/>
      <c r="AB876" s="13"/>
      <c r="AC876" s="34" t="str">
        <f t="shared" si="35"/>
        <v/>
      </c>
      <c r="AP876" s="57"/>
    </row>
    <row r="877" spans="2:42" ht="15" x14ac:dyDescent="0.25">
      <c r="B877" s="15">
        <v>875</v>
      </c>
      <c r="D877" s="17">
        <f t="shared" si="34"/>
        <v>0</v>
      </c>
      <c r="H877" s="40"/>
      <c r="J877" s="26"/>
      <c r="K877" s="27"/>
      <c r="L877" s="28"/>
      <c r="M877" s="28"/>
      <c r="N877" s="28"/>
      <c r="Q877" s="35"/>
      <c r="R877" s="13"/>
      <c r="S877" s="42"/>
      <c r="T877" s="42"/>
      <c r="U877" s="31"/>
      <c r="V877" s="38"/>
      <c r="W877" s="38"/>
      <c r="X877" s="32"/>
      <c r="Y877" s="28"/>
      <c r="Z877" s="28"/>
      <c r="AA877" s="33"/>
      <c r="AB877" s="13"/>
      <c r="AC877" s="34" t="str">
        <f t="shared" si="35"/>
        <v/>
      </c>
      <c r="AP877" s="57"/>
    </row>
    <row r="878" spans="2:42" ht="15" x14ac:dyDescent="0.25">
      <c r="B878" s="15">
        <v>876</v>
      </c>
      <c r="D878" s="17">
        <f t="shared" si="34"/>
        <v>0</v>
      </c>
      <c r="H878" s="40"/>
      <c r="J878" s="26"/>
      <c r="K878" s="27"/>
      <c r="L878" s="28"/>
      <c r="M878" s="28"/>
      <c r="N878" s="28"/>
      <c r="Q878" s="35"/>
      <c r="R878" s="13"/>
      <c r="S878" s="42"/>
      <c r="T878" s="42"/>
      <c r="U878" s="31"/>
      <c r="V878" s="38"/>
      <c r="W878" s="38"/>
      <c r="X878" s="32"/>
      <c r="Y878" s="28"/>
      <c r="Z878" s="28"/>
      <c r="AA878" s="33"/>
      <c r="AB878" s="13"/>
      <c r="AC878" s="34" t="str">
        <f t="shared" si="35"/>
        <v/>
      </c>
      <c r="AP878" s="57"/>
    </row>
    <row r="879" spans="2:42" ht="15" x14ac:dyDescent="0.25">
      <c r="B879" s="15">
        <v>877</v>
      </c>
      <c r="D879" s="17">
        <f t="shared" si="34"/>
        <v>0</v>
      </c>
      <c r="H879" s="40"/>
      <c r="J879" s="26"/>
      <c r="K879" s="27"/>
      <c r="L879" s="28"/>
      <c r="M879" s="28"/>
      <c r="N879" s="28"/>
      <c r="Q879" s="35"/>
      <c r="R879" s="13"/>
      <c r="S879" s="42"/>
      <c r="T879" s="42"/>
      <c r="U879" s="31"/>
      <c r="V879" s="38"/>
      <c r="W879" s="38"/>
      <c r="X879" s="32"/>
      <c r="Y879" s="28"/>
      <c r="Z879" s="28"/>
      <c r="AA879" s="33"/>
      <c r="AB879" s="13"/>
      <c r="AC879" s="34" t="str">
        <f t="shared" si="35"/>
        <v/>
      </c>
      <c r="AP879" s="57"/>
    </row>
    <row r="880" spans="2:42" ht="15" x14ac:dyDescent="0.25">
      <c r="B880" s="15">
        <v>878</v>
      </c>
      <c r="D880" s="17">
        <f t="shared" si="34"/>
        <v>0</v>
      </c>
      <c r="H880" s="40"/>
      <c r="J880" s="26"/>
      <c r="K880" s="27"/>
      <c r="L880" s="28"/>
      <c r="M880" s="28"/>
      <c r="N880" s="28"/>
      <c r="Q880" s="35"/>
      <c r="R880" s="13"/>
      <c r="S880" s="42"/>
      <c r="T880" s="42"/>
      <c r="U880" s="31"/>
      <c r="V880" s="38"/>
      <c r="W880" s="38"/>
      <c r="X880" s="32"/>
      <c r="Y880" s="28"/>
      <c r="Z880" s="28"/>
      <c r="AA880" s="33"/>
      <c r="AB880" s="13"/>
      <c r="AC880" s="34" t="str">
        <f t="shared" si="35"/>
        <v/>
      </c>
      <c r="AP880" s="57"/>
    </row>
    <row r="881" spans="2:42" ht="15" x14ac:dyDescent="0.25">
      <c r="B881" s="15">
        <v>879</v>
      </c>
      <c r="D881" s="17">
        <f t="shared" ref="D881:D944" si="36">_xlfn.NUMBERVALUE(+LEFT(C881,11))</f>
        <v>0</v>
      </c>
      <c r="H881" s="40"/>
      <c r="J881" s="26"/>
      <c r="K881" s="27"/>
      <c r="L881" s="28"/>
      <c r="M881" s="28"/>
      <c r="N881" s="28"/>
      <c r="Q881" s="35"/>
      <c r="R881" s="13"/>
      <c r="S881" s="42"/>
      <c r="T881" s="42"/>
      <c r="U881" s="31"/>
      <c r="V881" s="38"/>
      <c r="W881" s="38"/>
      <c r="X881" s="32"/>
      <c r="Y881" s="28"/>
      <c r="Z881" s="28"/>
      <c r="AA881" s="33"/>
      <c r="AB881" s="13"/>
      <c r="AC881" s="34" t="str">
        <f t="shared" si="35"/>
        <v/>
      </c>
      <c r="AP881" s="57"/>
    </row>
    <row r="882" spans="2:42" ht="15" x14ac:dyDescent="0.25">
      <c r="B882" s="15">
        <v>880</v>
      </c>
      <c r="D882" s="17">
        <f t="shared" si="36"/>
        <v>0</v>
      </c>
      <c r="H882" s="40"/>
      <c r="J882" s="26"/>
      <c r="K882" s="27"/>
      <c r="L882" s="28"/>
      <c r="M882" s="28"/>
      <c r="N882" s="28"/>
      <c r="Q882" s="35"/>
      <c r="R882" s="13"/>
      <c r="S882" s="42"/>
      <c r="T882" s="42"/>
      <c r="U882" s="31"/>
      <c r="V882" s="38"/>
      <c r="W882" s="38"/>
      <c r="X882" s="32"/>
      <c r="Y882" s="28"/>
      <c r="Z882" s="28"/>
      <c r="AA882" s="33"/>
      <c r="AB882" s="13"/>
      <c r="AC882" s="34" t="str">
        <f t="shared" si="35"/>
        <v/>
      </c>
      <c r="AP882" s="57"/>
    </row>
    <row r="883" spans="2:42" ht="15" x14ac:dyDescent="0.25">
      <c r="B883" s="15">
        <v>881</v>
      </c>
      <c r="D883" s="17">
        <f t="shared" si="36"/>
        <v>0</v>
      </c>
      <c r="H883" s="40"/>
      <c r="J883" s="26"/>
      <c r="K883" s="27"/>
      <c r="L883" s="28"/>
      <c r="M883" s="28"/>
      <c r="N883" s="28"/>
      <c r="Q883" s="35"/>
      <c r="R883" s="13"/>
      <c r="S883" s="42"/>
      <c r="T883" s="42"/>
      <c r="U883" s="31"/>
      <c r="V883" s="38"/>
      <c r="W883" s="38"/>
      <c r="X883" s="32"/>
      <c r="Y883" s="28"/>
      <c r="Z883" s="28"/>
      <c r="AA883" s="33"/>
      <c r="AB883" s="13"/>
      <c r="AC883" s="34" t="str">
        <f t="shared" si="35"/>
        <v/>
      </c>
      <c r="AP883" s="57"/>
    </row>
    <row r="884" spans="2:42" ht="15" x14ac:dyDescent="0.25">
      <c r="B884" s="15">
        <v>882</v>
      </c>
      <c r="D884" s="17">
        <f t="shared" si="36"/>
        <v>0</v>
      </c>
      <c r="H884" s="40"/>
      <c r="J884" s="26"/>
      <c r="K884" s="27"/>
      <c r="L884" s="28"/>
      <c r="M884" s="28"/>
      <c r="N884" s="28"/>
      <c r="Q884" s="35"/>
      <c r="R884" s="13"/>
      <c r="S884" s="42"/>
      <c r="T884" s="42"/>
      <c r="U884" s="31"/>
      <c r="V884" s="38"/>
      <c r="W884" s="38"/>
      <c r="X884" s="32"/>
      <c r="Y884" s="28"/>
      <c r="Z884" s="28"/>
      <c r="AA884" s="33"/>
      <c r="AB884" s="13"/>
      <c r="AC884" s="34" t="str">
        <f t="shared" si="35"/>
        <v/>
      </c>
      <c r="AP884" s="57"/>
    </row>
    <row r="885" spans="2:42" ht="15" x14ac:dyDescent="0.25">
      <c r="B885" s="15">
        <v>883</v>
      </c>
      <c r="D885" s="17">
        <f t="shared" si="36"/>
        <v>0</v>
      </c>
      <c r="H885" s="40"/>
      <c r="J885" s="26"/>
      <c r="K885" s="27"/>
      <c r="L885" s="28"/>
      <c r="M885" s="28"/>
      <c r="N885" s="28"/>
      <c r="Q885" s="35"/>
      <c r="R885" s="13"/>
      <c r="S885" s="42"/>
      <c r="T885" s="42"/>
      <c r="U885" s="31"/>
      <c r="V885" s="38"/>
      <c r="W885" s="38"/>
      <c r="X885" s="32"/>
      <c r="Y885" s="28"/>
      <c r="Z885" s="28"/>
      <c r="AA885" s="33"/>
      <c r="AB885" s="13"/>
      <c r="AC885" s="34" t="str">
        <f t="shared" si="35"/>
        <v/>
      </c>
      <c r="AP885" s="57"/>
    </row>
    <row r="886" spans="2:42" ht="15" x14ac:dyDescent="0.25">
      <c r="B886" s="15">
        <v>884</v>
      </c>
      <c r="D886" s="17">
        <f t="shared" si="36"/>
        <v>0</v>
      </c>
      <c r="H886" s="40"/>
      <c r="J886" s="26"/>
      <c r="K886" s="27"/>
      <c r="L886" s="28"/>
      <c r="M886" s="28"/>
      <c r="N886" s="28"/>
      <c r="Q886" s="35"/>
      <c r="R886" s="13"/>
      <c r="S886" s="42"/>
      <c r="T886" s="42"/>
      <c r="U886" s="31"/>
      <c r="V886" s="38"/>
      <c r="W886" s="38"/>
      <c r="X886" s="32"/>
      <c r="Y886" s="28"/>
      <c r="Z886" s="28"/>
      <c r="AA886" s="33"/>
      <c r="AB886" s="13"/>
      <c r="AC886" s="34" t="str">
        <f t="shared" si="35"/>
        <v/>
      </c>
      <c r="AP886" s="57"/>
    </row>
    <row r="887" spans="2:42" ht="15" x14ac:dyDescent="0.25">
      <c r="B887" s="15">
        <v>885</v>
      </c>
      <c r="C887" s="17"/>
      <c r="D887" s="17">
        <f t="shared" si="36"/>
        <v>0</v>
      </c>
      <c r="F887" s="25"/>
      <c r="G887" s="25"/>
      <c r="H887" s="25"/>
      <c r="I887" s="25"/>
      <c r="J887" s="26"/>
      <c r="K887" s="47"/>
      <c r="L887" s="28"/>
      <c r="M887" s="28"/>
      <c r="N887" s="28"/>
      <c r="P887" s="29"/>
      <c r="Q887" s="35"/>
      <c r="R887" s="13"/>
      <c r="T887" s="46"/>
      <c r="U887" s="45"/>
      <c r="X887" s="32"/>
      <c r="Y887" s="28"/>
      <c r="Z887" s="28"/>
      <c r="AA887" s="33"/>
      <c r="AB887" s="34"/>
      <c r="AC887" s="34" t="str">
        <f t="shared" si="35"/>
        <v/>
      </c>
      <c r="AP887" s="57"/>
    </row>
    <row r="888" spans="2:42" ht="15" x14ac:dyDescent="0.25">
      <c r="B888" s="15">
        <v>886</v>
      </c>
      <c r="C888" s="17"/>
      <c r="D888" s="17">
        <f t="shared" si="36"/>
        <v>0</v>
      </c>
      <c r="F888" s="25"/>
      <c r="G888" s="25"/>
      <c r="H888" s="25"/>
      <c r="I888" s="25"/>
      <c r="J888" s="26"/>
      <c r="K888" s="47"/>
      <c r="L888" s="28"/>
      <c r="M888" s="28"/>
      <c r="N888" s="28"/>
      <c r="P888" s="29"/>
      <c r="Q888" s="35"/>
      <c r="R888" s="13"/>
      <c r="T888" s="46"/>
      <c r="U888" s="45"/>
      <c r="X888" s="32"/>
      <c r="Y888" s="28"/>
      <c r="Z888" s="28"/>
      <c r="AA888" s="33"/>
      <c r="AB888" s="34"/>
      <c r="AC888" s="34" t="str">
        <f t="shared" si="35"/>
        <v/>
      </c>
      <c r="AP888" s="57"/>
    </row>
    <row r="889" spans="2:42" ht="15" x14ac:dyDescent="0.25">
      <c r="B889" s="15">
        <v>887</v>
      </c>
      <c r="C889" s="17"/>
      <c r="D889" s="17">
        <f t="shared" si="36"/>
        <v>0</v>
      </c>
      <c r="F889" s="25"/>
      <c r="G889" s="25"/>
      <c r="H889" s="25"/>
      <c r="I889" s="25"/>
      <c r="J889" s="26"/>
      <c r="K889" s="47"/>
      <c r="L889" s="28"/>
      <c r="M889" s="28"/>
      <c r="N889" s="28"/>
      <c r="P889" s="29"/>
      <c r="Q889" s="35"/>
      <c r="R889" s="13"/>
      <c r="T889" s="46"/>
      <c r="U889" s="45"/>
      <c r="X889" s="32"/>
      <c r="Y889" s="28"/>
      <c r="Z889" s="28"/>
      <c r="AA889" s="33"/>
      <c r="AB889" s="34"/>
      <c r="AC889" s="34" t="str">
        <f t="shared" si="35"/>
        <v/>
      </c>
      <c r="AP889" s="57"/>
    </row>
    <row r="890" spans="2:42" ht="15" x14ac:dyDescent="0.25">
      <c r="B890" s="15">
        <v>888</v>
      </c>
      <c r="C890" s="17"/>
      <c r="D890" s="17">
        <f t="shared" si="36"/>
        <v>0</v>
      </c>
      <c r="F890" s="25"/>
      <c r="G890" s="25"/>
      <c r="H890" s="25"/>
      <c r="I890" s="25"/>
      <c r="J890" s="26"/>
      <c r="K890" s="47"/>
      <c r="L890" s="28"/>
      <c r="M890" s="28"/>
      <c r="N890" s="28"/>
      <c r="P890" s="29"/>
      <c r="Q890" s="35"/>
      <c r="R890" s="13"/>
      <c r="T890" s="46"/>
      <c r="U890" s="45"/>
      <c r="X890" s="32"/>
      <c r="Y890" s="28"/>
      <c r="Z890" s="28"/>
      <c r="AA890" s="33"/>
      <c r="AB890" s="34"/>
      <c r="AC890" s="34" t="str">
        <f t="shared" si="35"/>
        <v/>
      </c>
      <c r="AP890" s="57"/>
    </row>
    <row r="891" spans="2:42" ht="15" x14ac:dyDescent="0.25">
      <c r="B891" s="15">
        <v>889</v>
      </c>
      <c r="D891" s="17">
        <f t="shared" si="36"/>
        <v>0</v>
      </c>
      <c r="H891" s="40"/>
      <c r="J891" s="26"/>
      <c r="K891" s="27"/>
      <c r="L891" s="28"/>
      <c r="M891" s="28"/>
      <c r="N891" s="28"/>
      <c r="Q891" s="35"/>
      <c r="R891" s="13"/>
      <c r="S891" s="42"/>
      <c r="T891" s="42"/>
      <c r="U891" s="31"/>
      <c r="V891" s="38"/>
      <c r="W891" s="38"/>
      <c r="X891" s="32"/>
      <c r="Y891" s="28"/>
      <c r="Z891" s="28"/>
      <c r="AA891" s="33"/>
      <c r="AB891" s="13"/>
      <c r="AC891" s="34" t="str">
        <f t="shared" si="35"/>
        <v/>
      </c>
      <c r="AP891" s="57"/>
    </row>
    <row r="892" spans="2:42" ht="15" x14ac:dyDescent="0.25">
      <c r="B892" s="15">
        <v>890</v>
      </c>
      <c r="D892" s="17">
        <f t="shared" si="36"/>
        <v>0</v>
      </c>
      <c r="H892" s="40"/>
      <c r="J892" s="26"/>
      <c r="K892" s="27"/>
      <c r="L892" s="28"/>
      <c r="M892" s="28"/>
      <c r="N892" s="28"/>
      <c r="Q892" s="35"/>
      <c r="R892" s="13"/>
      <c r="S892" s="42"/>
      <c r="T892" s="42"/>
      <c r="U892" s="31"/>
      <c r="V892" s="38"/>
      <c r="W892" s="38"/>
      <c r="X892" s="32"/>
      <c r="Y892" s="28"/>
      <c r="Z892" s="28"/>
      <c r="AA892" s="33"/>
      <c r="AB892" s="13"/>
      <c r="AC892" s="34" t="str">
        <f t="shared" si="35"/>
        <v/>
      </c>
      <c r="AP892" s="57"/>
    </row>
    <row r="893" spans="2:42" ht="15" x14ac:dyDescent="0.25">
      <c r="B893" s="15">
        <v>891</v>
      </c>
      <c r="D893" s="17">
        <f t="shared" si="36"/>
        <v>0</v>
      </c>
      <c r="H893" s="40"/>
      <c r="J893" s="26"/>
      <c r="K893" s="27"/>
      <c r="L893" s="28"/>
      <c r="M893" s="28"/>
      <c r="N893" s="28"/>
      <c r="Q893" s="35"/>
      <c r="R893" s="13"/>
      <c r="S893" s="42"/>
      <c r="T893" s="42"/>
      <c r="U893" s="31"/>
      <c r="V893" s="38"/>
      <c r="W893" s="38"/>
      <c r="X893" s="32"/>
      <c r="Y893" s="28"/>
      <c r="Z893" s="28"/>
      <c r="AA893" s="33"/>
      <c r="AB893" s="13"/>
      <c r="AC893" s="34" t="str">
        <f t="shared" si="35"/>
        <v/>
      </c>
      <c r="AP893" s="57"/>
    </row>
    <row r="894" spans="2:42" ht="15" x14ac:dyDescent="0.25">
      <c r="B894" s="15">
        <v>892</v>
      </c>
      <c r="D894" s="17">
        <f t="shared" si="36"/>
        <v>0</v>
      </c>
      <c r="H894" s="40"/>
      <c r="J894" s="26"/>
      <c r="K894" s="27"/>
      <c r="L894" s="28"/>
      <c r="M894" s="28"/>
      <c r="N894" s="28"/>
      <c r="Q894" s="35"/>
      <c r="R894" s="13"/>
      <c r="S894" s="42"/>
      <c r="T894" s="42"/>
      <c r="U894" s="31"/>
      <c r="V894" s="38"/>
      <c r="W894" s="38"/>
      <c r="X894" s="32"/>
      <c r="Y894" s="28"/>
      <c r="Z894" s="28"/>
      <c r="AA894" s="33"/>
      <c r="AB894" s="13"/>
      <c r="AC894" s="34" t="str">
        <f t="shared" si="35"/>
        <v/>
      </c>
      <c r="AP894" s="57"/>
    </row>
    <row r="895" spans="2:42" ht="15" x14ac:dyDescent="0.25">
      <c r="B895" s="15">
        <v>893</v>
      </c>
      <c r="D895" s="17">
        <f t="shared" si="36"/>
        <v>0</v>
      </c>
      <c r="H895" s="40"/>
      <c r="J895" s="26"/>
      <c r="K895" s="27"/>
      <c r="L895" s="28"/>
      <c r="M895" s="28"/>
      <c r="N895" s="28"/>
      <c r="Q895" s="35"/>
      <c r="R895" s="13"/>
      <c r="S895" s="42"/>
      <c r="T895" s="42"/>
      <c r="U895" s="31"/>
      <c r="V895" s="38"/>
      <c r="W895" s="38"/>
      <c r="X895" s="32"/>
      <c r="Y895" s="28"/>
      <c r="Z895" s="28"/>
      <c r="AA895" s="33"/>
      <c r="AB895" s="13"/>
      <c r="AC895" s="34" t="str">
        <f t="shared" si="35"/>
        <v/>
      </c>
      <c r="AP895" s="57"/>
    </row>
    <row r="896" spans="2:42" ht="15" x14ac:dyDescent="0.25">
      <c r="B896" s="15">
        <v>894</v>
      </c>
      <c r="D896" s="17">
        <f t="shared" si="36"/>
        <v>0</v>
      </c>
      <c r="H896" s="40"/>
      <c r="J896" s="26"/>
      <c r="K896" s="27"/>
      <c r="L896" s="28"/>
      <c r="M896" s="28"/>
      <c r="N896" s="28"/>
      <c r="Q896" s="35"/>
      <c r="R896" s="13"/>
      <c r="S896" s="42"/>
      <c r="T896" s="42"/>
      <c r="U896" s="31"/>
      <c r="V896" s="38"/>
      <c r="W896" s="38"/>
      <c r="X896" s="32"/>
      <c r="Y896" s="28"/>
      <c r="Z896" s="28"/>
      <c r="AA896" s="33"/>
      <c r="AB896" s="13"/>
      <c r="AC896" s="34" t="str">
        <f t="shared" si="35"/>
        <v/>
      </c>
      <c r="AP896" s="57"/>
    </row>
    <row r="897" spans="2:42" ht="15" x14ac:dyDescent="0.25">
      <c r="B897" s="15">
        <v>895</v>
      </c>
      <c r="D897" s="17">
        <f t="shared" si="36"/>
        <v>0</v>
      </c>
      <c r="H897" s="40"/>
      <c r="J897" s="26"/>
      <c r="K897" s="27"/>
      <c r="L897" s="28"/>
      <c r="M897" s="28"/>
      <c r="N897" s="28"/>
      <c r="Q897" s="35"/>
      <c r="R897" s="13"/>
      <c r="S897" s="42"/>
      <c r="T897" s="42"/>
      <c r="U897" s="31"/>
      <c r="V897" s="38"/>
      <c r="W897" s="38"/>
      <c r="X897" s="32"/>
      <c r="Y897" s="28"/>
      <c r="Z897" s="28"/>
      <c r="AA897" s="33"/>
      <c r="AB897" s="13"/>
      <c r="AC897" s="34" t="str">
        <f t="shared" si="35"/>
        <v/>
      </c>
      <c r="AP897" s="57"/>
    </row>
    <row r="898" spans="2:42" ht="15" x14ac:dyDescent="0.25">
      <c r="B898" s="15">
        <v>896</v>
      </c>
      <c r="D898" s="17">
        <f t="shared" si="36"/>
        <v>0</v>
      </c>
      <c r="H898" s="40"/>
      <c r="J898" s="26"/>
      <c r="K898" s="27"/>
      <c r="L898" s="28"/>
      <c r="M898" s="28"/>
      <c r="N898" s="28"/>
      <c r="Q898" s="35"/>
      <c r="R898" s="13"/>
      <c r="S898" s="42"/>
      <c r="T898" s="42"/>
      <c r="U898" s="31"/>
      <c r="V898" s="38"/>
      <c r="W898" s="38"/>
      <c r="X898" s="32"/>
      <c r="Y898" s="28"/>
      <c r="Z898" s="28"/>
      <c r="AA898" s="33"/>
      <c r="AB898" s="13"/>
      <c r="AC898" s="34" t="str">
        <f t="shared" si="35"/>
        <v/>
      </c>
      <c r="AP898" s="57"/>
    </row>
    <row r="899" spans="2:42" ht="15" x14ac:dyDescent="0.25">
      <c r="B899" s="15">
        <v>897</v>
      </c>
      <c r="D899" s="17">
        <f t="shared" si="36"/>
        <v>0</v>
      </c>
      <c r="H899" s="40"/>
      <c r="J899" s="26"/>
      <c r="K899" s="27"/>
      <c r="L899" s="28"/>
      <c r="M899" s="28"/>
      <c r="N899" s="28"/>
      <c r="Q899" s="35"/>
      <c r="R899" s="13"/>
      <c r="S899" s="42"/>
      <c r="T899" s="42"/>
      <c r="U899" s="31"/>
      <c r="V899" s="38"/>
      <c r="W899" s="38"/>
      <c r="X899" s="32"/>
      <c r="Y899" s="28"/>
      <c r="Z899" s="28"/>
      <c r="AA899" s="33"/>
      <c r="AB899" s="13"/>
      <c r="AC899" s="34" t="str">
        <f t="shared" ref="AC899:AC962" si="37">+IF(AB899="","",R899-AB899)</f>
        <v/>
      </c>
      <c r="AP899" s="57"/>
    </row>
    <row r="900" spans="2:42" ht="15" x14ac:dyDescent="0.25">
      <c r="B900" s="15">
        <v>898</v>
      </c>
      <c r="D900" s="17">
        <f t="shared" si="36"/>
        <v>0</v>
      </c>
      <c r="H900" s="40"/>
      <c r="J900" s="26"/>
      <c r="K900" s="27"/>
      <c r="L900" s="28"/>
      <c r="M900" s="28"/>
      <c r="N900" s="28"/>
      <c r="Q900" s="35"/>
      <c r="R900" s="13"/>
      <c r="S900" s="42"/>
      <c r="T900" s="42"/>
      <c r="U900" s="31"/>
      <c r="V900" s="38"/>
      <c r="W900" s="38"/>
      <c r="X900" s="32"/>
      <c r="Y900" s="28"/>
      <c r="Z900" s="28"/>
      <c r="AA900" s="33"/>
      <c r="AB900" s="13"/>
      <c r="AC900" s="34" t="str">
        <f t="shared" si="37"/>
        <v/>
      </c>
      <c r="AP900" s="57"/>
    </row>
    <row r="901" spans="2:42" ht="15" x14ac:dyDescent="0.25">
      <c r="B901" s="15">
        <v>899</v>
      </c>
      <c r="D901" s="17">
        <f t="shared" si="36"/>
        <v>0</v>
      </c>
      <c r="H901" s="40"/>
      <c r="J901" s="26"/>
      <c r="K901" s="27"/>
      <c r="L901" s="28"/>
      <c r="M901" s="28"/>
      <c r="N901" s="28"/>
      <c r="Q901" s="35"/>
      <c r="R901" s="13"/>
      <c r="S901" s="42"/>
      <c r="T901" s="42"/>
      <c r="U901" s="31"/>
      <c r="V901" s="38"/>
      <c r="W901" s="38"/>
      <c r="X901" s="32"/>
      <c r="Y901" s="28"/>
      <c r="Z901" s="28"/>
      <c r="AA901" s="33"/>
      <c r="AB901" s="13"/>
      <c r="AC901" s="34" t="str">
        <f t="shared" si="37"/>
        <v/>
      </c>
      <c r="AP901" s="57"/>
    </row>
    <row r="902" spans="2:42" ht="15" x14ac:dyDescent="0.25">
      <c r="B902" s="15">
        <v>900</v>
      </c>
      <c r="D902" s="17">
        <f t="shared" si="36"/>
        <v>0</v>
      </c>
      <c r="H902" s="40"/>
      <c r="J902" s="26"/>
      <c r="K902" s="27"/>
      <c r="L902" s="28"/>
      <c r="M902" s="28"/>
      <c r="N902" s="28"/>
      <c r="Q902" s="35"/>
      <c r="R902" s="13"/>
      <c r="S902" s="42"/>
      <c r="T902" s="42"/>
      <c r="U902" s="31"/>
      <c r="V902" s="38"/>
      <c r="W902" s="38"/>
      <c r="X902" s="32"/>
      <c r="Y902" s="28"/>
      <c r="Z902" s="28"/>
      <c r="AA902" s="33"/>
      <c r="AB902" s="13"/>
      <c r="AC902" s="34" t="str">
        <f t="shared" si="37"/>
        <v/>
      </c>
      <c r="AP902" s="57"/>
    </row>
    <row r="903" spans="2:42" ht="15" x14ac:dyDescent="0.25">
      <c r="B903" s="15">
        <v>901</v>
      </c>
      <c r="D903" s="17">
        <f t="shared" si="36"/>
        <v>0</v>
      </c>
      <c r="H903" s="40"/>
      <c r="J903" s="26"/>
      <c r="K903" s="27"/>
      <c r="L903" s="28"/>
      <c r="M903" s="28"/>
      <c r="N903" s="28"/>
      <c r="Q903" s="35"/>
      <c r="R903" s="13"/>
      <c r="S903" s="42"/>
      <c r="T903" s="42"/>
      <c r="U903" s="31"/>
      <c r="V903" s="38"/>
      <c r="W903" s="38"/>
      <c r="X903" s="32"/>
      <c r="Y903" s="28"/>
      <c r="Z903" s="28"/>
      <c r="AA903" s="33"/>
      <c r="AB903" s="13"/>
      <c r="AC903" s="34" t="str">
        <f t="shared" si="37"/>
        <v/>
      </c>
      <c r="AP903" s="57"/>
    </row>
    <row r="904" spans="2:42" ht="15" x14ac:dyDescent="0.25">
      <c r="B904" s="15">
        <v>902</v>
      </c>
      <c r="D904" s="17">
        <f t="shared" si="36"/>
        <v>0</v>
      </c>
      <c r="H904" s="40"/>
      <c r="J904" s="26"/>
      <c r="K904" s="27"/>
      <c r="L904" s="28"/>
      <c r="M904" s="28"/>
      <c r="N904" s="28"/>
      <c r="Q904" s="35"/>
      <c r="R904" s="13"/>
      <c r="S904" s="42"/>
      <c r="T904" s="42"/>
      <c r="U904" s="31"/>
      <c r="V904" s="38"/>
      <c r="W904" s="38"/>
      <c r="X904" s="32"/>
      <c r="Y904" s="28"/>
      <c r="Z904" s="28"/>
      <c r="AA904" s="33"/>
      <c r="AB904" s="13"/>
      <c r="AC904" s="34" t="str">
        <f t="shared" si="37"/>
        <v/>
      </c>
      <c r="AP904" s="57"/>
    </row>
    <row r="905" spans="2:42" ht="15" x14ac:dyDescent="0.25">
      <c r="B905" s="15">
        <v>903</v>
      </c>
      <c r="D905" s="17">
        <f t="shared" si="36"/>
        <v>0</v>
      </c>
      <c r="H905" s="40"/>
      <c r="J905" s="26"/>
      <c r="K905" s="27"/>
      <c r="L905" s="28"/>
      <c r="M905" s="28"/>
      <c r="N905" s="28"/>
      <c r="Q905" s="35"/>
      <c r="R905" s="13"/>
      <c r="S905" s="42"/>
      <c r="T905" s="42"/>
      <c r="U905" s="31"/>
      <c r="V905" s="38"/>
      <c r="W905" s="38"/>
      <c r="X905" s="32"/>
      <c r="Y905" s="28"/>
      <c r="Z905" s="28"/>
      <c r="AA905" s="33"/>
      <c r="AB905" s="13"/>
      <c r="AC905" s="34" t="str">
        <f t="shared" si="37"/>
        <v/>
      </c>
      <c r="AP905" s="57"/>
    </row>
    <row r="906" spans="2:42" ht="15" x14ac:dyDescent="0.25">
      <c r="B906" s="15">
        <v>904</v>
      </c>
      <c r="D906" s="17">
        <f t="shared" si="36"/>
        <v>0</v>
      </c>
      <c r="H906" s="40"/>
      <c r="J906" s="26"/>
      <c r="K906" s="27"/>
      <c r="L906" s="28"/>
      <c r="M906" s="28"/>
      <c r="N906" s="28"/>
      <c r="Q906" s="35"/>
      <c r="R906" s="13"/>
      <c r="S906" s="42"/>
      <c r="T906" s="42"/>
      <c r="U906" s="31"/>
      <c r="V906" s="38"/>
      <c r="W906" s="38"/>
      <c r="X906" s="32"/>
      <c r="Y906" s="28"/>
      <c r="Z906" s="28"/>
      <c r="AA906" s="33"/>
      <c r="AB906" s="13"/>
      <c r="AC906" s="34" t="str">
        <f t="shared" si="37"/>
        <v/>
      </c>
      <c r="AP906" s="57"/>
    </row>
    <row r="907" spans="2:42" ht="15" x14ac:dyDescent="0.25">
      <c r="B907" s="15">
        <v>905</v>
      </c>
      <c r="D907" s="17">
        <f t="shared" si="36"/>
        <v>0</v>
      </c>
      <c r="H907" s="40"/>
      <c r="J907" s="26"/>
      <c r="K907" s="27"/>
      <c r="L907" s="28"/>
      <c r="M907" s="28"/>
      <c r="N907" s="28"/>
      <c r="Q907" s="35"/>
      <c r="R907" s="13"/>
      <c r="S907" s="42"/>
      <c r="T907" s="42"/>
      <c r="U907" s="31"/>
      <c r="V907" s="38"/>
      <c r="W907" s="38"/>
      <c r="X907" s="32"/>
      <c r="Y907" s="28"/>
      <c r="Z907" s="28"/>
      <c r="AA907" s="33"/>
      <c r="AB907" s="13"/>
      <c r="AC907" s="34" t="str">
        <f t="shared" si="37"/>
        <v/>
      </c>
      <c r="AP907" s="57"/>
    </row>
    <row r="908" spans="2:42" ht="15" x14ac:dyDescent="0.25">
      <c r="B908" s="15">
        <v>906</v>
      </c>
      <c r="C908" s="17"/>
      <c r="D908" s="17">
        <f t="shared" si="36"/>
        <v>0</v>
      </c>
      <c r="F908" s="25"/>
      <c r="G908" s="25"/>
      <c r="H908" s="25"/>
      <c r="I908" s="25"/>
      <c r="J908" s="26"/>
      <c r="K908" s="47"/>
      <c r="L908" s="28"/>
      <c r="M908" s="28"/>
      <c r="N908" s="28"/>
      <c r="P908" s="29"/>
      <c r="Q908" s="35"/>
      <c r="R908" s="13"/>
      <c r="T908" s="46"/>
      <c r="U908" s="45"/>
      <c r="X908" s="32"/>
      <c r="Y908" s="28"/>
      <c r="Z908" s="28"/>
      <c r="AA908" s="33"/>
      <c r="AB908" s="34"/>
      <c r="AC908" s="34" t="str">
        <f t="shared" si="37"/>
        <v/>
      </c>
      <c r="AP908" s="57"/>
    </row>
    <row r="909" spans="2:42" ht="15" x14ac:dyDescent="0.25">
      <c r="B909" s="15">
        <v>907</v>
      </c>
      <c r="C909" s="17"/>
      <c r="D909" s="17">
        <f t="shared" si="36"/>
        <v>0</v>
      </c>
      <c r="F909" s="25"/>
      <c r="G909" s="25"/>
      <c r="H909" s="25"/>
      <c r="I909" s="25"/>
      <c r="J909" s="26"/>
      <c r="K909" s="47"/>
      <c r="L909" s="28"/>
      <c r="M909" s="28"/>
      <c r="N909" s="28"/>
      <c r="P909" s="29"/>
      <c r="Q909" s="35"/>
      <c r="R909" s="13"/>
      <c r="T909" s="46"/>
      <c r="U909" s="45"/>
      <c r="X909" s="32"/>
      <c r="Y909" s="28"/>
      <c r="Z909" s="28"/>
      <c r="AA909" s="33"/>
      <c r="AB909" s="34"/>
      <c r="AC909" s="34" t="str">
        <f t="shared" si="37"/>
        <v/>
      </c>
      <c r="AP909" s="57"/>
    </row>
    <row r="910" spans="2:42" ht="15" x14ac:dyDescent="0.25">
      <c r="B910" s="15">
        <v>908</v>
      </c>
      <c r="C910" s="17"/>
      <c r="D910" s="17">
        <f t="shared" si="36"/>
        <v>0</v>
      </c>
      <c r="F910" s="25"/>
      <c r="G910" s="25"/>
      <c r="H910" s="25"/>
      <c r="I910" s="25"/>
      <c r="J910" s="26"/>
      <c r="K910" s="47"/>
      <c r="L910" s="28"/>
      <c r="M910" s="28"/>
      <c r="N910" s="28"/>
      <c r="P910" s="29"/>
      <c r="Q910" s="35"/>
      <c r="R910" s="13"/>
      <c r="T910" s="46"/>
      <c r="U910" s="45"/>
      <c r="X910" s="32"/>
      <c r="Y910" s="28"/>
      <c r="Z910" s="28"/>
      <c r="AA910" s="33"/>
      <c r="AB910" s="34"/>
      <c r="AC910" s="34" t="str">
        <f t="shared" si="37"/>
        <v/>
      </c>
      <c r="AP910" s="57"/>
    </row>
    <row r="911" spans="2:42" ht="15" x14ac:dyDescent="0.25">
      <c r="B911" s="15">
        <v>909</v>
      </c>
      <c r="C911" s="17"/>
      <c r="D911" s="17">
        <f t="shared" si="36"/>
        <v>0</v>
      </c>
      <c r="F911" s="25"/>
      <c r="G911" s="25"/>
      <c r="H911" s="25"/>
      <c r="I911" s="25"/>
      <c r="J911" s="26"/>
      <c r="K911" s="47"/>
      <c r="L911" s="28"/>
      <c r="M911" s="28"/>
      <c r="N911" s="28"/>
      <c r="P911" s="29"/>
      <c r="Q911" s="35"/>
      <c r="R911" s="13"/>
      <c r="T911" s="46"/>
      <c r="U911" s="45"/>
      <c r="X911" s="32"/>
      <c r="Y911" s="28"/>
      <c r="Z911" s="28"/>
      <c r="AA911" s="33"/>
      <c r="AB911" s="34"/>
      <c r="AC911" s="34" t="str">
        <f t="shared" si="37"/>
        <v/>
      </c>
      <c r="AP911" s="57"/>
    </row>
    <row r="912" spans="2:42" ht="15" x14ac:dyDescent="0.25">
      <c r="B912" s="15">
        <v>910</v>
      </c>
      <c r="C912" s="17"/>
      <c r="D912" s="17">
        <f t="shared" si="36"/>
        <v>0</v>
      </c>
      <c r="F912" s="25"/>
      <c r="G912" s="25"/>
      <c r="H912" s="25"/>
      <c r="I912" s="25"/>
      <c r="J912" s="26"/>
      <c r="K912" s="47"/>
      <c r="L912" s="28"/>
      <c r="M912" s="28"/>
      <c r="N912" s="28"/>
      <c r="P912" s="29"/>
      <c r="Q912" s="35"/>
      <c r="R912" s="13"/>
      <c r="T912" s="46"/>
      <c r="U912" s="45"/>
      <c r="X912" s="32"/>
      <c r="Y912" s="28"/>
      <c r="Z912" s="28"/>
      <c r="AA912" s="33"/>
      <c r="AB912" s="34"/>
      <c r="AC912" s="34" t="str">
        <f t="shared" si="37"/>
        <v/>
      </c>
      <c r="AP912" s="57"/>
    </row>
    <row r="913" spans="2:42" ht="15" x14ac:dyDescent="0.25">
      <c r="B913" s="15">
        <v>911</v>
      </c>
      <c r="C913" s="17"/>
      <c r="D913" s="17">
        <f t="shared" si="36"/>
        <v>0</v>
      </c>
      <c r="F913" s="25"/>
      <c r="G913" s="25"/>
      <c r="H913" s="25"/>
      <c r="I913" s="25"/>
      <c r="J913" s="26"/>
      <c r="K913" s="47"/>
      <c r="L913" s="28"/>
      <c r="M913" s="28"/>
      <c r="N913" s="28"/>
      <c r="P913" s="29"/>
      <c r="Q913" s="35"/>
      <c r="R913" s="13"/>
      <c r="T913" s="46"/>
      <c r="U913" s="45"/>
      <c r="X913" s="32"/>
      <c r="Y913" s="28"/>
      <c r="Z913" s="28"/>
      <c r="AA913" s="33"/>
      <c r="AB913" s="34"/>
      <c r="AC913" s="34" t="str">
        <f t="shared" si="37"/>
        <v/>
      </c>
      <c r="AP913" s="57"/>
    </row>
    <row r="914" spans="2:42" ht="15" x14ac:dyDescent="0.25">
      <c r="B914" s="15">
        <v>912</v>
      </c>
      <c r="D914" s="17">
        <f t="shared" si="36"/>
        <v>0</v>
      </c>
      <c r="H914" s="40"/>
      <c r="J914" s="26"/>
      <c r="K914" s="27"/>
      <c r="L914" s="28"/>
      <c r="M914" s="28"/>
      <c r="N914" s="28"/>
      <c r="Q914" s="35"/>
      <c r="R914" s="13"/>
      <c r="S914" s="42"/>
      <c r="T914" s="42"/>
      <c r="U914" s="31"/>
      <c r="V914" s="38"/>
      <c r="W914" s="38"/>
      <c r="X914" s="32"/>
      <c r="Y914" s="28"/>
      <c r="Z914" s="28"/>
      <c r="AA914" s="33"/>
      <c r="AB914" s="13"/>
      <c r="AC914" s="34" t="str">
        <f t="shared" si="37"/>
        <v/>
      </c>
      <c r="AP914" s="57"/>
    </row>
    <row r="915" spans="2:42" ht="15" x14ac:dyDescent="0.25">
      <c r="B915" s="15">
        <v>913</v>
      </c>
      <c r="D915" s="17">
        <f t="shared" si="36"/>
        <v>0</v>
      </c>
      <c r="H915" s="40"/>
      <c r="J915" s="26"/>
      <c r="K915" s="27"/>
      <c r="L915" s="28"/>
      <c r="M915" s="28"/>
      <c r="N915" s="28"/>
      <c r="Q915" s="35"/>
      <c r="R915" s="13"/>
      <c r="S915" s="42"/>
      <c r="T915" s="42"/>
      <c r="U915" s="31"/>
      <c r="V915" s="38"/>
      <c r="W915" s="38"/>
      <c r="X915" s="32"/>
      <c r="Y915" s="28"/>
      <c r="Z915" s="28"/>
      <c r="AA915" s="33"/>
      <c r="AB915" s="13"/>
      <c r="AC915" s="34" t="str">
        <f t="shared" si="37"/>
        <v/>
      </c>
      <c r="AP915" s="57"/>
    </row>
    <row r="916" spans="2:42" ht="15" x14ac:dyDescent="0.25">
      <c r="B916" s="15">
        <v>914</v>
      </c>
      <c r="D916" s="17">
        <f t="shared" si="36"/>
        <v>0</v>
      </c>
      <c r="H916" s="40"/>
      <c r="J916" s="26"/>
      <c r="K916" s="27"/>
      <c r="L916" s="28"/>
      <c r="M916" s="28"/>
      <c r="N916" s="28"/>
      <c r="Q916" s="35"/>
      <c r="R916" s="13"/>
      <c r="S916" s="42"/>
      <c r="T916" s="42"/>
      <c r="U916" s="31"/>
      <c r="V916" s="38"/>
      <c r="W916" s="38"/>
      <c r="X916" s="32"/>
      <c r="Y916" s="28"/>
      <c r="Z916" s="28"/>
      <c r="AA916" s="33"/>
      <c r="AB916" s="13"/>
      <c r="AC916" s="34" t="str">
        <f t="shared" si="37"/>
        <v/>
      </c>
      <c r="AP916" s="57"/>
    </row>
    <row r="917" spans="2:42" ht="15" x14ac:dyDescent="0.25">
      <c r="B917" s="15">
        <v>915</v>
      </c>
      <c r="D917" s="17">
        <f t="shared" si="36"/>
        <v>0</v>
      </c>
      <c r="H917" s="40"/>
      <c r="J917" s="26"/>
      <c r="K917" s="27"/>
      <c r="L917" s="28"/>
      <c r="M917" s="28"/>
      <c r="N917" s="28"/>
      <c r="Q917" s="35"/>
      <c r="R917" s="13"/>
      <c r="S917" s="42"/>
      <c r="T917" s="42"/>
      <c r="U917" s="31"/>
      <c r="V917" s="38"/>
      <c r="W917" s="38"/>
      <c r="X917" s="32"/>
      <c r="Y917" s="28"/>
      <c r="Z917" s="28"/>
      <c r="AA917" s="33"/>
      <c r="AB917" s="13"/>
      <c r="AC917" s="34" t="str">
        <f t="shared" si="37"/>
        <v/>
      </c>
      <c r="AP917" s="57"/>
    </row>
    <row r="918" spans="2:42" ht="15" x14ac:dyDescent="0.25">
      <c r="B918" s="15">
        <v>916</v>
      </c>
      <c r="D918" s="17">
        <f t="shared" si="36"/>
        <v>0</v>
      </c>
      <c r="H918" s="40"/>
      <c r="J918" s="26"/>
      <c r="K918" s="27"/>
      <c r="L918" s="28"/>
      <c r="M918" s="28"/>
      <c r="N918" s="28"/>
      <c r="Q918" s="35"/>
      <c r="R918" s="13"/>
      <c r="S918" s="42"/>
      <c r="T918" s="42"/>
      <c r="U918" s="31"/>
      <c r="V918" s="38"/>
      <c r="W918" s="38"/>
      <c r="X918" s="32"/>
      <c r="Y918" s="28"/>
      <c r="Z918" s="28"/>
      <c r="AA918" s="33"/>
      <c r="AB918" s="13"/>
      <c r="AC918" s="34" t="str">
        <f t="shared" si="37"/>
        <v/>
      </c>
      <c r="AP918" s="57"/>
    </row>
    <row r="919" spans="2:42" ht="15" x14ac:dyDescent="0.25">
      <c r="B919" s="15">
        <v>917</v>
      </c>
      <c r="D919" s="17">
        <f t="shared" si="36"/>
        <v>0</v>
      </c>
      <c r="H919" s="40"/>
      <c r="J919" s="26"/>
      <c r="K919" s="27"/>
      <c r="L919" s="28"/>
      <c r="M919" s="28"/>
      <c r="N919" s="28"/>
      <c r="Q919" s="35"/>
      <c r="R919" s="13"/>
      <c r="S919" s="42"/>
      <c r="T919" s="42"/>
      <c r="U919" s="31"/>
      <c r="V919" s="38"/>
      <c r="W919" s="38"/>
      <c r="X919" s="32"/>
      <c r="Y919" s="28"/>
      <c r="Z919" s="28"/>
      <c r="AA919" s="33"/>
      <c r="AB919" s="13"/>
      <c r="AC919" s="34" t="str">
        <f t="shared" si="37"/>
        <v/>
      </c>
      <c r="AP919" s="57"/>
    </row>
    <row r="920" spans="2:42" ht="15" x14ac:dyDescent="0.25">
      <c r="B920" s="15">
        <v>918</v>
      </c>
      <c r="D920" s="17">
        <f t="shared" si="36"/>
        <v>0</v>
      </c>
      <c r="H920" s="40"/>
      <c r="J920" s="26"/>
      <c r="K920" s="27"/>
      <c r="L920" s="28"/>
      <c r="M920" s="28"/>
      <c r="N920" s="28"/>
      <c r="Q920" s="35"/>
      <c r="R920" s="13"/>
      <c r="S920" s="42"/>
      <c r="T920" s="42"/>
      <c r="U920" s="31"/>
      <c r="V920" s="38"/>
      <c r="W920" s="38"/>
      <c r="X920" s="32"/>
      <c r="Y920" s="28"/>
      <c r="Z920" s="28"/>
      <c r="AA920" s="33"/>
      <c r="AB920" s="13"/>
      <c r="AC920" s="34" t="str">
        <f t="shared" si="37"/>
        <v/>
      </c>
      <c r="AP920" s="57"/>
    </row>
    <row r="921" spans="2:42" ht="15" x14ac:dyDescent="0.25">
      <c r="B921" s="15">
        <v>919</v>
      </c>
      <c r="C921" s="17"/>
      <c r="D921" s="17">
        <f t="shared" si="36"/>
        <v>0</v>
      </c>
      <c r="F921" s="25"/>
      <c r="G921" s="25"/>
      <c r="H921" s="25"/>
      <c r="I921" s="25"/>
      <c r="J921" s="26"/>
      <c r="K921" s="47"/>
      <c r="L921" s="28"/>
      <c r="M921" s="28"/>
      <c r="N921" s="28"/>
      <c r="P921" s="29"/>
      <c r="Q921" s="35"/>
      <c r="R921" s="13"/>
      <c r="T921" s="46"/>
      <c r="U921" s="45"/>
      <c r="X921" s="32"/>
      <c r="Y921" s="28"/>
      <c r="Z921" s="28"/>
      <c r="AA921" s="33"/>
      <c r="AB921" s="34"/>
      <c r="AC921" s="34" t="str">
        <f t="shared" si="37"/>
        <v/>
      </c>
      <c r="AP921" s="57"/>
    </row>
    <row r="922" spans="2:42" ht="15" x14ac:dyDescent="0.25">
      <c r="B922" s="15">
        <v>920</v>
      </c>
      <c r="D922" s="17">
        <f t="shared" si="36"/>
        <v>0</v>
      </c>
      <c r="H922" s="40"/>
      <c r="J922" s="26"/>
      <c r="K922" s="27"/>
      <c r="L922" s="28"/>
      <c r="M922" s="28"/>
      <c r="N922" s="28"/>
      <c r="Q922" s="35"/>
      <c r="R922" s="13"/>
      <c r="S922" s="42"/>
      <c r="T922" s="42"/>
      <c r="U922" s="31"/>
      <c r="V922" s="38"/>
      <c r="W922" s="38"/>
      <c r="X922" s="32"/>
      <c r="Y922" s="28"/>
      <c r="Z922" s="28"/>
      <c r="AA922" s="33"/>
      <c r="AB922" s="13"/>
      <c r="AC922" s="34" t="str">
        <f t="shared" si="37"/>
        <v/>
      </c>
      <c r="AP922" s="57"/>
    </row>
    <row r="923" spans="2:42" ht="15" x14ac:dyDescent="0.25">
      <c r="B923" s="15">
        <v>921</v>
      </c>
      <c r="D923" s="17">
        <f t="shared" si="36"/>
        <v>0</v>
      </c>
      <c r="H923" s="40"/>
      <c r="J923" s="26"/>
      <c r="K923" s="27"/>
      <c r="L923" s="28"/>
      <c r="M923" s="28"/>
      <c r="N923" s="28"/>
      <c r="Q923" s="35"/>
      <c r="R923" s="13"/>
      <c r="S923" s="42"/>
      <c r="T923" s="42"/>
      <c r="U923" s="31"/>
      <c r="V923" s="38"/>
      <c r="W923" s="38"/>
      <c r="X923" s="32"/>
      <c r="Y923" s="28"/>
      <c r="Z923" s="28"/>
      <c r="AA923" s="33"/>
      <c r="AB923" s="13"/>
      <c r="AC923" s="34" t="str">
        <f t="shared" si="37"/>
        <v/>
      </c>
      <c r="AP923" s="57"/>
    </row>
    <row r="924" spans="2:42" ht="15" x14ac:dyDescent="0.25">
      <c r="B924" s="15">
        <v>922</v>
      </c>
      <c r="D924" s="17">
        <f t="shared" si="36"/>
        <v>0</v>
      </c>
      <c r="H924" s="40"/>
      <c r="J924" s="26"/>
      <c r="K924" s="27"/>
      <c r="L924" s="28"/>
      <c r="M924" s="28"/>
      <c r="N924" s="28"/>
      <c r="Q924" s="35"/>
      <c r="R924" s="13"/>
      <c r="S924" s="42"/>
      <c r="T924" s="42"/>
      <c r="U924" s="31"/>
      <c r="V924" s="38"/>
      <c r="W924" s="38"/>
      <c r="X924" s="32"/>
      <c r="Y924" s="28"/>
      <c r="Z924" s="28"/>
      <c r="AA924" s="33"/>
      <c r="AB924" s="13"/>
      <c r="AC924" s="34" t="str">
        <f t="shared" si="37"/>
        <v/>
      </c>
      <c r="AP924" s="57"/>
    </row>
    <row r="925" spans="2:42" ht="15" x14ac:dyDescent="0.25">
      <c r="B925" s="15">
        <v>923</v>
      </c>
      <c r="D925" s="17">
        <f t="shared" si="36"/>
        <v>0</v>
      </c>
      <c r="H925" s="40"/>
      <c r="J925" s="26"/>
      <c r="K925" s="27"/>
      <c r="L925" s="28"/>
      <c r="M925" s="28"/>
      <c r="N925" s="28"/>
      <c r="Q925" s="35"/>
      <c r="R925" s="13"/>
      <c r="S925" s="42"/>
      <c r="T925" s="42"/>
      <c r="U925" s="31"/>
      <c r="V925" s="38"/>
      <c r="W925" s="38"/>
      <c r="X925" s="32"/>
      <c r="Y925" s="28"/>
      <c r="Z925" s="28"/>
      <c r="AA925" s="33"/>
      <c r="AB925" s="13"/>
      <c r="AC925" s="34" t="str">
        <f t="shared" si="37"/>
        <v/>
      </c>
      <c r="AP925" s="57"/>
    </row>
    <row r="926" spans="2:42" ht="15" x14ac:dyDescent="0.25">
      <c r="B926" s="15">
        <v>924</v>
      </c>
      <c r="D926" s="17">
        <f t="shared" si="36"/>
        <v>0</v>
      </c>
      <c r="H926" s="40"/>
      <c r="J926" s="26"/>
      <c r="K926" s="27"/>
      <c r="L926" s="28"/>
      <c r="M926" s="28"/>
      <c r="N926" s="28"/>
      <c r="Q926" s="35"/>
      <c r="R926" s="13"/>
      <c r="S926" s="42"/>
      <c r="T926" s="42"/>
      <c r="U926" s="31"/>
      <c r="V926" s="38"/>
      <c r="W926" s="38"/>
      <c r="X926" s="32"/>
      <c r="Y926" s="28"/>
      <c r="Z926" s="28"/>
      <c r="AA926" s="33"/>
      <c r="AB926" s="13"/>
      <c r="AC926" s="34" t="str">
        <f t="shared" si="37"/>
        <v/>
      </c>
      <c r="AP926" s="57"/>
    </row>
    <row r="927" spans="2:42" ht="15" x14ac:dyDescent="0.25">
      <c r="B927" s="15">
        <v>925</v>
      </c>
      <c r="D927" s="17">
        <f t="shared" si="36"/>
        <v>0</v>
      </c>
      <c r="H927" s="40"/>
      <c r="J927" s="26"/>
      <c r="K927" s="27"/>
      <c r="L927" s="28"/>
      <c r="M927" s="28"/>
      <c r="N927" s="28"/>
      <c r="Q927" s="35"/>
      <c r="R927" s="13"/>
      <c r="S927" s="42"/>
      <c r="T927" s="42"/>
      <c r="U927" s="31"/>
      <c r="V927" s="38"/>
      <c r="W927" s="38"/>
      <c r="X927" s="32"/>
      <c r="Y927" s="28"/>
      <c r="Z927" s="28"/>
      <c r="AA927" s="33"/>
      <c r="AB927" s="13"/>
      <c r="AC927" s="34" t="str">
        <f t="shared" si="37"/>
        <v/>
      </c>
      <c r="AP927" s="57"/>
    </row>
    <row r="928" spans="2:42" ht="15" x14ac:dyDescent="0.25">
      <c r="B928" s="15">
        <v>926</v>
      </c>
      <c r="D928" s="17">
        <f t="shared" si="36"/>
        <v>0</v>
      </c>
      <c r="H928" s="40"/>
      <c r="J928" s="26"/>
      <c r="K928" s="27"/>
      <c r="L928" s="28"/>
      <c r="M928" s="28"/>
      <c r="N928" s="28"/>
      <c r="Q928" s="35"/>
      <c r="R928" s="13"/>
      <c r="S928" s="42"/>
      <c r="T928" s="42"/>
      <c r="U928" s="31"/>
      <c r="V928" s="38"/>
      <c r="W928" s="38"/>
      <c r="X928" s="32"/>
      <c r="Y928" s="28"/>
      <c r="Z928" s="28"/>
      <c r="AA928" s="33"/>
      <c r="AB928" s="13"/>
      <c r="AC928" s="34" t="str">
        <f t="shared" si="37"/>
        <v/>
      </c>
      <c r="AP928" s="57"/>
    </row>
    <row r="929" spans="2:42" ht="15" x14ac:dyDescent="0.25">
      <c r="B929" s="15">
        <v>927</v>
      </c>
      <c r="D929" s="17">
        <f t="shared" si="36"/>
        <v>0</v>
      </c>
      <c r="H929" s="40"/>
      <c r="J929" s="26"/>
      <c r="K929" s="27"/>
      <c r="L929" s="28"/>
      <c r="M929" s="28"/>
      <c r="N929" s="28"/>
      <c r="Q929" s="35"/>
      <c r="R929" s="13"/>
      <c r="S929" s="42"/>
      <c r="T929" s="42"/>
      <c r="U929" s="31"/>
      <c r="V929" s="38"/>
      <c r="W929" s="38"/>
      <c r="X929" s="32"/>
      <c r="Y929" s="28"/>
      <c r="Z929" s="28"/>
      <c r="AA929" s="33"/>
      <c r="AB929" s="13"/>
      <c r="AC929" s="34" t="str">
        <f t="shared" si="37"/>
        <v/>
      </c>
      <c r="AP929" s="57"/>
    </row>
    <row r="930" spans="2:42" ht="15" x14ac:dyDescent="0.25">
      <c r="B930" s="15">
        <v>928</v>
      </c>
      <c r="D930" s="17">
        <f t="shared" si="36"/>
        <v>0</v>
      </c>
      <c r="H930" s="40"/>
      <c r="J930" s="26"/>
      <c r="K930" s="27"/>
      <c r="L930" s="28"/>
      <c r="M930" s="28"/>
      <c r="N930" s="28"/>
      <c r="Q930" s="35"/>
      <c r="R930" s="13"/>
      <c r="S930" s="42"/>
      <c r="T930" s="42"/>
      <c r="U930" s="31"/>
      <c r="V930" s="38"/>
      <c r="W930" s="38"/>
      <c r="X930" s="32"/>
      <c r="Y930" s="28"/>
      <c r="Z930" s="28"/>
      <c r="AA930" s="33"/>
      <c r="AB930" s="13"/>
      <c r="AC930" s="34" t="str">
        <f t="shared" si="37"/>
        <v/>
      </c>
      <c r="AP930" s="57"/>
    </row>
    <row r="931" spans="2:42" ht="15" x14ac:dyDescent="0.25">
      <c r="B931" s="15">
        <v>929</v>
      </c>
      <c r="C931" s="17"/>
      <c r="D931" s="17">
        <f t="shared" si="36"/>
        <v>0</v>
      </c>
      <c r="F931" s="25"/>
      <c r="G931" s="25"/>
      <c r="H931" s="25"/>
      <c r="I931" s="25"/>
      <c r="J931" s="26"/>
      <c r="K931" s="47"/>
      <c r="L931" s="28"/>
      <c r="M931" s="28"/>
      <c r="N931" s="28"/>
      <c r="P931" s="29"/>
      <c r="Q931" s="35"/>
      <c r="R931" s="13"/>
      <c r="T931" s="46"/>
      <c r="U931" s="45"/>
      <c r="X931" s="32"/>
      <c r="Y931" s="28"/>
      <c r="Z931" s="28"/>
      <c r="AA931" s="33"/>
      <c r="AB931" s="34"/>
      <c r="AC931" s="34" t="str">
        <f t="shared" si="37"/>
        <v/>
      </c>
      <c r="AP931" s="57"/>
    </row>
    <row r="932" spans="2:42" ht="15" x14ac:dyDescent="0.25">
      <c r="B932" s="15">
        <v>930</v>
      </c>
      <c r="C932" s="17"/>
      <c r="D932" s="17">
        <f t="shared" si="36"/>
        <v>0</v>
      </c>
      <c r="F932" s="25"/>
      <c r="G932" s="25"/>
      <c r="H932" s="25"/>
      <c r="I932" s="25"/>
      <c r="J932" s="26"/>
      <c r="K932" s="47"/>
      <c r="L932" s="28"/>
      <c r="M932" s="28"/>
      <c r="N932" s="28"/>
      <c r="P932" s="29"/>
      <c r="Q932" s="35"/>
      <c r="R932" s="13"/>
      <c r="T932" s="46"/>
      <c r="U932" s="45"/>
      <c r="X932" s="32"/>
      <c r="Y932" s="28"/>
      <c r="Z932" s="28"/>
      <c r="AA932" s="33"/>
      <c r="AB932" s="34"/>
      <c r="AC932" s="34" t="str">
        <f t="shared" si="37"/>
        <v/>
      </c>
      <c r="AP932" s="57"/>
    </row>
    <row r="933" spans="2:42" ht="15" x14ac:dyDescent="0.25">
      <c r="B933" s="15">
        <v>931</v>
      </c>
      <c r="C933" s="17"/>
      <c r="D933" s="17">
        <f t="shared" si="36"/>
        <v>0</v>
      </c>
      <c r="F933" s="25"/>
      <c r="G933" s="25"/>
      <c r="H933" s="25"/>
      <c r="I933" s="25"/>
      <c r="J933" s="26"/>
      <c r="K933" s="47"/>
      <c r="L933" s="28"/>
      <c r="M933" s="28"/>
      <c r="N933" s="28"/>
      <c r="P933" s="29"/>
      <c r="Q933" s="35"/>
      <c r="R933" s="13"/>
      <c r="T933" s="46"/>
      <c r="U933" s="45"/>
      <c r="X933" s="32"/>
      <c r="Y933" s="28"/>
      <c r="Z933" s="28"/>
      <c r="AA933" s="33"/>
      <c r="AB933" s="34"/>
      <c r="AC933" s="34" t="str">
        <f t="shared" si="37"/>
        <v/>
      </c>
      <c r="AP933" s="57"/>
    </row>
    <row r="934" spans="2:42" ht="15" x14ac:dyDescent="0.25">
      <c r="B934" s="15">
        <v>932</v>
      </c>
      <c r="D934" s="17">
        <f t="shared" si="36"/>
        <v>0</v>
      </c>
      <c r="K934" s="28"/>
      <c r="L934" s="28"/>
      <c r="M934" s="28"/>
      <c r="N934" s="28"/>
      <c r="R934" s="34"/>
      <c r="X934" s="32"/>
      <c r="Y934" s="28"/>
      <c r="Z934" s="28"/>
      <c r="AA934" s="33"/>
      <c r="AB934" s="34"/>
      <c r="AC934" s="34" t="str">
        <f t="shared" si="37"/>
        <v/>
      </c>
      <c r="AP934" s="57"/>
    </row>
    <row r="935" spans="2:42" ht="15" x14ac:dyDescent="0.25">
      <c r="B935" s="15">
        <v>933</v>
      </c>
      <c r="D935" s="17">
        <f t="shared" si="36"/>
        <v>0</v>
      </c>
      <c r="H935" s="40"/>
      <c r="J935" s="26"/>
      <c r="K935" s="27"/>
      <c r="L935" s="28"/>
      <c r="M935" s="28"/>
      <c r="N935" s="28"/>
      <c r="Q935" s="35"/>
      <c r="R935" s="13"/>
      <c r="S935" s="42"/>
      <c r="T935" s="42"/>
      <c r="U935" s="31"/>
      <c r="V935" s="38"/>
      <c r="W935" s="38"/>
      <c r="X935" s="32"/>
      <c r="Y935" s="28"/>
      <c r="Z935" s="28"/>
      <c r="AA935" s="33"/>
      <c r="AB935" s="13"/>
      <c r="AC935" s="34" t="str">
        <f t="shared" si="37"/>
        <v/>
      </c>
      <c r="AP935" s="57"/>
    </row>
    <row r="936" spans="2:42" ht="15" x14ac:dyDescent="0.25">
      <c r="B936" s="15">
        <v>934</v>
      </c>
      <c r="D936" s="17">
        <f t="shared" si="36"/>
        <v>0</v>
      </c>
      <c r="K936" s="28"/>
      <c r="L936" s="28"/>
      <c r="M936" s="28"/>
      <c r="N936" s="28"/>
      <c r="R936" s="34"/>
      <c r="X936" s="32"/>
      <c r="Y936" s="28"/>
      <c r="Z936" s="28"/>
      <c r="AA936" s="33"/>
      <c r="AB936" s="34"/>
      <c r="AC936" s="34" t="str">
        <f t="shared" si="37"/>
        <v/>
      </c>
      <c r="AP936" s="57"/>
    </row>
    <row r="937" spans="2:42" ht="15" x14ac:dyDescent="0.25">
      <c r="B937" s="15">
        <v>935</v>
      </c>
      <c r="D937" s="17">
        <f t="shared" si="36"/>
        <v>0</v>
      </c>
      <c r="K937" s="28"/>
      <c r="L937" s="28"/>
      <c r="M937" s="28"/>
      <c r="N937" s="28"/>
      <c r="R937" s="34"/>
      <c r="X937" s="32"/>
      <c r="Y937" s="28"/>
      <c r="Z937" s="28"/>
      <c r="AA937" s="33"/>
      <c r="AB937" s="34"/>
      <c r="AC937" s="34" t="str">
        <f t="shared" si="37"/>
        <v/>
      </c>
      <c r="AP937" s="57"/>
    </row>
    <row r="938" spans="2:42" ht="15" x14ac:dyDescent="0.25">
      <c r="B938" s="15">
        <v>936</v>
      </c>
      <c r="D938" s="17">
        <f t="shared" si="36"/>
        <v>0</v>
      </c>
      <c r="H938" s="40"/>
      <c r="J938" s="26"/>
      <c r="K938" s="27"/>
      <c r="L938" s="28"/>
      <c r="M938" s="28"/>
      <c r="N938" s="28"/>
      <c r="Q938" s="35"/>
      <c r="R938" s="13"/>
      <c r="S938" s="42"/>
      <c r="T938" s="42"/>
      <c r="U938" s="31"/>
      <c r="V938" s="38"/>
      <c r="W938" s="38"/>
      <c r="X938" s="32"/>
      <c r="Y938" s="28"/>
      <c r="Z938" s="28"/>
      <c r="AA938" s="33"/>
      <c r="AB938" s="13"/>
      <c r="AC938" s="34" t="str">
        <f t="shared" si="37"/>
        <v/>
      </c>
      <c r="AP938" s="57"/>
    </row>
    <row r="939" spans="2:42" ht="15" x14ac:dyDescent="0.25">
      <c r="B939" s="15">
        <v>937</v>
      </c>
      <c r="D939" s="17">
        <f t="shared" si="36"/>
        <v>0</v>
      </c>
      <c r="K939" s="28"/>
      <c r="L939" s="28"/>
      <c r="M939" s="28"/>
      <c r="N939" s="28"/>
      <c r="R939" s="34"/>
      <c r="X939" s="32"/>
      <c r="Y939" s="28"/>
      <c r="Z939" s="28"/>
      <c r="AA939" s="33"/>
      <c r="AB939" s="34"/>
      <c r="AC939" s="34" t="str">
        <f t="shared" si="37"/>
        <v/>
      </c>
      <c r="AP939" s="57"/>
    </row>
    <row r="940" spans="2:42" ht="15" x14ac:dyDescent="0.25">
      <c r="B940" s="15">
        <v>938</v>
      </c>
      <c r="D940" s="17">
        <f t="shared" si="36"/>
        <v>0</v>
      </c>
      <c r="K940" s="28"/>
      <c r="L940" s="28"/>
      <c r="M940" s="28"/>
      <c r="N940" s="28"/>
      <c r="R940" s="34"/>
      <c r="X940" s="32"/>
      <c r="Y940" s="28"/>
      <c r="Z940" s="28"/>
      <c r="AA940" s="33"/>
      <c r="AB940" s="34"/>
      <c r="AC940" s="34" t="str">
        <f t="shared" si="37"/>
        <v/>
      </c>
      <c r="AP940" s="57"/>
    </row>
    <row r="941" spans="2:42" ht="15" x14ac:dyDescent="0.25">
      <c r="B941" s="15">
        <v>939</v>
      </c>
      <c r="D941" s="17">
        <f t="shared" si="36"/>
        <v>0</v>
      </c>
      <c r="K941" s="28"/>
      <c r="L941" s="28"/>
      <c r="M941" s="28"/>
      <c r="N941" s="28"/>
      <c r="R941" s="34"/>
      <c r="X941" s="32"/>
      <c r="Y941" s="28"/>
      <c r="Z941" s="28"/>
      <c r="AA941" s="33"/>
      <c r="AB941" s="34"/>
      <c r="AC941" s="34" t="str">
        <f t="shared" si="37"/>
        <v/>
      </c>
      <c r="AP941" s="57"/>
    </row>
    <row r="942" spans="2:42" ht="15" x14ac:dyDescent="0.25">
      <c r="B942" s="15">
        <v>940</v>
      </c>
      <c r="D942" s="17">
        <f t="shared" si="36"/>
        <v>0</v>
      </c>
      <c r="K942" s="28"/>
      <c r="L942" s="28"/>
      <c r="M942" s="28"/>
      <c r="N942" s="28"/>
      <c r="R942" s="34"/>
      <c r="X942" s="32"/>
      <c r="Y942" s="28"/>
      <c r="Z942" s="28"/>
      <c r="AA942" s="33"/>
      <c r="AB942" s="34"/>
      <c r="AC942" s="34" t="str">
        <f t="shared" si="37"/>
        <v/>
      </c>
      <c r="AP942" s="57"/>
    </row>
    <row r="943" spans="2:42" ht="15" x14ac:dyDescent="0.25">
      <c r="B943" s="15">
        <v>941</v>
      </c>
      <c r="D943" s="17">
        <f t="shared" si="36"/>
        <v>0</v>
      </c>
      <c r="K943" s="28"/>
      <c r="L943" s="28"/>
      <c r="M943" s="28"/>
      <c r="N943" s="28"/>
      <c r="R943" s="34"/>
      <c r="X943" s="32"/>
      <c r="Y943" s="28"/>
      <c r="Z943" s="28"/>
      <c r="AA943" s="33"/>
      <c r="AB943" s="34"/>
      <c r="AC943" s="34" t="str">
        <f t="shared" si="37"/>
        <v/>
      </c>
      <c r="AP943" s="57"/>
    </row>
    <row r="944" spans="2:42" ht="15" x14ac:dyDescent="0.25">
      <c r="B944" s="15">
        <v>942</v>
      </c>
      <c r="D944" s="17">
        <f t="shared" si="36"/>
        <v>0</v>
      </c>
      <c r="H944" s="40"/>
      <c r="J944" s="26"/>
      <c r="K944" s="27"/>
      <c r="L944" s="28"/>
      <c r="M944" s="28"/>
      <c r="N944" s="28"/>
      <c r="Q944" s="35"/>
      <c r="R944" s="13"/>
      <c r="S944" s="42"/>
      <c r="T944" s="42"/>
      <c r="U944" s="31"/>
      <c r="V944" s="38"/>
      <c r="W944" s="38"/>
      <c r="X944" s="32"/>
      <c r="Y944" s="28"/>
      <c r="Z944" s="28"/>
      <c r="AA944" s="33"/>
      <c r="AB944" s="13"/>
      <c r="AC944" s="34" t="str">
        <f t="shared" si="37"/>
        <v/>
      </c>
      <c r="AP944" s="57"/>
    </row>
    <row r="945" spans="2:42" ht="15" x14ac:dyDescent="0.25">
      <c r="B945" s="15">
        <v>943</v>
      </c>
      <c r="D945" s="17">
        <f t="shared" ref="D945:D1008" si="38">_xlfn.NUMBERVALUE(+LEFT(C945,11))</f>
        <v>0</v>
      </c>
      <c r="K945" s="28"/>
      <c r="L945" s="28"/>
      <c r="M945" s="28"/>
      <c r="N945" s="28"/>
      <c r="R945" s="34"/>
      <c r="X945" s="32"/>
      <c r="Y945" s="28"/>
      <c r="Z945" s="28"/>
      <c r="AA945" s="33"/>
      <c r="AB945" s="34"/>
      <c r="AC945" s="34" t="str">
        <f t="shared" si="37"/>
        <v/>
      </c>
      <c r="AP945" s="57"/>
    </row>
    <row r="946" spans="2:42" ht="15" x14ac:dyDescent="0.25">
      <c r="B946" s="15">
        <v>944</v>
      </c>
      <c r="D946" s="17">
        <f t="shared" si="38"/>
        <v>0</v>
      </c>
      <c r="K946" s="28"/>
      <c r="L946" s="28"/>
      <c r="M946" s="28"/>
      <c r="N946" s="28"/>
      <c r="R946" s="34"/>
      <c r="X946" s="32"/>
      <c r="Y946" s="28"/>
      <c r="Z946" s="28"/>
      <c r="AA946" s="33"/>
      <c r="AB946" s="34"/>
      <c r="AC946" s="34" t="str">
        <f t="shared" si="37"/>
        <v/>
      </c>
      <c r="AP946" s="57"/>
    </row>
    <row r="947" spans="2:42" ht="15" x14ac:dyDescent="0.25">
      <c r="B947" s="15">
        <v>945</v>
      </c>
      <c r="D947" s="17">
        <f t="shared" si="38"/>
        <v>0</v>
      </c>
      <c r="K947" s="28"/>
      <c r="L947" s="28"/>
      <c r="M947" s="28"/>
      <c r="N947" s="28"/>
      <c r="R947" s="34"/>
      <c r="X947" s="32"/>
      <c r="Y947" s="28"/>
      <c r="Z947" s="28"/>
      <c r="AA947" s="33"/>
      <c r="AB947" s="34"/>
      <c r="AC947" s="34" t="str">
        <f t="shared" si="37"/>
        <v/>
      </c>
      <c r="AP947" s="57"/>
    </row>
    <row r="948" spans="2:42" ht="15" x14ac:dyDescent="0.25">
      <c r="B948" s="15">
        <v>946</v>
      </c>
      <c r="D948" s="17">
        <f t="shared" si="38"/>
        <v>0</v>
      </c>
      <c r="H948" s="40"/>
      <c r="J948" s="26"/>
      <c r="K948" s="27"/>
      <c r="L948" s="28"/>
      <c r="M948" s="28"/>
      <c r="N948" s="28"/>
      <c r="Q948" s="35"/>
      <c r="R948" s="13"/>
      <c r="S948" s="42"/>
      <c r="T948" s="42"/>
      <c r="U948" s="31"/>
      <c r="V948" s="38"/>
      <c r="W948" s="38"/>
      <c r="X948" s="32"/>
      <c r="Y948" s="28"/>
      <c r="Z948" s="28"/>
      <c r="AA948" s="33"/>
      <c r="AB948" s="13"/>
      <c r="AC948" s="34" t="str">
        <f t="shared" si="37"/>
        <v/>
      </c>
      <c r="AP948" s="57"/>
    </row>
    <row r="949" spans="2:42" ht="15" x14ac:dyDescent="0.25">
      <c r="B949" s="15">
        <v>947</v>
      </c>
      <c r="D949" s="17">
        <f t="shared" si="38"/>
        <v>0</v>
      </c>
      <c r="K949" s="28"/>
      <c r="L949" s="28"/>
      <c r="M949" s="28"/>
      <c r="N949" s="28"/>
      <c r="R949" s="34"/>
      <c r="X949" s="32"/>
      <c r="Y949" s="28"/>
      <c r="Z949" s="28"/>
      <c r="AA949" s="33"/>
      <c r="AB949" s="34"/>
      <c r="AC949" s="34" t="str">
        <f t="shared" si="37"/>
        <v/>
      </c>
      <c r="AP949" s="57"/>
    </row>
    <row r="950" spans="2:42" ht="15" x14ac:dyDescent="0.25">
      <c r="B950" s="15">
        <v>948</v>
      </c>
      <c r="D950" s="17">
        <f t="shared" si="38"/>
        <v>0</v>
      </c>
      <c r="K950" s="28"/>
      <c r="L950" s="28"/>
      <c r="M950" s="28"/>
      <c r="N950" s="28"/>
      <c r="R950" s="34"/>
      <c r="X950" s="32"/>
      <c r="Y950" s="28"/>
      <c r="Z950" s="28"/>
      <c r="AA950" s="33"/>
      <c r="AB950" s="34"/>
      <c r="AC950" s="34" t="str">
        <f t="shared" si="37"/>
        <v/>
      </c>
      <c r="AP950" s="57"/>
    </row>
    <row r="951" spans="2:42" ht="15" x14ac:dyDescent="0.25">
      <c r="B951" s="15">
        <v>949</v>
      </c>
      <c r="D951" s="17">
        <f t="shared" si="38"/>
        <v>0</v>
      </c>
      <c r="H951" s="40"/>
      <c r="J951" s="26"/>
      <c r="K951" s="27"/>
      <c r="L951" s="28"/>
      <c r="M951" s="28"/>
      <c r="N951" s="28"/>
      <c r="Q951" s="35"/>
      <c r="R951" s="13"/>
      <c r="S951" s="42"/>
      <c r="T951" s="42"/>
      <c r="U951" s="31"/>
      <c r="V951" s="38"/>
      <c r="W951" s="38"/>
      <c r="X951" s="32"/>
      <c r="Y951" s="28"/>
      <c r="Z951" s="28"/>
      <c r="AA951" s="33"/>
      <c r="AB951" s="13"/>
      <c r="AC951" s="34" t="str">
        <f t="shared" si="37"/>
        <v/>
      </c>
      <c r="AP951" s="57"/>
    </row>
    <row r="952" spans="2:42" ht="15" x14ac:dyDescent="0.25">
      <c r="B952" s="15">
        <v>950</v>
      </c>
      <c r="D952" s="17">
        <f t="shared" si="38"/>
        <v>0</v>
      </c>
      <c r="H952" s="40"/>
      <c r="J952" s="26"/>
      <c r="K952" s="27"/>
      <c r="L952" s="28"/>
      <c r="M952" s="28"/>
      <c r="N952" s="28"/>
      <c r="Q952" s="35"/>
      <c r="R952" s="13"/>
      <c r="S952" s="42"/>
      <c r="T952" s="42"/>
      <c r="U952" s="31"/>
      <c r="V952" s="38"/>
      <c r="W952" s="38"/>
      <c r="X952" s="32"/>
      <c r="Y952" s="28"/>
      <c r="Z952" s="28"/>
      <c r="AA952" s="33"/>
      <c r="AB952" s="13"/>
      <c r="AC952" s="34" t="str">
        <f t="shared" si="37"/>
        <v/>
      </c>
      <c r="AP952" s="57"/>
    </row>
    <row r="953" spans="2:42" ht="15" x14ac:dyDescent="0.25">
      <c r="B953" s="15">
        <v>951</v>
      </c>
      <c r="D953" s="17">
        <f t="shared" si="38"/>
        <v>0</v>
      </c>
      <c r="K953" s="28"/>
      <c r="L953" s="28"/>
      <c r="M953" s="28"/>
      <c r="N953" s="28"/>
      <c r="R953" s="34"/>
      <c r="X953" s="32"/>
      <c r="Y953" s="28"/>
      <c r="Z953" s="28"/>
      <c r="AA953" s="33"/>
      <c r="AB953" s="34"/>
      <c r="AC953" s="34" t="str">
        <f t="shared" si="37"/>
        <v/>
      </c>
      <c r="AP953" s="57"/>
    </row>
    <row r="954" spans="2:42" ht="15" x14ac:dyDescent="0.25">
      <c r="B954" s="15">
        <v>952</v>
      </c>
      <c r="D954" s="17">
        <f t="shared" si="38"/>
        <v>0</v>
      </c>
      <c r="K954" s="28"/>
      <c r="L954" s="28"/>
      <c r="M954" s="28"/>
      <c r="N954" s="28"/>
      <c r="R954" s="34"/>
      <c r="X954" s="32"/>
      <c r="Y954" s="28"/>
      <c r="Z954" s="28"/>
      <c r="AA954" s="33"/>
      <c r="AB954" s="34"/>
      <c r="AC954" s="34" t="str">
        <f t="shared" si="37"/>
        <v/>
      </c>
      <c r="AP954" s="57"/>
    </row>
    <row r="955" spans="2:42" ht="15" x14ac:dyDescent="0.25">
      <c r="B955" s="15">
        <v>953</v>
      </c>
      <c r="D955" s="17">
        <f t="shared" si="38"/>
        <v>0</v>
      </c>
      <c r="K955" s="28"/>
      <c r="L955" s="28"/>
      <c r="M955" s="28"/>
      <c r="N955" s="28"/>
      <c r="R955" s="34"/>
      <c r="X955" s="32"/>
      <c r="Y955" s="28"/>
      <c r="Z955" s="28"/>
      <c r="AA955" s="33"/>
      <c r="AB955" s="34"/>
      <c r="AC955" s="34" t="str">
        <f t="shared" si="37"/>
        <v/>
      </c>
      <c r="AP955" s="57"/>
    </row>
    <row r="956" spans="2:42" ht="15" x14ac:dyDescent="0.25">
      <c r="B956" s="15">
        <v>954</v>
      </c>
      <c r="D956" s="17">
        <f t="shared" si="38"/>
        <v>0</v>
      </c>
      <c r="K956" s="28"/>
      <c r="L956" s="28"/>
      <c r="M956" s="28"/>
      <c r="N956" s="28"/>
      <c r="R956" s="34"/>
      <c r="X956" s="32"/>
      <c r="Y956" s="28"/>
      <c r="Z956" s="28"/>
      <c r="AA956" s="33"/>
      <c r="AB956" s="34"/>
      <c r="AC956" s="34" t="str">
        <f t="shared" si="37"/>
        <v/>
      </c>
      <c r="AP956" s="57"/>
    </row>
    <row r="957" spans="2:42" ht="15" x14ac:dyDescent="0.25">
      <c r="B957" s="15">
        <v>955</v>
      </c>
      <c r="D957" s="17">
        <f t="shared" si="38"/>
        <v>0</v>
      </c>
      <c r="H957" s="40"/>
      <c r="J957" s="26"/>
      <c r="K957" s="27"/>
      <c r="L957" s="28"/>
      <c r="M957" s="28"/>
      <c r="N957" s="28"/>
      <c r="Q957" s="35"/>
      <c r="R957" s="13"/>
      <c r="S957" s="42"/>
      <c r="T957" s="42"/>
      <c r="U957" s="31"/>
      <c r="V957" s="38"/>
      <c r="W957" s="38"/>
      <c r="X957" s="32"/>
      <c r="Y957" s="28"/>
      <c r="Z957" s="28"/>
      <c r="AA957" s="33"/>
      <c r="AB957" s="13"/>
      <c r="AC957" s="34" t="str">
        <f t="shared" si="37"/>
        <v/>
      </c>
      <c r="AP957" s="57"/>
    </row>
    <row r="958" spans="2:42" ht="15" x14ac:dyDescent="0.25">
      <c r="B958" s="15">
        <v>956</v>
      </c>
      <c r="D958" s="17">
        <f t="shared" si="38"/>
        <v>0</v>
      </c>
      <c r="K958" s="28"/>
      <c r="L958" s="28"/>
      <c r="M958" s="28"/>
      <c r="N958" s="28"/>
      <c r="R958" s="34"/>
      <c r="X958" s="32"/>
      <c r="Y958" s="28"/>
      <c r="Z958" s="28"/>
      <c r="AA958" s="33"/>
      <c r="AB958" s="34"/>
      <c r="AC958" s="34" t="str">
        <f t="shared" si="37"/>
        <v/>
      </c>
      <c r="AP958" s="57"/>
    </row>
    <row r="959" spans="2:42" ht="15" x14ac:dyDescent="0.25">
      <c r="B959" s="15">
        <v>957</v>
      </c>
      <c r="D959" s="17">
        <f t="shared" si="38"/>
        <v>0</v>
      </c>
      <c r="K959" s="28"/>
      <c r="L959" s="28"/>
      <c r="M959" s="28"/>
      <c r="N959" s="28"/>
      <c r="R959" s="34"/>
      <c r="X959" s="32"/>
      <c r="Y959" s="28"/>
      <c r="Z959" s="28"/>
      <c r="AA959" s="33"/>
      <c r="AB959" s="34"/>
      <c r="AC959" s="34" t="str">
        <f t="shared" si="37"/>
        <v/>
      </c>
      <c r="AP959" s="57"/>
    </row>
    <row r="960" spans="2:42" ht="15" x14ac:dyDescent="0.25">
      <c r="B960" s="15">
        <v>958</v>
      </c>
      <c r="D960" s="17">
        <f t="shared" si="38"/>
        <v>0</v>
      </c>
      <c r="K960" s="28"/>
      <c r="L960" s="28"/>
      <c r="M960" s="28"/>
      <c r="N960" s="28"/>
      <c r="R960" s="34"/>
      <c r="X960" s="32"/>
      <c r="Y960" s="28"/>
      <c r="Z960" s="28"/>
      <c r="AA960" s="33"/>
      <c r="AB960" s="34"/>
      <c r="AC960" s="34" t="str">
        <f t="shared" si="37"/>
        <v/>
      </c>
      <c r="AP960" s="57"/>
    </row>
    <row r="961" spans="2:42" ht="15" x14ac:dyDescent="0.25">
      <c r="B961" s="15">
        <v>959</v>
      </c>
      <c r="D961" s="17">
        <f t="shared" si="38"/>
        <v>0</v>
      </c>
      <c r="K961" s="28"/>
      <c r="L961" s="28"/>
      <c r="M961" s="28"/>
      <c r="N961" s="28"/>
      <c r="R961" s="34"/>
      <c r="X961" s="32"/>
      <c r="Y961" s="28"/>
      <c r="Z961" s="28"/>
      <c r="AA961" s="33"/>
      <c r="AB961" s="34"/>
      <c r="AC961" s="34" t="str">
        <f t="shared" si="37"/>
        <v/>
      </c>
      <c r="AP961" s="57"/>
    </row>
    <row r="962" spans="2:42" ht="15" x14ac:dyDescent="0.25">
      <c r="B962" s="15">
        <v>960</v>
      </c>
      <c r="D962" s="17">
        <f t="shared" si="38"/>
        <v>0</v>
      </c>
      <c r="K962" s="28"/>
      <c r="L962" s="28"/>
      <c r="M962" s="28"/>
      <c r="N962" s="28"/>
      <c r="R962" s="34"/>
      <c r="X962" s="32"/>
      <c r="Y962" s="28"/>
      <c r="Z962" s="28"/>
      <c r="AA962" s="33"/>
      <c r="AB962" s="34"/>
      <c r="AC962" s="34" t="str">
        <f t="shared" si="37"/>
        <v/>
      </c>
      <c r="AP962" s="57"/>
    </row>
    <row r="963" spans="2:42" ht="15" x14ac:dyDescent="0.25">
      <c r="B963" s="15">
        <v>961</v>
      </c>
      <c r="D963" s="17">
        <f t="shared" si="38"/>
        <v>0</v>
      </c>
      <c r="K963" s="28"/>
      <c r="L963" s="28"/>
      <c r="M963" s="28"/>
      <c r="N963" s="28"/>
      <c r="R963" s="34"/>
      <c r="X963" s="32"/>
      <c r="Y963" s="28"/>
      <c r="Z963" s="28"/>
      <c r="AA963" s="33"/>
      <c r="AB963" s="34"/>
      <c r="AC963" s="34" t="str">
        <f t="shared" ref="AC963:AC1026" si="39">+IF(AB963="","",R963-AB963)</f>
        <v/>
      </c>
      <c r="AP963" s="57"/>
    </row>
    <row r="964" spans="2:42" ht="15" x14ac:dyDescent="0.25">
      <c r="B964" s="15">
        <v>962</v>
      </c>
      <c r="D964" s="17">
        <f t="shared" si="38"/>
        <v>0</v>
      </c>
      <c r="K964" s="28"/>
      <c r="L964" s="28"/>
      <c r="M964" s="28"/>
      <c r="N964" s="28"/>
      <c r="R964" s="34"/>
      <c r="X964" s="32"/>
      <c r="Y964" s="28"/>
      <c r="Z964" s="28"/>
      <c r="AA964" s="33"/>
      <c r="AB964" s="34"/>
      <c r="AC964" s="34" t="str">
        <f t="shared" si="39"/>
        <v/>
      </c>
      <c r="AP964" s="57"/>
    </row>
    <row r="965" spans="2:42" ht="15" x14ac:dyDescent="0.25">
      <c r="B965" s="15">
        <v>963</v>
      </c>
      <c r="D965" s="17">
        <f t="shared" si="38"/>
        <v>0</v>
      </c>
      <c r="K965" s="28"/>
      <c r="L965" s="28"/>
      <c r="M965" s="28"/>
      <c r="N965" s="28"/>
      <c r="R965" s="34"/>
      <c r="X965" s="32"/>
      <c r="Y965" s="28"/>
      <c r="Z965" s="28"/>
      <c r="AA965" s="33"/>
      <c r="AB965" s="34"/>
      <c r="AC965" s="34" t="str">
        <f t="shared" si="39"/>
        <v/>
      </c>
      <c r="AP965" s="57"/>
    </row>
    <row r="966" spans="2:42" ht="15" x14ac:dyDescent="0.25">
      <c r="B966" s="15">
        <v>964</v>
      </c>
      <c r="D966" s="17">
        <f t="shared" si="38"/>
        <v>0</v>
      </c>
      <c r="K966" s="28"/>
      <c r="L966" s="28"/>
      <c r="M966" s="28"/>
      <c r="N966" s="28"/>
      <c r="R966" s="34"/>
      <c r="X966" s="32"/>
      <c r="Y966" s="28"/>
      <c r="Z966" s="28"/>
      <c r="AA966" s="33"/>
      <c r="AB966" s="34"/>
      <c r="AC966" s="34" t="str">
        <f t="shared" si="39"/>
        <v/>
      </c>
      <c r="AP966" s="57"/>
    </row>
    <row r="967" spans="2:42" ht="15" x14ac:dyDescent="0.25">
      <c r="B967" s="15">
        <v>965</v>
      </c>
      <c r="D967" s="17">
        <f t="shared" si="38"/>
        <v>0</v>
      </c>
      <c r="AA967" s="33"/>
      <c r="AC967" s="34" t="str">
        <f t="shared" si="39"/>
        <v/>
      </c>
      <c r="AP967" s="57"/>
    </row>
    <row r="968" spans="2:42" ht="15" x14ac:dyDescent="0.25">
      <c r="B968" s="15">
        <v>966</v>
      </c>
      <c r="D968" s="17">
        <f t="shared" si="38"/>
        <v>0</v>
      </c>
      <c r="AA968" s="33"/>
      <c r="AC968" s="34" t="str">
        <f t="shared" si="39"/>
        <v/>
      </c>
      <c r="AP968" s="57"/>
    </row>
    <row r="969" spans="2:42" ht="15" x14ac:dyDescent="0.25">
      <c r="B969" s="15">
        <v>967</v>
      </c>
      <c r="D969" s="17">
        <f t="shared" si="38"/>
        <v>0</v>
      </c>
      <c r="AA969" s="33"/>
      <c r="AC969" s="34" t="str">
        <f t="shared" si="39"/>
        <v/>
      </c>
      <c r="AP969" s="57"/>
    </row>
    <row r="970" spans="2:42" ht="15" x14ac:dyDescent="0.25">
      <c r="B970" s="15">
        <v>968</v>
      </c>
      <c r="D970" s="17">
        <f t="shared" si="38"/>
        <v>0</v>
      </c>
      <c r="AA970" s="33"/>
      <c r="AC970" s="34" t="str">
        <f t="shared" si="39"/>
        <v/>
      </c>
      <c r="AP970" s="57"/>
    </row>
    <row r="971" spans="2:42" ht="15" x14ac:dyDescent="0.25">
      <c r="B971" s="15">
        <v>969</v>
      </c>
      <c r="D971" s="17">
        <f t="shared" si="38"/>
        <v>0</v>
      </c>
      <c r="K971" s="28"/>
      <c r="L971" s="28"/>
      <c r="M971" s="28"/>
      <c r="N971" s="28"/>
      <c r="R971" s="34"/>
      <c r="X971" s="32"/>
      <c r="Y971" s="28"/>
      <c r="Z971" s="28"/>
      <c r="AA971" s="33"/>
      <c r="AB971" s="34"/>
      <c r="AC971" s="34" t="str">
        <f t="shared" si="39"/>
        <v/>
      </c>
      <c r="AP971" s="57"/>
    </row>
    <row r="972" spans="2:42" ht="15" x14ac:dyDescent="0.25">
      <c r="B972" s="15">
        <v>970</v>
      </c>
      <c r="D972" s="17">
        <f t="shared" si="38"/>
        <v>0</v>
      </c>
      <c r="K972" s="28"/>
      <c r="L972" s="28"/>
      <c r="M972" s="28"/>
      <c r="N972" s="28"/>
      <c r="R972" s="34"/>
      <c r="X972" s="32"/>
      <c r="Y972" s="28"/>
      <c r="Z972" s="28"/>
      <c r="AA972" s="33"/>
      <c r="AB972" s="34"/>
      <c r="AC972" s="34" t="str">
        <f t="shared" si="39"/>
        <v/>
      </c>
      <c r="AP972" s="57"/>
    </row>
    <row r="973" spans="2:42" ht="15" x14ac:dyDescent="0.25">
      <c r="B973" s="15">
        <v>971</v>
      </c>
      <c r="D973" s="17">
        <f t="shared" si="38"/>
        <v>0</v>
      </c>
      <c r="K973" s="28"/>
      <c r="L973" s="28"/>
      <c r="M973" s="28"/>
      <c r="N973" s="28"/>
      <c r="R973" s="34"/>
      <c r="X973" s="32"/>
      <c r="Y973" s="28"/>
      <c r="Z973" s="28"/>
      <c r="AA973" s="33"/>
      <c r="AB973" s="34"/>
      <c r="AC973" s="34" t="str">
        <f t="shared" si="39"/>
        <v/>
      </c>
      <c r="AP973" s="57"/>
    </row>
    <row r="974" spans="2:42" ht="15" x14ac:dyDescent="0.25">
      <c r="B974" s="15">
        <v>972</v>
      </c>
      <c r="D974" s="17">
        <f t="shared" si="38"/>
        <v>0</v>
      </c>
      <c r="K974" s="28"/>
      <c r="L974" s="28"/>
      <c r="M974" s="28"/>
      <c r="N974" s="28"/>
      <c r="R974" s="34"/>
      <c r="X974" s="32"/>
      <c r="Y974" s="28"/>
      <c r="Z974" s="28"/>
      <c r="AA974" s="33"/>
      <c r="AB974" s="34"/>
      <c r="AC974" s="34" t="str">
        <f t="shared" si="39"/>
        <v/>
      </c>
      <c r="AP974" s="57"/>
    </row>
    <row r="975" spans="2:42" ht="15" x14ac:dyDescent="0.25">
      <c r="B975" s="15">
        <v>973</v>
      </c>
      <c r="D975" s="17">
        <f t="shared" si="38"/>
        <v>0</v>
      </c>
      <c r="K975" s="28"/>
      <c r="L975" s="28"/>
      <c r="M975" s="28"/>
      <c r="N975" s="28"/>
      <c r="R975" s="34"/>
      <c r="X975" s="32"/>
      <c r="Y975" s="28"/>
      <c r="Z975" s="28"/>
      <c r="AA975" s="33"/>
      <c r="AB975" s="34"/>
      <c r="AC975" s="34" t="str">
        <f t="shared" si="39"/>
        <v/>
      </c>
      <c r="AP975" s="57"/>
    </row>
    <row r="976" spans="2:42" ht="15" x14ac:dyDescent="0.25">
      <c r="B976" s="15">
        <v>974</v>
      </c>
      <c r="D976" s="17">
        <f t="shared" si="38"/>
        <v>0</v>
      </c>
      <c r="K976" s="28"/>
      <c r="L976" s="28"/>
      <c r="M976" s="28"/>
      <c r="N976" s="28"/>
      <c r="R976" s="34"/>
      <c r="X976" s="32"/>
      <c r="Y976" s="28"/>
      <c r="Z976" s="28"/>
      <c r="AA976" s="33"/>
      <c r="AB976" s="34"/>
      <c r="AC976" s="34" t="str">
        <f t="shared" si="39"/>
        <v/>
      </c>
      <c r="AP976" s="57"/>
    </row>
    <row r="977" spans="2:42" ht="15" x14ac:dyDescent="0.25">
      <c r="B977" s="15">
        <v>975</v>
      </c>
      <c r="D977" s="17">
        <f t="shared" si="38"/>
        <v>0</v>
      </c>
      <c r="K977" s="28"/>
      <c r="L977" s="28"/>
      <c r="M977" s="28"/>
      <c r="N977" s="28"/>
      <c r="R977" s="34"/>
      <c r="X977" s="32"/>
      <c r="Y977" s="28"/>
      <c r="Z977" s="28"/>
      <c r="AA977" s="33"/>
      <c r="AB977" s="34"/>
      <c r="AC977" s="34" t="str">
        <f t="shared" si="39"/>
        <v/>
      </c>
      <c r="AP977" s="57"/>
    </row>
    <row r="978" spans="2:42" ht="15" x14ac:dyDescent="0.25">
      <c r="B978" s="15">
        <v>976</v>
      </c>
      <c r="D978" s="17">
        <f t="shared" si="38"/>
        <v>0</v>
      </c>
      <c r="K978" s="28"/>
      <c r="L978" s="28"/>
      <c r="M978" s="28"/>
      <c r="N978" s="28"/>
      <c r="R978" s="34"/>
      <c r="X978" s="32"/>
      <c r="Y978" s="28"/>
      <c r="Z978" s="28"/>
      <c r="AA978" s="33"/>
      <c r="AB978" s="34"/>
      <c r="AC978" s="34" t="str">
        <f t="shared" si="39"/>
        <v/>
      </c>
      <c r="AP978" s="57"/>
    </row>
    <row r="979" spans="2:42" ht="15" x14ac:dyDescent="0.25">
      <c r="B979" s="15">
        <v>977</v>
      </c>
      <c r="D979" s="17">
        <f t="shared" si="38"/>
        <v>0</v>
      </c>
      <c r="K979" s="28"/>
      <c r="L979" s="28"/>
      <c r="M979" s="28"/>
      <c r="N979" s="28"/>
      <c r="R979" s="34"/>
      <c r="X979" s="32"/>
      <c r="Y979" s="28"/>
      <c r="Z979" s="28"/>
      <c r="AA979" s="33"/>
      <c r="AB979" s="34"/>
      <c r="AC979" s="34" t="str">
        <f t="shared" si="39"/>
        <v/>
      </c>
      <c r="AP979" s="57"/>
    </row>
    <row r="980" spans="2:42" ht="15" x14ac:dyDescent="0.25">
      <c r="B980" s="15">
        <v>978</v>
      </c>
      <c r="D980" s="17">
        <f t="shared" si="38"/>
        <v>0</v>
      </c>
      <c r="K980" s="28"/>
      <c r="L980" s="28"/>
      <c r="M980" s="28"/>
      <c r="N980" s="28"/>
      <c r="R980" s="34"/>
      <c r="X980" s="32"/>
      <c r="Y980" s="28"/>
      <c r="Z980" s="28"/>
      <c r="AA980" s="33"/>
      <c r="AB980" s="34"/>
      <c r="AC980" s="34" t="str">
        <f t="shared" si="39"/>
        <v/>
      </c>
      <c r="AP980" s="57"/>
    </row>
    <row r="981" spans="2:42" ht="15" x14ac:dyDescent="0.25">
      <c r="B981" s="15">
        <v>979</v>
      </c>
      <c r="D981" s="17">
        <f t="shared" si="38"/>
        <v>0</v>
      </c>
      <c r="K981" s="28"/>
      <c r="L981" s="28"/>
      <c r="M981" s="28"/>
      <c r="N981" s="28"/>
      <c r="R981" s="34"/>
      <c r="X981" s="32"/>
      <c r="Y981" s="28"/>
      <c r="Z981" s="28"/>
      <c r="AA981" s="33"/>
      <c r="AB981" s="34"/>
      <c r="AC981" s="34" t="str">
        <f t="shared" si="39"/>
        <v/>
      </c>
      <c r="AP981" s="57"/>
    </row>
    <row r="982" spans="2:42" ht="15" x14ac:dyDescent="0.25">
      <c r="B982" s="15">
        <v>980</v>
      </c>
      <c r="D982" s="17">
        <f t="shared" si="38"/>
        <v>0</v>
      </c>
      <c r="K982" s="28"/>
      <c r="L982" s="28"/>
      <c r="M982" s="28"/>
      <c r="N982" s="28"/>
      <c r="R982" s="34"/>
      <c r="X982" s="32"/>
      <c r="Y982" s="28"/>
      <c r="Z982" s="28"/>
      <c r="AA982" s="33"/>
      <c r="AB982" s="34"/>
      <c r="AC982" s="34" t="str">
        <f t="shared" si="39"/>
        <v/>
      </c>
      <c r="AP982" s="57"/>
    </row>
    <row r="983" spans="2:42" ht="15" x14ac:dyDescent="0.25">
      <c r="B983" s="15">
        <v>981</v>
      </c>
      <c r="D983" s="17">
        <f t="shared" si="38"/>
        <v>0</v>
      </c>
      <c r="K983" s="28"/>
      <c r="L983" s="28"/>
      <c r="M983" s="28"/>
      <c r="N983" s="28"/>
      <c r="R983" s="34"/>
      <c r="X983" s="32"/>
      <c r="Y983" s="28"/>
      <c r="Z983" s="28"/>
      <c r="AA983" s="33"/>
      <c r="AB983" s="34"/>
      <c r="AC983" s="34" t="str">
        <f t="shared" si="39"/>
        <v/>
      </c>
      <c r="AP983" s="57"/>
    </row>
    <row r="984" spans="2:42" ht="15" x14ac:dyDescent="0.25">
      <c r="B984" s="15">
        <v>982</v>
      </c>
      <c r="D984" s="17">
        <f t="shared" si="38"/>
        <v>0</v>
      </c>
      <c r="K984" s="28"/>
      <c r="L984" s="28"/>
      <c r="M984" s="28"/>
      <c r="N984" s="28"/>
      <c r="R984" s="34"/>
      <c r="X984" s="32"/>
      <c r="Y984" s="28"/>
      <c r="Z984" s="28"/>
      <c r="AA984" s="33"/>
      <c r="AB984" s="34"/>
      <c r="AC984" s="34" t="str">
        <f t="shared" si="39"/>
        <v/>
      </c>
      <c r="AP984" s="57"/>
    </row>
    <row r="985" spans="2:42" ht="15" x14ac:dyDescent="0.25">
      <c r="B985" s="15">
        <v>983</v>
      </c>
      <c r="D985" s="17">
        <f t="shared" si="38"/>
        <v>0</v>
      </c>
      <c r="AA985" s="33"/>
      <c r="AC985" s="34" t="str">
        <f t="shared" si="39"/>
        <v/>
      </c>
      <c r="AP985" s="57"/>
    </row>
    <row r="986" spans="2:42" ht="15" x14ac:dyDescent="0.25">
      <c r="B986" s="15">
        <v>984</v>
      </c>
      <c r="D986" s="17">
        <f t="shared" si="38"/>
        <v>0</v>
      </c>
      <c r="AA986" s="33"/>
      <c r="AC986" s="34" t="str">
        <f t="shared" si="39"/>
        <v/>
      </c>
      <c r="AP986" s="57"/>
    </row>
    <row r="987" spans="2:42" ht="15" x14ac:dyDescent="0.25">
      <c r="B987" s="15">
        <v>985</v>
      </c>
      <c r="D987" s="17">
        <f t="shared" si="38"/>
        <v>0</v>
      </c>
      <c r="AA987" s="33"/>
      <c r="AC987" s="34" t="str">
        <f t="shared" si="39"/>
        <v/>
      </c>
      <c r="AP987" s="57"/>
    </row>
    <row r="988" spans="2:42" ht="15" x14ac:dyDescent="0.25">
      <c r="B988" s="15">
        <v>986</v>
      </c>
      <c r="D988" s="17">
        <f t="shared" si="38"/>
        <v>0</v>
      </c>
      <c r="AA988" s="33"/>
      <c r="AC988" s="34" t="str">
        <f t="shared" si="39"/>
        <v/>
      </c>
      <c r="AP988" s="57"/>
    </row>
    <row r="989" spans="2:42" ht="15" x14ac:dyDescent="0.25">
      <c r="B989" s="15">
        <v>987</v>
      </c>
      <c r="D989" s="17">
        <f t="shared" si="38"/>
        <v>0</v>
      </c>
      <c r="AA989" s="33"/>
      <c r="AC989" s="34" t="str">
        <f t="shared" si="39"/>
        <v/>
      </c>
      <c r="AP989" s="57"/>
    </row>
    <row r="990" spans="2:42" ht="15" x14ac:dyDescent="0.25">
      <c r="B990" s="15">
        <v>988</v>
      </c>
      <c r="D990" s="17">
        <f t="shared" si="38"/>
        <v>0</v>
      </c>
      <c r="AA990" s="33"/>
      <c r="AC990" s="34" t="str">
        <f t="shared" si="39"/>
        <v/>
      </c>
      <c r="AP990" s="57"/>
    </row>
    <row r="991" spans="2:42" ht="15" x14ac:dyDescent="0.25">
      <c r="B991" s="15">
        <v>989</v>
      </c>
      <c r="D991" s="17">
        <f t="shared" si="38"/>
        <v>0</v>
      </c>
      <c r="AA991" s="33"/>
      <c r="AC991" s="34" t="str">
        <f t="shared" si="39"/>
        <v/>
      </c>
      <c r="AP991" s="57"/>
    </row>
    <row r="992" spans="2:42" ht="15" x14ac:dyDescent="0.25">
      <c r="B992" s="15">
        <v>990</v>
      </c>
      <c r="D992" s="17">
        <f t="shared" si="38"/>
        <v>0</v>
      </c>
      <c r="AA992" s="33"/>
      <c r="AC992" s="34" t="str">
        <f t="shared" si="39"/>
        <v/>
      </c>
      <c r="AP992" s="57"/>
    </row>
    <row r="993" spans="2:42" ht="15" x14ac:dyDescent="0.25">
      <c r="B993" s="15">
        <v>991</v>
      </c>
      <c r="D993" s="17">
        <f t="shared" si="38"/>
        <v>0</v>
      </c>
      <c r="AA993" s="33"/>
      <c r="AC993" s="34" t="str">
        <f t="shared" si="39"/>
        <v/>
      </c>
      <c r="AP993" s="57"/>
    </row>
    <row r="994" spans="2:42" ht="15" x14ac:dyDescent="0.25">
      <c r="B994" s="15">
        <v>992</v>
      </c>
      <c r="D994" s="17">
        <f t="shared" si="38"/>
        <v>0</v>
      </c>
      <c r="AA994" s="33"/>
      <c r="AC994" s="34" t="str">
        <f t="shared" si="39"/>
        <v/>
      </c>
      <c r="AP994" s="57"/>
    </row>
    <row r="995" spans="2:42" ht="15" x14ac:dyDescent="0.25">
      <c r="B995" s="15">
        <v>993</v>
      </c>
      <c r="D995" s="17">
        <f t="shared" si="38"/>
        <v>0</v>
      </c>
      <c r="AA995" s="33"/>
      <c r="AC995" s="34" t="str">
        <f t="shared" si="39"/>
        <v/>
      </c>
      <c r="AP995" s="57"/>
    </row>
    <row r="996" spans="2:42" ht="15" x14ac:dyDescent="0.25">
      <c r="B996" s="15">
        <v>994</v>
      </c>
      <c r="D996" s="17">
        <f t="shared" si="38"/>
        <v>0</v>
      </c>
      <c r="K996" s="28"/>
      <c r="L996" s="28"/>
      <c r="M996" s="28"/>
      <c r="N996" s="28"/>
      <c r="R996" s="34"/>
      <c r="X996" s="32"/>
      <c r="Y996" s="28"/>
      <c r="Z996" s="28"/>
      <c r="AA996" s="33"/>
      <c r="AB996" s="34"/>
      <c r="AC996" s="34" t="str">
        <f t="shared" si="39"/>
        <v/>
      </c>
      <c r="AP996" s="57"/>
    </row>
    <row r="997" spans="2:42" ht="15" x14ac:dyDescent="0.25">
      <c r="B997" s="15">
        <v>995</v>
      </c>
      <c r="D997" s="17">
        <f t="shared" si="38"/>
        <v>0</v>
      </c>
      <c r="K997" s="28"/>
      <c r="L997" s="28"/>
      <c r="M997" s="28"/>
      <c r="N997" s="28"/>
      <c r="R997" s="34"/>
      <c r="X997" s="32"/>
      <c r="Y997" s="28"/>
      <c r="Z997" s="28"/>
      <c r="AA997" s="33"/>
      <c r="AB997" s="34"/>
      <c r="AC997" s="34" t="str">
        <f t="shared" si="39"/>
        <v/>
      </c>
      <c r="AP997" s="57"/>
    </row>
    <row r="998" spans="2:42" ht="15" x14ac:dyDescent="0.25">
      <c r="B998" s="15">
        <v>996</v>
      </c>
      <c r="D998" s="17">
        <f t="shared" si="38"/>
        <v>0</v>
      </c>
      <c r="K998" s="28"/>
      <c r="L998" s="28"/>
      <c r="M998" s="28"/>
      <c r="N998" s="28"/>
      <c r="R998" s="34"/>
      <c r="X998" s="32"/>
      <c r="Y998" s="28"/>
      <c r="Z998" s="28"/>
      <c r="AA998" s="33"/>
      <c r="AB998" s="34"/>
      <c r="AC998" s="34" t="str">
        <f t="shared" si="39"/>
        <v/>
      </c>
      <c r="AP998" s="57"/>
    </row>
    <row r="999" spans="2:42" ht="15" x14ac:dyDescent="0.25">
      <c r="B999" s="15">
        <v>997</v>
      </c>
      <c r="D999" s="17">
        <f t="shared" si="38"/>
        <v>0</v>
      </c>
      <c r="K999" s="28"/>
      <c r="L999" s="28"/>
      <c r="M999" s="28"/>
      <c r="N999" s="28"/>
      <c r="R999" s="34"/>
      <c r="X999" s="32"/>
      <c r="Y999" s="28"/>
      <c r="Z999" s="28"/>
      <c r="AA999" s="33"/>
      <c r="AB999" s="34"/>
      <c r="AC999" s="34" t="str">
        <f t="shared" si="39"/>
        <v/>
      </c>
      <c r="AP999" s="57"/>
    </row>
    <row r="1000" spans="2:42" ht="15" x14ac:dyDescent="0.25">
      <c r="B1000" s="15">
        <v>998</v>
      </c>
      <c r="D1000" s="17">
        <f t="shared" si="38"/>
        <v>0</v>
      </c>
      <c r="AA1000" s="33"/>
      <c r="AC1000" s="34" t="str">
        <f t="shared" si="39"/>
        <v/>
      </c>
      <c r="AD1000" s="66"/>
      <c r="AE1000" s="67"/>
      <c r="AF1000" s="67"/>
      <c r="AP1000" s="57"/>
    </row>
    <row r="1001" spans="2:42" ht="15" x14ac:dyDescent="0.25">
      <c r="B1001" s="15">
        <v>999</v>
      </c>
      <c r="D1001" s="17">
        <f t="shared" si="38"/>
        <v>0</v>
      </c>
      <c r="AA1001" s="33"/>
      <c r="AC1001" s="34" t="str">
        <f t="shared" si="39"/>
        <v/>
      </c>
      <c r="AD1001" s="66"/>
      <c r="AE1001" s="67"/>
      <c r="AF1001" s="67"/>
      <c r="AP1001" s="57"/>
    </row>
    <row r="1002" spans="2:42" ht="15" x14ac:dyDescent="0.25">
      <c r="B1002" s="15">
        <v>1000</v>
      </c>
      <c r="D1002" s="17">
        <f t="shared" si="38"/>
        <v>0</v>
      </c>
      <c r="AA1002" s="33"/>
      <c r="AC1002" s="34" t="str">
        <f t="shared" si="39"/>
        <v/>
      </c>
      <c r="AD1002" s="66"/>
      <c r="AE1002" s="67"/>
      <c r="AF1002" s="67"/>
      <c r="AP1002" s="57"/>
    </row>
    <row r="1003" spans="2:42" ht="15" x14ac:dyDescent="0.25">
      <c r="B1003" s="15">
        <v>1001</v>
      </c>
      <c r="D1003" s="17">
        <f t="shared" si="38"/>
        <v>0</v>
      </c>
      <c r="AA1003" s="33"/>
      <c r="AC1003" s="34" t="str">
        <f t="shared" si="39"/>
        <v/>
      </c>
      <c r="AD1003" s="66"/>
      <c r="AE1003" s="67"/>
      <c r="AF1003" s="67"/>
      <c r="AP1003" s="57"/>
    </row>
    <row r="1004" spans="2:42" ht="15" x14ac:dyDescent="0.25">
      <c r="B1004" s="15">
        <v>1002</v>
      </c>
      <c r="D1004" s="17">
        <f t="shared" si="38"/>
        <v>0</v>
      </c>
      <c r="AA1004" s="33"/>
      <c r="AC1004" s="34" t="str">
        <f t="shared" si="39"/>
        <v/>
      </c>
      <c r="AD1004" s="66"/>
      <c r="AE1004" s="67"/>
      <c r="AF1004" s="67"/>
      <c r="AP1004" s="57"/>
    </row>
    <row r="1005" spans="2:42" ht="15" x14ac:dyDescent="0.25">
      <c r="B1005" s="15">
        <v>1003</v>
      </c>
      <c r="D1005" s="17">
        <f t="shared" si="38"/>
        <v>0</v>
      </c>
      <c r="AA1005" s="33"/>
      <c r="AC1005" s="34" t="str">
        <f t="shared" si="39"/>
        <v/>
      </c>
      <c r="AD1005" s="66"/>
      <c r="AE1005" s="67"/>
      <c r="AF1005" s="67"/>
      <c r="AP1005" s="57"/>
    </row>
    <row r="1006" spans="2:42" ht="15" x14ac:dyDescent="0.25">
      <c r="B1006" s="15">
        <v>1004</v>
      </c>
      <c r="D1006" s="17">
        <f t="shared" si="38"/>
        <v>0</v>
      </c>
      <c r="AA1006" s="33"/>
      <c r="AC1006" s="34" t="str">
        <f t="shared" si="39"/>
        <v/>
      </c>
      <c r="AD1006" s="66"/>
      <c r="AE1006" s="67"/>
      <c r="AF1006" s="67"/>
      <c r="AP1006" s="57"/>
    </row>
    <row r="1007" spans="2:42" ht="15" x14ac:dyDescent="0.25">
      <c r="B1007" s="15">
        <v>1005</v>
      </c>
      <c r="D1007" s="17">
        <f t="shared" si="38"/>
        <v>0</v>
      </c>
      <c r="AA1007" s="33"/>
      <c r="AC1007" s="34" t="str">
        <f t="shared" si="39"/>
        <v/>
      </c>
      <c r="AD1007" s="66"/>
      <c r="AE1007" s="67"/>
      <c r="AF1007" s="67"/>
      <c r="AP1007" s="57"/>
    </row>
    <row r="1008" spans="2:42" ht="15" x14ac:dyDescent="0.25">
      <c r="B1008" s="15">
        <v>1006</v>
      </c>
      <c r="D1008" s="17">
        <f t="shared" si="38"/>
        <v>0</v>
      </c>
      <c r="AA1008" s="33"/>
      <c r="AC1008" s="34" t="str">
        <f t="shared" si="39"/>
        <v/>
      </c>
      <c r="AD1008" s="66"/>
      <c r="AE1008" s="67"/>
      <c r="AF1008" s="67"/>
      <c r="AP1008" s="57"/>
    </row>
    <row r="1009" spans="2:42" ht="15" x14ac:dyDescent="0.25">
      <c r="B1009" s="15">
        <v>1007</v>
      </c>
      <c r="D1009" s="17">
        <f t="shared" ref="D1009:D1072" si="40">_xlfn.NUMBERVALUE(+LEFT(C1009,11))</f>
        <v>0</v>
      </c>
      <c r="AA1009" s="33"/>
      <c r="AC1009" s="34" t="str">
        <f t="shared" si="39"/>
        <v/>
      </c>
      <c r="AD1009" s="66"/>
      <c r="AE1009" s="67"/>
      <c r="AF1009" s="67"/>
      <c r="AP1009" s="57"/>
    </row>
    <row r="1010" spans="2:42" ht="15" x14ac:dyDescent="0.25">
      <c r="B1010" s="15">
        <v>1008</v>
      </c>
      <c r="D1010" s="17">
        <f t="shared" si="40"/>
        <v>0</v>
      </c>
      <c r="K1010" s="28"/>
      <c r="L1010" s="28"/>
      <c r="M1010" s="28"/>
      <c r="N1010" s="28"/>
      <c r="R1010" s="34"/>
      <c r="X1010" s="32"/>
      <c r="Y1010" s="28"/>
      <c r="Z1010" s="28"/>
      <c r="AA1010" s="33"/>
      <c r="AB1010" s="34"/>
      <c r="AC1010" s="34" t="str">
        <f t="shared" si="39"/>
        <v/>
      </c>
      <c r="AP1010" s="57"/>
    </row>
    <row r="1011" spans="2:42" ht="15" x14ac:dyDescent="0.25">
      <c r="B1011" s="15">
        <v>1009</v>
      </c>
      <c r="D1011" s="17">
        <f t="shared" si="40"/>
        <v>0</v>
      </c>
      <c r="AA1011" s="33"/>
      <c r="AC1011" s="34" t="str">
        <f t="shared" si="39"/>
        <v/>
      </c>
      <c r="AD1011" s="66"/>
      <c r="AE1011" s="67"/>
      <c r="AF1011" s="67"/>
      <c r="AP1011" s="57"/>
    </row>
    <row r="1012" spans="2:42" ht="15" x14ac:dyDescent="0.25">
      <c r="B1012" s="15">
        <v>1010</v>
      </c>
      <c r="D1012" s="17">
        <f t="shared" si="40"/>
        <v>0</v>
      </c>
      <c r="AA1012" s="33"/>
      <c r="AC1012" s="34" t="str">
        <f t="shared" si="39"/>
        <v/>
      </c>
      <c r="AD1012" s="66"/>
      <c r="AE1012" s="67"/>
      <c r="AF1012" s="67"/>
      <c r="AP1012" s="57"/>
    </row>
    <row r="1013" spans="2:42" ht="15" x14ac:dyDescent="0.25">
      <c r="B1013" s="15">
        <v>1011</v>
      </c>
      <c r="D1013" s="17">
        <f t="shared" si="40"/>
        <v>0</v>
      </c>
      <c r="AA1013" s="33"/>
      <c r="AC1013" s="34" t="str">
        <f t="shared" si="39"/>
        <v/>
      </c>
      <c r="AD1013" s="66"/>
      <c r="AE1013" s="67"/>
      <c r="AF1013" s="67"/>
      <c r="AP1013" s="57"/>
    </row>
    <row r="1014" spans="2:42" ht="15" x14ac:dyDescent="0.25">
      <c r="B1014" s="15">
        <v>1012</v>
      </c>
      <c r="D1014" s="17">
        <f t="shared" si="40"/>
        <v>0</v>
      </c>
      <c r="AA1014" s="33"/>
      <c r="AC1014" s="34" t="str">
        <f t="shared" si="39"/>
        <v/>
      </c>
      <c r="AD1014" s="66"/>
      <c r="AE1014" s="67"/>
      <c r="AF1014" s="67"/>
      <c r="AP1014" s="57"/>
    </row>
    <row r="1015" spans="2:42" ht="15" x14ac:dyDescent="0.25">
      <c r="B1015" s="15">
        <v>1013</v>
      </c>
      <c r="D1015" s="17">
        <f t="shared" si="40"/>
        <v>0</v>
      </c>
      <c r="AA1015" s="33"/>
      <c r="AC1015" s="34" t="str">
        <f t="shared" si="39"/>
        <v/>
      </c>
      <c r="AD1015" s="66"/>
      <c r="AE1015" s="67"/>
      <c r="AF1015" s="67"/>
      <c r="AP1015" s="57"/>
    </row>
    <row r="1016" spans="2:42" ht="15" x14ac:dyDescent="0.25">
      <c r="B1016" s="15">
        <v>1014</v>
      </c>
      <c r="D1016" s="17">
        <f t="shared" si="40"/>
        <v>0</v>
      </c>
      <c r="K1016" s="28"/>
      <c r="L1016" s="28"/>
      <c r="M1016" s="28"/>
      <c r="N1016" s="28"/>
      <c r="R1016" s="34"/>
      <c r="X1016" s="32"/>
      <c r="Y1016" s="28"/>
      <c r="Z1016" s="28"/>
      <c r="AA1016" s="33"/>
      <c r="AB1016" s="34"/>
      <c r="AC1016" s="34" t="str">
        <f t="shared" si="39"/>
        <v/>
      </c>
      <c r="AP1016" s="57"/>
    </row>
    <row r="1017" spans="2:42" ht="15" x14ac:dyDescent="0.25">
      <c r="B1017" s="15">
        <v>1015</v>
      </c>
      <c r="D1017" s="17">
        <f t="shared" si="40"/>
        <v>0</v>
      </c>
      <c r="AA1017" s="33"/>
      <c r="AC1017" s="34" t="str">
        <f t="shared" si="39"/>
        <v/>
      </c>
      <c r="AD1017" s="66"/>
      <c r="AE1017" s="67"/>
      <c r="AF1017" s="67"/>
      <c r="AP1017" s="57"/>
    </row>
    <row r="1018" spans="2:42" ht="15" x14ac:dyDescent="0.25">
      <c r="B1018" s="15">
        <v>1016</v>
      </c>
      <c r="D1018" s="17">
        <f t="shared" si="40"/>
        <v>0</v>
      </c>
      <c r="AA1018" s="33"/>
      <c r="AC1018" s="34" t="str">
        <f t="shared" si="39"/>
        <v/>
      </c>
      <c r="AD1018" s="66"/>
      <c r="AE1018" s="67"/>
      <c r="AF1018" s="67"/>
      <c r="AP1018" s="57"/>
    </row>
    <row r="1019" spans="2:42" ht="15" x14ac:dyDescent="0.25">
      <c r="B1019" s="15">
        <v>1017</v>
      </c>
      <c r="D1019" s="17">
        <f t="shared" si="40"/>
        <v>0</v>
      </c>
      <c r="AA1019" s="33"/>
      <c r="AC1019" s="34" t="str">
        <f t="shared" si="39"/>
        <v/>
      </c>
      <c r="AD1019" s="66"/>
      <c r="AE1019" s="67"/>
      <c r="AF1019" s="67"/>
      <c r="AP1019" s="57"/>
    </row>
    <row r="1020" spans="2:42" ht="15" x14ac:dyDescent="0.25">
      <c r="B1020" s="15">
        <v>1018</v>
      </c>
      <c r="D1020" s="17">
        <f t="shared" si="40"/>
        <v>0</v>
      </c>
      <c r="AA1020" s="33"/>
      <c r="AC1020" s="34" t="str">
        <f t="shared" si="39"/>
        <v/>
      </c>
      <c r="AD1020" s="66"/>
      <c r="AE1020" s="67"/>
      <c r="AF1020" s="67"/>
      <c r="AP1020" s="57"/>
    </row>
    <row r="1021" spans="2:42" ht="15" x14ac:dyDescent="0.25">
      <c r="B1021" s="15">
        <v>1019</v>
      </c>
      <c r="D1021" s="17">
        <f t="shared" si="40"/>
        <v>0</v>
      </c>
      <c r="AA1021" s="33"/>
      <c r="AC1021" s="34" t="str">
        <f t="shared" si="39"/>
        <v/>
      </c>
      <c r="AD1021" s="66"/>
      <c r="AE1021" s="67"/>
      <c r="AF1021" s="67"/>
      <c r="AP1021" s="57"/>
    </row>
    <row r="1022" spans="2:42" ht="15" x14ac:dyDescent="0.25">
      <c r="B1022" s="15">
        <v>1020</v>
      </c>
      <c r="D1022" s="17">
        <f t="shared" si="40"/>
        <v>0</v>
      </c>
      <c r="AA1022" s="33"/>
      <c r="AC1022" s="34" t="str">
        <f t="shared" si="39"/>
        <v/>
      </c>
      <c r="AD1022" s="66"/>
      <c r="AE1022" s="67"/>
      <c r="AF1022" s="67"/>
      <c r="AP1022" s="57"/>
    </row>
    <row r="1023" spans="2:42" ht="15" x14ac:dyDescent="0.25">
      <c r="B1023" s="15">
        <v>1021</v>
      </c>
      <c r="D1023" s="17">
        <f t="shared" si="40"/>
        <v>0</v>
      </c>
      <c r="AA1023" s="33"/>
      <c r="AC1023" s="34" t="str">
        <f t="shared" si="39"/>
        <v/>
      </c>
      <c r="AD1023" s="66"/>
      <c r="AE1023" s="67"/>
      <c r="AF1023" s="67"/>
      <c r="AP1023" s="57"/>
    </row>
    <row r="1024" spans="2:42" ht="15" x14ac:dyDescent="0.25">
      <c r="B1024" s="15">
        <v>1022</v>
      </c>
      <c r="D1024" s="17">
        <f t="shared" si="40"/>
        <v>0</v>
      </c>
      <c r="AA1024" s="33"/>
      <c r="AC1024" s="34" t="str">
        <f t="shared" si="39"/>
        <v/>
      </c>
      <c r="AD1024" s="66"/>
      <c r="AE1024" s="67"/>
      <c r="AF1024" s="67"/>
      <c r="AP1024" s="57"/>
    </row>
    <row r="1025" spans="2:42" ht="15" x14ac:dyDescent="0.25">
      <c r="B1025" s="15">
        <v>1023</v>
      </c>
      <c r="D1025" s="17">
        <f t="shared" si="40"/>
        <v>0</v>
      </c>
      <c r="AA1025" s="33"/>
      <c r="AC1025" s="34" t="str">
        <f t="shared" si="39"/>
        <v/>
      </c>
      <c r="AD1025" s="66"/>
      <c r="AE1025" s="67"/>
      <c r="AF1025" s="67"/>
      <c r="AP1025" s="57"/>
    </row>
    <row r="1026" spans="2:42" ht="15" x14ac:dyDescent="0.25">
      <c r="B1026" s="15">
        <v>1024</v>
      </c>
      <c r="D1026" s="17">
        <f t="shared" si="40"/>
        <v>0</v>
      </c>
      <c r="AA1026" s="33"/>
      <c r="AC1026" s="34" t="str">
        <f t="shared" si="39"/>
        <v/>
      </c>
      <c r="AD1026" s="66"/>
      <c r="AE1026" s="67"/>
      <c r="AF1026" s="67"/>
      <c r="AP1026" s="57"/>
    </row>
    <row r="1027" spans="2:42" ht="15" x14ac:dyDescent="0.25">
      <c r="B1027" s="15">
        <v>1025</v>
      </c>
      <c r="D1027" s="17">
        <f t="shared" si="40"/>
        <v>0</v>
      </c>
      <c r="AA1027" s="33"/>
      <c r="AC1027" s="34" t="str">
        <f t="shared" ref="AC1027:AC1090" si="41">+IF(AB1027="","",R1027-AB1027)</f>
        <v/>
      </c>
      <c r="AD1027" s="66"/>
      <c r="AE1027" s="67"/>
      <c r="AF1027" s="67"/>
      <c r="AP1027" s="57"/>
    </row>
    <row r="1028" spans="2:42" ht="15" x14ac:dyDescent="0.25">
      <c r="B1028" s="15">
        <v>1026</v>
      </c>
      <c r="D1028" s="17">
        <f t="shared" si="40"/>
        <v>0</v>
      </c>
      <c r="AA1028" s="33"/>
      <c r="AC1028" s="34" t="str">
        <f t="shared" si="41"/>
        <v/>
      </c>
      <c r="AD1028" s="66"/>
      <c r="AE1028" s="67"/>
      <c r="AF1028" s="67"/>
      <c r="AP1028" s="57"/>
    </row>
    <row r="1029" spans="2:42" ht="15" x14ac:dyDescent="0.25">
      <c r="B1029" s="15">
        <v>1027</v>
      </c>
      <c r="D1029" s="17">
        <f t="shared" si="40"/>
        <v>0</v>
      </c>
      <c r="AA1029" s="33"/>
      <c r="AC1029" s="34" t="str">
        <f t="shared" si="41"/>
        <v/>
      </c>
      <c r="AD1029" s="66"/>
      <c r="AE1029" s="67"/>
      <c r="AF1029" s="67"/>
      <c r="AP1029" s="57"/>
    </row>
    <row r="1030" spans="2:42" ht="15" x14ac:dyDescent="0.25">
      <c r="B1030" s="15">
        <v>1028</v>
      </c>
      <c r="D1030" s="17">
        <f t="shared" si="40"/>
        <v>0</v>
      </c>
      <c r="AA1030" s="33"/>
      <c r="AC1030" s="34" t="str">
        <f t="shared" si="41"/>
        <v/>
      </c>
      <c r="AD1030" s="66"/>
      <c r="AE1030" s="67"/>
      <c r="AF1030" s="67"/>
      <c r="AP1030" s="57"/>
    </row>
    <row r="1031" spans="2:42" ht="15" x14ac:dyDescent="0.25">
      <c r="B1031" s="15">
        <v>1029</v>
      </c>
      <c r="D1031" s="17">
        <f t="shared" si="40"/>
        <v>0</v>
      </c>
      <c r="AA1031" s="33"/>
      <c r="AC1031" s="34" t="str">
        <f t="shared" si="41"/>
        <v/>
      </c>
      <c r="AD1031" s="66"/>
      <c r="AE1031" s="67"/>
      <c r="AF1031" s="67"/>
      <c r="AP1031" s="57"/>
    </row>
    <row r="1032" spans="2:42" ht="15" x14ac:dyDescent="0.25">
      <c r="B1032" s="15">
        <v>1030</v>
      </c>
      <c r="D1032" s="17">
        <f t="shared" si="40"/>
        <v>0</v>
      </c>
      <c r="AA1032" s="33"/>
      <c r="AC1032" s="34" t="str">
        <f t="shared" si="41"/>
        <v/>
      </c>
      <c r="AP1032" s="57"/>
    </row>
    <row r="1033" spans="2:42" ht="15" x14ac:dyDescent="0.25">
      <c r="B1033" s="15">
        <v>1031</v>
      </c>
      <c r="D1033" s="17">
        <f t="shared" si="40"/>
        <v>0</v>
      </c>
      <c r="AA1033" s="33"/>
      <c r="AC1033" s="34" t="str">
        <f t="shared" si="41"/>
        <v/>
      </c>
      <c r="AP1033" s="57"/>
    </row>
    <row r="1034" spans="2:42" ht="15" x14ac:dyDescent="0.25">
      <c r="B1034" s="15">
        <v>1032</v>
      </c>
      <c r="D1034" s="17">
        <f t="shared" si="40"/>
        <v>0</v>
      </c>
      <c r="AA1034" s="33"/>
      <c r="AC1034" s="34" t="str">
        <f t="shared" si="41"/>
        <v/>
      </c>
      <c r="AP1034" s="57"/>
    </row>
    <row r="1035" spans="2:42" ht="15" x14ac:dyDescent="0.25">
      <c r="B1035" s="15">
        <v>1033</v>
      </c>
      <c r="D1035" s="17">
        <f t="shared" si="40"/>
        <v>0</v>
      </c>
      <c r="AA1035" s="33"/>
      <c r="AC1035" s="34" t="str">
        <f t="shared" si="41"/>
        <v/>
      </c>
      <c r="AP1035" s="57"/>
    </row>
    <row r="1036" spans="2:42" ht="15" x14ac:dyDescent="0.25">
      <c r="B1036" s="15">
        <v>1034</v>
      </c>
      <c r="D1036" s="17">
        <f t="shared" si="40"/>
        <v>0</v>
      </c>
      <c r="AA1036" s="33"/>
      <c r="AC1036" s="34" t="str">
        <f t="shared" si="41"/>
        <v/>
      </c>
      <c r="AD1036" s="66"/>
      <c r="AE1036" s="67"/>
      <c r="AF1036" s="67"/>
      <c r="AP1036" s="57"/>
    </row>
    <row r="1037" spans="2:42" ht="15" x14ac:dyDescent="0.25">
      <c r="B1037" s="15">
        <v>1035</v>
      </c>
      <c r="D1037" s="17">
        <f t="shared" si="40"/>
        <v>0</v>
      </c>
      <c r="AA1037" s="33"/>
      <c r="AC1037" s="34" t="str">
        <f t="shared" si="41"/>
        <v/>
      </c>
      <c r="AD1037" s="66"/>
      <c r="AE1037" s="67"/>
      <c r="AF1037" s="67"/>
      <c r="AP1037" s="57"/>
    </row>
    <row r="1038" spans="2:42" ht="15" x14ac:dyDescent="0.25">
      <c r="B1038" s="15">
        <v>1036</v>
      </c>
      <c r="D1038" s="17">
        <f t="shared" si="40"/>
        <v>0</v>
      </c>
      <c r="AA1038" s="33"/>
      <c r="AC1038" s="34" t="str">
        <f t="shared" si="41"/>
        <v/>
      </c>
      <c r="AP1038" s="57"/>
    </row>
    <row r="1039" spans="2:42" ht="15" x14ac:dyDescent="0.25">
      <c r="B1039" s="15">
        <v>1037</v>
      </c>
      <c r="D1039" s="17">
        <f t="shared" si="40"/>
        <v>0</v>
      </c>
      <c r="AA1039" s="33"/>
      <c r="AC1039" s="34" t="str">
        <f t="shared" si="41"/>
        <v/>
      </c>
      <c r="AP1039" s="57"/>
    </row>
    <row r="1040" spans="2:42" ht="15" x14ac:dyDescent="0.25">
      <c r="B1040" s="15">
        <v>1038</v>
      </c>
      <c r="D1040" s="17">
        <f t="shared" si="40"/>
        <v>0</v>
      </c>
      <c r="AA1040" s="33"/>
      <c r="AC1040" s="34" t="str">
        <f t="shared" si="41"/>
        <v/>
      </c>
      <c r="AP1040" s="57"/>
    </row>
    <row r="1041" spans="2:42" ht="15" x14ac:dyDescent="0.25">
      <c r="B1041" s="15">
        <v>1039</v>
      </c>
      <c r="D1041" s="17">
        <f t="shared" si="40"/>
        <v>0</v>
      </c>
      <c r="AA1041" s="33"/>
      <c r="AC1041" s="34" t="str">
        <f t="shared" si="41"/>
        <v/>
      </c>
      <c r="AP1041" s="57"/>
    </row>
    <row r="1042" spans="2:42" ht="15" x14ac:dyDescent="0.25">
      <c r="B1042" s="15">
        <v>1040</v>
      </c>
      <c r="D1042" s="17">
        <f t="shared" si="40"/>
        <v>0</v>
      </c>
      <c r="K1042" s="28"/>
      <c r="L1042" s="28"/>
      <c r="M1042" s="28"/>
      <c r="N1042" s="28"/>
      <c r="R1042" s="34"/>
      <c r="X1042" s="32"/>
      <c r="Y1042" s="28"/>
      <c r="Z1042" s="28"/>
      <c r="AA1042" s="33"/>
      <c r="AB1042" s="34"/>
      <c r="AC1042" s="34" t="str">
        <f t="shared" si="41"/>
        <v/>
      </c>
      <c r="AP1042" s="57"/>
    </row>
    <row r="1043" spans="2:42" ht="15" x14ac:dyDescent="0.25">
      <c r="B1043" s="15">
        <v>1041</v>
      </c>
      <c r="D1043" s="17">
        <f t="shared" si="40"/>
        <v>0</v>
      </c>
      <c r="K1043" s="28"/>
      <c r="L1043" s="28"/>
      <c r="M1043" s="28"/>
      <c r="N1043" s="28"/>
      <c r="R1043" s="34"/>
      <c r="X1043" s="32"/>
      <c r="Y1043" s="28"/>
      <c r="Z1043" s="28"/>
      <c r="AA1043" s="33"/>
      <c r="AB1043" s="34"/>
      <c r="AC1043" s="34" t="str">
        <f t="shared" si="41"/>
        <v/>
      </c>
      <c r="AP1043" s="57"/>
    </row>
    <row r="1044" spans="2:42" ht="15" x14ac:dyDescent="0.25">
      <c r="B1044" s="15">
        <v>1042</v>
      </c>
      <c r="D1044" s="17">
        <f t="shared" si="40"/>
        <v>0</v>
      </c>
      <c r="K1044" s="28"/>
      <c r="L1044" s="28"/>
      <c r="M1044" s="28"/>
      <c r="N1044" s="28"/>
      <c r="R1044" s="34"/>
      <c r="X1044" s="32"/>
      <c r="Y1044" s="28"/>
      <c r="Z1044" s="28"/>
      <c r="AA1044" s="33"/>
      <c r="AB1044" s="34"/>
      <c r="AC1044" s="34" t="str">
        <f t="shared" si="41"/>
        <v/>
      </c>
      <c r="AP1044" s="57"/>
    </row>
    <row r="1045" spans="2:42" ht="15" x14ac:dyDescent="0.25">
      <c r="B1045" s="15">
        <v>1043</v>
      </c>
      <c r="D1045" s="17">
        <f t="shared" si="40"/>
        <v>0</v>
      </c>
      <c r="K1045" s="28"/>
      <c r="L1045" s="28"/>
      <c r="M1045" s="28"/>
      <c r="N1045" s="28"/>
      <c r="R1045" s="34"/>
      <c r="X1045" s="32"/>
      <c r="Y1045" s="28"/>
      <c r="Z1045" s="28"/>
      <c r="AA1045" s="33"/>
      <c r="AB1045" s="34"/>
      <c r="AC1045" s="34" t="str">
        <f t="shared" si="41"/>
        <v/>
      </c>
      <c r="AP1045" s="57"/>
    </row>
    <row r="1046" spans="2:42" ht="15" x14ac:dyDescent="0.25">
      <c r="B1046" s="15">
        <v>1044</v>
      </c>
      <c r="D1046" s="17">
        <f t="shared" si="40"/>
        <v>0</v>
      </c>
      <c r="K1046" s="28"/>
      <c r="L1046" s="28"/>
      <c r="M1046" s="28"/>
      <c r="N1046" s="28"/>
      <c r="R1046" s="34"/>
      <c r="X1046" s="32"/>
      <c r="Y1046" s="28"/>
      <c r="Z1046" s="28"/>
      <c r="AA1046" s="33"/>
      <c r="AB1046" s="34"/>
      <c r="AC1046" s="34" t="str">
        <f t="shared" si="41"/>
        <v/>
      </c>
      <c r="AP1046" s="57"/>
    </row>
    <row r="1047" spans="2:42" ht="15" x14ac:dyDescent="0.25">
      <c r="B1047" s="15">
        <v>1045</v>
      </c>
      <c r="D1047" s="17">
        <f t="shared" si="40"/>
        <v>0</v>
      </c>
      <c r="K1047" s="28"/>
      <c r="L1047" s="28"/>
      <c r="M1047" s="28"/>
      <c r="N1047" s="28"/>
      <c r="R1047" s="34"/>
      <c r="X1047" s="32"/>
      <c r="Y1047" s="28"/>
      <c r="Z1047" s="28"/>
      <c r="AA1047" s="33"/>
      <c r="AB1047" s="34"/>
      <c r="AC1047" s="34" t="str">
        <f t="shared" si="41"/>
        <v/>
      </c>
      <c r="AP1047" s="57"/>
    </row>
    <row r="1048" spans="2:42" ht="15" x14ac:dyDescent="0.25">
      <c r="B1048" s="15">
        <v>1046</v>
      </c>
      <c r="D1048" s="17">
        <f t="shared" si="40"/>
        <v>0</v>
      </c>
      <c r="K1048" s="28"/>
      <c r="L1048" s="28"/>
      <c r="M1048" s="28"/>
      <c r="N1048" s="28"/>
      <c r="R1048" s="34"/>
      <c r="X1048" s="32"/>
      <c r="Y1048" s="28"/>
      <c r="Z1048" s="28"/>
      <c r="AA1048" s="33"/>
      <c r="AB1048" s="34"/>
      <c r="AC1048" s="34" t="str">
        <f t="shared" si="41"/>
        <v/>
      </c>
      <c r="AP1048" s="57"/>
    </row>
    <row r="1049" spans="2:42" ht="15" x14ac:dyDescent="0.25">
      <c r="B1049" s="15">
        <v>1047</v>
      </c>
      <c r="D1049" s="17">
        <f t="shared" si="40"/>
        <v>0</v>
      </c>
      <c r="K1049" s="28"/>
      <c r="L1049" s="28"/>
      <c r="M1049" s="28"/>
      <c r="N1049" s="28"/>
      <c r="R1049" s="34"/>
      <c r="X1049" s="32"/>
      <c r="Y1049" s="28"/>
      <c r="Z1049" s="28"/>
      <c r="AA1049" s="33"/>
      <c r="AB1049" s="34"/>
      <c r="AC1049" s="34" t="str">
        <f t="shared" si="41"/>
        <v/>
      </c>
      <c r="AP1049" s="57"/>
    </row>
    <row r="1050" spans="2:42" ht="15" x14ac:dyDescent="0.25">
      <c r="B1050" s="15">
        <v>1048</v>
      </c>
      <c r="D1050" s="17">
        <f t="shared" si="40"/>
        <v>0</v>
      </c>
      <c r="K1050" s="28"/>
      <c r="L1050" s="28"/>
      <c r="M1050" s="28"/>
      <c r="N1050" s="28"/>
      <c r="R1050" s="34"/>
      <c r="X1050" s="32"/>
      <c r="Y1050" s="28"/>
      <c r="Z1050" s="28"/>
      <c r="AA1050" s="33"/>
      <c r="AB1050" s="34"/>
      <c r="AC1050" s="34" t="str">
        <f t="shared" si="41"/>
        <v/>
      </c>
      <c r="AP1050" s="57"/>
    </row>
    <row r="1051" spans="2:42" ht="15" x14ac:dyDescent="0.25">
      <c r="B1051" s="15">
        <v>1049</v>
      </c>
      <c r="D1051" s="17">
        <f t="shared" si="40"/>
        <v>0</v>
      </c>
      <c r="K1051" s="28"/>
      <c r="L1051" s="28"/>
      <c r="M1051" s="28"/>
      <c r="N1051" s="28"/>
      <c r="R1051" s="34"/>
      <c r="X1051" s="32"/>
      <c r="Y1051" s="28"/>
      <c r="Z1051" s="28"/>
      <c r="AA1051" s="33"/>
      <c r="AB1051" s="34"/>
      <c r="AC1051" s="34" t="str">
        <f t="shared" si="41"/>
        <v/>
      </c>
      <c r="AP1051" s="57"/>
    </row>
    <row r="1052" spans="2:42" ht="15" x14ac:dyDescent="0.25">
      <c r="B1052" s="15">
        <v>1050</v>
      </c>
      <c r="D1052" s="17">
        <f t="shared" si="40"/>
        <v>0</v>
      </c>
      <c r="K1052" s="28"/>
      <c r="L1052" s="28"/>
      <c r="M1052" s="28"/>
      <c r="N1052" s="28"/>
      <c r="R1052" s="34"/>
      <c r="X1052" s="32"/>
      <c r="Y1052" s="28"/>
      <c r="Z1052" s="28"/>
      <c r="AA1052" s="33"/>
      <c r="AB1052" s="34"/>
      <c r="AC1052" s="34" t="str">
        <f t="shared" si="41"/>
        <v/>
      </c>
      <c r="AP1052" s="57"/>
    </row>
    <row r="1053" spans="2:42" ht="15" x14ac:dyDescent="0.25">
      <c r="B1053" s="15">
        <v>1051</v>
      </c>
      <c r="D1053" s="17">
        <f t="shared" si="40"/>
        <v>0</v>
      </c>
      <c r="K1053" s="28"/>
      <c r="L1053" s="28"/>
      <c r="M1053" s="28"/>
      <c r="N1053" s="28"/>
      <c r="R1053" s="34"/>
      <c r="X1053" s="32"/>
      <c r="Y1053" s="28"/>
      <c r="Z1053" s="28"/>
      <c r="AA1053" s="33"/>
      <c r="AB1053" s="34"/>
      <c r="AC1053" s="34" t="str">
        <f t="shared" si="41"/>
        <v/>
      </c>
      <c r="AP1053" s="57"/>
    </row>
    <row r="1054" spans="2:42" ht="15" x14ac:dyDescent="0.25">
      <c r="B1054" s="15">
        <v>1052</v>
      </c>
      <c r="D1054" s="17">
        <f t="shared" si="40"/>
        <v>0</v>
      </c>
      <c r="K1054" s="28"/>
      <c r="L1054" s="28"/>
      <c r="M1054" s="28"/>
      <c r="N1054" s="28"/>
      <c r="R1054" s="34"/>
      <c r="X1054" s="32"/>
      <c r="Y1054" s="28"/>
      <c r="Z1054" s="28"/>
      <c r="AA1054" s="33"/>
      <c r="AB1054" s="34"/>
      <c r="AC1054" s="34" t="str">
        <f t="shared" si="41"/>
        <v/>
      </c>
      <c r="AP1054" s="57"/>
    </row>
    <row r="1055" spans="2:42" ht="15" x14ac:dyDescent="0.25">
      <c r="B1055" s="15">
        <v>1053</v>
      </c>
      <c r="D1055" s="17">
        <f t="shared" si="40"/>
        <v>0</v>
      </c>
      <c r="K1055" s="28"/>
      <c r="L1055" s="28"/>
      <c r="M1055" s="28"/>
      <c r="N1055" s="28"/>
      <c r="R1055" s="34"/>
      <c r="X1055" s="32"/>
      <c r="Y1055" s="28"/>
      <c r="Z1055" s="28"/>
      <c r="AA1055" s="33"/>
      <c r="AB1055" s="34"/>
      <c r="AC1055" s="34" t="str">
        <f t="shared" si="41"/>
        <v/>
      </c>
      <c r="AP1055" s="57"/>
    </row>
    <row r="1056" spans="2:42" ht="15" x14ac:dyDescent="0.25">
      <c r="B1056" s="15">
        <v>1054</v>
      </c>
      <c r="D1056" s="17">
        <f t="shared" si="40"/>
        <v>0</v>
      </c>
      <c r="K1056" s="28"/>
      <c r="L1056" s="28"/>
      <c r="M1056" s="28"/>
      <c r="N1056" s="28"/>
      <c r="R1056" s="34"/>
      <c r="X1056" s="32"/>
      <c r="Y1056" s="28"/>
      <c r="Z1056" s="28"/>
      <c r="AA1056" s="33"/>
      <c r="AB1056" s="34"/>
      <c r="AC1056" s="34" t="str">
        <f t="shared" si="41"/>
        <v/>
      </c>
      <c r="AP1056" s="57"/>
    </row>
    <row r="1057" spans="2:42" ht="15" x14ac:dyDescent="0.25">
      <c r="B1057" s="15">
        <v>1055</v>
      </c>
      <c r="D1057" s="17">
        <f t="shared" si="40"/>
        <v>0</v>
      </c>
      <c r="K1057" s="28"/>
      <c r="L1057" s="28"/>
      <c r="M1057" s="28"/>
      <c r="N1057" s="28"/>
      <c r="R1057" s="34"/>
      <c r="X1057" s="32"/>
      <c r="Y1057" s="28"/>
      <c r="Z1057" s="28"/>
      <c r="AA1057" s="33"/>
      <c r="AB1057" s="34"/>
      <c r="AC1057" s="34" t="str">
        <f t="shared" si="41"/>
        <v/>
      </c>
      <c r="AP1057" s="57"/>
    </row>
    <row r="1058" spans="2:42" ht="15" x14ac:dyDescent="0.25">
      <c r="B1058" s="15">
        <v>1056</v>
      </c>
      <c r="D1058" s="17">
        <f t="shared" si="40"/>
        <v>0</v>
      </c>
      <c r="K1058" s="28"/>
      <c r="L1058" s="28"/>
      <c r="M1058" s="28"/>
      <c r="N1058" s="28"/>
      <c r="R1058" s="34"/>
      <c r="X1058" s="32"/>
      <c r="Y1058" s="28"/>
      <c r="Z1058" s="28"/>
      <c r="AA1058" s="33"/>
      <c r="AB1058" s="34"/>
      <c r="AC1058" s="34" t="str">
        <f t="shared" si="41"/>
        <v/>
      </c>
      <c r="AP1058" s="57"/>
    </row>
    <row r="1059" spans="2:42" ht="15" x14ac:dyDescent="0.25">
      <c r="B1059" s="15">
        <v>1057</v>
      </c>
      <c r="D1059" s="17">
        <f t="shared" si="40"/>
        <v>0</v>
      </c>
      <c r="K1059" s="28"/>
      <c r="L1059" s="28"/>
      <c r="M1059" s="28"/>
      <c r="N1059" s="28"/>
      <c r="R1059" s="34"/>
      <c r="X1059" s="32"/>
      <c r="Y1059" s="28"/>
      <c r="Z1059" s="28"/>
      <c r="AA1059" s="33"/>
      <c r="AB1059" s="34"/>
      <c r="AC1059" s="34" t="str">
        <f t="shared" si="41"/>
        <v/>
      </c>
      <c r="AP1059" s="57"/>
    </row>
    <row r="1060" spans="2:42" ht="15" x14ac:dyDescent="0.25">
      <c r="B1060" s="15">
        <v>1058</v>
      </c>
      <c r="D1060" s="17">
        <f t="shared" si="40"/>
        <v>0</v>
      </c>
      <c r="K1060" s="28"/>
      <c r="L1060" s="28"/>
      <c r="M1060" s="28"/>
      <c r="N1060" s="28"/>
      <c r="R1060" s="34"/>
      <c r="X1060" s="32"/>
      <c r="Y1060" s="28"/>
      <c r="Z1060" s="28"/>
      <c r="AA1060" s="33"/>
      <c r="AB1060" s="34"/>
      <c r="AC1060" s="34" t="str">
        <f t="shared" si="41"/>
        <v/>
      </c>
      <c r="AP1060" s="57"/>
    </row>
    <row r="1061" spans="2:42" ht="15" x14ac:dyDescent="0.25">
      <c r="B1061" s="15">
        <v>1059</v>
      </c>
      <c r="D1061" s="17">
        <f t="shared" si="40"/>
        <v>0</v>
      </c>
      <c r="K1061" s="28"/>
      <c r="L1061" s="28"/>
      <c r="M1061" s="28"/>
      <c r="N1061" s="28"/>
      <c r="R1061" s="34"/>
      <c r="X1061" s="32"/>
      <c r="Y1061" s="28"/>
      <c r="Z1061" s="28"/>
      <c r="AA1061" s="33"/>
      <c r="AB1061" s="34"/>
      <c r="AC1061" s="34" t="str">
        <f t="shared" si="41"/>
        <v/>
      </c>
      <c r="AP1061" s="57"/>
    </row>
    <row r="1062" spans="2:42" ht="15" x14ac:dyDescent="0.25">
      <c r="B1062" s="15">
        <v>1060</v>
      </c>
      <c r="D1062" s="17">
        <f t="shared" si="40"/>
        <v>0</v>
      </c>
      <c r="K1062" s="28"/>
      <c r="L1062" s="28"/>
      <c r="M1062" s="28"/>
      <c r="N1062" s="28"/>
      <c r="R1062" s="34"/>
      <c r="X1062" s="32"/>
      <c r="Y1062" s="28"/>
      <c r="Z1062" s="28"/>
      <c r="AA1062" s="33"/>
      <c r="AB1062" s="34"/>
      <c r="AC1062" s="34" t="str">
        <f t="shared" si="41"/>
        <v/>
      </c>
      <c r="AP1062" s="57"/>
    </row>
    <row r="1063" spans="2:42" ht="15" x14ac:dyDescent="0.25">
      <c r="B1063" s="15">
        <v>1061</v>
      </c>
      <c r="D1063" s="17">
        <f t="shared" si="40"/>
        <v>0</v>
      </c>
      <c r="K1063" s="28"/>
      <c r="L1063" s="28"/>
      <c r="M1063" s="28"/>
      <c r="N1063" s="28"/>
      <c r="R1063" s="34"/>
      <c r="X1063" s="32"/>
      <c r="Y1063" s="28"/>
      <c r="Z1063" s="28"/>
      <c r="AA1063" s="33"/>
      <c r="AB1063" s="34"/>
      <c r="AC1063" s="34" t="str">
        <f t="shared" si="41"/>
        <v/>
      </c>
      <c r="AP1063" s="57"/>
    </row>
    <row r="1064" spans="2:42" ht="15" x14ac:dyDescent="0.25">
      <c r="B1064" s="15">
        <v>1062</v>
      </c>
      <c r="D1064" s="17">
        <f t="shared" si="40"/>
        <v>0</v>
      </c>
      <c r="K1064" s="28"/>
      <c r="L1064" s="28"/>
      <c r="M1064" s="28"/>
      <c r="N1064" s="28"/>
      <c r="R1064" s="34"/>
      <c r="X1064" s="32"/>
      <c r="Y1064" s="28"/>
      <c r="Z1064" s="28"/>
      <c r="AA1064" s="33"/>
      <c r="AB1064" s="34"/>
      <c r="AC1064" s="34" t="str">
        <f t="shared" si="41"/>
        <v/>
      </c>
      <c r="AP1064" s="57"/>
    </row>
    <row r="1065" spans="2:42" ht="15" x14ac:dyDescent="0.25">
      <c r="B1065" s="15">
        <v>1063</v>
      </c>
      <c r="D1065" s="17">
        <f t="shared" si="40"/>
        <v>0</v>
      </c>
      <c r="K1065" s="28"/>
      <c r="L1065" s="28"/>
      <c r="M1065" s="28"/>
      <c r="N1065" s="28"/>
      <c r="R1065" s="34"/>
      <c r="X1065" s="32"/>
      <c r="Y1065" s="28"/>
      <c r="Z1065" s="28"/>
      <c r="AA1065" s="33"/>
      <c r="AB1065" s="34"/>
      <c r="AC1065" s="34" t="str">
        <f t="shared" si="41"/>
        <v/>
      </c>
      <c r="AP1065" s="57"/>
    </row>
    <row r="1066" spans="2:42" ht="15" x14ac:dyDescent="0.25">
      <c r="B1066" s="15">
        <v>1064</v>
      </c>
      <c r="D1066" s="17">
        <f t="shared" si="40"/>
        <v>0</v>
      </c>
      <c r="K1066" s="28"/>
      <c r="L1066" s="28"/>
      <c r="M1066" s="28"/>
      <c r="N1066" s="28"/>
      <c r="R1066" s="34"/>
      <c r="X1066" s="32"/>
      <c r="Y1066" s="28"/>
      <c r="Z1066" s="28"/>
      <c r="AA1066" s="33"/>
      <c r="AB1066" s="34"/>
      <c r="AC1066" s="34" t="str">
        <f t="shared" si="41"/>
        <v/>
      </c>
      <c r="AP1066" s="57"/>
    </row>
    <row r="1067" spans="2:42" ht="15" x14ac:dyDescent="0.25">
      <c r="B1067" s="15">
        <v>1065</v>
      </c>
      <c r="D1067" s="17">
        <f t="shared" si="40"/>
        <v>0</v>
      </c>
      <c r="K1067" s="28"/>
      <c r="L1067" s="28"/>
      <c r="M1067" s="28"/>
      <c r="N1067" s="28"/>
      <c r="R1067" s="34"/>
      <c r="X1067" s="32"/>
      <c r="Y1067" s="28"/>
      <c r="Z1067" s="28"/>
      <c r="AA1067" s="33"/>
      <c r="AB1067" s="34"/>
      <c r="AC1067" s="34" t="str">
        <f t="shared" si="41"/>
        <v/>
      </c>
      <c r="AP1067" s="57"/>
    </row>
    <row r="1068" spans="2:42" ht="15" x14ac:dyDescent="0.25">
      <c r="B1068" s="15">
        <v>1066</v>
      </c>
      <c r="D1068" s="17">
        <f t="shared" si="40"/>
        <v>0</v>
      </c>
      <c r="K1068" s="28"/>
      <c r="L1068" s="28"/>
      <c r="M1068" s="28"/>
      <c r="N1068" s="28"/>
      <c r="R1068" s="34"/>
      <c r="X1068" s="32"/>
      <c r="Y1068" s="28"/>
      <c r="Z1068" s="28"/>
      <c r="AA1068" s="33"/>
      <c r="AB1068" s="34"/>
      <c r="AC1068" s="34" t="str">
        <f t="shared" si="41"/>
        <v/>
      </c>
      <c r="AP1068" s="57"/>
    </row>
    <row r="1069" spans="2:42" ht="15" x14ac:dyDescent="0.25">
      <c r="B1069" s="15">
        <v>1067</v>
      </c>
      <c r="D1069" s="17">
        <f t="shared" si="40"/>
        <v>0</v>
      </c>
      <c r="K1069" s="28"/>
      <c r="L1069" s="28"/>
      <c r="M1069" s="28"/>
      <c r="N1069" s="28"/>
      <c r="R1069" s="34"/>
      <c r="X1069" s="32"/>
      <c r="Y1069" s="28"/>
      <c r="Z1069" s="28"/>
      <c r="AA1069" s="33"/>
      <c r="AB1069" s="34"/>
      <c r="AC1069" s="34" t="str">
        <f t="shared" si="41"/>
        <v/>
      </c>
      <c r="AP1069" s="57"/>
    </row>
    <row r="1070" spans="2:42" ht="15" x14ac:dyDescent="0.25">
      <c r="B1070" s="15">
        <v>1068</v>
      </c>
      <c r="D1070" s="17">
        <f t="shared" si="40"/>
        <v>0</v>
      </c>
      <c r="K1070" s="28"/>
      <c r="L1070" s="28"/>
      <c r="M1070" s="28"/>
      <c r="N1070" s="28"/>
      <c r="R1070" s="34"/>
      <c r="X1070" s="32"/>
      <c r="Y1070" s="28"/>
      <c r="Z1070" s="28"/>
      <c r="AA1070" s="33"/>
      <c r="AB1070" s="34"/>
      <c r="AC1070" s="34" t="str">
        <f t="shared" si="41"/>
        <v/>
      </c>
      <c r="AP1070" s="57"/>
    </row>
    <row r="1071" spans="2:42" ht="15" x14ac:dyDescent="0.25">
      <c r="B1071" s="15">
        <v>1069</v>
      </c>
      <c r="D1071" s="17">
        <f t="shared" si="40"/>
        <v>0</v>
      </c>
      <c r="K1071" s="28"/>
      <c r="L1071" s="28"/>
      <c r="M1071" s="28"/>
      <c r="N1071" s="28"/>
      <c r="R1071" s="34"/>
      <c r="X1071" s="32"/>
      <c r="Y1071" s="28"/>
      <c r="Z1071" s="28"/>
      <c r="AA1071" s="33"/>
      <c r="AB1071" s="34"/>
      <c r="AC1071" s="34" t="str">
        <f t="shared" si="41"/>
        <v/>
      </c>
      <c r="AP1071" s="57"/>
    </row>
    <row r="1072" spans="2:42" ht="15" x14ac:dyDescent="0.25">
      <c r="B1072" s="15">
        <v>1070</v>
      </c>
      <c r="D1072" s="17">
        <f t="shared" si="40"/>
        <v>0</v>
      </c>
      <c r="AA1072" s="33"/>
      <c r="AC1072" s="34" t="str">
        <f t="shared" si="41"/>
        <v/>
      </c>
      <c r="AP1072" s="57"/>
    </row>
    <row r="1073" spans="2:42" ht="15" x14ac:dyDescent="0.25">
      <c r="B1073" s="15">
        <v>1071</v>
      </c>
      <c r="D1073" s="17">
        <f t="shared" ref="D1073:D1136" si="42">_xlfn.NUMBERVALUE(+LEFT(C1073,11))</f>
        <v>0</v>
      </c>
      <c r="AA1073" s="33"/>
      <c r="AC1073" s="34" t="str">
        <f t="shared" si="41"/>
        <v/>
      </c>
      <c r="AP1073" s="57"/>
    </row>
    <row r="1074" spans="2:42" ht="15" x14ac:dyDescent="0.25">
      <c r="B1074" s="15">
        <v>1072</v>
      </c>
      <c r="D1074" s="17">
        <f t="shared" si="42"/>
        <v>0</v>
      </c>
      <c r="AA1074" s="33"/>
      <c r="AC1074" s="34" t="str">
        <f t="shared" si="41"/>
        <v/>
      </c>
      <c r="AP1074" s="57"/>
    </row>
    <row r="1075" spans="2:42" ht="15" x14ac:dyDescent="0.25">
      <c r="B1075" s="15">
        <v>1073</v>
      </c>
      <c r="D1075" s="17">
        <f t="shared" si="42"/>
        <v>0</v>
      </c>
      <c r="AA1075" s="33"/>
      <c r="AC1075" s="34" t="str">
        <f t="shared" si="41"/>
        <v/>
      </c>
      <c r="AP1075" s="57"/>
    </row>
    <row r="1076" spans="2:42" ht="15" x14ac:dyDescent="0.25">
      <c r="B1076" s="15">
        <v>1074</v>
      </c>
      <c r="D1076" s="17">
        <f t="shared" si="42"/>
        <v>0</v>
      </c>
      <c r="AA1076" s="33"/>
      <c r="AC1076" s="34" t="str">
        <f t="shared" si="41"/>
        <v/>
      </c>
      <c r="AP1076" s="57"/>
    </row>
    <row r="1077" spans="2:42" ht="15" x14ac:dyDescent="0.25">
      <c r="B1077" s="15">
        <v>1075</v>
      </c>
      <c r="D1077" s="17">
        <f t="shared" si="42"/>
        <v>0</v>
      </c>
      <c r="AA1077" s="33"/>
      <c r="AC1077" s="34" t="str">
        <f t="shared" si="41"/>
        <v/>
      </c>
      <c r="AP1077" s="57"/>
    </row>
    <row r="1078" spans="2:42" ht="15" x14ac:dyDescent="0.25">
      <c r="B1078" s="15">
        <v>1076</v>
      </c>
      <c r="D1078" s="17">
        <f t="shared" si="42"/>
        <v>0</v>
      </c>
      <c r="AA1078" s="33"/>
      <c r="AC1078" s="34" t="str">
        <f t="shared" si="41"/>
        <v/>
      </c>
      <c r="AP1078" s="57"/>
    </row>
    <row r="1079" spans="2:42" ht="15" x14ac:dyDescent="0.25">
      <c r="B1079" s="15">
        <v>1077</v>
      </c>
      <c r="D1079" s="17">
        <f t="shared" si="42"/>
        <v>0</v>
      </c>
      <c r="AA1079" s="33"/>
      <c r="AC1079" s="34" t="str">
        <f t="shared" si="41"/>
        <v/>
      </c>
      <c r="AP1079" s="57"/>
    </row>
    <row r="1080" spans="2:42" ht="15" x14ac:dyDescent="0.25">
      <c r="B1080" s="15">
        <v>1078</v>
      </c>
      <c r="D1080" s="17">
        <f t="shared" si="42"/>
        <v>0</v>
      </c>
      <c r="AA1080" s="33"/>
      <c r="AC1080" s="34" t="str">
        <f t="shared" si="41"/>
        <v/>
      </c>
      <c r="AP1080" s="57"/>
    </row>
    <row r="1081" spans="2:42" ht="15" x14ac:dyDescent="0.25">
      <c r="B1081" s="15">
        <v>1079</v>
      </c>
      <c r="D1081" s="17">
        <f t="shared" si="42"/>
        <v>0</v>
      </c>
      <c r="AA1081" s="33"/>
      <c r="AC1081" s="34" t="str">
        <f t="shared" si="41"/>
        <v/>
      </c>
      <c r="AP1081" s="57"/>
    </row>
    <row r="1082" spans="2:42" ht="15" x14ac:dyDescent="0.25">
      <c r="B1082" s="15">
        <v>1080</v>
      </c>
      <c r="D1082" s="17">
        <f t="shared" si="42"/>
        <v>0</v>
      </c>
      <c r="AA1082" s="33"/>
      <c r="AC1082" s="34" t="str">
        <f t="shared" si="41"/>
        <v/>
      </c>
      <c r="AP1082" s="57"/>
    </row>
    <row r="1083" spans="2:42" ht="15" x14ac:dyDescent="0.25">
      <c r="B1083" s="15">
        <v>1081</v>
      </c>
      <c r="D1083" s="17">
        <f t="shared" si="42"/>
        <v>0</v>
      </c>
      <c r="K1083" s="28"/>
      <c r="L1083" s="28"/>
      <c r="M1083" s="28"/>
      <c r="N1083" s="28"/>
      <c r="R1083" s="34"/>
      <c r="X1083" s="32"/>
      <c r="Y1083" s="28"/>
      <c r="Z1083" s="28"/>
      <c r="AA1083" s="33"/>
      <c r="AB1083" s="34"/>
      <c r="AC1083" s="34" t="str">
        <f t="shared" si="41"/>
        <v/>
      </c>
      <c r="AP1083" s="57"/>
    </row>
    <row r="1084" spans="2:42" ht="15" x14ac:dyDescent="0.25">
      <c r="B1084" s="15">
        <v>1082</v>
      </c>
      <c r="D1084" s="17">
        <f t="shared" si="42"/>
        <v>0</v>
      </c>
      <c r="K1084" s="28"/>
      <c r="L1084" s="28"/>
      <c r="M1084" s="28"/>
      <c r="N1084" s="28"/>
      <c r="R1084" s="34"/>
      <c r="X1084" s="32"/>
      <c r="Y1084" s="28"/>
      <c r="Z1084" s="28"/>
      <c r="AA1084" s="33"/>
      <c r="AB1084" s="34"/>
      <c r="AC1084" s="34" t="str">
        <f t="shared" si="41"/>
        <v/>
      </c>
      <c r="AP1084" s="57"/>
    </row>
    <row r="1085" spans="2:42" ht="15" x14ac:dyDescent="0.25">
      <c r="B1085" s="15">
        <v>1083</v>
      </c>
      <c r="D1085" s="17">
        <f t="shared" si="42"/>
        <v>0</v>
      </c>
      <c r="K1085" s="28"/>
      <c r="L1085" s="28"/>
      <c r="M1085" s="28"/>
      <c r="N1085" s="28"/>
      <c r="R1085" s="34"/>
      <c r="X1085" s="32"/>
      <c r="Y1085" s="28"/>
      <c r="Z1085" s="28"/>
      <c r="AA1085" s="33"/>
      <c r="AB1085" s="34"/>
      <c r="AC1085" s="34" t="str">
        <f t="shared" si="41"/>
        <v/>
      </c>
      <c r="AP1085" s="57"/>
    </row>
    <row r="1086" spans="2:42" ht="15" x14ac:dyDescent="0.25">
      <c r="B1086" s="15">
        <v>1084</v>
      </c>
      <c r="D1086" s="17">
        <f t="shared" si="42"/>
        <v>0</v>
      </c>
      <c r="K1086" s="28"/>
      <c r="L1086" s="28"/>
      <c r="M1086" s="28"/>
      <c r="N1086" s="28"/>
      <c r="R1086" s="34"/>
      <c r="X1086" s="32"/>
      <c r="Y1086" s="28"/>
      <c r="Z1086" s="28"/>
      <c r="AA1086" s="33"/>
      <c r="AB1086" s="34"/>
      <c r="AC1086" s="34" t="str">
        <f t="shared" si="41"/>
        <v/>
      </c>
      <c r="AP1086" s="57"/>
    </row>
    <row r="1087" spans="2:42" ht="15" x14ac:dyDescent="0.25">
      <c r="B1087" s="15">
        <v>1085</v>
      </c>
      <c r="D1087" s="17">
        <f t="shared" si="42"/>
        <v>0</v>
      </c>
      <c r="K1087" s="28"/>
      <c r="L1087" s="28"/>
      <c r="M1087" s="28"/>
      <c r="N1087" s="28"/>
      <c r="R1087" s="34"/>
      <c r="X1087" s="32"/>
      <c r="Y1087" s="28"/>
      <c r="Z1087" s="28"/>
      <c r="AA1087" s="33"/>
      <c r="AB1087" s="34"/>
      <c r="AC1087" s="34" t="str">
        <f t="shared" si="41"/>
        <v/>
      </c>
      <c r="AP1087" s="57"/>
    </row>
    <row r="1088" spans="2:42" ht="15" x14ac:dyDescent="0.25">
      <c r="B1088" s="15">
        <v>1086</v>
      </c>
      <c r="D1088" s="17">
        <f t="shared" si="42"/>
        <v>0</v>
      </c>
      <c r="K1088" s="28"/>
      <c r="L1088" s="28"/>
      <c r="M1088" s="28"/>
      <c r="N1088" s="28"/>
      <c r="R1088" s="34"/>
      <c r="X1088" s="32"/>
      <c r="Y1088" s="28"/>
      <c r="Z1088" s="28"/>
      <c r="AA1088" s="33"/>
      <c r="AB1088" s="34"/>
      <c r="AC1088" s="34" t="str">
        <f t="shared" si="41"/>
        <v/>
      </c>
      <c r="AP1088" s="57"/>
    </row>
    <row r="1089" spans="2:42" ht="15" x14ac:dyDescent="0.25">
      <c r="B1089" s="15">
        <v>1087</v>
      </c>
      <c r="D1089" s="17">
        <f t="shared" si="42"/>
        <v>0</v>
      </c>
      <c r="K1089" s="28"/>
      <c r="L1089" s="28"/>
      <c r="M1089" s="28"/>
      <c r="N1089" s="28"/>
      <c r="R1089" s="34"/>
      <c r="X1089" s="32"/>
      <c r="Y1089" s="28"/>
      <c r="Z1089" s="28"/>
      <c r="AA1089" s="33"/>
      <c r="AB1089" s="34"/>
      <c r="AC1089" s="34" t="str">
        <f t="shared" si="41"/>
        <v/>
      </c>
      <c r="AP1089" s="57"/>
    </row>
    <row r="1090" spans="2:42" ht="15" x14ac:dyDescent="0.25">
      <c r="B1090" s="15">
        <v>1088</v>
      </c>
      <c r="D1090" s="17">
        <f t="shared" si="42"/>
        <v>0</v>
      </c>
      <c r="K1090" s="28"/>
      <c r="L1090" s="28"/>
      <c r="M1090" s="28"/>
      <c r="N1090" s="28"/>
      <c r="R1090" s="34"/>
      <c r="X1090" s="32"/>
      <c r="Y1090" s="28"/>
      <c r="Z1090" s="28"/>
      <c r="AA1090" s="33"/>
      <c r="AB1090" s="34"/>
      <c r="AC1090" s="34" t="str">
        <f t="shared" si="41"/>
        <v/>
      </c>
      <c r="AP1090" s="57"/>
    </row>
    <row r="1091" spans="2:42" ht="15" x14ac:dyDescent="0.25">
      <c r="B1091" s="15">
        <v>1089</v>
      </c>
      <c r="D1091" s="17">
        <f t="shared" si="42"/>
        <v>0</v>
      </c>
      <c r="K1091" s="28"/>
      <c r="L1091" s="28"/>
      <c r="M1091" s="28"/>
      <c r="N1091" s="28"/>
      <c r="R1091" s="34"/>
      <c r="X1091" s="32"/>
      <c r="Y1091" s="28"/>
      <c r="Z1091" s="28"/>
      <c r="AA1091" s="33"/>
      <c r="AB1091" s="34"/>
      <c r="AC1091" s="34" t="str">
        <f t="shared" ref="AC1091:AC1154" si="43">+IF(AB1091="","",R1091-AB1091)</f>
        <v/>
      </c>
      <c r="AP1091" s="57"/>
    </row>
    <row r="1092" spans="2:42" ht="15" x14ac:dyDescent="0.25">
      <c r="B1092" s="15">
        <v>1090</v>
      </c>
      <c r="D1092" s="17">
        <f t="shared" si="42"/>
        <v>0</v>
      </c>
      <c r="K1092" s="28"/>
      <c r="L1092" s="28"/>
      <c r="M1092" s="28"/>
      <c r="N1092" s="28"/>
      <c r="R1092" s="34"/>
      <c r="X1092" s="32"/>
      <c r="Y1092" s="28"/>
      <c r="Z1092" s="28"/>
      <c r="AA1092" s="33"/>
      <c r="AB1092" s="34"/>
      <c r="AC1092" s="34" t="str">
        <f t="shared" si="43"/>
        <v/>
      </c>
      <c r="AP1092" s="57"/>
    </row>
    <row r="1093" spans="2:42" ht="15" x14ac:dyDescent="0.25">
      <c r="B1093" s="15">
        <v>1091</v>
      </c>
      <c r="D1093" s="17">
        <f t="shared" si="42"/>
        <v>0</v>
      </c>
      <c r="K1093" s="28"/>
      <c r="L1093" s="28"/>
      <c r="M1093" s="28"/>
      <c r="N1093" s="28"/>
      <c r="R1093" s="34"/>
      <c r="X1093" s="32"/>
      <c r="Y1093" s="28"/>
      <c r="Z1093" s="28"/>
      <c r="AA1093" s="33"/>
      <c r="AB1093" s="34"/>
      <c r="AC1093" s="34" t="str">
        <f t="shared" si="43"/>
        <v/>
      </c>
      <c r="AP1093" s="57"/>
    </row>
    <row r="1094" spans="2:42" ht="15" x14ac:dyDescent="0.25">
      <c r="B1094" s="15">
        <v>1092</v>
      </c>
      <c r="D1094" s="17">
        <f t="shared" si="42"/>
        <v>0</v>
      </c>
      <c r="K1094" s="28"/>
      <c r="L1094" s="28"/>
      <c r="M1094" s="28"/>
      <c r="N1094" s="28"/>
      <c r="R1094" s="34"/>
      <c r="X1094" s="32"/>
      <c r="Y1094" s="28"/>
      <c r="Z1094" s="28"/>
      <c r="AA1094" s="33"/>
      <c r="AB1094" s="34"/>
      <c r="AC1094" s="34" t="str">
        <f t="shared" si="43"/>
        <v/>
      </c>
      <c r="AP1094" s="57"/>
    </row>
    <row r="1095" spans="2:42" ht="15" x14ac:dyDescent="0.25">
      <c r="B1095" s="15">
        <v>1093</v>
      </c>
      <c r="D1095" s="17">
        <f t="shared" si="42"/>
        <v>0</v>
      </c>
      <c r="K1095" s="28"/>
      <c r="L1095" s="28"/>
      <c r="M1095" s="28"/>
      <c r="N1095" s="28"/>
      <c r="R1095" s="34"/>
      <c r="X1095" s="32"/>
      <c r="Y1095" s="28"/>
      <c r="Z1095" s="28"/>
      <c r="AA1095" s="33"/>
      <c r="AB1095" s="34"/>
      <c r="AC1095" s="34" t="str">
        <f t="shared" si="43"/>
        <v/>
      </c>
      <c r="AP1095" s="57"/>
    </row>
    <row r="1096" spans="2:42" ht="15" x14ac:dyDescent="0.25">
      <c r="B1096" s="15">
        <v>1094</v>
      </c>
      <c r="D1096" s="17">
        <f t="shared" si="42"/>
        <v>0</v>
      </c>
      <c r="K1096" s="28"/>
      <c r="L1096" s="28"/>
      <c r="M1096" s="28"/>
      <c r="N1096" s="28"/>
      <c r="R1096" s="34"/>
      <c r="X1096" s="32"/>
      <c r="Y1096" s="28"/>
      <c r="Z1096" s="28"/>
      <c r="AA1096" s="33"/>
      <c r="AB1096" s="34"/>
      <c r="AC1096" s="34" t="str">
        <f t="shared" si="43"/>
        <v/>
      </c>
      <c r="AP1096" s="57"/>
    </row>
    <row r="1097" spans="2:42" ht="15" x14ac:dyDescent="0.25">
      <c r="B1097" s="15">
        <v>1095</v>
      </c>
      <c r="D1097" s="17">
        <f t="shared" si="42"/>
        <v>0</v>
      </c>
      <c r="K1097" s="28"/>
      <c r="L1097" s="28"/>
      <c r="M1097" s="28"/>
      <c r="N1097" s="28"/>
      <c r="R1097" s="34"/>
      <c r="X1097" s="32"/>
      <c r="Y1097" s="28"/>
      <c r="Z1097" s="28"/>
      <c r="AA1097" s="33"/>
      <c r="AB1097" s="34"/>
      <c r="AC1097" s="34" t="str">
        <f t="shared" si="43"/>
        <v/>
      </c>
      <c r="AP1097" s="57"/>
    </row>
    <row r="1098" spans="2:42" ht="15" x14ac:dyDescent="0.25">
      <c r="B1098" s="15">
        <v>1096</v>
      </c>
      <c r="D1098" s="17">
        <f t="shared" si="42"/>
        <v>0</v>
      </c>
      <c r="K1098" s="28"/>
      <c r="L1098" s="28"/>
      <c r="M1098" s="28"/>
      <c r="N1098" s="28"/>
      <c r="R1098" s="34"/>
      <c r="X1098" s="32"/>
      <c r="Y1098" s="28"/>
      <c r="Z1098" s="28"/>
      <c r="AA1098" s="33"/>
      <c r="AB1098" s="34"/>
      <c r="AC1098" s="34" t="str">
        <f t="shared" si="43"/>
        <v/>
      </c>
      <c r="AP1098" s="57"/>
    </row>
    <row r="1099" spans="2:42" ht="15" x14ac:dyDescent="0.25">
      <c r="B1099" s="15">
        <v>1097</v>
      </c>
      <c r="D1099" s="17">
        <f t="shared" si="42"/>
        <v>0</v>
      </c>
      <c r="K1099" s="28"/>
      <c r="L1099" s="28"/>
      <c r="M1099" s="28"/>
      <c r="N1099" s="28"/>
      <c r="R1099" s="34"/>
      <c r="X1099" s="32"/>
      <c r="Y1099" s="28"/>
      <c r="Z1099" s="28"/>
      <c r="AA1099" s="33"/>
      <c r="AB1099" s="34"/>
      <c r="AC1099" s="34" t="str">
        <f t="shared" si="43"/>
        <v/>
      </c>
      <c r="AP1099" s="57"/>
    </row>
    <row r="1100" spans="2:42" ht="15" x14ac:dyDescent="0.25">
      <c r="B1100" s="15">
        <v>1098</v>
      </c>
      <c r="D1100" s="17">
        <f t="shared" si="42"/>
        <v>0</v>
      </c>
      <c r="K1100" s="28"/>
      <c r="L1100" s="28"/>
      <c r="M1100" s="28"/>
      <c r="N1100" s="28"/>
      <c r="R1100" s="34"/>
      <c r="X1100" s="32"/>
      <c r="Y1100" s="28"/>
      <c r="Z1100" s="28"/>
      <c r="AA1100" s="33"/>
      <c r="AB1100" s="34"/>
      <c r="AC1100" s="34" t="str">
        <f t="shared" si="43"/>
        <v/>
      </c>
      <c r="AP1100" s="57"/>
    </row>
    <row r="1101" spans="2:42" ht="15" x14ac:dyDescent="0.25">
      <c r="B1101" s="15">
        <v>1099</v>
      </c>
      <c r="D1101" s="17">
        <f t="shared" si="42"/>
        <v>0</v>
      </c>
      <c r="K1101" s="28"/>
      <c r="L1101" s="28"/>
      <c r="M1101" s="28"/>
      <c r="N1101" s="28"/>
      <c r="R1101" s="34"/>
      <c r="X1101" s="32"/>
      <c r="Y1101" s="28"/>
      <c r="Z1101" s="28"/>
      <c r="AA1101" s="33"/>
      <c r="AB1101" s="34"/>
      <c r="AC1101" s="34" t="str">
        <f t="shared" si="43"/>
        <v/>
      </c>
      <c r="AP1101" s="57"/>
    </row>
    <row r="1102" spans="2:42" ht="15" x14ac:dyDescent="0.25">
      <c r="B1102" s="15">
        <v>1100</v>
      </c>
      <c r="D1102" s="17">
        <f t="shared" si="42"/>
        <v>0</v>
      </c>
      <c r="K1102" s="28"/>
      <c r="L1102" s="28"/>
      <c r="M1102" s="28"/>
      <c r="N1102" s="28"/>
      <c r="R1102" s="34"/>
      <c r="X1102" s="32"/>
      <c r="Y1102" s="28"/>
      <c r="Z1102" s="28"/>
      <c r="AA1102" s="33"/>
      <c r="AB1102" s="34"/>
      <c r="AC1102" s="34" t="str">
        <f t="shared" si="43"/>
        <v/>
      </c>
      <c r="AP1102" s="57"/>
    </row>
    <row r="1103" spans="2:42" ht="15" x14ac:dyDescent="0.25">
      <c r="B1103" s="15">
        <v>1101</v>
      </c>
      <c r="D1103" s="17">
        <f t="shared" si="42"/>
        <v>0</v>
      </c>
      <c r="K1103" s="28"/>
      <c r="L1103" s="28"/>
      <c r="M1103" s="28"/>
      <c r="N1103" s="28"/>
      <c r="R1103" s="34"/>
      <c r="X1103" s="32"/>
      <c r="Y1103" s="28"/>
      <c r="Z1103" s="28"/>
      <c r="AA1103" s="33"/>
      <c r="AB1103" s="34"/>
      <c r="AC1103" s="34" t="str">
        <f t="shared" si="43"/>
        <v/>
      </c>
      <c r="AP1103" s="57"/>
    </row>
    <row r="1104" spans="2:42" ht="15" x14ac:dyDescent="0.25">
      <c r="B1104" s="15">
        <v>1102</v>
      </c>
      <c r="D1104" s="17">
        <f t="shared" si="42"/>
        <v>0</v>
      </c>
      <c r="K1104" s="28"/>
      <c r="L1104" s="28"/>
      <c r="M1104" s="28"/>
      <c r="N1104" s="28"/>
      <c r="R1104" s="34"/>
      <c r="X1104" s="32"/>
      <c r="Y1104" s="28"/>
      <c r="Z1104" s="28"/>
      <c r="AA1104" s="33"/>
      <c r="AB1104" s="34"/>
      <c r="AC1104" s="34" t="str">
        <f t="shared" si="43"/>
        <v/>
      </c>
      <c r="AP1104" s="57"/>
    </row>
    <row r="1105" spans="2:42" ht="15" x14ac:dyDescent="0.25">
      <c r="B1105" s="15">
        <v>1103</v>
      </c>
      <c r="D1105" s="17">
        <f t="shared" si="42"/>
        <v>0</v>
      </c>
      <c r="K1105" s="28"/>
      <c r="L1105" s="28"/>
      <c r="M1105" s="28"/>
      <c r="N1105" s="28"/>
      <c r="R1105" s="34"/>
      <c r="X1105" s="32"/>
      <c r="Y1105" s="28"/>
      <c r="Z1105" s="28"/>
      <c r="AA1105" s="33"/>
      <c r="AB1105" s="34"/>
      <c r="AC1105" s="34" t="str">
        <f t="shared" si="43"/>
        <v/>
      </c>
      <c r="AP1105" s="57"/>
    </row>
    <row r="1106" spans="2:42" ht="15" x14ac:dyDescent="0.25">
      <c r="B1106" s="15">
        <v>1104</v>
      </c>
      <c r="D1106" s="17">
        <f t="shared" si="42"/>
        <v>0</v>
      </c>
      <c r="K1106" s="28"/>
      <c r="L1106" s="28"/>
      <c r="M1106" s="28"/>
      <c r="N1106" s="28"/>
      <c r="R1106" s="34"/>
      <c r="X1106" s="32"/>
      <c r="Y1106" s="28"/>
      <c r="Z1106" s="28"/>
      <c r="AA1106" s="33"/>
      <c r="AB1106" s="34"/>
      <c r="AC1106" s="34" t="str">
        <f t="shared" si="43"/>
        <v/>
      </c>
      <c r="AP1106" s="57"/>
    </row>
    <row r="1107" spans="2:42" ht="15" x14ac:dyDescent="0.25">
      <c r="B1107" s="15">
        <v>1105</v>
      </c>
      <c r="D1107" s="17">
        <f t="shared" si="42"/>
        <v>0</v>
      </c>
      <c r="K1107" s="28"/>
      <c r="L1107" s="28"/>
      <c r="M1107" s="28"/>
      <c r="N1107" s="28"/>
      <c r="R1107" s="34"/>
      <c r="X1107" s="32"/>
      <c r="Y1107" s="28"/>
      <c r="Z1107" s="28"/>
      <c r="AA1107" s="33"/>
      <c r="AB1107" s="34"/>
      <c r="AC1107" s="34" t="str">
        <f t="shared" si="43"/>
        <v/>
      </c>
      <c r="AP1107" s="57"/>
    </row>
    <row r="1108" spans="2:42" ht="15" x14ac:dyDescent="0.25">
      <c r="B1108" s="15">
        <v>1106</v>
      </c>
      <c r="D1108" s="17">
        <f t="shared" si="42"/>
        <v>0</v>
      </c>
      <c r="K1108" s="28"/>
      <c r="L1108" s="28"/>
      <c r="M1108" s="28"/>
      <c r="N1108" s="28"/>
      <c r="R1108" s="34"/>
      <c r="X1108" s="32"/>
      <c r="Y1108" s="28"/>
      <c r="Z1108" s="28"/>
      <c r="AA1108" s="33"/>
      <c r="AB1108" s="34"/>
      <c r="AC1108" s="34" t="str">
        <f t="shared" si="43"/>
        <v/>
      </c>
      <c r="AP1108" s="57"/>
    </row>
    <row r="1109" spans="2:42" ht="15" x14ac:dyDescent="0.25">
      <c r="B1109" s="15">
        <v>1107</v>
      </c>
      <c r="D1109" s="17">
        <f t="shared" si="42"/>
        <v>0</v>
      </c>
      <c r="K1109" s="28"/>
      <c r="L1109" s="28"/>
      <c r="M1109" s="28"/>
      <c r="N1109" s="28"/>
      <c r="R1109" s="34"/>
      <c r="X1109" s="32"/>
      <c r="Y1109" s="28"/>
      <c r="Z1109" s="28"/>
      <c r="AA1109" s="33"/>
      <c r="AB1109" s="34"/>
      <c r="AC1109" s="34" t="str">
        <f t="shared" si="43"/>
        <v/>
      </c>
      <c r="AP1109" s="57"/>
    </row>
    <row r="1110" spans="2:42" ht="15" x14ac:dyDescent="0.25">
      <c r="B1110" s="15">
        <v>1108</v>
      </c>
      <c r="D1110" s="17">
        <f t="shared" si="42"/>
        <v>0</v>
      </c>
      <c r="K1110" s="28"/>
      <c r="L1110" s="28"/>
      <c r="M1110" s="28"/>
      <c r="N1110" s="28"/>
      <c r="R1110" s="34"/>
      <c r="X1110" s="32"/>
      <c r="Y1110" s="28"/>
      <c r="Z1110" s="28"/>
      <c r="AA1110" s="33"/>
      <c r="AB1110" s="34"/>
      <c r="AC1110" s="34" t="str">
        <f t="shared" si="43"/>
        <v/>
      </c>
      <c r="AP1110" s="57"/>
    </row>
    <row r="1111" spans="2:42" ht="15" x14ac:dyDescent="0.25">
      <c r="B1111" s="15">
        <v>1109</v>
      </c>
      <c r="D1111" s="17">
        <f t="shared" si="42"/>
        <v>0</v>
      </c>
      <c r="K1111" s="28"/>
      <c r="L1111" s="28"/>
      <c r="M1111" s="28"/>
      <c r="N1111" s="28"/>
      <c r="R1111" s="34"/>
      <c r="X1111" s="32"/>
      <c r="Y1111" s="28"/>
      <c r="Z1111" s="28"/>
      <c r="AA1111" s="33"/>
      <c r="AB1111" s="34"/>
      <c r="AC1111" s="34" t="str">
        <f t="shared" si="43"/>
        <v/>
      </c>
      <c r="AP1111" s="57"/>
    </row>
    <row r="1112" spans="2:42" ht="15" x14ac:dyDescent="0.25">
      <c r="B1112" s="15">
        <v>1110</v>
      </c>
      <c r="D1112" s="17">
        <f t="shared" si="42"/>
        <v>0</v>
      </c>
      <c r="K1112" s="28"/>
      <c r="L1112" s="28"/>
      <c r="M1112" s="28"/>
      <c r="N1112" s="28"/>
      <c r="R1112" s="34"/>
      <c r="X1112" s="32"/>
      <c r="Y1112" s="28"/>
      <c r="Z1112" s="28"/>
      <c r="AA1112" s="33"/>
      <c r="AB1112" s="34"/>
      <c r="AC1112" s="34" t="str">
        <f t="shared" si="43"/>
        <v/>
      </c>
      <c r="AP1112" s="57"/>
    </row>
    <row r="1113" spans="2:42" ht="15" x14ac:dyDescent="0.25">
      <c r="B1113" s="15">
        <v>1111</v>
      </c>
      <c r="D1113" s="17">
        <f t="shared" si="42"/>
        <v>0</v>
      </c>
      <c r="K1113" s="28"/>
      <c r="L1113" s="28"/>
      <c r="M1113" s="28"/>
      <c r="N1113" s="28"/>
      <c r="R1113" s="34"/>
      <c r="X1113" s="32"/>
      <c r="Y1113" s="28"/>
      <c r="Z1113" s="28"/>
      <c r="AA1113" s="33"/>
      <c r="AB1113" s="34"/>
      <c r="AC1113" s="34" t="str">
        <f t="shared" si="43"/>
        <v/>
      </c>
      <c r="AP1113" s="57"/>
    </row>
    <row r="1114" spans="2:42" x14ac:dyDescent="0.2">
      <c r="B1114" s="15">
        <v>1112</v>
      </c>
      <c r="D1114" s="17">
        <f t="shared" si="42"/>
        <v>0</v>
      </c>
      <c r="AA1114" s="33"/>
      <c r="AC1114" s="34" t="str">
        <f t="shared" si="43"/>
        <v/>
      </c>
    </row>
    <row r="1115" spans="2:42" x14ac:dyDescent="0.2">
      <c r="B1115" s="15">
        <v>1113</v>
      </c>
      <c r="D1115" s="17">
        <f t="shared" si="42"/>
        <v>0</v>
      </c>
      <c r="AA1115" s="33"/>
      <c r="AC1115" s="34" t="str">
        <f t="shared" si="43"/>
        <v/>
      </c>
    </row>
    <row r="1116" spans="2:42" x14ac:dyDescent="0.2">
      <c r="B1116" s="15">
        <v>1114</v>
      </c>
      <c r="D1116" s="17">
        <f t="shared" si="42"/>
        <v>0</v>
      </c>
      <c r="AA1116" s="33"/>
      <c r="AC1116" s="34" t="str">
        <f t="shared" si="43"/>
        <v/>
      </c>
    </row>
    <row r="1117" spans="2:42" x14ac:dyDescent="0.2">
      <c r="B1117" s="15">
        <v>1115</v>
      </c>
      <c r="D1117" s="17">
        <f t="shared" si="42"/>
        <v>0</v>
      </c>
      <c r="AA1117" s="33"/>
      <c r="AC1117" s="34" t="str">
        <f t="shared" si="43"/>
        <v/>
      </c>
    </row>
    <row r="1118" spans="2:42" x14ac:dyDescent="0.2">
      <c r="B1118" s="15">
        <v>1116</v>
      </c>
      <c r="D1118" s="17">
        <f t="shared" si="42"/>
        <v>0</v>
      </c>
      <c r="AA1118" s="33"/>
      <c r="AC1118" s="34" t="str">
        <f t="shared" si="43"/>
        <v/>
      </c>
    </row>
    <row r="1119" spans="2:42" x14ac:dyDescent="0.2">
      <c r="B1119" s="15">
        <v>1117</v>
      </c>
      <c r="D1119" s="17">
        <f t="shared" si="42"/>
        <v>0</v>
      </c>
      <c r="AA1119" s="33"/>
      <c r="AC1119" s="34" t="str">
        <f t="shared" si="43"/>
        <v/>
      </c>
    </row>
    <row r="1120" spans="2:42" x14ac:dyDescent="0.2">
      <c r="B1120" s="15">
        <v>1118</v>
      </c>
      <c r="D1120" s="17">
        <f t="shared" si="42"/>
        <v>0</v>
      </c>
      <c r="AA1120" s="33"/>
      <c r="AC1120" s="34" t="str">
        <f t="shared" si="43"/>
        <v/>
      </c>
    </row>
    <row r="1121" spans="2:29" x14ac:dyDescent="0.2">
      <c r="B1121" s="15">
        <v>1119</v>
      </c>
      <c r="D1121" s="17">
        <f t="shared" si="42"/>
        <v>0</v>
      </c>
      <c r="AA1121" s="33"/>
      <c r="AC1121" s="34" t="str">
        <f t="shared" si="43"/>
        <v/>
      </c>
    </row>
    <row r="1122" spans="2:29" x14ac:dyDescent="0.2">
      <c r="B1122" s="15">
        <v>1120</v>
      </c>
      <c r="D1122" s="17">
        <f t="shared" si="42"/>
        <v>0</v>
      </c>
      <c r="AA1122" s="33"/>
      <c r="AC1122" s="34" t="str">
        <f t="shared" si="43"/>
        <v/>
      </c>
    </row>
    <row r="1123" spans="2:29" x14ac:dyDescent="0.2">
      <c r="B1123" s="15">
        <v>1121</v>
      </c>
      <c r="D1123" s="17">
        <f t="shared" si="42"/>
        <v>0</v>
      </c>
      <c r="AA1123" s="33"/>
      <c r="AC1123" s="34" t="str">
        <f t="shared" si="43"/>
        <v/>
      </c>
    </row>
    <row r="1124" spans="2:29" x14ac:dyDescent="0.2">
      <c r="B1124" s="15">
        <v>1122</v>
      </c>
      <c r="D1124" s="17">
        <f t="shared" si="42"/>
        <v>0</v>
      </c>
      <c r="AA1124" s="33"/>
      <c r="AC1124" s="34" t="str">
        <f t="shared" si="43"/>
        <v/>
      </c>
    </row>
    <row r="1125" spans="2:29" x14ac:dyDescent="0.2">
      <c r="B1125" s="15">
        <v>1123</v>
      </c>
      <c r="D1125" s="17">
        <f t="shared" si="42"/>
        <v>0</v>
      </c>
      <c r="AA1125" s="33"/>
      <c r="AC1125" s="34" t="str">
        <f t="shared" si="43"/>
        <v/>
      </c>
    </row>
    <row r="1126" spans="2:29" x14ac:dyDescent="0.2">
      <c r="B1126" s="15">
        <v>1124</v>
      </c>
      <c r="D1126" s="17">
        <f t="shared" si="42"/>
        <v>0</v>
      </c>
      <c r="AA1126" s="33"/>
      <c r="AC1126" s="34" t="str">
        <f t="shared" si="43"/>
        <v/>
      </c>
    </row>
    <row r="1127" spans="2:29" x14ac:dyDescent="0.2">
      <c r="B1127" s="15">
        <v>1125</v>
      </c>
      <c r="D1127" s="17">
        <f t="shared" si="42"/>
        <v>0</v>
      </c>
      <c r="AA1127" s="33"/>
      <c r="AC1127" s="34" t="str">
        <f t="shared" si="43"/>
        <v/>
      </c>
    </row>
    <row r="1128" spans="2:29" x14ac:dyDescent="0.2">
      <c r="B1128" s="15">
        <v>1126</v>
      </c>
      <c r="D1128" s="17">
        <f t="shared" si="42"/>
        <v>0</v>
      </c>
      <c r="AA1128" s="33"/>
      <c r="AC1128" s="34" t="str">
        <f t="shared" si="43"/>
        <v/>
      </c>
    </row>
    <row r="1129" spans="2:29" x14ac:dyDescent="0.2">
      <c r="B1129" s="15">
        <v>1127</v>
      </c>
      <c r="D1129" s="17">
        <f t="shared" si="42"/>
        <v>0</v>
      </c>
      <c r="AA1129" s="33"/>
      <c r="AC1129" s="34" t="str">
        <f t="shared" si="43"/>
        <v/>
      </c>
    </row>
    <row r="1130" spans="2:29" x14ac:dyDescent="0.2">
      <c r="B1130" s="15">
        <v>1128</v>
      </c>
      <c r="D1130" s="17">
        <f t="shared" si="42"/>
        <v>0</v>
      </c>
      <c r="AA1130" s="33"/>
      <c r="AC1130" s="34" t="str">
        <f t="shared" si="43"/>
        <v/>
      </c>
    </row>
    <row r="1131" spans="2:29" x14ac:dyDescent="0.2">
      <c r="B1131" s="15">
        <v>1129</v>
      </c>
      <c r="D1131" s="17">
        <f t="shared" si="42"/>
        <v>0</v>
      </c>
      <c r="AA1131" s="33"/>
      <c r="AC1131" s="34" t="str">
        <f t="shared" si="43"/>
        <v/>
      </c>
    </row>
    <row r="1132" spans="2:29" x14ac:dyDescent="0.2">
      <c r="B1132" s="15">
        <v>1130</v>
      </c>
      <c r="D1132" s="17">
        <f t="shared" si="42"/>
        <v>0</v>
      </c>
      <c r="AA1132" s="33"/>
      <c r="AC1132" s="34" t="str">
        <f t="shared" si="43"/>
        <v/>
      </c>
    </row>
    <row r="1133" spans="2:29" x14ac:dyDescent="0.2">
      <c r="B1133" s="15">
        <v>1131</v>
      </c>
      <c r="D1133" s="17">
        <f t="shared" si="42"/>
        <v>0</v>
      </c>
      <c r="AA1133" s="33"/>
      <c r="AC1133" s="34" t="str">
        <f t="shared" si="43"/>
        <v/>
      </c>
    </row>
    <row r="1134" spans="2:29" x14ac:dyDescent="0.2">
      <c r="B1134" s="15">
        <v>1132</v>
      </c>
      <c r="D1134" s="17">
        <f t="shared" si="42"/>
        <v>0</v>
      </c>
      <c r="AA1134" s="33"/>
      <c r="AC1134" s="34" t="str">
        <f t="shared" si="43"/>
        <v/>
      </c>
    </row>
    <row r="1135" spans="2:29" x14ac:dyDescent="0.2">
      <c r="B1135" s="15">
        <v>1133</v>
      </c>
      <c r="D1135" s="17">
        <f t="shared" si="42"/>
        <v>0</v>
      </c>
      <c r="AA1135" s="33"/>
      <c r="AC1135" s="34" t="str">
        <f t="shared" si="43"/>
        <v/>
      </c>
    </row>
    <row r="1136" spans="2:29" x14ac:dyDescent="0.2">
      <c r="B1136" s="15">
        <v>1134</v>
      </c>
      <c r="D1136" s="17">
        <f t="shared" si="42"/>
        <v>0</v>
      </c>
      <c r="AA1136" s="33"/>
      <c r="AC1136" s="34" t="str">
        <f t="shared" si="43"/>
        <v/>
      </c>
    </row>
    <row r="1137" spans="2:29" x14ac:dyDescent="0.2">
      <c r="B1137" s="15">
        <v>1135</v>
      </c>
      <c r="D1137" s="17">
        <f t="shared" ref="D1137:D1200" si="44">_xlfn.NUMBERVALUE(+LEFT(C1137,11))</f>
        <v>0</v>
      </c>
      <c r="AA1137" s="33"/>
      <c r="AC1137" s="34" t="str">
        <f t="shared" si="43"/>
        <v/>
      </c>
    </row>
    <row r="1138" spans="2:29" x14ac:dyDescent="0.2">
      <c r="B1138" s="15">
        <v>1136</v>
      </c>
      <c r="D1138" s="17">
        <f t="shared" si="44"/>
        <v>0</v>
      </c>
      <c r="AA1138" s="33"/>
      <c r="AC1138" s="34" t="str">
        <f t="shared" si="43"/>
        <v/>
      </c>
    </row>
    <row r="1139" spans="2:29" x14ac:dyDescent="0.2">
      <c r="B1139" s="15">
        <v>1137</v>
      </c>
      <c r="D1139" s="17">
        <f t="shared" si="44"/>
        <v>0</v>
      </c>
      <c r="AA1139" s="33"/>
      <c r="AC1139" s="34" t="str">
        <f t="shared" si="43"/>
        <v/>
      </c>
    </row>
    <row r="1140" spans="2:29" x14ac:dyDescent="0.2">
      <c r="B1140" s="15">
        <v>1138</v>
      </c>
      <c r="D1140" s="17">
        <f t="shared" si="44"/>
        <v>0</v>
      </c>
      <c r="AA1140" s="33"/>
      <c r="AC1140" s="34" t="str">
        <f t="shared" si="43"/>
        <v/>
      </c>
    </row>
    <row r="1141" spans="2:29" x14ac:dyDescent="0.2">
      <c r="B1141" s="15">
        <v>1139</v>
      </c>
      <c r="D1141" s="17">
        <f t="shared" si="44"/>
        <v>0</v>
      </c>
      <c r="AA1141" s="33"/>
      <c r="AC1141" s="34" t="str">
        <f t="shared" si="43"/>
        <v/>
      </c>
    </row>
    <row r="1142" spans="2:29" x14ac:dyDescent="0.2">
      <c r="B1142" s="15">
        <v>1140</v>
      </c>
      <c r="D1142" s="17">
        <f t="shared" si="44"/>
        <v>0</v>
      </c>
      <c r="AA1142" s="33"/>
      <c r="AC1142" s="34" t="str">
        <f t="shared" si="43"/>
        <v/>
      </c>
    </row>
    <row r="1143" spans="2:29" x14ac:dyDescent="0.2">
      <c r="B1143" s="15">
        <v>1141</v>
      </c>
      <c r="D1143" s="17">
        <f t="shared" si="44"/>
        <v>0</v>
      </c>
      <c r="AA1143" s="33"/>
      <c r="AC1143" s="34" t="str">
        <f t="shared" si="43"/>
        <v/>
      </c>
    </row>
    <row r="1144" spans="2:29" x14ac:dyDescent="0.2">
      <c r="B1144" s="15">
        <v>1142</v>
      </c>
      <c r="D1144" s="17">
        <f t="shared" si="44"/>
        <v>0</v>
      </c>
      <c r="AA1144" s="33"/>
      <c r="AC1144" s="34" t="str">
        <f t="shared" si="43"/>
        <v/>
      </c>
    </row>
    <row r="1145" spans="2:29" x14ac:dyDescent="0.2">
      <c r="B1145" s="15">
        <v>1143</v>
      </c>
      <c r="D1145" s="17">
        <f t="shared" si="44"/>
        <v>0</v>
      </c>
      <c r="AA1145" s="33"/>
      <c r="AC1145" s="34" t="str">
        <f t="shared" si="43"/>
        <v/>
      </c>
    </row>
    <row r="1146" spans="2:29" x14ac:dyDescent="0.2">
      <c r="B1146" s="15">
        <v>1144</v>
      </c>
      <c r="D1146" s="17">
        <f t="shared" si="44"/>
        <v>0</v>
      </c>
      <c r="AA1146" s="33"/>
      <c r="AC1146" s="34" t="str">
        <f t="shared" si="43"/>
        <v/>
      </c>
    </row>
    <row r="1147" spans="2:29" x14ac:dyDescent="0.2">
      <c r="B1147" s="15">
        <v>1145</v>
      </c>
      <c r="D1147" s="17">
        <f t="shared" si="44"/>
        <v>0</v>
      </c>
      <c r="AA1147" s="33"/>
      <c r="AC1147" s="34" t="str">
        <f t="shared" si="43"/>
        <v/>
      </c>
    </row>
    <row r="1148" spans="2:29" x14ac:dyDescent="0.2">
      <c r="B1148" s="15">
        <v>1146</v>
      </c>
      <c r="D1148" s="17">
        <f t="shared" si="44"/>
        <v>0</v>
      </c>
      <c r="AA1148" s="33"/>
      <c r="AC1148" s="34" t="str">
        <f t="shared" si="43"/>
        <v/>
      </c>
    </row>
    <row r="1149" spans="2:29" x14ac:dyDescent="0.2">
      <c r="B1149" s="15">
        <v>1147</v>
      </c>
      <c r="D1149" s="17">
        <f t="shared" si="44"/>
        <v>0</v>
      </c>
      <c r="AA1149" s="33"/>
      <c r="AC1149" s="34" t="str">
        <f t="shared" si="43"/>
        <v/>
      </c>
    </row>
    <row r="1150" spans="2:29" x14ac:dyDescent="0.2">
      <c r="B1150" s="15">
        <v>1148</v>
      </c>
      <c r="D1150" s="17">
        <f t="shared" si="44"/>
        <v>0</v>
      </c>
      <c r="AA1150" s="33"/>
      <c r="AC1150" s="34" t="str">
        <f t="shared" si="43"/>
        <v/>
      </c>
    </row>
    <row r="1151" spans="2:29" x14ac:dyDescent="0.2">
      <c r="B1151" s="15">
        <v>1149</v>
      </c>
      <c r="D1151" s="17">
        <f t="shared" si="44"/>
        <v>0</v>
      </c>
      <c r="AA1151" s="33"/>
      <c r="AC1151" s="34" t="str">
        <f t="shared" si="43"/>
        <v/>
      </c>
    </row>
    <row r="1152" spans="2:29" x14ac:dyDescent="0.2">
      <c r="B1152" s="15">
        <v>1150</v>
      </c>
      <c r="D1152" s="17">
        <f t="shared" si="44"/>
        <v>0</v>
      </c>
      <c r="AA1152" s="33"/>
      <c r="AC1152" s="34" t="str">
        <f t="shared" si="43"/>
        <v/>
      </c>
    </row>
    <row r="1153" spans="2:29" x14ac:dyDescent="0.2">
      <c r="B1153" s="15">
        <v>1151</v>
      </c>
      <c r="D1153" s="17">
        <f t="shared" si="44"/>
        <v>0</v>
      </c>
      <c r="AA1153" s="33"/>
      <c r="AC1153" s="34" t="str">
        <f t="shared" si="43"/>
        <v/>
      </c>
    </row>
    <row r="1154" spans="2:29" x14ac:dyDescent="0.2">
      <c r="B1154" s="15">
        <v>1152</v>
      </c>
      <c r="D1154" s="17">
        <f t="shared" si="44"/>
        <v>0</v>
      </c>
      <c r="AA1154" s="33"/>
      <c r="AC1154" s="34" t="str">
        <f t="shared" si="43"/>
        <v/>
      </c>
    </row>
    <row r="1155" spans="2:29" x14ac:dyDescent="0.2">
      <c r="B1155" s="15">
        <v>1153</v>
      </c>
      <c r="D1155" s="17">
        <f t="shared" si="44"/>
        <v>0</v>
      </c>
      <c r="AA1155" s="33"/>
      <c r="AC1155" s="34" t="str">
        <f t="shared" ref="AC1155:AC1218" si="45">+IF(AB1155="","",R1155-AB1155)</f>
        <v/>
      </c>
    </row>
    <row r="1156" spans="2:29" x14ac:dyDescent="0.2">
      <c r="B1156" s="15">
        <v>1154</v>
      </c>
      <c r="D1156" s="17">
        <f t="shared" si="44"/>
        <v>0</v>
      </c>
      <c r="AA1156" s="33"/>
      <c r="AC1156" s="34" t="str">
        <f t="shared" si="45"/>
        <v/>
      </c>
    </row>
    <row r="1157" spans="2:29" x14ac:dyDescent="0.2">
      <c r="B1157" s="15">
        <v>1155</v>
      </c>
      <c r="D1157" s="17">
        <f t="shared" si="44"/>
        <v>0</v>
      </c>
      <c r="AA1157" s="33"/>
      <c r="AC1157" s="34" t="str">
        <f t="shared" si="45"/>
        <v/>
      </c>
    </row>
    <row r="1158" spans="2:29" x14ac:dyDescent="0.2">
      <c r="B1158" s="15">
        <v>1156</v>
      </c>
      <c r="D1158" s="17">
        <f t="shared" si="44"/>
        <v>0</v>
      </c>
      <c r="AA1158" s="33"/>
      <c r="AC1158" s="34" t="str">
        <f t="shared" si="45"/>
        <v/>
      </c>
    </row>
    <row r="1159" spans="2:29" x14ac:dyDescent="0.2">
      <c r="B1159" s="15">
        <v>1157</v>
      </c>
      <c r="D1159" s="17">
        <f t="shared" si="44"/>
        <v>0</v>
      </c>
      <c r="AA1159" s="33"/>
      <c r="AC1159" s="34" t="str">
        <f t="shared" si="45"/>
        <v/>
      </c>
    </row>
    <row r="1160" spans="2:29" x14ac:dyDescent="0.2">
      <c r="B1160" s="15">
        <v>1158</v>
      </c>
      <c r="D1160" s="17">
        <f t="shared" si="44"/>
        <v>0</v>
      </c>
      <c r="AA1160" s="33"/>
      <c r="AC1160" s="34" t="str">
        <f t="shared" si="45"/>
        <v/>
      </c>
    </row>
    <row r="1161" spans="2:29" x14ac:dyDescent="0.2">
      <c r="B1161" s="15">
        <v>1159</v>
      </c>
      <c r="D1161" s="17">
        <f t="shared" si="44"/>
        <v>0</v>
      </c>
      <c r="AA1161" s="33"/>
      <c r="AC1161" s="34" t="str">
        <f t="shared" si="45"/>
        <v/>
      </c>
    </row>
    <row r="1162" spans="2:29" x14ac:dyDescent="0.2">
      <c r="B1162" s="15">
        <v>1160</v>
      </c>
      <c r="D1162" s="17">
        <f t="shared" si="44"/>
        <v>0</v>
      </c>
      <c r="AA1162" s="33"/>
      <c r="AC1162" s="34" t="str">
        <f t="shared" si="45"/>
        <v/>
      </c>
    </row>
    <row r="1163" spans="2:29" x14ac:dyDescent="0.2">
      <c r="B1163" s="15">
        <v>1161</v>
      </c>
      <c r="D1163" s="17">
        <f t="shared" si="44"/>
        <v>0</v>
      </c>
      <c r="AA1163" s="33"/>
      <c r="AC1163" s="34" t="str">
        <f t="shared" si="45"/>
        <v/>
      </c>
    </row>
    <row r="1164" spans="2:29" x14ac:dyDescent="0.2">
      <c r="B1164" s="15">
        <v>1162</v>
      </c>
      <c r="D1164" s="17">
        <f t="shared" si="44"/>
        <v>0</v>
      </c>
      <c r="AA1164" s="33"/>
      <c r="AC1164" s="34" t="str">
        <f t="shared" si="45"/>
        <v/>
      </c>
    </row>
    <row r="1165" spans="2:29" x14ac:dyDescent="0.2">
      <c r="B1165" s="15">
        <v>1163</v>
      </c>
      <c r="D1165" s="17">
        <f t="shared" si="44"/>
        <v>0</v>
      </c>
      <c r="AA1165" s="33"/>
      <c r="AC1165" s="34" t="str">
        <f t="shared" si="45"/>
        <v/>
      </c>
    </row>
    <row r="1166" spans="2:29" x14ac:dyDescent="0.2">
      <c r="B1166" s="15">
        <v>1164</v>
      </c>
      <c r="D1166" s="17">
        <f t="shared" si="44"/>
        <v>0</v>
      </c>
      <c r="AA1166" s="33"/>
      <c r="AC1166" s="34" t="str">
        <f t="shared" si="45"/>
        <v/>
      </c>
    </row>
    <row r="1167" spans="2:29" x14ac:dyDescent="0.2">
      <c r="B1167" s="15">
        <v>1165</v>
      </c>
      <c r="D1167" s="17">
        <f t="shared" si="44"/>
        <v>0</v>
      </c>
      <c r="AA1167" s="33"/>
      <c r="AC1167" s="34" t="str">
        <f t="shared" si="45"/>
        <v/>
      </c>
    </row>
    <row r="1168" spans="2:29" x14ac:dyDescent="0.2">
      <c r="B1168" s="15">
        <v>1166</v>
      </c>
      <c r="D1168" s="17">
        <f t="shared" si="44"/>
        <v>0</v>
      </c>
      <c r="AA1168" s="33"/>
      <c r="AC1168" s="34" t="str">
        <f t="shared" si="45"/>
        <v/>
      </c>
    </row>
    <row r="1169" spans="2:29" x14ac:dyDescent="0.2">
      <c r="B1169" s="15">
        <v>1167</v>
      </c>
      <c r="D1169" s="17">
        <f t="shared" si="44"/>
        <v>0</v>
      </c>
      <c r="AA1169" s="33"/>
      <c r="AC1169" s="34" t="str">
        <f t="shared" si="45"/>
        <v/>
      </c>
    </row>
    <row r="1170" spans="2:29" x14ac:dyDescent="0.2">
      <c r="B1170" s="15">
        <v>1168</v>
      </c>
      <c r="D1170" s="17">
        <f t="shared" si="44"/>
        <v>0</v>
      </c>
      <c r="AA1170" s="33"/>
      <c r="AC1170" s="34" t="str">
        <f t="shared" si="45"/>
        <v/>
      </c>
    </row>
    <row r="1171" spans="2:29" x14ac:dyDescent="0.2">
      <c r="B1171" s="15">
        <v>1169</v>
      </c>
      <c r="D1171" s="17">
        <f t="shared" si="44"/>
        <v>0</v>
      </c>
      <c r="AA1171" s="33"/>
      <c r="AC1171" s="34" t="str">
        <f t="shared" si="45"/>
        <v/>
      </c>
    </row>
    <row r="1172" spans="2:29" x14ac:dyDescent="0.2">
      <c r="B1172" s="15">
        <v>1170</v>
      </c>
      <c r="D1172" s="17">
        <f t="shared" si="44"/>
        <v>0</v>
      </c>
      <c r="AA1172" s="33"/>
      <c r="AC1172" s="34" t="str">
        <f t="shared" si="45"/>
        <v/>
      </c>
    </row>
    <row r="1173" spans="2:29" x14ac:dyDescent="0.2">
      <c r="B1173" s="15">
        <v>1171</v>
      </c>
      <c r="D1173" s="17">
        <f t="shared" si="44"/>
        <v>0</v>
      </c>
      <c r="AA1173" s="33"/>
      <c r="AC1173" s="34" t="str">
        <f t="shared" si="45"/>
        <v/>
      </c>
    </row>
    <row r="1174" spans="2:29" x14ac:dyDescent="0.2">
      <c r="B1174" s="15">
        <v>1172</v>
      </c>
      <c r="D1174" s="17">
        <f t="shared" si="44"/>
        <v>0</v>
      </c>
      <c r="AA1174" s="33"/>
      <c r="AC1174" s="34" t="str">
        <f t="shared" si="45"/>
        <v/>
      </c>
    </row>
    <row r="1175" spans="2:29" x14ac:dyDescent="0.2">
      <c r="B1175" s="15">
        <v>1173</v>
      </c>
      <c r="D1175" s="17">
        <f t="shared" si="44"/>
        <v>0</v>
      </c>
      <c r="AA1175" s="33"/>
      <c r="AC1175" s="34" t="str">
        <f t="shared" si="45"/>
        <v/>
      </c>
    </row>
    <row r="1176" spans="2:29" x14ac:dyDescent="0.2">
      <c r="B1176" s="15">
        <v>1174</v>
      </c>
      <c r="D1176" s="17">
        <f t="shared" si="44"/>
        <v>0</v>
      </c>
      <c r="AA1176" s="33"/>
      <c r="AC1176" s="34" t="str">
        <f t="shared" si="45"/>
        <v/>
      </c>
    </row>
    <row r="1177" spans="2:29" x14ac:dyDescent="0.2">
      <c r="B1177" s="15">
        <v>1175</v>
      </c>
      <c r="D1177" s="17">
        <f t="shared" si="44"/>
        <v>0</v>
      </c>
      <c r="AA1177" s="33"/>
      <c r="AC1177" s="34" t="str">
        <f t="shared" si="45"/>
        <v/>
      </c>
    </row>
    <row r="1178" spans="2:29" x14ac:dyDescent="0.2">
      <c r="B1178" s="15">
        <v>1176</v>
      </c>
      <c r="D1178" s="17">
        <f t="shared" si="44"/>
        <v>0</v>
      </c>
      <c r="AA1178" s="33"/>
      <c r="AC1178" s="34" t="str">
        <f t="shared" si="45"/>
        <v/>
      </c>
    </row>
    <row r="1179" spans="2:29" x14ac:dyDescent="0.2">
      <c r="B1179" s="15">
        <v>1177</v>
      </c>
      <c r="D1179" s="17">
        <f t="shared" si="44"/>
        <v>0</v>
      </c>
      <c r="AA1179" s="33"/>
      <c r="AC1179" s="34" t="str">
        <f t="shared" si="45"/>
        <v/>
      </c>
    </row>
    <row r="1180" spans="2:29" x14ac:dyDescent="0.2">
      <c r="B1180" s="15">
        <v>1178</v>
      </c>
      <c r="D1180" s="17">
        <f t="shared" si="44"/>
        <v>0</v>
      </c>
      <c r="AA1180" s="33"/>
      <c r="AC1180" s="34" t="str">
        <f t="shared" si="45"/>
        <v/>
      </c>
    </row>
    <row r="1181" spans="2:29" x14ac:dyDescent="0.2">
      <c r="B1181" s="15">
        <v>1179</v>
      </c>
      <c r="D1181" s="17">
        <f t="shared" si="44"/>
        <v>0</v>
      </c>
      <c r="AA1181" s="33"/>
      <c r="AC1181" s="34" t="str">
        <f t="shared" si="45"/>
        <v/>
      </c>
    </row>
    <row r="1182" spans="2:29" x14ac:dyDescent="0.2">
      <c r="B1182" s="15">
        <v>1180</v>
      </c>
      <c r="D1182" s="17">
        <f t="shared" si="44"/>
        <v>0</v>
      </c>
      <c r="AA1182" s="33"/>
      <c r="AC1182" s="34" t="str">
        <f t="shared" si="45"/>
        <v/>
      </c>
    </row>
    <row r="1183" spans="2:29" x14ac:dyDescent="0.2">
      <c r="B1183" s="15">
        <v>1181</v>
      </c>
      <c r="D1183" s="17">
        <f t="shared" si="44"/>
        <v>0</v>
      </c>
      <c r="AA1183" s="33"/>
      <c r="AC1183" s="34" t="str">
        <f t="shared" si="45"/>
        <v/>
      </c>
    </row>
    <row r="1184" spans="2:29" x14ac:dyDescent="0.2">
      <c r="B1184" s="15">
        <v>1182</v>
      </c>
      <c r="D1184" s="17">
        <f t="shared" si="44"/>
        <v>0</v>
      </c>
      <c r="AA1184" s="33"/>
      <c r="AC1184" s="34" t="str">
        <f t="shared" si="45"/>
        <v/>
      </c>
    </row>
    <row r="1185" spans="2:29" x14ac:dyDescent="0.2">
      <c r="B1185" s="15">
        <v>1183</v>
      </c>
      <c r="D1185" s="17">
        <f t="shared" si="44"/>
        <v>0</v>
      </c>
      <c r="AA1185" s="33"/>
      <c r="AC1185" s="34" t="str">
        <f t="shared" si="45"/>
        <v/>
      </c>
    </row>
    <row r="1186" spans="2:29" x14ac:dyDescent="0.2">
      <c r="B1186" s="15">
        <v>1184</v>
      </c>
      <c r="D1186" s="17">
        <f t="shared" si="44"/>
        <v>0</v>
      </c>
      <c r="AA1186" s="33"/>
      <c r="AC1186" s="34" t="str">
        <f t="shared" si="45"/>
        <v/>
      </c>
    </row>
    <row r="1187" spans="2:29" x14ac:dyDescent="0.2">
      <c r="B1187" s="15">
        <v>1185</v>
      </c>
      <c r="D1187" s="17">
        <f t="shared" si="44"/>
        <v>0</v>
      </c>
      <c r="AA1187" s="33"/>
      <c r="AC1187" s="34" t="str">
        <f t="shared" si="45"/>
        <v/>
      </c>
    </row>
    <row r="1188" spans="2:29" x14ac:dyDescent="0.2">
      <c r="B1188" s="15">
        <v>1186</v>
      </c>
      <c r="D1188" s="17">
        <f t="shared" si="44"/>
        <v>0</v>
      </c>
      <c r="AA1188" s="33"/>
      <c r="AC1188" s="34" t="str">
        <f t="shared" si="45"/>
        <v/>
      </c>
    </row>
    <row r="1189" spans="2:29" x14ac:dyDescent="0.2">
      <c r="B1189" s="15">
        <v>1187</v>
      </c>
      <c r="D1189" s="17">
        <f t="shared" si="44"/>
        <v>0</v>
      </c>
      <c r="AA1189" s="33"/>
      <c r="AC1189" s="34" t="str">
        <f t="shared" si="45"/>
        <v/>
      </c>
    </row>
    <row r="1190" spans="2:29" x14ac:dyDescent="0.2">
      <c r="B1190" s="15">
        <v>1188</v>
      </c>
      <c r="D1190" s="17">
        <f t="shared" si="44"/>
        <v>0</v>
      </c>
      <c r="AA1190" s="33"/>
      <c r="AC1190" s="34" t="str">
        <f t="shared" si="45"/>
        <v/>
      </c>
    </row>
    <row r="1191" spans="2:29" x14ac:dyDescent="0.2">
      <c r="B1191" s="15">
        <v>1189</v>
      </c>
      <c r="D1191" s="17">
        <f t="shared" si="44"/>
        <v>0</v>
      </c>
      <c r="AA1191" s="33"/>
      <c r="AC1191" s="34" t="str">
        <f t="shared" si="45"/>
        <v/>
      </c>
    </row>
    <row r="1192" spans="2:29" x14ac:dyDescent="0.2">
      <c r="B1192" s="15">
        <v>1190</v>
      </c>
      <c r="D1192" s="17">
        <f t="shared" si="44"/>
        <v>0</v>
      </c>
      <c r="AA1192" s="33"/>
      <c r="AC1192" s="34" t="str">
        <f t="shared" si="45"/>
        <v/>
      </c>
    </row>
    <row r="1193" spans="2:29" x14ac:dyDescent="0.2">
      <c r="B1193" s="15">
        <v>1191</v>
      </c>
      <c r="D1193" s="17">
        <f t="shared" si="44"/>
        <v>0</v>
      </c>
      <c r="AA1193" s="33"/>
      <c r="AC1193" s="34" t="str">
        <f t="shared" si="45"/>
        <v/>
      </c>
    </row>
    <row r="1194" spans="2:29" x14ac:dyDescent="0.2">
      <c r="B1194" s="15">
        <v>1192</v>
      </c>
      <c r="D1194" s="17">
        <f t="shared" si="44"/>
        <v>0</v>
      </c>
      <c r="AA1194" s="33"/>
      <c r="AC1194" s="34" t="str">
        <f t="shared" si="45"/>
        <v/>
      </c>
    </row>
    <row r="1195" spans="2:29" x14ac:dyDescent="0.2">
      <c r="B1195" s="15">
        <v>1193</v>
      </c>
      <c r="D1195" s="17">
        <f t="shared" si="44"/>
        <v>0</v>
      </c>
      <c r="AA1195" s="33"/>
      <c r="AC1195" s="34" t="str">
        <f t="shared" si="45"/>
        <v/>
      </c>
    </row>
    <row r="1196" spans="2:29" x14ac:dyDescent="0.2">
      <c r="B1196" s="15">
        <v>1194</v>
      </c>
      <c r="D1196" s="17">
        <f t="shared" si="44"/>
        <v>0</v>
      </c>
      <c r="AA1196" s="33"/>
      <c r="AC1196" s="34" t="str">
        <f t="shared" si="45"/>
        <v/>
      </c>
    </row>
    <row r="1197" spans="2:29" x14ac:dyDescent="0.2">
      <c r="B1197" s="15">
        <v>1195</v>
      </c>
      <c r="D1197" s="17">
        <f t="shared" si="44"/>
        <v>0</v>
      </c>
      <c r="AA1197" s="33"/>
      <c r="AC1197" s="34" t="str">
        <f t="shared" si="45"/>
        <v/>
      </c>
    </row>
    <row r="1198" spans="2:29" x14ac:dyDescent="0.2">
      <c r="B1198" s="15">
        <v>1196</v>
      </c>
      <c r="D1198" s="17">
        <f t="shared" si="44"/>
        <v>0</v>
      </c>
      <c r="AA1198" s="33"/>
      <c r="AC1198" s="34" t="str">
        <f t="shared" si="45"/>
        <v/>
      </c>
    </row>
    <row r="1199" spans="2:29" x14ac:dyDescent="0.2">
      <c r="B1199" s="15">
        <v>1197</v>
      </c>
      <c r="D1199" s="17">
        <f t="shared" si="44"/>
        <v>0</v>
      </c>
      <c r="AA1199" s="33"/>
      <c r="AC1199" s="34" t="str">
        <f t="shared" si="45"/>
        <v/>
      </c>
    </row>
    <row r="1200" spans="2:29" x14ac:dyDescent="0.2">
      <c r="B1200" s="15">
        <v>1198</v>
      </c>
      <c r="D1200" s="17">
        <f t="shared" si="44"/>
        <v>0</v>
      </c>
      <c r="AA1200" s="33"/>
      <c r="AC1200" s="34" t="str">
        <f t="shared" si="45"/>
        <v/>
      </c>
    </row>
    <row r="1201" spans="2:29" x14ac:dyDescent="0.2">
      <c r="B1201" s="15">
        <v>1199</v>
      </c>
      <c r="D1201" s="17">
        <f t="shared" ref="D1201:D1264" si="46">_xlfn.NUMBERVALUE(+LEFT(C1201,11))</f>
        <v>0</v>
      </c>
      <c r="AA1201" s="33"/>
      <c r="AC1201" s="34" t="str">
        <f t="shared" si="45"/>
        <v/>
      </c>
    </row>
    <row r="1202" spans="2:29" x14ac:dyDescent="0.2">
      <c r="B1202" s="15">
        <v>1200</v>
      </c>
      <c r="D1202" s="17">
        <f t="shared" si="46"/>
        <v>0</v>
      </c>
      <c r="AA1202" s="33"/>
      <c r="AC1202" s="34" t="str">
        <f t="shared" si="45"/>
        <v/>
      </c>
    </row>
    <row r="1203" spans="2:29" x14ac:dyDescent="0.2">
      <c r="B1203" s="15">
        <v>1201</v>
      </c>
      <c r="D1203" s="17">
        <f t="shared" si="46"/>
        <v>0</v>
      </c>
      <c r="AA1203" s="33"/>
      <c r="AC1203" s="34" t="str">
        <f t="shared" si="45"/>
        <v/>
      </c>
    </row>
    <row r="1204" spans="2:29" x14ac:dyDescent="0.2">
      <c r="B1204" s="15">
        <v>1202</v>
      </c>
      <c r="D1204" s="17">
        <f t="shared" si="46"/>
        <v>0</v>
      </c>
      <c r="AA1204" s="33"/>
      <c r="AC1204" s="34" t="str">
        <f t="shared" si="45"/>
        <v/>
      </c>
    </row>
    <row r="1205" spans="2:29" x14ac:dyDescent="0.2">
      <c r="B1205" s="15">
        <v>1203</v>
      </c>
      <c r="D1205" s="17">
        <f t="shared" si="46"/>
        <v>0</v>
      </c>
      <c r="AA1205" s="33"/>
      <c r="AC1205" s="34" t="str">
        <f t="shared" si="45"/>
        <v/>
      </c>
    </row>
    <row r="1206" spans="2:29" x14ac:dyDescent="0.2">
      <c r="B1206" s="15">
        <v>1204</v>
      </c>
      <c r="D1206" s="17">
        <f t="shared" si="46"/>
        <v>0</v>
      </c>
      <c r="AA1206" s="33"/>
      <c r="AC1206" s="34" t="str">
        <f t="shared" si="45"/>
        <v/>
      </c>
    </row>
    <row r="1207" spans="2:29" x14ac:dyDescent="0.2">
      <c r="B1207" s="15">
        <v>1205</v>
      </c>
      <c r="D1207" s="17">
        <f t="shared" si="46"/>
        <v>0</v>
      </c>
      <c r="AA1207" s="33"/>
      <c r="AC1207" s="34" t="str">
        <f t="shared" si="45"/>
        <v/>
      </c>
    </row>
    <row r="1208" spans="2:29" x14ac:dyDescent="0.2">
      <c r="B1208" s="15">
        <v>1206</v>
      </c>
      <c r="D1208" s="17">
        <f t="shared" si="46"/>
        <v>0</v>
      </c>
      <c r="AA1208" s="33"/>
      <c r="AC1208" s="34" t="str">
        <f t="shared" si="45"/>
        <v/>
      </c>
    </row>
    <row r="1209" spans="2:29" x14ac:dyDescent="0.2">
      <c r="B1209" s="15">
        <v>1207</v>
      </c>
      <c r="D1209" s="17">
        <f t="shared" si="46"/>
        <v>0</v>
      </c>
      <c r="AA1209" s="33"/>
      <c r="AC1209" s="34" t="str">
        <f t="shared" si="45"/>
        <v/>
      </c>
    </row>
    <row r="1210" spans="2:29" x14ac:dyDescent="0.2">
      <c r="B1210" s="15">
        <v>1208</v>
      </c>
      <c r="D1210" s="17">
        <f t="shared" si="46"/>
        <v>0</v>
      </c>
      <c r="AA1210" s="33"/>
      <c r="AC1210" s="34" t="str">
        <f t="shared" si="45"/>
        <v/>
      </c>
    </row>
    <row r="1211" spans="2:29" x14ac:dyDescent="0.2">
      <c r="B1211" s="15">
        <v>1209</v>
      </c>
      <c r="D1211" s="17">
        <f t="shared" si="46"/>
        <v>0</v>
      </c>
      <c r="AA1211" s="33"/>
      <c r="AC1211" s="34" t="str">
        <f t="shared" si="45"/>
        <v/>
      </c>
    </row>
    <row r="1212" spans="2:29" x14ac:dyDescent="0.2">
      <c r="B1212" s="15">
        <v>1210</v>
      </c>
      <c r="D1212" s="17">
        <f t="shared" si="46"/>
        <v>0</v>
      </c>
      <c r="AA1212" s="33"/>
      <c r="AC1212" s="34" t="str">
        <f t="shared" si="45"/>
        <v/>
      </c>
    </row>
    <row r="1213" spans="2:29" x14ac:dyDescent="0.2">
      <c r="B1213" s="15">
        <v>1211</v>
      </c>
      <c r="D1213" s="17">
        <f t="shared" si="46"/>
        <v>0</v>
      </c>
      <c r="AA1213" s="33"/>
      <c r="AC1213" s="34" t="str">
        <f t="shared" si="45"/>
        <v/>
      </c>
    </row>
    <row r="1214" spans="2:29" x14ac:dyDescent="0.2">
      <c r="B1214" s="15">
        <v>1212</v>
      </c>
      <c r="D1214" s="17">
        <f t="shared" si="46"/>
        <v>0</v>
      </c>
      <c r="AA1214" s="33"/>
      <c r="AC1214" s="34" t="str">
        <f t="shared" si="45"/>
        <v/>
      </c>
    </row>
    <row r="1215" spans="2:29" x14ac:dyDescent="0.2">
      <c r="B1215" s="15">
        <v>1213</v>
      </c>
      <c r="D1215" s="17">
        <f t="shared" si="46"/>
        <v>0</v>
      </c>
      <c r="AA1215" s="33"/>
      <c r="AC1215" s="34" t="str">
        <f t="shared" si="45"/>
        <v/>
      </c>
    </row>
    <row r="1216" spans="2:29" x14ac:dyDescent="0.2">
      <c r="B1216" s="15">
        <v>1214</v>
      </c>
      <c r="D1216" s="17">
        <f t="shared" si="46"/>
        <v>0</v>
      </c>
      <c r="AA1216" s="33"/>
      <c r="AC1216" s="34" t="str">
        <f t="shared" si="45"/>
        <v/>
      </c>
    </row>
    <row r="1217" spans="2:29" x14ac:dyDescent="0.2">
      <c r="B1217" s="15">
        <v>1215</v>
      </c>
      <c r="D1217" s="17">
        <f t="shared" si="46"/>
        <v>0</v>
      </c>
      <c r="AA1217" s="33"/>
      <c r="AC1217" s="34" t="str">
        <f t="shared" si="45"/>
        <v/>
      </c>
    </row>
    <row r="1218" spans="2:29" x14ac:dyDescent="0.2">
      <c r="B1218" s="15">
        <v>1216</v>
      </c>
      <c r="D1218" s="17">
        <f t="shared" si="46"/>
        <v>0</v>
      </c>
      <c r="AA1218" s="33"/>
      <c r="AC1218" s="34" t="str">
        <f t="shared" si="45"/>
        <v/>
      </c>
    </row>
    <row r="1219" spans="2:29" x14ac:dyDescent="0.2">
      <c r="B1219" s="15">
        <v>1217</v>
      </c>
      <c r="D1219" s="17">
        <f t="shared" si="46"/>
        <v>0</v>
      </c>
      <c r="AA1219" s="33"/>
      <c r="AC1219" s="34" t="str">
        <f t="shared" ref="AC1219:AC1282" si="47">+IF(AB1219="","",R1219-AB1219)</f>
        <v/>
      </c>
    </row>
    <row r="1220" spans="2:29" x14ac:dyDescent="0.2">
      <c r="B1220" s="15">
        <v>1218</v>
      </c>
      <c r="D1220" s="17">
        <f t="shared" si="46"/>
        <v>0</v>
      </c>
      <c r="AA1220" s="33"/>
      <c r="AC1220" s="34" t="str">
        <f t="shared" si="47"/>
        <v/>
      </c>
    </row>
    <row r="1221" spans="2:29" x14ac:dyDescent="0.2">
      <c r="B1221" s="15">
        <v>1219</v>
      </c>
      <c r="D1221" s="17">
        <f t="shared" si="46"/>
        <v>0</v>
      </c>
      <c r="AA1221" s="33"/>
      <c r="AC1221" s="34" t="str">
        <f t="shared" si="47"/>
        <v/>
      </c>
    </row>
    <row r="1222" spans="2:29" x14ac:dyDescent="0.2">
      <c r="B1222" s="15">
        <v>1220</v>
      </c>
      <c r="D1222" s="17">
        <f t="shared" si="46"/>
        <v>0</v>
      </c>
      <c r="AA1222" s="33"/>
      <c r="AC1222" s="34" t="str">
        <f t="shared" si="47"/>
        <v/>
      </c>
    </row>
    <row r="1223" spans="2:29" x14ac:dyDescent="0.2">
      <c r="B1223" s="15">
        <v>1221</v>
      </c>
      <c r="D1223" s="17">
        <f t="shared" si="46"/>
        <v>0</v>
      </c>
      <c r="AA1223" s="33"/>
      <c r="AC1223" s="34" t="str">
        <f t="shared" si="47"/>
        <v/>
      </c>
    </row>
    <row r="1224" spans="2:29" x14ac:dyDescent="0.2">
      <c r="B1224" s="15">
        <v>1222</v>
      </c>
      <c r="D1224" s="17">
        <f t="shared" si="46"/>
        <v>0</v>
      </c>
      <c r="AA1224" s="33"/>
      <c r="AC1224" s="34" t="str">
        <f t="shared" si="47"/>
        <v/>
      </c>
    </row>
    <row r="1225" spans="2:29" x14ac:dyDescent="0.2">
      <c r="B1225" s="15">
        <v>1223</v>
      </c>
      <c r="D1225" s="17">
        <f t="shared" si="46"/>
        <v>0</v>
      </c>
      <c r="AA1225" s="33"/>
      <c r="AC1225" s="34" t="str">
        <f t="shared" si="47"/>
        <v/>
      </c>
    </row>
    <row r="1226" spans="2:29" x14ac:dyDescent="0.2">
      <c r="B1226" s="15">
        <v>1224</v>
      </c>
      <c r="D1226" s="17">
        <f t="shared" si="46"/>
        <v>0</v>
      </c>
      <c r="AA1226" s="33"/>
      <c r="AC1226" s="34" t="str">
        <f t="shared" si="47"/>
        <v/>
      </c>
    </row>
    <row r="1227" spans="2:29" x14ac:dyDescent="0.2">
      <c r="B1227" s="15">
        <v>1225</v>
      </c>
      <c r="D1227" s="17">
        <f t="shared" si="46"/>
        <v>0</v>
      </c>
      <c r="AA1227" s="33"/>
      <c r="AC1227" s="34" t="str">
        <f t="shared" si="47"/>
        <v/>
      </c>
    </row>
    <row r="1228" spans="2:29" x14ac:dyDescent="0.2">
      <c r="B1228" s="15">
        <v>1226</v>
      </c>
      <c r="D1228" s="17">
        <f t="shared" si="46"/>
        <v>0</v>
      </c>
      <c r="AA1228" s="33"/>
      <c r="AC1228" s="34" t="str">
        <f t="shared" si="47"/>
        <v/>
      </c>
    </row>
    <row r="1229" spans="2:29" x14ac:dyDescent="0.2">
      <c r="B1229" s="15">
        <v>1227</v>
      </c>
      <c r="D1229" s="17">
        <f t="shared" si="46"/>
        <v>0</v>
      </c>
      <c r="AA1229" s="33"/>
      <c r="AC1229" s="34" t="str">
        <f t="shared" si="47"/>
        <v/>
      </c>
    </row>
    <row r="1230" spans="2:29" x14ac:dyDescent="0.2">
      <c r="B1230" s="15">
        <v>1228</v>
      </c>
      <c r="D1230" s="17">
        <f t="shared" si="46"/>
        <v>0</v>
      </c>
      <c r="AA1230" s="33"/>
      <c r="AC1230" s="34" t="str">
        <f t="shared" si="47"/>
        <v/>
      </c>
    </row>
    <row r="1231" spans="2:29" x14ac:dyDescent="0.2">
      <c r="B1231" s="15">
        <v>1229</v>
      </c>
      <c r="D1231" s="17">
        <f t="shared" si="46"/>
        <v>0</v>
      </c>
      <c r="AA1231" s="33"/>
      <c r="AC1231" s="34" t="str">
        <f t="shared" si="47"/>
        <v/>
      </c>
    </row>
    <row r="1232" spans="2:29" x14ac:dyDescent="0.2">
      <c r="B1232" s="15">
        <v>1230</v>
      </c>
      <c r="D1232" s="17">
        <f t="shared" si="46"/>
        <v>0</v>
      </c>
      <c r="AA1232" s="33"/>
      <c r="AC1232" s="34" t="str">
        <f t="shared" si="47"/>
        <v/>
      </c>
    </row>
    <row r="1233" spans="2:29" x14ac:dyDescent="0.2">
      <c r="B1233" s="15">
        <v>1231</v>
      </c>
      <c r="D1233" s="17">
        <f t="shared" si="46"/>
        <v>0</v>
      </c>
      <c r="AA1233" s="33"/>
      <c r="AC1233" s="34" t="str">
        <f t="shared" si="47"/>
        <v/>
      </c>
    </row>
    <row r="1234" spans="2:29" x14ac:dyDescent="0.2">
      <c r="B1234" s="15">
        <v>1232</v>
      </c>
      <c r="D1234" s="17">
        <f t="shared" si="46"/>
        <v>0</v>
      </c>
      <c r="AA1234" s="33"/>
      <c r="AC1234" s="34" t="str">
        <f t="shared" si="47"/>
        <v/>
      </c>
    </row>
    <row r="1235" spans="2:29" x14ac:dyDescent="0.2">
      <c r="B1235" s="15">
        <v>1233</v>
      </c>
      <c r="D1235" s="17">
        <f t="shared" si="46"/>
        <v>0</v>
      </c>
      <c r="AA1235" s="33"/>
      <c r="AC1235" s="34" t="str">
        <f t="shared" si="47"/>
        <v/>
      </c>
    </row>
    <row r="1236" spans="2:29" x14ac:dyDescent="0.2">
      <c r="B1236" s="15">
        <v>1234</v>
      </c>
      <c r="D1236" s="17">
        <f t="shared" si="46"/>
        <v>0</v>
      </c>
      <c r="AA1236" s="33"/>
      <c r="AC1236" s="34" t="str">
        <f t="shared" si="47"/>
        <v/>
      </c>
    </row>
    <row r="1237" spans="2:29" x14ac:dyDescent="0.2">
      <c r="B1237" s="15">
        <v>1235</v>
      </c>
      <c r="D1237" s="17">
        <f t="shared" si="46"/>
        <v>0</v>
      </c>
      <c r="AA1237" s="33"/>
      <c r="AC1237" s="34" t="str">
        <f t="shared" si="47"/>
        <v/>
      </c>
    </row>
    <row r="1238" spans="2:29" x14ac:dyDescent="0.2">
      <c r="B1238" s="15">
        <v>1236</v>
      </c>
      <c r="D1238" s="17">
        <f t="shared" si="46"/>
        <v>0</v>
      </c>
      <c r="AA1238" s="33"/>
      <c r="AC1238" s="34" t="str">
        <f t="shared" si="47"/>
        <v/>
      </c>
    </row>
    <row r="1239" spans="2:29" x14ac:dyDescent="0.2">
      <c r="B1239" s="15">
        <v>1237</v>
      </c>
      <c r="D1239" s="17">
        <f t="shared" si="46"/>
        <v>0</v>
      </c>
      <c r="AA1239" s="33"/>
      <c r="AC1239" s="34" t="str">
        <f t="shared" si="47"/>
        <v/>
      </c>
    </row>
    <row r="1240" spans="2:29" x14ac:dyDescent="0.2">
      <c r="B1240" s="15">
        <v>1238</v>
      </c>
      <c r="D1240" s="17">
        <f t="shared" si="46"/>
        <v>0</v>
      </c>
      <c r="AA1240" s="33"/>
      <c r="AC1240" s="34" t="str">
        <f t="shared" si="47"/>
        <v/>
      </c>
    </row>
    <row r="1241" spans="2:29" x14ac:dyDescent="0.2">
      <c r="B1241" s="15">
        <v>1239</v>
      </c>
      <c r="D1241" s="17">
        <f t="shared" si="46"/>
        <v>0</v>
      </c>
      <c r="AA1241" s="33"/>
      <c r="AC1241" s="34" t="str">
        <f t="shared" si="47"/>
        <v/>
      </c>
    </row>
    <row r="1242" spans="2:29" x14ac:dyDescent="0.2">
      <c r="B1242" s="15">
        <v>1240</v>
      </c>
      <c r="D1242" s="17">
        <f t="shared" si="46"/>
        <v>0</v>
      </c>
      <c r="AA1242" s="33"/>
      <c r="AC1242" s="34" t="str">
        <f t="shared" si="47"/>
        <v/>
      </c>
    </row>
    <row r="1243" spans="2:29" x14ac:dyDescent="0.2">
      <c r="B1243" s="15">
        <v>1241</v>
      </c>
      <c r="D1243" s="17">
        <f t="shared" si="46"/>
        <v>0</v>
      </c>
      <c r="AA1243" s="33"/>
      <c r="AC1243" s="34" t="str">
        <f t="shared" si="47"/>
        <v/>
      </c>
    </row>
    <row r="1244" spans="2:29" x14ac:dyDescent="0.2">
      <c r="B1244" s="15">
        <v>1242</v>
      </c>
      <c r="D1244" s="17">
        <f t="shared" si="46"/>
        <v>0</v>
      </c>
      <c r="AA1244" s="33"/>
      <c r="AC1244" s="34" t="str">
        <f t="shared" si="47"/>
        <v/>
      </c>
    </row>
    <row r="1245" spans="2:29" x14ac:dyDescent="0.2">
      <c r="B1245" s="15">
        <v>1243</v>
      </c>
      <c r="D1245" s="17">
        <f t="shared" si="46"/>
        <v>0</v>
      </c>
      <c r="AA1245" s="33"/>
      <c r="AC1245" s="34" t="str">
        <f t="shared" si="47"/>
        <v/>
      </c>
    </row>
    <row r="1246" spans="2:29" x14ac:dyDescent="0.2">
      <c r="B1246" s="15">
        <v>1244</v>
      </c>
      <c r="D1246" s="17">
        <f t="shared" si="46"/>
        <v>0</v>
      </c>
      <c r="AA1246" s="33"/>
      <c r="AC1246" s="34" t="str">
        <f t="shared" si="47"/>
        <v/>
      </c>
    </row>
    <row r="1247" spans="2:29" x14ac:dyDescent="0.2">
      <c r="B1247" s="15">
        <v>1245</v>
      </c>
      <c r="D1247" s="17">
        <f t="shared" si="46"/>
        <v>0</v>
      </c>
      <c r="AA1247" s="33"/>
      <c r="AC1247" s="34" t="str">
        <f t="shared" si="47"/>
        <v/>
      </c>
    </row>
    <row r="1248" spans="2:29" x14ac:dyDescent="0.2">
      <c r="B1248" s="15">
        <v>1246</v>
      </c>
      <c r="D1248" s="17">
        <f t="shared" si="46"/>
        <v>0</v>
      </c>
      <c r="AA1248" s="33"/>
      <c r="AC1248" s="34" t="str">
        <f t="shared" si="47"/>
        <v/>
      </c>
    </row>
    <row r="1249" spans="2:29" x14ac:dyDescent="0.2">
      <c r="B1249" s="15">
        <v>1247</v>
      </c>
      <c r="D1249" s="17">
        <f t="shared" si="46"/>
        <v>0</v>
      </c>
      <c r="AA1249" s="33"/>
      <c r="AC1249" s="34" t="str">
        <f t="shared" si="47"/>
        <v/>
      </c>
    </row>
    <row r="1250" spans="2:29" x14ac:dyDescent="0.2">
      <c r="B1250" s="15">
        <v>1248</v>
      </c>
      <c r="D1250" s="17">
        <f t="shared" si="46"/>
        <v>0</v>
      </c>
      <c r="AA1250" s="33"/>
      <c r="AC1250" s="34" t="str">
        <f t="shared" si="47"/>
        <v/>
      </c>
    </row>
    <row r="1251" spans="2:29" x14ac:dyDescent="0.2">
      <c r="B1251" s="15">
        <v>1249</v>
      </c>
      <c r="D1251" s="17">
        <f t="shared" si="46"/>
        <v>0</v>
      </c>
      <c r="AA1251" s="33"/>
      <c r="AC1251" s="34" t="str">
        <f t="shared" si="47"/>
        <v/>
      </c>
    </row>
    <row r="1252" spans="2:29" x14ac:dyDescent="0.2">
      <c r="B1252" s="15">
        <v>1250</v>
      </c>
      <c r="D1252" s="17">
        <f t="shared" si="46"/>
        <v>0</v>
      </c>
      <c r="AA1252" s="33"/>
      <c r="AC1252" s="34" t="str">
        <f t="shared" si="47"/>
        <v/>
      </c>
    </row>
    <row r="1253" spans="2:29" x14ac:dyDescent="0.2">
      <c r="B1253" s="15">
        <v>1251</v>
      </c>
      <c r="D1253" s="17">
        <f t="shared" si="46"/>
        <v>0</v>
      </c>
      <c r="AA1253" s="33"/>
      <c r="AC1253" s="34" t="str">
        <f t="shared" si="47"/>
        <v/>
      </c>
    </row>
    <row r="1254" spans="2:29" x14ac:dyDescent="0.2">
      <c r="B1254" s="15">
        <v>1252</v>
      </c>
      <c r="D1254" s="17">
        <f t="shared" si="46"/>
        <v>0</v>
      </c>
      <c r="AA1254" s="33"/>
      <c r="AC1254" s="34" t="str">
        <f t="shared" si="47"/>
        <v/>
      </c>
    </row>
    <row r="1255" spans="2:29" x14ac:dyDescent="0.2">
      <c r="B1255" s="15">
        <v>1253</v>
      </c>
      <c r="D1255" s="17">
        <f t="shared" si="46"/>
        <v>0</v>
      </c>
      <c r="AA1255" s="33"/>
      <c r="AC1255" s="34" t="str">
        <f t="shared" si="47"/>
        <v/>
      </c>
    </row>
    <row r="1256" spans="2:29" x14ac:dyDescent="0.2">
      <c r="B1256" s="15">
        <v>1254</v>
      </c>
      <c r="D1256" s="17">
        <f t="shared" si="46"/>
        <v>0</v>
      </c>
      <c r="AA1256" s="33"/>
      <c r="AC1256" s="34" t="str">
        <f t="shared" si="47"/>
        <v/>
      </c>
    </row>
    <row r="1257" spans="2:29" x14ac:dyDescent="0.2">
      <c r="B1257" s="15">
        <v>1255</v>
      </c>
      <c r="D1257" s="17">
        <f t="shared" si="46"/>
        <v>0</v>
      </c>
      <c r="AA1257" s="33"/>
      <c r="AC1257" s="34" t="str">
        <f t="shared" si="47"/>
        <v/>
      </c>
    </row>
    <row r="1258" spans="2:29" x14ac:dyDescent="0.2">
      <c r="B1258" s="15">
        <v>1256</v>
      </c>
      <c r="D1258" s="17">
        <f t="shared" si="46"/>
        <v>0</v>
      </c>
      <c r="AA1258" s="33"/>
      <c r="AC1258" s="34" t="str">
        <f t="shared" si="47"/>
        <v/>
      </c>
    </row>
    <row r="1259" spans="2:29" x14ac:dyDescent="0.2">
      <c r="B1259" s="15">
        <v>1257</v>
      </c>
      <c r="D1259" s="17">
        <f t="shared" si="46"/>
        <v>0</v>
      </c>
      <c r="AA1259" s="33"/>
      <c r="AC1259" s="34" t="str">
        <f t="shared" si="47"/>
        <v/>
      </c>
    </row>
    <row r="1260" spans="2:29" x14ac:dyDescent="0.2">
      <c r="B1260" s="15">
        <v>1258</v>
      </c>
      <c r="D1260" s="17">
        <f t="shared" si="46"/>
        <v>0</v>
      </c>
      <c r="AA1260" s="33"/>
      <c r="AC1260" s="34" t="str">
        <f t="shared" si="47"/>
        <v/>
      </c>
    </row>
    <row r="1261" spans="2:29" x14ac:dyDescent="0.2">
      <c r="B1261" s="15">
        <v>1259</v>
      </c>
      <c r="D1261" s="17">
        <f t="shared" si="46"/>
        <v>0</v>
      </c>
      <c r="AA1261" s="33"/>
      <c r="AC1261" s="34" t="str">
        <f t="shared" si="47"/>
        <v/>
      </c>
    </row>
    <row r="1262" spans="2:29" x14ac:dyDescent="0.2">
      <c r="B1262" s="15">
        <v>1260</v>
      </c>
      <c r="D1262" s="17">
        <f t="shared" si="46"/>
        <v>0</v>
      </c>
      <c r="AA1262" s="33"/>
      <c r="AC1262" s="34" t="str">
        <f t="shared" si="47"/>
        <v/>
      </c>
    </row>
    <row r="1263" spans="2:29" x14ac:dyDescent="0.2">
      <c r="B1263" s="15">
        <v>1261</v>
      </c>
      <c r="D1263" s="17">
        <f t="shared" si="46"/>
        <v>0</v>
      </c>
      <c r="AA1263" s="33"/>
      <c r="AC1263" s="34" t="str">
        <f t="shared" si="47"/>
        <v/>
      </c>
    </row>
    <row r="1264" spans="2:29" x14ac:dyDescent="0.2">
      <c r="B1264" s="15">
        <v>1262</v>
      </c>
      <c r="D1264" s="17">
        <f t="shared" si="46"/>
        <v>0</v>
      </c>
      <c r="AA1264" s="33"/>
      <c r="AC1264" s="34" t="str">
        <f t="shared" si="47"/>
        <v/>
      </c>
    </row>
    <row r="1265" spans="2:29" x14ac:dyDescent="0.2">
      <c r="B1265" s="15">
        <v>1263</v>
      </c>
      <c r="D1265" s="17">
        <f t="shared" ref="D1265:D1328" si="48">_xlfn.NUMBERVALUE(+LEFT(C1265,11))</f>
        <v>0</v>
      </c>
      <c r="AA1265" s="33"/>
      <c r="AC1265" s="34" t="str">
        <f t="shared" si="47"/>
        <v/>
      </c>
    </row>
    <row r="1266" spans="2:29" x14ac:dyDescent="0.2">
      <c r="B1266" s="15">
        <v>1264</v>
      </c>
      <c r="D1266" s="17">
        <f t="shared" si="48"/>
        <v>0</v>
      </c>
      <c r="AA1266" s="33"/>
      <c r="AC1266" s="34" t="str">
        <f t="shared" si="47"/>
        <v/>
      </c>
    </row>
    <row r="1267" spans="2:29" x14ac:dyDescent="0.2">
      <c r="B1267" s="15">
        <v>1265</v>
      </c>
      <c r="D1267" s="17">
        <f t="shared" si="48"/>
        <v>0</v>
      </c>
      <c r="AA1267" s="33"/>
      <c r="AC1267" s="34" t="str">
        <f t="shared" si="47"/>
        <v/>
      </c>
    </row>
    <row r="1268" spans="2:29" x14ac:dyDescent="0.2">
      <c r="B1268" s="15">
        <v>1266</v>
      </c>
      <c r="D1268" s="17">
        <f t="shared" si="48"/>
        <v>0</v>
      </c>
      <c r="AA1268" s="33"/>
      <c r="AC1268" s="34" t="str">
        <f t="shared" si="47"/>
        <v/>
      </c>
    </row>
    <row r="1269" spans="2:29" x14ac:dyDescent="0.2">
      <c r="B1269" s="15">
        <v>1267</v>
      </c>
      <c r="D1269" s="17">
        <f t="shared" si="48"/>
        <v>0</v>
      </c>
      <c r="AA1269" s="33"/>
      <c r="AC1269" s="34" t="str">
        <f t="shared" si="47"/>
        <v/>
      </c>
    </row>
    <row r="1270" spans="2:29" x14ac:dyDescent="0.2">
      <c r="B1270" s="15">
        <v>1268</v>
      </c>
      <c r="D1270" s="17">
        <f t="shared" si="48"/>
        <v>0</v>
      </c>
      <c r="AA1270" s="33"/>
      <c r="AC1270" s="34" t="str">
        <f t="shared" si="47"/>
        <v/>
      </c>
    </row>
    <row r="1271" spans="2:29" x14ac:dyDescent="0.2">
      <c r="B1271" s="15">
        <v>1269</v>
      </c>
      <c r="D1271" s="17">
        <f t="shared" si="48"/>
        <v>0</v>
      </c>
      <c r="AA1271" s="33"/>
      <c r="AC1271" s="34" t="str">
        <f t="shared" si="47"/>
        <v/>
      </c>
    </row>
    <row r="1272" spans="2:29" x14ac:dyDescent="0.2">
      <c r="B1272" s="15">
        <v>1270</v>
      </c>
      <c r="D1272" s="17">
        <f t="shared" si="48"/>
        <v>0</v>
      </c>
      <c r="AA1272" s="33"/>
      <c r="AC1272" s="34" t="str">
        <f t="shared" si="47"/>
        <v/>
      </c>
    </row>
    <row r="1273" spans="2:29" x14ac:dyDescent="0.2">
      <c r="B1273" s="15">
        <v>1271</v>
      </c>
      <c r="D1273" s="17">
        <f t="shared" si="48"/>
        <v>0</v>
      </c>
      <c r="AA1273" s="33"/>
      <c r="AC1273" s="34" t="str">
        <f t="shared" si="47"/>
        <v/>
      </c>
    </row>
    <row r="1274" spans="2:29" x14ac:dyDescent="0.2">
      <c r="B1274" s="15">
        <v>1272</v>
      </c>
      <c r="D1274" s="17">
        <f t="shared" si="48"/>
        <v>0</v>
      </c>
      <c r="AA1274" s="33"/>
      <c r="AC1274" s="34" t="str">
        <f t="shared" si="47"/>
        <v/>
      </c>
    </row>
    <row r="1275" spans="2:29" x14ac:dyDescent="0.2">
      <c r="B1275" s="15">
        <v>1273</v>
      </c>
      <c r="D1275" s="17">
        <f t="shared" si="48"/>
        <v>0</v>
      </c>
      <c r="AA1275" s="33"/>
      <c r="AC1275" s="34" t="str">
        <f t="shared" si="47"/>
        <v/>
      </c>
    </row>
    <row r="1276" spans="2:29" x14ac:dyDescent="0.2">
      <c r="B1276" s="15">
        <v>1274</v>
      </c>
      <c r="D1276" s="17">
        <f t="shared" si="48"/>
        <v>0</v>
      </c>
      <c r="AA1276" s="33"/>
      <c r="AC1276" s="34" t="str">
        <f t="shared" si="47"/>
        <v/>
      </c>
    </row>
    <row r="1277" spans="2:29" x14ac:dyDescent="0.2">
      <c r="B1277" s="15">
        <v>1275</v>
      </c>
      <c r="D1277" s="17">
        <f t="shared" si="48"/>
        <v>0</v>
      </c>
      <c r="AA1277" s="33"/>
      <c r="AC1277" s="34" t="str">
        <f t="shared" si="47"/>
        <v/>
      </c>
    </row>
    <row r="1278" spans="2:29" x14ac:dyDescent="0.2">
      <c r="B1278" s="15">
        <v>1276</v>
      </c>
      <c r="D1278" s="17">
        <f t="shared" si="48"/>
        <v>0</v>
      </c>
      <c r="AA1278" s="33"/>
      <c r="AC1278" s="34" t="str">
        <f t="shared" si="47"/>
        <v/>
      </c>
    </row>
    <row r="1279" spans="2:29" x14ac:dyDescent="0.2">
      <c r="B1279" s="15">
        <v>1277</v>
      </c>
      <c r="D1279" s="17">
        <f t="shared" si="48"/>
        <v>0</v>
      </c>
      <c r="AA1279" s="33"/>
      <c r="AC1279" s="34" t="str">
        <f t="shared" si="47"/>
        <v/>
      </c>
    </row>
    <row r="1280" spans="2:29" x14ac:dyDescent="0.2">
      <c r="B1280" s="15">
        <v>1278</v>
      </c>
      <c r="D1280" s="17">
        <f t="shared" si="48"/>
        <v>0</v>
      </c>
      <c r="AA1280" s="33"/>
      <c r="AC1280" s="34" t="str">
        <f t="shared" si="47"/>
        <v/>
      </c>
    </row>
    <row r="1281" spans="2:29" x14ac:dyDescent="0.2">
      <c r="B1281" s="15">
        <v>1279</v>
      </c>
      <c r="D1281" s="17">
        <f t="shared" si="48"/>
        <v>0</v>
      </c>
      <c r="AA1281" s="33"/>
      <c r="AC1281" s="34" t="str">
        <f t="shared" si="47"/>
        <v/>
      </c>
    </row>
    <row r="1282" spans="2:29" x14ac:dyDescent="0.2">
      <c r="B1282" s="15">
        <v>1280</v>
      </c>
      <c r="D1282" s="17">
        <f t="shared" si="48"/>
        <v>0</v>
      </c>
      <c r="AA1282" s="33"/>
      <c r="AC1282" s="34" t="str">
        <f t="shared" si="47"/>
        <v/>
      </c>
    </row>
    <row r="1283" spans="2:29" x14ac:dyDescent="0.2">
      <c r="B1283" s="15">
        <v>1281</v>
      </c>
      <c r="D1283" s="17">
        <f t="shared" si="48"/>
        <v>0</v>
      </c>
      <c r="AA1283" s="33"/>
      <c r="AC1283" s="34" t="str">
        <f t="shared" ref="AC1283:AC1346" si="49">+IF(AB1283="","",R1283-AB1283)</f>
        <v/>
      </c>
    </row>
    <row r="1284" spans="2:29" x14ac:dyDescent="0.2">
      <c r="B1284" s="15">
        <v>1282</v>
      </c>
      <c r="D1284" s="17">
        <f t="shared" si="48"/>
        <v>0</v>
      </c>
      <c r="AA1284" s="33"/>
      <c r="AC1284" s="34" t="str">
        <f t="shared" si="49"/>
        <v/>
      </c>
    </row>
    <row r="1285" spans="2:29" x14ac:dyDescent="0.2">
      <c r="B1285" s="15">
        <v>1283</v>
      </c>
      <c r="D1285" s="17">
        <f t="shared" si="48"/>
        <v>0</v>
      </c>
      <c r="AA1285" s="33"/>
      <c r="AC1285" s="34" t="str">
        <f t="shared" si="49"/>
        <v/>
      </c>
    </row>
    <row r="1286" spans="2:29" x14ac:dyDescent="0.2">
      <c r="B1286" s="15">
        <v>1284</v>
      </c>
      <c r="D1286" s="17">
        <f t="shared" si="48"/>
        <v>0</v>
      </c>
      <c r="AA1286" s="33"/>
      <c r="AC1286" s="34" t="str">
        <f t="shared" si="49"/>
        <v/>
      </c>
    </row>
    <row r="1287" spans="2:29" x14ac:dyDescent="0.2">
      <c r="B1287" s="15">
        <v>1285</v>
      </c>
      <c r="D1287" s="17">
        <f t="shared" si="48"/>
        <v>0</v>
      </c>
      <c r="AA1287" s="33"/>
      <c r="AC1287" s="34" t="str">
        <f t="shared" si="49"/>
        <v/>
      </c>
    </row>
    <row r="1288" spans="2:29" x14ac:dyDescent="0.2">
      <c r="B1288" s="15">
        <v>1286</v>
      </c>
      <c r="D1288" s="17">
        <f t="shared" si="48"/>
        <v>0</v>
      </c>
      <c r="AA1288" s="33"/>
      <c r="AC1288" s="34" t="str">
        <f t="shared" si="49"/>
        <v/>
      </c>
    </row>
    <row r="1289" spans="2:29" x14ac:dyDescent="0.2">
      <c r="B1289" s="15">
        <v>1287</v>
      </c>
      <c r="D1289" s="17">
        <f t="shared" si="48"/>
        <v>0</v>
      </c>
      <c r="AA1289" s="33"/>
      <c r="AC1289" s="34" t="str">
        <f t="shared" si="49"/>
        <v/>
      </c>
    </row>
    <row r="1290" spans="2:29" x14ac:dyDescent="0.2">
      <c r="B1290" s="15">
        <v>1288</v>
      </c>
      <c r="D1290" s="17">
        <f t="shared" si="48"/>
        <v>0</v>
      </c>
      <c r="AA1290" s="33"/>
      <c r="AC1290" s="34" t="str">
        <f t="shared" si="49"/>
        <v/>
      </c>
    </row>
    <row r="1291" spans="2:29" x14ac:dyDescent="0.2">
      <c r="B1291" s="15">
        <v>1289</v>
      </c>
      <c r="D1291" s="17">
        <f t="shared" si="48"/>
        <v>0</v>
      </c>
      <c r="AA1291" s="33"/>
      <c r="AC1291" s="34" t="str">
        <f t="shared" si="49"/>
        <v/>
      </c>
    </row>
    <row r="1292" spans="2:29" x14ac:dyDescent="0.2">
      <c r="B1292" s="15">
        <v>1290</v>
      </c>
      <c r="D1292" s="17">
        <f t="shared" si="48"/>
        <v>0</v>
      </c>
      <c r="AA1292" s="33"/>
      <c r="AC1292" s="34" t="str">
        <f t="shared" si="49"/>
        <v/>
      </c>
    </row>
    <row r="1293" spans="2:29" x14ac:dyDescent="0.2">
      <c r="B1293" s="15">
        <v>1291</v>
      </c>
      <c r="D1293" s="17">
        <f t="shared" si="48"/>
        <v>0</v>
      </c>
      <c r="AA1293" s="33"/>
      <c r="AC1293" s="34" t="str">
        <f t="shared" si="49"/>
        <v/>
      </c>
    </row>
    <row r="1294" spans="2:29" x14ac:dyDescent="0.2">
      <c r="B1294" s="15">
        <v>1292</v>
      </c>
      <c r="D1294" s="17">
        <f t="shared" si="48"/>
        <v>0</v>
      </c>
      <c r="AA1294" s="33"/>
      <c r="AC1294" s="34" t="str">
        <f t="shared" si="49"/>
        <v/>
      </c>
    </row>
    <row r="1295" spans="2:29" x14ac:dyDescent="0.2">
      <c r="B1295" s="15">
        <v>1293</v>
      </c>
      <c r="D1295" s="17">
        <f t="shared" si="48"/>
        <v>0</v>
      </c>
      <c r="AA1295" s="33"/>
      <c r="AC1295" s="34" t="str">
        <f t="shared" si="49"/>
        <v/>
      </c>
    </row>
    <row r="1296" spans="2:29" x14ac:dyDescent="0.2">
      <c r="B1296" s="15">
        <v>1294</v>
      </c>
      <c r="D1296" s="17">
        <f t="shared" si="48"/>
        <v>0</v>
      </c>
      <c r="AA1296" s="33"/>
      <c r="AC1296" s="34" t="str">
        <f t="shared" si="49"/>
        <v/>
      </c>
    </row>
    <row r="1297" spans="2:29" x14ac:dyDescent="0.2">
      <c r="B1297" s="15">
        <v>1295</v>
      </c>
      <c r="D1297" s="17">
        <f t="shared" si="48"/>
        <v>0</v>
      </c>
      <c r="AA1297" s="33"/>
      <c r="AC1297" s="34" t="str">
        <f t="shared" si="49"/>
        <v/>
      </c>
    </row>
    <row r="1298" spans="2:29" x14ac:dyDescent="0.2">
      <c r="B1298" s="15">
        <v>1296</v>
      </c>
      <c r="D1298" s="17">
        <f t="shared" si="48"/>
        <v>0</v>
      </c>
      <c r="AA1298" s="33"/>
      <c r="AC1298" s="34" t="str">
        <f t="shared" si="49"/>
        <v/>
      </c>
    </row>
    <row r="1299" spans="2:29" x14ac:dyDescent="0.2">
      <c r="B1299" s="15">
        <v>1297</v>
      </c>
      <c r="D1299" s="17">
        <f t="shared" si="48"/>
        <v>0</v>
      </c>
      <c r="AA1299" s="33"/>
      <c r="AC1299" s="34" t="str">
        <f t="shared" si="49"/>
        <v/>
      </c>
    </row>
    <row r="1300" spans="2:29" x14ac:dyDescent="0.2">
      <c r="B1300" s="15">
        <v>1298</v>
      </c>
      <c r="D1300" s="17">
        <f t="shared" si="48"/>
        <v>0</v>
      </c>
      <c r="AA1300" s="33"/>
      <c r="AC1300" s="34" t="str">
        <f t="shared" si="49"/>
        <v/>
      </c>
    </row>
    <row r="1301" spans="2:29" x14ac:dyDescent="0.2">
      <c r="B1301" s="15">
        <v>1299</v>
      </c>
      <c r="D1301" s="17">
        <f t="shared" si="48"/>
        <v>0</v>
      </c>
      <c r="AA1301" s="33"/>
      <c r="AC1301" s="34" t="str">
        <f t="shared" si="49"/>
        <v/>
      </c>
    </row>
    <row r="1302" spans="2:29" x14ac:dyDescent="0.2">
      <c r="B1302" s="15">
        <v>1300</v>
      </c>
      <c r="D1302" s="17">
        <f t="shared" si="48"/>
        <v>0</v>
      </c>
      <c r="AA1302" s="33"/>
      <c r="AC1302" s="34" t="str">
        <f t="shared" si="49"/>
        <v/>
      </c>
    </row>
    <row r="1303" spans="2:29" x14ac:dyDescent="0.2">
      <c r="B1303" s="15">
        <v>1301</v>
      </c>
      <c r="D1303" s="17">
        <f t="shared" si="48"/>
        <v>0</v>
      </c>
      <c r="AA1303" s="33"/>
      <c r="AC1303" s="34" t="str">
        <f t="shared" si="49"/>
        <v/>
      </c>
    </row>
    <row r="1304" spans="2:29" x14ac:dyDescent="0.2">
      <c r="B1304" s="15">
        <v>1302</v>
      </c>
      <c r="D1304" s="17">
        <f t="shared" si="48"/>
        <v>0</v>
      </c>
      <c r="AA1304" s="33"/>
      <c r="AC1304" s="34" t="str">
        <f t="shared" si="49"/>
        <v/>
      </c>
    </row>
    <row r="1305" spans="2:29" x14ac:dyDescent="0.2">
      <c r="B1305" s="15">
        <v>1303</v>
      </c>
      <c r="D1305" s="17">
        <f t="shared" si="48"/>
        <v>0</v>
      </c>
      <c r="AA1305" s="33"/>
      <c r="AC1305" s="34" t="str">
        <f t="shared" si="49"/>
        <v/>
      </c>
    </row>
    <row r="1306" spans="2:29" x14ac:dyDescent="0.2">
      <c r="B1306" s="15">
        <v>1304</v>
      </c>
      <c r="D1306" s="17">
        <f t="shared" si="48"/>
        <v>0</v>
      </c>
      <c r="AA1306" s="33"/>
      <c r="AC1306" s="34" t="str">
        <f t="shared" si="49"/>
        <v/>
      </c>
    </row>
    <row r="1307" spans="2:29" x14ac:dyDescent="0.2">
      <c r="B1307" s="15">
        <v>1305</v>
      </c>
      <c r="D1307" s="17">
        <f t="shared" si="48"/>
        <v>0</v>
      </c>
      <c r="AA1307" s="33"/>
      <c r="AC1307" s="34" t="str">
        <f t="shared" si="49"/>
        <v/>
      </c>
    </row>
    <row r="1308" spans="2:29" x14ac:dyDescent="0.2">
      <c r="B1308" s="15">
        <v>1306</v>
      </c>
      <c r="D1308" s="17">
        <f t="shared" si="48"/>
        <v>0</v>
      </c>
      <c r="AA1308" s="33"/>
      <c r="AC1308" s="34" t="str">
        <f t="shared" si="49"/>
        <v/>
      </c>
    </row>
    <row r="1309" spans="2:29" x14ac:dyDescent="0.2">
      <c r="B1309" s="15">
        <v>1307</v>
      </c>
      <c r="D1309" s="17">
        <f t="shared" si="48"/>
        <v>0</v>
      </c>
      <c r="AA1309" s="33"/>
      <c r="AC1309" s="34" t="str">
        <f t="shared" si="49"/>
        <v/>
      </c>
    </row>
    <row r="1310" spans="2:29" x14ac:dyDescent="0.2">
      <c r="B1310" s="15">
        <v>1308</v>
      </c>
      <c r="D1310" s="17">
        <f t="shared" si="48"/>
        <v>0</v>
      </c>
      <c r="AA1310" s="33"/>
      <c r="AC1310" s="34" t="str">
        <f t="shared" si="49"/>
        <v/>
      </c>
    </row>
    <row r="1311" spans="2:29" x14ac:dyDescent="0.2">
      <c r="B1311" s="15">
        <v>1309</v>
      </c>
      <c r="D1311" s="17">
        <f t="shared" si="48"/>
        <v>0</v>
      </c>
      <c r="AA1311" s="33"/>
      <c r="AC1311" s="34" t="str">
        <f t="shared" si="49"/>
        <v/>
      </c>
    </row>
    <row r="1312" spans="2:29" x14ac:dyDescent="0.2">
      <c r="B1312" s="15">
        <v>1310</v>
      </c>
      <c r="D1312" s="17">
        <f t="shared" si="48"/>
        <v>0</v>
      </c>
      <c r="AA1312" s="33"/>
      <c r="AC1312" s="34" t="str">
        <f t="shared" si="49"/>
        <v/>
      </c>
    </row>
    <row r="1313" spans="2:29" x14ac:dyDescent="0.2">
      <c r="B1313" s="15">
        <v>1311</v>
      </c>
      <c r="D1313" s="17">
        <f t="shared" si="48"/>
        <v>0</v>
      </c>
      <c r="AA1313" s="33"/>
      <c r="AC1313" s="34" t="str">
        <f t="shared" si="49"/>
        <v/>
      </c>
    </row>
    <row r="1314" spans="2:29" x14ac:dyDescent="0.2">
      <c r="B1314" s="15">
        <v>1312</v>
      </c>
      <c r="D1314" s="17">
        <f t="shared" si="48"/>
        <v>0</v>
      </c>
      <c r="AA1314" s="33"/>
      <c r="AC1314" s="34" t="str">
        <f t="shared" si="49"/>
        <v/>
      </c>
    </row>
    <row r="1315" spans="2:29" x14ac:dyDescent="0.2">
      <c r="B1315" s="15">
        <v>1313</v>
      </c>
      <c r="D1315" s="17">
        <f t="shared" si="48"/>
        <v>0</v>
      </c>
      <c r="AA1315" s="33"/>
      <c r="AC1315" s="34" t="str">
        <f t="shared" si="49"/>
        <v/>
      </c>
    </row>
    <row r="1316" spans="2:29" x14ac:dyDescent="0.2">
      <c r="B1316" s="15">
        <v>1314</v>
      </c>
      <c r="D1316" s="17">
        <f t="shared" si="48"/>
        <v>0</v>
      </c>
      <c r="AA1316" s="33"/>
      <c r="AC1316" s="34" t="str">
        <f t="shared" si="49"/>
        <v/>
      </c>
    </row>
    <row r="1317" spans="2:29" x14ac:dyDescent="0.2">
      <c r="B1317" s="15">
        <v>1315</v>
      </c>
      <c r="D1317" s="17">
        <f t="shared" si="48"/>
        <v>0</v>
      </c>
      <c r="AA1317" s="33"/>
      <c r="AC1317" s="34" t="str">
        <f t="shared" si="49"/>
        <v/>
      </c>
    </row>
    <row r="1318" spans="2:29" x14ac:dyDescent="0.2">
      <c r="B1318" s="15">
        <v>1316</v>
      </c>
      <c r="D1318" s="17">
        <f t="shared" si="48"/>
        <v>0</v>
      </c>
      <c r="AA1318" s="33"/>
      <c r="AC1318" s="34" t="str">
        <f t="shared" si="49"/>
        <v/>
      </c>
    </row>
    <row r="1319" spans="2:29" x14ac:dyDescent="0.2">
      <c r="B1319" s="15">
        <v>1317</v>
      </c>
      <c r="D1319" s="17">
        <f t="shared" si="48"/>
        <v>0</v>
      </c>
      <c r="AA1319" s="33"/>
      <c r="AC1319" s="34" t="str">
        <f t="shared" si="49"/>
        <v/>
      </c>
    </row>
    <row r="1320" spans="2:29" x14ac:dyDescent="0.2">
      <c r="B1320" s="15">
        <v>1318</v>
      </c>
      <c r="D1320" s="17">
        <f t="shared" si="48"/>
        <v>0</v>
      </c>
      <c r="AA1320" s="33"/>
      <c r="AC1320" s="34" t="str">
        <f t="shared" si="49"/>
        <v/>
      </c>
    </row>
    <row r="1321" spans="2:29" x14ac:dyDescent="0.2">
      <c r="B1321" s="15">
        <v>1319</v>
      </c>
      <c r="D1321" s="17">
        <f t="shared" si="48"/>
        <v>0</v>
      </c>
      <c r="AA1321" s="33"/>
      <c r="AC1321" s="34" t="str">
        <f t="shared" si="49"/>
        <v/>
      </c>
    </row>
    <row r="1322" spans="2:29" x14ac:dyDescent="0.2">
      <c r="B1322" s="15">
        <v>1320</v>
      </c>
      <c r="D1322" s="17">
        <f t="shared" si="48"/>
        <v>0</v>
      </c>
      <c r="AA1322" s="33"/>
      <c r="AC1322" s="34" t="str">
        <f t="shared" si="49"/>
        <v/>
      </c>
    </row>
    <row r="1323" spans="2:29" x14ac:dyDescent="0.2">
      <c r="B1323" s="15">
        <v>1321</v>
      </c>
      <c r="D1323" s="17">
        <f t="shared" si="48"/>
        <v>0</v>
      </c>
      <c r="AA1323" s="33"/>
      <c r="AC1323" s="34" t="str">
        <f t="shared" si="49"/>
        <v/>
      </c>
    </row>
    <row r="1324" spans="2:29" x14ac:dyDescent="0.2">
      <c r="B1324" s="15">
        <v>1322</v>
      </c>
      <c r="D1324" s="17">
        <f t="shared" si="48"/>
        <v>0</v>
      </c>
      <c r="AA1324" s="33"/>
      <c r="AC1324" s="34" t="str">
        <f t="shared" si="49"/>
        <v/>
      </c>
    </row>
    <row r="1325" spans="2:29" x14ac:dyDescent="0.2">
      <c r="B1325" s="15">
        <v>1323</v>
      </c>
      <c r="D1325" s="17">
        <f t="shared" si="48"/>
        <v>0</v>
      </c>
      <c r="AA1325" s="33"/>
      <c r="AC1325" s="34" t="str">
        <f t="shared" si="49"/>
        <v/>
      </c>
    </row>
    <row r="1326" spans="2:29" x14ac:dyDescent="0.2">
      <c r="B1326" s="15">
        <v>1324</v>
      </c>
      <c r="D1326" s="17">
        <f t="shared" si="48"/>
        <v>0</v>
      </c>
      <c r="AA1326" s="33"/>
      <c r="AC1326" s="34" t="str">
        <f t="shared" si="49"/>
        <v/>
      </c>
    </row>
    <row r="1327" spans="2:29" x14ac:dyDescent="0.2">
      <c r="B1327" s="15">
        <v>1325</v>
      </c>
      <c r="D1327" s="17">
        <f t="shared" si="48"/>
        <v>0</v>
      </c>
      <c r="AA1327" s="33"/>
      <c r="AC1327" s="34" t="str">
        <f t="shared" si="49"/>
        <v/>
      </c>
    </row>
    <row r="1328" spans="2:29" x14ac:dyDescent="0.2">
      <c r="B1328" s="15">
        <v>1326</v>
      </c>
      <c r="D1328" s="17">
        <f t="shared" si="48"/>
        <v>0</v>
      </c>
      <c r="AA1328" s="33"/>
      <c r="AC1328" s="34" t="str">
        <f t="shared" si="49"/>
        <v/>
      </c>
    </row>
    <row r="1329" spans="2:29" x14ac:dyDescent="0.2">
      <c r="B1329" s="15">
        <v>1327</v>
      </c>
      <c r="D1329" s="17">
        <f t="shared" ref="D1329:D1347" si="50">_xlfn.NUMBERVALUE(+LEFT(C1329,11))</f>
        <v>0</v>
      </c>
      <c r="AA1329" s="33"/>
      <c r="AC1329" s="34" t="str">
        <f t="shared" si="49"/>
        <v/>
      </c>
    </row>
    <row r="1330" spans="2:29" x14ac:dyDescent="0.2">
      <c r="B1330" s="15">
        <v>1328</v>
      </c>
      <c r="D1330" s="17">
        <f t="shared" si="50"/>
        <v>0</v>
      </c>
      <c r="AA1330" s="33"/>
      <c r="AC1330" s="34" t="str">
        <f t="shared" si="49"/>
        <v/>
      </c>
    </row>
    <row r="1331" spans="2:29" x14ac:dyDescent="0.2">
      <c r="B1331" s="15">
        <v>1329</v>
      </c>
      <c r="D1331" s="17">
        <f t="shared" si="50"/>
        <v>0</v>
      </c>
      <c r="AA1331" s="33"/>
      <c r="AC1331" s="34" t="str">
        <f t="shared" si="49"/>
        <v/>
      </c>
    </row>
    <row r="1332" spans="2:29" x14ac:dyDescent="0.2">
      <c r="B1332" s="15">
        <v>1330</v>
      </c>
      <c r="D1332" s="17">
        <f t="shared" si="50"/>
        <v>0</v>
      </c>
      <c r="AA1332" s="33"/>
      <c r="AC1332" s="34" t="str">
        <f t="shared" si="49"/>
        <v/>
      </c>
    </row>
    <row r="1333" spans="2:29" x14ac:dyDescent="0.2">
      <c r="B1333" s="15">
        <v>1331</v>
      </c>
      <c r="D1333" s="17">
        <f t="shared" si="50"/>
        <v>0</v>
      </c>
      <c r="AA1333" s="33"/>
      <c r="AC1333" s="34" t="str">
        <f t="shared" si="49"/>
        <v/>
      </c>
    </row>
    <row r="1334" spans="2:29" x14ac:dyDescent="0.2">
      <c r="B1334" s="15">
        <v>1332</v>
      </c>
      <c r="D1334" s="17">
        <f t="shared" si="50"/>
        <v>0</v>
      </c>
      <c r="AA1334" s="33"/>
      <c r="AC1334" s="34" t="str">
        <f t="shared" si="49"/>
        <v/>
      </c>
    </row>
    <row r="1335" spans="2:29" x14ac:dyDescent="0.2">
      <c r="B1335" s="15">
        <v>1333</v>
      </c>
      <c r="D1335" s="17">
        <f t="shared" si="50"/>
        <v>0</v>
      </c>
      <c r="AA1335" s="33"/>
      <c r="AC1335" s="34" t="str">
        <f t="shared" si="49"/>
        <v/>
      </c>
    </row>
    <row r="1336" spans="2:29" x14ac:dyDescent="0.2">
      <c r="B1336" s="15">
        <v>1334</v>
      </c>
      <c r="D1336" s="17">
        <f t="shared" si="50"/>
        <v>0</v>
      </c>
      <c r="AA1336" s="33"/>
      <c r="AC1336" s="34" t="str">
        <f t="shared" si="49"/>
        <v/>
      </c>
    </row>
    <row r="1337" spans="2:29" x14ac:dyDescent="0.2">
      <c r="B1337" s="15">
        <v>1335</v>
      </c>
      <c r="D1337" s="17">
        <f t="shared" si="50"/>
        <v>0</v>
      </c>
      <c r="AA1337" s="33"/>
      <c r="AC1337" s="34" t="str">
        <f t="shared" si="49"/>
        <v/>
      </c>
    </row>
    <row r="1338" spans="2:29" x14ac:dyDescent="0.2">
      <c r="B1338" s="15">
        <v>1336</v>
      </c>
      <c r="D1338" s="17">
        <f t="shared" si="50"/>
        <v>0</v>
      </c>
      <c r="AA1338" s="33"/>
      <c r="AC1338" s="34" t="str">
        <f t="shared" si="49"/>
        <v/>
      </c>
    </row>
    <row r="1339" spans="2:29" x14ac:dyDescent="0.2">
      <c r="B1339" s="15">
        <v>1337</v>
      </c>
      <c r="D1339" s="17">
        <f t="shared" si="50"/>
        <v>0</v>
      </c>
      <c r="AA1339" s="33"/>
      <c r="AC1339" s="34" t="str">
        <f t="shared" si="49"/>
        <v/>
      </c>
    </row>
    <row r="1340" spans="2:29" x14ac:dyDescent="0.2">
      <c r="B1340" s="15">
        <v>1338</v>
      </c>
      <c r="D1340" s="17">
        <f t="shared" si="50"/>
        <v>0</v>
      </c>
      <c r="AA1340" s="33"/>
      <c r="AC1340" s="34" t="str">
        <f t="shared" si="49"/>
        <v/>
      </c>
    </row>
    <row r="1341" spans="2:29" x14ac:dyDescent="0.2">
      <c r="B1341" s="15">
        <v>1339</v>
      </c>
      <c r="D1341" s="17">
        <f t="shared" si="50"/>
        <v>0</v>
      </c>
      <c r="AA1341" s="33"/>
      <c r="AC1341" s="34" t="str">
        <f t="shared" si="49"/>
        <v/>
      </c>
    </row>
    <row r="1342" spans="2:29" x14ac:dyDescent="0.2">
      <c r="B1342" s="15">
        <v>1340</v>
      </c>
      <c r="D1342" s="17">
        <f t="shared" si="50"/>
        <v>0</v>
      </c>
      <c r="AA1342" s="33"/>
      <c r="AC1342" s="34" t="str">
        <f t="shared" si="49"/>
        <v/>
      </c>
    </row>
    <row r="1343" spans="2:29" x14ac:dyDescent="0.2">
      <c r="B1343" s="15">
        <v>1341</v>
      </c>
      <c r="D1343" s="17">
        <f t="shared" si="50"/>
        <v>0</v>
      </c>
      <c r="AA1343" s="33"/>
      <c r="AC1343" s="34" t="str">
        <f t="shared" si="49"/>
        <v/>
      </c>
    </row>
    <row r="1344" spans="2:29" x14ac:dyDescent="0.2">
      <c r="B1344" s="15">
        <v>1342</v>
      </c>
      <c r="D1344" s="17">
        <f t="shared" si="50"/>
        <v>0</v>
      </c>
      <c r="AA1344" s="33"/>
      <c r="AC1344" s="34" t="str">
        <f t="shared" si="49"/>
        <v/>
      </c>
    </row>
    <row r="1345" spans="2:29" x14ac:dyDescent="0.2">
      <c r="B1345" s="15">
        <v>1343</v>
      </c>
      <c r="D1345" s="17">
        <f t="shared" si="50"/>
        <v>0</v>
      </c>
      <c r="AA1345" s="33"/>
      <c r="AC1345" s="34" t="str">
        <f t="shared" si="49"/>
        <v/>
      </c>
    </row>
    <row r="1346" spans="2:29" x14ac:dyDescent="0.2">
      <c r="B1346" s="15">
        <v>1344</v>
      </c>
      <c r="D1346" s="17">
        <f t="shared" si="50"/>
        <v>0</v>
      </c>
      <c r="AA1346" s="33"/>
      <c r="AC1346" s="34" t="str">
        <f t="shared" si="49"/>
        <v/>
      </c>
    </row>
    <row r="1347" spans="2:29" x14ac:dyDescent="0.2">
      <c r="B1347" s="15">
        <v>1345</v>
      </c>
      <c r="D1347" s="17">
        <f t="shared" si="50"/>
        <v>0</v>
      </c>
      <c r="AA1347" s="33"/>
      <c r="AC1347" s="34" t="str">
        <f t="shared" ref="AC1347" si="51">+IF(AB1347="","",R1347-AB1347)</f>
        <v/>
      </c>
    </row>
    <row r="1348" spans="2:29" x14ac:dyDescent="0.2">
      <c r="W1348" s="19">
        <f>SUBTOTAL(9,W3:W1347)</f>
        <v>307759.57808136329</v>
      </c>
      <c r="AB1348" s="18" cm="1">
        <f t="array" ref="AB1348">+SUMPRODUCT(W1318:W1347,AB1318:AB1347/W1348)</f>
        <v>0</v>
      </c>
    </row>
  </sheetData>
  <autoFilter ref="A1:AJ1347" xr:uid="{3CE612B4-C97B-4B1E-8B8F-68EAADD35CE1}"/>
  <sortState xmlns:xlrd2="http://schemas.microsoft.com/office/spreadsheetml/2017/richdata2" ref="A3:AJ1317">
    <sortCondition ref="A3:A1317"/>
  </sortState>
  <mergeCells count="18">
    <mergeCell ref="S1:S2"/>
    <mergeCell ref="T1:T2"/>
    <mergeCell ref="U1:U2"/>
    <mergeCell ref="Y1:Y2"/>
    <mergeCell ref="A1:A2"/>
    <mergeCell ref="AK1:AK2"/>
    <mergeCell ref="AJ1:AJ2"/>
    <mergeCell ref="AD1:AD2"/>
    <mergeCell ref="AE1:AE2"/>
    <mergeCell ref="AF1:AF2"/>
    <mergeCell ref="AG1:AG2"/>
    <mergeCell ref="AH1:AH2"/>
    <mergeCell ref="AB1:AB2"/>
    <mergeCell ref="AC1:AC2"/>
    <mergeCell ref="Z1:Z2"/>
    <mergeCell ref="AA1:AA2"/>
    <mergeCell ref="K1:K2"/>
    <mergeCell ref="R1:R2"/>
  </mergeCells>
  <conditionalFormatting sqref="C3:C43">
    <cfRule type="duplicateValues" dxfId="102" priority="77"/>
    <cfRule type="duplicateValues" dxfId="101" priority="78"/>
  </conditionalFormatting>
  <conditionalFormatting sqref="C44:C47">
    <cfRule type="duplicateValues" dxfId="100" priority="73"/>
    <cfRule type="duplicateValues" dxfId="99" priority="74"/>
  </conditionalFormatting>
  <conditionalFormatting sqref="C48:C61">
    <cfRule type="duplicateValues" dxfId="98" priority="71"/>
    <cfRule type="duplicateValues" dxfId="97" priority="72"/>
  </conditionalFormatting>
  <conditionalFormatting sqref="C63">
    <cfRule type="duplicateValues" dxfId="96" priority="65"/>
    <cfRule type="duplicateValues" dxfId="95" priority="66"/>
  </conditionalFormatting>
  <conditionalFormatting sqref="C73:C74 C67:C71">
    <cfRule type="duplicateValues" dxfId="94" priority="69"/>
    <cfRule type="duplicateValues" dxfId="93" priority="70"/>
  </conditionalFormatting>
  <conditionalFormatting sqref="C75:C87 C64 C66">
    <cfRule type="duplicateValues" dxfId="92" priority="67"/>
    <cfRule type="duplicateValues" dxfId="91" priority="68"/>
  </conditionalFormatting>
  <conditionalFormatting sqref="C88:C90">
    <cfRule type="duplicateValues" dxfId="90" priority="62"/>
    <cfRule type="duplicateValues" dxfId="89" priority="63"/>
  </conditionalFormatting>
  <conditionalFormatting sqref="C97:C98 C91:C95">
    <cfRule type="duplicateValues" dxfId="88" priority="60"/>
    <cfRule type="duplicateValues" dxfId="87" priority="61"/>
  </conditionalFormatting>
  <conditionalFormatting sqref="C980">
    <cfRule type="duplicateValues" dxfId="86" priority="55"/>
    <cfRule type="duplicateValues" dxfId="85" priority="56"/>
  </conditionalFormatting>
  <conditionalFormatting sqref="C981:C983">
    <cfRule type="duplicateValues" dxfId="84" priority="57"/>
  </conditionalFormatting>
  <conditionalFormatting sqref="C984:C986">
    <cfRule type="duplicateValues" dxfId="83" priority="53"/>
    <cfRule type="duplicateValues" dxfId="82" priority="54"/>
  </conditionalFormatting>
  <conditionalFormatting sqref="C987">
    <cfRule type="duplicateValues" dxfId="81" priority="52"/>
  </conditionalFormatting>
  <conditionalFormatting sqref="C988">
    <cfRule type="duplicateValues" dxfId="80" priority="51"/>
  </conditionalFormatting>
  <conditionalFormatting sqref="C994">
    <cfRule type="duplicateValues" dxfId="79" priority="49"/>
  </conditionalFormatting>
  <conditionalFormatting sqref="C995:C997 C989:C993">
    <cfRule type="duplicateValues" dxfId="78" priority="50"/>
  </conditionalFormatting>
  <conditionalFormatting sqref="C1003:C1006">
    <cfRule type="duplicateValues" dxfId="77" priority="48"/>
  </conditionalFormatting>
  <conditionalFormatting sqref="C1007:C1010">
    <cfRule type="duplicateValues" dxfId="76" priority="47"/>
  </conditionalFormatting>
  <conditionalFormatting sqref="C1011">
    <cfRule type="duplicateValues" dxfId="75" priority="46"/>
  </conditionalFormatting>
  <conditionalFormatting sqref="C1012:C1015">
    <cfRule type="duplicateValues" dxfId="74" priority="45"/>
  </conditionalFormatting>
  <conditionalFormatting sqref="C1016:C1021">
    <cfRule type="duplicateValues" dxfId="73" priority="44"/>
  </conditionalFormatting>
  <conditionalFormatting sqref="C1022">
    <cfRule type="duplicateValues" dxfId="72" priority="43"/>
  </conditionalFormatting>
  <conditionalFormatting sqref="C1023:C1024">
    <cfRule type="duplicateValues" dxfId="71" priority="16"/>
  </conditionalFormatting>
  <conditionalFormatting sqref="C1025">
    <cfRule type="duplicateValues" dxfId="70" priority="13"/>
  </conditionalFormatting>
  <conditionalFormatting sqref="C1:D2">
    <cfRule type="duplicateValues" dxfId="69" priority="81"/>
  </conditionalFormatting>
  <conditionalFormatting sqref="D3:D1347">
    <cfRule type="duplicateValues" dxfId="68" priority="75"/>
    <cfRule type="duplicateValues" dxfId="67" priority="76"/>
  </conditionalFormatting>
  <conditionalFormatting sqref="E888:E889">
    <cfRule type="duplicateValues" dxfId="66" priority="11"/>
    <cfRule type="duplicateValues" dxfId="65" priority="12"/>
  </conditionalFormatting>
  <conditionalFormatting sqref="C99:C174">
    <cfRule type="duplicateValues" dxfId="64" priority="100"/>
    <cfRule type="duplicateValues" dxfId="63" priority="101"/>
  </conditionalFormatting>
  <pageMargins left="0.7" right="0.7" top="0.75" bottom="0.75" header="0.3" footer="0.3"/>
  <pageSetup orientation="portrait" horizontalDpi="300" verticalDpi="300" r:id="rId2"/>
  <headerFooter>
    <oddFooter>&amp;L&amp;1#&amp;"Calibri"&amp;10&amp;K000000Internal Use Only</oddFooter>
  </headerFooter>
  <drawing r:id="rId3"/>
  <legacy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829EE-C6B2-40F7-B5D2-ED6C76104914}">
  <dimension ref="A1:ADF2169"/>
  <sheetViews>
    <sheetView topLeftCell="AD1" zoomScale="90" zoomScaleNormal="90" workbookViewId="0">
      <pane ySplit="2" topLeftCell="A156" activePane="bottomLeft" state="frozen"/>
      <selection pane="bottomLeft" activeCell="BC172" sqref="BC172"/>
    </sheetView>
  </sheetViews>
  <sheetFormatPr defaultColWidth="9.140625" defaultRowHeight="12.75" outlineLevelCol="1" x14ac:dyDescent="0.2"/>
  <cols>
    <col min="1" max="1" width="5.5703125" style="37" customWidth="1"/>
    <col min="2" max="2" width="23.85546875" style="37" bestFit="1" customWidth="1"/>
    <col min="3" max="3" width="14.5703125" style="54" bestFit="1" customWidth="1"/>
    <col min="4" max="4" width="9.28515625" style="54" bestFit="1" customWidth="1"/>
    <col min="5" max="5" width="11.5703125" style="54" bestFit="1" customWidth="1"/>
    <col min="6" max="6" width="11.28515625" style="54" bestFit="1" customWidth="1"/>
    <col min="7" max="7" width="18.5703125" style="37" bestFit="1" customWidth="1"/>
    <col min="8" max="8" width="18.7109375" style="37" bestFit="1" customWidth="1"/>
    <col min="9" max="9" width="10.28515625" style="37" customWidth="1"/>
    <col min="10" max="11" width="10.140625" style="37" customWidth="1" outlineLevel="1"/>
    <col min="12" max="12" width="9.5703125" style="37" customWidth="1" outlineLevel="1"/>
    <col min="13" max="13" width="10.28515625" style="37" customWidth="1" outlineLevel="1"/>
    <col min="14" max="14" width="9.7109375" style="37" customWidth="1" outlineLevel="1"/>
    <col min="15" max="15" width="10.42578125" style="37" customWidth="1" outlineLevel="1"/>
    <col min="16" max="17" width="10" style="37" customWidth="1" outlineLevel="1"/>
    <col min="18" max="18" width="10.140625" style="37" customWidth="1" outlineLevel="1"/>
    <col min="19" max="19" width="10.5703125" style="37" bestFit="1" customWidth="1"/>
    <col min="20" max="20" width="10" style="37" customWidth="1" outlineLevel="1"/>
    <col min="21" max="29" width="11.140625" style="37" customWidth="1" outlineLevel="1"/>
    <col min="30" max="401" width="11.140625" style="37" bestFit="1" customWidth="1"/>
    <col min="402" max="402" width="10.140625" style="37" bestFit="1" customWidth="1"/>
    <col min="403" max="403" width="10.5703125" style="37" bestFit="1" customWidth="1"/>
    <col min="404" max="404" width="9.28515625" style="37" bestFit="1" customWidth="1"/>
    <col min="405" max="405" width="9.85546875" style="37" bestFit="1" customWidth="1"/>
    <col min="406" max="406" width="9.28515625" style="37" bestFit="1" customWidth="1"/>
    <col min="407" max="407" width="10.140625" style="37" bestFit="1" customWidth="1"/>
    <col min="408" max="408" width="9.5703125" style="37" bestFit="1" customWidth="1"/>
    <col min="409" max="409" width="10.28515625" style="37" bestFit="1" customWidth="1"/>
    <col min="410" max="410" width="9.7109375" style="37" bestFit="1" customWidth="1"/>
    <col min="411" max="411" width="10.42578125" style="37" bestFit="1" customWidth="1"/>
    <col min="412" max="412" width="9.5703125" style="37" bestFit="1" customWidth="1"/>
    <col min="413" max="413" width="8.85546875" style="37" bestFit="1" customWidth="1"/>
    <col min="414" max="414" width="10.140625" style="37" bestFit="1" customWidth="1"/>
    <col min="415" max="415" width="10.5703125" style="37" bestFit="1" customWidth="1"/>
    <col min="416" max="416" width="9.28515625" style="37" bestFit="1" customWidth="1"/>
    <col min="417" max="417" width="9.85546875" style="37" bestFit="1" customWidth="1"/>
    <col min="418" max="418" width="9.28515625" style="37" bestFit="1" customWidth="1"/>
    <col min="419" max="419" width="10.140625" style="37" bestFit="1" customWidth="1"/>
    <col min="420" max="420" width="9.5703125" style="37" bestFit="1" customWidth="1"/>
    <col min="421" max="421" width="10.28515625" style="37" bestFit="1" customWidth="1"/>
    <col min="422" max="422" width="9.7109375" style="37" bestFit="1" customWidth="1"/>
    <col min="423" max="423" width="10.42578125" style="37" bestFit="1" customWidth="1"/>
    <col min="424" max="424" width="9.5703125" style="37" bestFit="1" customWidth="1"/>
    <col min="425" max="425" width="8.85546875" style="37" bestFit="1" customWidth="1"/>
    <col min="426" max="426" width="10.140625" style="37" bestFit="1" customWidth="1"/>
    <col min="427" max="427" width="10.5703125" style="37" bestFit="1" customWidth="1"/>
    <col min="428" max="428" width="9.28515625" style="37" bestFit="1" customWidth="1"/>
    <col min="429" max="429" width="9.85546875" style="37" bestFit="1" customWidth="1"/>
    <col min="430" max="430" width="9.28515625" style="37" bestFit="1" customWidth="1"/>
    <col min="431" max="431" width="10.140625" style="37" bestFit="1" customWidth="1"/>
    <col min="432" max="432" width="9.5703125" style="37" bestFit="1" customWidth="1"/>
    <col min="433" max="433" width="10.28515625" style="37" bestFit="1" customWidth="1"/>
    <col min="434" max="434" width="9.7109375" style="37" bestFit="1" customWidth="1"/>
    <col min="435" max="435" width="10.42578125" style="15" bestFit="1" customWidth="1"/>
    <col min="436" max="436" width="9.5703125" style="15" bestFit="1" customWidth="1"/>
    <col min="437" max="437" width="8.85546875" style="15" bestFit="1" customWidth="1"/>
    <col min="438" max="438" width="10.140625" style="15" bestFit="1" customWidth="1"/>
    <col min="439" max="439" width="10.5703125" style="15" bestFit="1" customWidth="1"/>
    <col min="440" max="440" width="9.28515625" style="15" bestFit="1" customWidth="1"/>
    <col min="441" max="441" width="9.85546875" style="15" bestFit="1" customWidth="1"/>
    <col min="442" max="442" width="9.28515625" style="15" bestFit="1" customWidth="1"/>
    <col min="443" max="443" width="10.140625" style="15" bestFit="1" customWidth="1"/>
    <col min="444" max="444" width="9.5703125" style="15" bestFit="1" customWidth="1"/>
    <col min="445" max="445" width="10.28515625" style="15" bestFit="1" customWidth="1"/>
    <col min="446" max="16384" width="9.140625" style="15"/>
  </cols>
  <sheetData>
    <row r="1" spans="1:786" x14ac:dyDescent="0.2">
      <c r="A1" s="15"/>
      <c r="B1" s="15"/>
      <c r="C1" s="64">
        <f ca="1">+EOMONTH(TODAY(),-1)+10</f>
        <v>46063</v>
      </c>
      <c r="D1" s="15" t="s">
        <v>112</v>
      </c>
      <c r="E1" s="15" t="s">
        <v>110</v>
      </c>
      <c r="F1" s="15" t="s">
        <v>111</v>
      </c>
      <c r="G1" s="49" t="s">
        <v>60</v>
      </c>
      <c r="H1" s="49" t="s">
        <v>61</v>
      </c>
      <c r="I1" s="49">
        <v>45361</v>
      </c>
      <c r="J1" s="49">
        <f>+EDATE(I1,1)</f>
        <v>45392</v>
      </c>
      <c r="K1" s="49">
        <f t="shared" ref="K1:BV1" si="0">+EDATE(J1,1)</f>
        <v>45422</v>
      </c>
      <c r="L1" s="49">
        <f t="shared" si="0"/>
        <v>45453</v>
      </c>
      <c r="M1" s="49">
        <f t="shared" si="0"/>
        <v>45483</v>
      </c>
      <c r="N1" s="49">
        <f t="shared" si="0"/>
        <v>45514</v>
      </c>
      <c r="O1" s="49">
        <f t="shared" si="0"/>
        <v>45545</v>
      </c>
      <c r="P1" s="49">
        <f t="shared" si="0"/>
        <v>45575</v>
      </c>
      <c r="Q1" s="49">
        <f t="shared" si="0"/>
        <v>45606</v>
      </c>
      <c r="R1" s="49">
        <f t="shared" si="0"/>
        <v>45636</v>
      </c>
      <c r="S1" s="49">
        <f t="shared" si="0"/>
        <v>45667</v>
      </c>
      <c r="T1" s="49">
        <f t="shared" si="0"/>
        <v>45698</v>
      </c>
      <c r="U1" s="49">
        <f t="shared" si="0"/>
        <v>45726</v>
      </c>
      <c r="V1" s="49">
        <f t="shared" si="0"/>
        <v>45757</v>
      </c>
      <c r="W1" s="49">
        <f t="shared" si="0"/>
        <v>45787</v>
      </c>
      <c r="X1" s="49">
        <f t="shared" si="0"/>
        <v>45818</v>
      </c>
      <c r="Y1" s="49">
        <f t="shared" si="0"/>
        <v>45848</v>
      </c>
      <c r="Z1" s="49">
        <f t="shared" si="0"/>
        <v>45879</v>
      </c>
      <c r="AA1" s="49">
        <f t="shared" si="0"/>
        <v>45910</v>
      </c>
      <c r="AB1" s="49">
        <f t="shared" si="0"/>
        <v>45940</v>
      </c>
      <c r="AC1" s="49">
        <f t="shared" si="0"/>
        <v>45971</v>
      </c>
      <c r="AD1" s="49">
        <f t="shared" si="0"/>
        <v>46001</v>
      </c>
      <c r="AE1" s="49">
        <f t="shared" si="0"/>
        <v>46032</v>
      </c>
      <c r="AF1" s="49">
        <f t="shared" si="0"/>
        <v>46063</v>
      </c>
      <c r="AG1" s="49">
        <f t="shared" si="0"/>
        <v>46091</v>
      </c>
      <c r="AH1" s="49">
        <f t="shared" si="0"/>
        <v>46122</v>
      </c>
      <c r="AI1" s="49">
        <f t="shared" si="0"/>
        <v>46152</v>
      </c>
      <c r="AJ1" s="49">
        <f t="shared" si="0"/>
        <v>46183</v>
      </c>
      <c r="AK1" s="49">
        <f t="shared" si="0"/>
        <v>46213</v>
      </c>
      <c r="AL1" s="49">
        <f t="shared" si="0"/>
        <v>46244</v>
      </c>
      <c r="AM1" s="49">
        <f t="shared" si="0"/>
        <v>46275</v>
      </c>
      <c r="AN1" s="49">
        <f t="shared" si="0"/>
        <v>46305</v>
      </c>
      <c r="AO1" s="49">
        <f t="shared" si="0"/>
        <v>46336</v>
      </c>
      <c r="AP1" s="49">
        <f t="shared" si="0"/>
        <v>46366</v>
      </c>
      <c r="AQ1" s="49">
        <f t="shared" si="0"/>
        <v>46397</v>
      </c>
      <c r="AR1" s="49">
        <f t="shared" si="0"/>
        <v>46428</v>
      </c>
      <c r="AS1" s="49">
        <f t="shared" si="0"/>
        <v>46456</v>
      </c>
      <c r="AT1" s="49">
        <f t="shared" si="0"/>
        <v>46487</v>
      </c>
      <c r="AU1" s="49">
        <f t="shared" si="0"/>
        <v>46517</v>
      </c>
      <c r="AV1" s="49">
        <f t="shared" si="0"/>
        <v>46548</v>
      </c>
      <c r="AW1" s="49">
        <f t="shared" si="0"/>
        <v>46578</v>
      </c>
      <c r="AX1" s="49">
        <f t="shared" si="0"/>
        <v>46609</v>
      </c>
      <c r="AY1" s="49">
        <f t="shared" si="0"/>
        <v>46640</v>
      </c>
      <c r="AZ1" s="49">
        <f t="shared" si="0"/>
        <v>46670</v>
      </c>
      <c r="BA1" s="49">
        <f t="shared" si="0"/>
        <v>46701</v>
      </c>
      <c r="BB1" s="49">
        <f t="shared" si="0"/>
        <v>46731</v>
      </c>
      <c r="BC1" s="49">
        <f t="shared" si="0"/>
        <v>46762</v>
      </c>
      <c r="BD1" s="49">
        <f t="shared" si="0"/>
        <v>46793</v>
      </c>
      <c r="BE1" s="49">
        <f t="shared" si="0"/>
        <v>46822</v>
      </c>
      <c r="BF1" s="49">
        <f t="shared" si="0"/>
        <v>46853</v>
      </c>
      <c r="BG1" s="49">
        <f t="shared" si="0"/>
        <v>46883</v>
      </c>
      <c r="BH1" s="49">
        <f t="shared" si="0"/>
        <v>46914</v>
      </c>
      <c r="BI1" s="49">
        <f t="shared" si="0"/>
        <v>46944</v>
      </c>
      <c r="BJ1" s="49">
        <f t="shared" si="0"/>
        <v>46975</v>
      </c>
      <c r="BK1" s="49">
        <f t="shared" si="0"/>
        <v>47006</v>
      </c>
      <c r="BL1" s="49">
        <f t="shared" si="0"/>
        <v>47036</v>
      </c>
      <c r="BM1" s="49">
        <f t="shared" si="0"/>
        <v>47067</v>
      </c>
      <c r="BN1" s="49">
        <f t="shared" si="0"/>
        <v>47097</v>
      </c>
      <c r="BO1" s="49">
        <f t="shared" si="0"/>
        <v>47128</v>
      </c>
      <c r="BP1" s="49">
        <f t="shared" si="0"/>
        <v>47159</v>
      </c>
      <c r="BQ1" s="49">
        <f t="shared" si="0"/>
        <v>47187</v>
      </c>
      <c r="BR1" s="49">
        <f t="shared" si="0"/>
        <v>47218</v>
      </c>
      <c r="BS1" s="49">
        <f t="shared" si="0"/>
        <v>47248</v>
      </c>
      <c r="BT1" s="49">
        <f t="shared" si="0"/>
        <v>47279</v>
      </c>
      <c r="BU1" s="49">
        <f t="shared" si="0"/>
        <v>47309</v>
      </c>
      <c r="BV1" s="49">
        <f t="shared" si="0"/>
        <v>47340</v>
      </c>
      <c r="BW1" s="49">
        <f t="shared" ref="BW1:EH1" si="1">+EDATE(BV1,1)</f>
        <v>47371</v>
      </c>
      <c r="BX1" s="49">
        <f t="shared" si="1"/>
        <v>47401</v>
      </c>
      <c r="BY1" s="49">
        <f t="shared" si="1"/>
        <v>47432</v>
      </c>
      <c r="BZ1" s="49">
        <f t="shared" si="1"/>
        <v>47462</v>
      </c>
      <c r="CA1" s="49">
        <f t="shared" si="1"/>
        <v>47493</v>
      </c>
      <c r="CB1" s="49">
        <f t="shared" si="1"/>
        <v>47524</v>
      </c>
      <c r="CC1" s="49">
        <f t="shared" si="1"/>
        <v>47552</v>
      </c>
      <c r="CD1" s="49">
        <f t="shared" si="1"/>
        <v>47583</v>
      </c>
      <c r="CE1" s="49">
        <f t="shared" si="1"/>
        <v>47613</v>
      </c>
      <c r="CF1" s="49">
        <f t="shared" si="1"/>
        <v>47644</v>
      </c>
      <c r="CG1" s="49">
        <f t="shared" si="1"/>
        <v>47674</v>
      </c>
      <c r="CH1" s="49">
        <f t="shared" si="1"/>
        <v>47705</v>
      </c>
      <c r="CI1" s="49">
        <f t="shared" si="1"/>
        <v>47736</v>
      </c>
      <c r="CJ1" s="49">
        <f t="shared" si="1"/>
        <v>47766</v>
      </c>
      <c r="CK1" s="49">
        <f t="shared" si="1"/>
        <v>47797</v>
      </c>
      <c r="CL1" s="49">
        <f t="shared" si="1"/>
        <v>47827</v>
      </c>
      <c r="CM1" s="49">
        <f t="shared" si="1"/>
        <v>47858</v>
      </c>
      <c r="CN1" s="49">
        <f t="shared" si="1"/>
        <v>47889</v>
      </c>
      <c r="CO1" s="49">
        <f t="shared" si="1"/>
        <v>47917</v>
      </c>
      <c r="CP1" s="49">
        <f t="shared" si="1"/>
        <v>47948</v>
      </c>
      <c r="CQ1" s="49">
        <f t="shared" si="1"/>
        <v>47978</v>
      </c>
      <c r="CR1" s="49">
        <f t="shared" si="1"/>
        <v>48009</v>
      </c>
      <c r="CS1" s="49">
        <f t="shared" si="1"/>
        <v>48039</v>
      </c>
      <c r="CT1" s="49">
        <f t="shared" si="1"/>
        <v>48070</v>
      </c>
      <c r="CU1" s="49">
        <f t="shared" si="1"/>
        <v>48101</v>
      </c>
      <c r="CV1" s="49">
        <f t="shared" si="1"/>
        <v>48131</v>
      </c>
      <c r="CW1" s="49">
        <f t="shared" si="1"/>
        <v>48162</v>
      </c>
      <c r="CX1" s="49">
        <f t="shared" si="1"/>
        <v>48192</v>
      </c>
      <c r="CY1" s="49">
        <f t="shared" si="1"/>
        <v>48223</v>
      </c>
      <c r="CZ1" s="49">
        <f t="shared" si="1"/>
        <v>48254</v>
      </c>
      <c r="DA1" s="49">
        <f t="shared" si="1"/>
        <v>48283</v>
      </c>
      <c r="DB1" s="49">
        <f t="shared" si="1"/>
        <v>48314</v>
      </c>
      <c r="DC1" s="49">
        <f t="shared" si="1"/>
        <v>48344</v>
      </c>
      <c r="DD1" s="49">
        <f t="shared" si="1"/>
        <v>48375</v>
      </c>
      <c r="DE1" s="49">
        <f t="shared" si="1"/>
        <v>48405</v>
      </c>
      <c r="DF1" s="49">
        <f t="shared" si="1"/>
        <v>48436</v>
      </c>
      <c r="DG1" s="49">
        <f t="shared" si="1"/>
        <v>48467</v>
      </c>
      <c r="DH1" s="49">
        <f t="shared" si="1"/>
        <v>48497</v>
      </c>
      <c r="DI1" s="49">
        <f t="shared" si="1"/>
        <v>48528</v>
      </c>
      <c r="DJ1" s="49">
        <f t="shared" si="1"/>
        <v>48558</v>
      </c>
      <c r="DK1" s="49">
        <f t="shared" si="1"/>
        <v>48589</v>
      </c>
      <c r="DL1" s="49">
        <f t="shared" si="1"/>
        <v>48620</v>
      </c>
      <c r="DM1" s="49">
        <f t="shared" si="1"/>
        <v>48648</v>
      </c>
      <c r="DN1" s="49">
        <f t="shared" si="1"/>
        <v>48679</v>
      </c>
      <c r="DO1" s="49">
        <f t="shared" si="1"/>
        <v>48709</v>
      </c>
      <c r="DP1" s="49">
        <f t="shared" si="1"/>
        <v>48740</v>
      </c>
      <c r="DQ1" s="49">
        <f t="shared" si="1"/>
        <v>48770</v>
      </c>
      <c r="DR1" s="49">
        <f t="shared" si="1"/>
        <v>48801</v>
      </c>
      <c r="DS1" s="49">
        <f t="shared" si="1"/>
        <v>48832</v>
      </c>
      <c r="DT1" s="49">
        <f t="shared" si="1"/>
        <v>48862</v>
      </c>
      <c r="DU1" s="49">
        <f t="shared" si="1"/>
        <v>48893</v>
      </c>
      <c r="DV1" s="49">
        <f t="shared" si="1"/>
        <v>48923</v>
      </c>
      <c r="DW1" s="49">
        <f t="shared" si="1"/>
        <v>48954</v>
      </c>
      <c r="DX1" s="49">
        <f t="shared" si="1"/>
        <v>48985</v>
      </c>
      <c r="DY1" s="49">
        <f t="shared" si="1"/>
        <v>49013</v>
      </c>
      <c r="DZ1" s="49">
        <f t="shared" si="1"/>
        <v>49044</v>
      </c>
      <c r="EA1" s="49">
        <f t="shared" si="1"/>
        <v>49074</v>
      </c>
      <c r="EB1" s="49">
        <f t="shared" si="1"/>
        <v>49105</v>
      </c>
      <c r="EC1" s="49">
        <f t="shared" si="1"/>
        <v>49135</v>
      </c>
      <c r="ED1" s="49">
        <f t="shared" si="1"/>
        <v>49166</v>
      </c>
      <c r="EE1" s="49">
        <f t="shared" si="1"/>
        <v>49197</v>
      </c>
      <c r="EF1" s="49">
        <f t="shared" si="1"/>
        <v>49227</v>
      </c>
      <c r="EG1" s="49">
        <f t="shared" si="1"/>
        <v>49258</v>
      </c>
      <c r="EH1" s="49">
        <f t="shared" si="1"/>
        <v>49288</v>
      </c>
      <c r="EI1" s="49">
        <f t="shared" ref="EI1:GT1" si="2">+EDATE(EH1,1)</f>
        <v>49319</v>
      </c>
      <c r="EJ1" s="49">
        <f t="shared" si="2"/>
        <v>49350</v>
      </c>
      <c r="EK1" s="49">
        <f t="shared" si="2"/>
        <v>49378</v>
      </c>
      <c r="EL1" s="49">
        <f t="shared" si="2"/>
        <v>49409</v>
      </c>
      <c r="EM1" s="49">
        <f t="shared" si="2"/>
        <v>49439</v>
      </c>
      <c r="EN1" s="49">
        <f t="shared" si="2"/>
        <v>49470</v>
      </c>
      <c r="EO1" s="49">
        <f t="shared" si="2"/>
        <v>49500</v>
      </c>
      <c r="EP1" s="49">
        <f t="shared" si="2"/>
        <v>49531</v>
      </c>
      <c r="EQ1" s="49">
        <f t="shared" si="2"/>
        <v>49562</v>
      </c>
      <c r="ER1" s="49">
        <f t="shared" si="2"/>
        <v>49592</v>
      </c>
      <c r="ES1" s="49">
        <f t="shared" si="2"/>
        <v>49623</v>
      </c>
      <c r="ET1" s="49">
        <f t="shared" si="2"/>
        <v>49653</v>
      </c>
      <c r="EU1" s="49">
        <f t="shared" si="2"/>
        <v>49684</v>
      </c>
      <c r="EV1" s="49">
        <f t="shared" si="2"/>
        <v>49715</v>
      </c>
      <c r="EW1" s="49">
        <f t="shared" si="2"/>
        <v>49744</v>
      </c>
      <c r="EX1" s="49">
        <f t="shared" si="2"/>
        <v>49775</v>
      </c>
      <c r="EY1" s="49">
        <f t="shared" si="2"/>
        <v>49805</v>
      </c>
      <c r="EZ1" s="49">
        <f t="shared" si="2"/>
        <v>49836</v>
      </c>
      <c r="FA1" s="49">
        <f t="shared" si="2"/>
        <v>49866</v>
      </c>
      <c r="FB1" s="49">
        <f t="shared" si="2"/>
        <v>49897</v>
      </c>
      <c r="FC1" s="49">
        <f t="shared" si="2"/>
        <v>49928</v>
      </c>
      <c r="FD1" s="49">
        <f t="shared" si="2"/>
        <v>49958</v>
      </c>
      <c r="FE1" s="49">
        <f t="shared" si="2"/>
        <v>49989</v>
      </c>
      <c r="FF1" s="49">
        <f t="shared" si="2"/>
        <v>50019</v>
      </c>
      <c r="FG1" s="49">
        <f t="shared" si="2"/>
        <v>50050</v>
      </c>
      <c r="FH1" s="49">
        <f t="shared" si="2"/>
        <v>50081</v>
      </c>
      <c r="FI1" s="49">
        <f t="shared" si="2"/>
        <v>50109</v>
      </c>
      <c r="FJ1" s="49">
        <f t="shared" si="2"/>
        <v>50140</v>
      </c>
      <c r="FK1" s="49">
        <f t="shared" si="2"/>
        <v>50170</v>
      </c>
      <c r="FL1" s="49">
        <f t="shared" si="2"/>
        <v>50201</v>
      </c>
      <c r="FM1" s="49">
        <f t="shared" si="2"/>
        <v>50231</v>
      </c>
      <c r="FN1" s="49">
        <f t="shared" si="2"/>
        <v>50262</v>
      </c>
      <c r="FO1" s="49">
        <f t="shared" si="2"/>
        <v>50293</v>
      </c>
      <c r="FP1" s="49">
        <f t="shared" si="2"/>
        <v>50323</v>
      </c>
      <c r="FQ1" s="49">
        <f t="shared" si="2"/>
        <v>50354</v>
      </c>
      <c r="FR1" s="49">
        <f t="shared" si="2"/>
        <v>50384</v>
      </c>
      <c r="FS1" s="49">
        <f t="shared" si="2"/>
        <v>50415</v>
      </c>
      <c r="FT1" s="49">
        <f t="shared" si="2"/>
        <v>50446</v>
      </c>
      <c r="FU1" s="49">
        <f t="shared" si="2"/>
        <v>50474</v>
      </c>
      <c r="FV1" s="49">
        <f t="shared" si="2"/>
        <v>50505</v>
      </c>
      <c r="FW1" s="49">
        <f t="shared" si="2"/>
        <v>50535</v>
      </c>
      <c r="FX1" s="49">
        <f t="shared" si="2"/>
        <v>50566</v>
      </c>
      <c r="FY1" s="49">
        <f t="shared" si="2"/>
        <v>50596</v>
      </c>
      <c r="FZ1" s="49">
        <f t="shared" si="2"/>
        <v>50627</v>
      </c>
      <c r="GA1" s="49">
        <f t="shared" si="2"/>
        <v>50658</v>
      </c>
      <c r="GB1" s="49">
        <f t="shared" si="2"/>
        <v>50688</v>
      </c>
      <c r="GC1" s="49">
        <f t="shared" si="2"/>
        <v>50719</v>
      </c>
      <c r="GD1" s="49">
        <f t="shared" si="2"/>
        <v>50749</v>
      </c>
      <c r="GE1" s="49">
        <f t="shared" si="2"/>
        <v>50780</v>
      </c>
      <c r="GF1" s="49">
        <f t="shared" si="2"/>
        <v>50811</v>
      </c>
      <c r="GG1" s="49">
        <f t="shared" si="2"/>
        <v>50839</v>
      </c>
      <c r="GH1" s="49">
        <f t="shared" si="2"/>
        <v>50870</v>
      </c>
      <c r="GI1" s="49">
        <f t="shared" si="2"/>
        <v>50900</v>
      </c>
      <c r="GJ1" s="49">
        <f t="shared" si="2"/>
        <v>50931</v>
      </c>
      <c r="GK1" s="49">
        <f t="shared" si="2"/>
        <v>50961</v>
      </c>
      <c r="GL1" s="49">
        <f t="shared" si="2"/>
        <v>50992</v>
      </c>
      <c r="GM1" s="49">
        <f t="shared" si="2"/>
        <v>51023</v>
      </c>
      <c r="GN1" s="49">
        <f t="shared" si="2"/>
        <v>51053</v>
      </c>
      <c r="GO1" s="49">
        <f t="shared" si="2"/>
        <v>51084</v>
      </c>
      <c r="GP1" s="49">
        <f t="shared" si="2"/>
        <v>51114</v>
      </c>
      <c r="GQ1" s="49">
        <f t="shared" si="2"/>
        <v>51145</v>
      </c>
      <c r="GR1" s="49">
        <f t="shared" si="2"/>
        <v>51176</v>
      </c>
      <c r="GS1" s="49">
        <f t="shared" si="2"/>
        <v>51205</v>
      </c>
      <c r="GT1" s="49">
        <f t="shared" si="2"/>
        <v>51236</v>
      </c>
      <c r="GU1" s="49">
        <f t="shared" ref="GU1:JF1" si="3">+EDATE(GT1,1)</f>
        <v>51266</v>
      </c>
      <c r="GV1" s="49">
        <f t="shared" si="3"/>
        <v>51297</v>
      </c>
      <c r="GW1" s="49">
        <f t="shared" si="3"/>
        <v>51327</v>
      </c>
      <c r="GX1" s="49">
        <f t="shared" si="3"/>
        <v>51358</v>
      </c>
      <c r="GY1" s="49">
        <f t="shared" si="3"/>
        <v>51389</v>
      </c>
      <c r="GZ1" s="49">
        <f t="shared" si="3"/>
        <v>51419</v>
      </c>
      <c r="HA1" s="49">
        <f t="shared" si="3"/>
        <v>51450</v>
      </c>
      <c r="HB1" s="49">
        <f t="shared" si="3"/>
        <v>51480</v>
      </c>
      <c r="HC1" s="49">
        <f t="shared" si="3"/>
        <v>51511</v>
      </c>
      <c r="HD1" s="49">
        <f t="shared" si="3"/>
        <v>51542</v>
      </c>
      <c r="HE1" s="49">
        <f t="shared" si="3"/>
        <v>51570</v>
      </c>
      <c r="HF1" s="49">
        <f t="shared" si="3"/>
        <v>51601</v>
      </c>
      <c r="HG1" s="49">
        <f t="shared" si="3"/>
        <v>51631</v>
      </c>
      <c r="HH1" s="49">
        <f t="shared" si="3"/>
        <v>51662</v>
      </c>
      <c r="HI1" s="49">
        <f t="shared" si="3"/>
        <v>51692</v>
      </c>
      <c r="HJ1" s="49">
        <f t="shared" si="3"/>
        <v>51723</v>
      </c>
      <c r="HK1" s="49">
        <f t="shared" si="3"/>
        <v>51754</v>
      </c>
      <c r="HL1" s="49">
        <f t="shared" si="3"/>
        <v>51784</v>
      </c>
      <c r="HM1" s="49">
        <f t="shared" si="3"/>
        <v>51815</v>
      </c>
      <c r="HN1" s="49">
        <f t="shared" si="3"/>
        <v>51845</v>
      </c>
      <c r="HO1" s="49">
        <f t="shared" si="3"/>
        <v>51876</v>
      </c>
      <c r="HP1" s="49">
        <f t="shared" si="3"/>
        <v>51907</v>
      </c>
      <c r="HQ1" s="49">
        <f t="shared" si="3"/>
        <v>51935</v>
      </c>
      <c r="HR1" s="49">
        <f t="shared" si="3"/>
        <v>51966</v>
      </c>
      <c r="HS1" s="49">
        <f t="shared" si="3"/>
        <v>51996</v>
      </c>
      <c r="HT1" s="49">
        <f t="shared" si="3"/>
        <v>52027</v>
      </c>
      <c r="HU1" s="49">
        <f t="shared" si="3"/>
        <v>52057</v>
      </c>
      <c r="HV1" s="49">
        <f t="shared" si="3"/>
        <v>52088</v>
      </c>
      <c r="HW1" s="49">
        <f t="shared" si="3"/>
        <v>52119</v>
      </c>
      <c r="HX1" s="49">
        <f t="shared" si="3"/>
        <v>52149</v>
      </c>
      <c r="HY1" s="49">
        <f t="shared" si="3"/>
        <v>52180</v>
      </c>
      <c r="HZ1" s="49">
        <f t="shared" si="3"/>
        <v>52210</v>
      </c>
      <c r="IA1" s="49">
        <f t="shared" si="3"/>
        <v>52241</v>
      </c>
      <c r="IB1" s="49">
        <f t="shared" si="3"/>
        <v>52272</v>
      </c>
      <c r="IC1" s="49">
        <f t="shared" si="3"/>
        <v>52300</v>
      </c>
      <c r="ID1" s="49">
        <f t="shared" si="3"/>
        <v>52331</v>
      </c>
      <c r="IE1" s="49">
        <f t="shared" si="3"/>
        <v>52361</v>
      </c>
      <c r="IF1" s="49">
        <f t="shared" si="3"/>
        <v>52392</v>
      </c>
      <c r="IG1" s="49">
        <f t="shared" si="3"/>
        <v>52422</v>
      </c>
      <c r="IH1" s="49">
        <f t="shared" si="3"/>
        <v>52453</v>
      </c>
      <c r="II1" s="49">
        <f t="shared" si="3"/>
        <v>52484</v>
      </c>
      <c r="IJ1" s="49">
        <f t="shared" si="3"/>
        <v>52514</v>
      </c>
      <c r="IK1" s="49">
        <f t="shared" si="3"/>
        <v>52545</v>
      </c>
      <c r="IL1" s="49">
        <f t="shared" si="3"/>
        <v>52575</v>
      </c>
      <c r="IM1" s="49">
        <f t="shared" si="3"/>
        <v>52606</v>
      </c>
      <c r="IN1" s="49">
        <f t="shared" si="3"/>
        <v>52637</v>
      </c>
      <c r="IO1" s="49">
        <f t="shared" si="3"/>
        <v>52666</v>
      </c>
      <c r="IP1" s="49">
        <f t="shared" si="3"/>
        <v>52697</v>
      </c>
      <c r="IQ1" s="49">
        <f t="shared" si="3"/>
        <v>52727</v>
      </c>
      <c r="IR1" s="49">
        <f t="shared" si="3"/>
        <v>52758</v>
      </c>
      <c r="IS1" s="49">
        <f t="shared" si="3"/>
        <v>52788</v>
      </c>
      <c r="IT1" s="49">
        <f t="shared" si="3"/>
        <v>52819</v>
      </c>
      <c r="IU1" s="49">
        <f t="shared" si="3"/>
        <v>52850</v>
      </c>
      <c r="IV1" s="49">
        <f t="shared" si="3"/>
        <v>52880</v>
      </c>
      <c r="IW1" s="49">
        <f t="shared" si="3"/>
        <v>52911</v>
      </c>
      <c r="IX1" s="49">
        <f t="shared" si="3"/>
        <v>52941</v>
      </c>
      <c r="IY1" s="49">
        <f t="shared" si="3"/>
        <v>52972</v>
      </c>
      <c r="IZ1" s="49">
        <f t="shared" si="3"/>
        <v>53003</v>
      </c>
      <c r="JA1" s="49">
        <f t="shared" si="3"/>
        <v>53031</v>
      </c>
      <c r="JB1" s="49">
        <f t="shared" si="3"/>
        <v>53062</v>
      </c>
      <c r="JC1" s="49">
        <f t="shared" si="3"/>
        <v>53092</v>
      </c>
      <c r="JD1" s="49">
        <f t="shared" si="3"/>
        <v>53123</v>
      </c>
      <c r="JE1" s="49">
        <f t="shared" si="3"/>
        <v>53153</v>
      </c>
      <c r="JF1" s="49">
        <f t="shared" si="3"/>
        <v>53184</v>
      </c>
      <c r="JG1" s="49">
        <f t="shared" ref="JG1:LR1" si="4">+EDATE(JF1,1)</f>
        <v>53215</v>
      </c>
      <c r="JH1" s="49">
        <f t="shared" si="4"/>
        <v>53245</v>
      </c>
      <c r="JI1" s="49">
        <f t="shared" si="4"/>
        <v>53276</v>
      </c>
      <c r="JJ1" s="49">
        <f t="shared" si="4"/>
        <v>53306</v>
      </c>
      <c r="JK1" s="49">
        <f t="shared" si="4"/>
        <v>53337</v>
      </c>
      <c r="JL1" s="49">
        <f t="shared" si="4"/>
        <v>53368</v>
      </c>
      <c r="JM1" s="49">
        <f t="shared" si="4"/>
        <v>53396</v>
      </c>
      <c r="JN1" s="49">
        <f t="shared" si="4"/>
        <v>53427</v>
      </c>
      <c r="JO1" s="49">
        <f t="shared" si="4"/>
        <v>53457</v>
      </c>
      <c r="JP1" s="49">
        <f t="shared" si="4"/>
        <v>53488</v>
      </c>
      <c r="JQ1" s="49">
        <f t="shared" si="4"/>
        <v>53518</v>
      </c>
      <c r="JR1" s="49">
        <f t="shared" si="4"/>
        <v>53549</v>
      </c>
      <c r="JS1" s="49">
        <f t="shared" si="4"/>
        <v>53580</v>
      </c>
      <c r="JT1" s="49">
        <f t="shared" si="4"/>
        <v>53610</v>
      </c>
      <c r="JU1" s="49">
        <f t="shared" si="4"/>
        <v>53641</v>
      </c>
      <c r="JV1" s="49">
        <f t="shared" si="4"/>
        <v>53671</v>
      </c>
      <c r="JW1" s="49">
        <f t="shared" si="4"/>
        <v>53702</v>
      </c>
      <c r="JX1" s="49">
        <f t="shared" si="4"/>
        <v>53733</v>
      </c>
      <c r="JY1" s="49">
        <f t="shared" si="4"/>
        <v>53761</v>
      </c>
      <c r="JZ1" s="49">
        <f t="shared" si="4"/>
        <v>53792</v>
      </c>
      <c r="KA1" s="49">
        <f t="shared" si="4"/>
        <v>53822</v>
      </c>
      <c r="KB1" s="49">
        <f t="shared" si="4"/>
        <v>53853</v>
      </c>
      <c r="KC1" s="49">
        <f t="shared" si="4"/>
        <v>53883</v>
      </c>
      <c r="KD1" s="49">
        <f t="shared" si="4"/>
        <v>53914</v>
      </c>
      <c r="KE1" s="49">
        <f t="shared" si="4"/>
        <v>53945</v>
      </c>
      <c r="KF1" s="49">
        <f t="shared" si="4"/>
        <v>53975</v>
      </c>
      <c r="KG1" s="49">
        <f t="shared" si="4"/>
        <v>54006</v>
      </c>
      <c r="KH1" s="49">
        <f t="shared" si="4"/>
        <v>54036</v>
      </c>
      <c r="KI1" s="49">
        <f t="shared" si="4"/>
        <v>54067</v>
      </c>
      <c r="KJ1" s="49">
        <f t="shared" si="4"/>
        <v>54098</v>
      </c>
      <c r="KK1" s="49">
        <f t="shared" si="4"/>
        <v>54127</v>
      </c>
      <c r="KL1" s="49">
        <f t="shared" si="4"/>
        <v>54158</v>
      </c>
      <c r="KM1" s="49">
        <f t="shared" si="4"/>
        <v>54188</v>
      </c>
      <c r="KN1" s="49">
        <f t="shared" si="4"/>
        <v>54219</v>
      </c>
      <c r="KO1" s="49">
        <f t="shared" si="4"/>
        <v>54249</v>
      </c>
      <c r="KP1" s="49">
        <f t="shared" si="4"/>
        <v>54280</v>
      </c>
      <c r="KQ1" s="49">
        <f t="shared" si="4"/>
        <v>54311</v>
      </c>
      <c r="KR1" s="49">
        <f t="shared" si="4"/>
        <v>54341</v>
      </c>
      <c r="KS1" s="49">
        <f t="shared" si="4"/>
        <v>54372</v>
      </c>
      <c r="KT1" s="49">
        <f t="shared" si="4"/>
        <v>54402</v>
      </c>
      <c r="KU1" s="49">
        <f t="shared" si="4"/>
        <v>54433</v>
      </c>
      <c r="KV1" s="49">
        <f t="shared" si="4"/>
        <v>54464</v>
      </c>
      <c r="KW1" s="49">
        <f t="shared" si="4"/>
        <v>54492</v>
      </c>
      <c r="KX1" s="49">
        <f t="shared" si="4"/>
        <v>54523</v>
      </c>
      <c r="KY1" s="49">
        <f t="shared" si="4"/>
        <v>54553</v>
      </c>
      <c r="KZ1" s="49">
        <f t="shared" si="4"/>
        <v>54584</v>
      </c>
      <c r="LA1" s="49">
        <f t="shared" si="4"/>
        <v>54614</v>
      </c>
      <c r="LB1" s="49">
        <f t="shared" si="4"/>
        <v>54645</v>
      </c>
      <c r="LC1" s="49">
        <f t="shared" si="4"/>
        <v>54676</v>
      </c>
      <c r="LD1" s="49">
        <f t="shared" si="4"/>
        <v>54706</v>
      </c>
      <c r="LE1" s="49">
        <f t="shared" si="4"/>
        <v>54737</v>
      </c>
      <c r="LF1" s="49">
        <f t="shared" si="4"/>
        <v>54767</v>
      </c>
      <c r="LG1" s="49">
        <f t="shared" si="4"/>
        <v>54798</v>
      </c>
      <c r="LH1" s="49">
        <f t="shared" si="4"/>
        <v>54829</v>
      </c>
      <c r="LI1" s="49">
        <f t="shared" si="4"/>
        <v>54857</v>
      </c>
      <c r="LJ1" s="49">
        <f t="shared" si="4"/>
        <v>54888</v>
      </c>
      <c r="LK1" s="49">
        <f t="shared" si="4"/>
        <v>54918</v>
      </c>
      <c r="LL1" s="49">
        <f t="shared" si="4"/>
        <v>54949</v>
      </c>
      <c r="LM1" s="49">
        <f t="shared" si="4"/>
        <v>54979</v>
      </c>
      <c r="LN1" s="49">
        <f t="shared" si="4"/>
        <v>55010</v>
      </c>
      <c r="LO1" s="49">
        <f t="shared" si="4"/>
        <v>55041</v>
      </c>
      <c r="LP1" s="49">
        <f t="shared" si="4"/>
        <v>55071</v>
      </c>
      <c r="LQ1" s="49">
        <f t="shared" si="4"/>
        <v>55102</v>
      </c>
      <c r="LR1" s="49">
        <f t="shared" si="4"/>
        <v>55132</v>
      </c>
      <c r="LS1" s="49">
        <f t="shared" ref="LS1:OD1" si="5">+EDATE(LR1,1)</f>
        <v>55163</v>
      </c>
      <c r="LT1" s="49">
        <f t="shared" si="5"/>
        <v>55194</v>
      </c>
      <c r="LU1" s="49">
        <f t="shared" si="5"/>
        <v>55222</v>
      </c>
      <c r="LV1" s="49">
        <f t="shared" si="5"/>
        <v>55253</v>
      </c>
      <c r="LW1" s="49">
        <f t="shared" si="5"/>
        <v>55283</v>
      </c>
      <c r="LX1" s="49">
        <f t="shared" si="5"/>
        <v>55314</v>
      </c>
      <c r="LY1" s="49">
        <f t="shared" si="5"/>
        <v>55344</v>
      </c>
      <c r="LZ1" s="49">
        <f t="shared" si="5"/>
        <v>55375</v>
      </c>
      <c r="MA1" s="49">
        <f t="shared" si="5"/>
        <v>55406</v>
      </c>
      <c r="MB1" s="49">
        <f t="shared" si="5"/>
        <v>55436</v>
      </c>
      <c r="MC1" s="49">
        <f t="shared" si="5"/>
        <v>55467</v>
      </c>
      <c r="MD1" s="49">
        <f t="shared" si="5"/>
        <v>55497</v>
      </c>
      <c r="ME1" s="49">
        <f t="shared" si="5"/>
        <v>55528</v>
      </c>
      <c r="MF1" s="49">
        <f t="shared" si="5"/>
        <v>55559</v>
      </c>
      <c r="MG1" s="49">
        <f t="shared" si="5"/>
        <v>55588</v>
      </c>
      <c r="MH1" s="49">
        <f t="shared" si="5"/>
        <v>55619</v>
      </c>
      <c r="MI1" s="49">
        <f t="shared" si="5"/>
        <v>55649</v>
      </c>
      <c r="MJ1" s="49">
        <f t="shared" si="5"/>
        <v>55680</v>
      </c>
      <c r="MK1" s="49">
        <f t="shared" si="5"/>
        <v>55710</v>
      </c>
      <c r="ML1" s="49">
        <f t="shared" si="5"/>
        <v>55741</v>
      </c>
      <c r="MM1" s="49">
        <f t="shared" si="5"/>
        <v>55772</v>
      </c>
      <c r="MN1" s="49">
        <f t="shared" si="5"/>
        <v>55802</v>
      </c>
      <c r="MO1" s="49">
        <f t="shared" si="5"/>
        <v>55833</v>
      </c>
      <c r="MP1" s="49">
        <f t="shared" si="5"/>
        <v>55863</v>
      </c>
      <c r="MQ1" s="49">
        <f t="shared" si="5"/>
        <v>55894</v>
      </c>
      <c r="MR1" s="49">
        <f t="shared" si="5"/>
        <v>55925</v>
      </c>
      <c r="MS1" s="49">
        <f t="shared" si="5"/>
        <v>55953</v>
      </c>
      <c r="MT1" s="49">
        <f t="shared" si="5"/>
        <v>55984</v>
      </c>
      <c r="MU1" s="49">
        <f t="shared" si="5"/>
        <v>56014</v>
      </c>
      <c r="MV1" s="49">
        <f t="shared" si="5"/>
        <v>56045</v>
      </c>
      <c r="MW1" s="49">
        <f t="shared" si="5"/>
        <v>56075</v>
      </c>
      <c r="MX1" s="49">
        <f t="shared" si="5"/>
        <v>56106</v>
      </c>
      <c r="MY1" s="49">
        <f t="shared" si="5"/>
        <v>56137</v>
      </c>
      <c r="MZ1" s="49">
        <f t="shared" si="5"/>
        <v>56167</v>
      </c>
      <c r="NA1" s="49">
        <f t="shared" si="5"/>
        <v>56198</v>
      </c>
      <c r="NB1" s="49">
        <f t="shared" si="5"/>
        <v>56228</v>
      </c>
      <c r="NC1" s="49">
        <f t="shared" si="5"/>
        <v>56259</v>
      </c>
      <c r="ND1" s="49">
        <f t="shared" si="5"/>
        <v>56290</v>
      </c>
      <c r="NE1" s="49">
        <f t="shared" si="5"/>
        <v>56318</v>
      </c>
      <c r="NF1" s="49">
        <f t="shared" si="5"/>
        <v>56349</v>
      </c>
      <c r="NG1" s="49">
        <f t="shared" si="5"/>
        <v>56379</v>
      </c>
      <c r="NH1" s="49">
        <f t="shared" si="5"/>
        <v>56410</v>
      </c>
      <c r="NI1" s="49">
        <f t="shared" si="5"/>
        <v>56440</v>
      </c>
      <c r="NJ1" s="49">
        <f t="shared" si="5"/>
        <v>56471</v>
      </c>
      <c r="NK1" s="49">
        <f t="shared" si="5"/>
        <v>56502</v>
      </c>
      <c r="NL1" s="49">
        <f t="shared" si="5"/>
        <v>56532</v>
      </c>
      <c r="NM1" s="49">
        <f t="shared" si="5"/>
        <v>56563</v>
      </c>
      <c r="NN1" s="49">
        <f t="shared" si="5"/>
        <v>56593</v>
      </c>
      <c r="NO1" s="49">
        <f t="shared" si="5"/>
        <v>56624</v>
      </c>
      <c r="NP1" s="49">
        <f t="shared" si="5"/>
        <v>56655</v>
      </c>
      <c r="NQ1" s="49">
        <f t="shared" si="5"/>
        <v>56683</v>
      </c>
      <c r="NR1" s="49">
        <f t="shared" si="5"/>
        <v>56714</v>
      </c>
      <c r="NS1" s="49">
        <f t="shared" si="5"/>
        <v>56744</v>
      </c>
      <c r="NT1" s="49">
        <f t="shared" si="5"/>
        <v>56775</v>
      </c>
      <c r="NU1" s="49">
        <f t="shared" si="5"/>
        <v>56805</v>
      </c>
      <c r="NV1" s="49">
        <f t="shared" si="5"/>
        <v>56836</v>
      </c>
      <c r="NW1" s="49">
        <f t="shared" si="5"/>
        <v>56867</v>
      </c>
      <c r="NX1" s="49">
        <f t="shared" si="5"/>
        <v>56897</v>
      </c>
      <c r="NY1" s="49">
        <f t="shared" si="5"/>
        <v>56928</v>
      </c>
      <c r="NZ1" s="49">
        <f t="shared" si="5"/>
        <v>56958</v>
      </c>
      <c r="OA1" s="49">
        <f t="shared" si="5"/>
        <v>56989</v>
      </c>
      <c r="OB1" s="49">
        <f t="shared" si="5"/>
        <v>57020</v>
      </c>
      <c r="OC1" s="49">
        <f t="shared" si="5"/>
        <v>57049</v>
      </c>
      <c r="OD1" s="49">
        <f t="shared" si="5"/>
        <v>57080</v>
      </c>
      <c r="OE1" s="49">
        <f t="shared" ref="OE1:QP1" si="6">+EDATE(OD1,1)</f>
        <v>57110</v>
      </c>
      <c r="OF1" s="49">
        <f t="shared" si="6"/>
        <v>57141</v>
      </c>
      <c r="OG1" s="49">
        <f t="shared" si="6"/>
        <v>57171</v>
      </c>
      <c r="OH1" s="49">
        <f t="shared" si="6"/>
        <v>57202</v>
      </c>
      <c r="OI1" s="49">
        <f t="shared" si="6"/>
        <v>57233</v>
      </c>
      <c r="OJ1" s="49">
        <f t="shared" si="6"/>
        <v>57263</v>
      </c>
      <c r="OK1" s="49">
        <f t="shared" si="6"/>
        <v>57294</v>
      </c>
      <c r="OL1" s="49">
        <f t="shared" si="6"/>
        <v>57324</v>
      </c>
      <c r="OM1" s="49">
        <f t="shared" si="6"/>
        <v>57355</v>
      </c>
      <c r="ON1" s="49">
        <f t="shared" si="6"/>
        <v>57386</v>
      </c>
      <c r="OO1" s="49">
        <f t="shared" si="6"/>
        <v>57414</v>
      </c>
      <c r="OP1" s="49">
        <f t="shared" si="6"/>
        <v>57445</v>
      </c>
      <c r="OQ1" s="49">
        <f t="shared" si="6"/>
        <v>57475</v>
      </c>
      <c r="OR1" s="49">
        <f t="shared" si="6"/>
        <v>57506</v>
      </c>
      <c r="OS1" s="49">
        <f t="shared" si="6"/>
        <v>57536</v>
      </c>
      <c r="OT1" s="49">
        <f t="shared" si="6"/>
        <v>57567</v>
      </c>
      <c r="OU1" s="49">
        <f t="shared" si="6"/>
        <v>57598</v>
      </c>
      <c r="OV1" s="49">
        <f t="shared" si="6"/>
        <v>57628</v>
      </c>
      <c r="OW1" s="49">
        <f t="shared" si="6"/>
        <v>57659</v>
      </c>
      <c r="OX1" s="49">
        <f t="shared" si="6"/>
        <v>57689</v>
      </c>
      <c r="OY1" s="49">
        <f t="shared" si="6"/>
        <v>57720</v>
      </c>
      <c r="OZ1" s="49">
        <f t="shared" si="6"/>
        <v>57751</v>
      </c>
      <c r="PA1" s="49">
        <f t="shared" si="6"/>
        <v>57779</v>
      </c>
      <c r="PB1" s="49">
        <f t="shared" si="6"/>
        <v>57810</v>
      </c>
      <c r="PC1" s="49">
        <f t="shared" si="6"/>
        <v>57840</v>
      </c>
      <c r="PD1" s="49">
        <f t="shared" si="6"/>
        <v>57871</v>
      </c>
      <c r="PE1" s="49">
        <f t="shared" si="6"/>
        <v>57901</v>
      </c>
      <c r="PF1" s="49">
        <f t="shared" si="6"/>
        <v>57932</v>
      </c>
      <c r="PG1" s="49">
        <f t="shared" si="6"/>
        <v>57963</v>
      </c>
      <c r="PH1" s="49">
        <f t="shared" si="6"/>
        <v>57993</v>
      </c>
      <c r="PI1" s="49">
        <f t="shared" si="6"/>
        <v>58024</v>
      </c>
      <c r="PJ1" s="49">
        <f t="shared" si="6"/>
        <v>58054</v>
      </c>
      <c r="PK1" s="49">
        <f t="shared" si="6"/>
        <v>58085</v>
      </c>
      <c r="PL1" s="49">
        <f t="shared" si="6"/>
        <v>58116</v>
      </c>
      <c r="PM1" s="49">
        <f t="shared" si="6"/>
        <v>58144</v>
      </c>
      <c r="PN1" s="49">
        <f t="shared" si="6"/>
        <v>58175</v>
      </c>
      <c r="PO1" s="49">
        <f t="shared" si="6"/>
        <v>58205</v>
      </c>
      <c r="PP1" s="49">
        <f t="shared" si="6"/>
        <v>58236</v>
      </c>
      <c r="PQ1" s="49">
        <f t="shared" si="6"/>
        <v>58266</v>
      </c>
      <c r="PR1" s="49">
        <f t="shared" si="6"/>
        <v>58297</v>
      </c>
      <c r="PS1" s="49">
        <f t="shared" si="6"/>
        <v>58328</v>
      </c>
      <c r="PT1" s="49">
        <f t="shared" si="6"/>
        <v>58358</v>
      </c>
      <c r="PU1" s="49">
        <f t="shared" si="6"/>
        <v>58389</v>
      </c>
      <c r="PV1" s="49">
        <f t="shared" si="6"/>
        <v>58419</v>
      </c>
      <c r="PW1" s="49">
        <f t="shared" si="6"/>
        <v>58450</v>
      </c>
      <c r="PX1" s="49">
        <f t="shared" si="6"/>
        <v>58481</v>
      </c>
      <c r="PY1" s="49">
        <f t="shared" si="6"/>
        <v>58510</v>
      </c>
      <c r="PZ1" s="49">
        <f t="shared" si="6"/>
        <v>58541</v>
      </c>
      <c r="QA1" s="49">
        <f t="shared" si="6"/>
        <v>58571</v>
      </c>
      <c r="QB1" s="49">
        <f t="shared" si="6"/>
        <v>58602</v>
      </c>
      <c r="QC1" s="49">
        <f t="shared" si="6"/>
        <v>58632</v>
      </c>
      <c r="QD1" s="49">
        <f t="shared" si="6"/>
        <v>58663</v>
      </c>
      <c r="QE1" s="49">
        <f t="shared" si="6"/>
        <v>58694</v>
      </c>
      <c r="QF1" s="49">
        <f t="shared" si="6"/>
        <v>58724</v>
      </c>
      <c r="QG1" s="49">
        <f t="shared" si="6"/>
        <v>58755</v>
      </c>
      <c r="QH1" s="49">
        <f t="shared" si="6"/>
        <v>58785</v>
      </c>
      <c r="QI1" s="49">
        <f t="shared" si="6"/>
        <v>58816</v>
      </c>
      <c r="QJ1" s="49">
        <f t="shared" si="6"/>
        <v>58847</v>
      </c>
      <c r="QK1" s="49">
        <f t="shared" si="6"/>
        <v>58875</v>
      </c>
      <c r="QL1" s="49">
        <f t="shared" si="6"/>
        <v>58906</v>
      </c>
      <c r="QM1" s="49">
        <f t="shared" si="6"/>
        <v>58936</v>
      </c>
      <c r="QN1" s="49">
        <f t="shared" si="6"/>
        <v>58967</v>
      </c>
      <c r="QO1" s="49">
        <f t="shared" si="6"/>
        <v>58997</v>
      </c>
      <c r="QP1" s="49">
        <f t="shared" si="6"/>
        <v>59028</v>
      </c>
      <c r="QQ1" s="49">
        <f t="shared" ref="QQ1:TB1" si="7">+EDATE(QP1,1)</f>
        <v>59059</v>
      </c>
      <c r="QR1" s="49">
        <f t="shared" si="7"/>
        <v>59089</v>
      </c>
      <c r="QS1" s="49">
        <f t="shared" si="7"/>
        <v>59120</v>
      </c>
      <c r="QT1" s="49">
        <f t="shared" si="7"/>
        <v>59150</v>
      </c>
      <c r="QU1" s="49">
        <f t="shared" si="7"/>
        <v>59181</v>
      </c>
      <c r="QV1" s="49">
        <f t="shared" si="7"/>
        <v>59212</v>
      </c>
      <c r="QW1" s="49">
        <f t="shared" si="7"/>
        <v>59240</v>
      </c>
      <c r="QX1" s="49">
        <f t="shared" si="7"/>
        <v>59271</v>
      </c>
      <c r="QY1" s="49">
        <f t="shared" si="7"/>
        <v>59301</v>
      </c>
      <c r="QZ1" s="49">
        <f t="shared" si="7"/>
        <v>59332</v>
      </c>
      <c r="RA1" s="49">
        <f t="shared" si="7"/>
        <v>59362</v>
      </c>
      <c r="RB1" s="49">
        <f t="shared" si="7"/>
        <v>59393</v>
      </c>
      <c r="RC1" s="49">
        <f t="shared" si="7"/>
        <v>59424</v>
      </c>
      <c r="RD1" s="49">
        <f t="shared" si="7"/>
        <v>59454</v>
      </c>
      <c r="RE1" s="49">
        <f t="shared" si="7"/>
        <v>59485</v>
      </c>
      <c r="RF1" s="49">
        <f t="shared" si="7"/>
        <v>59515</v>
      </c>
      <c r="RG1" s="49">
        <f t="shared" si="7"/>
        <v>59546</v>
      </c>
      <c r="RH1" s="49">
        <f t="shared" si="7"/>
        <v>59577</v>
      </c>
      <c r="RI1" s="49">
        <f t="shared" si="7"/>
        <v>59605</v>
      </c>
      <c r="RJ1" s="49">
        <f t="shared" si="7"/>
        <v>59636</v>
      </c>
      <c r="RK1" s="49">
        <f t="shared" si="7"/>
        <v>59666</v>
      </c>
      <c r="RL1" s="49">
        <f t="shared" si="7"/>
        <v>59697</v>
      </c>
      <c r="RM1" s="49">
        <f t="shared" si="7"/>
        <v>59727</v>
      </c>
      <c r="RN1" s="49">
        <f t="shared" si="7"/>
        <v>59758</v>
      </c>
      <c r="RO1" s="49">
        <f t="shared" si="7"/>
        <v>59789</v>
      </c>
      <c r="RP1" s="49">
        <f t="shared" si="7"/>
        <v>59819</v>
      </c>
      <c r="RQ1" s="49">
        <f t="shared" si="7"/>
        <v>59850</v>
      </c>
      <c r="RR1" s="49">
        <f t="shared" si="7"/>
        <v>59880</v>
      </c>
      <c r="RS1" s="49">
        <f t="shared" si="7"/>
        <v>59911</v>
      </c>
      <c r="RT1" s="49">
        <f t="shared" si="7"/>
        <v>59942</v>
      </c>
      <c r="RU1" s="49">
        <f t="shared" si="7"/>
        <v>59971</v>
      </c>
      <c r="RV1" s="49">
        <f t="shared" si="7"/>
        <v>60002</v>
      </c>
      <c r="RW1" s="49">
        <f t="shared" si="7"/>
        <v>60032</v>
      </c>
      <c r="RX1" s="49">
        <f t="shared" si="7"/>
        <v>60063</v>
      </c>
      <c r="RY1" s="49">
        <f t="shared" si="7"/>
        <v>60093</v>
      </c>
      <c r="RZ1" s="49">
        <f t="shared" si="7"/>
        <v>60124</v>
      </c>
      <c r="SA1" s="49">
        <f t="shared" si="7"/>
        <v>60155</v>
      </c>
      <c r="SB1" s="49">
        <f t="shared" si="7"/>
        <v>60185</v>
      </c>
      <c r="SC1" s="49">
        <f t="shared" si="7"/>
        <v>60216</v>
      </c>
      <c r="SD1" s="49">
        <f t="shared" si="7"/>
        <v>60246</v>
      </c>
      <c r="SE1" s="49">
        <f t="shared" si="7"/>
        <v>60277</v>
      </c>
      <c r="SF1" s="49">
        <f t="shared" si="7"/>
        <v>60308</v>
      </c>
      <c r="SG1" s="49">
        <f t="shared" si="7"/>
        <v>60336</v>
      </c>
      <c r="SH1" s="49">
        <f t="shared" si="7"/>
        <v>60367</v>
      </c>
      <c r="SI1" s="49">
        <f t="shared" si="7"/>
        <v>60397</v>
      </c>
      <c r="SJ1" s="49">
        <f t="shared" si="7"/>
        <v>60428</v>
      </c>
      <c r="SK1" s="49">
        <f t="shared" si="7"/>
        <v>60458</v>
      </c>
      <c r="SL1" s="49">
        <f t="shared" si="7"/>
        <v>60489</v>
      </c>
      <c r="SM1" s="49">
        <f t="shared" si="7"/>
        <v>60520</v>
      </c>
      <c r="SN1" s="49">
        <f t="shared" si="7"/>
        <v>60550</v>
      </c>
      <c r="SO1" s="49">
        <f t="shared" si="7"/>
        <v>60581</v>
      </c>
      <c r="SP1" s="49">
        <f t="shared" si="7"/>
        <v>60611</v>
      </c>
      <c r="SQ1" s="49">
        <f t="shared" si="7"/>
        <v>60642</v>
      </c>
      <c r="SR1" s="49">
        <f t="shared" si="7"/>
        <v>60673</v>
      </c>
      <c r="SS1" s="49">
        <f t="shared" si="7"/>
        <v>60701</v>
      </c>
      <c r="ST1" s="49">
        <f t="shared" si="7"/>
        <v>60732</v>
      </c>
      <c r="SU1" s="49">
        <f t="shared" si="7"/>
        <v>60762</v>
      </c>
      <c r="SV1" s="49">
        <f t="shared" si="7"/>
        <v>60793</v>
      </c>
      <c r="SW1" s="49">
        <f t="shared" si="7"/>
        <v>60823</v>
      </c>
      <c r="SX1" s="49">
        <f t="shared" si="7"/>
        <v>60854</v>
      </c>
      <c r="SY1" s="49">
        <f t="shared" si="7"/>
        <v>60885</v>
      </c>
      <c r="SZ1" s="49">
        <f t="shared" si="7"/>
        <v>60915</v>
      </c>
      <c r="TA1" s="49">
        <f t="shared" si="7"/>
        <v>60946</v>
      </c>
      <c r="TB1" s="49">
        <f t="shared" si="7"/>
        <v>60976</v>
      </c>
      <c r="TC1" s="49">
        <f t="shared" ref="TC1:VN1" si="8">+EDATE(TB1,1)</f>
        <v>61007</v>
      </c>
      <c r="TD1" s="49">
        <f t="shared" si="8"/>
        <v>61038</v>
      </c>
      <c r="TE1" s="49">
        <f t="shared" si="8"/>
        <v>61066</v>
      </c>
      <c r="TF1" s="49">
        <f t="shared" si="8"/>
        <v>61097</v>
      </c>
      <c r="TG1" s="49">
        <f t="shared" si="8"/>
        <v>61127</v>
      </c>
      <c r="TH1" s="49">
        <f t="shared" si="8"/>
        <v>61158</v>
      </c>
      <c r="TI1" s="49">
        <f t="shared" si="8"/>
        <v>61188</v>
      </c>
      <c r="TJ1" s="49">
        <f t="shared" si="8"/>
        <v>61219</v>
      </c>
      <c r="TK1" s="49">
        <f t="shared" si="8"/>
        <v>61250</v>
      </c>
      <c r="TL1" s="49">
        <f t="shared" si="8"/>
        <v>61280</v>
      </c>
      <c r="TM1" s="49">
        <f t="shared" si="8"/>
        <v>61311</v>
      </c>
      <c r="TN1" s="49">
        <f t="shared" si="8"/>
        <v>61341</v>
      </c>
      <c r="TO1" s="49">
        <f t="shared" si="8"/>
        <v>61372</v>
      </c>
      <c r="TP1" s="49">
        <f t="shared" si="8"/>
        <v>61403</v>
      </c>
      <c r="TQ1" s="49">
        <f t="shared" si="8"/>
        <v>61432</v>
      </c>
      <c r="TR1" s="49">
        <f t="shared" si="8"/>
        <v>61463</v>
      </c>
      <c r="TS1" s="49">
        <f t="shared" si="8"/>
        <v>61493</v>
      </c>
      <c r="TT1" s="49">
        <f t="shared" si="8"/>
        <v>61524</v>
      </c>
      <c r="TU1" s="49">
        <f t="shared" si="8"/>
        <v>61554</v>
      </c>
      <c r="TV1" s="49">
        <f t="shared" si="8"/>
        <v>61585</v>
      </c>
      <c r="TW1" s="49">
        <f t="shared" si="8"/>
        <v>61616</v>
      </c>
      <c r="TX1" s="49">
        <f t="shared" si="8"/>
        <v>61646</v>
      </c>
      <c r="TY1" s="49">
        <f t="shared" si="8"/>
        <v>61677</v>
      </c>
      <c r="TZ1" s="49">
        <f t="shared" si="8"/>
        <v>61707</v>
      </c>
      <c r="UA1" s="49">
        <f t="shared" si="8"/>
        <v>61738</v>
      </c>
      <c r="UB1" s="49">
        <f t="shared" si="8"/>
        <v>61769</v>
      </c>
      <c r="UC1" s="49">
        <f t="shared" si="8"/>
        <v>61797</v>
      </c>
      <c r="UD1" s="49">
        <f t="shared" si="8"/>
        <v>61828</v>
      </c>
      <c r="UE1" s="49">
        <f t="shared" si="8"/>
        <v>61858</v>
      </c>
      <c r="UF1" s="49">
        <f t="shared" si="8"/>
        <v>61889</v>
      </c>
      <c r="UG1" s="49">
        <f t="shared" si="8"/>
        <v>61919</v>
      </c>
      <c r="UH1" s="49">
        <f t="shared" si="8"/>
        <v>61950</v>
      </c>
      <c r="UI1" s="49">
        <f t="shared" si="8"/>
        <v>61981</v>
      </c>
      <c r="UJ1" s="49">
        <f t="shared" si="8"/>
        <v>62011</v>
      </c>
      <c r="UK1" s="49">
        <f t="shared" si="8"/>
        <v>62042</v>
      </c>
      <c r="UL1" s="49">
        <f t="shared" si="8"/>
        <v>62072</v>
      </c>
      <c r="UM1" s="49">
        <f t="shared" si="8"/>
        <v>62103</v>
      </c>
      <c r="UN1" s="49">
        <f t="shared" si="8"/>
        <v>62134</v>
      </c>
      <c r="UO1" s="49">
        <f t="shared" si="8"/>
        <v>62162</v>
      </c>
      <c r="UP1" s="49">
        <f t="shared" si="8"/>
        <v>62193</v>
      </c>
      <c r="UQ1" s="49">
        <f t="shared" si="8"/>
        <v>62223</v>
      </c>
      <c r="UR1" s="49">
        <f t="shared" si="8"/>
        <v>62254</v>
      </c>
      <c r="US1" s="49">
        <f t="shared" si="8"/>
        <v>62284</v>
      </c>
      <c r="UT1" s="49">
        <f t="shared" si="8"/>
        <v>62315</v>
      </c>
      <c r="UU1" s="49">
        <f t="shared" si="8"/>
        <v>62346</v>
      </c>
      <c r="UV1" s="49">
        <f t="shared" si="8"/>
        <v>62376</v>
      </c>
      <c r="UW1" s="49">
        <f t="shared" si="8"/>
        <v>62407</v>
      </c>
      <c r="UX1" s="49">
        <f t="shared" si="8"/>
        <v>62437</v>
      </c>
      <c r="UY1" s="49">
        <f t="shared" si="8"/>
        <v>62468</v>
      </c>
      <c r="UZ1" s="49">
        <f t="shared" si="8"/>
        <v>62499</v>
      </c>
      <c r="VA1" s="49">
        <f t="shared" si="8"/>
        <v>62527</v>
      </c>
      <c r="VB1" s="49">
        <f t="shared" si="8"/>
        <v>62558</v>
      </c>
      <c r="VC1" s="49">
        <f t="shared" si="8"/>
        <v>62588</v>
      </c>
      <c r="VD1" s="49">
        <f t="shared" si="8"/>
        <v>62619</v>
      </c>
      <c r="VE1" s="49">
        <f t="shared" si="8"/>
        <v>62649</v>
      </c>
      <c r="VF1" s="49">
        <f t="shared" si="8"/>
        <v>62680</v>
      </c>
      <c r="VG1" s="49">
        <f t="shared" si="8"/>
        <v>62711</v>
      </c>
      <c r="VH1" s="49">
        <f t="shared" si="8"/>
        <v>62741</v>
      </c>
      <c r="VI1" s="49">
        <f t="shared" si="8"/>
        <v>62772</v>
      </c>
      <c r="VJ1" s="49">
        <f t="shared" si="8"/>
        <v>62802</v>
      </c>
      <c r="VK1" s="49">
        <f t="shared" si="8"/>
        <v>62833</v>
      </c>
      <c r="VL1" s="49">
        <f t="shared" si="8"/>
        <v>62864</v>
      </c>
      <c r="VM1" s="49">
        <f t="shared" si="8"/>
        <v>62893</v>
      </c>
      <c r="VN1" s="49">
        <f t="shared" si="8"/>
        <v>62924</v>
      </c>
      <c r="VO1" s="49">
        <f t="shared" ref="VO1:XZ1" si="9">+EDATE(VN1,1)</f>
        <v>62954</v>
      </c>
      <c r="VP1" s="49">
        <f t="shared" si="9"/>
        <v>62985</v>
      </c>
      <c r="VQ1" s="49">
        <f t="shared" si="9"/>
        <v>63015</v>
      </c>
      <c r="VR1" s="49">
        <f t="shared" si="9"/>
        <v>63046</v>
      </c>
      <c r="VS1" s="49">
        <f t="shared" si="9"/>
        <v>63077</v>
      </c>
      <c r="VT1" s="49">
        <f t="shared" si="9"/>
        <v>63107</v>
      </c>
      <c r="VU1" s="49">
        <f t="shared" si="9"/>
        <v>63138</v>
      </c>
      <c r="VV1" s="49">
        <f t="shared" si="9"/>
        <v>63168</v>
      </c>
      <c r="VW1" s="49">
        <f t="shared" si="9"/>
        <v>63199</v>
      </c>
      <c r="VX1" s="49">
        <f t="shared" si="9"/>
        <v>63230</v>
      </c>
      <c r="VY1" s="49">
        <f t="shared" si="9"/>
        <v>63258</v>
      </c>
      <c r="VZ1" s="49">
        <f t="shared" si="9"/>
        <v>63289</v>
      </c>
      <c r="WA1" s="49">
        <f t="shared" si="9"/>
        <v>63319</v>
      </c>
      <c r="WB1" s="49">
        <f t="shared" si="9"/>
        <v>63350</v>
      </c>
      <c r="WC1" s="49">
        <f t="shared" si="9"/>
        <v>63380</v>
      </c>
      <c r="WD1" s="49">
        <f t="shared" si="9"/>
        <v>63411</v>
      </c>
      <c r="WE1" s="49">
        <f t="shared" si="9"/>
        <v>63442</v>
      </c>
      <c r="WF1" s="49">
        <f t="shared" si="9"/>
        <v>63472</v>
      </c>
      <c r="WG1" s="49">
        <f t="shared" si="9"/>
        <v>63503</v>
      </c>
      <c r="WH1" s="49">
        <f t="shared" si="9"/>
        <v>63533</v>
      </c>
      <c r="WI1" s="49">
        <f t="shared" si="9"/>
        <v>63564</v>
      </c>
      <c r="WJ1" s="49">
        <f t="shared" si="9"/>
        <v>63595</v>
      </c>
      <c r="WK1" s="49">
        <f t="shared" si="9"/>
        <v>63623</v>
      </c>
      <c r="WL1" s="49">
        <f t="shared" si="9"/>
        <v>63654</v>
      </c>
      <c r="WM1" s="49">
        <f t="shared" si="9"/>
        <v>63684</v>
      </c>
      <c r="WN1" s="49">
        <f t="shared" si="9"/>
        <v>63715</v>
      </c>
      <c r="WO1" s="49">
        <f t="shared" si="9"/>
        <v>63745</v>
      </c>
      <c r="WP1" s="49">
        <f t="shared" si="9"/>
        <v>63776</v>
      </c>
      <c r="WQ1" s="49">
        <f t="shared" si="9"/>
        <v>63807</v>
      </c>
      <c r="WR1" s="49">
        <f t="shared" si="9"/>
        <v>63837</v>
      </c>
      <c r="WS1" s="49">
        <f t="shared" si="9"/>
        <v>63868</v>
      </c>
      <c r="WT1" s="49">
        <f t="shared" si="9"/>
        <v>63898</v>
      </c>
      <c r="WU1" s="49">
        <f t="shared" si="9"/>
        <v>63929</v>
      </c>
      <c r="WV1" s="49">
        <f t="shared" si="9"/>
        <v>63960</v>
      </c>
      <c r="WW1" s="49">
        <f t="shared" si="9"/>
        <v>63988</v>
      </c>
      <c r="WX1" s="49">
        <f t="shared" si="9"/>
        <v>64019</v>
      </c>
      <c r="WY1" s="49">
        <f t="shared" si="9"/>
        <v>64049</v>
      </c>
      <c r="WZ1" s="49">
        <f t="shared" si="9"/>
        <v>64080</v>
      </c>
      <c r="XA1" s="49">
        <f t="shared" si="9"/>
        <v>64110</v>
      </c>
      <c r="XB1" s="49">
        <f t="shared" si="9"/>
        <v>64141</v>
      </c>
      <c r="XC1" s="49">
        <f t="shared" si="9"/>
        <v>64172</v>
      </c>
      <c r="XD1" s="49">
        <f t="shared" si="9"/>
        <v>64202</v>
      </c>
      <c r="XE1" s="49">
        <f t="shared" si="9"/>
        <v>64233</v>
      </c>
      <c r="XF1" s="49">
        <f t="shared" si="9"/>
        <v>64263</v>
      </c>
      <c r="XG1" s="49">
        <f t="shared" si="9"/>
        <v>64294</v>
      </c>
      <c r="XH1" s="49">
        <f t="shared" si="9"/>
        <v>64325</v>
      </c>
      <c r="XI1" s="49">
        <f t="shared" si="9"/>
        <v>64354</v>
      </c>
      <c r="XJ1" s="49">
        <f t="shared" si="9"/>
        <v>64385</v>
      </c>
      <c r="XK1" s="49">
        <f t="shared" si="9"/>
        <v>64415</v>
      </c>
      <c r="XL1" s="49">
        <f t="shared" si="9"/>
        <v>64446</v>
      </c>
      <c r="XM1" s="49">
        <f t="shared" si="9"/>
        <v>64476</v>
      </c>
      <c r="XN1" s="49">
        <f t="shared" si="9"/>
        <v>64507</v>
      </c>
      <c r="XO1" s="49">
        <f t="shared" si="9"/>
        <v>64538</v>
      </c>
      <c r="XP1" s="49">
        <f t="shared" si="9"/>
        <v>64568</v>
      </c>
      <c r="XQ1" s="49">
        <f t="shared" si="9"/>
        <v>64599</v>
      </c>
      <c r="XR1" s="49">
        <f t="shared" si="9"/>
        <v>64629</v>
      </c>
      <c r="XS1" s="49">
        <f t="shared" si="9"/>
        <v>64660</v>
      </c>
      <c r="XT1" s="49">
        <f t="shared" si="9"/>
        <v>64691</v>
      </c>
      <c r="XU1" s="49">
        <f t="shared" si="9"/>
        <v>64719</v>
      </c>
      <c r="XV1" s="49">
        <f t="shared" si="9"/>
        <v>64750</v>
      </c>
      <c r="XW1" s="49">
        <f t="shared" si="9"/>
        <v>64780</v>
      </c>
      <c r="XX1" s="49">
        <f t="shared" si="9"/>
        <v>64811</v>
      </c>
      <c r="XY1" s="49">
        <f t="shared" si="9"/>
        <v>64841</v>
      </c>
      <c r="XZ1" s="49">
        <f t="shared" si="9"/>
        <v>64872</v>
      </c>
      <c r="YA1" s="49">
        <f t="shared" ref="YA1:AAL1" si="10">+EDATE(XZ1,1)</f>
        <v>64903</v>
      </c>
      <c r="YB1" s="49">
        <f t="shared" si="10"/>
        <v>64933</v>
      </c>
      <c r="YC1" s="49">
        <f t="shared" si="10"/>
        <v>64964</v>
      </c>
      <c r="YD1" s="49">
        <f t="shared" si="10"/>
        <v>64994</v>
      </c>
      <c r="YE1" s="49">
        <f t="shared" si="10"/>
        <v>65025</v>
      </c>
      <c r="YF1" s="49">
        <f t="shared" si="10"/>
        <v>65056</v>
      </c>
      <c r="YG1" s="49">
        <f t="shared" si="10"/>
        <v>65084</v>
      </c>
      <c r="YH1" s="49">
        <f t="shared" si="10"/>
        <v>65115</v>
      </c>
      <c r="YI1" s="49">
        <f t="shared" si="10"/>
        <v>65145</v>
      </c>
      <c r="YJ1" s="49">
        <f t="shared" si="10"/>
        <v>65176</v>
      </c>
      <c r="YK1" s="49">
        <f t="shared" si="10"/>
        <v>65206</v>
      </c>
      <c r="YL1" s="49">
        <f t="shared" si="10"/>
        <v>65237</v>
      </c>
      <c r="YM1" s="49">
        <f t="shared" si="10"/>
        <v>65268</v>
      </c>
      <c r="YN1" s="49">
        <f t="shared" si="10"/>
        <v>65298</v>
      </c>
      <c r="YO1" s="49">
        <f t="shared" si="10"/>
        <v>65329</v>
      </c>
      <c r="YP1" s="49">
        <f t="shared" si="10"/>
        <v>65359</v>
      </c>
      <c r="YQ1" s="49">
        <f t="shared" si="10"/>
        <v>65390</v>
      </c>
      <c r="YR1" s="49">
        <f t="shared" si="10"/>
        <v>65421</v>
      </c>
      <c r="YS1" s="49">
        <f t="shared" si="10"/>
        <v>65449</v>
      </c>
      <c r="YT1" s="49">
        <f t="shared" si="10"/>
        <v>65480</v>
      </c>
      <c r="YU1" s="49">
        <f t="shared" si="10"/>
        <v>65510</v>
      </c>
      <c r="YV1" s="49">
        <f t="shared" si="10"/>
        <v>65541</v>
      </c>
      <c r="YW1" s="49">
        <f t="shared" si="10"/>
        <v>65571</v>
      </c>
      <c r="YX1" s="49">
        <f t="shared" si="10"/>
        <v>65602</v>
      </c>
      <c r="YY1" s="49">
        <f t="shared" si="10"/>
        <v>65633</v>
      </c>
      <c r="YZ1" s="49">
        <f t="shared" si="10"/>
        <v>65663</v>
      </c>
      <c r="ZA1" s="49">
        <f t="shared" si="10"/>
        <v>65694</v>
      </c>
      <c r="ZB1" s="49">
        <f t="shared" si="10"/>
        <v>65724</v>
      </c>
      <c r="ZC1" s="49">
        <f t="shared" si="10"/>
        <v>65755</v>
      </c>
      <c r="ZD1" s="49">
        <f t="shared" si="10"/>
        <v>65786</v>
      </c>
      <c r="ZE1" s="49">
        <f t="shared" si="10"/>
        <v>65815</v>
      </c>
      <c r="ZF1" s="49">
        <f t="shared" si="10"/>
        <v>65846</v>
      </c>
      <c r="ZG1" s="49">
        <f t="shared" si="10"/>
        <v>65876</v>
      </c>
      <c r="ZH1" s="49">
        <f t="shared" si="10"/>
        <v>65907</v>
      </c>
      <c r="ZI1" s="49">
        <f t="shared" si="10"/>
        <v>65937</v>
      </c>
      <c r="ZJ1" s="49">
        <f t="shared" si="10"/>
        <v>65968</v>
      </c>
      <c r="ZK1" s="49">
        <f t="shared" si="10"/>
        <v>65999</v>
      </c>
      <c r="ZL1" s="49">
        <f t="shared" si="10"/>
        <v>66029</v>
      </c>
      <c r="ZM1" s="49">
        <f t="shared" si="10"/>
        <v>66060</v>
      </c>
      <c r="ZN1" s="49">
        <f t="shared" si="10"/>
        <v>66090</v>
      </c>
      <c r="ZO1" s="49">
        <f t="shared" si="10"/>
        <v>66121</v>
      </c>
      <c r="ZP1" s="49">
        <f t="shared" si="10"/>
        <v>66152</v>
      </c>
      <c r="ZQ1" s="49">
        <f t="shared" si="10"/>
        <v>66180</v>
      </c>
      <c r="ZR1" s="49">
        <f t="shared" si="10"/>
        <v>66211</v>
      </c>
      <c r="ZS1" s="49">
        <f t="shared" si="10"/>
        <v>66241</v>
      </c>
      <c r="ZT1" s="49">
        <f t="shared" si="10"/>
        <v>66272</v>
      </c>
      <c r="ZU1" s="49">
        <f t="shared" si="10"/>
        <v>66302</v>
      </c>
      <c r="ZV1" s="49">
        <f t="shared" si="10"/>
        <v>66333</v>
      </c>
      <c r="ZW1" s="49">
        <f t="shared" si="10"/>
        <v>66364</v>
      </c>
      <c r="ZX1" s="49">
        <f t="shared" si="10"/>
        <v>66394</v>
      </c>
      <c r="ZY1" s="49">
        <f t="shared" si="10"/>
        <v>66425</v>
      </c>
      <c r="ZZ1" s="49">
        <f t="shared" si="10"/>
        <v>66455</v>
      </c>
      <c r="AAA1" s="49">
        <f t="shared" si="10"/>
        <v>66486</v>
      </c>
      <c r="AAB1" s="49">
        <f t="shared" si="10"/>
        <v>66517</v>
      </c>
      <c r="AAC1" s="49">
        <f t="shared" si="10"/>
        <v>66545</v>
      </c>
      <c r="AAD1" s="49">
        <f t="shared" si="10"/>
        <v>66576</v>
      </c>
      <c r="AAE1" s="49">
        <f t="shared" si="10"/>
        <v>66606</v>
      </c>
      <c r="AAF1" s="49">
        <f t="shared" si="10"/>
        <v>66637</v>
      </c>
      <c r="AAG1" s="49">
        <f t="shared" si="10"/>
        <v>66667</v>
      </c>
      <c r="AAH1" s="49">
        <f t="shared" si="10"/>
        <v>66698</v>
      </c>
      <c r="AAI1" s="49">
        <f t="shared" si="10"/>
        <v>66729</v>
      </c>
      <c r="AAJ1" s="49">
        <f t="shared" si="10"/>
        <v>66759</v>
      </c>
      <c r="AAK1" s="49">
        <f t="shared" si="10"/>
        <v>66790</v>
      </c>
      <c r="AAL1" s="49">
        <f t="shared" si="10"/>
        <v>66820</v>
      </c>
      <c r="AAM1" s="49">
        <f t="shared" ref="AAM1:ACX1" si="11">+EDATE(AAL1,1)</f>
        <v>66851</v>
      </c>
      <c r="AAN1" s="49">
        <f t="shared" si="11"/>
        <v>66882</v>
      </c>
      <c r="AAO1" s="49">
        <f t="shared" si="11"/>
        <v>66910</v>
      </c>
      <c r="AAP1" s="49">
        <f t="shared" si="11"/>
        <v>66941</v>
      </c>
      <c r="AAQ1" s="49">
        <f t="shared" si="11"/>
        <v>66971</v>
      </c>
      <c r="AAR1" s="49">
        <f t="shared" si="11"/>
        <v>67002</v>
      </c>
      <c r="AAS1" s="49">
        <f t="shared" si="11"/>
        <v>67032</v>
      </c>
      <c r="AAT1" s="49">
        <f t="shared" si="11"/>
        <v>67063</v>
      </c>
      <c r="AAU1" s="49">
        <f t="shared" si="11"/>
        <v>67094</v>
      </c>
      <c r="AAV1" s="49">
        <f t="shared" si="11"/>
        <v>67124</v>
      </c>
      <c r="AAW1" s="49">
        <f t="shared" si="11"/>
        <v>67155</v>
      </c>
      <c r="AAX1" s="49">
        <f t="shared" si="11"/>
        <v>67185</v>
      </c>
      <c r="AAY1" s="49">
        <f t="shared" si="11"/>
        <v>67216</v>
      </c>
      <c r="AAZ1" s="49">
        <f t="shared" si="11"/>
        <v>67247</v>
      </c>
      <c r="ABA1" s="49">
        <f t="shared" si="11"/>
        <v>67276</v>
      </c>
      <c r="ABB1" s="49">
        <f t="shared" si="11"/>
        <v>67307</v>
      </c>
      <c r="ABC1" s="49">
        <f t="shared" si="11"/>
        <v>67337</v>
      </c>
      <c r="ABD1" s="49">
        <f t="shared" si="11"/>
        <v>67368</v>
      </c>
      <c r="ABE1" s="49">
        <f t="shared" si="11"/>
        <v>67398</v>
      </c>
      <c r="ABF1" s="49">
        <f t="shared" si="11"/>
        <v>67429</v>
      </c>
      <c r="ABG1" s="49">
        <f t="shared" si="11"/>
        <v>67460</v>
      </c>
      <c r="ABH1" s="49">
        <f t="shared" si="11"/>
        <v>67490</v>
      </c>
      <c r="ABI1" s="49">
        <f t="shared" si="11"/>
        <v>67521</v>
      </c>
      <c r="ABJ1" s="49">
        <f t="shared" si="11"/>
        <v>67551</v>
      </c>
      <c r="ABK1" s="49">
        <f t="shared" si="11"/>
        <v>67582</v>
      </c>
      <c r="ABL1" s="49">
        <f t="shared" si="11"/>
        <v>67613</v>
      </c>
      <c r="ABM1" s="49">
        <f t="shared" si="11"/>
        <v>67641</v>
      </c>
      <c r="ABN1" s="49">
        <f t="shared" si="11"/>
        <v>67672</v>
      </c>
      <c r="ABO1" s="49">
        <f t="shared" si="11"/>
        <v>67702</v>
      </c>
      <c r="ABP1" s="49">
        <f t="shared" si="11"/>
        <v>67733</v>
      </c>
      <c r="ABQ1" s="49">
        <f t="shared" si="11"/>
        <v>67763</v>
      </c>
      <c r="ABR1" s="49">
        <f t="shared" si="11"/>
        <v>67794</v>
      </c>
      <c r="ABS1" s="49">
        <f t="shared" si="11"/>
        <v>67825</v>
      </c>
      <c r="ABT1" s="49">
        <f t="shared" si="11"/>
        <v>67855</v>
      </c>
      <c r="ABU1" s="49">
        <f t="shared" si="11"/>
        <v>67886</v>
      </c>
      <c r="ABV1" s="49">
        <f t="shared" si="11"/>
        <v>67916</v>
      </c>
      <c r="ABW1" s="49">
        <f t="shared" si="11"/>
        <v>67947</v>
      </c>
      <c r="ABX1" s="49">
        <f t="shared" si="11"/>
        <v>67978</v>
      </c>
      <c r="ABY1" s="49">
        <f t="shared" si="11"/>
        <v>68006</v>
      </c>
      <c r="ABZ1" s="49">
        <f t="shared" si="11"/>
        <v>68037</v>
      </c>
      <c r="ACA1" s="49">
        <f t="shared" si="11"/>
        <v>68067</v>
      </c>
      <c r="ACB1" s="49">
        <f t="shared" si="11"/>
        <v>68098</v>
      </c>
      <c r="ACC1" s="49">
        <f t="shared" si="11"/>
        <v>68128</v>
      </c>
      <c r="ACD1" s="49">
        <f t="shared" si="11"/>
        <v>68159</v>
      </c>
      <c r="ACE1" s="49">
        <f t="shared" si="11"/>
        <v>68190</v>
      </c>
      <c r="ACF1" s="49">
        <f t="shared" si="11"/>
        <v>68220</v>
      </c>
      <c r="ACG1" s="49">
        <f t="shared" si="11"/>
        <v>68251</v>
      </c>
      <c r="ACH1" s="49">
        <f t="shared" si="11"/>
        <v>68281</v>
      </c>
      <c r="ACI1" s="49">
        <f t="shared" si="11"/>
        <v>68312</v>
      </c>
      <c r="ACJ1" s="49">
        <f t="shared" si="11"/>
        <v>68343</v>
      </c>
      <c r="ACK1" s="49">
        <f t="shared" si="11"/>
        <v>68371</v>
      </c>
      <c r="ACL1" s="49">
        <f t="shared" si="11"/>
        <v>68402</v>
      </c>
      <c r="ACM1" s="49">
        <f t="shared" si="11"/>
        <v>68432</v>
      </c>
      <c r="ACN1" s="49">
        <f t="shared" si="11"/>
        <v>68463</v>
      </c>
      <c r="ACO1" s="49">
        <f t="shared" si="11"/>
        <v>68493</v>
      </c>
      <c r="ACP1" s="49">
        <f t="shared" si="11"/>
        <v>68524</v>
      </c>
      <c r="ACQ1" s="49">
        <f t="shared" si="11"/>
        <v>68555</v>
      </c>
      <c r="ACR1" s="49">
        <f t="shared" si="11"/>
        <v>68585</v>
      </c>
      <c r="ACS1" s="49">
        <f t="shared" si="11"/>
        <v>68616</v>
      </c>
      <c r="ACT1" s="49">
        <f t="shared" si="11"/>
        <v>68646</v>
      </c>
      <c r="ACU1" s="49">
        <f t="shared" si="11"/>
        <v>68677</v>
      </c>
      <c r="ACV1" s="49">
        <f t="shared" si="11"/>
        <v>68708</v>
      </c>
      <c r="ACW1" s="49">
        <f t="shared" si="11"/>
        <v>68737</v>
      </c>
      <c r="ACX1" s="49">
        <f t="shared" si="11"/>
        <v>68768</v>
      </c>
      <c r="ACY1" s="49">
        <f t="shared" ref="ACY1:ADF1" si="12">+EDATE(ACX1,1)</f>
        <v>68798</v>
      </c>
      <c r="ACZ1" s="49">
        <f t="shared" si="12"/>
        <v>68829</v>
      </c>
      <c r="ADA1" s="49">
        <f t="shared" si="12"/>
        <v>68859</v>
      </c>
      <c r="ADB1" s="49">
        <f t="shared" si="12"/>
        <v>68890</v>
      </c>
      <c r="ADC1" s="49">
        <f t="shared" si="12"/>
        <v>68921</v>
      </c>
      <c r="ADD1" s="49">
        <f t="shared" si="12"/>
        <v>68951</v>
      </c>
      <c r="ADE1" s="49">
        <f t="shared" si="12"/>
        <v>68982</v>
      </c>
      <c r="ADF1" s="49">
        <f t="shared" si="12"/>
        <v>69012</v>
      </c>
    </row>
    <row r="2" spans="1:786" x14ac:dyDescent="0.2">
      <c r="A2" s="1" t="s">
        <v>10</v>
      </c>
      <c r="B2" s="1" t="s">
        <v>29</v>
      </c>
      <c r="C2" s="1" t="s">
        <v>62</v>
      </c>
      <c r="D2" s="1"/>
      <c r="E2" s="1"/>
      <c r="F2" s="1"/>
      <c r="G2" s="4"/>
      <c r="H2" s="4"/>
      <c r="I2" s="4">
        <v>1</v>
      </c>
      <c r="J2" s="4">
        <v>2</v>
      </c>
      <c r="K2" s="4">
        <v>3</v>
      </c>
      <c r="L2" s="4">
        <v>4</v>
      </c>
      <c r="M2" s="4">
        <v>5</v>
      </c>
      <c r="N2" s="4">
        <v>6</v>
      </c>
      <c r="O2" s="4">
        <v>7</v>
      </c>
      <c r="P2" s="4">
        <v>8</v>
      </c>
      <c r="Q2" s="4">
        <v>9</v>
      </c>
      <c r="R2" s="4">
        <v>10</v>
      </c>
      <c r="S2" s="4">
        <v>11</v>
      </c>
      <c r="T2" s="4">
        <v>12</v>
      </c>
      <c r="U2" s="4">
        <v>13</v>
      </c>
      <c r="V2" s="4">
        <v>14</v>
      </c>
      <c r="W2" s="4">
        <v>15</v>
      </c>
      <c r="X2" s="4">
        <v>16</v>
      </c>
      <c r="Y2" s="4">
        <v>17</v>
      </c>
      <c r="Z2" s="4">
        <v>18</v>
      </c>
      <c r="AA2" s="4">
        <v>19</v>
      </c>
      <c r="AB2" s="4">
        <v>20</v>
      </c>
      <c r="AC2" s="4">
        <v>21</v>
      </c>
      <c r="AD2" s="4">
        <v>22</v>
      </c>
      <c r="AE2" s="4">
        <v>23</v>
      </c>
      <c r="AF2" s="4">
        <v>24</v>
      </c>
      <c r="AG2" s="4">
        <v>25</v>
      </c>
      <c r="AH2" s="4">
        <v>26</v>
      </c>
      <c r="AI2" s="4">
        <v>27</v>
      </c>
      <c r="AJ2" s="4">
        <v>28</v>
      </c>
      <c r="AK2" s="4">
        <v>29</v>
      </c>
      <c r="AL2" s="4">
        <v>30</v>
      </c>
      <c r="AM2" s="4">
        <v>31</v>
      </c>
      <c r="AN2" s="4">
        <v>32</v>
      </c>
      <c r="AO2" s="4">
        <v>33</v>
      </c>
      <c r="AP2" s="4">
        <v>34</v>
      </c>
      <c r="AQ2" s="4">
        <v>35</v>
      </c>
      <c r="AR2" s="4">
        <v>36</v>
      </c>
      <c r="AS2" s="4">
        <v>37</v>
      </c>
      <c r="AT2" s="4">
        <v>38</v>
      </c>
      <c r="AU2" s="4">
        <v>39</v>
      </c>
      <c r="AV2" s="4">
        <v>40</v>
      </c>
      <c r="AW2" s="4">
        <v>41</v>
      </c>
      <c r="AX2" s="4">
        <v>42</v>
      </c>
      <c r="AY2" s="4">
        <v>43</v>
      </c>
      <c r="AZ2" s="4">
        <v>44</v>
      </c>
      <c r="BA2" s="4">
        <v>45</v>
      </c>
      <c r="BB2" s="4">
        <v>46</v>
      </c>
      <c r="BC2" s="4">
        <v>47</v>
      </c>
      <c r="BD2" s="4">
        <v>48</v>
      </c>
      <c r="BE2" s="4">
        <v>49</v>
      </c>
      <c r="BF2" s="4">
        <v>50</v>
      </c>
      <c r="BG2" s="4">
        <v>51</v>
      </c>
      <c r="BH2" s="4">
        <v>52</v>
      </c>
      <c r="BI2" s="4">
        <v>53</v>
      </c>
      <c r="BJ2" s="4">
        <v>54</v>
      </c>
      <c r="BK2" s="4">
        <v>55</v>
      </c>
      <c r="BL2" s="4">
        <v>56</v>
      </c>
      <c r="BM2" s="4">
        <v>57</v>
      </c>
      <c r="BN2" s="4">
        <v>58</v>
      </c>
      <c r="BO2" s="4">
        <v>59</v>
      </c>
      <c r="BP2" s="4">
        <v>60</v>
      </c>
      <c r="BQ2" s="4">
        <v>61</v>
      </c>
      <c r="BR2" s="4">
        <v>62</v>
      </c>
      <c r="BS2" s="4">
        <v>63</v>
      </c>
      <c r="BT2" s="4">
        <v>64</v>
      </c>
      <c r="BU2" s="4">
        <v>65</v>
      </c>
      <c r="BV2" s="4">
        <v>66</v>
      </c>
      <c r="BW2" s="4">
        <v>67</v>
      </c>
      <c r="BX2" s="4">
        <v>68</v>
      </c>
      <c r="BY2" s="4">
        <v>69</v>
      </c>
      <c r="BZ2" s="4">
        <v>70</v>
      </c>
      <c r="CA2" s="4">
        <v>71</v>
      </c>
      <c r="CB2" s="4">
        <v>72</v>
      </c>
      <c r="CC2" s="4">
        <v>73</v>
      </c>
      <c r="CD2" s="4">
        <v>74</v>
      </c>
      <c r="CE2" s="4">
        <v>75</v>
      </c>
      <c r="CF2" s="4">
        <v>76</v>
      </c>
      <c r="CG2" s="4">
        <v>77</v>
      </c>
      <c r="CH2" s="4">
        <v>78</v>
      </c>
      <c r="CI2" s="4">
        <v>79</v>
      </c>
      <c r="CJ2" s="4">
        <v>80</v>
      </c>
      <c r="CK2" s="4">
        <v>81</v>
      </c>
      <c r="CL2" s="4">
        <v>82</v>
      </c>
      <c r="CM2" s="4">
        <v>83</v>
      </c>
      <c r="CN2" s="4">
        <v>84</v>
      </c>
      <c r="CO2" s="4">
        <v>85</v>
      </c>
      <c r="CP2" s="4">
        <v>86</v>
      </c>
      <c r="CQ2" s="4">
        <v>87</v>
      </c>
      <c r="CR2" s="4">
        <v>88</v>
      </c>
      <c r="CS2" s="4">
        <v>89</v>
      </c>
      <c r="CT2" s="4">
        <v>90</v>
      </c>
      <c r="CU2" s="4">
        <v>91</v>
      </c>
      <c r="CV2" s="4">
        <v>92</v>
      </c>
      <c r="CW2" s="4">
        <v>93</v>
      </c>
      <c r="CX2" s="4">
        <v>94</v>
      </c>
      <c r="CY2" s="4">
        <v>95</v>
      </c>
      <c r="CZ2" s="4">
        <v>96</v>
      </c>
      <c r="DA2" s="4">
        <v>97</v>
      </c>
      <c r="DB2" s="4">
        <v>98</v>
      </c>
      <c r="DC2" s="4">
        <v>99</v>
      </c>
      <c r="DD2" s="4">
        <v>100</v>
      </c>
      <c r="DE2" s="4">
        <v>101</v>
      </c>
      <c r="DF2" s="4">
        <v>102</v>
      </c>
      <c r="DG2" s="4">
        <v>103</v>
      </c>
      <c r="DH2" s="4">
        <v>104</v>
      </c>
      <c r="DI2" s="4">
        <v>105</v>
      </c>
      <c r="DJ2" s="4">
        <v>106</v>
      </c>
      <c r="DK2" s="4">
        <v>107</v>
      </c>
      <c r="DL2" s="4">
        <v>108</v>
      </c>
      <c r="DM2" s="4">
        <v>109</v>
      </c>
      <c r="DN2" s="4">
        <v>110</v>
      </c>
      <c r="DO2" s="4">
        <v>111</v>
      </c>
      <c r="DP2" s="4">
        <v>112</v>
      </c>
      <c r="DQ2" s="4">
        <v>113</v>
      </c>
      <c r="DR2" s="4">
        <v>114</v>
      </c>
      <c r="DS2" s="4">
        <v>115</v>
      </c>
      <c r="DT2" s="4">
        <v>116</v>
      </c>
      <c r="DU2" s="4">
        <v>117</v>
      </c>
      <c r="DV2" s="4">
        <v>118</v>
      </c>
      <c r="DW2" s="4">
        <v>119</v>
      </c>
      <c r="DX2" s="4">
        <v>120</v>
      </c>
      <c r="DY2" s="4">
        <v>121</v>
      </c>
      <c r="DZ2" s="4">
        <v>122</v>
      </c>
      <c r="EA2" s="4">
        <v>123</v>
      </c>
      <c r="EB2" s="4">
        <v>124</v>
      </c>
      <c r="EC2" s="4">
        <v>125</v>
      </c>
      <c r="ED2" s="4">
        <v>126</v>
      </c>
      <c r="EE2" s="4">
        <v>127</v>
      </c>
      <c r="EF2" s="4">
        <v>128</v>
      </c>
      <c r="EG2" s="4">
        <v>129</v>
      </c>
      <c r="EH2" s="4">
        <v>130</v>
      </c>
      <c r="EI2" s="4">
        <v>131</v>
      </c>
      <c r="EJ2" s="4">
        <v>132</v>
      </c>
      <c r="EK2" s="4">
        <v>133</v>
      </c>
      <c r="EL2" s="4">
        <v>134</v>
      </c>
      <c r="EM2" s="4">
        <v>135</v>
      </c>
      <c r="EN2" s="4">
        <v>136</v>
      </c>
      <c r="EO2" s="4">
        <v>137</v>
      </c>
      <c r="EP2" s="4">
        <v>138</v>
      </c>
      <c r="EQ2" s="4">
        <v>139</v>
      </c>
      <c r="ER2" s="4">
        <v>140</v>
      </c>
      <c r="ES2" s="4">
        <v>141</v>
      </c>
      <c r="ET2" s="4">
        <v>142</v>
      </c>
      <c r="EU2" s="4">
        <v>143</v>
      </c>
      <c r="EV2" s="4">
        <v>144</v>
      </c>
      <c r="EW2" s="4">
        <v>145</v>
      </c>
      <c r="EX2" s="4">
        <v>146</v>
      </c>
      <c r="EY2" s="4">
        <v>147</v>
      </c>
      <c r="EZ2" s="4">
        <v>148</v>
      </c>
      <c r="FA2" s="4">
        <v>149</v>
      </c>
      <c r="FB2" s="4">
        <v>150</v>
      </c>
      <c r="FC2" s="4">
        <v>151</v>
      </c>
      <c r="FD2" s="4">
        <v>152</v>
      </c>
      <c r="FE2" s="4">
        <v>153</v>
      </c>
      <c r="FF2" s="4">
        <v>154</v>
      </c>
      <c r="FG2" s="4">
        <v>155</v>
      </c>
      <c r="FH2" s="4">
        <v>156</v>
      </c>
      <c r="FI2" s="4">
        <v>157</v>
      </c>
      <c r="FJ2" s="4">
        <v>158</v>
      </c>
      <c r="FK2" s="4">
        <v>159</v>
      </c>
      <c r="FL2" s="4">
        <v>160</v>
      </c>
      <c r="FM2" s="4">
        <v>161</v>
      </c>
      <c r="FN2" s="4">
        <v>162</v>
      </c>
      <c r="FO2" s="4">
        <v>163</v>
      </c>
      <c r="FP2" s="4">
        <v>164</v>
      </c>
      <c r="FQ2" s="4">
        <v>165</v>
      </c>
      <c r="FR2" s="4">
        <v>166</v>
      </c>
      <c r="FS2" s="4">
        <v>167</v>
      </c>
      <c r="FT2" s="4">
        <v>168</v>
      </c>
      <c r="FU2" s="4">
        <v>169</v>
      </c>
      <c r="FV2" s="4">
        <v>170</v>
      </c>
      <c r="FW2" s="4">
        <v>171</v>
      </c>
      <c r="FX2" s="4">
        <v>172</v>
      </c>
      <c r="FY2" s="4">
        <v>173</v>
      </c>
      <c r="FZ2" s="4">
        <v>174</v>
      </c>
      <c r="GA2" s="4">
        <v>175</v>
      </c>
      <c r="GB2" s="4">
        <v>176</v>
      </c>
      <c r="GC2" s="4">
        <v>177</v>
      </c>
      <c r="GD2" s="4">
        <v>178</v>
      </c>
      <c r="GE2" s="4">
        <v>179</v>
      </c>
      <c r="GF2" s="4">
        <v>180</v>
      </c>
      <c r="GG2" s="4">
        <v>181</v>
      </c>
      <c r="GH2" s="4">
        <v>182</v>
      </c>
      <c r="GI2" s="4">
        <v>183</v>
      </c>
      <c r="GJ2" s="4">
        <v>184</v>
      </c>
      <c r="GK2" s="4">
        <v>185</v>
      </c>
      <c r="GL2" s="4">
        <v>186</v>
      </c>
      <c r="GM2" s="4">
        <v>187</v>
      </c>
      <c r="GN2" s="4">
        <v>188</v>
      </c>
      <c r="GO2" s="4">
        <v>189</v>
      </c>
      <c r="GP2" s="4">
        <v>190</v>
      </c>
      <c r="GQ2" s="4">
        <v>191</v>
      </c>
      <c r="GR2" s="4">
        <v>192</v>
      </c>
      <c r="GS2" s="4">
        <v>193</v>
      </c>
      <c r="GT2" s="4">
        <v>194</v>
      </c>
      <c r="GU2" s="4">
        <v>195</v>
      </c>
      <c r="GV2" s="4">
        <v>196</v>
      </c>
      <c r="GW2" s="4">
        <v>197</v>
      </c>
      <c r="GX2" s="4">
        <v>198</v>
      </c>
      <c r="GY2" s="4">
        <v>199</v>
      </c>
      <c r="GZ2" s="4">
        <v>200</v>
      </c>
      <c r="HA2" s="4">
        <v>201</v>
      </c>
      <c r="HB2" s="4">
        <v>202</v>
      </c>
      <c r="HC2" s="4">
        <v>203</v>
      </c>
      <c r="HD2" s="4">
        <v>204</v>
      </c>
      <c r="HE2" s="4">
        <v>205</v>
      </c>
      <c r="HF2" s="4">
        <v>206</v>
      </c>
      <c r="HG2" s="4">
        <v>207</v>
      </c>
      <c r="HH2" s="4">
        <v>208</v>
      </c>
      <c r="HI2" s="4">
        <v>209</v>
      </c>
      <c r="HJ2" s="4">
        <v>210</v>
      </c>
      <c r="HK2" s="4">
        <v>211</v>
      </c>
      <c r="HL2" s="4">
        <v>212</v>
      </c>
      <c r="HM2" s="4">
        <v>213</v>
      </c>
      <c r="HN2" s="4">
        <v>214</v>
      </c>
      <c r="HO2" s="4">
        <v>215</v>
      </c>
      <c r="HP2" s="4">
        <v>216</v>
      </c>
      <c r="HQ2" s="4">
        <v>217</v>
      </c>
      <c r="HR2" s="4">
        <v>218</v>
      </c>
      <c r="HS2" s="4">
        <v>219</v>
      </c>
      <c r="HT2" s="4">
        <v>220</v>
      </c>
      <c r="HU2" s="4">
        <v>221</v>
      </c>
      <c r="HV2" s="4">
        <v>222</v>
      </c>
      <c r="HW2" s="4">
        <v>223</v>
      </c>
      <c r="HX2" s="4">
        <v>224</v>
      </c>
      <c r="HY2" s="4">
        <v>225</v>
      </c>
      <c r="HZ2" s="4">
        <v>226</v>
      </c>
      <c r="IA2" s="4">
        <v>227</v>
      </c>
      <c r="IB2" s="4">
        <v>228</v>
      </c>
      <c r="IC2" s="4">
        <v>229</v>
      </c>
      <c r="ID2" s="4">
        <v>230</v>
      </c>
      <c r="IE2" s="4">
        <v>231</v>
      </c>
      <c r="IF2" s="4">
        <v>232</v>
      </c>
      <c r="IG2" s="4">
        <v>233</v>
      </c>
      <c r="IH2" s="4">
        <v>234</v>
      </c>
      <c r="II2" s="4">
        <v>235</v>
      </c>
      <c r="IJ2" s="4">
        <v>236</v>
      </c>
      <c r="IK2" s="4">
        <v>237</v>
      </c>
      <c r="IL2" s="4">
        <v>238</v>
      </c>
      <c r="IM2" s="4">
        <v>239</v>
      </c>
      <c r="IN2" s="4">
        <v>240</v>
      </c>
      <c r="IO2" s="4">
        <v>241</v>
      </c>
      <c r="IP2" s="4">
        <v>242</v>
      </c>
      <c r="IQ2" s="4">
        <v>243</v>
      </c>
      <c r="IR2" s="4">
        <v>244</v>
      </c>
      <c r="IS2" s="4">
        <v>245</v>
      </c>
      <c r="IT2" s="4">
        <v>246</v>
      </c>
      <c r="IU2" s="4">
        <v>247</v>
      </c>
      <c r="IV2" s="4">
        <v>248</v>
      </c>
      <c r="IW2" s="4">
        <v>249</v>
      </c>
      <c r="IX2" s="4">
        <v>250</v>
      </c>
      <c r="IY2" s="4">
        <v>251</v>
      </c>
      <c r="IZ2" s="4">
        <v>252</v>
      </c>
      <c r="JA2" s="4">
        <v>253</v>
      </c>
      <c r="JB2" s="4">
        <v>254</v>
      </c>
      <c r="JC2" s="4">
        <v>255</v>
      </c>
      <c r="JD2" s="4">
        <v>256</v>
      </c>
      <c r="JE2" s="4">
        <v>257</v>
      </c>
      <c r="JF2" s="4">
        <v>258</v>
      </c>
      <c r="JG2" s="4">
        <v>259</v>
      </c>
      <c r="JH2" s="4">
        <v>260</v>
      </c>
      <c r="JI2" s="4">
        <v>261</v>
      </c>
      <c r="JJ2" s="4">
        <v>262</v>
      </c>
      <c r="JK2" s="4">
        <v>263</v>
      </c>
      <c r="JL2" s="4">
        <v>264</v>
      </c>
      <c r="JM2" s="4">
        <v>265</v>
      </c>
      <c r="JN2" s="4">
        <v>266</v>
      </c>
      <c r="JO2" s="4">
        <v>267</v>
      </c>
      <c r="JP2" s="4">
        <v>268</v>
      </c>
      <c r="JQ2" s="4">
        <v>269</v>
      </c>
      <c r="JR2" s="4">
        <v>270</v>
      </c>
      <c r="JS2" s="4">
        <v>271</v>
      </c>
      <c r="JT2" s="4">
        <v>272</v>
      </c>
      <c r="JU2" s="4">
        <v>273</v>
      </c>
      <c r="JV2" s="4">
        <v>274</v>
      </c>
      <c r="JW2" s="4">
        <v>275</v>
      </c>
      <c r="JX2" s="4">
        <v>276</v>
      </c>
      <c r="JY2" s="4">
        <v>277</v>
      </c>
      <c r="JZ2" s="4">
        <v>278</v>
      </c>
      <c r="KA2" s="4">
        <v>279</v>
      </c>
      <c r="KB2" s="4">
        <v>280</v>
      </c>
      <c r="KC2" s="4">
        <v>281</v>
      </c>
      <c r="KD2" s="4">
        <v>282</v>
      </c>
      <c r="KE2" s="4">
        <v>283</v>
      </c>
      <c r="KF2" s="4">
        <v>284</v>
      </c>
      <c r="KG2" s="4">
        <v>285</v>
      </c>
      <c r="KH2" s="4">
        <v>286</v>
      </c>
      <c r="KI2" s="4">
        <v>287</v>
      </c>
      <c r="KJ2" s="4">
        <v>288</v>
      </c>
      <c r="KK2" s="4">
        <v>289</v>
      </c>
      <c r="KL2" s="4">
        <v>290</v>
      </c>
      <c r="KM2" s="4">
        <v>291</v>
      </c>
      <c r="KN2" s="4">
        <v>292</v>
      </c>
      <c r="KO2" s="4">
        <v>293</v>
      </c>
      <c r="KP2" s="4">
        <v>294</v>
      </c>
      <c r="KQ2" s="4">
        <v>295</v>
      </c>
      <c r="KR2" s="4">
        <v>296</v>
      </c>
      <c r="KS2" s="4">
        <v>297</v>
      </c>
      <c r="KT2" s="4">
        <v>298</v>
      </c>
      <c r="KU2" s="4">
        <v>299</v>
      </c>
      <c r="KV2" s="4">
        <v>300</v>
      </c>
      <c r="KW2" s="4">
        <v>301</v>
      </c>
      <c r="KX2" s="4">
        <v>302</v>
      </c>
      <c r="KY2" s="4">
        <v>303</v>
      </c>
      <c r="KZ2" s="4">
        <v>304</v>
      </c>
      <c r="LA2" s="4">
        <v>305</v>
      </c>
      <c r="LB2" s="4">
        <v>306</v>
      </c>
      <c r="LC2" s="4">
        <v>307</v>
      </c>
      <c r="LD2" s="4">
        <v>308</v>
      </c>
      <c r="LE2" s="4">
        <v>309</v>
      </c>
      <c r="LF2" s="4">
        <v>310</v>
      </c>
      <c r="LG2" s="4">
        <v>311</v>
      </c>
      <c r="LH2" s="4">
        <v>312</v>
      </c>
      <c r="LI2" s="4">
        <v>313</v>
      </c>
      <c r="LJ2" s="4">
        <v>314</v>
      </c>
      <c r="LK2" s="4">
        <v>315</v>
      </c>
      <c r="LL2" s="4">
        <v>316</v>
      </c>
      <c r="LM2" s="4">
        <v>317</v>
      </c>
      <c r="LN2" s="4">
        <v>318</v>
      </c>
      <c r="LO2" s="4">
        <v>319</v>
      </c>
      <c r="LP2" s="4">
        <v>320</v>
      </c>
      <c r="LQ2" s="4">
        <v>321</v>
      </c>
      <c r="LR2" s="4">
        <v>322</v>
      </c>
      <c r="LS2" s="4">
        <v>323</v>
      </c>
      <c r="LT2" s="4">
        <v>324</v>
      </c>
      <c r="LU2" s="4">
        <v>325</v>
      </c>
      <c r="LV2" s="4">
        <v>326</v>
      </c>
      <c r="LW2" s="4">
        <v>327</v>
      </c>
      <c r="LX2" s="4">
        <v>328</v>
      </c>
      <c r="LY2" s="4">
        <v>329</v>
      </c>
      <c r="LZ2" s="4">
        <v>330</v>
      </c>
      <c r="MA2" s="4">
        <v>331</v>
      </c>
      <c r="MB2" s="4">
        <v>332</v>
      </c>
      <c r="MC2" s="4">
        <v>333</v>
      </c>
      <c r="MD2" s="4">
        <v>334</v>
      </c>
      <c r="ME2" s="4">
        <v>335</v>
      </c>
      <c r="MF2" s="4">
        <v>336</v>
      </c>
      <c r="MG2" s="4">
        <v>337</v>
      </c>
      <c r="MH2" s="4">
        <v>338</v>
      </c>
      <c r="MI2" s="4">
        <v>339</v>
      </c>
      <c r="MJ2" s="4">
        <v>340</v>
      </c>
      <c r="MK2" s="4">
        <v>341</v>
      </c>
      <c r="ML2" s="4">
        <v>342</v>
      </c>
      <c r="MM2" s="4">
        <v>343</v>
      </c>
      <c r="MN2" s="4">
        <v>344</v>
      </c>
      <c r="MO2" s="4">
        <v>345</v>
      </c>
      <c r="MP2" s="4">
        <v>346</v>
      </c>
      <c r="MQ2" s="4">
        <v>347</v>
      </c>
      <c r="MR2" s="4">
        <v>348</v>
      </c>
      <c r="MS2" s="4">
        <v>349</v>
      </c>
      <c r="MT2" s="4">
        <v>350</v>
      </c>
      <c r="MU2" s="4">
        <v>351</v>
      </c>
      <c r="MV2" s="4">
        <v>352</v>
      </c>
      <c r="MW2" s="4">
        <v>353</v>
      </c>
      <c r="MX2" s="4">
        <v>354</v>
      </c>
      <c r="MY2" s="4">
        <v>355</v>
      </c>
      <c r="MZ2" s="4">
        <v>356</v>
      </c>
      <c r="NA2" s="4">
        <v>357</v>
      </c>
      <c r="NB2" s="4">
        <v>358</v>
      </c>
      <c r="NC2" s="4">
        <v>359</v>
      </c>
      <c r="ND2" s="4">
        <v>360</v>
      </c>
      <c r="NE2" s="4">
        <v>361</v>
      </c>
      <c r="NF2" s="4">
        <v>362</v>
      </c>
      <c r="NG2" s="4">
        <v>363</v>
      </c>
      <c r="NH2" s="4">
        <v>364</v>
      </c>
      <c r="NI2" s="4">
        <v>365</v>
      </c>
      <c r="NJ2" s="4">
        <v>366</v>
      </c>
      <c r="NK2" s="4">
        <v>367</v>
      </c>
      <c r="NL2" s="4">
        <v>368</v>
      </c>
      <c r="NM2" s="4">
        <v>369</v>
      </c>
      <c r="NN2" s="4">
        <v>370</v>
      </c>
      <c r="NO2" s="4">
        <v>371</v>
      </c>
      <c r="NP2" s="4">
        <v>372</v>
      </c>
      <c r="NQ2" s="4">
        <v>373</v>
      </c>
      <c r="NR2" s="4">
        <v>374</v>
      </c>
      <c r="NS2" s="4">
        <v>375</v>
      </c>
      <c r="NT2" s="4">
        <v>376</v>
      </c>
      <c r="NU2" s="4">
        <v>377</v>
      </c>
      <c r="NV2" s="4">
        <v>378</v>
      </c>
      <c r="NW2" s="4">
        <v>379</v>
      </c>
      <c r="NX2" s="4">
        <v>380</v>
      </c>
      <c r="NY2" s="4">
        <v>381</v>
      </c>
      <c r="NZ2" s="4">
        <v>382</v>
      </c>
      <c r="OA2" s="4">
        <v>383</v>
      </c>
      <c r="OB2" s="4">
        <v>384</v>
      </c>
      <c r="OC2" s="4">
        <v>385</v>
      </c>
      <c r="OD2" s="4">
        <v>386</v>
      </c>
      <c r="OE2" s="4">
        <v>387</v>
      </c>
      <c r="OF2" s="4">
        <v>388</v>
      </c>
      <c r="OG2" s="4">
        <v>389</v>
      </c>
      <c r="OH2" s="4">
        <v>390</v>
      </c>
      <c r="OI2" s="4">
        <v>391</v>
      </c>
      <c r="OJ2" s="4">
        <v>392</v>
      </c>
      <c r="OK2" s="4">
        <v>393</v>
      </c>
      <c r="OL2" s="4">
        <v>394</v>
      </c>
      <c r="OM2" s="4">
        <v>395</v>
      </c>
      <c r="ON2" s="4">
        <v>396</v>
      </c>
      <c r="OO2" s="4">
        <v>397</v>
      </c>
      <c r="OP2" s="4">
        <v>398</v>
      </c>
      <c r="OQ2" s="4">
        <v>399</v>
      </c>
      <c r="OR2" s="4">
        <v>400</v>
      </c>
      <c r="OS2" s="4">
        <v>401</v>
      </c>
      <c r="OT2" s="4">
        <v>402</v>
      </c>
      <c r="OU2" s="4">
        <v>403</v>
      </c>
      <c r="OV2" s="4">
        <v>404</v>
      </c>
      <c r="OW2" s="4">
        <v>405</v>
      </c>
      <c r="OX2" s="4">
        <v>406</v>
      </c>
      <c r="OY2" s="4">
        <v>407</v>
      </c>
      <c r="OZ2" s="4">
        <v>408</v>
      </c>
      <c r="PA2" s="4">
        <v>409</v>
      </c>
      <c r="PB2" s="4">
        <v>410</v>
      </c>
      <c r="PC2" s="4">
        <v>411</v>
      </c>
      <c r="PD2" s="4">
        <v>412</v>
      </c>
      <c r="PE2" s="4">
        <v>413</v>
      </c>
      <c r="PF2" s="4">
        <v>414</v>
      </c>
      <c r="PG2" s="4">
        <v>415</v>
      </c>
      <c r="PH2" s="4">
        <v>416</v>
      </c>
      <c r="PI2" s="4">
        <v>417</v>
      </c>
      <c r="PJ2" s="4">
        <v>418</v>
      </c>
      <c r="PK2" s="4">
        <v>419</v>
      </c>
      <c r="PL2" s="4">
        <v>420</v>
      </c>
      <c r="PM2" s="4">
        <v>421</v>
      </c>
      <c r="PN2" s="4">
        <v>422</v>
      </c>
      <c r="PO2" s="4">
        <v>423</v>
      </c>
      <c r="PP2" s="4">
        <v>424</v>
      </c>
      <c r="PQ2" s="4">
        <v>425</v>
      </c>
      <c r="PR2" s="4">
        <v>426</v>
      </c>
      <c r="PS2" s="4">
        <v>427</v>
      </c>
      <c r="PT2" s="4">
        <v>428</v>
      </c>
      <c r="PU2" s="4">
        <v>429</v>
      </c>
      <c r="PV2" s="4">
        <v>430</v>
      </c>
      <c r="PW2" s="4">
        <v>431</v>
      </c>
      <c r="PX2" s="4">
        <v>432</v>
      </c>
      <c r="PY2" s="4">
        <v>433</v>
      </c>
      <c r="PZ2" s="4">
        <v>434</v>
      </c>
      <c r="QA2" s="4">
        <v>435</v>
      </c>
      <c r="QB2" s="4">
        <v>436</v>
      </c>
      <c r="QC2" s="4">
        <v>437</v>
      </c>
      <c r="QD2" s="4">
        <v>438</v>
      </c>
      <c r="QE2" s="4">
        <v>439</v>
      </c>
      <c r="QF2" s="4">
        <v>440</v>
      </c>
      <c r="QG2" s="4">
        <v>441</v>
      </c>
      <c r="QH2" s="4">
        <v>442</v>
      </c>
      <c r="QI2" s="4">
        <v>443</v>
      </c>
      <c r="QJ2" s="4">
        <v>444</v>
      </c>
      <c r="QK2" s="4">
        <v>445</v>
      </c>
      <c r="QL2" s="4">
        <v>446</v>
      </c>
      <c r="QM2" s="4">
        <v>447</v>
      </c>
      <c r="QN2" s="4">
        <v>448</v>
      </c>
      <c r="QO2" s="4">
        <v>449</v>
      </c>
      <c r="QP2" s="4">
        <v>450</v>
      </c>
      <c r="QQ2" s="4">
        <v>451</v>
      </c>
      <c r="QR2" s="4">
        <v>452</v>
      </c>
      <c r="QS2" s="4">
        <v>453</v>
      </c>
      <c r="QT2" s="4">
        <v>454</v>
      </c>
      <c r="QU2" s="4">
        <v>455</v>
      </c>
      <c r="QV2" s="4">
        <v>456</v>
      </c>
      <c r="QW2" s="4">
        <v>457</v>
      </c>
      <c r="QX2" s="4">
        <v>458</v>
      </c>
      <c r="QY2" s="4">
        <v>459</v>
      </c>
      <c r="QZ2" s="4">
        <v>460</v>
      </c>
      <c r="RA2" s="4">
        <v>461</v>
      </c>
      <c r="RB2" s="4">
        <v>462</v>
      </c>
      <c r="RC2" s="4">
        <v>463</v>
      </c>
      <c r="RD2" s="4">
        <v>464</v>
      </c>
      <c r="RE2" s="4">
        <v>465</v>
      </c>
      <c r="RF2" s="4">
        <v>466</v>
      </c>
      <c r="RG2" s="4">
        <v>467</v>
      </c>
      <c r="RH2" s="4">
        <v>468</v>
      </c>
      <c r="RI2" s="4">
        <v>469</v>
      </c>
      <c r="RJ2" s="4">
        <v>470</v>
      </c>
      <c r="RK2" s="4">
        <v>471</v>
      </c>
      <c r="RL2" s="4">
        <v>472</v>
      </c>
      <c r="RM2" s="4">
        <v>473</v>
      </c>
      <c r="RN2" s="4">
        <v>474</v>
      </c>
      <c r="RO2" s="4">
        <v>475</v>
      </c>
      <c r="RP2" s="4">
        <v>476</v>
      </c>
      <c r="RQ2" s="4">
        <v>477</v>
      </c>
      <c r="RR2" s="4">
        <v>478</v>
      </c>
      <c r="RS2" s="4">
        <v>479</v>
      </c>
      <c r="RT2" s="4">
        <v>480</v>
      </c>
      <c r="RU2" s="4">
        <v>481</v>
      </c>
      <c r="RV2" s="4">
        <v>482</v>
      </c>
      <c r="RW2" s="4">
        <v>483</v>
      </c>
      <c r="RX2" s="4">
        <v>484</v>
      </c>
      <c r="RY2" s="4">
        <v>485</v>
      </c>
      <c r="RZ2" s="4">
        <v>486</v>
      </c>
      <c r="SA2" s="4">
        <v>487</v>
      </c>
      <c r="SB2" s="4">
        <v>488</v>
      </c>
      <c r="SC2" s="4">
        <v>489</v>
      </c>
      <c r="SD2" s="4">
        <v>490</v>
      </c>
      <c r="SE2" s="4">
        <v>491</v>
      </c>
      <c r="SF2" s="4">
        <v>492</v>
      </c>
      <c r="SG2" s="4">
        <v>493</v>
      </c>
      <c r="SH2" s="4">
        <v>494</v>
      </c>
      <c r="SI2" s="4">
        <v>495</v>
      </c>
      <c r="SJ2" s="4">
        <v>496</v>
      </c>
      <c r="SK2" s="4">
        <v>497</v>
      </c>
      <c r="SL2" s="4">
        <v>498</v>
      </c>
      <c r="SM2" s="4">
        <v>499</v>
      </c>
      <c r="SN2" s="4">
        <v>500</v>
      </c>
      <c r="SO2" s="4">
        <v>501</v>
      </c>
      <c r="SP2" s="4">
        <v>502</v>
      </c>
      <c r="SQ2" s="4">
        <v>503</v>
      </c>
      <c r="SR2" s="4">
        <v>504</v>
      </c>
      <c r="SS2" s="4">
        <v>505</v>
      </c>
      <c r="ST2" s="4">
        <v>506</v>
      </c>
      <c r="SU2" s="4">
        <v>507</v>
      </c>
      <c r="SV2" s="4">
        <v>508</v>
      </c>
      <c r="SW2" s="4">
        <v>509</v>
      </c>
      <c r="SX2" s="4">
        <v>510</v>
      </c>
      <c r="SY2" s="4">
        <v>511</v>
      </c>
      <c r="SZ2" s="4">
        <v>512</v>
      </c>
      <c r="TA2" s="4">
        <v>513</v>
      </c>
      <c r="TB2" s="4">
        <v>514</v>
      </c>
      <c r="TC2" s="4">
        <v>515</v>
      </c>
      <c r="TD2" s="4">
        <v>516</v>
      </c>
      <c r="TE2" s="4">
        <v>517</v>
      </c>
      <c r="TF2" s="4">
        <v>518</v>
      </c>
      <c r="TG2" s="4">
        <v>519</v>
      </c>
      <c r="TH2" s="4">
        <v>520</v>
      </c>
      <c r="TI2" s="4">
        <v>521</v>
      </c>
      <c r="TJ2" s="4">
        <v>522</v>
      </c>
      <c r="TK2" s="4">
        <v>523</v>
      </c>
      <c r="TL2" s="4">
        <v>524</v>
      </c>
      <c r="TM2" s="4">
        <v>525</v>
      </c>
      <c r="TN2" s="4">
        <v>526</v>
      </c>
      <c r="TO2" s="4">
        <v>527</v>
      </c>
      <c r="TP2" s="4">
        <v>528</v>
      </c>
      <c r="TQ2" s="4">
        <v>529</v>
      </c>
      <c r="TR2" s="4">
        <v>530</v>
      </c>
      <c r="TS2" s="4">
        <v>531</v>
      </c>
      <c r="TT2" s="4">
        <v>532</v>
      </c>
      <c r="TU2" s="4">
        <v>533</v>
      </c>
      <c r="TV2" s="4">
        <v>534</v>
      </c>
      <c r="TW2" s="4">
        <v>535</v>
      </c>
      <c r="TX2" s="4">
        <v>536</v>
      </c>
      <c r="TY2" s="4">
        <v>537</v>
      </c>
      <c r="TZ2" s="4">
        <v>538</v>
      </c>
      <c r="UA2" s="4">
        <v>539</v>
      </c>
      <c r="UB2" s="4">
        <v>540</v>
      </c>
      <c r="UC2" s="4">
        <v>541</v>
      </c>
      <c r="UD2" s="4">
        <v>542</v>
      </c>
      <c r="UE2" s="4">
        <v>543</v>
      </c>
      <c r="UF2" s="4">
        <v>544</v>
      </c>
      <c r="UG2" s="4">
        <v>545</v>
      </c>
      <c r="UH2" s="4">
        <v>546</v>
      </c>
      <c r="UI2" s="4">
        <v>547</v>
      </c>
      <c r="UJ2" s="4">
        <v>548</v>
      </c>
      <c r="UK2" s="4">
        <v>549</v>
      </c>
      <c r="UL2" s="4">
        <v>550</v>
      </c>
      <c r="UM2" s="4">
        <v>551</v>
      </c>
      <c r="UN2" s="4">
        <v>552</v>
      </c>
      <c r="UO2" s="4">
        <v>553</v>
      </c>
      <c r="UP2" s="4">
        <v>554</v>
      </c>
      <c r="UQ2" s="4">
        <v>555</v>
      </c>
      <c r="UR2" s="4">
        <v>556</v>
      </c>
      <c r="US2" s="4">
        <v>557</v>
      </c>
      <c r="UT2" s="4">
        <v>558</v>
      </c>
      <c r="UU2" s="4">
        <v>559</v>
      </c>
      <c r="UV2" s="4">
        <v>560</v>
      </c>
      <c r="UW2" s="4">
        <v>561</v>
      </c>
      <c r="UX2" s="4">
        <v>562</v>
      </c>
      <c r="UY2" s="4">
        <v>563</v>
      </c>
      <c r="UZ2" s="4">
        <v>564</v>
      </c>
      <c r="VA2" s="4">
        <v>565</v>
      </c>
      <c r="VB2" s="4">
        <v>566</v>
      </c>
      <c r="VC2" s="4">
        <v>567</v>
      </c>
      <c r="VD2" s="4">
        <v>568</v>
      </c>
      <c r="VE2" s="4">
        <v>569</v>
      </c>
      <c r="VF2" s="4">
        <v>570</v>
      </c>
      <c r="VG2" s="4">
        <v>571</v>
      </c>
      <c r="VH2" s="4">
        <v>572</v>
      </c>
      <c r="VI2" s="4">
        <v>573</v>
      </c>
      <c r="VJ2" s="4">
        <v>574</v>
      </c>
      <c r="VK2" s="4">
        <v>575</v>
      </c>
      <c r="VL2" s="4">
        <v>576</v>
      </c>
      <c r="VM2" s="4">
        <v>577</v>
      </c>
      <c r="VN2" s="4">
        <v>578</v>
      </c>
      <c r="VO2" s="4">
        <v>579</v>
      </c>
      <c r="VP2" s="4">
        <v>580</v>
      </c>
      <c r="VQ2" s="4">
        <v>581</v>
      </c>
      <c r="VR2" s="4">
        <v>582</v>
      </c>
      <c r="VS2" s="4">
        <v>583</v>
      </c>
      <c r="VT2" s="4">
        <v>584</v>
      </c>
      <c r="VU2" s="4">
        <v>585</v>
      </c>
      <c r="VV2" s="4">
        <v>586</v>
      </c>
      <c r="VW2" s="4">
        <v>587</v>
      </c>
      <c r="VX2" s="4">
        <v>588</v>
      </c>
      <c r="VY2" s="4">
        <v>589</v>
      </c>
      <c r="VZ2" s="4">
        <v>590</v>
      </c>
      <c r="WA2" s="4">
        <v>591</v>
      </c>
      <c r="WB2" s="4">
        <v>592</v>
      </c>
      <c r="WC2" s="4">
        <v>593</v>
      </c>
      <c r="WD2" s="4">
        <v>594</v>
      </c>
      <c r="WE2" s="4">
        <v>595</v>
      </c>
      <c r="WF2" s="4">
        <v>596</v>
      </c>
      <c r="WG2" s="4">
        <v>597</v>
      </c>
      <c r="WH2" s="4">
        <v>598</v>
      </c>
      <c r="WI2" s="4">
        <v>599</v>
      </c>
      <c r="WJ2" s="4">
        <v>600</v>
      </c>
      <c r="WK2" s="4">
        <v>601</v>
      </c>
      <c r="WL2" s="4">
        <v>602</v>
      </c>
      <c r="WM2" s="4">
        <v>603</v>
      </c>
      <c r="WN2" s="4">
        <v>604</v>
      </c>
      <c r="WO2" s="4">
        <v>605</v>
      </c>
      <c r="WP2" s="4">
        <v>606</v>
      </c>
      <c r="WQ2" s="4">
        <v>607</v>
      </c>
      <c r="WR2" s="4">
        <v>608</v>
      </c>
      <c r="WS2" s="4">
        <v>609</v>
      </c>
      <c r="WT2" s="4">
        <v>610</v>
      </c>
      <c r="WU2" s="4">
        <v>611</v>
      </c>
      <c r="WV2" s="4">
        <v>612</v>
      </c>
      <c r="WW2" s="4">
        <v>613</v>
      </c>
      <c r="WX2" s="4">
        <v>614</v>
      </c>
      <c r="WY2" s="4">
        <v>615</v>
      </c>
      <c r="WZ2" s="4">
        <v>616</v>
      </c>
      <c r="XA2" s="4">
        <v>617</v>
      </c>
      <c r="XB2" s="4">
        <v>618</v>
      </c>
      <c r="XC2" s="4">
        <v>619</v>
      </c>
      <c r="XD2" s="4">
        <v>620</v>
      </c>
      <c r="XE2" s="4">
        <v>621</v>
      </c>
      <c r="XF2" s="4">
        <v>622</v>
      </c>
      <c r="XG2" s="4">
        <v>623</v>
      </c>
      <c r="XH2" s="4">
        <v>624</v>
      </c>
      <c r="XI2" s="4">
        <v>625</v>
      </c>
      <c r="XJ2" s="4">
        <v>626</v>
      </c>
      <c r="XK2" s="4">
        <v>627</v>
      </c>
      <c r="XL2" s="4">
        <v>628</v>
      </c>
      <c r="XM2" s="4">
        <v>629</v>
      </c>
      <c r="XN2" s="4">
        <v>630</v>
      </c>
      <c r="XO2" s="4">
        <v>631</v>
      </c>
      <c r="XP2" s="4">
        <v>632</v>
      </c>
      <c r="XQ2" s="4">
        <v>633</v>
      </c>
      <c r="XR2" s="4">
        <v>634</v>
      </c>
      <c r="XS2" s="4">
        <v>635</v>
      </c>
      <c r="XT2" s="4">
        <v>636</v>
      </c>
      <c r="XU2" s="4">
        <v>637</v>
      </c>
      <c r="XV2" s="4">
        <v>638</v>
      </c>
      <c r="XW2" s="4">
        <v>639</v>
      </c>
      <c r="XX2" s="4">
        <v>640</v>
      </c>
      <c r="XY2" s="4">
        <v>641</v>
      </c>
      <c r="XZ2" s="4">
        <v>642</v>
      </c>
      <c r="YA2" s="4">
        <v>643</v>
      </c>
      <c r="YB2" s="4">
        <v>644</v>
      </c>
      <c r="YC2" s="4">
        <v>645</v>
      </c>
      <c r="YD2" s="4">
        <v>646</v>
      </c>
      <c r="YE2" s="4">
        <v>647</v>
      </c>
      <c r="YF2" s="4">
        <v>648</v>
      </c>
      <c r="YG2" s="4">
        <v>649</v>
      </c>
      <c r="YH2" s="4">
        <v>650</v>
      </c>
      <c r="YI2" s="4">
        <v>651</v>
      </c>
      <c r="YJ2" s="4">
        <v>652</v>
      </c>
      <c r="YK2" s="4">
        <v>653</v>
      </c>
      <c r="YL2" s="4">
        <v>654</v>
      </c>
      <c r="YM2" s="4">
        <v>655</v>
      </c>
      <c r="YN2" s="4">
        <v>656</v>
      </c>
      <c r="YO2" s="4">
        <v>657</v>
      </c>
      <c r="YP2" s="4">
        <v>658</v>
      </c>
      <c r="YQ2" s="4">
        <v>659</v>
      </c>
      <c r="YR2" s="4">
        <v>660</v>
      </c>
      <c r="YS2" s="4">
        <v>661</v>
      </c>
      <c r="YT2" s="4">
        <v>662</v>
      </c>
      <c r="YU2" s="4">
        <v>663</v>
      </c>
      <c r="YV2" s="4">
        <v>664</v>
      </c>
      <c r="YW2" s="4">
        <v>665</v>
      </c>
      <c r="YX2" s="4">
        <v>666</v>
      </c>
      <c r="YY2" s="4">
        <v>667</v>
      </c>
      <c r="YZ2" s="4">
        <v>668</v>
      </c>
      <c r="ZA2" s="4">
        <v>669</v>
      </c>
      <c r="ZB2" s="4">
        <v>670</v>
      </c>
      <c r="ZC2" s="4">
        <v>671</v>
      </c>
      <c r="ZD2" s="4">
        <v>672</v>
      </c>
      <c r="ZE2" s="4">
        <v>673</v>
      </c>
      <c r="ZF2" s="4">
        <v>674</v>
      </c>
      <c r="ZG2" s="4">
        <v>675</v>
      </c>
      <c r="ZH2" s="4">
        <v>676</v>
      </c>
      <c r="ZI2" s="4">
        <v>677</v>
      </c>
      <c r="ZJ2" s="4">
        <v>678</v>
      </c>
      <c r="ZK2" s="4">
        <v>679</v>
      </c>
      <c r="ZL2" s="4">
        <v>680</v>
      </c>
      <c r="ZM2" s="4">
        <v>681</v>
      </c>
      <c r="ZN2" s="4">
        <v>682</v>
      </c>
      <c r="ZO2" s="4">
        <v>683</v>
      </c>
      <c r="ZP2" s="4">
        <v>684</v>
      </c>
      <c r="ZQ2" s="4">
        <v>685</v>
      </c>
      <c r="ZR2" s="4">
        <v>686</v>
      </c>
      <c r="ZS2" s="4">
        <v>687</v>
      </c>
      <c r="ZT2" s="4">
        <v>688</v>
      </c>
      <c r="ZU2" s="4">
        <v>689</v>
      </c>
      <c r="ZV2" s="4">
        <v>690</v>
      </c>
      <c r="ZW2" s="4">
        <v>691</v>
      </c>
      <c r="ZX2" s="4">
        <v>692</v>
      </c>
      <c r="ZY2" s="4">
        <v>693</v>
      </c>
      <c r="ZZ2" s="4">
        <v>694</v>
      </c>
      <c r="AAA2" s="4">
        <v>695</v>
      </c>
      <c r="AAB2" s="4">
        <v>696</v>
      </c>
      <c r="AAC2" s="4">
        <v>697</v>
      </c>
      <c r="AAD2" s="4">
        <v>698</v>
      </c>
      <c r="AAE2" s="4">
        <v>699</v>
      </c>
      <c r="AAF2" s="4">
        <v>700</v>
      </c>
      <c r="AAG2" s="4">
        <v>701</v>
      </c>
      <c r="AAH2" s="4">
        <v>702</v>
      </c>
      <c r="AAI2" s="4">
        <v>703</v>
      </c>
      <c r="AAJ2" s="4">
        <v>704</v>
      </c>
      <c r="AAK2" s="4">
        <v>705</v>
      </c>
      <c r="AAL2" s="4">
        <v>706</v>
      </c>
      <c r="AAM2" s="4">
        <v>707</v>
      </c>
      <c r="AAN2" s="4">
        <v>708</v>
      </c>
      <c r="AAO2" s="4">
        <v>709</v>
      </c>
      <c r="AAP2" s="4">
        <v>710</v>
      </c>
      <c r="AAQ2" s="4">
        <v>711</v>
      </c>
      <c r="AAR2" s="4">
        <v>712</v>
      </c>
      <c r="AAS2" s="4">
        <v>713</v>
      </c>
      <c r="AAT2" s="4">
        <v>714</v>
      </c>
      <c r="AAU2" s="4">
        <v>715</v>
      </c>
      <c r="AAV2" s="4">
        <v>716</v>
      </c>
      <c r="AAW2" s="4">
        <v>717</v>
      </c>
      <c r="AAX2" s="4">
        <v>718</v>
      </c>
      <c r="AAY2" s="4">
        <v>719</v>
      </c>
      <c r="AAZ2" s="4">
        <v>720</v>
      </c>
      <c r="ABA2" s="4">
        <v>721</v>
      </c>
      <c r="ABB2" s="4">
        <v>722</v>
      </c>
      <c r="ABC2" s="4">
        <v>723</v>
      </c>
      <c r="ABD2" s="4">
        <v>724</v>
      </c>
      <c r="ABE2" s="4">
        <v>725</v>
      </c>
      <c r="ABF2" s="4">
        <v>726</v>
      </c>
      <c r="ABG2" s="4">
        <v>727</v>
      </c>
      <c r="ABH2" s="4">
        <v>728</v>
      </c>
      <c r="ABI2" s="4">
        <v>729</v>
      </c>
      <c r="ABJ2" s="4">
        <v>730</v>
      </c>
      <c r="ABK2" s="4">
        <v>731</v>
      </c>
      <c r="ABL2" s="4">
        <v>732</v>
      </c>
      <c r="ABM2" s="4">
        <v>733</v>
      </c>
      <c r="ABN2" s="4">
        <v>734</v>
      </c>
      <c r="ABO2" s="4">
        <v>735</v>
      </c>
      <c r="ABP2" s="4">
        <v>736</v>
      </c>
      <c r="ABQ2" s="4">
        <v>737</v>
      </c>
      <c r="ABR2" s="4">
        <v>738</v>
      </c>
      <c r="ABS2" s="4">
        <v>739</v>
      </c>
      <c r="ABT2" s="4">
        <v>740</v>
      </c>
      <c r="ABU2" s="4">
        <v>741</v>
      </c>
      <c r="ABV2" s="4">
        <v>742</v>
      </c>
      <c r="ABW2" s="4">
        <v>743</v>
      </c>
      <c r="ABX2" s="4">
        <v>744</v>
      </c>
      <c r="ABY2" s="4">
        <v>745</v>
      </c>
      <c r="ABZ2" s="4">
        <v>746</v>
      </c>
      <c r="ACA2" s="4">
        <v>747</v>
      </c>
      <c r="ACB2" s="4">
        <v>748</v>
      </c>
      <c r="ACC2" s="4">
        <v>749</v>
      </c>
      <c r="ACD2" s="4">
        <v>750</v>
      </c>
      <c r="ACE2" s="4">
        <v>751</v>
      </c>
      <c r="ACF2" s="4">
        <v>752</v>
      </c>
      <c r="ACG2" s="4">
        <v>753</v>
      </c>
      <c r="ACH2" s="4">
        <v>754</v>
      </c>
      <c r="ACI2" s="4">
        <v>755</v>
      </c>
      <c r="ACJ2" s="4">
        <v>756</v>
      </c>
      <c r="ACK2" s="4">
        <v>757</v>
      </c>
      <c r="ACL2" s="4">
        <v>758</v>
      </c>
      <c r="ACM2" s="4">
        <v>759</v>
      </c>
      <c r="ACN2" s="4">
        <v>760</v>
      </c>
      <c r="ACO2" s="4">
        <v>761</v>
      </c>
      <c r="ACP2" s="4">
        <v>762</v>
      </c>
      <c r="ACQ2" s="4">
        <v>763</v>
      </c>
      <c r="ACR2" s="4">
        <v>764</v>
      </c>
      <c r="ACS2" s="4">
        <v>765</v>
      </c>
      <c r="ACT2" s="4">
        <v>766</v>
      </c>
      <c r="ACU2" s="4">
        <v>767</v>
      </c>
      <c r="ACV2" s="4">
        <v>768</v>
      </c>
      <c r="ACW2" s="4">
        <v>769</v>
      </c>
      <c r="ACX2" s="4">
        <v>770</v>
      </c>
      <c r="ACY2" s="4">
        <v>771</v>
      </c>
      <c r="ACZ2" s="4">
        <v>772</v>
      </c>
      <c r="ADA2" s="4">
        <v>773</v>
      </c>
      <c r="ADB2" s="4">
        <v>774</v>
      </c>
      <c r="ADC2" s="4">
        <v>775</v>
      </c>
      <c r="ADD2" s="4">
        <v>776</v>
      </c>
      <c r="ADE2" s="4">
        <v>777</v>
      </c>
      <c r="ADF2" s="4">
        <v>778</v>
      </c>
    </row>
    <row r="3" spans="1:786" x14ac:dyDescent="0.2">
      <c r="A3" s="37">
        <v>1</v>
      </c>
      <c r="B3" s="37" t="s">
        <v>500</v>
      </c>
      <c r="C3" s="17">
        <f>+'Detalle Compras'!D3</f>
        <v>202504290139</v>
      </c>
      <c r="D3" s="55">
        <f>+IF(B3="","",EA3)</f>
        <v>10.7041</v>
      </c>
      <c r="E3" s="14">
        <f>+IF(B3="","",'Detalle Compras'!S3+0)</f>
        <v>45879</v>
      </c>
      <c r="F3" s="14">
        <f>+IF(B3="","",EOMONTH('Detalle Compras'!S3,G3)+10)</f>
        <v>58632</v>
      </c>
      <c r="G3" s="50">
        <f>+COUNTIF(I3:ADF3,"&gt;1")</f>
        <v>418</v>
      </c>
      <c r="H3" s="50">
        <f>+COUNT(AF3:ADF3)</f>
        <v>414</v>
      </c>
      <c r="I3" s="51"/>
      <c r="J3" s="51"/>
      <c r="K3" s="51"/>
      <c r="L3" s="51"/>
      <c r="M3" s="51"/>
      <c r="N3" s="51"/>
      <c r="O3" s="51"/>
      <c r="P3" s="51"/>
      <c r="Q3" s="51"/>
      <c r="R3" s="51"/>
      <c r="S3" s="51"/>
      <c r="T3" s="51"/>
      <c r="U3" s="51"/>
      <c r="V3" s="51"/>
      <c r="W3" s="51"/>
      <c r="X3" s="51"/>
      <c r="Y3" s="51"/>
      <c r="Z3" s="51"/>
      <c r="AA3" s="51"/>
      <c r="AB3" s="51">
        <v>10.7041</v>
      </c>
      <c r="AC3" s="51">
        <v>10.7041</v>
      </c>
      <c r="AD3" s="51">
        <v>10.7041</v>
      </c>
      <c r="AE3" s="51">
        <v>10.7041</v>
      </c>
      <c r="AF3" s="51">
        <v>10.7041</v>
      </c>
      <c r="AG3" s="51">
        <v>10.7041</v>
      </c>
      <c r="AH3" s="51">
        <v>10.7041</v>
      </c>
      <c r="AI3" s="51">
        <v>10.7041</v>
      </c>
      <c r="AJ3" s="51">
        <v>10.7041</v>
      </c>
      <c r="AK3" s="51">
        <v>10.7041</v>
      </c>
      <c r="AL3" s="51">
        <v>10.7041</v>
      </c>
      <c r="AM3" s="51">
        <v>10.7041</v>
      </c>
      <c r="AN3" s="51">
        <v>10.7041</v>
      </c>
      <c r="AO3" s="51">
        <v>10.7041</v>
      </c>
      <c r="AP3" s="51">
        <v>10.7041</v>
      </c>
      <c r="AQ3" s="51">
        <v>10.7041</v>
      </c>
      <c r="AR3" s="51">
        <v>10.7041</v>
      </c>
      <c r="AS3" s="51">
        <v>10.7041</v>
      </c>
      <c r="AT3" s="51">
        <v>10.7041</v>
      </c>
      <c r="AU3" s="51">
        <v>10.7041</v>
      </c>
      <c r="AV3" s="51">
        <v>10.7041</v>
      </c>
      <c r="AW3" s="51">
        <v>10.7041</v>
      </c>
      <c r="AX3" s="51">
        <v>10.7041</v>
      </c>
      <c r="AY3" s="51">
        <v>10.7041</v>
      </c>
      <c r="AZ3" s="51">
        <v>10.7041</v>
      </c>
      <c r="BA3" s="51">
        <v>10.7041</v>
      </c>
      <c r="BB3" s="51">
        <v>10.7041</v>
      </c>
      <c r="BC3" s="51">
        <v>10.7041</v>
      </c>
      <c r="BD3" s="51">
        <v>10.7041</v>
      </c>
      <c r="BE3" s="51">
        <v>10.7041</v>
      </c>
      <c r="BF3" s="51">
        <v>10.7041</v>
      </c>
      <c r="BG3" s="51">
        <v>10.7041</v>
      </c>
      <c r="BH3" s="51">
        <v>10.7041</v>
      </c>
      <c r="BI3" s="51">
        <v>10.7041</v>
      </c>
      <c r="BJ3" s="51">
        <v>10.7041</v>
      </c>
      <c r="BK3" s="51">
        <v>10.7041</v>
      </c>
      <c r="BL3" s="51">
        <v>10.7041</v>
      </c>
      <c r="BM3" s="51">
        <v>10.7041</v>
      </c>
      <c r="BN3" s="51">
        <v>10.7041</v>
      </c>
      <c r="BO3" s="51">
        <v>10.7041</v>
      </c>
      <c r="BP3" s="51">
        <v>10.7041</v>
      </c>
      <c r="BQ3" s="51">
        <v>10.7041</v>
      </c>
      <c r="BR3" s="51">
        <v>10.7041</v>
      </c>
      <c r="BS3" s="51">
        <v>10.7041</v>
      </c>
      <c r="BT3" s="51">
        <v>10.7041</v>
      </c>
      <c r="BU3" s="51">
        <v>10.7041</v>
      </c>
      <c r="BV3" s="51">
        <v>10.7041</v>
      </c>
      <c r="BW3" s="51">
        <v>10.7041</v>
      </c>
      <c r="BX3" s="51">
        <v>10.7041</v>
      </c>
      <c r="BY3" s="51">
        <v>10.7041</v>
      </c>
      <c r="BZ3" s="51">
        <v>10.7041</v>
      </c>
      <c r="CA3" s="51">
        <v>10.7041</v>
      </c>
      <c r="CB3" s="51">
        <v>10.7041</v>
      </c>
      <c r="CC3" s="51">
        <v>10.7041</v>
      </c>
      <c r="CD3" s="51">
        <v>10.7041</v>
      </c>
      <c r="CE3" s="51">
        <v>10.7041</v>
      </c>
      <c r="CF3" s="51">
        <v>10.7041</v>
      </c>
      <c r="CG3" s="51">
        <v>10.7041</v>
      </c>
      <c r="CH3" s="51">
        <v>10.7041</v>
      </c>
      <c r="CI3" s="51">
        <v>10.7041</v>
      </c>
      <c r="CJ3" s="51">
        <v>10.7041</v>
      </c>
      <c r="CK3" s="51">
        <v>10.7041</v>
      </c>
      <c r="CL3" s="51">
        <v>10.7041</v>
      </c>
      <c r="CM3" s="51">
        <v>10.7041</v>
      </c>
      <c r="CN3" s="51">
        <v>10.7041</v>
      </c>
      <c r="CO3" s="51">
        <v>10.7041</v>
      </c>
      <c r="CP3" s="51">
        <v>10.7041</v>
      </c>
      <c r="CQ3" s="51">
        <v>10.7041</v>
      </c>
      <c r="CR3" s="51">
        <v>10.7041</v>
      </c>
      <c r="CS3" s="51">
        <v>10.7041</v>
      </c>
      <c r="CT3" s="51">
        <v>10.7041</v>
      </c>
      <c r="CU3" s="51">
        <v>10.7041</v>
      </c>
      <c r="CV3" s="51">
        <v>10.7041</v>
      </c>
      <c r="CW3" s="51">
        <v>10.7041</v>
      </c>
      <c r="CX3" s="51">
        <v>10.7041</v>
      </c>
      <c r="CY3" s="51">
        <v>10.7041</v>
      </c>
      <c r="CZ3" s="51">
        <v>10.7041</v>
      </c>
      <c r="DA3" s="51">
        <v>10.7041</v>
      </c>
      <c r="DB3" s="51">
        <v>10.7041</v>
      </c>
      <c r="DC3" s="51">
        <v>10.7041</v>
      </c>
      <c r="DD3" s="51">
        <v>10.7041</v>
      </c>
      <c r="DE3" s="51">
        <v>10.7041</v>
      </c>
      <c r="DF3" s="51">
        <v>10.7041</v>
      </c>
      <c r="DG3" s="51">
        <v>10.7041</v>
      </c>
      <c r="DH3" s="51">
        <v>10.7041</v>
      </c>
      <c r="DI3" s="51">
        <v>10.7041</v>
      </c>
      <c r="DJ3" s="51">
        <v>10.7041</v>
      </c>
      <c r="DK3" s="51">
        <v>10.7041</v>
      </c>
      <c r="DL3" s="51">
        <v>10.7041</v>
      </c>
      <c r="DM3" s="51">
        <v>10.7041</v>
      </c>
      <c r="DN3" s="51">
        <v>10.7041</v>
      </c>
      <c r="DO3" s="51">
        <v>10.7041</v>
      </c>
      <c r="DP3" s="51">
        <v>10.7041</v>
      </c>
      <c r="DQ3" s="51">
        <v>10.7041</v>
      </c>
      <c r="DR3" s="51">
        <v>10.7041</v>
      </c>
      <c r="DS3" s="51">
        <v>10.7041</v>
      </c>
      <c r="DT3" s="51">
        <v>10.7041</v>
      </c>
      <c r="DU3" s="51">
        <v>10.7041</v>
      </c>
      <c r="DV3" s="51">
        <v>10.7041</v>
      </c>
      <c r="DW3" s="51">
        <v>10.7041</v>
      </c>
      <c r="DX3" s="51">
        <v>10.7041</v>
      </c>
      <c r="DY3" s="51">
        <v>10.7041</v>
      </c>
      <c r="DZ3" s="51">
        <v>10.7041</v>
      </c>
      <c r="EA3" s="51">
        <v>10.7041</v>
      </c>
      <c r="EB3" s="51">
        <v>10.7041</v>
      </c>
      <c r="EC3" s="51">
        <v>10.7041</v>
      </c>
      <c r="ED3" s="51">
        <v>10.7041</v>
      </c>
      <c r="EE3" s="51">
        <v>10.7041</v>
      </c>
      <c r="EF3" s="51">
        <v>10.7041</v>
      </c>
      <c r="EG3" s="51">
        <v>10.7041</v>
      </c>
      <c r="EH3" s="51">
        <v>10.7041</v>
      </c>
      <c r="EI3" s="51">
        <v>10.7041</v>
      </c>
      <c r="EJ3" s="51">
        <v>10.7041</v>
      </c>
      <c r="EK3" s="51">
        <v>10.7041</v>
      </c>
      <c r="EL3" s="51">
        <v>10.7041</v>
      </c>
      <c r="EM3" s="51">
        <v>10.7041</v>
      </c>
      <c r="EN3" s="51">
        <v>10.7041</v>
      </c>
      <c r="EO3" s="51">
        <v>10.7041</v>
      </c>
      <c r="EP3" s="51">
        <v>10.7041</v>
      </c>
      <c r="EQ3" s="51">
        <v>10.7041</v>
      </c>
      <c r="ER3" s="51">
        <v>10.7041</v>
      </c>
      <c r="ES3" s="51">
        <v>10.7041</v>
      </c>
      <c r="ET3" s="51">
        <v>10.7041</v>
      </c>
      <c r="EU3" s="51">
        <v>10.7041</v>
      </c>
      <c r="EV3" s="51">
        <v>10.7041</v>
      </c>
      <c r="EW3" s="51">
        <v>10.7041</v>
      </c>
      <c r="EX3" s="51">
        <v>10.7041</v>
      </c>
      <c r="EY3" s="51">
        <v>10.7041</v>
      </c>
      <c r="EZ3" s="51">
        <v>10.7041</v>
      </c>
      <c r="FA3" s="51">
        <v>10.7041</v>
      </c>
      <c r="FB3" s="51">
        <v>10.7041</v>
      </c>
      <c r="FC3" s="51">
        <v>10.7041</v>
      </c>
      <c r="FD3" s="51">
        <v>10.7041</v>
      </c>
      <c r="FE3" s="51">
        <v>10.7041</v>
      </c>
      <c r="FF3" s="51">
        <v>10.7041</v>
      </c>
      <c r="FG3" s="51">
        <v>10.7041</v>
      </c>
      <c r="FH3" s="51">
        <v>10.7041</v>
      </c>
      <c r="FI3" s="51">
        <v>10.7041</v>
      </c>
      <c r="FJ3" s="51">
        <v>10.7041</v>
      </c>
      <c r="FK3" s="51">
        <v>10.7041</v>
      </c>
      <c r="FL3" s="51">
        <v>10.7041</v>
      </c>
      <c r="FM3" s="51">
        <v>10.7041</v>
      </c>
      <c r="FN3" s="51">
        <v>10.7041</v>
      </c>
      <c r="FO3" s="51">
        <v>10.7041</v>
      </c>
      <c r="FP3" s="51">
        <v>10.7041</v>
      </c>
      <c r="FQ3" s="51">
        <v>10.7041</v>
      </c>
      <c r="FR3" s="51">
        <v>10.7041</v>
      </c>
      <c r="FS3" s="51">
        <v>10.7041</v>
      </c>
      <c r="FT3" s="51">
        <v>10.7041</v>
      </c>
      <c r="FU3" s="51">
        <v>10.7041</v>
      </c>
      <c r="FV3" s="51">
        <v>10.7041</v>
      </c>
      <c r="FW3" s="51">
        <v>10.7041</v>
      </c>
      <c r="FX3" s="51">
        <v>10.7041</v>
      </c>
      <c r="FY3" s="51">
        <v>10.7041</v>
      </c>
      <c r="FZ3" s="51">
        <v>10.7041</v>
      </c>
      <c r="GA3" s="51">
        <v>10.7041</v>
      </c>
      <c r="GB3" s="51">
        <v>10.7041</v>
      </c>
      <c r="GC3" s="51">
        <v>10.7041</v>
      </c>
      <c r="GD3" s="51">
        <v>10.7041</v>
      </c>
      <c r="GE3" s="51">
        <v>10.7041</v>
      </c>
      <c r="GF3" s="51">
        <v>10.7041</v>
      </c>
      <c r="GG3" s="51">
        <v>10.7041</v>
      </c>
      <c r="GH3" s="51">
        <v>10.7041</v>
      </c>
      <c r="GI3" s="51">
        <v>10.7041</v>
      </c>
      <c r="GJ3" s="51">
        <v>10.7041</v>
      </c>
      <c r="GK3" s="51">
        <v>10.7041</v>
      </c>
      <c r="GL3" s="51">
        <v>10.7041</v>
      </c>
      <c r="GM3" s="51">
        <v>10.7041</v>
      </c>
      <c r="GN3" s="51">
        <v>10.7041</v>
      </c>
      <c r="GO3" s="51">
        <v>10.7041</v>
      </c>
      <c r="GP3" s="51">
        <v>10.7041</v>
      </c>
      <c r="GQ3" s="51">
        <v>10.7041</v>
      </c>
      <c r="GR3" s="51">
        <v>10.7041</v>
      </c>
      <c r="GS3" s="51">
        <v>10.7041</v>
      </c>
      <c r="GT3" s="51">
        <v>10.7041</v>
      </c>
      <c r="GU3" s="51">
        <v>10.7041</v>
      </c>
      <c r="GV3" s="51">
        <v>10.7041</v>
      </c>
      <c r="GW3" s="51">
        <v>10.7041</v>
      </c>
      <c r="GX3" s="51">
        <v>10.7041</v>
      </c>
      <c r="GY3" s="51">
        <v>10.7041</v>
      </c>
      <c r="GZ3" s="51">
        <v>10.7041</v>
      </c>
      <c r="HA3" s="51">
        <v>10.7041</v>
      </c>
      <c r="HB3" s="51">
        <v>10.7041</v>
      </c>
      <c r="HC3" s="51">
        <v>10.7041</v>
      </c>
      <c r="HD3" s="51">
        <v>10.7041</v>
      </c>
      <c r="HE3" s="51">
        <v>10.7041</v>
      </c>
      <c r="HF3" s="51">
        <v>10.7041</v>
      </c>
      <c r="HG3" s="51">
        <v>10.7041</v>
      </c>
      <c r="HH3" s="51">
        <v>10.7041</v>
      </c>
      <c r="HI3" s="51">
        <v>10.7041</v>
      </c>
      <c r="HJ3" s="51">
        <v>10.7041</v>
      </c>
      <c r="HK3" s="51">
        <v>10.7041</v>
      </c>
      <c r="HL3" s="51">
        <v>10.7041</v>
      </c>
      <c r="HM3" s="51">
        <v>10.7041</v>
      </c>
      <c r="HN3" s="51">
        <v>10.7041</v>
      </c>
      <c r="HO3" s="51">
        <v>10.7041</v>
      </c>
      <c r="HP3" s="51">
        <v>10.7041</v>
      </c>
      <c r="HQ3" s="51">
        <v>10.7041</v>
      </c>
      <c r="HR3" s="51">
        <v>10.7041</v>
      </c>
      <c r="HS3" s="51">
        <v>10.7041</v>
      </c>
      <c r="HT3" s="51">
        <v>10.7041</v>
      </c>
      <c r="HU3" s="51">
        <v>10.7041</v>
      </c>
      <c r="HV3" s="51">
        <v>10.7041</v>
      </c>
      <c r="HW3" s="51">
        <v>10.7041</v>
      </c>
      <c r="HX3" s="51">
        <v>10.7041</v>
      </c>
      <c r="HY3" s="51">
        <v>10.7041</v>
      </c>
      <c r="HZ3" s="51">
        <v>10.7041</v>
      </c>
      <c r="IA3" s="51">
        <v>10.7041</v>
      </c>
      <c r="IB3" s="51">
        <v>10.7041</v>
      </c>
      <c r="IC3" s="51">
        <v>10.7041</v>
      </c>
      <c r="ID3" s="51">
        <v>10.7041</v>
      </c>
      <c r="IE3" s="51">
        <v>10.7041</v>
      </c>
      <c r="IF3" s="51">
        <v>10.7041</v>
      </c>
      <c r="IG3" s="51">
        <v>10.7041</v>
      </c>
      <c r="IH3" s="51">
        <v>10.7041</v>
      </c>
      <c r="II3" s="51">
        <v>10.7041</v>
      </c>
      <c r="IJ3" s="51">
        <v>10.7041</v>
      </c>
      <c r="IK3" s="51">
        <v>10.7041</v>
      </c>
      <c r="IL3" s="51">
        <v>10.7041</v>
      </c>
      <c r="IM3" s="51">
        <v>10.7041</v>
      </c>
      <c r="IN3" s="51">
        <v>10.7041</v>
      </c>
      <c r="IO3" s="51">
        <v>10.7041</v>
      </c>
      <c r="IP3" s="51">
        <v>10.7041</v>
      </c>
      <c r="IQ3" s="51">
        <v>10.7041</v>
      </c>
      <c r="IR3" s="51">
        <v>10.7041</v>
      </c>
      <c r="IS3" s="51">
        <v>10.7041</v>
      </c>
      <c r="IT3" s="51">
        <v>10.7041</v>
      </c>
      <c r="IU3" s="51">
        <v>10.7041</v>
      </c>
      <c r="IV3" s="51">
        <v>10.7041</v>
      </c>
      <c r="IW3" s="51">
        <v>10.7041</v>
      </c>
      <c r="IX3" s="51">
        <v>10.7041</v>
      </c>
      <c r="IY3" s="51">
        <v>10.7041</v>
      </c>
      <c r="IZ3" s="51">
        <v>10.7041</v>
      </c>
      <c r="JA3" s="51">
        <v>10.7041</v>
      </c>
      <c r="JB3" s="51">
        <v>10.7041</v>
      </c>
      <c r="JC3" s="51">
        <v>10.7041</v>
      </c>
      <c r="JD3" s="51">
        <v>10.7041</v>
      </c>
      <c r="JE3" s="51">
        <v>10.7041</v>
      </c>
      <c r="JF3" s="51">
        <v>10.7041</v>
      </c>
      <c r="JG3" s="51">
        <v>10.7041</v>
      </c>
      <c r="JH3" s="51">
        <v>10.7041</v>
      </c>
      <c r="JI3" s="51">
        <v>10.7041</v>
      </c>
      <c r="JJ3" s="51">
        <v>10.7041</v>
      </c>
      <c r="JK3" s="51">
        <v>10.7041</v>
      </c>
      <c r="JL3" s="51">
        <v>10.7041</v>
      </c>
      <c r="JM3" s="51">
        <v>10.7041</v>
      </c>
      <c r="JN3" s="51">
        <v>10.7041</v>
      </c>
      <c r="JO3" s="51">
        <v>10.7041</v>
      </c>
      <c r="JP3" s="51">
        <v>10.7041</v>
      </c>
      <c r="JQ3" s="51">
        <v>10.7041</v>
      </c>
      <c r="JR3" s="51">
        <v>10.7041</v>
      </c>
      <c r="JS3" s="51">
        <v>10.7041</v>
      </c>
      <c r="JT3" s="51">
        <v>10.7041</v>
      </c>
      <c r="JU3" s="51">
        <v>10.7041</v>
      </c>
      <c r="JV3" s="51">
        <v>10.7041</v>
      </c>
      <c r="JW3" s="51">
        <v>10.7041</v>
      </c>
      <c r="JX3" s="51">
        <v>10.7041</v>
      </c>
      <c r="JY3" s="51">
        <v>10.7041</v>
      </c>
      <c r="JZ3" s="51">
        <v>10.7041</v>
      </c>
      <c r="KA3" s="51">
        <v>10.7041</v>
      </c>
      <c r="KB3" s="51">
        <v>10.7041</v>
      </c>
      <c r="KC3" s="51">
        <v>10.7041</v>
      </c>
      <c r="KD3" s="51">
        <v>10.7041</v>
      </c>
      <c r="KE3" s="51">
        <v>10.7041</v>
      </c>
      <c r="KF3" s="51">
        <v>10.7041</v>
      </c>
      <c r="KG3" s="51">
        <v>10.7041</v>
      </c>
      <c r="KH3" s="51">
        <v>10.7041</v>
      </c>
      <c r="KI3" s="51">
        <v>10.7041</v>
      </c>
      <c r="KJ3" s="51">
        <v>10.7041</v>
      </c>
      <c r="KK3" s="51">
        <v>10.7041</v>
      </c>
      <c r="KL3" s="51">
        <v>10.7041</v>
      </c>
      <c r="KM3" s="51">
        <v>10.7041</v>
      </c>
      <c r="KN3" s="51">
        <v>10.7041</v>
      </c>
      <c r="KO3" s="51">
        <v>10.7041</v>
      </c>
      <c r="KP3" s="51">
        <v>10.7041</v>
      </c>
      <c r="KQ3" s="51">
        <v>10.7041</v>
      </c>
      <c r="KR3" s="51">
        <v>10.7041</v>
      </c>
      <c r="KS3" s="51">
        <v>10.7041</v>
      </c>
      <c r="KT3" s="51">
        <v>10.7041</v>
      </c>
      <c r="KU3" s="51">
        <v>10.7041</v>
      </c>
      <c r="KV3" s="51">
        <v>10.7041</v>
      </c>
      <c r="KW3" s="51">
        <v>10.7041</v>
      </c>
      <c r="KX3" s="51">
        <v>10.7041</v>
      </c>
      <c r="KY3" s="51">
        <v>10.7041</v>
      </c>
      <c r="KZ3" s="51">
        <v>10.7041</v>
      </c>
      <c r="LA3" s="51">
        <v>10.7041</v>
      </c>
      <c r="LB3" s="51">
        <v>10.7041</v>
      </c>
      <c r="LC3" s="51">
        <v>10.7041</v>
      </c>
      <c r="LD3" s="51">
        <v>10.7041</v>
      </c>
      <c r="LE3" s="51">
        <v>10.7041</v>
      </c>
      <c r="LF3" s="51">
        <v>10.7041</v>
      </c>
      <c r="LG3" s="51">
        <v>10.7041</v>
      </c>
      <c r="LH3" s="51">
        <v>10.7041</v>
      </c>
      <c r="LI3" s="51">
        <v>10.7041</v>
      </c>
      <c r="LJ3" s="51">
        <v>10.7041</v>
      </c>
      <c r="LK3" s="51">
        <v>10.7041</v>
      </c>
      <c r="LL3" s="51">
        <v>10.7041</v>
      </c>
      <c r="LM3" s="51">
        <v>10.7041</v>
      </c>
      <c r="LN3" s="51">
        <v>10.7041</v>
      </c>
      <c r="LO3" s="51">
        <v>10.7041</v>
      </c>
      <c r="LP3" s="51">
        <v>10.7041</v>
      </c>
      <c r="LQ3" s="51">
        <v>10.7041</v>
      </c>
      <c r="LR3" s="51">
        <v>10.7041</v>
      </c>
      <c r="LS3" s="51">
        <v>10.7041</v>
      </c>
      <c r="LT3" s="51">
        <v>10.7041</v>
      </c>
      <c r="LU3" s="51">
        <v>10.7041</v>
      </c>
      <c r="LV3" s="51">
        <v>10.7041</v>
      </c>
      <c r="LW3" s="51">
        <v>10.7041</v>
      </c>
      <c r="LX3" s="51">
        <v>10.7041</v>
      </c>
      <c r="LY3" s="51">
        <v>10.7041</v>
      </c>
      <c r="LZ3" s="51">
        <v>10.7041</v>
      </c>
      <c r="MA3" s="51">
        <v>10.7041</v>
      </c>
      <c r="MB3" s="51">
        <v>10.7041</v>
      </c>
      <c r="MC3" s="51">
        <v>10.7041</v>
      </c>
      <c r="MD3" s="51">
        <v>10.7041</v>
      </c>
      <c r="ME3" s="51">
        <v>10.7041</v>
      </c>
      <c r="MF3" s="51">
        <v>10.7041</v>
      </c>
      <c r="MG3" s="51">
        <v>10.7041</v>
      </c>
      <c r="MH3" s="51">
        <v>10.7041</v>
      </c>
      <c r="MI3" s="51">
        <v>10.7041</v>
      </c>
      <c r="MJ3" s="51">
        <v>10.7041</v>
      </c>
      <c r="MK3" s="51">
        <v>10.7041</v>
      </c>
      <c r="ML3" s="51">
        <v>10.7041</v>
      </c>
      <c r="MM3" s="51">
        <v>10.7041</v>
      </c>
      <c r="MN3" s="51">
        <v>10.7041</v>
      </c>
      <c r="MO3" s="51">
        <v>10.7041</v>
      </c>
      <c r="MP3" s="51">
        <v>10.7041</v>
      </c>
      <c r="MQ3" s="51">
        <v>10.7041</v>
      </c>
      <c r="MR3" s="51">
        <v>10.7041</v>
      </c>
      <c r="MS3" s="51">
        <v>10.7041</v>
      </c>
      <c r="MT3" s="51">
        <v>10.7041</v>
      </c>
      <c r="MU3" s="51">
        <v>10.7041</v>
      </c>
      <c r="MV3" s="51">
        <v>10.7041</v>
      </c>
      <c r="MW3" s="51">
        <v>10.7041</v>
      </c>
      <c r="MX3" s="51">
        <v>10.7041</v>
      </c>
      <c r="MY3" s="51">
        <v>10.7041</v>
      </c>
      <c r="MZ3" s="51">
        <v>10.7041</v>
      </c>
      <c r="NA3" s="51">
        <v>10.7041</v>
      </c>
      <c r="NB3" s="37">
        <v>10.7041</v>
      </c>
      <c r="NC3" s="37">
        <v>10.7041</v>
      </c>
      <c r="ND3" s="37">
        <v>10.7041</v>
      </c>
      <c r="NE3" s="37">
        <v>10.7041</v>
      </c>
      <c r="NF3" s="37">
        <v>10.7041</v>
      </c>
      <c r="NG3" s="37">
        <v>10.7041</v>
      </c>
      <c r="NH3" s="37">
        <v>10.7041</v>
      </c>
      <c r="NI3" s="37">
        <v>10.7041</v>
      </c>
      <c r="NJ3" s="37">
        <v>10.7041</v>
      </c>
      <c r="NK3" s="37">
        <v>10.7041</v>
      </c>
      <c r="NL3" s="37">
        <v>10.7041</v>
      </c>
      <c r="NM3" s="37">
        <v>10.7041</v>
      </c>
      <c r="NN3" s="37">
        <v>10.7041</v>
      </c>
      <c r="NO3" s="37">
        <v>10.7041</v>
      </c>
      <c r="NP3" s="37">
        <v>10.7041</v>
      </c>
      <c r="NQ3" s="37">
        <v>10.7041</v>
      </c>
      <c r="NR3" s="37">
        <v>10.7041</v>
      </c>
      <c r="NS3" s="37">
        <v>10.7041</v>
      </c>
      <c r="NT3" s="37">
        <v>10.7041</v>
      </c>
      <c r="NU3" s="37">
        <v>10.7041</v>
      </c>
      <c r="NV3" s="37">
        <v>10.7041</v>
      </c>
      <c r="NW3" s="37">
        <v>10.7041</v>
      </c>
      <c r="NX3" s="37">
        <v>10.7041</v>
      </c>
      <c r="NY3" s="37">
        <v>10.7041</v>
      </c>
      <c r="NZ3" s="37">
        <v>10.7041</v>
      </c>
      <c r="OA3" s="37">
        <v>10.7041</v>
      </c>
      <c r="OB3" s="37">
        <v>10.7041</v>
      </c>
      <c r="OC3" s="37">
        <v>10.7041</v>
      </c>
      <c r="OD3" s="37">
        <v>10.7041</v>
      </c>
      <c r="OE3" s="37">
        <v>10.7041</v>
      </c>
      <c r="OF3" s="37">
        <v>10.7041</v>
      </c>
      <c r="OG3" s="37">
        <v>10.7041</v>
      </c>
      <c r="OH3" s="37">
        <v>10.7041</v>
      </c>
      <c r="OI3" s="37">
        <v>10.7041</v>
      </c>
      <c r="OJ3" s="37">
        <v>10.7041</v>
      </c>
      <c r="OK3" s="37">
        <v>10.7041</v>
      </c>
      <c r="OL3" s="37">
        <v>10.7041</v>
      </c>
      <c r="OM3" s="37">
        <v>10.7041</v>
      </c>
      <c r="ON3" s="37">
        <v>10.7041</v>
      </c>
      <c r="OO3" s="37">
        <v>10.7041</v>
      </c>
      <c r="OP3" s="37">
        <v>10.7041</v>
      </c>
      <c r="OQ3" s="37">
        <v>10.7041</v>
      </c>
      <c r="OR3" s="37">
        <v>10.7041</v>
      </c>
      <c r="OS3" s="37">
        <v>10.7041</v>
      </c>
      <c r="OT3" s="37">
        <v>10.7041</v>
      </c>
      <c r="OU3" s="37">
        <v>10.7041</v>
      </c>
      <c r="OV3" s="37">
        <v>10.7041</v>
      </c>
      <c r="OW3" s="37">
        <v>10.7041</v>
      </c>
      <c r="OX3" s="37">
        <v>10.7041</v>
      </c>
      <c r="OY3" s="37">
        <v>10.7041</v>
      </c>
      <c r="OZ3" s="37">
        <v>10.7041</v>
      </c>
      <c r="PA3" s="37">
        <v>10.7041</v>
      </c>
      <c r="PB3" s="37">
        <v>10.7041</v>
      </c>
      <c r="PC3" s="37">
        <v>10.7041</v>
      </c>
      <c r="PD3" s="37">
        <v>10.7041</v>
      </c>
      <c r="PE3" s="37">
        <v>10.7041</v>
      </c>
      <c r="PF3" s="37">
        <v>10.7041</v>
      </c>
      <c r="PG3" s="37">
        <v>10.7041</v>
      </c>
      <c r="PH3" s="37">
        <v>10.7041</v>
      </c>
      <c r="PI3" s="37">
        <v>10.7041</v>
      </c>
      <c r="PJ3" s="37">
        <v>10.7041</v>
      </c>
      <c r="PK3" s="37">
        <v>10.7041</v>
      </c>
      <c r="PL3" s="37">
        <v>10.7041</v>
      </c>
      <c r="PM3" s="37">
        <v>10.7041</v>
      </c>
      <c r="PN3" s="37">
        <v>10.7041</v>
      </c>
      <c r="PO3" s="37">
        <v>10.7041</v>
      </c>
      <c r="PP3" s="37">
        <v>10.7041</v>
      </c>
      <c r="PQ3" s="37">
        <v>10.7041</v>
      </c>
      <c r="PR3" s="37">
        <v>10.7041</v>
      </c>
      <c r="PS3" s="15">
        <v>10.7041</v>
      </c>
      <c r="PT3" s="15">
        <v>10.7041</v>
      </c>
      <c r="PU3" s="15">
        <v>10.7041</v>
      </c>
      <c r="PV3" s="15">
        <v>10.7041</v>
      </c>
      <c r="PW3" s="15">
        <v>10.7041</v>
      </c>
      <c r="PX3" s="15">
        <v>10.7041</v>
      </c>
      <c r="PY3" s="15">
        <v>10.7041</v>
      </c>
      <c r="PZ3" s="15">
        <v>10.7041</v>
      </c>
      <c r="QA3" s="15">
        <v>10.7041</v>
      </c>
      <c r="QB3" s="15">
        <v>10.7041</v>
      </c>
      <c r="QC3" s="15">
        <v>11.105549999999999</v>
      </c>
      <c r="SM3" s="15" t="s">
        <v>668</v>
      </c>
      <c r="SN3" s="15" t="s">
        <v>668</v>
      </c>
      <c r="SO3" s="15" t="s">
        <v>668</v>
      </c>
    </row>
    <row r="4" spans="1:786" x14ac:dyDescent="0.2">
      <c r="A4" s="37">
        <v>2</v>
      </c>
      <c r="B4" s="37" t="s">
        <v>501</v>
      </c>
      <c r="C4" s="17">
        <f>+'Detalle Compras'!D4</f>
        <v>202504290140</v>
      </c>
      <c r="D4" s="55">
        <f t="shared" ref="D4:D67" si="13">+IF(B4="","",EA4)</f>
        <v>9.3170439999999992</v>
      </c>
      <c r="E4" s="14">
        <f>+IF(B4="","",'Detalle Compras'!S4+0)</f>
        <v>45910</v>
      </c>
      <c r="F4" s="14">
        <f>+IF(B4="","",EOMONTH('Detalle Compras'!S4,G4)+10)</f>
        <v>60520</v>
      </c>
      <c r="G4" s="50">
        <f t="shared" ref="G4:G67" si="14">+COUNTIF(I4:ADF4,"&gt;1")</f>
        <v>479</v>
      </c>
      <c r="H4" s="50">
        <f t="shared" ref="H4:H67" si="15">+COUNT(AF4:ADF4)</f>
        <v>475</v>
      </c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  <c r="T4" s="51"/>
      <c r="U4" s="51"/>
      <c r="V4" s="51"/>
      <c r="W4" s="51"/>
      <c r="X4" s="51"/>
      <c r="Y4" s="51"/>
      <c r="Z4" s="51"/>
      <c r="AA4" s="51"/>
      <c r="AB4" s="51">
        <v>9.3170439999999992</v>
      </c>
      <c r="AC4" s="51">
        <v>9.3170439999999992</v>
      </c>
      <c r="AD4" s="51">
        <v>9.3170439999999992</v>
      </c>
      <c r="AE4" s="51">
        <v>9.3170439999999992</v>
      </c>
      <c r="AF4" s="51">
        <v>9.3170439999999992</v>
      </c>
      <c r="AG4" s="51">
        <v>9.3170439999999992</v>
      </c>
      <c r="AH4" s="51">
        <v>9.3170439999999992</v>
      </c>
      <c r="AI4" s="51">
        <v>9.3170439999999992</v>
      </c>
      <c r="AJ4" s="51">
        <v>9.3170439999999992</v>
      </c>
      <c r="AK4" s="51">
        <v>9.3170439999999992</v>
      </c>
      <c r="AL4" s="51">
        <v>9.3170439999999992</v>
      </c>
      <c r="AM4" s="51">
        <v>9.3170439999999992</v>
      </c>
      <c r="AN4" s="51">
        <v>9.3170439999999992</v>
      </c>
      <c r="AO4" s="51">
        <v>9.3170439999999992</v>
      </c>
      <c r="AP4" s="51">
        <v>9.3170439999999992</v>
      </c>
      <c r="AQ4" s="51">
        <v>9.3170439999999992</v>
      </c>
      <c r="AR4" s="51">
        <v>9.3170439999999992</v>
      </c>
      <c r="AS4" s="51">
        <v>9.3170439999999992</v>
      </c>
      <c r="AT4" s="51">
        <v>9.3170439999999992</v>
      </c>
      <c r="AU4" s="51">
        <v>9.3170439999999992</v>
      </c>
      <c r="AV4" s="51">
        <v>9.3170439999999992</v>
      </c>
      <c r="AW4" s="51">
        <v>9.3170439999999992</v>
      </c>
      <c r="AX4" s="51">
        <v>9.3170439999999992</v>
      </c>
      <c r="AY4" s="51">
        <v>9.3170439999999992</v>
      </c>
      <c r="AZ4" s="51">
        <v>9.3170439999999992</v>
      </c>
      <c r="BA4" s="51">
        <v>9.3170439999999992</v>
      </c>
      <c r="BB4" s="51">
        <v>9.3170439999999992</v>
      </c>
      <c r="BC4" s="51">
        <v>9.3170439999999992</v>
      </c>
      <c r="BD4" s="51">
        <v>9.3170439999999992</v>
      </c>
      <c r="BE4" s="51">
        <v>9.3170439999999992</v>
      </c>
      <c r="BF4" s="51">
        <v>9.3170439999999992</v>
      </c>
      <c r="BG4" s="51">
        <v>9.3170439999999992</v>
      </c>
      <c r="BH4" s="51">
        <v>9.3170439999999992</v>
      </c>
      <c r="BI4" s="51">
        <v>9.3170439999999992</v>
      </c>
      <c r="BJ4" s="51">
        <v>9.3170439999999992</v>
      </c>
      <c r="BK4" s="51">
        <v>9.3170439999999992</v>
      </c>
      <c r="BL4" s="51">
        <v>9.3170439999999992</v>
      </c>
      <c r="BM4" s="51">
        <v>9.3170439999999992</v>
      </c>
      <c r="BN4" s="51">
        <v>9.3170439999999992</v>
      </c>
      <c r="BO4" s="51">
        <v>9.3170439999999992</v>
      </c>
      <c r="BP4" s="51">
        <v>9.3170439999999992</v>
      </c>
      <c r="BQ4" s="51">
        <v>9.3170439999999992</v>
      </c>
      <c r="BR4" s="51">
        <v>9.3170439999999992</v>
      </c>
      <c r="BS4" s="51">
        <v>9.3170439999999992</v>
      </c>
      <c r="BT4" s="51">
        <v>9.3170439999999992</v>
      </c>
      <c r="BU4" s="51">
        <v>9.3170439999999992</v>
      </c>
      <c r="BV4" s="51">
        <v>9.3170439999999992</v>
      </c>
      <c r="BW4" s="51">
        <v>9.3170439999999992</v>
      </c>
      <c r="BX4" s="51">
        <v>9.3170439999999992</v>
      </c>
      <c r="BY4" s="51">
        <v>9.3170439999999992</v>
      </c>
      <c r="BZ4" s="51">
        <v>9.3170439999999992</v>
      </c>
      <c r="CA4" s="51">
        <v>9.3170439999999992</v>
      </c>
      <c r="CB4" s="51">
        <v>9.3170439999999992</v>
      </c>
      <c r="CC4" s="51">
        <v>9.3170439999999992</v>
      </c>
      <c r="CD4" s="51">
        <v>9.3170439999999992</v>
      </c>
      <c r="CE4" s="51">
        <v>9.3170439999999992</v>
      </c>
      <c r="CF4" s="51">
        <v>9.3170439999999992</v>
      </c>
      <c r="CG4" s="51">
        <v>9.3170439999999992</v>
      </c>
      <c r="CH4" s="51">
        <v>9.3170439999999992</v>
      </c>
      <c r="CI4" s="51">
        <v>9.3170439999999992</v>
      </c>
      <c r="CJ4" s="51">
        <v>9.3170439999999992</v>
      </c>
      <c r="CK4" s="51">
        <v>9.3170439999999992</v>
      </c>
      <c r="CL4" s="51">
        <v>9.3170439999999992</v>
      </c>
      <c r="CM4" s="51">
        <v>9.3170439999999992</v>
      </c>
      <c r="CN4" s="51">
        <v>9.3170439999999992</v>
      </c>
      <c r="CO4" s="51">
        <v>9.3170439999999992</v>
      </c>
      <c r="CP4" s="51">
        <v>9.3170439999999992</v>
      </c>
      <c r="CQ4" s="51">
        <v>9.3170439999999992</v>
      </c>
      <c r="CR4" s="51">
        <v>9.3170439999999992</v>
      </c>
      <c r="CS4" s="51">
        <v>9.3170439999999992</v>
      </c>
      <c r="CT4" s="51">
        <v>9.3170439999999992</v>
      </c>
      <c r="CU4" s="51">
        <v>9.3170439999999992</v>
      </c>
      <c r="CV4" s="51">
        <v>9.3170439999999992</v>
      </c>
      <c r="CW4" s="51">
        <v>9.3170439999999992</v>
      </c>
      <c r="CX4" s="51">
        <v>9.3170439999999992</v>
      </c>
      <c r="CY4" s="51">
        <v>9.3170439999999992</v>
      </c>
      <c r="CZ4" s="51">
        <v>9.3170439999999992</v>
      </c>
      <c r="DA4" s="51">
        <v>9.3170439999999992</v>
      </c>
      <c r="DB4" s="51">
        <v>9.3170439999999992</v>
      </c>
      <c r="DC4" s="51">
        <v>9.3170439999999992</v>
      </c>
      <c r="DD4" s="51">
        <v>9.3170439999999992</v>
      </c>
      <c r="DE4" s="51">
        <v>9.3170439999999992</v>
      </c>
      <c r="DF4" s="51">
        <v>9.3170439999999992</v>
      </c>
      <c r="DG4" s="51">
        <v>9.3170439999999992</v>
      </c>
      <c r="DH4" s="51">
        <v>9.3170439999999992</v>
      </c>
      <c r="DI4" s="51">
        <v>9.3170439999999992</v>
      </c>
      <c r="DJ4" s="51">
        <v>9.3170439999999992</v>
      </c>
      <c r="DK4" s="51">
        <v>9.3170439999999992</v>
      </c>
      <c r="DL4" s="51">
        <v>9.3170439999999992</v>
      </c>
      <c r="DM4" s="51">
        <v>9.3170439999999992</v>
      </c>
      <c r="DN4" s="51">
        <v>9.3170439999999992</v>
      </c>
      <c r="DO4" s="51">
        <v>9.3170439999999992</v>
      </c>
      <c r="DP4" s="51">
        <v>9.3170439999999992</v>
      </c>
      <c r="DQ4" s="51">
        <v>9.3170439999999992</v>
      </c>
      <c r="DR4" s="51">
        <v>9.3170439999999992</v>
      </c>
      <c r="DS4" s="51">
        <v>9.3170439999999992</v>
      </c>
      <c r="DT4" s="51">
        <v>9.3170439999999992</v>
      </c>
      <c r="DU4" s="51">
        <v>9.3170439999999992</v>
      </c>
      <c r="DV4" s="51">
        <v>9.3170439999999992</v>
      </c>
      <c r="DW4" s="51">
        <v>9.3170439999999992</v>
      </c>
      <c r="DX4" s="51">
        <v>9.3170439999999992</v>
      </c>
      <c r="DY4" s="51">
        <v>9.3170439999999992</v>
      </c>
      <c r="DZ4" s="51">
        <v>9.3170439999999992</v>
      </c>
      <c r="EA4" s="51">
        <v>9.3170439999999992</v>
      </c>
      <c r="EB4" s="51">
        <v>9.3170439999999992</v>
      </c>
      <c r="EC4" s="51">
        <v>9.3170439999999992</v>
      </c>
      <c r="ED4" s="51">
        <v>9.3170439999999992</v>
      </c>
      <c r="EE4" s="51">
        <v>9.3170439999999992</v>
      </c>
      <c r="EF4" s="51">
        <v>9.3170439999999992</v>
      </c>
      <c r="EG4" s="51">
        <v>9.3170439999999992</v>
      </c>
      <c r="EH4" s="51">
        <v>9.3170439999999992</v>
      </c>
      <c r="EI4" s="51">
        <v>9.3170439999999992</v>
      </c>
      <c r="EJ4" s="51">
        <v>9.3170439999999992</v>
      </c>
      <c r="EK4" s="51">
        <v>9.3170439999999992</v>
      </c>
      <c r="EL4" s="51">
        <v>9.3170439999999992</v>
      </c>
      <c r="EM4" s="51">
        <v>9.3170439999999992</v>
      </c>
      <c r="EN4" s="51">
        <v>9.3170439999999992</v>
      </c>
      <c r="EO4" s="51">
        <v>9.3170439999999992</v>
      </c>
      <c r="EP4" s="51">
        <v>9.3170439999999992</v>
      </c>
      <c r="EQ4" s="51">
        <v>9.3170439999999992</v>
      </c>
      <c r="ER4" s="51">
        <v>9.3170439999999992</v>
      </c>
      <c r="ES4" s="51">
        <v>9.3170439999999992</v>
      </c>
      <c r="ET4" s="51">
        <v>9.3170439999999992</v>
      </c>
      <c r="EU4" s="51">
        <v>9.3170439999999992</v>
      </c>
      <c r="EV4" s="51">
        <v>9.3170439999999992</v>
      </c>
      <c r="EW4" s="51">
        <v>9.3170439999999992</v>
      </c>
      <c r="EX4" s="51">
        <v>9.3170439999999992</v>
      </c>
      <c r="EY4" s="51">
        <v>9.3170439999999992</v>
      </c>
      <c r="EZ4" s="51">
        <v>9.3170439999999992</v>
      </c>
      <c r="FA4" s="51">
        <v>9.3170439999999992</v>
      </c>
      <c r="FB4" s="51">
        <v>9.3170439999999992</v>
      </c>
      <c r="FC4" s="51">
        <v>9.3170439999999992</v>
      </c>
      <c r="FD4" s="51">
        <v>9.3170439999999992</v>
      </c>
      <c r="FE4" s="51">
        <v>9.3170439999999992</v>
      </c>
      <c r="FF4" s="51">
        <v>9.3170439999999992</v>
      </c>
      <c r="FG4" s="51">
        <v>9.3170439999999992</v>
      </c>
      <c r="FH4" s="51">
        <v>9.3170439999999992</v>
      </c>
      <c r="FI4" s="51">
        <v>9.3170439999999992</v>
      </c>
      <c r="FJ4" s="51">
        <v>9.3170439999999992</v>
      </c>
      <c r="FK4" s="51">
        <v>9.3170439999999992</v>
      </c>
      <c r="FL4" s="51">
        <v>9.3170439999999992</v>
      </c>
      <c r="FM4" s="51">
        <v>9.3170439999999992</v>
      </c>
      <c r="FN4" s="51">
        <v>9.3170439999999992</v>
      </c>
      <c r="FO4" s="51">
        <v>9.3170439999999992</v>
      </c>
      <c r="FP4" s="51">
        <v>9.3170439999999992</v>
      </c>
      <c r="FQ4" s="51">
        <v>9.3170439999999992</v>
      </c>
      <c r="FR4" s="51">
        <v>9.3170439999999992</v>
      </c>
      <c r="FS4" s="51">
        <v>9.3170439999999992</v>
      </c>
      <c r="FT4" s="51">
        <v>9.3170439999999992</v>
      </c>
      <c r="FU4" s="51">
        <v>9.3170439999999992</v>
      </c>
      <c r="FV4" s="51">
        <v>9.3170439999999992</v>
      </c>
      <c r="FW4" s="51">
        <v>9.3170439999999992</v>
      </c>
      <c r="FX4" s="51">
        <v>9.3170439999999992</v>
      </c>
      <c r="FY4" s="51">
        <v>9.3170439999999992</v>
      </c>
      <c r="FZ4" s="51">
        <v>9.3170439999999992</v>
      </c>
      <c r="GA4" s="51">
        <v>9.3170439999999992</v>
      </c>
      <c r="GB4" s="51">
        <v>9.3170439999999992</v>
      </c>
      <c r="GC4" s="51">
        <v>9.3170439999999992</v>
      </c>
      <c r="GD4" s="51">
        <v>9.3170439999999992</v>
      </c>
      <c r="GE4" s="51">
        <v>9.3170439999999992</v>
      </c>
      <c r="GF4" s="51">
        <v>9.3170439999999992</v>
      </c>
      <c r="GG4" s="51">
        <v>9.3170439999999992</v>
      </c>
      <c r="GH4" s="51">
        <v>9.3170439999999992</v>
      </c>
      <c r="GI4" s="51">
        <v>9.3170439999999992</v>
      </c>
      <c r="GJ4" s="51">
        <v>9.3170439999999992</v>
      </c>
      <c r="GK4" s="51">
        <v>9.3170439999999992</v>
      </c>
      <c r="GL4" s="51">
        <v>9.3170439999999992</v>
      </c>
      <c r="GM4" s="51">
        <v>9.3170439999999992</v>
      </c>
      <c r="GN4" s="51">
        <v>9.3170439999999992</v>
      </c>
      <c r="GO4" s="51">
        <v>9.3170439999999992</v>
      </c>
      <c r="GP4" s="51">
        <v>9.3170439999999992</v>
      </c>
      <c r="GQ4" s="51">
        <v>9.3170439999999992</v>
      </c>
      <c r="GR4" s="51">
        <v>9.3170439999999992</v>
      </c>
      <c r="GS4" s="51">
        <v>9.3170439999999992</v>
      </c>
      <c r="GT4" s="51">
        <v>9.3170439999999992</v>
      </c>
      <c r="GU4" s="51">
        <v>9.3170439999999992</v>
      </c>
      <c r="GV4" s="51">
        <v>9.3170439999999992</v>
      </c>
      <c r="GW4" s="51">
        <v>9.3170439999999992</v>
      </c>
      <c r="GX4" s="51">
        <v>9.3170439999999992</v>
      </c>
      <c r="GY4" s="51">
        <v>9.3170439999999992</v>
      </c>
      <c r="GZ4" s="51">
        <v>9.3170439999999992</v>
      </c>
      <c r="HA4" s="51">
        <v>9.3170439999999992</v>
      </c>
      <c r="HB4" s="51">
        <v>9.3170439999999992</v>
      </c>
      <c r="HC4" s="51">
        <v>9.3170439999999992</v>
      </c>
      <c r="HD4" s="51">
        <v>9.3170439999999992</v>
      </c>
      <c r="HE4" s="51">
        <v>9.3170439999999992</v>
      </c>
      <c r="HF4" s="51">
        <v>9.3170439999999992</v>
      </c>
      <c r="HG4" s="51">
        <v>9.3170439999999992</v>
      </c>
      <c r="HH4" s="51">
        <v>9.3170439999999992</v>
      </c>
      <c r="HI4" s="51">
        <v>9.3170439999999992</v>
      </c>
      <c r="HJ4" s="51">
        <v>9.3170439999999992</v>
      </c>
      <c r="HK4" s="51">
        <v>9.3170439999999992</v>
      </c>
      <c r="HL4" s="51">
        <v>9.3170439999999992</v>
      </c>
      <c r="HM4" s="51">
        <v>9.3170439999999992</v>
      </c>
      <c r="HN4" s="51">
        <v>9.3170439999999992</v>
      </c>
      <c r="HO4" s="51">
        <v>9.3170439999999992</v>
      </c>
      <c r="HP4" s="51">
        <v>9.3170439999999992</v>
      </c>
      <c r="HQ4" s="51">
        <v>9.3170439999999992</v>
      </c>
      <c r="HR4" s="51">
        <v>9.3170439999999992</v>
      </c>
      <c r="HS4" s="51">
        <v>9.3170439999999992</v>
      </c>
      <c r="HT4" s="51">
        <v>9.3170439999999992</v>
      </c>
      <c r="HU4" s="51">
        <v>9.3170439999999992</v>
      </c>
      <c r="HV4" s="51">
        <v>9.3170439999999992</v>
      </c>
      <c r="HW4" s="51">
        <v>9.3170439999999992</v>
      </c>
      <c r="HX4" s="51">
        <v>9.3170439999999992</v>
      </c>
      <c r="HY4" s="51">
        <v>9.3170439999999992</v>
      </c>
      <c r="HZ4" s="51">
        <v>9.3170439999999992</v>
      </c>
      <c r="IA4" s="51">
        <v>9.3170439999999992</v>
      </c>
      <c r="IB4" s="51">
        <v>9.3170439999999992</v>
      </c>
      <c r="IC4" s="51">
        <v>9.3170439999999992</v>
      </c>
      <c r="ID4" s="51">
        <v>9.3170439999999992</v>
      </c>
      <c r="IE4" s="51">
        <v>9.3170439999999992</v>
      </c>
      <c r="IF4" s="51">
        <v>9.3170439999999992</v>
      </c>
      <c r="IG4" s="51">
        <v>9.3170439999999992</v>
      </c>
      <c r="IH4" s="51">
        <v>9.3170439999999992</v>
      </c>
      <c r="II4" s="51">
        <v>9.3170439999999992</v>
      </c>
      <c r="IJ4" s="51">
        <v>9.3170439999999992</v>
      </c>
      <c r="IK4" s="51">
        <v>9.3170439999999992</v>
      </c>
      <c r="IL4" s="51">
        <v>9.3170439999999992</v>
      </c>
      <c r="IM4" s="51">
        <v>9.3170439999999992</v>
      </c>
      <c r="IN4" s="51">
        <v>9.3170439999999992</v>
      </c>
      <c r="IO4" s="51">
        <v>9.3170439999999992</v>
      </c>
      <c r="IP4" s="51">
        <v>9.3170439999999992</v>
      </c>
      <c r="IQ4" s="51">
        <v>9.3170439999999992</v>
      </c>
      <c r="IR4" s="51">
        <v>9.3170439999999992</v>
      </c>
      <c r="IS4" s="51">
        <v>9.3170439999999992</v>
      </c>
      <c r="IT4" s="51">
        <v>9.3170439999999992</v>
      </c>
      <c r="IU4" s="51">
        <v>9.3170439999999992</v>
      </c>
      <c r="IV4" s="51">
        <v>9.3170439999999992</v>
      </c>
      <c r="IW4" s="51">
        <v>9.3170439999999992</v>
      </c>
      <c r="IX4" s="51">
        <v>9.3170439999999992</v>
      </c>
      <c r="IY4" s="51">
        <v>9.3170439999999992</v>
      </c>
      <c r="IZ4" s="51">
        <v>9.3170439999999992</v>
      </c>
      <c r="JA4" s="51">
        <v>9.3170439999999992</v>
      </c>
      <c r="JB4" s="51">
        <v>9.3170439999999992</v>
      </c>
      <c r="JC4" s="51">
        <v>9.3170439999999992</v>
      </c>
      <c r="JD4" s="51">
        <v>9.3170439999999992</v>
      </c>
      <c r="JE4" s="51">
        <v>9.3170439999999992</v>
      </c>
      <c r="JF4" s="51">
        <v>9.3170439999999992</v>
      </c>
      <c r="JG4" s="51">
        <v>9.3170439999999992</v>
      </c>
      <c r="JH4" s="51">
        <v>9.3170439999999992</v>
      </c>
      <c r="JI4" s="51">
        <v>9.3170439999999992</v>
      </c>
      <c r="JJ4" s="51">
        <v>9.3170439999999992</v>
      </c>
      <c r="JK4" s="51">
        <v>9.3170439999999992</v>
      </c>
      <c r="JL4" s="51">
        <v>9.3170439999999992</v>
      </c>
      <c r="JM4" s="51">
        <v>9.3170439999999992</v>
      </c>
      <c r="JN4" s="51">
        <v>9.3170439999999992</v>
      </c>
      <c r="JO4" s="51">
        <v>9.3170439999999992</v>
      </c>
      <c r="JP4" s="51">
        <v>9.3170439999999992</v>
      </c>
      <c r="JQ4" s="51">
        <v>9.3170439999999992</v>
      </c>
      <c r="JR4" s="51">
        <v>9.3170439999999992</v>
      </c>
      <c r="JS4" s="51">
        <v>9.3170439999999992</v>
      </c>
      <c r="JT4" s="51">
        <v>9.3170439999999992</v>
      </c>
      <c r="JU4" s="51">
        <v>9.3170439999999992</v>
      </c>
      <c r="JV4" s="51">
        <v>9.3170439999999992</v>
      </c>
      <c r="JW4" s="51">
        <v>9.3170439999999992</v>
      </c>
      <c r="JX4" s="51">
        <v>9.3170439999999992</v>
      </c>
      <c r="JY4" s="51">
        <v>9.3170439999999992</v>
      </c>
      <c r="JZ4" s="51">
        <v>9.3170439999999992</v>
      </c>
      <c r="KA4" s="51">
        <v>9.3170439999999992</v>
      </c>
      <c r="KB4" s="51">
        <v>9.3170439999999992</v>
      </c>
      <c r="KC4" s="51">
        <v>9.3170439999999992</v>
      </c>
      <c r="KD4" s="51">
        <v>9.3170439999999992</v>
      </c>
      <c r="KE4" s="51">
        <v>9.3170439999999992</v>
      </c>
      <c r="KF4" s="51">
        <v>9.3170439999999992</v>
      </c>
      <c r="KG4" s="51">
        <v>9.3170439999999992</v>
      </c>
      <c r="KH4" s="51">
        <v>9.3170439999999992</v>
      </c>
      <c r="KI4" s="51">
        <v>9.3170439999999992</v>
      </c>
      <c r="KJ4" s="51">
        <v>9.3170439999999992</v>
      </c>
      <c r="KK4" s="51">
        <v>9.3170439999999992</v>
      </c>
      <c r="KL4" s="51">
        <v>9.3170439999999992</v>
      </c>
      <c r="KM4" s="51">
        <v>9.3170439999999992</v>
      </c>
      <c r="KN4" s="51">
        <v>9.3170439999999992</v>
      </c>
      <c r="KO4" s="51">
        <v>9.3170439999999992</v>
      </c>
      <c r="KP4" s="51">
        <v>9.3170439999999992</v>
      </c>
      <c r="KQ4" s="51">
        <v>9.3170439999999992</v>
      </c>
      <c r="KR4" s="51">
        <v>9.3170439999999992</v>
      </c>
      <c r="KS4" s="51">
        <v>9.3170439999999992</v>
      </c>
      <c r="KT4" s="51">
        <v>9.3170439999999992</v>
      </c>
      <c r="KU4" s="51">
        <v>9.3170439999999992</v>
      </c>
      <c r="KV4" s="51">
        <v>9.3170439999999992</v>
      </c>
      <c r="KW4" s="51">
        <v>9.3170439999999992</v>
      </c>
      <c r="KX4" s="51">
        <v>9.3170439999999992</v>
      </c>
      <c r="KY4" s="51">
        <v>9.3170439999999992</v>
      </c>
      <c r="KZ4" s="51">
        <v>9.3170439999999992</v>
      </c>
      <c r="LA4" s="51">
        <v>9.3170439999999992</v>
      </c>
      <c r="LB4" s="51">
        <v>9.3170439999999992</v>
      </c>
      <c r="LC4" s="51">
        <v>9.3170439999999992</v>
      </c>
      <c r="LD4" s="51">
        <v>9.3170439999999992</v>
      </c>
      <c r="LE4" s="51">
        <v>9.3170439999999992</v>
      </c>
      <c r="LF4" s="51">
        <v>9.3170439999999992</v>
      </c>
      <c r="LG4" s="51">
        <v>9.3170439999999992</v>
      </c>
      <c r="LH4" s="51">
        <v>9.3170439999999992</v>
      </c>
      <c r="LI4" s="51">
        <v>9.3170439999999992</v>
      </c>
      <c r="LJ4" s="51">
        <v>9.3170439999999992</v>
      </c>
      <c r="LK4" s="51">
        <v>9.3170439999999992</v>
      </c>
      <c r="LL4" s="51">
        <v>9.3170439999999992</v>
      </c>
      <c r="LM4" s="51">
        <v>9.3170439999999992</v>
      </c>
      <c r="LN4" s="51">
        <v>9.3170439999999992</v>
      </c>
      <c r="LO4" s="51">
        <v>9.3170439999999992</v>
      </c>
      <c r="LP4" s="51">
        <v>9.3170439999999992</v>
      </c>
      <c r="LQ4" s="51">
        <v>9.3170439999999992</v>
      </c>
      <c r="LR4" s="51">
        <v>9.3170439999999992</v>
      </c>
      <c r="LS4" s="51">
        <v>9.3170439999999992</v>
      </c>
      <c r="LT4" s="51">
        <v>9.3170439999999992</v>
      </c>
      <c r="LU4" s="51">
        <v>9.3170439999999992</v>
      </c>
      <c r="LV4" s="51">
        <v>9.3170439999999992</v>
      </c>
      <c r="LW4" s="51">
        <v>9.3170439999999992</v>
      </c>
      <c r="LX4" s="51">
        <v>9.3170439999999992</v>
      </c>
      <c r="LY4" s="51">
        <v>9.3170439999999992</v>
      </c>
      <c r="LZ4" s="51">
        <v>9.3170439999999992</v>
      </c>
      <c r="MA4" s="51">
        <v>9.3170439999999992</v>
      </c>
      <c r="MB4" s="51">
        <v>9.3170439999999992</v>
      </c>
      <c r="MC4" s="51">
        <v>9.3170439999999992</v>
      </c>
      <c r="MD4" s="51">
        <v>9.3170439999999992</v>
      </c>
      <c r="ME4" s="51">
        <v>9.3170439999999992</v>
      </c>
      <c r="MF4" s="51">
        <v>9.3170439999999992</v>
      </c>
      <c r="MG4" s="51">
        <v>9.3170439999999992</v>
      </c>
      <c r="MH4" s="51">
        <v>9.3170439999999992</v>
      </c>
      <c r="MI4" s="51">
        <v>9.3170439999999992</v>
      </c>
      <c r="MJ4" s="51">
        <v>9.3170439999999992</v>
      </c>
      <c r="MK4" s="51">
        <v>9.3170439999999992</v>
      </c>
      <c r="ML4" s="51">
        <v>9.3170439999999992</v>
      </c>
      <c r="MM4" s="51">
        <v>9.3170439999999992</v>
      </c>
      <c r="MN4" s="51">
        <v>9.3170439999999992</v>
      </c>
      <c r="MO4" s="51">
        <v>9.3170439999999992</v>
      </c>
      <c r="MP4" s="51">
        <v>9.3170439999999992</v>
      </c>
      <c r="MQ4" s="51">
        <v>9.3170439999999992</v>
      </c>
      <c r="MR4" s="51">
        <v>9.3170439999999992</v>
      </c>
      <c r="MS4" s="51">
        <v>9.3170439999999992</v>
      </c>
      <c r="MT4" s="51">
        <v>9.3170439999999992</v>
      </c>
      <c r="MU4" s="51">
        <v>9.3170439999999992</v>
      </c>
      <c r="MV4" s="51">
        <v>9.3170439999999992</v>
      </c>
      <c r="MW4" s="51">
        <v>9.3170439999999992</v>
      </c>
      <c r="MX4" s="51">
        <v>9.3170439999999992</v>
      </c>
      <c r="MY4" s="51">
        <v>9.3170439999999992</v>
      </c>
      <c r="MZ4" s="51">
        <v>9.3170439999999992</v>
      </c>
      <c r="NA4" s="51">
        <v>9.3170439999999992</v>
      </c>
      <c r="NB4" s="51">
        <v>9.3170439999999992</v>
      </c>
      <c r="NC4" s="51">
        <v>9.3170439999999992</v>
      </c>
      <c r="ND4" s="51">
        <v>9.3170439999999992</v>
      </c>
      <c r="NE4" s="37">
        <v>9.3170439999999992</v>
      </c>
      <c r="NF4" s="37">
        <v>9.3170439999999992</v>
      </c>
      <c r="NG4" s="37">
        <v>9.3170439999999992</v>
      </c>
      <c r="NH4" s="37">
        <v>9.3170439999999992</v>
      </c>
      <c r="NI4" s="37">
        <v>9.3170439999999992</v>
      </c>
      <c r="NJ4" s="37">
        <v>9.3170439999999992</v>
      </c>
      <c r="NK4" s="37">
        <v>9.3170439999999992</v>
      </c>
      <c r="NL4" s="37">
        <v>9.3170439999999992</v>
      </c>
      <c r="NM4" s="37">
        <v>9.3170439999999992</v>
      </c>
      <c r="NN4" s="37">
        <v>9.3170439999999992</v>
      </c>
      <c r="NO4" s="37">
        <v>9.3170439999999992</v>
      </c>
      <c r="NP4" s="37">
        <v>9.3170439999999992</v>
      </c>
      <c r="NQ4" s="37">
        <v>9.3170439999999992</v>
      </c>
      <c r="NR4" s="37">
        <v>9.3170439999999992</v>
      </c>
      <c r="NS4" s="37">
        <v>9.3170439999999992</v>
      </c>
      <c r="NT4" s="37">
        <v>9.3170439999999992</v>
      </c>
      <c r="NU4" s="37">
        <v>9.3170439999999992</v>
      </c>
      <c r="NV4" s="37">
        <v>9.3170439999999992</v>
      </c>
      <c r="NW4" s="37">
        <v>9.3170439999999992</v>
      </c>
      <c r="NX4" s="37">
        <v>9.3170439999999992</v>
      </c>
      <c r="NY4" s="37">
        <v>9.3170439999999992</v>
      </c>
      <c r="NZ4" s="37">
        <v>9.3170439999999992</v>
      </c>
      <c r="OA4" s="37">
        <v>9.3170439999999992</v>
      </c>
      <c r="OB4" s="37">
        <v>9.3170439999999992</v>
      </c>
      <c r="OC4" s="37">
        <v>9.3170439999999992</v>
      </c>
      <c r="OD4" s="37">
        <v>9.3170439999999992</v>
      </c>
      <c r="OE4" s="37">
        <v>9.3170439999999992</v>
      </c>
      <c r="OF4" s="37">
        <v>9.3170439999999992</v>
      </c>
      <c r="OG4" s="37">
        <v>9.3170439999999992</v>
      </c>
      <c r="OH4" s="37">
        <v>9.3170439999999992</v>
      </c>
      <c r="OI4" s="37">
        <v>9.3170439999999992</v>
      </c>
      <c r="OJ4" s="37">
        <v>9.3170439999999992</v>
      </c>
      <c r="OK4" s="37">
        <v>9.3170439999999992</v>
      </c>
      <c r="OL4" s="37">
        <v>9.3170439999999992</v>
      </c>
      <c r="OM4" s="37">
        <v>9.3170439999999992</v>
      </c>
      <c r="ON4" s="37">
        <v>9.3170439999999992</v>
      </c>
      <c r="OO4" s="37">
        <v>9.3170439999999992</v>
      </c>
      <c r="OP4" s="37">
        <v>9.3170439999999992</v>
      </c>
      <c r="OQ4" s="37">
        <v>9.3170439999999992</v>
      </c>
      <c r="OR4" s="37">
        <v>9.3170439999999992</v>
      </c>
      <c r="OS4" s="37">
        <v>9.3170439999999992</v>
      </c>
      <c r="OT4" s="37">
        <v>9.3170439999999992</v>
      </c>
      <c r="OU4" s="37">
        <v>9.3170439999999992</v>
      </c>
      <c r="OV4" s="37">
        <v>9.3170439999999992</v>
      </c>
      <c r="OW4" s="37">
        <v>9.3170439999999992</v>
      </c>
      <c r="OX4" s="37">
        <v>9.3170439999999992</v>
      </c>
      <c r="OY4" s="37">
        <v>9.3170439999999992</v>
      </c>
      <c r="OZ4" s="37">
        <v>9.3170439999999992</v>
      </c>
      <c r="PA4" s="37">
        <v>9.3170439999999992</v>
      </c>
      <c r="PB4" s="37">
        <v>9.3170439999999992</v>
      </c>
      <c r="PC4" s="37">
        <v>9.3170439999999992</v>
      </c>
      <c r="PD4" s="37">
        <v>9.3170439999999992</v>
      </c>
      <c r="PE4" s="37">
        <v>9.3170439999999992</v>
      </c>
      <c r="PF4" s="37">
        <v>9.3170439999999992</v>
      </c>
      <c r="PG4" s="37">
        <v>9.3170439999999992</v>
      </c>
      <c r="PH4" s="37">
        <v>9.3170439999999992</v>
      </c>
      <c r="PI4" s="37">
        <v>9.3170439999999992</v>
      </c>
      <c r="PJ4" s="37">
        <v>9.3170439999999992</v>
      </c>
      <c r="PK4" s="37">
        <v>9.3170439999999992</v>
      </c>
      <c r="PL4" s="37">
        <v>9.3170439999999992</v>
      </c>
      <c r="PM4" s="37">
        <v>9.3170439999999992</v>
      </c>
      <c r="PN4" s="37">
        <v>9.3170439999999992</v>
      </c>
      <c r="PO4" s="37">
        <v>9.3170439999999992</v>
      </c>
      <c r="PP4" s="37">
        <v>9.3170439999999992</v>
      </c>
      <c r="PQ4" s="37">
        <v>9.3170439999999992</v>
      </c>
      <c r="PR4" s="37">
        <v>9.3170439999999992</v>
      </c>
      <c r="PS4" s="15">
        <v>9.3170439999999992</v>
      </c>
      <c r="PT4" s="15">
        <v>9.3170439999999992</v>
      </c>
      <c r="PU4" s="15">
        <v>9.3170439999999992</v>
      </c>
      <c r="PV4" s="15">
        <v>9.3170439999999992</v>
      </c>
      <c r="PW4" s="15">
        <v>9.3170439999999992</v>
      </c>
      <c r="PX4" s="15">
        <v>9.3170439999999992</v>
      </c>
      <c r="PY4" s="15">
        <v>9.3170439999999992</v>
      </c>
      <c r="PZ4" s="15">
        <v>9.3170439999999992</v>
      </c>
      <c r="QA4" s="15">
        <v>9.3170439999999992</v>
      </c>
      <c r="QB4" s="15">
        <v>9.3170439999999992</v>
      </c>
      <c r="QC4" s="15">
        <v>9.3170439999999992</v>
      </c>
      <c r="QD4" s="15">
        <v>9.3170439999999992</v>
      </c>
      <c r="QE4" s="15">
        <v>9.3170439999999992</v>
      </c>
      <c r="QF4" s="15">
        <v>9.3170439999999992</v>
      </c>
      <c r="QG4" s="15">
        <v>9.3170439999999992</v>
      </c>
      <c r="QH4" s="15">
        <v>9.3170439999999992</v>
      </c>
      <c r="QI4" s="15">
        <v>9.3170439999999992</v>
      </c>
      <c r="QJ4" s="15">
        <v>9.3170439999999992</v>
      </c>
      <c r="QK4" s="15">
        <v>9.3170439999999992</v>
      </c>
      <c r="QL4" s="15">
        <v>9.3170439999999992</v>
      </c>
      <c r="QM4" s="15">
        <v>9.3170439999999992</v>
      </c>
      <c r="QN4" s="15">
        <v>9.3170439999999992</v>
      </c>
      <c r="QO4" s="15">
        <v>9.3170439999999992</v>
      </c>
      <c r="QP4" s="15">
        <v>9.3170439999999992</v>
      </c>
      <c r="QQ4" s="15">
        <v>9.3170439999999992</v>
      </c>
      <c r="QR4" s="15">
        <v>9.3170439999999992</v>
      </c>
      <c r="QS4" s="15">
        <v>9.3170439999999992</v>
      </c>
      <c r="QT4" s="15">
        <v>9.3170439999999992</v>
      </c>
      <c r="QU4" s="15">
        <v>9.3170439999999992</v>
      </c>
      <c r="QV4" s="15">
        <v>9.3170439999999992</v>
      </c>
      <c r="QW4" s="15">
        <v>9.3170439999999992</v>
      </c>
      <c r="QX4" s="15">
        <v>9.3170439999999992</v>
      </c>
      <c r="QY4" s="15">
        <v>9.3170439999999992</v>
      </c>
      <c r="QZ4" s="15">
        <v>9.3170439999999992</v>
      </c>
      <c r="RA4" s="15">
        <v>9.3170439999999992</v>
      </c>
      <c r="RB4" s="15">
        <v>9.3170439999999992</v>
      </c>
      <c r="RC4" s="15">
        <v>9.3170439999999992</v>
      </c>
      <c r="RD4" s="15">
        <v>9.3170439999999992</v>
      </c>
      <c r="RE4" s="15">
        <v>9.3170439999999992</v>
      </c>
      <c r="RF4" s="15">
        <v>9.3170439999999992</v>
      </c>
      <c r="RG4" s="15">
        <v>9.3170439999999992</v>
      </c>
      <c r="RH4" s="15">
        <v>9.3170439999999992</v>
      </c>
      <c r="RI4" s="15">
        <v>9.3170439999999992</v>
      </c>
      <c r="RJ4" s="15">
        <v>9.3170439999999992</v>
      </c>
      <c r="RK4" s="15">
        <v>9.3170439999999992</v>
      </c>
      <c r="RL4" s="15">
        <v>9.3170439999999992</v>
      </c>
      <c r="RM4" s="15">
        <v>9.3170439999999992</v>
      </c>
      <c r="RN4" s="15">
        <v>9.3170439999999992</v>
      </c>
      <c r="RO4" s="15">
        <v>9.3170439999999992</v>
      </c>
      <c r="RP4" s="15">
        <v>9.3170439999999992</v>
      </c>
      <c r="RQ4" s="15">
        <v>9.3170439999999992</v>
      </c>
      <c r="RR4" s="15">
        <v>9.3170439999999992</v>
      </c>
      <c r="RS4" s="15">
        <v>9.3170439999999992</v>
      </c>
      <c r="RT4" s="15">
        <v>9.3170439999999992</v>
      </c>
      <c r="RU4" s="15">
        <v>9.3170439999999992</v>
      </c>
      <c r="RV4" s="15">
        <v>9.3170439999999992</v>
      </c>
      <c r="RW4" s="15">
        <v>9.3170439999999992</v>
      </c>
      <c r="RX4" s="15">
        <v>9.3170439999999992</v>
      </c>
      <c r="RY4" s="15">
        <v>9.3170439999999992</v>
      </c>
      <c r="RZ4" s="15">
        <v>9.3170439999999992</v>
      </c>
      <c r="SA4" s="15">
        <v>9.3170439999999992</v>
      </c>
      <c r="SB4" s="15">
        <v>9.3170439999999992</v>
      </c>
      <c r="SC4" s="15">
        <v>9.3170439999999992</v>
      </c>
      <c r="SD4" s="15">
        <v>9.3170439999999992</v>
      </c>
      <c r="SE4" s="15">
        <v>9.3170439999999992</v>
      </c>
      <c r="SF4" s="15">
        <v>9.3170439999999992</v>
      </c>
      <c r="SG4" s="15">
        <v>9.3170439999999992</v>
      </c>
      <c r="SH4" s="15">
        <v>9.3170439999999992</v>
      </c>
      <c r="SI4" s="15">
        <v>9.3170439999999992</v>
      </c>
      <c r="SJ4" s="15">
        <v>9.3170439999999992</v>
      </c>
      <c r="SK4" s="15">
        <v>9.3170439999999992</v>
      </c>
      <c r="SL4" s="15">
        <v>7.8551000000000002</v>
      </c>
      <c r="SM4" s="15" t="s">
        <v>668</v>
      </c>
      <c r="SN4" s="15" t="s">
        <v>668</v>
      </c>
      <c r="SO4" s="15" t="s">
        <v>668</v>
      </c>
    </row>
    <row r="5" spans="1:786" x14ac:dyDescent="0.2">
      <c r="A5" s="37">
        <v>3</v>
      </c>
      <c r="B5" s="37" t="s">
        <v>502</v>
      </c>
      <c r="C5" s="17">
        <f>+'Detalle Compras'!D5</f>
        <v>202504280147</v>
      </c>
      <c r="D5" s="55">
        <f t="shared" si="13"/>
        <v>10.092599999999999</v>
      </c>
      <c r="E5" s="14">
        <f>+IF(B5="","",'Detalle Compras'!S5+0)</f>
        <v>45910</v>
      </c>
      <c r="F5" s="14">
        <f>+IF(B5="","",EOMONTH('Detalle Compras'!S5,G5)+10)</f>
        <v>56867</v>
      </c>
      <c r="G5" s="50">
        <f t="shared" si="14"/>
        <v>359</v>
      </c>
      <c r="H5" s="50">
        <f t="shared" si="15"/>
        <v>355</v>
      </c>
      <c r="AB5" s="37">
        <v>10.092599999999999</v>
      </c>
      <c r="AC5" s="37">
        <v>10.092599999999999</v>
      </c>
      <c r="AD5" s="37">
        <v>10.092599999999999</v>
      </c>
      <c r="AE5" s="37">
        <v>10.092599999999999</v>
      </c>
      <c r="AF5" s="37">
        <v>10.092599999999999</v>
      </c>
      <c r="AG5" s="37">
        <v>10.092599999999999</v>
      </c>
      <c r="AH5" s="37">
        <v>10.092599999999999</v>
      </c>
      <c r="AI5" s="37">
        <v>10.092599999999999</v>
      </c>
      <c r="AJ5" s="37">
        <v>10.092599999999999</v>
      </c>
      <c r="AK5" s="37">
        <v>10.092599999999999</v>
      </c>
      <c r="AL5" s="37">
        <v>10.092599999999999</v>
      </c>
      <c r="AM5" s="37">
        <v>10.092599999999999</v>
      </c>
      <c r="AN5" s="37">
        <v>10.092599999999999</v>
      </c>
      <c r="AO5" s="37">
        <v>10.092599999999999</v>
      </c>
      <c r="AP5" s="37">
        <v>10.092599999999999</v>
      </c>
      <c r="AQ5" s="37">
        <v>10.092599999999999</v>
      </c>
      <c r="AR5" s="37">
        <v>10.092599999999999</v>
      </c>
      <c r="AS5" s="37">
        <v>10.092599999999999</v>
      </c>
      <c r="AT5" s="37">
        <v>10.092599999999999</v>
      </c>
      <c r="AU5" s="37">
        <v>10.092599999999999</v>
      </c>
      <c r="AV5" s="37">
        <v>10.092599999999999</v>
      </c>
      <c r="AW5" s="37">
        <v>10.092599999999999</v>
      </c>
      <c r="AX5" s="37">
        <v>10.092599999999999</v>
      </c>
      <c r="AY5" s="37">
        <v>10.092599999999999</v>
      </c>
      <c r="AZ5" s="37">
        <v>10.092599999999999</v>
      </c>
      <c r="BA5" s="37">
        <v>10.092599999999999</v>
      </c>
      <c r="BB5" s="37">
        <v>10.092599999999999</v>
      </c>
      <c r="BC5" s="37">
        <v>10.092599999999999</v>
      </c>
      <c r="BD5" s="37">
        <v>10.092599999999999</v>
      </c>
      <c r="BE5" s="37">
        <v>10.092599999999999</v>
      </c>
      <c r="BF5" s="37">
        <v>10.092599999999999</v>
      </c>
      <c r="BG5" s="37">
        <v>10.092599999999999</v>
      </c>
      <c r="BH5" s="37">
        <v>10.092599999999999</v>
      </c>
      <c r="BI5" s="37">
        <v>10.092599999999999</v>
      </c>
      <c r="BJ5" s="37">
        <v>10.092599999999999</v>
      </c>
      <c r="BK5" s="37">
        <v>10.092599999999999</v>
      </c>
      <c r="BL5" s="37">
        <v>10.092599999999999</v>
      </c>
      <c r="BM5" s="37">
        <v>10.092599999999999</v>
      </c>
      <c r="BN5" s="37">
        <v>10.092599999999999</v>
      </c>
      <c r="BO5" s="37">
        <v>10.092599999999999</v>
      </c>
      <c r="BP5" s="37">
        <v>10.092599999999999</v>
      </c>
      <c r="BQ5" s="37">
        <v>10.092599999999999</v>
      </c>
      <c r="BR5" s="37">
        <v>10.092599999999999</v>
      </c>
      <c r="BS5" s="37">
        <v>10.092599999999999</v>
      </c>
      <c r="BT5" s="37">
        <v>10.092599999999999</v>
      </c>
      <c r="BU5" s="37">
        <v>10.092599999999999</v>
      </c>
      <c r="BV5" s="37">
        <v>10.092599999999999</v>
      </c>
      <c r="BW5" s="37">
        <v>10.092599999999999</v>
      </c>
      <c r="BX5" s="37">
        <v>10.092599999999999</v>
      </c>
      <c r="BY5" s="37">
        <v>10.092599999999999</v>
      </c>
      <c r="BZ5" s="37">
        <v>10.092599999999999</v>
      </c>
      <c r="CA5" s="37">
        <v>10.092599999999999</v>
      </c>
      <c r="CB5" s="37">
        <v>10.092599999999999</v>
      </c>
      <c r="CC5" s="37">
        <v>10.092599999999999</v>
      </c>
      <c r="CD5" s="37">
        <v>10.092599999999999</v>
      </c>
      <c r="CE5" s="37">
        <v>10.092599999999999</v>
      </c>
      <c r="CF5" s="37">
        <v>10.092599999999999</v>
      </c>
      <c r="CG5" s="37">
        <v>10.092599999999999</v>
      </c>
      <c r="CH5" s="37">
        <v>10.092599999999999</v>
      </c>
      <c r="CI5" s="37">
        <v>10.092599999999999</v>
      </c>
      <c r="CJ5" s="37">
        <v>10.092599999999999</v>
      </c>
      <c r="CK5" s="37">
        <v>10.092599999999999</v>
      </c>
      <c r="CL5" s="37">
        <v>10.092599999999999</v>
      </c>
      <c r="CM5" s="37">
        <v>10.092599999999999</v>
      </c>
      <c r="CN5" s="37">
        <v>10.092599999999999</v>
      </c>
      <c r="CO5" s="37">
        <v>10.092599999999999</v>
      </c>
      <c r="CP5" s="37">
        <v>10.092599999999999</v>
      </c>
      <c r="CQ5" s="37">
        <v>10.092599999999999</v>
      </c>
      <c r="CR5" s="37">
        <v>10.092599999999999</v>
      </c>
      <c r="CS5" s="37">
        <v>10.092599999999999</v>
      </c>
      <c r="CT5" s="37">
        <v>10.092599999999999</v>
      </c>
      <c r="CU5" s="37">
        <v>10.092599999999999</v>
      </c>
      <c r="CV5" s="37">
        <v>10.092599999999999</v>
      </c>
      <c r="CW5" s="37">
        <v>10.092599999999999</v>
      </c>
      <c r="CX5" s="37">
        <v>10.092599999999999</v>
      </c>
      <c r="CY5" s="37">
        <v>10.092599999999999</v>
      </c>
      <c r="CZ5" s="37">
        <v>10.092599999999999</v>
      </c>
      <c r="DA5" s="37">
        <v>10.092599999999999</v>
      </c>
      <c r="DB5" s="37">
        <v>10.092599999999999</v>
      </c>
      <c r="DC5" s="37">
        <v>10.092599999999999</v>
      </c>
      <c r="DD5" s="37">
        <v>10.092599999999999</v>
      </c>
      <c r="DE5" s="37">
        <v>10.092599999999999</v>
      </c>
      <c r="DF5" s="37">
        <v>10.092599999999999</v>
      </c>
      <c r="DG5" s="37">
        <v>10.092599999999999</v>
      </c>
      <c r="DH5" s="37">
        <v>10.092599999999999</v>
      </c>
      <c r="DI5" s="37">
        <v>10.092599999999999</v>
      </c>
      <c r="DJ5" s="37">
        <v>10.092599999999999</v>
      </c>
      <c r="DK5" s="37">
        <v>10.092599999999999</v>
      </c>
      <c r="DL5" s="37">
        <v>10.092599999999999</v>
      </c>
      <c r="DM5" s="37">
        <v>10.092599999999999</v>
      </c>
      <c r="DN5" s="37">
        <v>10.092599999999999</v>
      </c>
      <c r="DO5" s="37">
        <v>10.092599999999999</v>
      </c>
      <c r="DP5" s="37">
        <v>10.092599999999999</v>
      </c>
      <c r="DQ5" s="37">
        <v>10.092599999999999</v>
      </c>
      <c r="DR5" s="37">
        <v>10.092599999999999</v>
      </c>
      <c r="DS5" s="37">
        <v>10.092599999999999</v>
      </c>
      <c r="DT5" s="37">
        <v>10.092599999999999</v>
      </c>
      <c r="DU5" s="37">
        <v>10.092599999999999</v>
      </c>
      <c r="DV5" s="37">
        <v>10.092599999999999</v>
      </c>
      <c r="DW5" s="37">
        <v>10.092599999999999</v>
      </c>
      <c r="DX5" s="37">
        <v>10.092599999999999</v>
      </c>
      <c r="DY5" s="37">
        <v>10.092599999999999</v>
      </c>
      <c r="DZ5" s="37">
        <v>10.092599999999999</v>
      </c>
      <c r="EA5" s="37">
        <v>10.092599999999999</v>
      </c>
      <c r="EB5" s="37">
        <v>10.092599999999999</v>
      </c>
      <c r="EC5" s="37">
        <v>10.092599999999999</v>
      </c>
      <c r="ED5" s="37">
        <v>10.092599999999999</v>
      </c>
      <c r="EE5" s="37">
        <v>10.092599999999999</v>
      </c>
      <c r="EF5" s="37">
        <v>10.092599999999999</v>
      </c>
      <c r="EG5" s="37">
        <v>10.092599999999999</v>
      </c>
      <c r="EH5" s="37">
        <v>10.092599999999999</v>
      </c>
      <c r="EI5" s="37">
        <v>10.092599999999999</v>
      </c>
      <c r="EJ5" s="37">
        <v>10.092599999999999</v>
      </c>
      <c r="EK5" s="37">
        <v>10.092599999999999</v>
      </c>
      <c r="EL5" s="37">
        <v>10.092599999999999</v>
      </c>
      <c r="EM5" s="37">
        <v>10.092599999999999</v>
      </c>
      <c r="EN5" s="37">
        <v>10.092599999999999</v>
      </c>
      <c r="EO5" s="37">
        <v>10.092599999999999</v>
      </c>
      <c r="EP5" s="37">
        <v>10.092599999999999</v>
      </c>
      <c r="EQ5" s="37">
        <v>10.092599999999999</v>
      </c>
      <c r="ER5" s="37">
        <v>10.092599999999999</v>
      </c>
      <c r="ES5" s="37">
        <v>10.092599999999999</v>
      </c>
      <c r="ET5" s="37">
        <v>10.092599999999999</v>
      </c>
      <c r="EU5" s="37">
        <v>10.092599999999999</v>
      </c>
      <c r="EV5" s="37">
        <v>10.092599999999999</v>
      </c>
      <c r="EW5" s="37">
        <v>10.092599999999999</v>
      </c>
      <c r="EX5" s="37">
        <v>10.092599999999999</v>
      </c>
      <c r="EY5" s="37">
        <v>10.092599999999999</v>
      </c>
      <c r="EZ5" s="37">
        <v>10.092599999999999</v>
      </c>
      <c r="FA5" s="37">
        <v>10.092599999999999</v>
      </c>
      <c r="FB5" s="37">
        <v>10.092599999999999</v>
      </c>
      <c r="FC5" s="37">
        <v>10.092599999999999</v>
      </c>
      <c r="FD5" s="37">
        <v>10.092599999999999</v>
      </c>
      <c r="FE5" s="37">
        <v>10.092599999999999</v>
      </c>
      <c r="FF5" s="37">
        <v>10.092599999999999</v>
      </c>
      <c r="FG5" s="37">
        <v>10.092599999999999</v>
      </c>
      <c r="FH5" s="37">
        <v>10.092599999999999</v>
      </c>
      <c r="FI5" s="37">
        <v>10.092599999999999</v>
      </c>
      <c r="FJ5" s="37">
        <v>10.092599999999999</v>
      </c>
      <c r="FK5" s="37">
        <v>10.092599999999999</v>
      </c>
      <c r="FL5" s="37">
        <v>10.092599999999999</v>
      </c>
      <c r="FM5" s="37">
        <v>10.092599999999999</v>
      </c>
      <c r="FN5" s="37">
        <v>10.092599999999999</v>
      </c>
      <c r="FO5" s="37">
        <v>10.092599999999999</v>
      </c>
      <c r="FP5" s="37">
        <v>10.092599999999999</v>
      </c>
      <c r="FQ5" s="37">
        <v>10.092599999999999</v>
      </c>
      <c r="FR5" s="37">
        <v>10.092599999999999</v>
      </c>
      <c r="FS5" s="37">
        <v>10.092599999999999</v>
      </c>
      <c r="FT5" s="37">
        <v>10.092599999999999</v>
      </c>
      <c r="FU5" s="37">
        <v>10.092599999999999</v>
      </c>
      <c r="FV5" s="37">
        <v>10.092599999999999</v>
      </c>
      <c r="FW5" s="37">
        <v>10.092599999999999</v>
      </c>
      <c r="FX5" s="37">
        <v>10.092599999999999</v>
      </c>
      <c r="FY5" s="37">
        <v>10.092599999999999</v>
      </c>
      <c r="FZ5" s="37">
        <v>10.092599999999999</v>
      </c>
      <c r="GA5" s="37">
        <v>10.092599999999999</v>
      </c>
      <c r="GB5" s="37">
        <v>10.092599999999999</v>
      </c>
      <c r="GC5" s="37">
        <v>10.092599999999999</v>
      </c>
      <c r="GD5" s="37">
        <v>10.092599999999999</v>
      </c>
      <c r="GE5" s="37">
        <v>10.092599999999999</v>
      </c>
      <c r="GF5" s="37">
        <v>10.092599999999999</v>
      </c>
      <c r="GG5" s="37">
        <v>10.092599999999999</v>
      </c>
      <c r="GH5" s="37">
        <v>10.092599999999999</v>
      </c>
      <c r="GI5" s="37">
        <v>10.092599999999999</v>
      </c>
      <c r="GJ5" s="37">
        <v>10.092599999999999</v>
      </c>
      <c r="GK5" s="37">
        <v>10.092599999999999</v>
      </c>
      <c r="GL5" s="37">
        <v>10.092599999999999</v>
      </c>
      <c r="GM5" s="37">
        <v>10.092599999999999</v>
      </c>
      <c r="GN5" s="37">
        <v>10.092599999999999</v>
      </c>
      <c r="GO5" s="37">
        <v>10.092599999999999</v>
      </c>
      <c r="GP5" s="37">
        <v>10.092599999999999</v>
      </c>
      <c r="GQ5" s="37">
        <v>10.092599999999999</v>
      </c>
      <c r="GR5" s="37">
        <v>10.092599999999999</v>
      </c>
      <c r="GS5" s="37">
        <v>10.092599999999999</v>
      </c>
      <c r="GT5" s="37">
        <v>10.092599999999999</v>
      </c>
      <c r="GU5" s="37">
        <v>10.092599999999999</v>
      </c>
      <c r="GV5" s="37">
        <v>10.092599999999999</v>
      </c>
      <c r="GW5" s="37">
        <v>10.092599999999999</v>
      </c>
      <c r="GX5" s="37">
        <v>10.092599999999999</v>
      </c>
      <c r="GY5" s="37">
        <v>10.092599999999999</v>
      </c>
      <c r="GZ5" s="37">
        <v>10.092599999999999</v>
      </c>
      <c r="HA5" s="37">
        <v>10.092599999999999</v>
      </c>
      <c r="HB5" s="37">
        <v>10.092599999999999</v>
      </c>
      <c r="HC5" s="37">
        <v>10.092599999999999</v>
      </c>
      <c r="HD5" s="37">
        <v>10.092599999999999</v>
      </c>
      <c r="HE5" s="37">
        <v>10.092599999999999</v>
      </c>
      <c r="HF5" s="37">
        <v>10.092599999999999</v>
      </c>
      <c r="HG5" s="37">
        <v>10.092599999999999</v>
      </c>
      <c r="HH5" s="37">
        <v>10.092599999999999</v>
      </c>
      <c r="HI5" s="37">
        <v>10.092599999999999</v>
      </c>
      <c r="HJ5" s="37">
        <v>10.092599999999999</v>
      </c>
      <c r="HK5" s="37">
        <v>10.092599999999999</v>
      </c>
      <c r="HL5" s="37">
        <v>10.092599999999999</v>
      </c>
      <c r="HM5" s="37">
        <v>10.092599999999999</v>
      </c>
      <c r="HN5" s="37">
        <v>10.092599999999999</v>
      </c>
      <c r="HO5" s="37">
        <v>10.092599999999999</v>
      </c>
      <c r="HP5" s="37">
        <v>10.092599999999999</v>
      </c>
      <c r="HQ5" s="37">
        <v>10.092599999999999</v>
      </c>
      <c r="HR5" s="37">
        <v>10.092599999999999</v>
      </c>
      <c r="HS5" s="37">
        <v>10.092599999999999</v>
      </c>
      <c r="HT5" s="37">
        <v>10.092599999999999</v>
      </c>
      <c r="HU5" s="37">
        <v>10.092599999999999</v>
      </c>
      <c r="HV5" s="37">
        <v>10.092599999999999</v>
      </c>
      <c r="HW5" s="37">
        <v>10.092599999999999</v>
      </c>
      <c r="HX5" s="37">
        <v>10.092599999999999</v>
      </c>
      <c r="HY5" s="37">
        <v>10.092599999999999</v>
      </c>
      <c r="HZ5" s="37">
        <v>10.092599999999999</v>
      </c>
      <c r="IA5" s="37">
        <v>10.092599999999999</v>
      </c>
      <c r="IB5" s="37">
        <v>10.092599999999999</v>
      </c>
      <c r="IC5" s="37">
        <v>10.092599999999999</v>
      </c>
      <c r="ID5" s="37">
        <v>10.092599999999999</v>
      </c>
      <c r="IE5" s="37">
        <v>10.092599999999999</v>
      </c>
      <c r="IF5" s="37">
        <v>10.092599999999999</v>
      </c>
      <c r="IG5" s="37">
        <v>10.092599999999999</v>
      </c>
      <c r="IH5" s="37">
        <v>10.092599999999999</v>
      </c>
      <c r="II5" s="37">
        <v>10.092599999999999</v>
      </c>
      <c r="IJ5" s="37">
        <v>10.092599999999999</v>
      </c>
      <c r="IK5" s="37">
        <v>10.092599999999999</v>
      </c>
      <c r="IL5" s="37">
        <v>10.092599999999999</v>
      </c>
      <c r="IM5" s="37">
        <v>10.092599999999999</v>
      </c>
      <c r="IN5" s="37">
        <v>10.092599999999999</v>
      </c>
      <c r="IO5" s="37">
        <v>10.092599999999999</v>
      </c>
      <c r="IP5" s="37">
        <v>10.092599999999999</v>
      </c>
      <c r="IQ5" s="37">
        <v>10.092599999999999</v>
      </c>
      <c r="IR5" s="37">
        <v>10.092599999999999</v>
      </c>
      <c r="IS5" s="37">
        <v>10.092599999999999</v>
      </c>
      <c r="IT5" s="37">
        <v>10.092599999999999</v>
      </c>
      <c r="IU5" s="37">
        <v>10.092599999999999</v>
      </c>
      <c r="IV5" s="37">
        <v>10.092599999999999</v>
      </c>
      <c r="IW5" s="37">
        <v>10.092599999999999</v>
      </c>
      <c r="IX5" s="37">
        <v>10.092599999999999</v>
      </c>
      <c r="IY5" s="37">
        <v>10.092599999999999</v>
      </c>
      <c r="IZ5" s="37">
        <v>10.092599999999999</v>
      </c>
      <c r="JA5" s="37">
        <v>10.092599999999999</v>
      </c>
      <c r="JB5" s="37">
        <v>10.092599999999999</v>
      </c>
      <c r="JC5" s="37">
        <v>10.092599999999999</v>
      </c>
      <c r="JD5" s="37">
        <v>10.092599999999999</v>
      </c>
      <c r="JE5" s="37">
        <v>10.092599999999999</v>
      </c>
      <c r="JF5" s="37">
        <v>10.092599999999999</v>
      </c>
      <c r="JG5" s="37">
        <v>10.092599999999999</v>
      </c>
      <c r="JH5" s="37">
        <v>10.092599999999999</v>
      </c>
      <c r="JI5" s="37">
        <v>10.092599999999999</v>
      </c>
      <c r="JJ5" s="37">
        <v>10.092599999999999</v>
      </c>
      <c r="JK5" s="37">
        <v>10.092599999999999</v>
      </c>
      <c r="JL5" s="37">
        <v>10.092599999999999</v>
      </c>
      <c r="JM5" s="37">
        <v>10.092599999999999</v>
      </c>
      <c r="JN5" s="37">
        <v>10.092599999999999</v>
      </c>
      <c r="JO5" s="37">
        <v>10.092599999999999</v>
      </c>
      <c r="JP5" s="37">
        <v>10.092599999999999</v>
      </c>
      <c r="JQ5" s="37">
        <v>10.092599999999999</v>
      </c>
      <c r="JR5" s="37">
        <v>10.092599999999999</v>
      </c>
      <c r="JS5" s="37">
        <v>10.092599999999999</v>
      </c>
      <c r="JT5" s="37">
        <v>10.092599999999999</v>
      </c>
      <c r="JU5" s="37">
        <v>10.092599999999999</v>
      </c>
      <c r="JV5" s="37">
        <v>10.092599999999999</v>
      </c>
      <c r="JW5" s="37">
        <v>10.092599999999999</v>
      </c>
      <c r="JX5" s="37">
        <v>10.092599999999999</v>
      </c>
      <c r="JY5" s="37">
        <v>10.092599999999999</v>
      </c>
      <c r="JZ5" s="37">
        <v>10.092599999999999</v>
      </c>
      <c r="KA5" s="37">
        <v>10.092599999999999</v>
      </c>
      <c r="KB5" s="37">
        <v>10.092599999999999</v>
      </c>
      <c r="KC5" s="37">
        <v>10.092599999999999</v>
      </c>
      <c r="KD5" s="37">
        <v>10.092599999999999</v>
      </c>
      <c r="KE5" s="37">
        <v>10.092599999999999</v>
      </c>
      <c r="KF5" s="37">
        <v>10.092599999999999</v>
      </c>
      <c r="KG5" s="37">
        <v>10.092599999999999</v>
      </c>
      <c r="KH5" s="37">
        <v>10.092599999999999</v>
      </c>
      <c r="KI5" s="37">
        <v>10.092599999999999</v>
      </c>
      <c r="KJ5" s="37">
        <v>10.092599999999999</v>
      </c>
      <c r="KK5" s="37">
        <v>10.092599999999999</v>
      </c>
      <c r="KL5" s="37">
        <v>10.092599999999999</v>
      </c>
      <c r="KM5" s="37">
        <v>10.092599999999999</v>
      </c>
      <c r="KN5" s="37">
        <v>10.092599999999999</v>
      </c>
      <c r="KO5" s="37">
        <v>10.092599999999999</v>
      </c>
      <c r="KP5" s="37">
        <v>10.092599999999999</v>
      </c>
      <c r="KQ5" s="37">
        <v>10.092599999999999</v>
      </c>
      <c r="KR5" s="37">
        <v>10.092599999999999</v>
      </c>
      <c r="KS5" s="37">
        <v>10.092599999999999</v>
      </c>
      <c r="KT5" s="37">
        <v>10.092599999999999</v>
      </c>
      <c r="KU5" s="37">
        <v>10.092599999999999</v>
      </c>
      <c r="KV5" s="37">
        <v>10.092599999999999</v>
      </c>
      <c r="KW5" s="37">
        <v>10.092599999999999</v>
      </c>
      <c r="KX5" s="37">
        <v>10.092599999999999</v>
      </c>
      <c r="KY5" s="37">
        <v>10.092599999999999</v>
      </c>
      <c r="KZ5" s="37">
        <v>10.092599999999999</v>
      </c>
      <c r="LA5" s="37">
        <v>10.092599999999999</v>
      </c>
      <c r="LB5" s="37">
        <v>10.092599999999999</v>
      </c>
      <c r="LC5" s="37">
        <v>10.092599999999999</v>
      </c>
      <c r="LD5" s="37">
        <v>10.092599999999999</v>
      </c>
      <c r="LE5" s="37">
        <v>10.092599999999999</v>
      </c>
      <c r="LF5" s="37">
        <v>10.092599999999999</v>
      </c>
      <c r="LG5" s="37">
        <v>10.092599999999999</v>
      </c>
      <c r="LH5" s="37">
        <v>10.092599999999999</v>
      </c>
      <c r="LI5" s="37">
        <v>10.092599999999999</v>
      </c>
      <c r="LJ5" s="37">
        <v>10.092599999999999</v>
      </c>
      <c r="LK5" s="37">
        <v>10.092599999999999</v>
      </c>
      <c r="LL5" s="37">
        <v>10.092599999999999</v>
      </c>
      <c r="LM5" s="37">
        <v>10.092599999999999</v>
      </c>
      <c r="LN5" s="37">
        <v>10.092599999999999</v>
      </c>
      <c r="LO5" s="37">
        <v>10.092599999999999</v>
      </c>
      <c r="LP5" s="37">
        <v>10.092599999999999</v>
      </c>
      <c r="LQ5" s="37">
        <v>10.092599999999999</v>
      </c>
      <c r="LR5" s="37">
        <v>10.092599999999999</v>
      </c>
      <c r="LS5" s="37">
        <v>10.092599999999999</v>
      </c>
      <c r="LT5" s="37">
        <v>10.092599999999999</v>
      </c>
      <c r="LU5" s="37">
        <v>10.092599999999999</v>
      </c>
      <c r="LV5" s="37">
        <v>10.092599999999999</v>
      </c>
      <c r="LW5" s="37">
        <v>10.092599999999999</v>
      </c>
      <c r="LX5" s="37">
        <v>10.092599999999999</v>
      </c>
      <c r="LY5" s="37">
        <v>10.092599999999999</v>
      </c>
      <c r="LZ5" s="37">
        <v>10.092599999999999</v>
      </c>
      <c r="MA5" s="37">
        <v>10.092599999999999</v>
      </c>
      <c r="MB5" s="37">
        <v>10.092599999999999</v>
      </c>
      <c r="MC5" s="37">
        <v>10.092599999999999</v>
      </c>
      <c r="MD5" s="37">
        <v>10.092599999999999</v>
      </c>
      <c r="ME5" s="37">
        <v>10.092599999999999</v>
      </c>
      <c r="MF5" s="37">
        <v>10.092599999999999</v>
      </c>
      <c r="MG5" s="37">
        <v>10.092599999999999</v>
      </c>
      <c r="MH5" s="37">
        <v>10.092599999999999</v>
      </c>
      <c r="MI5" s="37">
        <v>10.092599999999999</v>
      </c>
      <c r="MJ5" s="37">
        <v>10.092599999999999</v>
      </c>
      <c r="MK5" s="37">
        <v>10.092599999999999</v>
      </c>
      <c r="ML5" s="37">
        <v>10.092599999999999</v>
      </c>
      <c r="MM5" s="37">
        <v>10.092599999999999</v>
      </c>
      <c r="MN5" s="37">
        <v>10.092599999999999</v>
      </c>
      <c r="MO5" s="37">
        <v>10.092599999999999</v>
      </c>
      <c r="MP5" s="37">
        <v>10.092599999999999</v>
      </c>
      <c r="MQ5" s="37">
        <v>10.092599999999999</v>
      </c>
      <c r="MR5" s="37">
        <v>10.092599999999999</v>
      </c>
      <c r="MS5" s="37">
        <v>10.092599999999999</v>
      </c>
      <c r="MT5" s="37">
        <v>10.092599999999999</v>
      </c>
      <c r="MU5" s="37">
        <v>10.092599999999999</v>
      </c>
      <c r="MV5" s="37">
        <v>10.092599999999999</v>
      </c>
      <c r="MW5" s="37">
        <v>10.092599999999999</v>
      </c>
      <c r="MX5" s="37">
        <v>10.092599999999999</v>
      </c>
      <c r="MY5" s="37">
        <v>10.092599999999999</v>
      </c>
      <c r="MZ5" s="37">
        <v>10.092599999999999</v>
      </c>
      <c r="NA5" s="37">
        <v>10.092599999999999</v>
      </c>
      <c r="NB5" s="37">
        <v>10.092599999999999</v>
      </c>
      <c r="NC5" s="37">
        <v>10.092599999999999</v>
      </c>
      <c r="ND5" s="51">
        <v>10.092599999999999</v>
      </c>
      <c r="NE5" s="37">
        <v>10.092599999999999</v>
      </c>
      <c r="NF5" s="37">
        <v>10.092599999999999</v>
      </c>
      <c r="NG5" s="37">
        <v>10.092599999999999</v>
      </c>
      <c r="NH5" s="37">
        <v>10.092599999999999</v>
      </c>
      <c r="NI5" s="37">
        <v>10.092599999999999</v>
      </c>
      <c r="NJ5" s="37">
        <v>10.092599999999999</v>
      </c>
      <c r="NK5" s="37">
        <v>10.092599999999999</v>
      </c>
      <c r="NL5" s="37">
        <v>10.092599999999999</v>
      </c>
      <c r="NM5" s="37">
        <v>10.092599999999999</v>
      </c>
      <c r="NN5" s="37">
        <v>10.092599999999999</v>
      </c>
      <c r="NO5" s="37">
        <v>10.092599999999999</v>
      </c>
      <c r="NP5" s="37">
        <v>10.092599999999999</v>
      </c>
      <c r="NQ5" s="37">
        <v>10.092599999999999</v>
      </c>
      <c r="NR5" s="37">
        <v>10.092599999999999</v>
      </c>
      <c r="NS5" s="37">
        <v>10.092599999999999</v>
      </c>
      <c r="NT5" s="37">
        <v>10.092599999999999</v>
      </c>
      <c r="NU5" s="37">
        <v>10.092599999999999</v>
      </c>
      <c r="NV5" s="37">
        <v>9.5418000000000003</v>
      </c>
      <c r="SM5" s="15" t="s">
        <v>668</v>
      </c>
      <c r="SN5" s="15" t="s">
        <v>668</v>
      </c>
      <c r="SO5" s="15" t="s">
        <v>668</v>
      </c>
    </row>
    <row r="6" spans="1:786" x14ac:dyDescent="0.2">
      <c r="A6" s="37">
        <v>4</v>
      </c>
      <c r="B6" s="37" t="s">
        <v>503</v>
      </c>
      <c r="C6" s="17">
        <f>+'Detalle Compras'!D6</f>
        <v>202504170121</v>
      </c>
      <c r="D6" s="55">
        <f t="shared" si="13"/>
        <v>11.67665</v>
      </c>
      <c r="E6" s="14">
        <f>+IF(B6="","",'Detalle Compras'!S6+0)</f>
        <v>45879</v>
      </c>
      <c r="F6" s="14">
        <f>+IF(B6="","",EOMONTH('Detalle Compras'!S6,G6)+10)</f>
        <v>60458</v>
      </c>
      <c r="G6" s="50">
        <f t="shared" si="14"/>
        <v>478</v>
      </c>
      <c r="H6" s="50">
        <f t="shared" si="15"/>
        <v>474</v>
      </c>
      <c r="AB6" s="37">
        <v>11.67665</v>
      </c>
      <c r="AC6" s="37">
        <v>11.67665</v>
      </c>
      <c r="AD6" s="37">
        <v>11.67665</v>
      </c>
      <c r="AE6" s="37">
        <v>11.67665</v>
      </c>
      <c r="AF6" s="37">
        <v>11.67665</v>
      </c>
      <c r="AG6" s="37">
        <v>11.67665</v>
      </c>
      <c r="AH6" s="37">
        <v>11.67665</v>
      </c>
      <c r="AI6" s="37">
        <v>11.67665</v>
      </c>
      <c r="AJ6" s="37">
        <v>11.67665</v>
      </c>
      <c r="AK6" s="37">
        <v>11.67665</v>
      </c>
      <c r="AL6" s="37">
        <v>11.67665</v>
      </c>
      <c r="AM6" s="37">
        <v>11.67665</v>
      </c>
      <c r="AN6" s="37">
        <v>11.67665</v>
      </c>
      <c r="AO6" s="37">
        <v>11.67665</v>
      </c>
      <c r="AP6" s="37">
        <v>11.67665</v>
      </c>
      <c r="AQ6" s="37">
        <v>11.67665</v>
      </c>
      <c r="AR6" s="37">
        <v>11.67665</v>
      </c>
      <c r="AS6" s="37">
        <v>11.67665</v>
      </c>
      <c r="AT6" s="37">
        <v>11.67665</v>
      </c>
      <c r="AU6" s="37">
        <v>11.67665</v>
      </c>
      <c r="AV6" s="37">
        <v>11.67665</v>
      </c>
      <c r="AW6" s="37">
        <v>11.67665</v>
      </c>
      <c r="AX6" s="37">
        <v>11.67665</v>
      </c>
      <c r="AY6" s="37">
        <v>11.67665</v>
      </c>
      <c r="AZ6" s="37">
        <v>11.67665</v>
      </c>
      <c r="BA6" s="37">
        <v>11.67665</v>
      </c>
      <c r="BB6" s="37">
        <v>11.67665</v>
      </c>
      <c r="BC6" s="37">
        <v>11.67665</v>
      </c>
      <c r="BD6" s="37">
        <v>11.67665</v>
      </c>
      <c r="BE6" s="37">
        <v>11.67665</v>
      </c>
      <c r="BF6" s="37">
        <v>11.67665</v>
      </c>
      <c r="BG6" s="37">
        <v>11.67665</v>
      </c>
      <c r="BH6" s="37">
        <v>11.67665</v>
      </c>
      <c r="BI6" s="37">
        <v>11.67665</v>
      </c>
      <c r="BJ6" s="37">
        <v>11.67665</v>
      </c>
      <c r="BK6" s="37">
        <v>11.67665</v>
      </c>
      <c r="BL6" s="37">
        <v>11.67665</v>
      </c>
      <c r="BM6" s="37">
        <v>11.67665</v>
      </c>
      <c r="BN6" s="37">
        <v>11.67665</v>
      </c>
      <c r="BO6" s="37">
        <v>11.67665</v>
      </c>
      <c r="BP6" s="37">
        <v>11.67665</v>
      </c>
      <c r="BQ6" s="37">
        <v>11.67665</v>
      </c>
      <c r="BR6" s="37">
        <v>11.67665</v>
      </c>
      <c r="BS6" s="37">
        <v>11.67665</v>
      </c>
      <c r="BT6" s="37">
        <v>11.67665</v>
      </c>
      <c r="BU6" s="37">
        <v>11.67665</v>
      </c>
      <c r="BV6" s="37">
        <v>11.67665</v>
      </c>
      <c r="BW6" s="37">
        <v>11.67665</v>
      </c>
      <c r="BX6" s="37">
        <v>11.67665</v>
      </c>
      <c r="BY6" s="37">
        <v>11.67665</v>
      </c>
      <c r="BZ6" s="37">
        <v>11.67665</v>
      </c>
      <c r="CA6" s="37">
        <v>11.67665</v>
      </c>
      <c r="CB6" s="37">
        <v>11.67665</v>
      </c>
      <c r="CC6" s="37">
        <v>11.67665</v>
      </c>
      <c r="CD6" s="37">
        <v>11.67665</v>
      </c>
      <c r="CE6" s="37">
        <v>11.67665</v>
      </c>
      <c r="CF6" s="37">
        <v>11.67665</v>
      </c>
      <c r="CG6" s="37">
        <v>11.67665</v>
      </c>
      <c r="CH6" s="37">
        <v>11.67665</v>
      </c>
      <c r="CI6" s="37">
        <v>11.67665</v>
      </c>
      <c r="CJ6" s="37">
        <v>11.67665</v>
      </c>
      <c r="CK6" s="37">
        <v>11.67665</v>
      </c>
      <c r="CL6" s="37">
        <v>11.67665</v>
      </c>
      <c r="CM6" s="37">
        <v>11.67665</v>
      </c>
      <c r="CN6" s="37">
        <v>11.67665</v>
      </c>
      <c r="CO6" s="37">
        <v>11.67665</v>
      </c>
      <c r="CP6" s="37">
        <v>11.67665</v>
      </c>
      <c r="CQ6" s="37">
        <v>11.67665</v>
      </c>
      <c r="CR6" s="37">
        <v>11.67665</v>
      </c>
      <c r="CS6" s="37">
        <v>11.67665</v>
      </c>
      <c r="CT6" s="37">
        <v>11.67665</v>
      </c>
      <c r="CU6" s="37">
        <v>11.67665</v>
      </c>
      <c r="CV6" s="37">
        <v>11.67665</v>
      </c>
      <c r="CW6" s="37">
        <v>11.67665</v>
      </c>
      <c r="CX6" s="37">
        <v>11.67665</v>
      </c>
      <c r="CY6" s="37">
        <v>11.67665</v>
      </c>
      <c r="CZ6" s="37">
        <v>11.67665</v>
      </c>
      <c r="DA6" s="37">
        <v>11.67665</v>
      </c>
      <c r="DB6" s="37">
        <v>11.67665</v>
      </c>
      <c r="DC6" s="37">
        <v>11.67665</v>
      </c>
      <c r="DD6" s="37">
        <v>11.67665</v>
      </c>
      <c r="DE6" s="37">
        <v>11.67665</v>
      </c>
      <c r="DF6" s="37">
        <v>11.67665</v>
      </c>
      <c r="DG6" s="37">
        <v>11.67665</v>
      </c>
      <c r="DH6" s="37">
        <v>11.67665</v>
      </c>
      <c r="DI6" s="37">
        <v>11.67665</v>
      </c>
      <c r="DJ6" s="37">
        <v>11.67665</v>
      </c>
      <c r="DK6" s="37">
        <v>11.67665</v>
      </c>
      <c r="DL6" s="37">
        <v>11.67665</v>
      </c>
      <c r="DM6" s="37">
        <v>11.67665</v>
      </c>
      <c r="DN6" s="37">
        <v>11.67665</v>
      </c>
      <c r="DO6" s="37">
        <v>11.67665</v>
      </c>
      <c r="DP6" s="37">
        <v>11.67665</v>
      </c>
      <c r="DQ6" s="37">
        <v>11.67665</v>
      </c>
      <c r="DR6" s="37">
        <v>11.67665</v>
      </c>
      <c r="DS6" s="37">
        <v>11.67665</v>
      </c>
      <c r="DT6" s="37">
        <v>11.67665</v>
      </c>
      <c r="DU6" s="37">
        <v>11.67665</v>
      </c>
      <c r="DV6" s="37">
        <v>11.67665</v>
      </c>
      <c r="DW6" s="37">
        <v>11.67665</v>
      </c>
      <c r="DX6" s="37">
        <v>11.67665</v>
      </c>
      <c r="DY6" s="37">
        <v>11.67665</v>
      </c>
      <c r="DZ6" s="37">
        <v>11.67665</v>
      </c>
      <c r="EA6" s="37">
        <v>11.67665</v>
      </c>
      <c r="EB6" s="37">
        <v>11.67665</v>
      </c>
      <c r="EC6" s="37">
        <v>11.67665</v>
      </c>
      <c r="ED6" s="37">
        <v>11.67665</v>
      </c>
      <c r="EE6" s="37">
        <v>11.67665</v>
      </c>
      <c r="EF6" s="37">
        <v>11.67665</v>
      </c>
      <c r="EG6" s="37">
        <v>11.67665</v>
      </c>
      <c r="EH6" s="37">
        <v>11.67665</v>
      </c>
      <c r="EI6" s="37">
        <v>11.67665</v>
      </c>
      <c r="EJ6" s="37">
        <v>11.67665</v>
      </c>
      <c r="EK6" s="37">
        <v>11.67665</v>
      </c>
      <c r="EL6" s="37">
        <v>11.67665</v>
      </c>
      <c r="EM6" s="37">
        <v>11.67665</v>
      </c>
      <c r="EN6" s="37">
        <v>11.67665</v>
      </c>
      <c r="EO6" s="37">
        <v>11.67665</v>
      </c>
      <c r="EP6" s="37">
        <v>11.67665</v>
      </c>
      <c r="EQ6" s="37">
        <v>11.67665</v>
      </c>
      <c r="ER6" s="37">
        <v>11.67665</v>
      </c>
      <c r="ES6" s="37">
        <v>11.67665</v>
      </c>
      <c r="ET6" s="37">
        <v>11.67665</v>
      </c>
      <c r="EU6" s="37">
        <v>11.67665</v>
      </c>
      <c r="EV6" s="37">
        <v>11.67665</v>
      </c>
      <c r="EW6" s="37">
        <v>11.67665</v>
      </c>
      <c r="EX6" s="37">
        <v>11.67665</v>
      </c>
      <c r="EY6" s="37">
        <v>11.67665</v>
      </c>
      <c r="EZ6" s="37">
        <v>11.67665</v>
      </c>
      <c r="FA6" s="37">
        <v>11.67665</v>
      </c>
      <c r="FB6" s="37">
        <v>11.67665</v>
      </c>
      <c r="FC6" s="37">
        <v>11.67665</v>
      </c>
      <c r="FD6" s="37">
        <v>11.67665</v>
      </c>
      <c r="FE6" s="37">
        <v>11.67665</v>
      </c>
      <c r="FF6" s="37">
        <v>11.67665</v>
      </c>
      <c r="FG6" s="37">
        <v>11.67665</v>
      </c>
      <c r="FH6" s="37">
        <v>11.67665</v>
      </c>
      <c r="FI6" s="37">
        <v>11.67665</v>
      </c>
      <c r="FJ6" s="37">
        <v>11.67665</v>
      </c>
      <c r="FK6" s="37">
        <v>11.67665</v>
      </c>
      <c r="FL6" s="37">
        <v>11.67665</v>
      </c>
      <c r="FM6" s="37">
        <v>11.67665</v>
      </c>
      <c r="FN6" s="37">
        <v>11.67665</v>
      </c>
      <c r="FO6" s="37">
        <v>11.67665</v>
      </c>
      <c r="FP6" s="37">
        <v>11.67665</v>
      </c>
      <c r="FQ6" s="37">
        <v>11.67665</v>
      </c>
      <c r="FR6" s="37">
        <v>11.67665</v>
      </c>
      <c r="FS6" s="37">
        <v>11.67665</v>
      </c>
      <c r="FT6" s="37">
        <v>11.67665</v>
      </c>
      <c r="FU6" s="37">
        <v>11.67665</v>
      </c>
      <c r="FV6" s="37">
        <v>11.67665</v>
      </c>
      <c r="FW6" s="37">
        <v>11.67665</v>
      </c>
      <c r="FX6" s="37">
        <v>11.67665</v>
      </c>
      <c r="FY6" s="37">
        <v>11.67665</v>
      </c>
      <c r="FZ6" s="37">
        <v>11.67665</v>
      </c>
      <c r="GA6" s="37">
        <v>11.67665</v>
      </c>
      <c r="GB6" s="37">
        <v>11.67665</v>
      </c>
      <c r="GC6" s="37">
        <v>11.67665</v>
      </c>
      <c r="GD6" s="37">
        <v>11.67665</v>
      </c>
      <c r="GE6" s="37">
        <v>11.67665</v>
      </c>
      <c r="GF6" s="37">
        <v>11.67665</v>
      </c>
      <c r="GG6" s="37">
        <v>11.67665</v>
      </c>
      <c r="GH6" s="37">
        <v>11.67665</v>
      </c>
      <c r="GI6" s="37">
        <v>11.67665</v>
      </c>
      <c r="GJ6" s="37">
        <v>11.67665</v>
      </c>
      <c r="GK6" s="37">
        <v>11.67665</v>
      </c>
      <c r="GL6" s="37">
        <v>11.67665</v>
      </c>
      <c r="GM6" s="37">
        <v>11.67665</v>
      </c>
      <c r="GN6" s="37">
        <v>11.67665</v>
      </c>
      <c r="GO6" s="37">
        <v>11.67665</v>
      </c>
      <c r="GP6" s="37">
        <v>11.67665</v>
      </c>
      <c r="GQ6" s="37">
        <v>11.67665</v>
      </c>
      <c r="GR6" s="37">
        <v>11.67665</v>
      </c>
      <c r="GS6" s="37">
        <v>11.67665</v>
      </c>
      <c r="GT6" s="37">
        <v>11.67665</v>
      </c>
      <c r="GU6" s="37">
        <v>11.67665</v>
      </c>
      <c r="GV6" s="37">
        <v>11.67665</v>
      </c>
      <c r="GW6" s="37">
        <v>11.67665</v>
      </c>
      <c r="GX6" s="37">
        <v>11.67665</v>
      </c>
      <c r="GY6" s="37">
        <v>11.67665</v>
      </c>
      <c r="GZ6" s="37">
        <v>11.67665</v>
      </c>
      <c r="HA6" s="37">
        <v>11.67665</v>
      </c>
      <c r="HB6" s="37">
        <v>11.67665</v>
      </c>
      <c r="HC6" s="37">
        <v>11.67665</v>
      </c>
      <c r="HD6" s="37">
        <v>11.67665</v>
      </c>
      <c r="HE6" s="37">
        <v>11.67665</v>
      </c>
      <c r="HF6" s="37">
        <v>11.67665</v>
      </c>
      <c r="HG6" s="37">
        <v>11.67665</v>
      </c>
      <c r="HH6" s="37">
        <v>11.67665</v>
      </c>
      <c r="HI6" s="37">
        <v>11.67665</v>
      </c>
      <c r="HJ6" s="37">
        <v>11.67665</v>
      </c>
      <c r="HK6" s="37">
        <v>11.67665</v>
      </c>
      <c r="HL6" s="37">
        <v>11.67665</v>
      </c>
      <c r="HM6" s="37">
        <v>11.67665</v>
      </c>
      <c r="HN6" s="37">
        <v>11.67665</v>
      </c>
      <c r="HO6" s="37">
        <v>11.67665</v>
      </c>
      <c r="HP6" s="37">
        <v>11.67665</v>
      </c>
      <c r="HQ6" s="37">
        <v>11.67665</v>
      </c>
      <c r="HR6" s="37">
        <v>11.67665</v>
      </c>
      <c r="HS6" s="37">
        <v>11.67665</v>
      </c>
      <c r="HT6" s="37">
        <v>11.67665</v>
      </c>
      <c r="HU6" s="37">
        <v>11.67665</v>
      </c>
      <c r="HV6" s="37">
        <v>11.67665</v>
      </c>
      <c r="HW6" s="37">
        <v>11.67665</v>
      </c>
      <c r="HX6" s="37">
        <v>11.67665</v>
      </c>
      <c r="HY6" s="37">
        <v>11.67665</v>
      </c>
      <c r="HZ6" s="37">
        <v>11.67665</v>
      </c>
      <c r="IA6" s="37">
        <v>11.67665</v>
      </c>
      <c r="IB6" s="37">
        <v>11.67665</v>
      </c>
      <c r="IC6" s="37">
        <v>11.67665</v>
      </c>
      <c r="ID6" s="37">
        <v>11.67665</v>
      </c>
      <c r="IE6" s="37">
        <v>11.67665</v>
      </c>
      <c r="IF6" s="37">
        <v>11.67665</v>
      </c>
      <c r="IG6" s="37">
        <v>11.67665</v>
      </c>
      <c r="IH6" s="37">
        <v>11.67665</v>
      </c>
      <c r="II6" s="37">
        <v>11.67665</v>
      </c>
      <c r="IJ6" s="37">
        <v>11.67665</v>
      </c>
      <c r="IK6" s="37">
        <v>11.67665</v>
      </c>
      <c r="IL6" s="37">
        <v>11.67665</v>
      </c>
      <c r="IM6" s="37">
        <v>11.67665</v>
      </c>
      <c r="IN6" s="37">
        <v>11.67665</v>
      </c>
      <c r="IO6" s="37">
        <v>11.67665</v>
      </c>
      <c r="IP6" s="37">
        <v>11.67665</v>
      </c>
      <c r="IQ6" s="37">
        <v>11.67665</v>
      </c>
      <c r="IR6" s="37">
        <v>11.67665</v>
      </c>
      <c r="IS6" s="37">
        <v>11.67665</v>
      </c>
      <c r="IT6" s="37">
        <v>11.67665</v>
      </c>
      <c r="IU6" s="37">
        <v>11.67665</v>
      </c>
      <c r="IV6" s="37">
        <v>11.67665</v>
      </c>
      <c r="IW6" s="37">
        <v>11.67665</v>
      </c>
      <c r="IX6" s="37">
        <v>11.67665</v>
      </c>
      <c r="IY6" s="37">
        <v>11.67665</v>
      </c>
      <c r="IZ6" s="37">
        <v>11.67665</v>
      </c>
      <c r="JA6" s="37">
        <v>11.67665</v>
      </c>
      <c r="JB6" s="37">
        <v>11.67665</v>
      </c>
      <c r="JC6" s="37">
        <v>11.67665</v>
      </c>
      <c r="JD6" s="37">
        <v>11.67665</v>
      </c>
      <c r="JE6" s="37">
        <v>11.67665</v>
      </c>
      <c r="JF6" s="37">
        <v>11.67665</v>
      </c>
      <c r="JG6" s="37">
        <v>11.67665</v>
      </c>
      <c r="JH6" s="37">
        <v>11.67665</v>
      </c>
      <c r="JI6" s="37">
        <v>11.67665</v>
      </c>
      <c r="JJ6" s="37">
        <v>11.67665</v>
      </c>
      <c r="JK6" s="37">
        <v>11.67665</v>
      </c>
      <c r="JL6" s="37">
        <v>11.67665</v>
      </c>
      <c r="JM6" s="37">
        <v>11.67665</v>
      </c>
      <c r="JN6" s="37">
        <v>11.67665</v>
      </c>
      <c r="JO6" s="37">
        <v>11.67665</v>
      </c>
      <c r="JP6" s="37">
        <v>11.67665</v>
      </c>
      <c r="JQ6" s="37">
        <v>11.67665</v>
      </c>
      <c r="JR6" s="37">
        <v>11.67665</v>
      </c>
      <c r="JS6" s="37">
        <v>11.67665</v>
      </c>
      <c r="JT6" s="37">
        <v>11.67665</v>
      </c>
      <c r="JU6" s="37">
        <v>11.67665</v>
      </c>
      <c r="JV6" s="37">
        <v>11.67665</v>
      </c>
      <c r="JW6" s="37">
        <v>11.67665</v>
      </c>
      <c r="JX6" s="37">
        <v>11.67665</v>
      </c>
      <c r="JY6" s="37">
        <v>11.67665</v>
      </c>
      <c r="JZ6" s="37">
        <v>11.67665</v>
      </c>
      <c r="KA6" s="37">
        <v>11.67665</v>
      </c>
      <c r="KB6" s="37">
        <v>11.67665</v>
      </c>
      <c r="KC6" s="37">
        <v>11.67665</v>
      </c>
      <c r="KD6" s="37">
        <v>11.67665</v>
      </c>
      <c r="KE6" s="37">
        <v>11.67665</v>
      </c>
      <c r="KF6" s="37">
        <v>11.67665</v>
      </c>
      <c r="KG6" s="37">
        <v>11.67665</v>
      </c>
      <c r="KH6" s="37">
        <v>11.67665</v>
      </c>
      <c r="KI6" s="37">
        <v>11.67665</v>
      </c>
      <c r="KJ6" s="37">
        <v>11.67665</v>
      </c>
      <c r="KK6" s="37">
        <v>11.67665</v>
      </c>
      <c r="KL6" s="37">
        <v>11.67665</v>
      </c>
      <c r="KM6" s="37">
        <v>11.67665</v>
      </c>
      <c r="KN6" s="37">
        <v>11.67665</v>
      </c>
      <c r="KO6" s="37">
        <v>11.67665</v>
      </c>
      <c r="KP6" s="37">
        <v>11.67665</v>
      </c>
      <c r="KQ6" s="37">
        <v>11.67665</v>
      </c>
      <c r="KR6" s="37">
        <v>11.67665</v>
      </c>
      <c r="KS6" s="37">
        <v>11.67665</v>
      </c>
      <c r="KT6" s="37">
        <v>11.67665</v>
      </c>
      <c r="KU6" s="37">
        <v>11.67665</v>
      </c>
      <c r="KV6" s="37">
        <v>11.67665</v>
      </c>
      <c r="KW6" s="37">
        <v>11.67665</v>
      </c>
      <c r="KX6" s="37">
        <v>11.67665</v>
      </c>
      <c r="KY6" s="37">
        <v>11.67665</v>
      </c>
      <c r="KZ6" s="37">
        <v>11.67665</v>
      </c>
      <c r="LA6" s="37">
        <v>11.67665</v>
      </c>
      <c r="LB6" s="37">
        <v>11.67665</v>
      </c>
      <c r="LC6" s="37">
        <v>11.67665</v>
      </c>
      <c r="LD6" s="37">
        <v>11.67665</v>
      </c>
      <c r="LE6" s="37">
        <v>11.67665</v>
      </c>
      <c r="LF6" s="37">
        <v>11.67665</v>
      </c>
      <c r="LG6" s="37">
        <v>11.67665</v>
      </c>
      <c r="LH6" s="37">
        <v>11.67665</v>
      </c>
      <c r="LI6" s="37">
        <v>11.67665</v>
      </c>
      <c r="LJ6" s="37">
        <v>11.67665</v>
      </c>
      <c r="LK6" s="37">
        <v>11.67665</v>
      </c>
      <c r="LL6" s="37">
        <v>11.67665</v>
      </c>
      <c r="LM6" s="37">
        <v>11.67665</v>
      </c>
      <c r="LN6" s="37">
        <v>11.67665</v>
      </c>
      <c r="LO6" s="37">
        <v>11.67665</v>
      </c>
      <c r="LP6" s="37">
        <v>11.67665</v>
      </c>
      <c r="LQ6" s="37">
        <v>11.67665</v>
      </c>
      <c r="LR6" s="37">
        <v>11.67665</v>
      </c>
      <c r="LS6" s="37">
        <v>11.67665</v>
      </c>
      <c r="LT6" s="37">
        <v>11.67665</v>
      </c>
      <c r="LU6" s="37">
        <v>11.67665</v>
      </c>
      <c r="LV6" s="37">
        <v>11.67665</v>
      </c>
      <c r="LW6" s="37">
        <v>11.67665</v>
      </c>
      <c r="LX6" s="37">
        <v>11.67665</v>
      </c>
      <c r="LY6" s="37">
        <v>11.67665</v>
      </c>
      <c r="LZ6" s="37">
        <v>11.67665</v>
      </c>
      <c r="MA6" s="37">
        <v>11.67665</v>
      </c>
      <c r="MB6" s="37">
        <v>11.67665</v>
      </c>
      <c r="MC6" s="37">
        <v>11.67665</v>
      </c>
      <c r="MD6" s="37">
        <v>11.67665</v>
      </c>
      <c r="ME6" s="37">
        <v>11.67665</v>
      </c>
      <c r="MF6" s="37">
        <v>11.67665</v>
      </c>
      <c r="MG6" s="37">
        <v>11.67665</v>
      </c>
      <c r="MH6" s="37">
        <v>11.67665</v>
      </c>
      <c r="MI6" s="37">
        <v>11.67665</v>
      </c>
      <c r="MJ6" s="37">
        <v>11.67665</v>
      </c>
      <c r="MK6" s="37">
        <v>11.67665</v>
      </c>
      <c r="ML6" s="37">
        <v>11.67665</v>
      </c>
      <c r="MM6" s="37">
        <v>11.67665</v>
      </c>
      <c r="MN6" s="37">
        <v>11.67665</v>
      </c>
      <c r="MO6" s="37">
        <v>11.67665</v>
      </c>
      <c r="MP6" s="37">
        <v>11.67665</v>
      </c>
      <c r="MQ6" s="37">
        <v>11.67665</v>
      </c>
      <c r="MR6" s="37">
        <v>11.67665</v>
      </c>
      <c r="MS6" s="37">
        <v>11.67665</v>
      </c>
      <c r="MT6" s="37">
        <v>11.67665</v>
      </c>
      <c r="MU6" s="37">
        <v>11.67665</v>
      </c>
      <c r="MV6" s="37">
        <v>11.67665</v>
      </c>
      <c r="MW6" s="37">
        <v>11.67665</v>
      </c>
      <c r="MX6" s="37">
        <v>11.67665</v>
      </c>
      <c r="MY6" s="37">
        <v>11.67665</v>
      </c>
      <c r="MZ6" s="37">
        <v>11.67665</v>
      </c>
      <c r="NA6" s="37">
        <v>11.67665</v>
      </c>
      <c r="NB6" s="37">
        <v>11.67665</v>
      </c>
      <c r="NC6" s="37">
        <v>11.67665</v>
      </c>
      <c r="ND6" s="51">
        <v>11.67665</v>
      </c>
      <c r="NE6" s="37">
        <v>11.67665</v>
      </c>
      <c r="NF6" s="37">
        <v>11.67665</v>
      </c>
      <c r="NG6" s="37">
        <v>11.67665</v>
      </c>
      <c r="NH6" s="37">
        <v>11.67665</v>
      </c>
      <c r="NI6" s="37">
        <v>11.67665</v>
      </c>
      <c r="NJ6" s="37">
        <v>11.67665</v>
      </c>
      <c r="NK6" s="37">
        <v>11.67665</v>
      </c>
      <c r="NL6" s="37">
        <v>11.67665</v>
      </c>
      <c r="NM6" s="37">
        <v>11.67665</v>
      </c>
      <c r="NN6" s="37">
        <v>11.67665</v>
      </c>
      <c r="NO6" s="37">
        <v>11.67665</v>
      </c>
      <c r="NP6" s="37">
        <v>11.67665</v>
      </c>
      <c r="NQ6" s="37">
        <v>11.67665</v>
      </c>
      <c r="NR6" s="37">
        <v>11.67665</v>
      </c>
      <c r="NS6" s="37">
        <v>11.67665</v>
      </c>
      <c r="NT6" s="37">
        <v>11.67665</v>
      </c>
      <c r="NU6" s="37">
        <v>11.67665</v>
      </c>
      <c r="NV6" s="37">
        <v>11.67665</v>
      </c>
      <c r="NW6" s="37">
        <v>11.67665</v>
      </c>
      <c r="NX6" s="37">
        <v>11.67665</v>
      </c>
      <c r="NY6" s="37">
        <v>11.67665</v>
      </c>
      <c r="NZ6" s="37">
        <v>11.67665</v>
      </c>
      <c r="OA6" s="37">
        <v>11.67665</v>
      </c>
      <c r="OB6" s="37">
        <v>11.67665</v>
      </c>
      <c r="OC6" s="37">
        <v>11.67665</v>
      </c>
      <c r="OD6" s="37">
        <v>11.67665</v>
      </c>
      <c r="OE6" s="37">
        <v>11.67665</v>
      </c>
      <c r="OF6" s="37">
        <v>11.67665</v>
      </c>
      <c r="OG6" s="37">
        <v>11.67665</v>
      </c>
      <c r="OH6" s="37">
        <v>11.67665</v>
      </c>
      <c r="OI6" s="37">
        <v>11.67665</v>
      </c>
      <c r="OJ6" s="37">
        <v>11.67665</v>
      </c>
      <c r="OK6" s="37">
        <v>11.67665</v>
      </c>
      <c r="OL6" s="37">
        <v>11.67665</v>
      </c>
      <c r="OM6" s="37">
        <v>11.67665</v>
      </c>
      <c r="ON6" s="37">
        <v>11.67665</v>
      </c>
      <c r="OO6" s="37">
        <v>11.67665</v>
      </c>
      <c r="OP6" s="37">
        <v>11.67665</v>
      </c>
      <c r="OQ6" s="37">
        <v>11.67665</v>
      </c>
      <c r="OR6" s="37">
        <v>11.67665</v>
      </c>
      <c r="OS6" s="37">
        <v>11.67665</v>
      </c>
      <c r="OT6" s="37">
        <v>11.67665</v>
      </c>
      <c r="OU6" s="37">
        <v>11.67665</v>
      </c>
      <c r="OV6" s="37">
        <v>11.67665</v>
      </c>
      <c r="OW6" s="37">
        <v>11.67665</v>
      </c>
      <c r="OX6" s="37">
        <v>11.67665</v>
      </c>
      <c r="OY6" s="37">
        <v>11.67665</v>
      </c>
      <c r="OZ6" s="37">
        <v>11.67665</v>
      </c>
      <c r="PA6" s="37">
        <v>11.67665</v>
      </c>
      <c r="PB6" s="37">
        <v>11.67665</v>
      </c>
      <c r="PC6" s="37">
        <v>11.67665</v>
      </c>
      <c r="PD6" s="37">
        <v>11.67665</v>
      </c>
      <c r="PE6" s="37">
        <v>11.67665</v>
      </c>
      <c r="PF6" s="37">
        <v>11.67665</v>
      </c>
      <c r="PG6" s="37">
        <v>11.67665</v>
      </c>
      <c r="PH6" s="37">
        <v>11.67665</v>
      </c>
      <c r="PI6" s="37">
        <v>11.67665</v>
      </c>
      <c r="PJ6" s="37">
        <v>11.67665</v>
      </c>
      <c r="PK6" s="37">
        <v>11.67665</v>
      </c>
      <c r="PL6" s="37">
        <v>11.67665</v>
      </c>
      <c r="PM6" s="37">
        <v>11.67665</v>
      </c>
      <c r="PN6" s="37">
        <v>11.67665</v>
      </c>
      <c r="PO6" s="37">
        <v>11.67665</v>
      </c>
      <c r="PP6" s="37">
        <v>11.67665</v>
      </c>
      <c r="PQ6" s="37">
        <v>11.67665</v>
      </c>
      <c r="PR6" s="37">
        <v>11.67665</v>
      </c>
      <c r="PS6" s="15">
        <v>11.67665</v>
      </c>
      <c r="PT6" s="15">
        <v>11.67665</v>
      </c>
      <c r="PU6" s="15">
        <v>11.67665</v>
      </c>
      <c r="PV6" s="15">
        <v>11.67665</v>
      </c>
      <c r="PW6" s="15">
        <v>11.67665</v>
      </c>
      <c r="PX6" s="15">
        <v>11.67665</v>
      </c>
      <c r="PY6" s="15">
        <v>11.67665</v>
      </c>
      <c r="PZ6" s="15">
        <v>11.67665</v>
      </c>
      <c r="QA6" s="15">
        <v>11.67665</v>
      </c>
      <c r="QB6" s="15">
        <v>11.67665</v>
      </c>
      <c r="QC6" s="15">
        <v>11.67665</v>
      </c>
      <c r="QD6" s="15">
        <v>11.67665</v>
      </c>
      <c r="QE6" s="15">
        <v>11.67665</v>
      </c>
      <c r="QF6" s="15">
        <v>11.67665</v>
      </c>
      <c r="QG6" s="15">
        <v>11.67665</v>
      </c>
      <c r="QH6" s="15">
        <v>11.67665</v>
      </c>
      <c r="QI6" s="15">
        <v>11.67665</v>
      </c>
      <c r="QJ6" s="15">
        <v>11.67665</v>
      </c>
      <c r="QK6" s="15">
        <v>11.67665</v>
      </c>
      <c r="QL6" s="15">
        <v>11.67665</v>
      </c>
      <c r="QM6" s="15">
        <v>11.67665</v>
      </c>
      <c r="QN6" s="15">
        <v>11.67665</v>
      </c>
      <c r="QO6" s="15">
        <v>11.67665</v>
      </c>
      <c r="QP6" s="15">
        <v>11.67665</v>
      </c>
      <c r="QQ6" s="15">
        <v>11.67665</v>
      </c>
      <c r="QR6" s="15">
        <v>11.67665</v>
      </c>
      <c r="QS6" s="15">
        <v>11.67665</v>
      </c>
      <c r="QT6" s="15">
        <v>11.67665</v>
      </c>
      <c r="QU6" s="15">
        <v>11.67665</v>
      </c>
      <c r="QV6" s="15">
        <v>11.67665</v>
      </c>
      <c r="QW6" s="15">
        <v>11.67665</v>
      </c>
      <c r="QX6" s="15">
        <v>11.67665</v>
      </c>
      <c r="QY6" s="15">
        <v>11.67665</v>
      </c>
      <c r="QZ6" s="15">
        <v>11.67665</v>
      </c>
      <c r="RA6" s="15">
        <v>11.67665</v>
      </c>
      <c r="RB6" s="15">
        <v>11.67665</v>
      </c>
      <c r="RC6" s="15">
        <v>11.67665</v>
      </c>
      <c r="RD6" s="15">
        <v>11.67665</v>
      </c>
      <c r="RE6" s="15">
        <v>11.67665</v>
      </c>
      <c r="RF6" s="15">
        <v>11.67665</v>
      </c>
      <c r="RG6" s="15">
        <v>11.67665</v>
      </c>
      <c r="RH6" s="15">
        <v>11.67665</v>
      </c>
      <c r="RI6" s="15">
        <v>11.67665</v>
      </c>
      <c r="RJ6" s="15">
        <v>11.67665</v>
      </c>
      <c r="RK6" s="15">
        <v>11.67665</v>
      </c>
      <c r="RL6" s="15">
        <v>11.67665</v>
      </c>
      <c r="RM6" s="15">
        <v>11.67665</v>
      </c>
      <c r="RN6" s="15">
        <v>11.67665</v>
      </c>
      <c r="RO6" s="15">
        <v>11.67665</v>
      </c>
      <c r="RP6" s="15">
        <v>11.67665</v>
      </c>
      <c r="RQ6" s="15">
        <v>11.67665</v>
      </c>
      <c r="RR6" s="15">
        <v>11.67665</v>
      </c>
      <c r="RS6" s="15">
        <v>11.67665</v>
      </c>
      <c r="RT6" s="15">
        <v>11.67665</v>
      </c>
      <c r="RU6" s="15">
        <v>11.67665</v>
      </c>
      <c r="RV6" s="15">
        <v>11.67665</v>
      </c>
      <c r="RW6" s="15">
        <v>11.67665</v>
      </c>
      <c r="RX6" s="15">
        <v>11.67665</v>
      </c>
      <c r="RY6" s="15">
        <v>11.67665</v>
      </c>
      <c r="RZ6" s="15">
        <v>11.67665</v>
      </c>
      <c r="SA6" s="15">
        <v>11.67665</v>
      </c>
      <c r="SB6" s="15">
        <v>11.67665</v>
      </c>
      <c r="SC6" s="15">
        <v>11.67665</v>
      </c>
      <c r="SD6" s="15">
        <v>11.67665</v>
      </c>
      <c r="SE6" s="15">
        <v>11.67665</v>
      </c>
      <c r="SF6" s="15">
        <v>11.67665</v>
      </c>
      <c r="SG6" s="15">
        <v>11.67665</v>
      </c>
      <c r="SH6" s="15">
        <v>11.67665</v>
      </c>
      <c r="SI6" s="15">
        <v>11.67665</v>
      </c>
      <c r="SJ6" s="15">
        <v>11.67665</v>
      </c>
      <c r="SK6" s="15">
        <v>12.3582</v>
      </c>
      <c r="SM6" s="15" t="s">
        <v>668</v>
      </c>
      <c r="SN6" s="15" t="s">
        <v>668</v>
      </c>
      <c r="SO6" s="15" t="s">
        <v>668</v>
      </c>
    </row>
    <row r="7" spans="1:786" x14ac:dyDescent="0.2">
      <c r="A7" s="37">
        <v>5</v>
      </c>
      <c r="B7" s="37" t="s">
        <v>504</v>
      </c>
      <c r="C7" s="17">
        <f>+'Detalle Compras'!D7</f>
        <v>202504300164</v>
      </c>
      <c r="D7" s="55">
        <f t="shared" si="13"/>
        <v>9.4823819999999994</v>
      </c>
      <c r="E7" s="14">
        <f>+IF(B7="","",'Detalle Compras'!S7+0)</f>
        <v>45910</v>
      </c>
      <c r="F7" s="14">
        <f>+IF(B7="","",EOMONTH('Detalle Compras'!S7,G7)+10)</f>
        <v>60520</v>
      </c>
      <c r="G7" s="50">
        <f t="shared" si="14"/>
        <v>479</v>
      </c>
      <c r="H7" s="50">
        <f t="shared" si="15"/>
        <v>475</v>
      </c>
      <c r="AB7" s="37">
        <v>9.4823819999999994</v>
      </c>
      <c r="AC7" s="37">
        <v>9.4823819999999994</v>
      </c>
      <c r="AD7" s="37">
        <v>9.4823819999999994</v>
      </c>
      <c r="AE7" s="37">
        <v>9.4823819999999994</v>
      </c>
      <c r="AF7" s="37">
        <v>9.4823819999999994</v>
      </c>
      <c r="AG7" s="37">
        <v>9.4823819999999994</v>
      </c>
      <c r="AH7" s="37">
        <v>9.4823819999999994</v>
      </c>
      <c r="AI7" s="37">
        <v>9.4823819999999994</v>
      </c>
      <c r="AJ7" s="37">
        <v>9.4823819999999994</v>
      </c>
      <c r="AK7" s="37">
        <v>9.4823819999999994</v>
      </c>
      <c r="AL7" s="37">
        <v>9.4823819999999994</v>
      </c>
      <c r="AM7" s="37">
        <v>9.4823819999999994</v>
      </c>
      <c r="AN7" s="37">
        <v>9.4823819999999994</v>
      </c>
      <c r="AO7" s="37">
        <v>9.4823819999999994</v>
      </c>
      <c r="AP7" s="37">
        <v>9.4823819999999994</v>
      </c>
      <c r="AQ7" s="37">
        <v>9.4823819999999994</v>
      </c>
      <c r="AR7" s="37">
        <v>9.4823819999999994</v>
      </c>
      <c r="AS7" s="37">
        <v>9.4823819999999994</v>
      </c>
      <c r="AT7" s="37">
        <v>9.4823819999999994</v>
      </c>
      <c r="AU7" s="37">
        <v>9.4823819999999994</v>
      </c>
      <c r="AV7" s="37">
        <v>9.4823819999999994</v>
      </c>
      <c r="AW7" s="37">
        <v>9.4823819999999994</v>
      </c>
      <c r="AX7" s="37">
        <v>9.4823819999999994</v>
      </c>
      <c r="AY7" s="37">
        <v>9.4823819999999994</v>
      </c>
      <c r="AZ7" s="37">
        <v>9.4823819999999994</v>
      </c>
      <c r="BA7" s="37">
        <v>9.4823819999999994</v>
      </c>
      <c r="BB7" s="37">
        <v>9.4823819999999994</v>
      </c>
      <c r="BC7" s="37">
        <v>9.4823819999999994</v>
      </c>
      <c r="BD7" s="37">
        <v>9.4823819999999994</v>
      </c>
      <c r="BE7" s="37">
        <v>9.4823819999999994</v>
      </c>
      <c r="BF7" s="37">
        <v>9.4823819999999994</v>
      </c>
      <c r="BG7" s="37">
        <v>9.4823819999999994</v>
      </c>
      <c r="BH7" s="37">
        <v>9.4823819999999994</v>
      </c>
      <c r="BI7" s="37">
        <v>9.4823819999999994</v>
      </c>
      <c r="BJ7" s="37">
        <v>9.4823819999999994</v>
      </c>
      <c r="BK7" s="37">
        <v>9.4823819999999994</v>
      </c>
      <c r="BL7" s="37">
        <v>9.4823819999999994</v>
      </c>
      <c r="BM7" s="37">
        <v>9.4823819999999994</v>
      </c>
      <c r="BN7" s="37">
        <v>9.4823819999999994</v>
      </c>
      <c r="BO7" s="37">
        <v>9.4823819999999994</v>
      </c>
      <c r="BP7" s="37">
        <v>9.4823819999999994</v>
      </c>
      <c r="BQ7" s="37">
        <v>9.4823819999999994</v>
      </c>
      <c r="BR7" s="37">
        <v>9.4823819999999994</v>
      </c>
      <c r="BS7" s="37">
        <v>9.4823819999999994</v>
      </c>
      <c r="BT7" s="37">
        <v>9.4823819999999994</v>
      </c>
      <c r="BU7" s="37">
        <v>9.4823819999999994</v>
      </c>
      <c r="BV7" s="37">
        <v>9.4823819999999994</v>
      </c>
      <c r="BW7" s="37">
        <v>9.4823819999999994</v>
      </c>
      <c r="BX7" s="37">
        <v>9.4823819999999994</v>
      </c>
      <c r="BY7" s="37">
        <v>9.4823819999999994</v>
      </c>
      <c r="BZ7" s="37">
        <v>9.4823819999999994</v>
      </c>
      <c r="CA7" s="37">
        <v>9.4823819999999994</v>
      </c>
      <c r="CB7" s="37">
        <v>9.4823819999999994</v>
      </c>
      <c r="CC7" s="37">
        <v>9.4823819999999994</v>
      </c>
      <c r="CD7" s="37">
        <v>9.4823819999999994</v>
      </c>
      <c r="CE7" s="37">
        <v>9.4823819999999994</v>
      </c>
      <c r="CF7" s="37">
        <v>9.4823819999999994</v>
      </c>
      <c r="CG7" s="37">
        <v>9.4823819999999994</v>
      </c>
      <c r="CH7" s="37">
        <v>9.4823819999999994</v>
      </c>
      <c r="CI7" s="37">
        <v>9.4823819999999994</v>
      </c>
      <c r="CJ7" s="37">
        <v>9.4823819999999994</v>
      </c>
      <c r="CK7" s="37">
        <v>9.4823819999999994</v>
      </c>
      <c r="CL7" s="37">
        <v>9.4823819999999994</v>
      </c>
      <c r="CM7" s="37">
        <v>9.4823819999999994</v>
      </c>
      <c r="CN7" s="37">
        <v>9.4823819999999994</v>
      </c>
      <c r="CO7" s="37">
        <v>9.4823819999999994</v>
      </c>
      <c r="CP7" s="37">
        <v>9.4823819999999994</v>
      </c>
      <c r="CQ7" s="37">
        <v>9.4823819999999994</v>
      </c>
      <c r="CR7" s="37">
        <v>9.4823819999999994</v>
      </c>
      <c r="CS7" s="37">
        <v>9.4823819999999994</v>
      </c>
      <c r="CT7" s="37">
        <v>9.4823819999999994</v>
      </c>
      <c r="CU7" s="37">
        <v>9.4823819999999994</v>
      </c>
      <c r="CV7" s="37">
        <v>9.4823819999999994</v>
      </c>
      <c r="CW7" s="37">
        <v>9.4823819999999994</v>
      </c>
      <c r="CX7" s="37">
        <v>9.4823819999999994</v>
      </c>
      <c r="CY7" s="37">
        <v>9.4823819999999994</v>
      </c>
      <c r="CZ7" s="37">
        <v>9.4823819999999994</v>
      </c>
      <c r="DA7" s="37">
        <v>9.4823819999999994</v>
      </c>
      <c r="DB7" s="37">
        <v>9.4823819999999994</v>
      </c>
      <c r="DC7" s="37">
        <v>9.4823819999999994</v>
      </c>
      <c r="DD7" s="37">
        <v>9.4823819999999994</v>
      </c>
      <c r="DE7" s="37">
        <v>9.4823819999999994</v>
      </c>
      <c r="DF7" s="37">
        <v>9.4823819999999994</v>
      </c>
      <c r="DG7" s="37">
        <v>9.4823819999999994</v>
      </c>
      <c r="DH7" s="37">
        <v>9.4823819999999994</v>
      </c>
      <c r="DI7" s="37">
        <v>9.4823819999999994</v>
      </c>
      <c r="DJ7" s="37">
        <v>9.4823819999999994</v>
      </c>
      <c r="DK7" s="37">
        <v>9.4823819999999994</v>
      </c>
      <c r="DL7" s="37">
        <v>9.4823819999999994</v>
      </c>
      <c r="DM7" s="37">
        <v>9.4823819999999994</v>
      </c>
      <c r="DN7" s="37">
        <v>9.4823819999999994</v>
      </c>
      <c r="DO7" s="37">
        <v>9.4823819999999994</v>
      </c>
      <c r="DP7" s="37">
        <v>9.4823819999999994</v>
      </c>
      <c r="DQ7" s="37">
        <v>9.4823819999999994</v>
      </c>
      <c r="DR7" s="37">
        <v>9.4823819999999994</v>
      </c>
      <c r="DS7" s="37">
        <v>9.4823819999999994</v>
      </c>
      <c r="DT7" s="37">
        <v>9.4823819999999994</v>
      </c>
      <c r="DU7" s="37">
        <v>9.4823819999999994</v>
      </c>
      <c r="DV7" s="37">
        <v>9.4823819999999994</v>
      </c>
      <c r="DW7" s="37">
        <v>9.4823819999999994</v>
      </c>
      <c r="DX7" s="37">
        <v>9.4823819999999994</v>
      </c>
      <c r="DY7" s="37">
        <v>9.4823819999999994</v>
      </c>
      <c r="DZ7" s="37">
        <v>9.4823819999999994</v>
      </c>
      <c r="EA7" s="37">
        <v>9.4823819999999994</v>
      </c>
      <c r="EB7" s="37">
        <v>9.4823819999999994</v>
      </c>
      <c r="EC7" s="37">
        <v>9.4823819999999994</v>
      </c>
      <c r="ED7" s="37">
        <v>9.4823819999999994</v>
      </c>
      <c r="EE7" s="37">
        <v>9.4823819999999994</v>
      </c>
      <c r="EF7" s="37">
        <v>9.4823819999999994</v>
      </c>
      <c r="EG7" s="37">
        <v>9.4823819999999994</v>
      </c>
      <c r="EH7" s="37">
        <v>9.4823819999999994</v>
      </c>
      <c r="EI7" s="37">
        <v>9.4823819999999994</v>
      </c>
      <c r="EJ7" s="37">
        <v>9.4823819999999994</v>
      </c>
      <c r="EK7" s="37">
        <v>9.4823819999999994</v>
      </c>
      <c r="EL7" s="37">
        <v>9.4823819999999994</v>
      </c>
      <c r="EM7" s="37">
        <v>9.4823819999999994</v>
      </c>
      <c r="EN7" s="37">
        <v>9.4823819999999994</v>
      </c>
      <c r="EO7" s="37">
        <v>9.4823819999999994</v>
      </c>
      <c r="EP7" s="37">
        <v>9.4823819999999994</v>
      </c>
      <c r="EQ7" s="37">
        <v>9.4823819999999994</v>
      </c>
      <c r="ER7" s="37">
        <v>9.4823819999999994</v>
      </c>
      <c r="ES7" s="37">
        <v>9.4823819999999994</v>
      </c>
      <c r="ET7" s="37">
        <v>9.4823819999999994</v>
      </c>
      <c r="EU7" s="37">
        <v>9.4823819999999994</v>
      </c>
      <c r="EV7" s="37">
        <v>9.4823819999999994</v>
      </c>
      <c r="EW7" s="37">
        <v>9.4823819999999994</v>
      </c>
      <c r="EX7" s="37">
        <v>9.4823819999999994</v>
      </c>
      <c r="EY7" s="37">
        <v>9.4823819999999994</v>
      </c>
      <c r="EZ7" s="37">
        <v>9.4823819999999994</v>
      </c>
      <c r="FA7" s="37">
        <v>9.4823819999999994</v>
      </c>
      <c r="FB7" s="37">
        <v>9.4823819999999994</v>
      </c>
      <c r="FC7" s="37">
        <v>9.4823819999999994</v>
      </c>
      <c r="FD7" s="37">
        <v>9.4823819999999994</v>
      </c>
      <c r="FE7" s="37">
        <v>9.4823819999999994</v>
      </c>
      <c r="FF7" s="37">
        <v>9.4823819999999994</v>
      </c>
      <c r="FG7" s="37">
        <v>9.4823819999999994</v>
      </c>
      <c r="FH7" s="37">
        <v>9.4823819999999994</v>
      </c>
      <c r="FI7" s="37">
        <v>9.4823819999999994</v>
      </c>
      <c r="FJ7" s="37">
        <v>9.4823819999999994</v>
      </c>
      <c r="FK7" s="37">
        <v>9.4823819999999994</v>
      </c>
      <c r="FL7" s="37">
        <v>9.4823819999999994</v>
      </c>
      <c r="FM7" s="37">
        <v>9.4823819999999994</v>
      </c>
      <c r="FN7" s="37">
        <v>9.4823819999999994</v>
      </c>
      <c r="FO7" s="37">
        <v>9.4823819999999994</v>
      </c>
      <c r="FP7" s="37">
        <v>9.4823819999999994</v>
      </c>
      <c r="FQ7" s="37">
        <v>9.4823819999999994</v>
      </c>
      <c r="FR7" s="37">
        <v>9.4823819999999994</v>
      </c>
      <c r="FS7" s="37">
        <v>9.4823819999999994</v>
      </c>
      <c r="FT7" s="37">
        <v>9.4823819999999994</v>
      </c>
      <c r="FU7" s="37">
        <v>9.4823819999999994</v>
      </c>
      <c r="FV7" s="37">
        <v>9.4823819999999994</v>
      </c>
      <c r="FW7" s="37">
        <v>9.4823819999999994</v>
      </c>
      <c r="FX7" s="37">
        <v>9.4823819999999994</v>
      </c>
      <c r="FY7" s="37">
        <v>9.4823819999999994</v>
      </c>
      <c r="FZ7" s="37">
        <v>9.4823819999999994</v>
      </c>
      <c r="GA7" s="37">
        <v>9.4823819999999994</v>
      </c>
      <c r="GB7" s="37">
        <v>9.4823819999999994</v>
      </c>
      <c r="GC7" s="37">
        <v>9.4823819999999994</v>
      </c>
      <c r="GD7" s="37">
        <v>9.4823819999999994</v>
      </c>
      <c r="GE7" s="37">
        <v>9.4823819999999994</v>
      </c>
      <c r="GF7" s="37">
        <v>9.4823819999999994</v>
      </c>
      <c r="GG7" s="37">
        <v>9.4823819999999994</v>
      </c>
      <c r="GH7" s="37">
        <v>9.4823819999999994</v>
      </c>
      <c r="GI7" s="37">
        <v>9.4823819999999994</v>
      </c>
      <c r="GJ7" s="37">
        <v>9.4823819999999994</v>
      </c>
      <c r="GK7" s="37">
        <v>9.4823819999999994</v>
      </c>
      <c r="GL7" s="37">
        <v>9.4823819999999994</v>
      </c>
      <c r="GM7" s="37">
        <v>9.4823819999999994</v>
      </c>
      <c r="GN7" s="37">
        <v>9.4823819999999994</v>
      </c>
      <c r="GO7" s="37">
        <v>9.4823819999999994</v>
      </c>
      <c r="GP7" s="37">
        <v>9.4823819999999994</v>
      </c>
      <c r="GQ7" s="37">
        <v>9.4823819999999994</v>
      </c>
      <c r="GR7" s="37">
        <v>9.4823819999999994</v>
      </c>
      <c r="GS7" s="37">
        <v>9.4823819999999994</v>
      </c>
      <c r="GT7" s="37">
        <v>9.4823819999999994</v>
      </c>
      <c r="GU7" s="37">
        <v>9.4823819999999994</v>
      </c>
      <c r="GV7" s="37">
        <v>9.4823819999999994</v>
      </c>
      <c r="GW7" s="37">
        <v>9.4823819999999994</v>
      </c>
      <c r="GX7" s="37">
        <v>9.4823819999999994</v>
      </c>
      <c r="GY7" s="37">
        <v>9.4823819999999994</v>
      </c>
      <c r="GZ7" s="37">
        <v>9.4823819999999994</v>
      </c>
      <c r="HA7" s="37">
        <v>9.4823819999999994</v>
      </c>
      <c r="HB7" s="37">
        <v>9.4823819999999994</v>
      </c>
      <c r="HC7" s="37">
        <v>9.4823819999999994</v>
      </c>
      <c r="HD7" s="37">
        <v>9.4823819999999994</v>
      </c>
      <c r="HE7" s="37">
        <v>9.4823819999999994</v>
      </c>
      <c r="HF7" s="37">
        <v>9.4823819999999994</v>
      </c>
      <c r="HG7" s="37">
        <v>9.4823819999999994</v>
      </c>
      <c r="HH7" s="37">
        <v>9.4823819999999994</v>
      </c>
      <c r="HI7" s="37">
        <v>9.4823819999999994</v>
      </c>
      <c r="HJ7" s="37">
        <v>9.4823819999999994</v>
      </c>
      <c r="HK7" s="37">
        <v>9.4823819999999994</v>
      </c>
      <c r="HL7" s="37">
        <v>9.4823819999999994</v>
      </c>
      <c r="HM7" s="37">
        <v>9.4823819999999994</v>
      </c>
      <c r="HN7" s="37">
        <v>9.4823819999999994</v>
      </c>
      <c r="HO7" s="37">
        <v>9.4823819999999994</v>
      </c>
      <c r="HP7" s="37">
        <v>9.4823819999999994</v>
      </c>
      <c r="HQ7" s="37">
        <v>9.4823819999999994</v>
      </c>
      <c r="HR7" s="37">
        <v>9.4823819999999994</v>
      </c>
      <c r="HS7" s="37">
        <v>9.4823819999999994</v>
      </c>
      <c r="HT7" s="37">
        <v>9.4823819999999994</v>
      </c>
      <c r="HU7" s="37">
        <v>9.4823819999999994</v>
      </c>
      <c r="HV7" s="37">
        <v>9.4823819999999994</v>
      </c>
      <c r="HW7" s="37">
        <v>9.4823819999999994</v>
      </c>
      <c r="HX7" s="37">
        <v>9.4823819999999994</v>
      </c>
      <c r="HY7" s="37">
        <v>9.4823819999999994</v>
      </c>
      <c r="HZ7" s="37">
        <v>9.4823819999999994</v>
      </c>
      <c r="IA7" s="37">
        <v>9.4823819999999994</v>
      </c>
      <c r="IB7" s="37">
        <v>9.4823819999999994</v>
      </c>
      <c r="IC7" s="37">
        <v>9.4823819999999994</v>
      </c>
      <c r="ID7" s="37">
        <v>9.4823819999999994</v>
      </c>
      <c r="IE7" s="37">
        <v>9.4823819999999994</v>
      </c>
      <c r="IF7" s="37">
        <v>9.4823819999999994</v>
      </c>
      <c r="IG7" s="37">
        <v>9.4823819999999994</v>
      </c>
      <c r="IH7" s="37">
        <v>9.4823819999999994</v>
      </c>
      <c r="II7" s="37">
        <v>9.4823819999999994</v>
      </c>
      <c r="IJ7" s="37">
        <v>9.4823819999999994</v>
      </c>
      <c r="IK7" s="37">
        <v>9.4823819999999994</v>
      </c>
      <c r="IL7" s="37">
        <v>9.4823819999999994</v>
      </c>
      <c r="IM7" s="37">
        <v>9.4823819999999994</v>
      </c>
      <c r="IN7" s="37">
        <v>9.4823819999999994</v>
      </c>
      <c r="IO7" s="37">
        <v>9.4823819999999994</v>
      </c>
      <c r="IP7" s="37">
        <v>9.4823819999999994</v>
      </c>
      <c r="IQ7" s="37">
        <v>9.4823819999999994</v>
      </c>
      <c r="IR7" s="37">
        <v>9.4823819999999994</v>
      </c>
      <c r="IS7" s="37">
        <v>9.4823819999999994</v>
      </c>
      <c r="IT7" s="37">
        <v>9.4823819999999994</v>
      </c>
      <c r="IU7" s="37">
        <v>9.4823819999999994</v>
      </c>
      <c r="IV7" s="37">
        <v>9.4823819999999994</v>
      </c>
      <c r="IW7" s="37">
        <v>9.4823819999999994</v>
      </c>
      <c r="IX7" s="37">
        <v>9.4823819999999994</v>
      </c>
      <c r="IY7" s="37">
        <v>9.4823819999999994</v>
      </c>
      <c r="IZ7" s="37">
        <v>9.4823819999999994</v>
      </c>
      <c r="JA7" s="37">
        <v>9.4823819999999994</v>
      </c>
      <c r="JB7" s="37">
        <v>9.4823819999999994</v>
      </c>
      <c r="JC7" s="37">
        <v>9.4823819999999994</v>
      </c>
      <c r="JD7" s="37">
        <v>9.4823819999999994</v>
      </c>
      <c r="JE7" s="37">
        <v>9.4823819999999994</v>
      </c>
      <c r="JF7" s="37">
        <v>9.4823819999999994</v>
      </c>
      <c r="JG7" s="37">
        <v>9.4823819999999994</v>
      </c>
      <c r="JH7" s="37">
        <v>9.4823819999999994</v>
      </c>
      <c r="JI7" s="37">
        <v>9.4823819999999994</v>
      </c>
      <c r="JJ7" s="37">
        <v>9.4823819999999994</v>
      </c>
      <c r="JK7" s="37">
        <v>9.4823819999999994</v>
      </c>
      <c r="JL7" s="37">
        <v>9.4823819999999994</v>
      </c>
      <c r="JM7" s="37">
        <v>9.4823819999999994</v>
      </c>
      <c r="JN7" s="37">
        <v>9.4823819999999994</v>
      </c>
      <c r="JO7" s="37">
        <v>9.4823819999999994</v>
      </c>
      <c r="JP7" s="37">
        <v>9.4823819999999994</v>
      </c>
      <c r="JQ7" s="37">
        <v>9.4823819999999994</v>
      </c>
      <c r="JR7" s="37">
        <v>9.4823819999999994</v>
      </c>
      <c r="JS7" s="37">
        <v>9.4823819999999994</v>
      </c>
      <c r="JT7" s="37">
        <v>9.4823819999999994</v>
      </c>
      <c r="JU7" s="37">
        <v>9.4823819999999994</v>
      </c>
      <c r="JV7" s="37">
        <v>9.4823819999999994</v>
      </c>
      <c r="JW7" s="37">
        <v>9.4823819999999994</v>
      </c>
      <c r="JX7" s="37">
        <v>9.4823819999999994</v>
      </c>
      <c r="JY7" s="37">
        <v>9.4823819999999994</v>
      </c>
      <c r="JZ7" s="37">
        <v>9.4823819999999994</v>
      </c>
      <c r="KA7" s="37">
        <v>9.4823819999999994</v>
      </c>
      <c r="KB7" s="37">
        <v>9.4823819999999994</v>
      </c>
      <c r="KC7" s="37">
        <v>9.4823819999999994</v>
      </c>
      <c r="KD7" s="37">
        <v>9.4823819999999994</v>
      </c>
      <c r="KE7" s="37">
        <v>9.4823819999999994</v>
      </c>
      <c r="KF7" s="37">
        <v>9.4823819999999994</v>
      </c>
      <c r="KG7" s="37">
        <v>9.4823819999999994</v>
      </c>
      <c r="KH7" s="37">
        <v>9.4823819999999994</v>
      </c>
      <c r="KI7" s="37">
        <v>9.4823819999999994</v>
      </c>
      <c r="KJ7" s="37">
        <v>9.4823819999999994</v>
      </c>
      <c r="KK7" s="37">
        <v>9.4823819999999994</v>
      </c>
      <c r="KL7" s="37">
        <v>9.4823819999999994</v>
      </c>
      <c r="KM7" s="37">
        <v>9.4823819999999994</v>
      </c>
      <c r="KN7" s="37">
        <v>9.4823819999999994</v>
      </c>
      <c r="KO7" s="37">
        <v>9.4823819999999994</v>
      </c>
      <c r="KP7" s="37">
        <v>9.4823819999999994</v>
      </c>
      <c r="KQ7" s="37">
        <v>9.4823819999999994</v>
      </c>
      <c r="KR7" s="37">
        <v>9.4823819999999994</v>
      </c>
      <c r="KS7" s="37">
        <v>9.4823819999999994</v>
      </c>
      <c r="KT7" s="37">
        <v>9.4823819999999994</v>
      </c>
      <c r="KU7" s="37">
        <v>9.4823819999999994</v>
      </c>
      <c r="KV7" s="37">
        <v>9.4823819999999994</v>
      </c>
      <c r="KW7" s="37">
        <v>9.4823819999999994</v>
      </c>
      <c r="KX7" s="37">
        <v>9.4823819999999994</v>
      </c>
      <c r="KY7" s="37">
        <v>9.4823819999999994</v>
      </c>
      <c r="KZ7" s="37">
        <v>9.4823819999999994</v>
      </c>
      <c r="LA7" s="37">
        <v>9.4823819999999994</v>
      </c>
      <c r="LB7" s="37">
        <v>9.4823819999999994</v>
      </c>
      <c r="LC7" s="37">
        <v>9.4823819999999994</v>
      </c>
      <c r="LD7" s="37">
        <v>9.4823819999999994</v>
      </c>
      <c r="LE7" s="37">
        <v>9.4823819999999994</v>
      </c>
      <c r="LF7" s="37">
        <v>9.4823819999999994</v>
      </c>
      <c r="LG7" s="37">
        <v>9.4823819999999994</v>
      </c>
      <c r="LH7" s="37">
        <v>9.4823819999999994</v>
      </c>
      <c r="LI7" s="37">
        <v>9.4823819999999994</v>
      </c>
      <c r="LJ7" s="37">
        <v>9.4823819999999994</v>
      </c>
      <c r="LK7" s="37">
        <v>9.4823819999999994</v>
      </c>
      <c r="LL7" s="37">
        <v>9.4823819999999994</v>
      </c>
      <c r="LM7" s="37">
        <v>9.4823819999999994</v>
      </c>
      <c r="LN7" s="37">
        <v>9.4823819999999994</v>
      </c>
      <c r="LO7" s="37">
        <v>9.4823819999999994</v>
      </c>
      <c r="LP7" s="37">
        <v>9.4823819999999994</v>
      </c>
      <c r="LQ7" s="37">
        <v>9.4823819999999994</v>
      </c>
      <c r="LR7" s="37">
        <v>9.4823819999999994</v>
      </c>
      <c r="LS7" s="37">
        <v>9.4823819999999994</v>
      </c>
      <c r="LT7" s="37">
        <v>9.4823819999999994</v>
      </c>
      <c r="LU7" s="37">
        <v>9.4823819999999994</v>
      </c>
      <c r="LV7" s="37">
        <v>9.4823819999999994</v>
      </c>
      <c r="LW7" s="37">
        <v>9.4823819999999994</v>
      </c>
      <c r="LX7" s="37">
        <v>9.4823819999999994</v>
      </c>
      <c r="LY7" s="37">
        <v>9.4823819999999994</v>
      </c>
      <c r="LZ7" s="37">
        <v>9.4823819999999994</v>
      </c>
      <c r="MA7" s="37">
        <v>9.4823819999999994</v>
      </c>
      <c r="MB7" s="37">
        <v>9.4823819999999994</v>
      </c>
      <c r="MC7" s="37">
        <v>9.4823819999999994</v>
      </c>
      <c r="MD7" s="37">
        <v>9.4823819999999994</v>
      </c>
      <c r="ME7" s="37">
        <v>9.4823819999999994</v>
      </c>
      <c r="MF7" s="37">
        <v>9.4823819999999994</v>
      </c>
      <c r="MG7" s="37">
        <v>9.4823819999999994</v>
      </c>
      <c r="MH7" s="37">
        <v>9.4823819999999994</v>
      </c>
      <c r="MI7" s="37">
        <v>9.4823819999999994</v>
      </c>
      <c r="MJ7" s="37">
        <v>9.4823819999999994</v>
      </c>
      <c r="MK7" s="37">
        <v>9.4823819999999994</v>
      </c>
      <c r="ML7" s="37">
        <v>9.4823819999999994</v>
      </c>
      <c r="MM7" s="37">
        <v>9.4823819999999994</v>
      </c>
      <c r="MN7" s="37">
        <v>9.4823819999999994</v>
      </c>
      <c r="MO7" s="37">
        <v>9.4823819999999994</v>
      </c>
      <c r="MP7" s="37">
        <v>9.4823819999999994</v>
      </c>
      <c r="MQ7" s="37">
        <v>9.4823819999999994</v>
      </c>
      <c r="MR7" s="37">
        <v>9.4823819999999994</v>
      </c>
      <c r="MS7" s="37">
        <v>9.4823819999999994</v>
      </c>
      <c r="MT7" s="37">
        <v>9.4823819999999994</v>
      </c>
      <c r="MU7" s="37">
        <v>9.4823819999999994</v>
      </c>
      <c r="MV7" s="37">
        <v>9.4823819999999994</v>
      </c>
      <c r="MW7" s="37">
        <v>9.4823819999999994</v>
      </c>
      <c r="MX7" s="37">
        <v>9.4823819999999994</v>
      </c>
      <c r="MY7" s="37">
        <v>9.4823819999999994</v>
      </c>
      <c r="MZ7" s="37">
        <v>9.4823819999999994</v>
      </c>
      <c r="NA7" s="37">
        <v>9.4823819999999994</v>
      </c>
      <c r="NB7" s="37">
        <v>9.4823819999999994</v>
      </c>
      <c r="NC7" s="37">
        <v>9.4823819999999994</v>
      </c>
      <c r="ND7" s="37">
        <v>9.4823819999999994</v>
      </c>
      <c r="NE7" s="37">
        <v>9.4823819999999994</v>
      </c>
      <c r="NF7" s="37">
        <v>9.4823819999999994</v>
      </c>
      <c r="NG7" s="37">
        <v>9.4823819999999994</v>
      </c>
      <c r="NH7" s="37">
        <v>9.4823819999999994</v>
      </c>
      <c r="NI7" s="37">
        <v>9.4823819999999994</v>
      </c>
      <c r="NJ7" s="37">
        <v>9.4823819999999994</v>
      </c>
      <c r="NK7" s="37">
        <v>9.4823819999999994</v>
      </c>
      <c r="NL7" s="37">
        <v>9.4823819999999994</v>
      </c>
      <c r="NM7" s="37">
        <v>9.4823819999999994</v>
      </c>
      <c r="NN7" s="37">
        <v>9.4823819999999994</v>
      </c>
      <c r="NO7" s="37">
        <v>9.4823819999999994</v>
      </c>
      <c r="NP7" s="37">
        <v>9.4823819999999994</v>
      </c>
      <c r="NQ7" s="37">
        <v>9.4823819999999994</v>
      </c>
      <c r="NR7" s="37">
        <v>9.4823819999999994</v>
      </c>
      <c r="NS7" s="37">
        <v>9.4823819999999994</v>
      </c>
      <c r="NT7" s="37">
        <v>9.4823819999999994</v>
      </c>
      <c r="NU7" s="37">
        <v>9.4823819999999994</v>
      </c>
      <c r="NV7" s="37">
        <v>9.4823819999999994</v>
      </c>
      <c r="NW7" s="37">
        <v>9.4823819999999994</v>
      </c>
      <c r="NX7" s="37">
        <v>9.4823819999999994</v>
      </c>
      <c r="NY7" s="37">
        <v>9.4823819999999994</v>
      </c>
      <c r="NZ7" s="37">
        <v>9.4823819999999994</v>
      </c>
      <c r="OA7" s="37">
        <v>9.4823819999999994</v>
      </c>
      <c r="OB7" s="37">
        <v>9.4823819999999994</v>
      </c>
      <c r="OC7" s="37">
        <v>9.4823819999999994</v>
      </c>
      <c r="OD7" s="37">
        <v>9.4823819999999994</v>
      </c>
      <c r="OE7" s="37">
        <v>9.4823819999999994</v>
      </c>
      <c r="OF7" s="37">
        <v>9.4823819999999994</v>
      </c>
      <c r="OG7" s="37">
        <v>9.4823819999999994</v>
      </c>
      <c r="OH7" s="37">
        <v>9.4823819999999994</v>
      </c>
      <c r="OI7" s="37">
        <v>9.4823819999999994</v>
      </c>
      <c r="OJ7" s="37">
        <v>9.4823819999999994</v>
      </c>
      <c r="OK7" s="37">
        <v>9.4823819999999994</v>
      </c>
      <c r="OL7" s="37">
        <v>9.4823819999999994</v>
      </c>
      <c r="OM7" s="37">
        <v>9.4823819999999994</v>
      </c>
      <c r="ON7" s="37">
        <v>9.4823819999999994</v>
      </c>
      <c r="OO7" s="37">
        <v>9.4823819999999994</v>
      </c>
      <c r="OP7" s="37">
        <v>9.4823819999999994</v>
      </c>
      <c r="OQ7" s="37">
        <v>9.4823819999999994</v>
      </c>
      <c r="OR7" s="37">
        <v>9.4823819999999994</v>
      </c>
      <c r="OS7" s="37">
        <v>9.4823819999999994</v>
      </c>
      <c r="OT7" s="37">
        <v>9.4823819999999994</v>
      </c>
      <c r="OU7" s="37">
        <v>9.4823819999999994</v>
      </c>
      <c r="OV7" s="37">
        <v>9.4823819999999994</v>
      </c>
      <c r="OW7" s="37">
        <v>9.4823819999999994</v>
      </c>
      <c r="OX7" s="37">
        <v>9.4823819999999994</v>
      </c>
      <c r="OY7" s="37">
        <v>9.4823819999999994</v>
      </c>
      <c r="OZ7" s="37">
        <v>9.4823819999999994</v>
      </c>
      <c r="PA7" s="37">
        <v>9.4823819999999994</v>
      </c>
      <c r="PB7" s="37">
        <v>9.4823819999999994</v>
      </c>
      <c r="PC7" s="37">
        <v>9.4823819999999994</v>
      </c>
      <c r="PD7" s="37">
        <v>9.4823819999999994</v>
      </c>
      <c r="PE7" s="37">
        <v>9.4823819999999994</v>
      </c>
      <c r="PF7" s="37">
        <v>9.4823819999999994</v>
      </c>
      <c r="PG7" s="37">
        <v>9.4823819999999994</v>
      </c>
      <c r="PH7" s="37">
        <v>9.4823819999999994</v>
      </c>
      <c r="PI7" s="37">
        <v>9.4823819999999994</v>
      </c>
      <c r="PJ7" s="37">
        <v>9.4823819999999994</v>
      </c>
      <c r="PK7" s="37">
        <v>9.4823819999999994</v>
      </c>
      <c r="PL7" s="37">
        <v>9.4823819999999994</v>
      </c>
      <c r="PM7" s="37">
        <v>9.4823819999999994</v>
      </c>
      <c r="PN7" s="37">
        <v>9.4823819999999994</v>
      </c>
      <c r="PO7" s="37">
        <v>9.4823819999999994</v>
      </c>
      <c r="PP7" s="37">
        <v>9.4823819999999994</v>
      </c>
      <c r="PQ7" s="37">
        <v>9.4823819999999994</v>
      </c>
      <c r="PR7" s="37">
        <v>9.4823819999999994</v>
      </c>
      <c r="PS7" s="15">
        <v>9.4823819999999994</v>
      </c>
      <c r="PT7" s="15">
        <v>9.4823819999999994</v>
      </c>
      <c r="PU7" s="15">
        <v>9.4823819999999994</v>
      </c>
      <c r="PV7" s="15">
        <v>9.4823819999999994</v>
      </c>
      <c r="PW7" s="15">
        <v>9.4823819999999994</v>
      </c>
      <c r="PX7" s="15">
        <v>9.4823819999999994</v>
      </c>
      <c r="PY7" s="15">
        <v>9.4823819999999994</v>
      </c>
      <c r="PZ7" s="15">
        <v>9.4823819999999994</v>
      </c>
      <c r="QA7" s="15">
        <v>9.4823819999999994</v>
      </c>
      <c r="QB7" s="15">
        <v>9.4823819999999994</v>
      </c>
      <c r="QC7" s="15">
        <v>9.4823819999999994</v>
      </c>
      <c r="QD7" s="15">
        <v>9.4823819999999994</v>
      </c>
      <c r="QE7" s="15">
        <v>9.4823819999999994</v>
      </c>
      <c r="QF7" s="15">
        <v>9.4823819999999994</v>
      </c>
      <c r="QG7" s="15">
        <v>9.4823819999999994</v>
      </c>
      <c r="QH7" s="15">
        <v>9.4823819999999994</v>
      </c>
      <c r="QI7" s="15">
        <v>9.4823819999999994</v>
      </c>
      <c r="QJ7" s="15">
        <v>9.4823819999999994</v>
      </c>
      <c r="QK7" s="15">
        <v>9.4823819999999994</v>
      </c>
      <c r="QL7" s="15">
        <v>9.4823819999999994</v>
      </c>
      <c r="QM7" s="15">
        <v>9.4823819999999994</v>
      </c>
      <c r="QN7" s="15">
        <v>9.4823819999999994</v>
      </c>
      <c r="QO7" s="15">
        <v>9.4823819999999994</v>
      </c>
      <c r="QP7" s="15">
        <v>9.4823819999999994</v>
      </c>
      <c r="QQ7" s="15">
        <v>9.4823819999999994</v>
      </c>
      <c r="QR7" s="15">
        <v>9.4823819999999994</v>
      </c>
      <c r="QS7" s="15">
        <v>9.4823819999999994</v>
      </c>
      <c r="QT7" s="15">
        <v>9.4823819999999994</v>
      </c>
      <c r="QU7" s="15">
        <v>9.4823819999999994</v>
      </c>
      <c r="QV7" s="15">
        <v>9.4823819999999994</v>
      </c>
      <c r="QW7" s="15">
        <v>9.4823819999999994</v>
      </c>
      <c r="QX7" s="15">
        <v>9.4823819999999994</v>
      </c>
      <c r="QY7" s="15">
        <v>9.4823819999999994</v>
      </c>
      <c r="QZ7" s="15">
        <v>9.4823819999999994</v>
      </c>
      <c r="RA7" s="15">
        <v>9.4823819999999994</v>
      </c>
      <c r="RB7" s="15">
        <v>9.4823819999999994</v>
      </c>
      <c r="RC7" s="15">
        <v>9.4823819999999994</v>
      </c>
      <c r="RD7" s="15">
        <v>9.4823819999999994</v>
      </c>
      <c r="RE7" s="15">
        <v>9.4823819999999994</v>
      </c>
      <c r="RF7" s="15">
        <v>9.4823819999999994</v>
      </c>
      <c r="RG7" s="15">
        <v>9.4823819999999994</v>
      </c>
      <c r="RH7" s="15">
        <v>9.4823819999999994</v>
      </c>
      <c r="RI7" s="15">
        <v>9.4823819999999994</v>
      </c>
      <c r="RJ7" s="15">
        <v>9.4823819999999994</v>
      </c>
      <c r="RK7" s="15">
        <v>9.4823819999999994</v>
      </c>
      <c r="RL7" s="15">
        <v>9.4823819999999994</v>
      </c>
      <c r="RM7" s="15">
        <v>9.4823819999999994</v>
      </c>
      <c r="RN7" s="15">
        <v>9.4823819999999994</v>
      </c>
      <c r="RO7" s="15">
        <v>9.4823819999999994</v>
      </c>
      <c r="RP7" s="15">
        <v>9.4823819999999994</v>
      </c>
      <c r="RQ7" s="15">
        <v>9.4823819999999994</v>
      </c>
      <c r="RR7" s="15">
        <v>9.4823819999999994</v>
      </c>
      <c r="RS7" s="15">
        <v>9.4823819999999994</v>
      </c>
      <c r="RT7" s="15">
        <v>9.4823819999999994</v>
      </c>
      <c r="RU7" s="15">
        <v>9.4823819999999994</v>
      </c>
      <c r="RV7" s="15">
        <v>9.4823819999999994</v>
      </c>
      <c r="RW7" s="15">
        <v>9.4823819999999994</v>
      </c>
      <c r="RX7" s="15">
        <v>9.4823819999999994</v>
      </c>
      <c r="RY7" s="15">
        <v>9.4823819999999994</v>
      </c>
      <c r="RZ7" s="15">
        <v>9.4823819999999994</v>
      </c>
      <c r="SA7" s="15">
        <v>9.4823819999999994</v>
      </c>
      <c r="SB7" s="15">
        <v>9.4823819999999994</v>
      </c>
      <c r="SC7" s="15">
        <v>9.4823819999999994</v>
      </c>
      <c r="SD7" s="15">
        <v>9.4823819999999994</v>
      </c>
      <c r="SE7" s="15">
        <v>9.4823819999999994</v>
      </c>
      <c r="SF7" s="15">
        <v>9.4823819999999994</v>
      </c>
      <c r="SG7" s="15">
        <v>9.4823819999999994</v>
      </c>
      <c r="SH7" s="15">
        <v>9.4823819999999994</v>
      </c>
      <c r="SI7" s="15">
        <v>9.4823819999999994</v>
      </c>
      <c r="SJ7" s="15">
        <v>9.4823819999999994</v>
      </c>
      <c r="SK7" s="15">
        <v>9.4823819999999994</v>
      </c>
      <c r="SL7" s="15">
        <v>11.120381999999999</v>
      </c>
      <c r="SN7" s="15" t="s">
        <v>668</v>
      </c>
      <c r="SO7" s="15" t="s">
        <v>668</v>
      </c>
    </row>
    <row r="8" spans="1:786" x14ac:dyDescent="0.2">
      <c r="A8" s="37">
        <v>6</v>
      </c>
      <c r="B8" s="48" t="s">
        <v>505</v>
      </c>
      <c r="C8" s="17">
        <f>+'Detalle Compras'!D8</f>
        <v>202504280146</v>
      </c>
      <c r="D8" s="55">
        <f t="shared" si="13"/>
        <v>8.5590980000000005</v>
      </c>
      <c r="E8" s="14">
        <f>+IF(B8="","",'Detalle Compras'!S8+0)</f>
        <v>45910</v>
      </c>
      <c r="F8" s="14">
        <f>+IF(B8="","",EOMONTH('Detalle Compras'!S8,G8)+10)</f>
        <v>59789</v>
      </c>
      <c r="G8" s="50">
        <f t="shared" si="14"/>
        <v>455</v>
      </c>
      <c r="H8" s="50">
        <f t="shared" si="15"/>
        <v>451</v>
      </c>
      <c r="AB8" s="37">
        <v>8.5590980000000005</v>
      </c>
      <c r="AC8" s="37">
        <v>8.5590980000000005</v>
      </c>
      <c r="AD8" s="37">
        <v>8.5590980000000005</v>
      </c>
      <c r="AE8" s="37">
        <v>8.5590980000000005</v>
      </c>
      <c r="AF8" s="37">
        <v>8.5590980000000005</v>
      </c>
      <c r="AG8" s="37">
        <v>8.5590980000000005</v>
      </c>
      <c r="AH8" s="37">
        <v>8.5590980000000005</v>
      </c>
      <c r="AI8" s="37">
        <v>8.5590980000000005</v>
      </c>
      <c r="AJ8" s="37">
        <v>8.5590980000000005</v>
      </c>
      <c r="AK8" s="37">
        <v>8.5590980000000005</v>
      </c>
      <c r="AL8" s="37">
        <v>8.5590980000000005</v>
      </c>
      <c r="AM8" s="37">
        <v>8.5590980000000005</v>
      </c>
      <c r="AN8" s="37">
        <v>8.5590980000000005</v>
      </c>
      <c r="AO8" s="37">
        <v>8.5590980000000005</v>
      </c>
      <c r="AP8" s="37">
        <v>8.5590980000000005</v>
      </c>
      <c r="AQ8" s="37">
        <v>8.5590980000000005</v>
      </c>
      <c r="AR8" s="37">
        <v>8.5590980000000005</v>
      </c>
      <c r="AS8" s="37">
        <v>8.5590980000000005</v>
      </c>
      <c r="AT8" s="37">
        <v>8.5590980000000005</v>
      </c>
      <c r="AU8" s="37">
        <v>8.5590980000000005</v>
      </c>
      <c r="AV8" s="37">
        <v>8.5590980000000005</v>
      </c>
      <c r="AW8" s="37">
        <v>8.5590980000000005</v>
      </c>
      <c r="AX8" s="37">
        <v>8.5590980000000005</v>
      </c>
      <c r="AY8" s="37">
        <v>8.5590980000000005</v>
      </c>
      <c r="AZ8" s="37">
        <v>8.5590980000000005</v>
      </c>
      <c r="BA8" s="37">
        <v>8.5590980000000005</v>
      </c>
      <c r="BB8" s="37">
        <v>8.5590980000000005</v>
      </c>
      <c r="BC8" s="37">
        <v>8.5590980000000005</v>
      </c>
      <c r="BD8" s="37">
        <v>8.5590980000000005</v>
      </c>
      <c r="BE8" s="37">
        <v>8.5590980000000005</v>
      </c>
      <c r="BF8" s="37">
        <v>8.5590980000000005</v>
      </c>
      <c r="BG8" s="37">
        <v>8.5590980000000005</v>
      </c>
      <c r="BH8" s="37">
        <v>8.5590980000000005</v>
      </c>
      <c r="BI8" s="37">
        <v>8.5590980000000005</v>
      </c>
      <c r="BJ8" s="37">
        <v>8.5590980000000005</v>
      </c>
      <c r="BK8" s="37">
        <v>8.5590980000000005</v>
      </c>
      <c r="BL8" s="37">
        <v>8.5590980000000005</v>
      </c>
      <c r="BM8" s="37">
        <v>8.5590980000000005</v>
      </c>
      <c r="BN8" s="37">
        <v>8.5590980000000005</v>
      </c>
      <c r="BO8" s="37">
        <v>8.5590980000000005</v>
      </c>
      <c r="BP8" s="37">
        <v>8.5590980000000005</v>
      </c>
      <c r="BQ8" s="37">
        <v>8.5590980000000005</v>
      </c>
      <c r="BR8" s="37">
        <v>8.5590980000000005</v>
      </c>
      <c r="BS8" s="37">
        <v>8.5590980000000005</v>
      </c>
      <c r="BT8" s="37">
        <v>8.5590980000000005</v>
      </c>
      <c r="BU8" s="37">
        <v>8.5590980000000005</v>
      </c>
      <c r="BV8" s="37">
        <v>8.5590980000000005</v>
      </c>
      <c r="BW8" s="37">
        <v>8.5590980000000005</v>
      </c>
      <c r="BX8" s="37">
        <v>8.5590980000000005</v>
      </c>
      <c r="BY8" s="37">
        <v>8.5590980000000005</v>
      </c>
      <c r="BZ8" s="37">
        <v>8.5590980000000005</v>
      </c>
      <c r="CA8" s="37">
        <v>8.5590980000000005</v>
      </c>
      <c r="CB8" s="37">
        <v>8.5590980000000005</v>
      </c>
      <c r="CC8" s="37">
        <v>8.5590980000000005</v>
      </c>
      <c r="CD8" s="37">
        <v>8.5590980000000005</v>
      </c>
      <c r="CE8" s="37">
        <v>8.5590980000000005</v>
      </c>
      <c r="CF8" s="37">
        <v>8.5590980000000005</v>
      </c>
      <c r="CG8" s="37">
        <v>8.5590980000000005</v>
      </c>
      <c r="CH8" s="37">
        <v>8.5590980000000005</v>
      </c>
      <c r="CI8" s="37">
        <v>8.5590980000000005</v>
      </c>
      <c r="CJ8" s="37">
        <v>8.5590980000000005</v>
      </c>
      <c r="CK8" s="37">
        <v>8.5590980000000005</v>
      </c>
      <c r="CL8" s="37">
        <v>8.5590980000000005</v>
      </c>
      <c r="CM8" s="37">
        <v>8.5590980000000005</v>
      </c>
      <c r="CN8" s="37">
        <v>8.5590980000000005</v>
      </c>
      <c r="CO8" s="37">
        <v>8.5590980000000005</v>
      </c>
      <c r="CP8" s="37">
        <v>8.5590980000000005</v>
      </c>
      <c r="CQ8" s="37">
        <v>8.5590980000000005</v>
      </c>
      <c r="CR8" s="37">
        <v>8.5590980000000005</v>
      </c>
      <c r="CS8" s="37">
        <v>8.5590980000000005</v>
      </c>
      <c r="CT8" s="37">
        <v>8.5590980000000005</v>
      </c>
      <c r="CU8" s="37">
        <v>8.5590980000000005</v>
      </c>
      <c r="CV8" s="37">
        <v>8.5590980000000005</v>
      </c>
      <c r="CW8" s="37">
        <v>8.5590980000000005</v>
      </c>
      <c r="CX8" s="37">
        <v>8.5590980000000005</v>
      </c>
      <c r="CY8" s="37">
        <v>8.5590980000000005</v>
      </c>
      <c r="CZ8" s="37">
        <v>8.5590980000000005</v>
      </c>
      <c r="DA8" s="37">
        <v>8.5590980000000005</v>
      </c>
      <c r="DB8" s="37">
        <v>8.5590980000000005</v>
      </c>
      <c r="DC8" s="37">
        <v>8.5590980000000005</v>
      </c>
      <c r="DD8" s="37">
        <v>8.5590980000000005</v>
      </c>
      <c r="DE8" s="37">
        <v>8.5590980000000005</v>
      </c>
      <c r="DF8" s="37">
        <v>8.5590980000000005</v>
      </c>
      <c r="DG8" s="37">
        <v>8.5590980000000005</v>
      </c>
      <c r="DH8" s="37">
        <v>8.5590980000000005</v>
      </c>
      <c r="DI8" s="37">
        <v>8.5590980000000005</v>
      </c>
      <c r="DJ8" s="37">
        <v>8.5590980000000005</v>
      </c>
      <c r="DK8" s="37">
        <v>8.5590980000000005</v>
      </c>
      <c r="DL8" s="37">
        <v>8.5590980000000005</v>
      </c>
      <c r="DM8" s="37">
        <v>8.5590980000000005</v>
      </c>
      <c r="DN8" s="37">
        <v>8.5590980000000005</v>
      </c>
      <c r="DO8" s="37">
        <v>8.5590980000000005</v>
      </c>
      <c r="DP8" s="37">
        <v>8.5590980000000005</v>
      </c>
      <c r="DQ8" s="37">
        <v>8.5590980000000005</v>
      </c>
      <c r="DR8" s="37">
        <v>8.5590980000000005</v>
      </c>
      <c r="DS8" s="37">
        <v>8.5590980000000005</v>
      </c>
      <c r="DT8" s="37">
        <v>8.5590980000000005</v>
      </c>
      <c r="DU8" s="37">
        <v>8.5590980000000005</v>
      </c>
      <c r="DV8" s="37">
        <v>8.5590980000000005</v>
      </c>
      <c r="DW8" s="37">
        <v>8.5590980000000005</v>
      </c>
      <c r="DX8" s="37">
        <v>8.5590980000000005</v>
      </c>
      <c r="DY8" s="37">
        <v>8.5590980000000005</v>
      </c>
      <c r="DZ8" s="37">
        <v>8.5590980000000005</v>
      </c>
      <c r="EA8" s="37">
        <v>8.5590980000000005</v>
      </c>
      <c r="EB8" s="37">
        <v>8.5590980000000005</v>
      </c>
      <c r="EC8" s="37">
        <v>8.5590980000000005</v>
      </c>
      <c r="ED8" s="37">
        <v>8.5590980000000005</v>
      </c>
      <c r="EE8" s="37">
        <v>8.5590980000000005</v>
      </c>
      <c r="EF8" s="37">
        <v>8.5590980000000005</v>
      </c>
      <c r="EG8" s="37">
        <v>8.5590980000000005</v>
      </c>
      <c r="EH8" s="37">
        <v>8.5590980000000005</v>
      </c>
      <c r="EI8" s="37">
        <v>8.5590980000000005</v>
      </c>
      <c r="EJ8" s="37">
        <v>8.5590980000000005</v>
      </c>
      <c r="EK8" s="37">
        <v>8.5590980000000005</v>
      </c>
      <c r="EL8" s="37">
        <v>8.5590980000000005</v>
      </c>
      <c r="EM8" s="37">
        <v>8.5590980000000005</v>
      </c>
      <c r="EN8" s="37">
        <v>8.5590980000000005</v>
      </c>
      <c r="EO8" s="37">
        <v>8.5590980000000005</v>
      </c>
      <c r="EP8" s="37">
        <v>8.5590980000000005</v>
      </c>
      <c r="EQ8" s="37">
        <v>8.5590980000000005</v>
      </c>
      <c r="ER8" s="37">
        <v>8.5590980000000005</v>
      </c>
      <c r="ES8" s="37">
        <v>8.5590980000000005</v>
      </c>
      <c r="ET8" s="37">
        <v>8.5590980000000005</v>
      </c>
      <c r="EU8" s="37">
        <v>8.5590980000000005</v>
      </c>
      <c r="EV8" s="37">
        <v>8.5590980000000005</v>
      </c>
      <c r="EW8" s="37">
        <v>8.5590980000000005</v>
      </c>
      <c r="EX8" s="37">
        <v>8.5590980000000005</v>
      </c>
      <c r="EY8" s="37">
        <v>8.5590980000000005</v>
      </c>
      <c r="EZ8" s="37">
        <v>8.5590980000000005</v>
      </c>
      <c r="FA8" s="37">
        <v>8.5590980000000005</v>
      </c>
      <c r="FB8" s="37">
        <v>8.5590980000000005</v>
      </c>
      <c r="FC8" s="37">
        <v>8.5590980000000005</v>
      </c>
      <c r="FD8" s="37">
        <v>8.5590980000000005</v>
      </c>
      <c r="FE8" s="37">
        <v>8.5590980000000005</v>
      </c>
      <c r="FF8" s="37">
        <v>8.5590980000000005</v>
      </c>
      <c r="FG8" s="37">
        <v>8.5590980000000005</v>
      </c>
      <c r="FH8" s="37">
        <v>8.5590980000000005</v>
      </c>
      <c r="FI8" s="37">
        <v>8.5590980000000005</v>
      </c>
      <c r="FJ8" s="37">
        <v>8.5590980000000005</v>
      </c>
      <c r="FK8" s="37">
        <v>8.5590980000000005</v>
      </c>
      <c r="FL8" s="37">
        <v>8.5590980000000005</v>
      </c>
      <c r="FM8" s="37">
        <v>8.5590980000000005</v>
      </c>
      <c r="FN8" s="37">
        <v>8.5590980000000005</v>
      </c>
      <c r="FO8" s="37">
        <v>8.5590980000000005</v>
      </c>
      <c r="FP8" s="37">
        <v>8.5590980000000005</v>
      </c>
      <c r="FQ8" s="37">
        <v>8.5590980000000005</v>
      </c>
      <c r="FR8" s="37">
        <v>8.5590980000000005</v>
      </c>
      <c r="FS8" s="37">
        <v>8.5590980000000005</v>
      </c>
      <c r="FT8" s="37">
        <v>8.5590980000000005</v>
      </c>
      <c r="FU8" s="37">
        <v>8.5590980000000005</v>
      </c>
      <c r="FV8" s="37">
        <v>8.5590980000000005</v>
      </c>
      <c r="FW8" s="37">
        <v>8.5590980000000005</v>
      </c>
      <c r="FX8" s="37">
        <v>8.5590980000000005</v>
      </c>
      <c r="FY8" s="37">
        <v>8.5590980000000005</v>
      </c>
      <c r="FZ8" s="37">
        <v>8.5590980000000005</v>
      </c>
      <c r="GA8" s="37">
        <v>8.5590980000000005</v>
      </c>
      <c r="GB8" s="37">
        <v>8.5590980000000005</v>
      </c>
      <c r="GC8" s="37">
        <v>8.5590980000000005</v>
      </c>
      <c r="GD8" s="37">
        <v>8.5590980000000005</v>
      </c>
      <c r="GE8" s="37">
        <v>8.5590980000000005</v>
      </c>
      <c r="GF8" s="37">
        <v>8.5590980000000005</v>
      </c>
      <c r="GG8" s="37">
        <v>8.5590980000000005</v>
      </c>
      <c r="GH8" s="37">
        <v>8.5590980000000005</v>
      </c>
      <c r="GI8" s="37">
        <v>8.5590980000000005</v>
      </c>
      <c r="GJ8" s="37">
        <v>8.5590980000000005</v>
      </c>
      <c r="GK8" s="37">
        <v>8.5590980000000005</v>
      </c>
      <c r="GL8" s="37">
        <v>8.5590980000000005</v>
      </c>
      <c r="GM8" s="37">
        <v>8.5590980000000005</v>
      </c>
      <c r="GN8" s="37">
        <v>8.5590980000000005</v>
      </c>
      <c r="GO8" s="37">
        <v>8.5590980000000005</v>
      </c>
      <c r="GP8" s="37">
        <v>8.5590980000000005</v>
      </c>
      <c r="GQ8" s="37">
        <v>8.5590980000000005</v>
      </c>
      <c r="GR8" s="37">
        <v>8.5590980000000005</v>
      </c>
      <c r="GS8" s="37">
        <v>8.5590980000000005</v>
      </c>
      <c r="GT8" s="37">
        <v>8.5590980000000005</v>
      </c>
      <c r="GU8" s="37">
        <v>8.5590980000000005</v>
      </c>
      <c r="GV8" s="37">
        <v>8.5590980000000005</v>
      </c>
      <c r="GW8" s="37">
        <v>8.5590980000000005</v>
      </c>
      <c r="GX8" s="37">
        <v>8.5590980000000005</v>
      </c>
      <c r="GY8" s="37">
        <v>8.5590980000000005</v>
      </c>
      <c r="GZ8" s="37">
        <v>8.5590980000000005</v>
      </c>
      <c r="HA8" s="37">
        <v>8.5590980000000005</v>
      </c>
      <c r="HB8" s="37">
        <v>8.5590980000000005</v>
      </c>
      <c r="HC8" s="37">
        <v>8.5590980000000005</v>
      </c>
      <c r="HD8" s="37">
        <v>8.5590980000000005</v>
      </c>
      <c r="HE8" s="37">
        <v>8.5590980000000005</v>
      </c>
      <c r="HF8" s="37">
        <v>8.5590980000000005</v>
      </c>
      <c r="HG8" s="37">
        <v>8.5590980000000005</v>
      </c>
      <c r="HH8" s="37">
        <v>8.5590980000000005</v>
      </c>
      <c r="HI8" s="37">
        <v>8.5590980000000005</v>
      </c>
      <c r="HJ8" s="37">
        <v>8.5590980000000005</v>
      </c>
      <c r="HK8" s="37">
        <v>8.5590980000000005</v>
      </c>
      <c r="HL8" s="37">
        <v>8.5590980000000005</v>
      </c>
      <c r="HM8" s="37">
        <v>8.5590980000000005</v>
      </c>
      <c r="HN8" s="37">
        <v>8.5590980000000005</v>
      </c>
      <c r="HO8" s="37">
        <v>8.5590980000000005</v>
      </c>
      <c r="HP8" s="37">
        <v>8.5590980000000005</v>
      </c>
      <c r="HQ8" s="37">
        <v>8.5590980000000005</v>
      </c>
      <c r="HR8" s="37">
        <v>8.5590980000000005</v>
      </c>
      <c r="HS8" s="37">
        <v>8.5590980000000005</v>
      </c>
      <c r="HT8" s="37">
        <v>8.5590980000000005</v>
      </c>
      <c r="HU8" s="37">
        <v>8.5590980000000005</v>
      </c>
      <c r="HV8" s="37">
        <v>8.5590980000000005</v>
      </c>
      <c r="HW8" s="37">
        <v>8.5590980000000005</v>
      </c>
      <c r="HX8" s="37">
        <v>8.5590980000000005</v>
      </c>
      <c r="HY8" s="37">
        <v>8.5590980000000005</v>
      </c>
      <c r="HZ8" s="37">
        <v>8.5590980000000005</v>
      </c>
      <c r="IA8" s="37">
        <v>8.5590980000000005</v>
      </c>
      <c r="IB8" s="37">
        <v>8.5590980000000005</v>
      </c>
      <c r="IC8" s="37">
        <v>8.5590980000000005</v>
      </c>
      <c r="ID8" s="37">
        <v>8.5590980000000005</v>
      </c>
      <c r="IE8" s="37">
        <v>8.5590980000000005</v>
      </c>
      <c r="IF8" s="37">
        <v>8.5590980000000005</v>
      </c>
      <c r="IG8" s="37">
        <v>8.5590980000000005</v>
      </c>
      <c r="IH8" s="37">
        <v>8.5590980000000005</v>
      </c>
      <c r="II8" s="37">
        <v>8.5590980000000005</v>
      </c>
      <c r="IJ8" s="37">
        <v>8.5590980000000005</v>
      </c>
      <c r="IK8" s="37">
        <v>8.5590980000000005</v>
      </c>
      <c r="IL8" s="37">
        <v>8.5590980000000005</v>
      </c>
      <c r="IM8" s="37">
        <v>8.5590980000000005</v>
      </c>
      <c r="IN8" s="37">
        <v>8.5590980000000005</v>
      </c>
      <c r="IO8" s="37">
        <v>8.5590980000000005</v>
      </c>
      <c r="IP8" s="37">
        <v>8.5590980000000005</v>
      </c>
      <c r="IQ8" s="37">
        <v>8.5590980000000005</v>
      </c>
      <c r="IR8" s="37">
        <v>8.5590980000000005</v>
      </c>
      <c r="IS8" s="37">
        <v>8.5590980000000005</v>
      </c>
      <c r="IT8" s="37">
        <v>8.5590980000000005</v>
      </c>
      <c r="IU8" s="37">
        <v>8.5590980000000005</v>
      </c>
      <c r="IV8" s="37">
        <v>8.5590980000000005</v>
      </c>
      <c r="IW8" s="37">
        <v>8.5590980000000005</v>
      </c>
      <c r="IX8" s="37">
        <v>8.5590980000000005</v>
      </c>
      <c r="IY8" s="37">
        <v>8.5590980000000005</v>
      </c>
      <c r="IZ8" s="37">
        <v>8.5590980000000005</v>
      </c>
      <c r="JA8" s="37">
        <v>8.5590980000000005</v>
      </c>
      <c r="JB8" s="37">
        <v>8.5590980000000005</v>
      </c>
      <c r="JC8" s="37">
        <v>8.5590980000000005</v>
      </c>
      <c r="JD8" s="37">
        <v>8.5590980000000005</v>
      </c>
      <c r="JE8" s="37">
        <v>8.5590980000000005</v>
      </c>
      <c r="JF8" s="37">
        <v>8.5590980000000005</v>
      </c>
      <c r="JG8" s="37">
        <v>8.5590980000000005</v>
      </c>
      <c r="JH8" s="37">
        <v>8.5590980000000005</v>
      </c>
      <c r="JI8" s="37">
        <v>8.5590980000000005</v>
      </c>
      <c r="JJ8" s="37">
        <v>8.5590980000000005</v>
      </c>
      <c r="JK8" s="37">
        <v>8.5590980000000005</v>
      </c>
      <c r="JL8" s="37">
        <v>8.5590980000000005</v>
      </c>
      <c r="JM8" s="37">
        <v>8.5590980000000005</v>
      </c>
      <c r="JN8" s="37">
        <v>8.5590980000000005</v>
      </c>
      <c r="JO8" s="37">
        <v>8.5590980000000005</v>
      </c>
      <c r="JP8" s="37">
        <v>8.5590980000000005</v>
      </c>
      <c r="JQ8" s="37">
        <v>8.5590980000000005</v>
      </c>
      <c r="JR8" s="37">
        <v>8.5590980000000005</v>
      </c>
      <c r="JS8" s="37">
        <v>8.5590980000000005</v>
      </c>
      <c r="JT8" s="37">
        <v>8.5590980000000005</v>
      </c>
      <c r="JU8" s="37">
        <v>8.5590980000000005</v>
      </c>
      <c r="JV8" s="37">
        <v>8.5590980000000005</v>
      </c>
      <c r="JW8" s="37">
        <v>8.5590980000000005</v>
      </c>
      <c r="JX8" s="37">
        <v>8.5590980000000005</v>
      </c>
      <c r="JY8" s="37">
        <v>8.5590980000000005</v>
      </c>
      <c r="JZ8" s="37">
        <v>8.5590980000000005</v>
      </c>
      <c r="KA8" s="37">
        <v>8.5590980000000005</v>
      </c>
      <c r="KB8" s="37">
        <v>8.5590980000000005</v>
      </c>
      <c r="KC8" s="37">
        <v>8.5590980000000005</v>
      </c>
      <c r="KD8" s="37">
        <v>8.5590980000000005</v>
      </c>
      <c r="KE8" s="37">
        <v>8.5590980000000005</v>
      </c>
      <c r="KF8" s="37">
        <v>8.5590980000000005</v>
      </c>
      <c r="KG8" s="37">
        <v>8.5590980000000005</v>
      </c>
      <c r="KH8" s="37">
        <v>8.5590980000000005</v>
      </c>
      <c r="KI8" s="37">
        <v>8.5590980000000005</v>
      </c>
      <c r="KJ8" s="37">
        <v>8.5590980000000005</v>
      </c>
      <c r="KK8" s="37">
        <v>8.5590980000000005</v>
      </c>
      <c r="KL8" s="37">
        <v>8.5590980000000005</v>
      </c>
      <c r="KM8" s="37">
        <v>8.5590980000000005</v>
      </c>
      <c r="KN8" s="37">
        <v>8.5590980000000005</v>
      </c>
      <c r="KO8" s="37">
        <v>8.5590980000000005</v>
      </c>
      <c r="KP8" s="37">
        <v>8.5590980000000005</v>
      </c>
      <c r="KQ8" s="37">
        <v>8.5590980000000005</v>
      </c>
      <c r="KR8" s="37">
        <v>8.5590980000000005</v>
      </c>
      <c r="KS8" s="37">
        <v>8.5590980000000005</v>
      </c>
      <c r="KT8" s="37">
        <v>8.5590980000000005</v>
      </c>
      <c r="KU8" s="37">
        <v>8.5590980000000005</v>
      </c>
      <c r="KV8" s="37">
        <v>8.5590980000000005</v>
      </c>
      <c r="KW8" s="37">
        <v>8.5590980000000005</v>
      </c>
      <c r="KX8" s="37">
        <v>8.5590980000000005</v>
      </c>
      <c r="KY8" s="37">
        <v>8.5590980000000005</v>
      </c>
      <c r="KZ8" s="37">
        <v>8.5590980000000005</v>
      </c>
      <c r="LA8" s="37">
        <v>8.5590980000000005</v>
      </c>
      <c r="LB8" s="37">
        <v>8.5590980000000005</v>
      </c>
      <c r="LC8" s="37">
        <v>8.5590980000000005</v>
      </c>
      <c r="LD8" s="37">
        <v>8.5590980000000005</v>
      </c>
      <c r="LE8" s="37">
        <v>8.5590980000000005</v>
      </c>
      <c r="LF8" s="37">
        <v>8.5590980000000005</v>
      </c>
      <c r="LG8" s="37">
        <v>8.5590980000000005</v>
      </c>
      <c r="LH8" s="37">
        <v>8.5590980000000005</v>
      </c>
      <c r="LI8" s="37">
        <v>8.5590980000000005</v>
      </c>
      <c r="LJ8" s="37">
        <v>8.5590980000000005</v>
      </c>
      <c r="LK8" s="37">
        <v>8.5590980000000005</v>
      </c>
      <c r="LL8" s="37">
        <v>8.5590980000000005</v>
      </c>
      <c r="LM8" s="37">
        <v>8.5590980000000005</v>
      </c>
      <c r="LN8" s="37">
        <v>8.5590980000000005</v>
      </c>
      <c r="LO8" s="37">
        <v>8.5590980000000005</v>
      </c>
      <c r="LP8" s="37">
        <v>8.5590980000000005</v>
      </c>
      <c r="LQ8" s="37">
        <v>8.5590980000000005</v>
      </c>
      <c r="LR8" s="37">
        <v>8.5590980000000005</v>
      </c>
      <c r="LS8" s="37">
        <v>8.5590980000000005</v>
      </c>
      <c r="LT8" s="37">
        <v>8.5590980000000005</v>
      </c>
      <c r="LU8" s="37">
        <v>8.5590980000000005</v>
      </c>
      <c r="LV8" s="37">
        <v>8.5590980000000005</v>
      </c>
      <c r="LW8" s="37">
        <v>8.5590980000000005</v>
      </c>
      <c r="LX8" s="37">
        <v>8.5590980000000005</v>
      </c>
      <c r="LY8" s="37">
        <v>8.5590980000000005</v>
      </c>
      <c r="LZ8" s="37">
        <v>8.5590980000000005</v>
      </c>
      <c r="MA8" s="37">
        <v>8.5590980000000005</v>
      </c>
      <c r="MB8" s="37">
        <v>8.5590980000000005</v>
      </c>
      <c r="MC8" s="37">
        <v>8.5590980000000005</v>
      </c>
      <c r="MD8" s="37">
        <v>8.5590980000000005</v>
      </c>
      <c r="ME8" s="37">
        <v>8.5590980000000005</v>
      </c>
      <c r="MF8" s="37">
        <v>8.5590980000000005</v>
      </c>
      <c r="MG8" s="37">
        <v>8.5590980000000005</v>
      </c>
      <c r="MH8" s="37">
        <v>8.5590980000000005</v>
      </c>
      <c r="MI8" s="37">
        <v>8.5590980000000005</v>
      </c>
      <c r="MJ8" s="37">
        <v>8.5590980000000005</v>
      </c>
      <c r="MK8" s="37">
        <v>8.5590980000000005</v>
      </c>
      <c r="ML8" s="37">
        <v>8.5590980000000005</v>
      </c>
      <c r="MM8" s="37">
        <v>8.5590980000000005</v>
      </c>
      <c r="MN8" s="37">
        <v>8.5590980000000005</v>
      </c>
      <c r="MO8" s="37">
        <v>8.5590980000000005</v>
      </c>
      <c r="MP8" s="37">
        <v>8.5590980000000005</v>
      </c>
      <c r="MQ8" s="37">
        <v>8.5590980000000005</v>
      </c>
      <c r="MR8" s="37">
        <v>8.5590980000000005</v>
      </c>
      <c r="MS8" s="37">
        <v>8.5590980000000005</v>
      </c>
      <c r="MT8" s="37">
        <v>8.5590980000000005</v>
      </c>
      <c r="MU8" s="37">
        <v>8.5590980000000005</v>
      </c>
      <c r="MV8" s="37">
        <v>8.5590980000000005</v>
      </c>
      <c r="MW8" s="37">
        <v>8.5590980000000005</v>
      </c>
      <c r="MX8" s="37">
        <v>8.5590980000000005</v>
      </c>
      <c r="MY8" s="37">
        <v>8.5590980000000005</v>
      </c>
      <c r="MZ8" s="37">
        <v>8.5590980000000005</v>
      </c>
      <c r="NA8" s="37">
        <v>8.5590980000000005</v>
      </c>
      <c r="NB8" s="37">
        <v>8.5590980000000005</v>
      </c>
      <c r="NC8" s="37">
        <v>8.5590980000000005</v>
      </c>
      <c r="ND8" s="37">
        <v>8.5590980000000005</v>
      </c>
      <c r="NE8" s="37">
        <v>8.5590980000000005</v>
      </c>
      <c r="NF8" s="37">
        <v>8.5590980000000005</v>
      </c>
      <c r="NG8" s="37">
        <v>8.5590980000000005</v>
      </c>
      <c r="NH8" s="37">
        <v>8.5590980000000005</v>
      </c>
      <c r="NI8" s="37">
        <v>8.5590980000000005</v>
      </c>
      <c r="NJ8" s="37">
        <v>8.5590980000000005</v>
      </c>
      <c r="NK8" s="37">
        <v>8.5590980000000005</v>
      </c>
      <c r="NL8" s="37">
        <v>8.5590980000000005</v>
      </c>
      <c r="NM8" s="37">
        <v>8.5590980000000005</v>
      </c>
      <c r="NN8" s="37">
        <v>8.5590980000000005</v>
      </c>
      <c r="NO8" s="37">
        <v>8.5590980000000005</v>
      </c>
      <c r="NP8" s="37">
        <v>8.5590980000000005</v>
      </c>
      <c r="NQ8" s="37">
        <v>8.5590980000000005</v>
      </c>
      <c r="NR8" s="37">
        <v>8.5590980000000005</v>
      </c>
      <c r="NS8" s="37">
        <v>8.5590980000000005</v>
      </c>
      <c r="NT8" s="37">
        <v>8.5590980000000005</v>
      </c>
      <c r="NU8" s="37">
        <v>8.5590980000000005</v>
      </c>
      <c r="NV8" s="37">
        <v>8.5590980000000005</v>
      </c>
      <c r="NW8" s="37">
        <v>8.5590980000000005</v>
      </c>
      <c r="NX8" s="37">
        <v>8.5590980000000005</v>
      </c>
      <c r="NY8" s="37">
        <v>8.5590980000000005</v>
      </c>
      <c r="NZ8" s="37">
        <v>8.5590980000000005</v>
      </c>
      <c r="OA8" s="37">
        <v>8.5590980000000005</v>
      </c>
      <c r="OB8" s="37">
        <v>8.5590980000000005</v>
      </c>
      <c r="OC8" s="37">
        <v>8.5590980000000005</v>
      </c>
      <c r="OD8" s="37">
        <v>8.5590980000000005</v>
      </c>
      <c r="OE8" s="37">
        <v>8.5590980000000005</v>
      </c>
      <c r="OF8" s="37">
        <v>8.5590980000000005</v>
      </c>
      <c r="OG8" s="37">
        <v>8.5590980000000005</v>
      </c>
      <c r="OH8" s="37">
        <v>8.5590980000000005</v>
      </c>
      <c r="OI8" s="37">
        <v>8.5590980000000005</v>
      </c>
      <c r="OJ8" s="37">
        <v>8.5590980000000005</v>
      </c>
      <c r="OK8" s="37">
        <v>8.5590980000000005</v>
      </c>
      <c r="OL8" s="37">
        <v>8.5590980000000005</v>
      </c>
      <c r="OM8" s="37">
        <v>8.5590980000000005</v>
      </c>
      <c r="ON8" s="37">
        <v>8.5590980000000005</v>
      </c>
      <c r="OO8" s="37">
        <v>8.5590980000000005</v>
      </c>
      <c r="OP8" s="37">
        <v>8.5590980000000005</v>
      </c>
      <c r="OQ8" s="37">
        <v>8.5590980000000005</v>
      </c>
      <c r="OR8" s="37">
        <v>8.5590980000000005</v>
      </c>
      <c r="OS8" s="37">
        <v>8.5590980000000005</v>
      </c>
      <c r="OT8" s="37">
        <v>8.5590980000000005</v>
      </c>
      <c r="OU8" s="37">
        <v>8.5590980000000005</v>
      </c>
      <c r="OV8" s="37">
        <v>8.5590980000000005</v>
      </c>
      <c r="OW8" s="37">
        <v>8.5590980000000005</v>
      </c>
      <c r="OX8" s="37">
        <v>8.5590980000000005</v>
      </c>
      <c r="OY8" s="37">
        <v>8.5590980000000005</v>
      </c>
      <c r="OZ8" s="37">
        <v>8.5590980000000005</v>
      </c>
      <c r="PA8" s="37">
        <v>8.5590980000000005</v>
      </c>
      <c r="PB8" s="37">
        <v>8.5590980000000005</v>
      </c>
      <c r="PC8" s="37">
        <v>8.5590980000000005</v>
      </c>
      <c r="PD8" s="37">
        <v>8.5590980000000005</v>
      </c>
      <c r="PE8" s="37">
        <v>8.5590980000000005</v>
      </c>
      <c r="PF8" s="37">
        <v>8.5590980000000005</v>
      </c>
      <c r="PG8" s="37">
        <v>8.5590980000000005</v>
      </c>
      <c r="PH8" s="37">
        <v>8.5590980000000005</v>
      </c>
      <c r="PI8" s="37">
        <v>8.5590980000000005</v>
      </c>
      <c r="PJ8" s="37">
        <v>8.5590980000000005</v>
      </c>
      <c r="PK8" s="37">
        <v>8.5590980000000005</v>
      </c>
      <c r="PL8" s="37">
        <v>8.5590980000000005</v>
      </c>
      <c r="PM8" s="37">
        <v>8.5590980000000005</v>
      </c>
      <c r="PN8" s="37">
        <v>8.5590980000000005</v>
      </c>
      <c r="PO8" s="37">
        <v>8.5590980000000005</v>
      </c>
      <c r="PP8" s="37">
        <v>8.5590980000000005</v>
      </c>
      <c r="PQ8" s="37">
        <v>8.5590980000000005</v>
      </c>
      <c r="PR8" s="37">
        <v>8.5590980000000005</v>
      </c>
      <c r="PS8" s="15">
        <v>8.5590980000000005</v>
      </c>
      <c r="PT8" s="15">
        <v>8.5590980000000005</v>
      </c>
      <c r="PU8" s="15">
        <v>8.5590980000000005</v>
      </c>
      <c r="PV8" s="15">
        <v>8.5590980000000005</v>
      </c>
      <c r="PW8" s="15">
        <v>8.5590980000000005</v>
      </c>
      <c r="PX8" s="15">
        <v>8.5590980000000005</v>
      </c>
      <c r="PY8" s="15">
        <v>8.5590980000000005</v>
      </c>
      <c r="PZ8" s="15">
        <v>8.5590980000000005</v>
      </c>
      <c r="QA8" s="15">
        <v>8.5590980000000005</v>
      </c>
      <c r="QB8" s="15">
        <v>8.5590980000000005</v>
      </c>
      <c r="QC8" s="15">
        <v>8.5590980000000005</v>
      </c>
      <c r="QD8" s="15">
        <v>8.5590980000000005</v>
      </c>
      <c r="QE8" s="15">
        <v>8.5590980000000005</v>
      </c>
      <c r="QF8" s="15">
        <v>8.5590980000000005</v>
      </c>
      <c r="QG8" s="15">
        <v>8.5590980000000005</v>
      </c>
      <c r="QH8" s="15">
        <v>8.5590980000000005</v>
      </c>
      <c r="QI8" s="15">
        <v>8.5590980000000005</v>
      </c>
      <c r="QJ8" s="15">
        <v>8.5590980000000005</v>
      </c>
      <c r="QK8" s="15">
        <v>8.5590980000000005</v>
      </c>
      <c r="QL8" s="15">
        <v>8.5590980000000005</v>
      </c>
      <c r="QM8" s="15">
        <v>8.5590980000000005</v>
      </c>
      <c r="QN8" s="15">
        <v>8.5590980000000005</v>
      </c>
      <c r="QO8" s="15">
        <v>8.5590980000000005</v>
      </c>
      <c r="QP8" s="15">
        <v>8.5590980000000005</v>
      </c>
      <c r="QQ8" s="15">
        <v>8.5590980000000005</v>
      </c>
      <c r="QR8" s="15">
        <v>8.5590980000000005</v>
      </c>
      <c r="QS8" s="15">
        <v>8.5590980000000005</v>
      </c>
      <c r="QT8" s="15">
        <v>8.5590980000000005</v>
      </c>
      <c r="QU8" s="15">
        <v>8.5590980000000005</v>
      </c>
      <c r="QV8" s="15">
        <v>8.5590980000000005</v>
      </c>
      <c r="QW8" s="15">
        <v>8.5590980000000005</v>
      </c>
      <c r="QX8" s="15">
        <v>8.5590980000000005</v>
      </c>
      <c r="QY8" s="15">
        <v>8.5590980000000005</v>
      </c>
      <c r="QZ8" s="15">
        <v>8.5590980000000005</v>
      </c>
      <c r="RA8" s="15">
        <v>8.5590980000000005</v>
      </c>
      <c r="RB8" s="15">
        <v>8.5590980000000005</v>
      </c>
      <c r="RC8" s="15">
        <v>8.5590980000000005</v>
      </c>
      <c r="RD8" s="15">
        <v>8.5590980000000005</v>
      </c>
      <c r="RE8" s="15">
        <v>8.5590980000000005</v>
      </c>
      <c r="RF8" s="15">
        <v>8.5590980000000005</v>
      </c>
      <c r="RG8" s="15">
        <v>8.5590980000000005</v>
      </c>
      <c r="RH8" s="15">
        <v>8.5590980000000005</v>
      </c>
      <c r="RI8" s="15">
        <v>8.5590980000000005</v>
      </c>
      <c r="RJ8" s="15">
        <v>8.5590980000000005</v>
      </c>
      <c r="RK8" s="15">
        <v>8.5590980000000005</v>
      </c>
      <c r="RL8" s="15">
        <v>8.5590980000000005</v>
      </c>
      <c r="RM8" s="15">
        <v>8.5590980000000005</v>
      </c>
      <c r="RN8" s="15">
        <v>7.6471720000000003</v>
      </c>
      <c r="SM8" s="15" t="s">
        <v>668</v>
      </c>
      <c r="SN8" s="15" t="s">
        <v>668</v>
      </c>
      <c r="SO8" s="15" t="s">
        <v>668</v>
      </c>
    </row>
    <row r="9" spans="1:786" x14ac:dyDescent="0.2">
      <c r="A9" s="37">
        <v>7</v>
      </c>
      <c r="B9" s="48" t="s">
        <v>506</v>
      </c>
      <c r="C9" s="17">
        <f>+'Detalle Compras'!D9</f>
        <v>202504300166</v>
      </c>
      <c r="D9" s="55">
        <f t="shared" si="13"/>
        <v>9.8942999999999994</v>
      </c>
      <c r="E9" s="14">
        <f>+IF(B9="","",'Detalle Compras'!S9+0)</f>
        <v>45910</v>
      </c>
      <c r="F9" s="14">
        <f>+IF(B9="","",EOMONTH('Detalle Compras'!S9,G9)+10)</f>
        <v>60520</v>
      </c>
      <c r="G9" s="50">
        <f t="shared" si="14"/>
        <v>479</v>
      </c>
      <c r="H9" s="50">
        <f t="shared" si="15"/>
        <v>475</v>
      </c>
      <c r="AB9" s="37">
        <v>9.8942999999999994</v>
      </c>
      <c r="AC9" s="37">
        <v>9.8942999999999994</v>
      </c>
      <c r="AD9" s="37">
        <v>9.8942999999999994</v>
      </c>
      <c r="AE9" s="37">
        <v>9.8942999999999994</v>
      </c>
      <c r="AF9" s="37">
        <v>9.8942999999999994</v>
      </c>
      <c r="AG9" s="37">
        <v>9.8942999999999994</v>
      </c>
      <c r="AH9" s="37">
        <v>9.8942999999999994</v>
      </c>
      <c r="AI9" s="37">
        <v>9.8942999999999994</v>
      </c>
      <c r="AJ9" s="37">
        <v>9.8942999999999994</v>
      </c>
      <c r="AK9" s="37">
        <v>9.8942999999999994</v>
      </c>
      <c r="AL9" s="37">
        <v>9.8942999999999994</v>
      </c>
      <c r="AM9" s="37">
        <v>9.8942999999999994</v>
      </c>
      <c r="AN9" s="37">
        <v>9.8942999999999994</v>
      </c>
      <c r="AO9" s="37">
        <v>9.8942999999999994</v>
      </c>
      <c r="AP9" s="37">
        <v>9.8942999999999994</v>
      </c>
      <c r="AQ9" s="37">
        <v>9.8942999999999994</v>
      </c>
      <c r="AR9" s="37">
        <v>9.8942999999999994</v>
      </c>
      <c r="AS9" s="37">
        <v>9.8942999999999994</v>
      </c>
      <c r="AT9" s="37">
        <v>9.8942999999999994</v>
      </c>
      <c r="AU9" s="37">
        <v>9.8942999999999994</v>
      </c>
      <c r="AV9" s="37">
        <v>9.8942999999999994</v>
      </c>
      <c r="AW9" s="37">
        <v>9.8942999999999994</v>
      </c>
      <c r="AX9" s="37">
        <v>9.8942999999999994</v>
      </c>
      <c r="AY9" s="37">
        <v>9.8942999999999994</v>
      </c>
      <c r="AZ9" s="37">
        <v>9.8942999999999994</v>
      </c>
      <c r="BA9" s="37">
        <v>9.8942999999999994</v>
      </c>
      <c r="BB9" s="37">
        <v>9.8942999999999994</v>
      </c>
      <c r="BC9" s="37">
        <v>9.8942999999999994</v>
      </c>
      <c r="BD9" s="37">
        <v>9.8942999999999994</v>
      </c>
      <c r="BE9" s="37">
        <v>9.8942999999999994</v>
      </c>
      <c r="BF9" s="37">
        <v>9.8942999999999994</v>
      </c>
      <c r="BG9" s="37">
        <v>9.8942999999999994</v>
      </c>
      <c r="BH9" s="37">
        <v>9.8942999999999994</v>
      </c>
      <c r="BI9" s="37">
        <v>9.8942999999999994</v>
      </c>
      <c r="BJ9" s="37">
        <v>9.8942999999999994</v>
      </c>
      <c r="BK9" s="37">
        <v>9.8942999999999994</v>
      </c>
      <c r="BL9" s="37">
        <v>9.8942999999999994</v>
      </c>
      <c r="BM9" s="37">
        <v>9.8942999999999994</v>
      </c>
      <c r="BN9" s="37">
        <v>9.8942999999999994</v>
      </c>
      <c r="BO9" s="37">
        <v>9.8942999999999994</v>
      </c>
      <c r="BP9" s="37">
        <v>9.8942999999999994</v>
      </c>
      <c r="BQ9" s="37">
        <v>9.8942999999999994</v>
      </c>
      <c r="BR9" s="37">
        <v>9.8942999999999994</v>
      </c>
      <c r="BS9" s="37">
        <v>9.8942999999999994</v>
      </c>
      <c r="BT9" s="37">
        <v>9.8942999999999994</v>
      </c>
      <c r="BU9" s="37">
        <v>9.8942999999999994</v>
      </c>
      <c r="BV9" s="37">
        <v>9.8942999999999994</v>
      </c>
      <c r="BW9" s="37">
        <v>9.8942999999999994</v>
      </c>
      <c r="BX9" s="37">
        <v>9.8942999999999994</v>
      </c>
      <c r="BY9" s="37">
        <v>9.8942999999999994</v>
      </c>
      <c r="BZ9" s="37">
        <v>9.8942999999999994</v>
      </c>
      <c r="CA9" s="37">
        <v>9.8942999999999994</v>
      </c>
      <c r="CB9" s="37">
        <v>9.8942999999999994</v>
      </c>
      <c r="CC9" s="37">
        <v>9.8942999999999994</v>
      </c>
      <c r="CD9" s="37">
        <v>9.8942999999999994</v>
      </c>
      <c r="CE9" s="37">
        <v>9.8942999999999994</v>
      </c>
      <c r="CF9" s="37">
        <v>9.8942999999999994</v>
      </c>
      <c r="CG9" s="37">
        <v>9.8942999999999994</v>
      </c>
      <c r="CH9" s="37">
        <v>9.8942999999999994</v>
      </c>
      <c r="CI9" s="37">
        <v>9.8942999999999994</v>
      </c>
      <c r="CJ9" s="37">
        <v>9.8942999999999994</v>
      </c>
      <c r="CK9" s="37">
        <v>9.8942999999999994</v>
      </c>
      <c r="CL9" s="37">
        <v>9.8942999999999994</v>
      </c>
      <c r="CM9" s="37">
        <v>9.8942999999999994</v>
      </c>
      <c r="CN9" s="37">
        <v>9.8942999999999994</v>
      </c>
      <c r="CO9" s="37">
        <v>9.8942999999999994</v>
      </c>
      <c r="CP9" s="37">
        <v>9.8942999999999994</v>
      </c>
      <c r="CQ9" s="37">
        <v>9.8942999999999994</v>
      </c>
      <c r="CR9" s="37">
        <v>9.8942999999999994</v>
      </c>
      <c r="CS9" s="37">
        <v>9.8942999999999994</v>
      </c>
      <c r="CT9" s="37">
        <v>9.8942999999999994</v>
      </c>
      <c r="CU9" s="37">
        <v>9.8942999999999994</v>
      </c>
      <c r="CV9" s="37">
        <v>9.8942999999999994</v>
      </c>
      <c r="CW9" s="37">
        <v>9.8942999999999994</v>
      </c>
      <c r="CX9" s="37">
        <v>9.8942999999999994</v>
      </c>
      <c r="CY9" s="37">
        <v>9.8942999999999994</v>
      </c>
      <c r="CZ9" s="37">
        <v>9.8942999999999994</v>
      </c>
      <c r="DA9" s="37">
        <v>9.8942999999999994</v>
      </c>
      <c r="DB9" s="37">
        <v>9.8942999999999994</v>
      </c>
      <c r="DC9" s="37">
        <v>9.8942999999999994</v>
      </c>
      <c r="DD9" s="37">
        <v>9.8942999999999994</v>
      </c>
      <c r="DE9" s="37">
        <v>9.8942999999999994</v>
      </c>
      <c r="DF9" s="37">
        <v>9.8942999999999994</v>
      </c>
      <c r="DG9" s="37">
        <v>9.8942999999999994</v>
      </c>
      <c r="DH9" s="37">
        <v>9.8942999999999994</v>
      </c>
      <c r="DI9" s="37">
        <v>9.8942999999999994</v>
      </c>
      <c r="DJ9" s="37">
        <v>9.8942999999999994</v>
      </c>
      <c r="DK9" s="37">
        <v>9.8942999999999994</v>
      </c>
      <c r="DL9" s="37">
        <v>9.8942999999999994</v>
      </c>
      <c r="DM9" s="37">
        <v>9.8942999999999994</v>
      </c>
      <c r="DN9" s="37">
        <v>9.8942999999999994</v>
      </c>
      <c r="DO9" s="37">
        <v>9.8942999999999994</v>
      </c>
      <c r="DP9" s="37">
        <v>9.8942999999999994</v>
      </c>
      <c r="DQ9" s="37">
        <v>9.8942999999999994</v>
      </c>
      <c r="DR9" s="37">
        <v>9.8942999999999994</v>
      </c>
      <c r="DS9" s="37">
        <v>9.8942999999999994</v>
      </c>
      <c r="DT9" s="37">
        <v>9.8942999999999994</v>
      </c>
      <c r="DU9" s="37">
        <v>9.8942999999999994</v>
      </c>
      <c r="DV9" s="37">
        <v>9.8942999999999994</v>
      </c>
      <c r="DW9" s="37">
        <v>9.8942999999999994</v>
      </c>
      <c r="DX9" s="37">
        <v>9.8942999999999994</v>
      </c>
      <c r="DY9" s="37">
        <v>9.8942999999999994</v>
      </c>
      <c r="DZ9" s="37">
        <v>9.8942999999999994</v>
      </c>
      <c r="EA9" s="37">
        <v>9.8942999999999994</v>
      </c>
      <c r="EB9" s="37">
        <v>9.8942999999999994</v>
      </c>
      <c r="EC9" s="37">
        <v>9.8942999999999994</v>
      </c>
      <c r="ED9" s="37">
        <v>9.8942999999999994</v>
      </c>
      <c r="EE9" s="37">
        <v>9.8942999999999994</v>
      </c>
      <c r="EF9" s="37">
        <v>9.8942999999999994</v>
      </c>
      <c r="EG9" s="37">
        <v>9.8942999999999994</v>
      </c>
      <c r="EH9" s="37">
        <v>9.8942999999999994</v>
      </c>
      <c r="EI9" s="37">
        <v>9.8942999999999994</v>
      </c>
      <c r="EJ9" s="37">
        <v>9.8942999999999994</v>
      </c>
      <c r="EK9" s="37">
        <v>9.8942999999999994</v>
      </c>
      <c r="EL9" s="37">
        <v>9.8942999999999994</v>
      </c>
      <c r="EM9" s="37">
        <v>9.8942999999999994</v>
      </c>
      <c r="EN9" s="37">
        <v>9.8942999999999994</v>
      </c>
      <c r="EO9" s="37">
        <v>9.8942999999999994</v>
      </c>
      <c r="EP9" s="37">
        <v>9.8942999999999994</v>
      </c>
      <c r="EQ9" s="37">
        <v>9.8942999999999994</v>
      </c>
      <c r="ER9" s="37">
        <v>9.8942999999999994</v>
      </c>
      <c r="ES9" s="37">
        <v>9.8942999999999994</v>
      </c>
      <c r="ET9" s="37">
        <v>9.8942999999999994</v>
      </c>
      <c r="EU9" s="37">
        <v>9.8942999999999994</v>
      </c>
      <c r="EV9" s="37">
        <v>9.8942999999999994</v>
      </c>
      <c r="EW9" s="37">
        <v>9.8942999999999994</v>
      </c>
      <c r="EX9" s="37">
        <v>9.8942999999999994</v>
      </c>
      <c r="EY9" s="37">
        <v>9.8942999999999994</v>
      </c>
      <c r="EZ9" s="37">
        <v>9.8942999999999994</v>
      </c>
      <c r="FA9" s="37">
        <v>9.8942999999999994</v>
      </c>
      <c r="FB9" s="37">
        <v>9.8942999999999994</v>
      </c>
      <c r="FC9" s="37">
        <v>9.8942999999999994</v>
      </c>
      <c r="FD9" s="37">
        <v>9.8942999999999994</v>
      </c>
      <c r="FE9" s="37">
        <v>9.8942999999999994</v>
      </c>
      <c r="FF9" s="37">
        <v>9.8942999999999994</v>
      </c>
      <c r="FG9" s="37">
        <v>9.8942999999999994</v>
      </c>
      <c r="FH9" s="37">
        <v>9.8942999999999994</v>
      </c>
      <c r="FI9" s="37">
        <v>9.8942999999999994</v>
      </c>
      <c r="FJ9" s="37">
        <v>9.8942999999999994</v>
      </c>
      <c r="FK9" s="37">
        <v>9.8942999999999994</v>
      </c>
      <c r="FL9" s="37">
        <v>9.8942999999999994</v>
      </c>
      <c r="FM9" s="37">
        <v>9.8942999999999994</v>
      </c>
      <c r="FN9" s="37">
        <v>9.8942999999999994</v>
      </c>
      <c r="FO9" s="37">
        <v>9.8942999999999994</v>
      </c>
      <c r="FP9" s="37">
        <v>9.8942999999999994</v>
      </c>
      <c r="FQ9" s="37">
        <v>9.8942999999999994</v>
      </c>
      <c r="FR9" s="37">
        <v>9.8942999999999994</v>
      </c>
      <c r="FS9" s="37">
        <v>9.8942999999999994</v>
      </c>
      <c r="FT9" s="37">
        <v>9.8942999999999994</v>
      </c>
      <c r="FU9" s="37">
        <v>9.8942999999999994</v>
      </c>
      <c r="FV9" s="37">
        <v>9.8942999999999994</v>
      </c>
      <c r="FW9" s="37">
        <v>9.8942999999999994</v>
      </c>
      <c r="FX9" s="37">
        <v>9.8942999999999994</v>
      </c>
      <c r="FY9" s="37">
        <v>9.8942999999999994</v>
      </c>
      <c r="FZ9" s="37">
        <v>9.8942999999999994</v>
      </c>
      <c r="GA9" s="37">
        <v>9.8942999999999994</v>
      </c>
      <c r="GB9" s="37">
        <v>9.8942999999999994</v>
      </c>
      <c r="GC9" s="37">
        <v>9.8942999999999994</v>
      </c>
      <c r="GD9" s="37">
        <v>9.8942999999999994</v>
      </c>
      <c r="GE9" s="37">
        <v>9.8942999999999994</v>
      </c>
      <c r="GF9" s="37">
        <v>9.8942999999999994</v>
      </c>
      <c r="GG9" s="37">
        <v>9.8942999999999994</v>
      </c>
      <c r="GH9" s="37">
        <v>9.8942999999999994</v>
      </c>
      <c r="GI9" s="37">
        <v>9.8942999999999994</v>
      </c>
      <c r="GJ9" s="37">
        <v>9.8942999999999994</v>
      </c>
      <c r="GK9" s="37">
        <v>9.8942999999999994</v>
      </c>
      <c r="GL9" s="37">
        <v>9.8942999999999994</v>
      </c>
      <c r="GM9" s="37">
        <v>9.8942999999999994</v>
      </c>
      <c r="GN9" s="37">
        <v>9.8942999999999994</v>
      </c>
      <c r="GO9" s="37">
        <v>9.8942999999999994</v>
      </c>
      <c r="GP9" s="37">
        <v>9.8942999999999994</v>
      </c>
      <c r="GQ9" s="37">
        <v>9.8942999999999994</v>
      </c>
      <c r="GR9" s="37">
        <v>9.8942999999999994</v>
      </c>
      <c r="GS9" s="37">
        <v>9.8942999999999994</v>
      </c>
      <c r="GT9" s="37">
        <v>9.8942999999999994</v>
      </c>
      <c r="GU9" s="37">
        <v>9.8942999999999994</v>
      </c>
      <c r="GV9" s="37">
        <v>9.8942999999999994</v>
      </c>
      <c r="GW9" s="37">
        <v>9.8942999999999994</v>
      </c>
      <c r="GX9" s="37">
        <v>9.8942999999999994</v>
      </c>
      <c r="GY9" s="37">
        <v>9.8942999999999994</v>
      </c>
      <c r="GZ9" s="37">
        <v>9.8942999999999994</v>
      </c>
      <c r="HA9" s="37">
        <v>9.8942999999999994</v>
      </c>
      <c r="HB9" s="37">
        <v>9.8942999999999994</v>
      </c>
      <c r="HC9" s="37">
        <v>9.8942999999999994</v>
      </c>
      <c r="HD9" s="37">
        <v>9.8942999999999994</v>
      </c>
      <c r="HE9" s="37">
        <v>9.8942999999999994</v>
      </c>
      <c r="HF9" s="37">
        <v>9.8942999999999994</v>
      </c>
      <c r="HG9" s="37">
        <v>9.8942999999999994</v>
      </c>
      <c r="HH9" s="37">
        <v>9.8942999999999994</v>
      </c>
      <c r="HI9" s="37">
        <v>9.8942999999999994</v>
      </c>
      <c r="HJ9" s="37">
        <v>9.8942999999999994</v>
      </c>
      <c r="HK9" s="37">
        <v>9.8942999999999994</v>
      </c>
      <c r="HL9" s="37">
        <v>9.8942999999999994</v>
      </c>
      <c r="HM9" s="37">
        <v>9.8942999999999994</v>
      </c>
      <c r="HN9" s="37">
        <v>9.8942999999999994</v>
      </c>
      <c r="HO9" s="37">
        <v>9.8942999999999994</v>
      </c>
      <c r="HP9" s="37">
        <v>9.8942999999999994</v>
      </c>
      <c r="HQ9" s="37">
        <v>9.8942999999999994</v>
      </c>
      <c r="HR9" s="37">
        <v>9.8942999999999994</v>
      </c>
      <c r="HS9" s="37">
        <v>9.8942999999999994</v>
      </c>
      <c r="HT9" s="37">
        <v>9.8942999999999994</v>
      </c>
      <c r="HU9" s="37">
        <v>9.8942999999999994</v>
      </c>
      <c r="HV9" s="37">
        <v>9.8942999999999994</v>
      </c>
      <c r="HW9" s="37">
        <v>9.8942999999999994</v>
      </c>
      <c r="HX9" s="37">
        <v>9.8942999999999994</v>
      </c>
      <c r="HY9" s="37">
        <v>9.8942999999999994</v>
      </c>
      <c r="HZ9" s="37">
        <v>9.8942999999999994</v>
      </c>
      <c r="IA9" s="37">
        <v>9.8942999999999994</v>
      </c>
      <c r="IB9" s="37">
        <v>9.8942999999999994</v>
      </c>
      <c r="IC9" s="37">
        <v>9.8942999999999994</v>
      </c>
      <c r="ID9" s="37">
        <v>9.8942999999999994</v>
      </c>
      <c r="IE9" s="37">
        <v>9.8942999999999994</v>
      </c>
      <c r="IF9" s="37">
        <v>9.8942999999999994</v>
      </c>
      <c r="IG9" s="37">
        <v>9.8942999999999994</v>
      </c>
      <c r="IH9" s="37">
        <v>9.8942999999999994</v>
      </c>
      <c r="II9" s="37">
        <v>9.8942999999999994</v>
      </c>
      <c r="IJ9" s="37">
        <v>9.8942999999999994</v>
      </c>
      <c r="IK9" s="37">
        <v>9.8942999999999994</v>
      </c>
      <c r="IL9" s="37">
        <v>9.8942999999999994</v>
      </c>
      <c r="IM9" s="37">
        <v>9.8942999999999994</v>
      </c>
      <c r="IN9" s="37">
        <v>9.8942999999999994</v>
      </c>
      <c r="IO9" s="37">
        <v>9.8942999999999994</v>
      </c>
      <c r="IP9" s="37">
        <v>9.8942999999999994</v>
      </c>
      <c r="IQ9" s="37">
        <v>9.8942999999999994</v>
      </c>
      <c r="IR9" s="37">
        <v>9.8942999999999994</v>
      </c>
      <c r="IS9" s="37">
        <v>9.8942999999999994</v>
      </c>
      <c r="IT9" s="37">
        <v>9.8942999999999994</v>
      </c>
      <c r="IU9" s="37">
        <v>9.8942999999999994</v>
      </c>
      <c r="IV9" s="37">
        <v>9.8942999999999994</v>
      </c>
      <c r="IW9" s="37">
        <v>9.8942999999999994</v>
      </c>
      <c r="IX9" s="37">
        <v>9.8942999999999994</v>
      </c>
      <c r="IY9" s="37">
        <v>9.8942999999999994</v>
      </c>
      <c r="IZ9" s="37">
        <v>9.8942999999999994</v>
      </c>
      <c r="JA9" s="37">
        <v>9.8942999999999994</v>
      </c>
      <c r="JB9" s="37">
        <v>9.8942999999999994</v>
      </c>
      <c r="JC9" s="37">
        <v>9.8942999999999994</v>
      </c>
      <c r="JD9" s="37">
        <v>9.8942999999999994</v>
      </c>
      <c r="JE9" s="37">
        <v>9.8942999999999994</v>
      </c>
      <c r="JF9" s="37">
        <v>9.8942999999999994</v>
      </c>
      <c r="JG9" s="37">
        <v>9.8942999999999994</v>
      </c>
      <c r="JH9" s="37">
        <v>9.8942999999999994</v>
      </c>
      <c r="JI9" s="37">
        <v>9.8942999999999994</v>
      </c>
      <c r="JJ9" s="37">
        <v>9.8942999999999994</v>
      </c>
      <c r="JK9" s="37">
        <v>9.8942999999999994</v>
      </c>
      <c r="JL9" s="37">
        <v>9.8942999999999994</v>
      </c>
      <c r="JM9" s="37">
        <v>9.8942999999999994</v>
      </c>
      <c r="JN9" s="37">
        <v>9.8942999999999994</v>
      </c>
      <c r="JO9" s="37">
        <v>9.8942999999999994</v>
      </c>
      <c r="JP9" s="37">
        <v>9.8942999999999994</v>
      </c>
      <c r="JQ9" s="37">
        <v>9.8942999999999994</v>
      </c>
      <c r="JR9" s="37">
        <v>9.8942999999999994</v>
      </c>
      <c r="JS9" s="37">
        <v>9.8942999999999994</v>
      </c>
      <c r="JT9" s="37">
        <v>9.8942999999999994</v>
      </c>
      <c r="JU9" s="37">
        <v>9.8942999999999994</v>
      </c>
      <c r="JV9" s="37">
        <v>9.8942999999999994</v>
      </c>
      <c r="JW9" s="37">
        <v>9.8942999999999994</v>
      </c>
      <c r="JX9" s="37">
        <v>9.8942999999999994</v>
      </c>
      <c r="JY9" s="37">
        <v>9.8942999999999994</v>
      </c>
      <c r="JZ9" s="37">
        <v>9.8942999999999994</v>
      </c>
      <c r="KA9" s="37">
        <v>9.8942999999999994</v>
      </c>
      <c r="KB9" s="37">
        <v>9.8942999999999994</v>
      </c>
      <c r="KC9" s="37">
        <v>9.8942999999999994</v>
      </c>
      <c r="KD9" s="37">
        <v>9.8942999999999994</v>
      </c>
      <c r="KE9" s="37">
        <v>9.8942999999999994</v>
      </c>
      <c r="KF9" s="37">
        <v>9.8942999999999994</v>
      </c>
      <c r="KG9" s="37">
        <v>9.8942999999999994</v>
      </c>
      <c r="KH9" s="37">
        <v>9.8942999999999994</v>
      </c>
      <c r="KI9" s="37">
        <v>9.8942999999999994</v>
      </c>
      <c r="KJ9" s="37">
        <v>9.8942999999999994</v>
      </c>
      <c r="KK9" s="37">
        <v>9.8942999999999994</v>
      </c>
      <c r="KL9" s="37">
        <v>9.8942999999999994</v>
      </c>
      <c r="KM9" s="37">
        <v>9.8942999999999994</v>
      </c>
      <c r="KN9" s="37">
        <v>9.8942999999999994</v>
      </c>
      <c r="KO9" s="37">
        <v>9.8942999999999994</v>
      </c>
      <c r="KP9" s="37">
        <v>9.8942999999999994</v>
      </c>
      <c r="KQ9" s="37">
        <v>9.8942999999999994</v>
      </c>
      <c r="KR9" s="37">
        <v>9.8942999999999994</v>
      </c>
      <c r="KS9" s="37">
        <v>9.8942999999999994</v>
      </c>
      <c r="KT9" s="37">
        <v>9.8942999999999994</v>
      </c>
      <c r="KU9" s="37">
        <v>9.8942999999999994</v>
      </c>
      <c r="KV9" s="37">
        <v>9.8942999999999994</v>
      </c>
      <c r="KW9" s="37">
        <v>9.8942999999999994</v>
      </c>
      <c r="KX9" s="37">
        <v>9.8942999999999994</v>
      </c>
      <c r="KY9" s="37">
        <v>9.8942999999999994</v>
      </c>
      <c r="KZ9" s="37">
        <v>9.8942999999999994</v>
      </c>
      <c r="LA9" s="37">
        <v>9.8942999999999994</v>
      </c>
      <c r="LB9" s="37">
        <v>9.8942999999999994</v>
      </c>
      <c r="LC9" s="37">
        <v>9.8942999999999994</v>
      </c>
      <c r="LD9" s="37">
        <v>9.8942999999999994</v>
      </c>
      <c r="LE9" s="37">
        <v>9.8942999999999994</v>
      </c>
      <c r="LF9" s="37">
        <v>9.8942999999999994</v>
      </c>
      <c r="LG9" s="37">
        <v>9.8942999999999994</v>
      </c>
      <c r="LH9" s="37">
        <v>9.8942999999999994</v>
      </c>
      <c r="LI9" s="37">
        <v>9.8942999999999994</v>
      </c>
      <c r="LJ9" s="37">
        <v>9.8942999999999994</v>
      </c>
      <c r="LK9" s="37">
        <v>9.8942999999999994</v>
      </c>
      <c r="LL9" s="37">
        <v>9.8942999999999994</v>
      </c>
      <c r="LM9" s="37">
        <v>9.8942999999999994</v>
      </c>
      <c r="LN9" s="37">
        <v>9.8942999999999994</v>
      </c>
      <c r="LO9" s="37">
        <v>9.8942999999999994</v>
      </c>
      <c r="LP9" s="37">
        <v>9.8942999999999994</v>
      </c>
      <c r="LQ9" s="37">
        <v>9.8942999999999994</v>
      </c>
      <c r="LR9" s="37">
        <v>9.8942999999999994</v>
      </c>
      <c r="LS9" s="37">
        <v>9.8942999999999994</v>
      </c>
      <c r="LT9" s="37">
        <v>9.8942999999999994</v>
      </c>
      <c r="LU9" s="37">
        <v>9.8942999999999994</v>
      </c>
      <c r="LV9" s="37">
        <v>9.8942999999999994</v>
      </c>
      <c r="LW9" s="37">
        <v>9.8942999999999994</v>
      </c>
      <c r="LX9" s="37">
        <v>9.8942999999999994</v>
      </c>
      <c r="LY9" s="37">
        <v>9.8942999999999994</v>
      </c>
      <c r="LZ9" s="37">
        <v>9.8942999999999994</v>
      </c>
      <c r="MA9" s="37">
        <v>9.8942999999999994</v>
      </c>
      <c r="MB9" s="37">
        <v>9.8942999999999994</v>
      </c>
      <c r="MC9" s="37">
        <v>9.8942999999999994</v>
      </c>
      <c r="MD9" s="37">
        <v>9.8942999999999994</v>
      </c>
      <c r="ME9" s="37">
        <v>9.8942999999999994</v>
      </c>
      <c r="MF9" s="37">
        <v>9.8942999999999994</v>
      </c>
      <c r="MG9" s="37">
        <v>9.8942999999999994</v>
      </c>
      <c r="MH9" s="37">
        <v>9.8942999999999994</v>
      </c>
      <c r="MI9" s="37">
        <v>9.8942999999999994</v>
      </c>
      <c r="MJ9" s="37">
        <v>9.8942999999999994</v>
      </c>
      <c r="MK9" s="37">
        <v>9.8942999999999994</v>
      </c>
      <c r="ML9" s="37">
        <v>9.8942999999999994</v>
      </c>
      <c r="MM9" s="37">
        <v>9.8942999999999994</v>
      </c>
      <c r="MN9" s="37">
        <v>9.8942999999999994</v>
      </c>
      <c r="MO9" s="37">
        <v>9.8942999999999994</v>
      </c>
      <c r="MP9" s="37">
        <v>9.8942999999999994</v>
      </c>
      <c r="MQ9" s="37">
        <v>9.8942999999999994</v>
      </c>
      <c r="MR9" s="37">
        <v>9.8942999999999994</v>
      </c>
      <c r="MS9" s="37">
        <v>9.8942999999999994</v>
      </c>
      <c r="MT9" s="37">
        <v>9.8942999999999994</v>
      </c>
      <c r="MU9" s="37">
        <v>9.8942999999999994</v>
      </c>
      <c r="MV9" s="37">
        <v>9.8942999999999994</v>
      </c>
      <c r="MW9" s="37">
        <v>9.8942999999999994</v>
      </c>
      <c r="MX9" s="37">
        <v>9.8942999999999994</v>
      </c>
      <c r="MY9" s="37">
        <v>9.8942999999999994</v>
      </c>
      <c r="MZ9" s="37">
        <v>9.8942999999999994</v>
      </c>
      <c r="NA9" s="37">
        <v>9.8942999999999994</v>
      </c>
      <c r="NB9" s="37">
        <v>9.8942999999999994</v>
      </c>
      <c r="NC9" s="37">
        <v>9.8942999999999994</v>
      </c>
      <c r="ND9" s="37">
        <v>9.8942999999999994</v>
      </c>
      <c r="NE9" s="37">
        <v>9.8942999999999994</v>
      </c>
      <c r="NF9" s="37">
        <v>9.8942999999999994</v>
      </c>
      <c r="NG9" s="37">
        <v>9.8942999999999994</v>
      </c>
      <c r="NH9" s="37">
        <v>9.8942999999999994</v>
      </c>
      <c r="NI9" s="37">
        <v>9.8942999999999994</v>
      </c>
      <c r="NJ9" s="37">
        <v>9.8942999999999994</v>
      </c>
      <c r="NK9" s="37">
        <v>9.8942999999999994</v>
      </c>
      <c r="NL9" s="37">
        <v>9.8942999999999994</v>
      </c>
      <c r="NM9" s="37">
        <v>9.8942999999999994</v>
      </c>
      <c r="NN9" s="37">
        <v>9.8942999999999994</v>
      </c>
      <c r="NO9" s="37">
        <v>9.8942999999999994</v>
      </c>
      <c r="NP9" s="37">
        <v>9.8942999999999994</v>
      </c>
      <c r="NQ9" s="37">
        <v>9.8942999999999994</v>
      </c>
      <c r="NR9" s="37">
        <v>9.8942999999999994</v>
      </c>
      <c r="NS9" s="37">
        <v>9.8942999999999994</v>
      </c>
      <c r="NT9" s="37">
        <v>9.8942999999999994</v>
      </c>
      <c r="NU9" s="37">
        <v>9.8942999999999994</v>
      </c>
      <c r="NV9" s="37">
        <v>9.8942999999999994</v>
      </c>
      <c r="NW9" s="37">
        <v>9.8942999999999994</v>
      </c>
      <c r="NX9" s="37">
        <v>9.8942999999999994</v>
      </c>
      <c r="NY9" s="37">
        <v>9.8942999999999994</v>
      </c>
      <c r="NZ9" s="37">
        <v>9.8942999999999994</v>
      </c>
      <c r="OA9" s="37">
        <v>9.8942999999999994</v>
      </c>
      <c r="OB9" s="37">
        <v>9.8942999999999994</v>
      </c>
      <c r="OC9" s="37">
        <v>9.8942999999999994</v>
      </c>
      <c r="OD9" s="37">
        <v>9.8942999999999994</v>
      </c>
      <c r="OE9" s="37">
        <v>9.8942999999999994</v>
      </c>
      <c r="OF9" s="37">
        <v>9.8942999999999994</v>
      </c>
      <c r="OG9" s="37">
        <v>9.8942999999999994</v>
      </c>
      <c r="OH9" s="37">
        <v>9.8942999999999994</v>
      </c>
      <c r="OI9" s="37">
        <v>9.8942999999999994</v>
      </c>
      <c r="OJ9" s="37">
        <v>9.8942999999999994</v>
      </c>
      <c r="OK9" s="37">
        <v>9.8942999999999994</v>
      </c>
      <c r="OL9" s="37">
        <v>9.8942999999999994</v>
      </c>
      <c r="OM9" s="37">
        <v>9.8942999999999994</v>
      </c>
      <c r="ON9" s="37">
        <v>9.8942999999999994</v>
      </c>
      <c r="OO9" s="37">
        <v>9.8942999999999994</v>
      </c>
      <c r="OP9" s="37">
        <v>9.8942999999999994</v>
      </c>
      <c r="OQ9" s="37">
        <v>9.8942999999999994</v>
      </c>
      <c r="OR9" s="37">
        <v>9.8942999999999994</v>
      </c>
      <c r="OS9" s="37">
        <v>9.8942999999999994</v>
      </c>
      <c r="OT9" s="37">
        <v>9.8942999999999994</v>
      </c>
      <c r="OU9" s="37">
        <v>9.8942999999999994</v>
      </c>
      <c r="OV9" s="37">
        <v>9.8942999999999994</v>
      </c>
      <c r="OW9" s="37">
        <v>9.8942999999999994</v>
      </c>
      <c r="OX9" s="37">
        <v>9.8942999999999994</v>
      </c>
      <c r="OY9" s="37">
        <v>9.8942999999999994</v>
      </c>
      <c r="OZ9" s="37">
        <v>9.8942999999999994</v>
      </c>
      <c r="PA9" s="37">
        <v>9.8942999999999994</v>
      </c>
      <c r="PB9" s="37">
        <v>9.8942999999999994</v>
      </c>
      <c r="PC9" s="37">
        <v>9.8942999999999994</v>
      </c>
      <c r="PD9" s="37">
        <v>9.8942999999999994</v>
      </c>
      <c r="PE9" s="37">
        <v>9.8942999999999994</v>
      </c>
      <c r="PF9" s="37">
        <v>9.8942999999999994</v>
      </c>
      <c r="PG9" s="37">
        <v>9.8942999999999994</v>
      </c>
      <c r="PH9" s="37">
        <v>9.8942999999999994</v>
      </c>
      <c r="PI9" s="37">
        <v>9.8942999999999994</v>
      </c>
      <c r="PJ9" s="37">
        <v>9.8942999999999994</v>
      </c>
      <c r="PK9" s="37">
        <v>9.8942999999999994</v>
      </c>
      <c r="PL9" s="37">
        <v>9.8942999999999994</v>
      </c>
      <c r="PM9" s="37">
        <v>9.8942999999999994</v>
      </c>
      <c r="PN9" s="37">
        <v>9.8942999999999994</v>
      </c>
      <c r="PO9" s="37">
        <v>9.8942999999999994</v>
      </c>
      <c r="PP9" s="37">
        <v>9.8942999999999994</v>
      </c>
      <c r="PQ9" s="37">
        <v>9.8942999999999994</v>
      </c>
      <c r="PR9" s="37">
        <v>9.8942999999999994</v>
      </c>
      <c r="PS9" s="15">
        <v>9.8942999999999994</v>
      </c>
      <c r="PT9" s="15">
        <v>9.8942999999999994</v>
      </c>
      <c r="PU9" s="15">
        <v>9.8942999999999994</v>
      </c>
      <c r="PV9" s="15">
        <v>9.8942999999999994</v>
      </c>
      <c r="PW9" s="15">
        <v>9.8942999999999994</v>
      </c>
      <c r="PX9" s="15">
        <v>9.8942999999999994</v>
      </c>
      <c r="PY9" s="15">
        <v>9.8942999999999994</v>
      </c>
      <c r="PZ9" s="15">
        <v>9.8942999999999994</v>
      </c>
      <c r="QA9" s="15">
        <v>9.8942999999999994</v>
      </c>
      <c r="QB9" s="15">
        <v>9.8942999999999994</v>
      </c>
      <c r="QC9" s="15">
        <v>9.8942999999999994</v>
      </c>
      <c r="QD9" s="15">
        <v>9.8942999999999994</v>
      </c>
      <c r="QE9" s="15">
        <v>9.8942999999999994</v>
      </c>
      <c r="QF9" s="15">
        <v>9.8942999999999994</v>
      </c>
      <c r="QG9" s="15">
        <v>9.8942999999999994</v>
      </c>
      <c r="QH9" s="15">
        <v>9.8942999999999994</v>
      </c>
      <c r="QI9" s="15">
        <v>9.8942999999999994</v>
      </c>
      <c r="QJ9" s="15">
        <v>9.8942999999999994</v>
      </c>
      <c r="QK9" s="15">
        <v>9.8942999999999994</v>
      </c>
      <c r="QL9" s="15">
        <v>9.8942999999999994</v>
      </c>
      <c r="QM9" s="15">
        <v>9.8942999999999994</v>
      </c>
      <c r="QN9" s="15">
        <v>9.8942999999999994</v>
      </c>
      <c r="QO9" s="15">
        <v>9.8942999999999994</v>
      </c>
      <c r="QP9" s="15">
        <v>9.8942999999999994</v>
      </c>
      <c r="QQ9" s="15">
        <v>9.8942999999999994</v>
      </c>
      <c r="QR9" s="15">
        <v>9.8942999999999994</v>
      </c>
      <c r="QS9" s="15">
        <v>9.8942999999999994</v>
      </c>
      <c r="QT9" s="15">
        <v>9.8942999999999994</v>
      </c>
      <c r="QU9" s="15">
        <v>9.8942999999999994</v>
      </c>
      <c r="QV9" s="15">
        <v>9.8942999999999994</v>
      </c>
      <c r="QW9" s="15">
        <v>9.8942999999999994</v>
      </c>
      <c r="QX9" s="15">
        <v>9.8942999999999994</v>
      </c>
      <c r="QY9" s="15">
        <v>9.8942999999999994</v>
      </c>
      <c r="QZ9" s="15">
        <v>9.8942999999999994</v>
      </c>
      <c r="RA9" s="15">
        <v>9.8942999999999994</v>
      </c>
      <c r="RB9" s="15">
        <v>9.8942999999999994</v>
      </c>
      <c r="RC9" s="15">
        <v>9.8942999999999994</v>
      </c>
      <c r="RD9" s="15">
        <v>9.8942999999999994</v>
      </c>
      <c r="RE9" s="15">
        <v>9.8942999999999994</v>
      </c>
      <c r="RF9" s="15">
        <v>9.8942999999999994</v>
      </c>
      <c r="RG9" s="15">
        <v>9.8942999999999994</v>
      </c>
      <c r="RH9" s="15">
        <v>9.8942999999999994</v>
      </c>
      <c r="RI9" s="15">
        <v>9.8942999999999994</v>
      </c>
      <c r="RJ9" s="15">
        <v>9.8942999999999994</v>
      </c>
      <c r="RK9" s="15">
        <v>9.8942999999999994</v>
      </c>
      <c r="RL9" s="15">
        <v>9.8942999999999994</v>
      </c>
      <c r="RM9" s="15">
        <v>9.8942999999999994</v>
      </c>
      <c r="RN9" s="15">
        <v>9.8942999999999994</v>
      </c>
      <c r="RO9" s="15">
        <v>9.8942999999999994</v>
      </c>
      <c r="RP9" s="15">
        <v>9.8942999999999994</v>
      </c>
      <c r="RQ9" s="15">
        <v>9.8942999999999994</v>
      </c>
      <c r="RR9" s="15">
        <v>9.8942999999999994</v>
      </c>
      <c r="RS9" s="15">
        <v>9.8942999999999994</v>
      </c>
      <c r="RT9" s="15">
        <v>9.8942999999999994</v>
      </c>
      <c r="RU9" s="15">
        <v>9.8942999999999994</v>
      </c>
      <c r="RV9" s="15">
        <v>9.8942999999999994</v>
      </c>
      <c r="RW9" s="15">
        <v>9.8942999999999994</v>
      </c>
      <c r="RX9" s="15">
        <v>9.8942999999999994</v>
      </c>
      <c r="RY9" s="15">
        <v>9.8942999999999994</v>
      </c>
      <c r="RZ9" s="15">
        <v>9.8942999999999994</v>
      </c>
      <c r="SA9" s="15">
        <v>9.8942999999999994</v>
      </c>
      <c r="SB9" s="15">
        <v>9.8942999999999994</v>
      </c>
      <c r="SC9" s="15">
        <v>9.8942999999999994</v>
      </c>
      <c r="SD9" s="15">
        <v>9.8942999999999994</v>
      </c>
      <c r="SE9" s="15">
        <v>9.8942999999999994</v>
      </c>
      <c r="SF9" s="15">
        <v>9.8942999999999994</v>
      </c>
      <c r="SG9" s="15">
        <v>9.8942999999999994</v>
      </c>
      <c r="SH9" s="15">
        <v>9.8942999999999994</v>
      </c>
      <c r="SI9" s="15">
        <v>9.8942999999999994</v>
      </c>
      <c r="SJ9" s="15">
        <v>9.8942999999999994</v>
      </c>
      <c r="SK9" s="15">
        <v>9.8942999999999994</v>
      </c>
      <c r="SL9" s="15">
        <v>8.3756400000000006</v>
      </c>
      <c r="SM9" s="15" t="s">
        <v>668</v>
      </c>
      <c r="SN9" s="15" t="s">
        <v>668</v>
      </c>
      <c r="SO9" s="15" t="s">
        <v>668</v>
      </c>
    </row>
    <row r="10" spans="1:786" x14ac:dyDescent="0.2">
      <c r="A10" s="37">
        <v>8</v>
      </c>
      <c r="B10" s="48" t="s">
        <v>507</v>
      </c>
      <c r="C10" s="17">
        <f>+'Detalle Compras'!D10</f>
        <v>202504290149</v>
      </c>
      <c r="D10" s="55">
        <f t="shared" si="13"/>
        <v>10.58755</v>
      </c>
      <c r="E10" s="14">
        <f>+IF(B10="","",'Detalle Compras'!S10+0)</f>
        <v>45910</v>
      </c>
      <c r="F10" s="14">
        <f>+IF(B10="","",EOMONTH('Detalle Compras'!S10,G10)+10)</f>
        <v>60520</v>
      </c>
      <c r="G10" s="50">
        <f t="shared" si="14"/>
        <v>479</v>
      </c>
      <c r="H10" s="50">
        <f t="shared" si="15"/>
        <v>475</v>
      </c>
      <c r="AB10" s="37">
        <v>10.58755</v>
      </c>
      <c r="AC10" s="37">
        <v>10.58755</v>
      </c>
      <c r="AD10" s="37">
        <v>10.58755</v>
      </c>
      <c r="AE10" s="37">
        <v>10.58755</v>
      </c>
      <c r="AF10" s="37">
        <v>10.58755</v>
      </c>
      <c r="AG10" s="37">
        <v>10.58755</v>
      </c>
      <c r="AH10" s="37">
        <v>10.58755</v>
      </c>
      <c r="AI10" s="37">
        <v>10.58755</v>
      </c>
      <c r="AJ10" s="37">
        <v>10.58755</v>
      </c>
      <c r="AK10" s="37">
        <v>10.58755</v>
      </c>
      <c r="AL10" s="37">
        <v>10.58755</v>
      </c>
      <c r="AM10" s="37">
        <v>10.58755</v>
      </c>
      <c r="AN10" s="37">
        <v>10.58755</v>
      </c>
      <c r="AO10" s="37">
        <v>10.58755</v>
      </c>
      <c r="AP10" s="37">
        <v>10.58755</v>
      </c>
      <c r="AQ10" s="37">
        <v>10.58755</v>
      </c>
      <c r="AR10" s="37">
        <v>10.58755</v>
      </c>
      <c r="AS10" s="37">
        <v>10.58755</v>
      </c>
      <c r="AT10" s="37">
        <v>10.58755</v>
      </c>
      <c r="AU10" s="37">
        <v>10.58755</v>
      </c>
      <c r="AV10" s="37">
        <v>10.58755</v>
      </c>
      <c r="AW10" s="37">
        <v>10.58755</v>
      </c>
      <c r="AX10" s="37">
        <v>10.58755</v>
      </c>
      <c r="AY10" s="37">
        <v>10.58755</v>
      </c>
      <c r="AZ10" s="37">
        <v>10.58755</v>
      </c>
      <c r="BA10" s="37">
        <v>10.58755</v>
      </c>
      <c r="BB10" s="37">
        <v>10.58755</v>
      </c>
      <c r="BC10" s="37">
        <v>10.58755</v>
      </c>
      <c r="BD10" s="37">
        <v>10.58755</v>
      </c>
      <c r="BE10" s="37">
        <v>10.58755</v>
      </c>
      <c r="BF10" s="37">
        <v>10.58755</v>
      </c>
      <c r="BG10" s="37">
        <v>10.58755</v>
      </c>
      <c r="BH10" s="37">
        <v>10.58755</v>
      </c>
      <c r="BI10" s="37">
        <v>10.58755</v>
      </c>
      <c r="BJ10" s="37">
        <v>10.58755</v>
      </c>
      <c r="BK10" s="37">
        <v>10.58755</v>
      </c>
      <c r="BL10" s="37">
        <v>10.58755</v>
      </c>
      <c r="BM10" s="37">
        <v>10.58755</v>
      </c>
      <c r="BN10" s="37">
        <v>10.58755</v>
      </c>
      <c r="BO10" s="37">
        <v>10.58755</v>
      </c>
      <c r="BP10" s="37">
        <v>10.58755</v>
      </c>
      <c r="BQ10" s="37">
        <v>10.58755</v>
      </c>
      <c r="BR10" s="37">
        <v>10.58755</v>
      </c>
      <c r="BS10" s="37">
        <v>10.58755</v>
      </c>
      <c r="BT10" s="37">
        <v>10.58755</v>
      </c>
      <c r="BU10" s="37">
        <v>10.58755</v>
      </c>
      <c r="BV10" s="37">
        <v>10.58755</v>
      </c>
      <c r="BW10" s="37">
        <v>10.58755</v>
      </c>
      <c r="BX10" s="37">
        <v>10.58755</v>
      </c>
      <c r="BY10" s="37">
        <v>10.58755</v>
      </c>
      <c r="BZ10" s="37">
        <v>10.58755</v>
      </c>
      <c r="CA10" s="37">
        <v>10.58755</v>
      </c>
      <c r="CB10" s="37">
        <v>10.58755</v>
      </c>
      <c r="CC10" s="37">
        <v>10.58755</v>
      </c>
      <c r="CD10" s="37">
        <v>10.58755</v>
      </c>
      <c r="CE10" s="37">
        <v>10.58755</v>
      </c>
      <c r="CF10" s="37">
        <v>10.58755</v>
      </c>
      <c r="CG10" s="37">
        <v>10.58755</v>
      </c>
      <c r="CH10" s="37">
        <v>10.58755</v>
      </c>
      <c r="CI10" s="37">
        <v>10.58755</v>
      </c>
      <c r="CJ10" s="37">
        <v>10.58755</v>
      </c>
      <c r="CK10" s="37">
        <v>10.58755</v>
      </c>
      <c r="CL10" s="37">
        <v>10.58755</v>
      </c>
      <c r="CM10" s="37">
        <v>10.58755</v>
      </c>
      <c r="CN10" s="37">
        <v>10.58755</v>
      </c>
      <c r="CO10" s="37">
        <v>10.58755</v>
      </c>
      <c r="CP10" s="37">
        <v>10.58755</v>
      </c>
      <c r="CQ10" s="37">
        <v>10.58755</v>
      </c>
      <c r="CR10" s="37">
        <v>10.58755</v>
      </c>
      <c r="CS10" s="37">
        <v>10.58755</v>
      </c>
      <c r="CT10" s="37">
        <v>10.58755</v>
      </c>
      <c r="CU10" s="37">
        <v>10.58755</v>
      </c>
      <c r="CV10" s="37">
        <v>10.58755</v>
      </c>
      <c r="CW10" s="37">
        <v>10.58755</v>
      </c>
      <c r="CX10" s="37">
        <v>10.58755</v>
      </c>
      <c r="CY10" s="37">
        <v>10.58755</v>
      </c>
      <c r="CZ10" s="37">
        <v>10.58755</v>
      </c>
      <c r="DA10" s="37">
        <v>10.58755</v>
      </c>
      <c r="DB10" s="37">
        <v>10.58755</v>
      </c>
      <c r="DC10" s="37">
        <v>10.58755</v>
      </c>
      <c r="DD10" s="37">
        <v>10.58755</v>
      </c>
      <c r="DE10" s="37">
        <v>10.58755</v>
      </c>
      <c r="DF10" s="37">
        <v>10.58755</v>
      </c>
      <c r="DG10" s="37">
        <v>10.58755</v>
      </c>
      <c r="DH10" s="37">
        <v>10.58755</v>
      </c>
      <c r="DI10" s="37">
        <v>10.58755</v>
      </c>
      <c r="DJ10" s="37">
        <v>10.58755</v>
      </c>
      <c r="DK10" s="37">
        <v>10.58755</v>
      </c>
      <c r="DL10" s="37">
        <v>10.58755</v>
      </c>
      <c r="DM10" s="37">
        <v>10.58755</v>
      </c>
      <c r="DN10" s="37">
        <v>10.58755</v>
      </c>
      <c r="DO10" s="37">
        <v>10.58755</v>
      </c>
      <c r="DP10" s="37">
        <v>10.58755</v>
      </c>
      <c r="DQ10" s="37">
        <v>10.58755</v>
      </c>
      <c r="DR10" s="37">
        <v>10.58755</v>
      </c>
      <c r="DS10" s="37">
        <v>10.58755</v>
      </c>
      <c r="DT10" s="37">
        <v>10.58755</v>
      </c>
      <c r="DU10" s="37">
        <v>10.58755</v>
      </c>
      <c r="DV10" s="37">
        <v>10.58755</v>
      </c>
      <c r="DW10" s="37">
        <v>10.58755</v>
      </c>
      <c r="DX10" s="37">
        <v>10.58755</v>
      </c>
      <c r="DY10" s="37">
        <v>10.58755</v>
      </c>
      <c r="DZ10" s="37">
        <v>10.58755</v>
      </c>
      <c r="EA10" s="37">
        <v>10.58755</v>
      </c>
      <c r="EB10" s="37">
        <v>10.58755</v>
      </c>
      <c r="EC10" s="37">
        <v>10.58755</v>
      </c>
      <c r="ED10" s="37">
        <v>10.58755</v>
      </c>
      <c r="EE10" s="37">
        <v>10.58755</v>
      </c>
      <c r="EF10" s="37">
        <v>10.58755</v>
      </c>
      <c r="EG10" s="37">
        <v>10.58755</v>
      </c>
      <c r="EH10" s="37">
        <v>10.58755</v>
      </c>
      <c r="EI10" s="37">
        <v>10.58755</v>
      </c>
      <c r="EJ10" s="37">
        <v>10.58755</v>
      </c>
      <c r="EK10" s="37">
        <v>10.58755</v>
      </c>
      <c r="EL10" s="37">
        <v>10.58755</v>
      </c>
      <c r="EM10" s="37">
        <v>10.58755</v>
      </c>
      <c r="EN10" s="37">
        <v>10.58755</v>
      </c>
      <c r="EO10" s="37">
        <v>10.58755</v>
      </c>
      <c r="EP10" s="37">
        <v>10.58755</v>
      </c>
      <c r="EQ10" s="37">
        <v>10.58755</v>
      </c>
      <c r="ER10" s="37">
        <v>10.58755</v>
      </c>
      <c r="ES10" s="37">
        <v>10.58755</v>
      </c>
      <c r="ET10" s="37">
        <v>10.58755</v>
      </c>
      <c r="EU10" s="37">
        <v>10.58755</v>
      </c>
      <c r="EV10" s="37">
        <v>10.58755</v>
      </c>
      <c r="EW10" s="37">
        <v>10.58755</v>
      </c>
      <c r="EX10" s="37">
        <v>10.58755</v>
      </c>
      <c r="EY10" s="37">
        <v>10.58755</v>
      </c>
      <c r="EZ10" s="37">
        <v>10.58755</v>
      </c>
      <c r="FA10" s="37">
        <v>10.58755</v>
      </c>
      <c r="FB10" s="37">
        <v>10.58755</v>
      </c>
      <c r="FC10" s="37">
        <v>10.58755</v>
      </c>
      <c r="FD10" s="37">
        <v>10.58755</v>
      </c>
      <c r="FE10" s="37">
        <v>10.58755</v>
      </c>
      <c r="FF10" s="37">
        <v>10.58755</v>
      </c>
      <c r="FG10" s="37">
        <v>10.58755</v>
      </c>
      <c r="FH10" s="37">
        <v>10.58755</v>
      </c>
      <c r="FI10" s="37">
        <v>10.58755</v>
      </c>
      <c r="FJ10" s="37">
        <v>10.58755</v>
      </c>
      <c r="FK10" s="37">
        <v>10.58755</v>
      </c>
      <c r="FL10" s="37">
        <v>10.58755</v>
      </c>
      <c r="FM10" s="37">
        <v>10.58755</v>
      </c>
      <c r="FN10" s="37">
        <v>10.58755</v>
      </c>
      <c r="FO10" s="37">
        <v>10.58755</v>
      </c>
      <c r="FP10" s="37">
        <v>10.58755</v>
      </c>
      <c r="FQ10" s="37">
        <v>10.58755</v>
      </c>
      <c r="FR10" s="37">
        <v>10.58755</v>
      </c>
      <c r="FS10" s="37">
        <v>10.58755</v>
      </c>
      <c r="FT10" s="37">
        <v>10.58755</v>
      </c>
      <c r="FU10" s="37">
        <v>10.58755</v>
      </c>
      <c r="FV10" s="37">
        <v>10.58755</v>
      </c>
      <c r="FW10" s="37">
        <v>10.58755</v>
      </c>
      <c r="FX10" s="37">
        <v>10.58755</v>
      </c>
      <c r="FY10" s="37">
        <v>10.58755</v>
      </c>
      <c r="FZ10" s="37">
        <v>10.58755</v>
      </c>
      <c r="GA10" s="37">
        <v>10.58755</v>
      </c>
      <c r="GB10" s="37">
        <v>10.58755</v>
      </c>
      <c r="GC10" s="37">
        <v>10.58755</v>
      </c>
      <c r="GD10" s="37">
        <v>10.58755</v>
      </c>
      <c r="GE10" s="37">
        <v>10.58755</v>
      </c>
      <c r="GF10" s="37">
        <v>10.58755</v>
      </c>
      <c r="GG10" s="37">
        <v>10.58755</v>
      </c>
      <c r="GH10" s="37">
        <v>10.58755</v>
      </c>
      <c r="GI10" s="37">
        <v>10.58755</v>
      </c>
      <c r="GJ10" s="37">
        <v>10.58755</v>
      </c>
      <c r="GK10" s="37">
        <v>10.58755</v>
      </c>
      <c r="GL10" s="37">
        <v>10.58755</v>
      </c>
      <c r="GM10" s="37">
        <v>10.58755</v>
      </c>
      <c r="GN10" s="37">
        <v>10.58755</v>
      </c>
      <c r="GO10" s="37">
        <v>10.58755</v>
      </c>
      <c r="GP10" s="37">
        <v>10.58755</v>
      </c>
      <c r="GQ10" s="37">
        <v>10.58755</v>
      </c>
      <c r="GR10" s="37">
        <v>10.58755</v>
      </c>
      <c r="GS10" s="37">
        <v>10.58755</v>
      </c>
      <c r="GT10" s="37">
        <v>10.58755</v>
      </c>
      <c r="GU10" s="37">
        <v>10.58755</v>
      </c>
      <c r="GV10" s="37">
        <v>10.58755</v>
      </c>
      <c r="GW10" s="37">
        <v>10.58755</v>
      </c>
      <c r="GX10" s="37">
        <v>10.58755</v>
      </c>
      <c r="GY10" s="37">
        <v>10.58755</v>
      </c>
      <c r="GZ10" s="37">
        <v>10.58755</v>
      </c>
      <c r="HA10" s="37">
        <v>10.58755</v>
      </c>
      <c r="HB10" s="37">
        <v>10.58755</v>
      </c>
      <c r="HC10" s="37">
        <v>10.58755</v>
      </c>
      <c r="HD10" s="37">
        <v>10.58755</v>
      </c>
      <c r="HE10" s="37">
        <v>10.58755</v>
      </c>
      <c r="HF10" s="37">
        <v>10.58755</v>
      </c>
      <c r="HG10" s="37">
        <v>10.58755</v>
      </c>
      <c r="HH10" s="37">
        <v>10.58755</v>
      </c>
      <c r="HI10" s="37">
        <v>10.58755</v>
      </c>
      <c r="HJ10" s="37">
        <v>10.58755</v>
      </c>
      <c r="HK10" s="37">
        <v>10.58755</v>
      </c>
      <c r="HL10" s="37">
        <v>10.58755</v>
      </c>
      <c r="HM10" s="37">
        <v>10.58755</v>
      </c>
      <c r="HN10" s="37">
        <v>10.58755</v>
      </c>
      <c r="HO10" s="37">
        <v>10.58755</v>
      </c>
      <c r="HP10" s="37">
        <v>10.58755</v>
      </c>
      <c r="HQ10" s="37">
        <v>10.58755</v>
      </c>
      <c r="HR10" s="37">
        <v>10.58755</v>
      </c>
      <c r="HS10" s="37">
        <v>10.58755</v>
      </c>
      <c r="HT10" s="37">
        <v>10.58755</v>
      </c>
      <c r="HU10" s="37">
        <v>10.58755</v>
      </c>
      <c r="HV10" s="37">
        <v>10.58755</v>
      </c>
      <c r="HW10" s="37">
        <v>10.58755</v>
      </c>
      <c r="HX10" s="37">
        <v>10.58755</v>
      </c>
      <c r="HY10" s="37">
        <v>10.58755</v>
      </c>
      <c r="HZ10" s="37">
        <v>10.58755</v>
      </c>
      <c r="IA10" s="37">
        <v>10.58755</v>
      </c>
      <c r="IB10" s="37">
        <v>10.58755</v>
      </c>
      <c r="IC10" s="37">
        <v>10.58755</v>
      </c>
      <c r="ID10" s="37">
        <v>10.58755</v>
      </c>
      <c r="IE10" s="37">
        <v>10.58755</v>
      </c>
      <c r="IF10" s="37">
        <v>10.58755</v>
      </c>
      <c r="IG10" s="37">
        <v>10.58755</v>
      </c>
      <c r="IH10" s="37">
        <v>10.58755</v>
      </c>
      <c r="II10" s="37">
        <v>10.58755</v>
      </c>
      <c r="IJ10" s="37">
        <v>10.58755</v>
      </c>
      <c r="IK10" s="37">
        <v>10.58755</v>
      </c>
      <c r="IL10" s="37">
        <v>10.58755</v>
      </c>
      <c r="IM10" s="37">
        <v>10.58755</v>
      </c>
      <c r="IN10" s="37">
        <v>10.58755</v>
      </c>
      <c r="IO10" s="37">
        <v>10.58755</v>
      </c>
      <c r="IP10" s="37">
        <v>10.58755</v>
      </c>
      <c r="IQ10" s="37">
        <v>10.58755</v>
      </c>
      <c r="IR10" s="37">
        <v>10.58755</v>
      </c>
      <c r="IS10" s="37">
        <v>10.58755</v>
      </c>
      <c r="IT10" s="37">
        <v>10.58755</v>
      </c>
      <c r="IU10" s="37">
        <v>10.58755</v>
      </c>
      <c r="IV10" s="37">
        <v>10.58755</v>
      </c>
      <c r="IW10" s="37">
        <v>10.58755</v>
      </c>
      <c r="IX10" s="37">
        <v>10.58755</v>
      </c>
      <c r="IY10" s="37">
        <v>10.58755</v>
      </c>
      <c r="IZ10" s="37">
        <v>10.58755</v>
      </c>
      <c r="JA10" s="37">
        <v>10.58755</v>
      </c>
      <c r="JB10" s="37">
        <v>10.58755</v>
      </c>
      <c r="JC10" s="37">
        <v>10.58755</v>
      </c>
      <c r="JD10" s="37">
        <v>10.58755</v>
      </c>
      <c r="JE10" s="37">
        <v>10.58755</v>
      </c>
      <c r="JF10" s="37">
        <v>10.58755</v>
      </c>
      <c r="JG10" s="37">
        <v>10.58755</v>
      </c>
      <c r="JH10" s="37">
        <v>10.58755</v>
      </c>
      <c r="JI10" s="37">
        <v>10.58755</v>
      </c>
      <c r="JJ10" s="37">
        <v>10.58755</v>
      </c>
      <c r="JK10" s="37">
        <v>10.58755</v>
      </c>
      <c r="JL10" s="37">
        <v>10.58755</v>
      </c>
      <c r="JM10" s="37">
        <v>10.58755</v>
      </c>
      <c r="JN10" s="37">
        <v>10.58755</v>
      </c>
      <c r="JO10" s="37">
        <v>10.58755</v>
      </c>
      <c r="JP10" s="37">
        <v>10.58755</v>
      </c>
      <c r="JQ10" s="37">
        <v>10.58755</v>
      </c>
      <c r="JR10" s="37">
        <v>10.58755</v>
      </c>
      <c r="JS10" s="37">
        <v>10.58755</v>
      </c>
      <c r="JT10" s="37">
        <v>10.58755</v>
      </c>
      <c r="JU10" s="37">
        <v>10.58755</v>
      </c>
      <c r="JV10" s="37">
        <v>10.58755</v>
      </c>
      <c r="JW10" s="37">
        <v>10.58755</v>
      </c>
      <c r="JX10" s="37">
        <v>10.58755</v>
      </c>
      <c r="JY10" s="37">
        <v>10.58755</v>
      </c>
      <c r="JZ10" s="37">
        <v>10.58755</v>
      </c>
      <c r="KA10" s="37">
        <v>10.58755</v>
      </c>
      <c r="KB10" s="37">
        <v>10.58755</v>
      </c>
      <c r="KC10" s="37">
        <v>10.58755</v>
      </c>
      <c r="KD10" s="37">
        <v>10.58755</v>
      </c>
      <c r="KE10" s="37">
        <v>10.58755</v>
      </c>
      <c r="KF10" s="37">
        <v>10.58755</v>
      </c>
      <c r="KG10" s="37">
        <v>10.58755</v>
      </c>
      <c r="KH10" s="37">
        <v>10.58755</v>
      </c>
      <c r="KI10" s="37">
        <v>10.58755</v>
      </c>
      <c r="KJ10" s="37">
        <v>10.58755</v>
      </c>
      <c r="KK10" s="37">
        <v>10.58755</v>
      </c>
      <c r="KL10" s="37">
        <v>10.58755</v>
      </c>
      <c r="KM10" s="37">
        <v>10.58755</v>
      </c>
      <c r="KN10" s="37">
        <v>10.58755</v>
      </c>
      <c r="KO10" s="37">
        <v>10.58755</v>
      </c>
      <c r="KP10" s="37">
        <v>10.58755</v>
      </c>
      <c r="KQ10" s="37">
        <v>10.58755</v>
      </c>
      <c r="KR10" s="37">
        <v>10.58755</v>
      </c>
      <c r="KS10" s="37">
        <v>10.58755</v>
      </c>
      <c r="KT10" s="37">
        <v>10.58755</v>
      </c>
      <c r="KU10" s="37">
        <v>10.58755</v>
      </c>
      <c r="KV10" s="37">
        <v>10.58755</v>
      </c>
      <c r="KW10" s="37">
        <v>10.58755</v>
      </c>
      <c r="KX10" s="37">
        <v>10.58755</v>
      </c>
      <c r="KY10" s="37">
        <v>10.58755</v>
      </c>
      <c r="KZ10" s="37">
        <v>10.58755</v>
      </c>
      <c r="LA10" s="37">
        <v>10.58755</v>
      </c>
      <c r="LB10" s="37">
        <v>10.58755</v>
      </c>
      <c r="LC10" s="37">
        <v>10.58755</v>
      </c>
      <c r="LD10" s="37">
        <v>10.58755</v>
      </c>
      <c r="LE10" s="37">
        <v>10.58755</v>
      </c>
      <c r="LF10" s="37">
        <v>10.58755</v>
      </c>
      <c r="LG10" s="37">
        <v>10.58755</v>
      </c>
      <c r="LH10" s="37">
        <v>10.58755</v>
      </c>
      <c r="LI10" s="37">
        <v>10.58755</v>
      </c>
      <c r="LJ10" s="37">
        <v>10.58755</v>
      </c>
      <c r="LK10" s="37">
        <v>10.58755</v>
      </c>
      <c r="LL10" s="37">
        <v>10.58755</v>
      </c>
      <c r="LM10" s="37">
        <v>10.58755</v>
      </c>
      <c r="LN10" s="37">
        <v>10.58755</v>
      </c>
      <c r="LO10" s="37">
        <v>10.58755</v>
      </c>
      <c r="LP10" s="37">
        <v>10.58755</v>
      </c>
      <c r="LQ10" s="37">
        <v>10.58755</v>
      </c>
      <c r="LR10" s="37">
        <v>10.58755</v>
      </c>
      <c r="LS10" s="37">
        <v>10.58755</v>
      </c>
      <c r="LT10" s="37">
        <v>10.58755</v>
      </c>
      <c r="LU10" s="37">
        <v>10.58755</v>
      </c>
      <c r="LV10" s="37">
        <v>10.58755</v>
      </c>
      <c r="LW10" s="37">
        <v>10.58755</v>
      </c>
      <c r="LX10" s="37">
        <v>10.58755</v>
      </c>
      <c r="LY10" s="37">
        <v>10.58755</v>
      </c>
      <c r="LZ10" s="37">
        <v>10.58755</v>
      </c>
      <c r="MA10" s="37">
        <v>10.58755</v>
      </c>
      <c r="MB10" s="37">
        <v>10.58755</v>
      </c>
      <c r="MC10" s="37">
        <v>10.58755</v>
      </c>
      <c r="MD10" s="37">
        <v>10.58755</v>
      </c>
      <c r="ME10" s="37">
        <v>10.58755</v>
      </c>
      <c r="MF10" s="37">
        <v>10.58755</v>
      </c>
      <c r="MG10" s="37">
        <v>10.58755</v>
      </c>
      <c r="MH10" s="37">
        <v>10.58755</v>
      </c>
      <c r="MI10" s="37">
        <v>10.58755</v>
      </c>
      <c r="MJ10" s="37">
        <v>10.58755</v>
      </c>
      <c r="MK10" s="37">
        <v>10.58755</v>
      </c>
      <c r="ML10" s="37">
        <v>10.58755</v>
      </c>
      <c r="MM10" s="37">
        <v>10.58755</v>
      </c>
      <c r="MN10" s="37">
        <v>10.58755</v>
      </c>
      <c r="MO10" s="37">
        <v>10.58755</v>
      </c>
      <c r="MP10" s="37">
        <v>10.58755</v>
      </c>
      <c r="MQ10" s="37">
        <v>10.58755</v>
      </c>
      <c r="MR10" s="37">
        <v>10.58755</v>
      </c>
      <c r="MS10" s="37">
        <v>10.58755</v>
      </c>
      <c r="MT10" s="37">
        <v>10.58755</v>
      </c>
      <c r="MU10" s="37">
        <v>10.58755</v>
      </c>
      <c r="MV10" s="37">
        <v>10.58755</v>
      </c>
      <c r="MW10" s="37">
        <v>10.58755</v>
      </c>
      <c r="MX10" s="37">
        <v>10.58755</v>
      </c>
      <c r="MY10" s="37">
        <v>10.58755</v>
      </c>
      <c r="MZ10" s="37">
        <v>10.58755</v>
      </c>
      <c r="NA10" s="37">
        <v>10.58755</v>
      </c>
      <c r="NB10" s="37">
        <v>10.58755</v>
      </c>
      <c r="NC10" s="37">
        <v>10.58755</v>
      </c>
      <c r="ND10" s="37">
        <v>10.58755</v>
      </c>
      <c r="NE10" s="37">
        <v>10.58755</v>
      </c>
      <c r="NF10" s="37">
        <v>10.58755</v>
      </c>
      <c r="NG10" s="37">
        <v>10.58755</v>
      </c>
      <c r="NH10" s="37">
        <v>10.58755</v>
      </c>
      <c r="NI10" s="37">
        <v>10.58755</v>
      </c>
      <c r="NJ10" s="37">
        <v>10.58755</v>
      </c>
      <c r="NK10" s="37">
        <v>10.58755</v>
      </c>
      <c r="NL10" s="37">
        <v>10.58755</v>
      </c>
      <c r="NM10" s="37">
        <v>10.58755</v>
      </c>
      <c r="NN10" s="37">
        <v>10.58755</v>
      </c>
      <c r="NO10" s="37">
        <v>10.58755</v>
      </c>
      <c r="NP10" s="37">
        <v>10.58755</v>
      </c>
      <c r="NQ10" s="37">
        <v>10.58755</v>
      </c>
      <c r="NR10" s="37">
        <v>10.58755</v>
      </c>
      <c r="NS10" s="37">
        <v>10.58755</v>
      </c>
      <c r="NT10" s="37">
        <v>10.58755</v>
      </c>
      <c r="NU10" s="37">
        <v>10.58755</v>
      </c>
      <c r="NV10" s="37">
        <v>10.58755</v>
      </c>
      <c r="NW10" s="37">
        <v>10.58755</v>
      </c>
      <c r="NX10" s="37">
        <v>10.58755</v>
      </c>
      <c r="NY10" s="37">
        <v>10.58755</v>
      </c>
      <c r="NZ10" s="37">
        <v>10.58755</v>
      </c>
      <c r="OA10" s="37">
        <v>10.58755</v>
      </c>
      <c r="OB10" s="37">
        <v>10.58755</v>
      </c>
      <c r="OC10" s="37">
        <v>10.58755</v>
      </c>
      <c r="OD10" s="37">
        <v>10.58755</v>
      </c>
      <c r="OE10" s="37">
        <v>10.58755</v>
      </c>
      <c r="OF10" s="37">
        <v>10.58755</v>
      </c>
      <c r="OG10" s="37">
        <v>10.58755</v>
      </c>
      <c r="OH10" s="37">
        <v>10.58755</v>
      </c>
      <c r="OI10" s="37">
        <v>10.58755</v>
      </c>
      <c r="OJ10" s="37">
        <v>10.58755</v>
      </c>
      <c r="OK10" s="37">
        <v>10.58755</v>
      </c>
      <c r="OL10" s="37">
        <v>10.58755</v>
      </c>
      <c r="OM10" s="37">
        <v>10.58755</v>
      </c>
      <c r="ON10" s="37">
        <v>10.58755</v>
      </c>
      <c r="OO10" s="37">
        <v>10.58755</v>
      </c>
      <c r="OP10" s="37">
        <v>10.58755</v>
      </c>
      <c r="OQ10" s="37">
        <v>10.58755</v>
      </c>
      <c r="OR10" s="37">
        <v>10.58755</v>
      </c>
      <c r="OS10" s="37">
        <v>10.58755</v>
      </c>
      <c r="OT10" s="37">
        <v>10.58755</v>
      </c>
      <c r="OU10" s="37">
        <v>10.58755</v>
      </c>
      <c r="OV10" s="37">
        <v>10.58755</v>
      </c>
      <c r="OW10" s="37">
        <v>10.58755</v>
      </c>
      <c r="OX10" s="37">
        <v>10.58755</v>
      </c>
      <c r="OY10" s="37">
        <v>10.58755</v>
      </c>
      <c r="OZ10" s="37">
        <v>10.58755</v>
      </c>
      <c r="PA10" s="37">
        <v>10.58755</v>
      </c>
      <c r="PB10" s="37">
        <v>10.58755</v>
      </c>
      <c r="PC10" s="37">
        <v>10.58755</v>
      </c>
      <c r="PD10" s="37">
        <v>10.58755</v>
      </c>
      <c r="PE10" s="37">
        <v>10.58755</v>
      </c>
      <c r="PF10" s="37">
        <v>10.58755</v>
      </c>
      <c r="PG10" s="37">
        <v>10.58755</v>
      </c>
      <c r="PH10" s="37">
        <v>10.58755</v>
      </c>
      <c r="PI10" s="37">
        <v>10.58755</v>
      </c>
      <c r="PJ10" s="37">
        <v>10.58755</v>
      </c>
      <c r="PK10" s="37">
        <v>10.58755</v>
      </c>
      <c r="PL10" s="37">
        <v>10.58755</v>
      </c>
      <c r="PM10" s="37">
        <v>10.58755</v>
      </c>
      <c r="PN10" s="37">
        <v>10.58755</v>
      </c>
      <c r="PO10" s="37">
        <v>10.58755</v>
      </c>
      <c r="PP10" s="37">
        <v>10.58755</v>
      </c>
      <c r="PQ10" s="37">
        <v>10.58755</v>
      </c>
      <c r="PR10" s="37">
        <v>10.58755</v>
      </c>
      <c r="PS10" s="15">
        <v>10.58755</v>
      </c>
      <c r="PT10" s="15">
        <v>10.58755</v>
      </c>
      <c r="PU10" s="15">
        <v>10.58755</v>
      </c>
      <c r="PV10" s="15">
        <v>10.58755</v>
      </c>
      <c r="PW10" s="15">
        <v>10.58755</v>
      </c>
      <c r="PX10" s="15">
        <v>10.58755</v>
      </c>
      <c r="PY10" s="15">
        <v>10.58755</v>
      </c>
      <c r="PZ10" s="15">
        <v>10.58755</v>
      </c>
      <c r="QA10" s="15">
        <v>10.58755</v>
      </c>
      <c r="QB10" s="15">
        <v>10.58755</v>
      </c>
      <c r="QC10" s="15">
        <v>10.58755</v>
      </c>
      <c r="QD10" s="15">
        <v>10.58755</v>
      </c>
      <c r="QE10" s="15">
        <v>10.58755</v>
      </c>
      <c r="QF10" s="15">
        <v>10.58755</v>
      </c>
      <c r="QG10" s="15">
        <v>10.58755</v>
      </c>
      <c r="QH10" s="15">
        <v>10.58755</v>
      </c>
      <c r="QI10" s="15">
        <v>10.58755</v>
      </c>
      <c r="QJ10" s="15">
        <v>10.58755</v>
      </c>
      <c r="QK10" s="15">
        <v>10.58755</v>
      </c>
      <c r="QL10" s="15">
        <v>10.58755</v>
      </c>
      <c r="QM10" s="15">
        <v>10.58755</v>
      </c>
      <c r="QN10" s="15">
        <v>10.58755</v>
      </c>
      <c r="QO10" s="15">
        <v>10.58755</v>
      </c>
      <c r="QP10" s="15">
        <v>10.58755</v>
      </c>
      <c r="QQ10" s="15">
        <v>10.58755</v>
      </c>
      <c r="QR10" s="15">
        <v>10.58755</v>
      </c>
      <c r="QS10" s="15">
        <v>10.58755</v>
      </c>
      <c r="QT10" s="15">
        <v>10.58755</v>
      </c>
      <c r="QU10" s="15">
        <v>10.58755</v>
      </c>
      <c r="QV10" s="15">
        <v>10.58755</v>
      </c>
      <c r="QW10" s="15">
        <v>10.58755</v>
      </c>
      <c r="QX10" s="15">
        <v>10.58755</v>
      </c>
      <c r="QY10" s="15">
        <v>10.58755</v>
      </c>
      <c r="QZ10" s="15">
        <v>10.58755</v>
      </c>
      <c r="RA10" s="15">
        <v>10.58755</v>
      </c>
      <c r="RB10" s="15">
        <v>10.58755</v>
      </c>
      <c r="RC10" s="15">
        <v>10.58755</v>
      </c>
      <c r="RD10" s="15">
        <v>10.58755</v>
      </c>
      <c r="RE10" s="15">
        <v>10.58755</v>
      </c>
      <c r="RF10" s="15">
        <v>10.58755</v>
      </c>
      <c r="RG10" s="15">
        <v>10.58755</v>
      </c>
      <c r="RH10" s="15">
        <v>10.58755</v>
      </c>
      <c r="RI10" s="15">
        <v>10.58755</v>
      </c>
      <c r="RJ10" s="15">
        <v>10.58755</v>
      </c>
      <c r="RK10" s="15">
        <v>10.58755</v>
      </c>
      <c r="RL10" s="15">
        <v>10.58755</v>
      </c>
      <c r="RM10" s="15">
        <v>10.58755</v>
      </c>
      <c r="RN10" s="15">
        <v>10.58755</v>
      </c>
      <c r="RO10" s="15">
        <v>10.58755</v>
      </c>
      <c r="RP10" s="15">
        <v>10.58755</v>
      </c>
      <c r="RQ10" s="15">
        <v>10.58755</v>
      </c>
      <c r="RR10" s="15">
        <v>10.58755</v>
      </c>
      <c r="RS10" s="15">
        <v>10.58755</v>
      </c>
      <c r="RT10" s="15">
        <v>10.58755</v>
      </c>
      <c r="RU10" s="15">
        <v>10.58755</v>
      </c>
      <c r="RV10" s="15">
        <v>10.58755</v>
      </c>
      <c r="RW10" s="15">
        <v>10.58755</v>
      </c>
      <c r="RX10" s="15">
        <v>10.58755</v>
      </c>
      <c r="RY10" s="15">
        <v>10.58755</v>
      </c>
      <c r="RZ10" s="15">
        <v>10.58755</v>
      </c>
      <c r="SA10" s="15">
        <v>10.58755</v>
      </c>
      <c r="SB10" s="15">
        <v>10.58755</v>
      </c>
      <c r="SC10" s="15">
        <v>10.58755</v>
      </c>
      <c r="SD10" s="15">
        <v>10.58755</v>
      </c>
      <c r="SE10" s="15">
        <v>10.58755</v>
      </c>
      <c r="SF10" s="15">
        <v>10.58755</v>
      </c>
      <c r="SG10" s="15">
        <v>10.58755</v>
      </c>
      <c r="SH10" s="15">
        <v>10.58755</v>
      </c>
      <c r="SI10" s="15">
        <v>10.58755</v>
      </c>
      <c r="SJ10" s="15">
        <v>10.58755</v>
      </c>
      <c r="SK10" s="15">
        <v>10.58755</v>
      </c>
      <c r="SL10" s="15">
        <v>8.9262499999999996</v>
      </c>
      <c r="SM10" s="15" t="s">
        <v>668</v>
      </c>
      <c r="SN10" s="15" t="s">
        <v>668</v>
      </c>
      <c r="SO10" s="15" t="s">
        <v>668</v>
      </c>
    </row>
    <row r="11" spans="1:786" x14ac:dyDescent="0.2">
      <c r="A11" s="37">
        <v>9</v>
      </c>
      <c r="B11" s="48" t="s">
        <v>508</v>
      </c>
      <c r="C11" s="17">
        <f>+'Detalle Compras'!D11</f>
        <v>202504300167</v>
      </c>
      <c r="D11" s="55">
        <f t="shared" si="13"/>
        <v>11.228526</v>
      </c>
      <c r="E11" s="14">
        <f>+IF(B11="","",'Detalle Compras'!S11+0)</f>
        <v>45848</v>
      </c>
      <c r="F11" s="14">
        <f>+IF(B11="","",EOMONTH('Detalle Compras'!S11,G11)+10)</f>
        <v>60397</v>
      </c>
      <c r="G11" s="50">
        <f t="shared" si="14"/>
        <v>477</v>
      </c>
      <c r="H11" s="50">
        <f t="shared" si="15"/>
        <v>473</v>
      </c>
      <c r="AB11" s="37">
        <v>11.228526</v>
      </c>
      <c r="AC11" s="37">
        <v>11.228526</v>
      </c>
      <c r="AD11" s="37">
        <v>11.228526</v>
      </c>
      <c r="AE11" s="37">
        <v>11.228526</v>
      </c>
      <c r="AF11" s="37">
        <v>11.228526</v>
      </c>
      <c r="AG11" s="37">
        <v>11.228526</v>
      </c>
      <c r="AH11" s="37">
        <v>11.228526</v>
      </c>
      <c r="AI11" s="37">
        <v>11.228526</v>
      </c>
      <c r="AJ11" s="37">
        <v>11.228526</v>
      </c>
      <c r="AK11" s="37">
        <v>11.228526</v>
      </c>
      <c r="AL11" s="37">
        <v>11.228526</v>
      </c>
      <c r="AM11" s="37">
        <v>11.228526</v>
      </c>
      <c r="AN11" s="37">
        <v>11.228526</v>
      </c>
      <c r="AO11" s="37">
        <v>11.228526</v>
      </c>
      <c r="AP11" s="37">
        <v>11.228526</v>
      </c>
      <c r="AQ11" s="37">
        <v>11.228526</v>
      </c>
      <c r="AR11" s="37">
        <v>11.228526</v>
      </c>
      <c r="AS11" s="37">
        <v>11.228526</v>
      </c>
      <c r="AT11" s="37">
        <v>11.228526</v>
      </c>
      <c r="AU11" s="37">
        <v>11.228526</v>
      </c>
      <c r="AV11" s="37">
        <v>11.228526</v>
      </c>
      <c r="AW11" s="37">
        <v>11.228526</v>
      </c>
      <c r="AX11" s="37">
        <v>11.228526</v>
      </c>
      <c r="AY11" s="37">
        <v>11.228526</v>
      </c>
      <c r="AZ11" s="37">
        <v>11.228526</v>
      </c>
      <c r="BA11" s="37">
        <v>11.228526</v>
      </c>
      <c r="BB11" s="37">
        <v>11.228526</v>
      </c>
      <c r="BC11" s="37">
        <v>11.228526</v>
      </c>
      <c r="BD11" s="37">
        <v>11.228526</v>
      </c>
      <c r="BE11" s="37">
        <v>11.228526</v>
      </c>
      <c r="BF11" s="37">
        <v>11.228526</v>
      </c>
      <c r="BG11" s="37">
        <v>11.228526</v>
      </c>
      <c r="BH11" s="37">
        <v>11.228526</v>
      </c>
      <c r="BI11" s="37">
        <v>11.228526</v>
      </c>
      <c r="BJ11" s="37">
        <v>11.228526</v>
      </c>
      <c r="BK11" s="37">
        <v>11.228526</v>
      </c>
      <c r="BL11" s="37">
        <v>11.228526</v>
      </c>
      <c r="BM11" s="37">
        <v>11.228526</v>
      </c>
      <c r="BN11" s="37">
        <v>11.228526</v>
      </c>
      <c r="BO11" s="37">
        <v>11.228526</v>
      </c>
      <c r="BP11" s="37">
        <v>11.228526</v>
      </c>
      <c r="BQ11" s="37">
        <v>11.228526</v>
      </c>
      <c r="BR11" s="37">
        <v>11.228526</v>
      </c>
      <c r="BS11" s="37">
        <v>11.228526</v>
      </c>
      <c r="BT11" s="37">
        <v>11.228526</v>
      </c>
      <c r="BU11" s="37">
        <v>11.228526</v>
      </c>
      <c r="BV11" s="37">
        <v>11.228526</v>
      </c>
      <c r="BW11" s="37">
        <v>11.228526</v>
      </c>
      <c r="BX11" s="37">
        <v>11.228526</v>
      </c>
      <c r="BY11" s="37">
        <v>11.228526</v>
      </c>
      <c r="BZ11" s="37">
        <v>11.228526</v>
      </c>
      <c r="CA11" s="37">
        <v>11.228526</v>
      </c>
      <c r="CB11" s="37">
        <v>11.228526</v>
      </c>
      <c r="CC11" s="37">
        <v>11.228526</v>
      </c>
      <c r="CD11" s="37">
        <v>11.228526</v>
      </c>
      <c r="CE11" s="37">
        <v>11.228526</v>
      </c>
      <c r="CF11" s="37">
        <v>11.228526</v>
      </c>
      <c r="CG11" s="37">
        <v>11.228526</v>
      </c>
      <c r="CH11" s="37">
        <v>11.228526</v>
      </c>
      <c r="CI11" s="37">
        <v>11.228526</v>
      </c>
      <c r="CJ11" s="37">
        <v>11.228526</v>
      </c>
      <c r="CK11" s="37">
        <v>11.228526</v>
      </c>
      <c r="CL11" s="37">
        <v>11.228526</v>
      </c>
      <c r="CM11" s="37">
        <v>11.228526</v>
      </c>
      <c r="CN11" s="37">
        <v>11.228526</v>
      </c>
      <c r="CO11" s="37">
        <v>11.228526</v>
      </c>
      <c r="CP11" s="37">
        <v>11.228526</v>
      </c>
      <c r="CQ11" s="37">
        <v>11.228526</v>
      </c>
      <c r="CR11" s="37">
        <v>11.228526</v>
      </c>
      <c r="CS11" s="37">
        <v>11.228526</v>
      </c>
      <c r="CT11" s="37">
        <v>11.228526</v>
      </c>
      <c r="CU11" s="37">
        <v>11.228526</v>
      </c>
      <c r="CV11" s="37">
        <v>11.228526</v>
      </c>
      <c r="CW11" s="37">
        <v>11.228526</v>
      </c>
      <c r="CX11" s="37">
        <v>11.228526</v>
      </c>
      <c r="CY11" s="37">
        <v>11.228526</v>
      </c>
      <c r="CZ11" s="37">
        <v>11.228526</v>
      </c>
      <c r="DA11" s="37">
        <v>11.228526</v>
      </c>
      <c r="DB11" s="37">
        <v>11.228526</v>
      </c>
      <c r="DC11" s="37">
        <v>11.228526</v>
      </c>
      <c r="DD11" s="37">
        <v>11.228526</v>
      </c>
      <c r="DE11" s="37">
        <v>11.228526</v>
      </c>
      <c r="DF11" s="37">
        <v>11.228526</v>
      </c>
      <c r="DG11" s="37">
        <v>11.228526</v>
      </c>
      <c r="DH11" s="37">
        <v>11.228526</v>
      </c>
      <c r="DI11" s="37">
        <v>11.228526</v>
      </c>
      <c r="DJ11" s="37">
        <v>11.228526</v>
      </c>
      <c r="DK11" s="37">
        <v>11.228526</v>
      </c>
      <c r="DL11" s="37">
        <v>11.228526</v>
      </c>
      <c r="DM11" s="37">
        <v>11.228526</v>
      </c>
      <c r="DN11" s="37">
        <v>11.228526</v>
      </c>
      <c r="DO11" s="37">
        <v>11.228526</v>
      </c>
      <c r="DP11" s="37">
        <v>11.228526</v>
      </c>
      <c r="DQ11" s="37">
        <v>11.228526</v>
      </c>
      <c r="DR11" s="37">
        <v>11.228526</v>
      </c>
      <c r="DS11" s="37">
        <v>11.228526</v>
      </c>
      <c r="DT11" s="37">
        <v>11.228526</v>
      </c>
      <c r="DU11" s="37">
        <v>11.228526</v>
      </c>
      <c r="DV11" s="37">
        <v>11.228526</v>
      </c>
      <c r="DW11" s="37">
        <v>11.228526</v>
      </c>
      <c r="DX11" s="37">
        <v>11.228526</v>
      </c>
      <c r="DY11" s="37">
        <v>11.228526</v>
      </c>
      <c r="DZ11" s="37">
        <v>11.228526</v>
      </c>
      <c r="EA11" s="37">
        <v>11.228526</v>
      </c>
      <c r="EB11" s="37">
        <v>11.228526</v>
      </c>
      <c r="EC11" s="37">
        <v>11.228526</v>
      </c>
      <c r="ED11" s="37">
        <v>11.228526</v>
      </c>
      <c r="EE11" s="37">
        <v>11.228526</v>
      </c>
      <c r="EF11" s="37">
        <v>11.228526</v>
      </c>
      <c r="EG11" s="37">
        <v>11.228526</v>
      </c>
      <c r="EH11" s="37">
        <v>11.228526</v>
      </c>
      <c r="EI11" s="37">
        <v>11.228526</v>
      </c>
      <c r="EJ11" s="37">
        <v>11.228526</v>
      </c>
      <c r="EK11" s="37">
        <v>11.228526</v>
      </c>
      <c r="EL11" s="37">
        <v>11.228526</v>
      </c>
      <c r="EM11" s="37">
        <v>11.228526</v>
      </c>
      <c r="EN11" s="37">
        <v>11.228526</v>
      </c>
      <c r="EO11" s="37">
        <v>11.228526</v>
      </c>
      <c r="EP11" s="37">
        <v>11.228526</v>
      </c>
      <c r="EQ11" s="37">
        <v>11.228526</v>
      </c>
      <c r="ER11" s="37">
        <v>11.228526</v>
      </c>
      <c r="ES11" s="37">
        <v>11.228526</v>
      </c>
      <c r="ET11" s="37">
        <v>11.228526</v>
      </c>
      <c r="EU11" s="37">
        <v>11.228526</v>
      </c>
      <c r="EV11" s="37">
        <v>11.228526</v>
      </c>
      <c r="EW11" s="37">
        <v>11.228526</v>
      </c>
      <c r="EX11" s="37">
        <v>11.228526</v>
      </c>
      <c r="EY11" s="37">
        <v>11.228526</v>
      </c>
      <c r="EZ11" s="37">
        <v>11.228526</v>
      </c>
      <c r="FA11" s="37">
        <v>11.228526</v>
      </c>
      <c r="FB11" s="37">
        <v>11.228526</v>
      </c>
      <c r="FC11" s="37">
        <v>11.228526</v>
      </c>
      <c r="FD11" s="37">
        <v>11.228526</v>
      </c>
      <c r="FE11" s="37">
        <v>11.228526</v>
      </c>
      <c r="FF11" s="37">
        <v>11.228526</v>
      </c>
      <c r="FG11" s="37">
        <v>11.228526</v>
      </c>
      <c r="FH11" s="37">
        <v>11.228526</v>
      </c>
      <c r="FI11" s="37">
        <v>11.228526</v>
      </c>
      <c r="FJ11" s="37">
        <v>11.228526</v>
      </c>
      <c r="FK11" s="37">
        <v>11.228526</v>
      </c>
      <c r="FL11" s="37">
        <v>11.228526</v>
      </c>
      <c r="FM11" s="37">
        <v>11.228526</v>
      </c>
      <c r="FN11" s="37">
        <v>11.228526</v>
      </c>
      <c r="FO11" s="37">
        <v>11.228526</v>
      </c>
      <c r="FP11" s="37">
        <v>11.228526</v>
      </c>
      <c r="FQ11" s="37">
        <v>11.228526</v>
      </c>
      <c r="FR11" s="37">
        <v>11.228526</v>
      </c>
      <c r="FS11" s="37">
        <v>11.228526</v>
      </c>
      <c r="FT11" s="37">
        <v>11.228526</v>
      </c>
      <c r="FU11" s="37">
        <v>11.228526</v>
      </c>
      <c r="FV11" s="37">
        <v>11.228526</v>
      </c>
      <c r="FW11" s="37">
        <v>11.228526</v>
      </c>
      <c r="FX11" s="37">
        <v>11.228526</v>
      </c>
      <c r="FY11" s="37">
        <v>11.228526</v>
      </c>
      <c r="FZ11" s="37">
        <v>11.228526</v>
      </c>
      <c r="GA11" s="37">
        <v>11.228526</v>
      </c>
      <c r="GB11" s="37">
        <v>11.228526</v>
      </c>
      <c r="GC11" s="37">
        <v>11.228526</v>
      </c>
      <c r="GD11" s="37">
        <v>11.228526</v>
      </c>
      <c r="GE11" s="37">
        <v>11.228526</v>
      </c>
      <c r="GF11" s="37">
        <v>11.228526</v>
      </c>
      <c r="GG11" s="37">
        <v>11.228526</v>
      </c>
      <c r="GH11" s="37">
        <v>11.228526</v>
      </c>
      <c r="GI11" s="37">
        <v>11.228526</v>
      </c>
      <c r="GJ11" s="37">
        <v>11.228526</v>
      </c>
      <c r="GK11" s="37">
        <v>11.228526</v>
      </c>
      <c r="GL11" s="37">
        <v>11.228526</v>
      </c>
      <c r="GM11" s="37">
        <v>11.228526</v>
      </c>
      <c r="GN11" s="37">
        <v>11.228526</v>
      </c>
      <c r="GO11" s="37">
        <v>11.228526</v>
      </c>
      <c r="GP11" s="37">
        <v>11.228526</v>
      </c>
      <c r="GQ11" s="37">
        <v>11.228526</v>
      </c>
      <c r="GR11" s="37">
        <v>11.228526</v>
      </c>
      <c r="GS11" s="37">
        <v>11.228526</v>
      </c>
      <c r="GT11" s="37">
        <v>11.228526</v>
      </c>
      <c r="GU11" s="37">
        <v>11.228526</v>
      </c>
      <c r="GV11" s="37">
        <v>11.228526</v>
      </c>
      <c r="GW11" s="37">
        <v>11.228526</v>
      </c>
      <c r="GX11" s="37">
        <v>11.228526</v>
      </c>
      <c r="GY11" s="37">
        <v>11.228526</v>
      </c>
      <c r="GZ11" s="37">
        <v>11.228526</v>
      </c>
      <c r="HA11" s="37">
        <v>11.228526</v>
      </c>
      <c r="HB11" s="37">
        <v>11.228526</v>
      </c>
      <c r="HC11" s="37">
        <v>11.228526</v>
      </c>
      <c r="HD11" s="37">
        <v>11.228526</v>
      </c>
      <c r="HE11" s="37">
        <v>11.228526</v>
      </c>
      <c r="HF11" s="37">
        <v>11.228526</v>
      </c>
      <c r="HG11" s="37">
        <v>11.228526</v>
      </c>
      <c r="HH11" s="37">
        <v>11.228526</v>
      </c>
      <c r="HI11" s="37">
        <v>11.228526</v>
      </c>
      <c r="HJ11" s="37">
        <v>11.228526</v>
      </c>
      <c r="HK11" s="37">
        <v>11.228526</v>
      </c>
      <c r="HL11" s="37">
        <v>11.228526</v>
      </c>
      <c r="HM11" s="37">
        <v>11.228526</v>
      </c>
      <c r="HN11" s="37">
        <v>11.228526</v>
      </c>
      <c r="HO11" s="37">
        <v>11.228526</v>
      </c>
      <c r="HP11" s="37">
        <v>11.228526</v>
      </c>
      <c r="HQ11" s="37">
        <v>11.228526</v>
      </c>
      <c r="HR11" s="37">
        <v>11.228526</v>
      </c>
      <c r="HS11" s="37">
        <v>11.228526</v>
      </c>
      <c r="HT11" s="37">
        <v>11.228526</v>
      </c>
      <c r="HU11" s="37">
        <v>11.228526</v>
      </c>
      <c r="HV11" s="37">
        <v>11.228526</v>
      </c>
      <c r="HW11" s="37">
        <v>11.228526</v>
      </c>
      <c r="HX11" s="37">
        <v>11.228526</v>
      </c>
      <c r="HY11" s="37">
        <v>11.228526</v>
      </c>
      <c r="HZ11" s="37">
        <v>11.228526</v>
      </c>
      <c r="IA11" s="37">
        <v>11.228526</v>
      </c>
      <c r="IB11" s="37">
        <v>11.228526</v>
      </c>
      <c r="IC11" s="37">
        <v>11.228526</v>
      </c>
      <c r="ID11" s="37">
        <v>11.228526</v>
      </c>
      <c r="IE11" s="37">
        <v>11.228526</v>
      </c>
      <c r="IF11" s="37">
        <v>11.228526</v>
      </c>
      <c r="IG11" s="37">
        <v>11.228526</v>
      </c>
      <c r="IH11" s="37">
        <v>11.228526</v>
      </c>
      <c r="II11" s="37">
        <v>11.228526</v>
      </c>
      <c r="IJ11" s="37">
        <v>11.228526</v>
      </c>
      <c r="IK11" s="37">
        <v>11.228526</v>
      </c>
      <c r="IL11" s="37">
        <v>11.228526</v>
      </c>
      <c r="IM11" s="37">
        <v>11.228526</v>
      </c>
      <c r="IN11" s="37">
        <v>11.228526</v>
      </c>
      <c r="IO11" s="37">
        <v>11.228526</v>
      </c>
      <c r="IP11" s="37">
        <v>11.228526</v>
      </c>
      <c r="IQ11" s="37">
        <v>11.228526</v>
      </c>
      <c r="IR11" s="37">
        <v>11.228526</v>
      </c>
      <c r="IS11" s="37">
        <v>11.228526</v>
      </c>
      <c r="IT11" s="37">
        <v>11.228526</v>
      </c>
      <c r="IU11" s="37">
        <v>11.228526</v>
      </c>
      <c r="IV11" s="37">
        <v>11.228526</v>
      </c>
      <c r="IW11" s="37">
        <v>11.228526</v>
      </c>
      <c r="IX11" s="37">
        <v>11.228526</v>
      </c>
      <c r="IY11" s="37">
        <v>11.228526</v>
      </c>
      <c r="IZ11" s="37">
        <v>11.228526</v>
      </c>
      <c r="JA11" s="37">
        <v>11.228526</v>
      </c>
      <c r="JB11" s="37">
        <v>11.228526</v>
      </c>
      <c r="JC11" s="37">
        <v>11.228526</v>
      </c>
      <c r="JD11" s="37">
        <v>11.228526</v>
      </c>
      <c r="JE11" s="37">
        <v>11.228526</v>
      </c>
      <c r="JF11" s="37">
        <v>11.228526</v>
      </c>
      <c r="JG11" s="37">
        <v>11.228526</v>
      </c>
      <c r="JH11" s="37">
        <v>11.228526</v>
      </c>
      <c r="JI11" s="37">
        <v>11.228526</v>
      </c>
      <c r="JJ11" s="37">
        <v>11.228526</v>
      </c>
      <c r="JK11" s="37">
        <v>11.228526</v>
      </c>
      <c r="JL11" s="37">
        <v>11.228526</v>
      </c>
      <c r="JM11" s="37">
        <v>11.228526</v>
      </c>
      <c r="JN11" s="37">
        <v>11.228526</v>
      </c>
      <c r="JO11" s="37">
        <v>11.228526</v>
      </c>
      <c r="JP11" s="37">
        <v>11.228526</v>
      </c>
      <c r="JQ11" s="37">
        <v>11.228526</v>
      </c>
      <c r="JR11" s="37">
        <v>11.228526</v>
      </c>
      <c r="JS11" s="37">
        <v>11.228526</v>
      </c>
      <c r="JT11" s="37">
        <v>11.228526</v>
      </c>
      <c r="JU11" s="37">
        <v>11.228526</v>
      </c>
      <c r="JV11" s="37">
        <v>11.228526</v>
      </c>
      <c r="JW11" s="37">
        <v>11.228526</v>
      </c>
      <c r="JX11" s="37">
        <v>11.228526</v>
      </c>
      <c r="JY11" s="37">
        <v>11.228526</v>
      </c>
      <c r="JZ11" s="37">
        <v>11.228526</v>
      </c>
      <c r="KA11" s="37">
        <v>11.228526</v>
      </c>
      <c r="KB11" s="37">
        <v>11.228526</v>
      </c>
      <c r="KC11" s="37">
        <v>11.228526</v>
      </c>
      <c r="KD11" s="37">
        <v>11.228526</v>
      </c>
      <c r="KE11" s="37">
        <v>11.228526</v>
      </c>
      <c r="KF11" s="37">
        <v>11.228526</v>
      </c>
      <c r="KG11" s="37">
        <v>11.228526</v>
      </c>
      <c r="KH11" s="37">
        <v>11.228526</v>
      </c>
      <c r="KI11" s="37">
        <v>11.228526</v>
      </c>
      <c r="KJ11" s="37">
        <v>11.228526</v>
      </c>
      <c r="KK11" s="37">
        <v>11.228526</v>
      </c>
      <c r="KL11" s="37">
        <v>11.228526</v>
      </c>
      <c r="KM11" s="37">
        <v>11.228526</v>
      </c>
      <c r="KN11" s="37">
        <v>11.228526</v>
      </c>
      <c r="KO11" s="37">
        <v>11.228526</v>
      </c>
      <c r="KP11" s="37">
        <v>11.228526</v>
      </c>
      <c r="KQ11" s="37">
        <v>11.228526</v>
      </c>
      <c r="KR11" s="37">
        <v>11.228526</v>
      </c>
      <c r="KS11" s="37">
        <v>11.228526</v>
      </c>
      <c r="KT11" s="37">
        <v>11.228526</v>
      </c>
      <c r="KU11" s="37">
        <v>11.228526</v>
      </c>
      <c r="KV11" s="37">
        <v>11.228526</v>
      </c>
      <c r="KW11" s="37">
        <v>11.228526</v>
      </c>
      <c r="KX11" s="37">
        <v>11.228526</v>
      </c>
      <c r="KY11" s="37">
        <v>11.228526</v>
      </c>
      <c r="KZ11" s="37">
        <v>11.228526</v>
      </c>
      <c r="LA11" s="37">
        <v>11.228526</v>
      </c>
      <c r="LB11" s="37">
        <v>11.228526</v>
      </c>
      <c r="LC11" s="37">
        <v>11.228526</v>
      </c>
      <c r="LD11" s="37">
        <v>11.228526</v>
      </c>
      <c r="LE11" s="37">
        <v>11.228526</v>
      </c>
      <c r="LF11" s="37">
        <v>11.228526</v>
      </c>
      <c r="LG11" s="37">
        <v>11.228526</v>
      </c>
      <c r="LH11" s="37">
        <v>11.228526</v>
      </c>
      <c r="LI11" s="37">
        <v>11.228526</v>
      </c>
      <c r="LJ11" s="37">
        <v>11.228526</v>
      </c>
      <c r="LK11" s="37">
        <v>11.228526</v>
      </c>
      <c r="LL11" s="37">
        <v>11.228526</v>
      </c>
      <c r="LM11" s="37">
        <v>11.228526</v>
      </c>
      <c r="LN11" s="37">
        <v>11.228526</v>
      </c>
      <c r="LO11" s="37">
        <v>11.228526</v>
      </c>
      <c r="LP11" s="37">
        <v>11.228526</v>
      </c>
      <c r="LQ11" s="37">
        <v>11.228526</v>
      </c>
      <c r="LR11" s="37">
        <v>11.228526</v>
      </c>
      <c r="LS11" s="37">
        <v>11.228526</v>
      </c>
      <c r="LT11" s="37">
        <v>11.228526</v>
      </c>
      <c r="LU11" s="37">
        <v>11.228526</v>
      </c>
      <c r="LV11" s="37">
        <v>11.228526</v>
      </c>
      <c r="LW11" s="37">
        <v>11.228526</v>
      </c>
      <c r="LX11" s="37">
        <v>11.228526</v>
      </c>
      <c r="LY11" s="37">
        <v>11.228526</v>
      </c>
      <c r="LZ11" s="37">
        <v>11.228526</v>
      </c>
      <c r="MA11" s="37">
        <v>11.228526</v>
      </c>
      <c r="MB11" s="37">
        <v>11.228526</v>
      </c>
      <c r="MC11" s="37">
        <v>11.228526</v>
      </c>
      <c r="MD11" s="37">
        <v>11.228526</v>
      </c>
      <c r="ME11" s="37">
        <v>11.228526</v>
      </c>
      <c r="MF11" s="37">
        <v>11.228526</v>
      </c>
      <c r="MG11" s="37">
        <v>11.228526</v>
      </c>
      <c r="MH11" s="37">
        <v>11.228526</v>
      </c>
      <c r="MI11" s="37">
        <v>11.228526</v>
      </c>
      <c r="MJ11" s="37">
        <v>11.228526</v>
      </c>
      <c r="MK11" s="37">
        <v>11.228526</v>
      </c>
      <c r="ML11" s="37">
        <v>11.228526</v>
      </c>
      <c r="MM11" s="37">
        <v>11.228526</v>
      </c>
      <c r="MN11" s="37">
        <v>11.228526</v>
      </c>
      <c r="MO11" s="37">
        <v>11.228526</v>
      </c>
      <c r="MP11" s="37">
        <v>11.228526</v>
      </c>
      <c r="MQ11" s="37">
        <v>11.228526</v>
      </c>
      <c r="MR11" s="37">
        <v>11.228526</v>
      </c>
      <c r="MS11" s="37">
        <v>11.228526</v>
      </c>
      <c r="MT11" s="37">
        <v>11.228526</v>
      </c>
      <c r="MU11" s="37">
        <v>11.228526</v>
      </c>
      <c r="MV11" s="37">
        <v>11.228526</v>
      </c>
      <c r="MW11" s="37">
        <v>11.228526</v>
      </c>
      <c r="MX11" s="37">
        <v>11.228526</v>
      </c>
      <c r="MY11" s="37">
        <v>11.228526</v>
      </c>
      <c r="MZ11" s="37">
        <v>11.228526</v>
      </c>
      <c r="NA11" s="37">
        <v>11.228526</v>
      </c>
      <c r="NB11" s="37">
        <v>11.228526</v>
      </c>
      <c r="NC11" s="37">
        <v>11.228526</v>
      </c>
      <c r="ND11" s="37">
        <v>11.228526</v>
      </c>
      <c r="NE11" s="37">
        <v>11.228526</v>
      </c>
      <c r="NF11" s="37">
        <v>11.228526</v>
      </c>
      <c r="NG11" s="37">
        <v>11.228526</v>
      </c>
      <c r="NH11" s="37">
        <v>11.228526</v>
      </c>
      <c r="NI11" s="37">
        <v>11.228526</v>
      </c>
      <c r="NJ11" s="37">
        <v>11.228526</v>
      </c>
      <c r="NK11" s="37">
        <v>11.228526</v>
      </c>
      <c r="NL11" s="37">
        <v>11.228526</v>
      </c>
      <c r="NM11" s="37">
        <v>11.228526</v>
      </c>
      <c r="NN11" s="37">
        <v>11.228526</v>
      </c>
      <c r="NO11" s="37">
        <v>11.228526</v>
      </c>
      <c r="NP11" s="37">
        <v>11.228526</v>
      </c>
      <c r="NQ11" s="37">
        <v>11.228526</v>
      </c>
      <c r="NR11" s="37">
        <v>11.228526</v>
      </c>
      <c r="NS11" s="37">
        <v>11.228526</v>
      </c>
      <c r="NT11" s="37">
        <v>11.228526</v>
      </c>
      <c r="NU11" s="37">
        <v>11.228526</v>
      </c>
      <c r="NV11" s="37">
        <v>11.228526</v>
      </c>
      <c r="NW11" s="37">
        <v>11.228526</v>
      </c>
      <c r="NX11" s="37">
        <v>11.228526</v>
      </c>
      <c r="NY11" s="37">
        <v>11.228526</v>
      </c>
      <c r="NZ11" s="37">
        <v>11.228526</v>
      </c>
      <c r="OA11" s="37">
        <v>11.228526</v>
      </c>
      <c r="OB11" s="37">
        <v>11.228526</v>
      </c>
      <c r="OC11" s="37">
        <v>11.228526</v>
      </c>
      <c r="OD11" s="37">
        <v>11.228526</v>
      </c>
      <c r="OE11" s="37">
        <v>11.228526</v>
      </c>
      <c r="OF11" s="37">
        <v>11.228526</v>
      </c>
      <c r="OG11" s="37">
        <v>11.228526</v>
      </c>
      <c r="OH11" s="37">
        <v>11.228526</v>
      </c>
      <c r="OI11" s="37">
        <v>11.228526</v>
      </c>
      <c r="OJ11" s="37">
        <v>11.228526</v>
      </c>
      <c r="OK11" s="37">
        <v>11.228526</v>
      </c>
      <c r="OL11" s="37">
        <v>11.228526</v>
      </c>
      <c r="OM11" s="37">
        <v>11.228526</v>
      </c>
      <c r="ON11" s="37">
        <v>11.228526</v>
      </c>
      <c r="OO11" s="37">
        <v>11.228526</v>
      </c>
      <c r="OP11" s="37">
        <v>11.228526</v>
      </c>
      <c r="OQ11" s="37">
        <v>11.228526</v>
      </c>
      <c r="OR11" s="37">
        <v>11.228526</v>
      </c>
      <c r="OS11" s="37">
        <v>11.228526</v>
      </c>
      <c r="OT11" s="37">
        <v>11.228526</v>
      </c>
      <c r="OU11" s="37">
        <v>11.228526</v>
      </c>
      <c r="OV11" s="37">
        <v>11.228526</v>
      </c>
      <c r="OW11" s="37">
        <v>11.228526</v>
      </c>
      <c r="OX11" s="37">
        <v>11.228526</v>
      </c>
      <c r="OY11" s="37">
        <v>11.228526</v>
      </c>
      <c r="OZ11" s="37">
        <v>11.228526</v>
      </c>
      <c r="PA11" s="37">
        <v>11.228526</v>
      </c>
      <c r="PB11" s="37">
        <v>11.228526</v>
      </c>
      <c r="PC11" s="37">
        <v>11.228526</v>
      </c>
      <c r="PD11" s="37">
        <v>11.228526</v>
      </c>
      <c r="PE11" s="37">
        <v>11.228526</v>
      </c>
      <c r="PF11" s="37">
        <v>11.228526</v>
      </c>
      <c r="PG11" s="37">
        <v>11.228526</v>
      </c>
      <c r="PH11" s="37">
        <v>11.228526</v>
      </c>
      <c r="PI11" s="37">
        <v>11.228526</v>
      </c>
      <c r="PJ11" s="37">
        <v>11.228526</v>
      </c>
      <c r="PK11" s="37">
        <v>11.228526</v>
      </c>
      <c r="PL11" s="37">
        <v>11.228526</v>
      </c>
      <c r="PM11" s="37">
        <v>11.228526</v>
      </c>
      <c r="PN11" s="37">
        <v>11.228526</v>
      </c>
      <c r="PO11" s="37">
        <v>11.228526</v>
      </c>
      <c r="PP11" s="37">
        <v>11.228526</v>
      </c>
      <c r="PQ11" s="37">
        <v>11.228526</v>
      </c>
      <c r="PR11" s="37">
        <v>11.228526</v>
      </c>
      <c r="PS11" s="15">
        <v>11.228526</v>
      </c>
      <c r="PT11" s="15">
        <v>11.228526</v>
      </c>
      <c r="PU11" s="15">
        <v>11.228526</v>
      </c>
      <c r="PV11" s="15">
        <v>11.228526</v>
      </c>
      <c r="PW11" s="15">
        <v>11.228526</v>
      </c>
      <c r="PX11" s="15">
        <v>11.228526</v>
      </c>
      <c r="PY11" s="15">
        <v>11.228526</v>
      </c>
      <c r="PZ11" s="15">
        <v>11.228526</v>
      </c>
      <c r="QA11" s="15">
        <v>11.228526</v>
      </c>
      <c r="QB11" s="15">
        <v>11.228526</v>
      </c>
      <c r="QC11" s="15">
        <v>11.228526</v>
      </c>
      <c r="QD11" s="15">
        <v>11.228526</v>
      </c>
      <c r="QE11" s="15">
        <v>11.228526</v>
      </c>
      <c r="QF11" s="15">
        <v>11.228526</v>
      </c>
      <c r="QG11" s="15">
        <v>11.228526</v>
      </c>
      <c r="QH11" s="15">
        <v>11.228526</v>
      </c>
      <c r="QI11" s="15">
        <v>11.228526</v>
      </c>
      <c r="QJ11" s="15">
        <v>11.228526</v>
      </c>
      <c r="QK11" s="15">
        <v>11.228526</v>
      </c>
      <c r="QL11" s="15">
        <v>11.228526</v>
      </c>
      <c r="QM11" s="15">
        <v>11.228526</v>
      </c>
      <c r="QN11" s="15">
        <v>11.228526</v>
      </c>
      <c r="QO11" s="15">
        <v>11.228526</v>
      </c>
      <c r="QP11" s="15">
        <v>11.228526</v>
      </c>
      <c r="QQ11" s="15">
        <v>11.228526</v>
      </c>
      <c r="QR11" s="15">
        <v>11.228526</v>
      </c>
      <c r="QS11" s="15">
        <v>11.228526</v>
      </c>
      <c r="QT11" s="15">
        <v>11.228526</v>
      </c>
      <c r="QU11" s="15">
        <v>11.228526</v>
      </c>
      <c r="QV11" s="15">
        <v>11.228526</v>
      </c>
      <c r="QW11" s="15">
        <v>11.228526</v>
      </c>
      <c r="QX11" s="15">
        <v>11.228526</v>
      </c>
      <c r="QY11" s="15">
        <v>11.228526</v>
      </c>
      <c r="QZ11" s="15">
        <v>11.228526</v>
      </c>
      <c r="RA11" s="15">
        <v>11.228526</v>
      </c>
      <c r="RB11" s="15">
        <v>11.228526</v>
      </c>
      <c r="RC11" s="15">
        <v>11.228526</v>
      </c>
      <c r="RD11" s="15">
        <v>11.228526</v>
      </c>
      <c r="RE11" s="15">
        <v>11.228526</v>
      </c>
      <c r="RF11" s="15">
        <v>11.228526</v>
      </c>
      <c r="RG11" s="15">
        <v>11.228526</v>
      </c>
      <c r="RH11" s="15">
        <v>11.228526</v>
      </c>
      <c r="RI11" s="15">
        <v>11.228526</v>
      </c>
      <c r="RJ11" s="15">
        <v>11.228526</v>
      </c>
      <c r="RK11" s="15">
        <v>11.228526</v>
      </c>
      <c r="RL11" s="15">
        <v>11.228526</v>
      </c>
      <c r="RM11" s="15">
        <v>11.228526</v>
      </c>
      <c r="RN11" s="15">
        <v>11.228526</v>
      </c>
      <c r="RO11" s="15">
        <v>11.228526</v>
      </c>
      <c r="RP11" s="15">
        <v>11.228526</v>
      </c>
      <c r="RQ11" s="15">
        <v>11.228526</v>
      </c>
      <c r="RR11" s="15">
        <v>11.228526</v>
      </c>
      <c r="RS11" s="15">
        <v>11.228526</v>
      </c>
      <c r="RT11" s="15">
        <v>11.228526</v>
      </c>
      <c r="RU11" s="15">
        <v>11.228526</v>
      </c>
      <c r="RV11" s="15">
        <v>11.228526</v>
      </c>
      <c r="RW11" s="15">
        <v>11.228526</v>
      </c>
      <c r="RX11" s="15">
        <v>11.228526</v>
      </c>
      <c r="RY11" s="15">
        <v>11.228526</v>
      </c>
      <c r="RZ11" s="15">
        <v>11.228526</v>
      </c>
      <c r="SA11" s="15">
        <v>11.228526</v>
      </c>
      <c r="SB11" s="15">
        <v>11.228526</v>
      </c>
      <c r="SC11" s="15">
        <v>11.228526</v>
      </c>
      <c r="SD11" s="15">
        <v>11.228526</v>
      </c>
      <c r="SE11" s="15">
        <v>11.228526</v>
      </c>
      <c r="SF11" s="15">
        <v>11.228526</v>
      </c>
      <c r="SG11" s="15">
        <v>11.228526</v>
      </c>
      <c r="SH11" s="15">
        <v>11.228526</v>
      </c>
      <c r="SI11" s="15">
        <v>11.228526</v>
      </c>
      <c r="SJ11" s="15">
        <v>9.4666499999999996</v>
      </c>
      <c r="SM11" s="15" t="s">
        <v>668</v>
      </c>
      <c r="SN11" s="15" t="s">
        <v>668</v>
      </c>
      <c r="SO11" s="15" t="s">
        <v>668</v>
      </c>
    </row>
    <row r="12" spans="1:786" x14ac:dyDescent="0.2">
      <c r="A12" s="37">
        <v>10</v>
      </c>
      <c r="B12" s="48" t="s">
        <v>509</v>
      </c>
      <c r="C12" s="17">
        <f>+'Detalle Compras'!D12</f>
        <v>202504240132</v>
      </c>
      <c r="D12" s="55">
        <f t="shared" si="13"/>
        <v>11.5488</v>
      </c>
      <c r="E12" s="14">
        <f>+IF(B12="","",'Detalle Compras'!S12+0)</f>
        <v>45910</v>
      </c>
      <c r="F12" s="14">
        <f>+IF(B12="","",EOMONTH('Detalle Compras'!S12,G12)+10)</f>
        <v>56867</v>
      </c>
      <c r="G12" s="50">
        <f t="shared" si="14"/>
        <v>359</v>
      </c>
      <c r="H12" s="50">
        <f t="shared" si="15"/>
        <v>355</v>
      </c>
      <c r="AB12" s="37">
        <v>11.5488</v>
      </c>
      <c r="AC12" s="37">
        <v>11.5488</v>
      </c>
      <c r="AD12" s="37">
        <v>11.5488</v>
      </c>
      <c r="AE12" s="37">
        <v>11.5488</v>
      </c>
      <c r="AF12" s="37">
        <v>11.5488</v>
      </c>
      <c r="AG12" s="37">
        <v>11.5488</v>
      </c>
      <c r="AH12" s="37">
        <v>11.5488</v>
      </c>
      <c r="AI12" s="37">
        <v>11.5488</v>
      </c>
      <c r="AJ12" s="37">
        <v>11.5488</v>
      </c>
      <c r="AK12" s="37">
        <v>11.5488</v>
      </c>
      <c r="AL12" s="37">
        <v>11.5488</v>
      </c>
      <c r="AM12" s="37">
        <v>11.5488</v>
      </c>
      <c r="AN12" s="37">
        <v>11.5488</v>
      </c>
      <c r="AO12" s="37">
        <v>11.5488</v>
      </c>
      <c r="AP12" s="37">
        <v>11.5488</v>
      </c>
      <c r="AQ12" s="37">
        <v>11.5488</v>
      </c>
      <c r="AR12" s="37">
        <v>11.5488</v>
      </c>
      <c r="AS12" s="37">
        <v>11.5488</v>
      </c>
      <c r="AT12" s="37">
        <v>11.5488</v>
      </c>
      <c r="AU12" s="37">
        <v>11.5488</v>
      </c>
      <c r="AV12" s="37">
        <v>11.5488</v>
      </c>
      <c r="AW12" s="37">
        <v>11.5488</v>
      </c>
      <c r="AX12" s="37">
        <v>11.5488</v>
      </c>
      <c r="AY12" s="37">
        <v>11.5488</v>
      </c>
      <c r="AZ12" s="37">
        <v>11.5488</v>
      </c>
      <c r="BA12" s="37">
        <v>11.5488</v>
      </c>
      <c r="BB12" s="37">
        <v>11.5488</v>
      </c>
      <c r="BC12" s="37">
        <v>11.5488</v>
      </c>
      <c r="BD12" s="37">
        <v>11.5488</v>
      </c>
      <c r="BE12" s="37">
        <v>11.5488</v>
      </c>
      <c r="BF12" s="37">
        <v>11.5488</v>
      </c>
      <c r="BG12" s="37">
        <v>11.5488</v>
      </c>
      <c r="BH12" s="37">
        <v>11.5488</v>
      </c>
      <c r="BI12" s="37">
        <v>11.5488</v>
      </c>
      <c r="BJ12" s="37">
        <v>11.5488</v>
      </c>
      <c r="BK12" s="37">
        <v>11.5488</v>
      </c>
      <c r="BL12" s="37">
        <v>11.5488</v>
      </c>
      <c r="BM12" s="37">
        <v>11.5488</v>
      </c>
      <c r="BN12" s="37">
        <v>11.5488</v>
      </c>
      <c r="BO12" s="37">
        <v>11.5488</v>
      </c>
      <c r="BP12" s="37">
        <v>11.5488</v>
      </c>
      <c r="BQ12" s="37">
        <v>11.5488</v>
      </c>
      <c r="BR12" s="37">
        <v>11.5488</v>
      </c>
      <c r="BS12" s="37">
        <v>11.5488</v>
      </c>
      <c r="BT12" s="37">
        <v>11.5488</v>
      </c>
      <c r="BU12" s="37">
        <v>11.5488</v>
      </c>
      <c r="BV12" s="37">
        <v>11.5488</v>
      </c>
      <c r="BW12" s="37">
        <v>11.5488</v>
      </c>
      <c r="BX12" s="37">
        <v>11.5488</v>
      </c>
      <c r="BY12" s="37">
        <v>11.5488</v>
      </c>
      <c r="BZ12" s="37">
        <v>11.5488</v>
      </c>
      <c r="CA12" s="37">
        <v>11.5488</v>
      </c>
      <c r="CB12" s="37">
        <v>11.5488</v>
      </c>
      <c r="CC12" s="37">
        <v>11.5488</v>
      </c>
      <c r="CD12" s="37">
        <v>11.5488</v>
      </c>
      <c r="CE12" s="37">
        <v>11.5488</v>
      </c>
      <c r="CF12" s="37">
        <v>11.5488</v>
      </c>
      <c r="CG12" s="37">
        <v>11.5488</v>
      </c>
      <c r="CH12" s="37">
        <v>11.5488</v>
      </c>
      <c r="CI12" s="37">
        <v>11.5488</v>
      </c>
      <c r="CJ12" s="37">
        <v>11.5488</v>
      </c>
      <c r="CK12" s="37">
        <v>11.5488</v>
      </c>
      <c r="CL12" s="37">
        <v>11.5488</v>
      </c>
      <c r="CM12" s="37">
        <v>11.5488</v>
      </c>
      <c r="CN12" s="37">
        <v>11.5488</v>
      </c>
      <c r="CO12" s="37">
        <v>11.5488</v>
      </c>
      <c r="CP12" s="37">
        <v>11.5488</v>
      </c>
      <c r="CQ12" s="37">
        <v>11.5488</v>
      </c>
      <c r="CR12" s="37">
        <v>11.5488</v>
      </c>
      <c r="CS12" s="37">
        <v>11.5488</v>
      </c>
      <c r="CT12" s="37">
        <v>11.5488</v>
      </c>
      <c r="CU12" s="37">
        <v>11.5488</v>
      </c>
      <c r="CV12" s="37">
        <v>11.5488</v>
      </c>
      <c r="CW12" s="37">
        <v>11.5488</v>
      </c>
      <c r="CX12" s="37">
        <v>11.5488</v>
      </c>
      <c r="CY12" s="37">
        <v>11.5488</v>
      </c>
      <c r="CZ12" s="37">
        <v>11.5488</v>
      </c>
      <c r="DA12" s="37">
        <v>11.5488</v>
      </c>
      <c r="DB12" s="37">
        <v>11.5488</v>
      </c>
      <c r="DC12" s="37">
        <v>11.5488</v>
      </c>
      <c r="DD12" s="37">
        <v>11.5488</v>
      </c>
      <c r="DE12" s="37">
        <v>11.5488</v>
      </c>
      <c r="DF12" s="37">
        <v>11.5488</v>
      </c>
      <c r="DG12" s="37">
        <v>11.5488</v>
      </c>
      <c r="DH12" s="37">
        <v>11.5488</v>
      </c>
      <c r="DI12" s="37">
        <v>11.5488</v>
      </c>
      <c r="DJ12" s="37">
        <v>11.5488</v>
      </c>
      <c r="DK12" s="37">
        <v>11.5488</v>
      </c>
      <c r="DL12" s="37">
        <v>11.5488</v>
      </c>
      <c r="DM12" s="37">
        <v>11.5488</v>
      </c>
      <c r="DN12" s="37">
        <v>11.5488</v>
      </c>
      <c r="DO12" s="37">
        <v>11.5488</v>
      </c>
      <c r="DP12" s="37">
        <v>11.5488</v>
      </c>
      <c r="DQ12" s="37">
        <v>11.5488</v>
      </c>
      <c r="DR12" s="37">
        <v>11.5488</v>
      </c>
      <c r="DS12" s="37">
        <v>11.5488</v>
      </c>
      <c r="DT12" s="37">
        <v>11.5488</v>
      </c>
      <c r="DU12" s="37">
        <v>11.5488</v>
      </c>
      <c r="DV12" s="37">
        <v>11.5488</v>
      </c>
      <c r="DW12" s="37">
        <v>11.5488</v>
      </c>
      <c r="DX12" s="37">
        <v>11.5488</v>
      </c>
      <c r="DY12" s="37">
        <v>11.5488</v>
      </c>
      <c r="DZ12" s="37">
        <v>11.5488</v>
      </c>
      <c r="EA12" s="37">
        <v>11.5488</v>
      </c>
      <c r="EB12" s="37">
        <v>11.5488</v>
      </c>
      <c r="EC12" s="37">
        <v>11.5488</v>
      </c>
      <c r="ED12" s="37">
        <v>11.5488</v>
      </c>
      <c r="EE12" s="37">
        <v>11.5488</v>
      </c>
      <c r="EF12" s="37">
        <v>11.5488</v>
      </c>
      <c r="EG12" s="37">
        <v>11.5488</v>
      </c>
      <c r="EH12" s="37">
        <v>11.5488</v>
      </c>
      <c r="EI12" s="37">
        <v>11.5488</v>
      </c>
      <c r="EJ12" s="37">
        <v>11.5488</v>
      </c>
      <c r="EK12" s="37">
        <v>11.5488</v>
      </c>
      <c r="EL12" s="37">
        <v>11.5488</v>
      </c>
      <c r="EM12" s="37">
        <v>11.5488</v>
      </c>
      <c r="EN12" s="37">
        <v>11.5488</v>
      </c>
      <c r="EO12" s="37">
        <v>11.5488</v>
      </c>
      <c r="EP12" s="37">
        <v>11.5488</v>
      </c>
      <c r="EQ12" s="37">
        <v>11.5488</v>
      </c>
      <c r="ER12" s="37">
        <v>11.5488</v>
      </c>
      <c r="ES12" s="37">
        <v>11.5488</v>
      </c>
      <c r="ET12" s="37">
        <v>11.5488</v>
      </c>
      <c r="EU12" s="37">
        <v>11.5488</v>
      </c>
      <c r="EV12" s="37">
        <v>11.5488</v>
      </c>
      <c r="EW12" s="37">
        <v>11.5488</v>
      </c>
      <c r="EX12" s="37">
        <v>11.5488</v>
      </c>
      <c r="EY12" s="37">
        <v>11.5488</v>
      </c>
      <c r="EZ12" s="37">
        <v>11.5488</v>
      </c>
      <c r="FA12" s="37">
        <v>11.5488</v>
      </c>
      <c r="FB12" s="37">
        <v>11.5488</v>
      </c>
      <c r="FC12" s="37">
        <v>11.5488</v>
      </c>
      <c r="FD12" s="37">
        <v>11.5488</v>
      </c>
      <c r="FE12" s="37">
        <v>11.5488</v>
      </c>
      <c r="FF12" s="37">
        <v>11.5488</v>
      </c>
      <c r="FG12" s="37">
        <v>11.5488</v>
      </c>
      <c r="FH12" s="37">
        <v>11.5488</v>
      </c>
      <c r="FI12" s="37">
        <v>11.5488</v>
      </c>
      <c r="FJ12" s="37">
        <v>11.5488</v>
      </c>
      <c r="FK12" s="37">
        <v>11.5488</v>
      </c>
      <c r="FL12" s="37">
        <v>11.5488</v>
      </c>
      <c r="FM12" s="37">
        <v>11.5488</v>
      </c>
      <c r="FN12" s="37">
        <v>11.5488</v>
      </c>
      <c r="FO12" s="37">
        <v>11.5488</v>
      </c>
      <c r="FP12" s="37">
        <v>11.5488</v>
      </c>
      <c r="FQ12" s="37">
        <v>11.5488</v>
      </c>
      <c r="FR12" s="37">
        <v>11.5488</v>
      </c>
      <c r="FS12" s="37">
        <v>11.5488</v>
      </c>
      <c r="FT12" s="37">
        <v>11.5488</v>
      </c>
      <c r="FU12" s="37">
        <v>11.5488</v>
      </c>
      <c r="FV12" s="37">
        <v>11.5488</v>
      </c>
      <c r="FW12" s="37">
        <v>11.5488</v>
      </c>
      <c r="FX12" s="37">
        <v>11.5488</v>
      </c>
      <c r="FY12" s="37">
        <v>11.5488</v>
      </c>
      <c r="FZ12" s="37">
        <v>11.5488</v>
      </c>
      <c r="GA12" s="37">
        <v>11.5488</v>
      </c>
      <c r="GB12" s="37">
        <v>11.5488</v>
      </c>
      <c r="GC12" s="37">
        <v>11.5488</v>
      </c>
      <c r="GD12" s="37">
        <v>11.5488</v>
      </c>
      <c r="GE12" s="37">
        <v>11.5488</v>
      </c>
      <c r="GF12" s="37">
        <v>11.5488</v>
      </c>
      <c r="GG12" s="37">
        <v>11.5488</v>
      </c>
      <c r="GH12" s="37">
        <v>11.5488</v>
      </c>
      <c r="GI12" s="37">
        <v>11.5488</v>
      </c>
      <c r="GJ12" s="37">
        <v>11.5488</v>
      </c>
      <c r="GK12" s="37">
        <v>11.5488</v>
      </c>
      <c r="GL12" s="37">
        <v>11.5488</v>
      </c>
      <c r="GM12" s="37">
        <v>11.5488</v>
      </c>
      <c r="GN12" s="37">
        <v>11.5488</v>
      </c>
      <c r="GO12" s="37">
        <v>11.5488</v>
      </c>
      <c r="GP12" s="37">
        <v>11.5488</v>
      </c>
      <c r="GQ12" s="37">
        <v>11.5488</v>
      </c>
      <c r="GR12" s="37">
        <v>11.5488</v>
      </c>
      <c r="GS12" s="37">
        <v>11.5488</v>
      </c>
      <c r="GT12" s="37">
        <v>11.5488</v>
      </c>
      <c r="GU12" s="37">
        <v>11.5488</v>
      </c>
      <c r="GV12" s="37">
        <v>11.5488</v>
      </c>
      <c r="GW12" s="37">
        <v>11.5488</v>
      </c>
      <c r="GX12" s="37">
        <v>11.5488</v>
      </c>
      <c r="GY12" s="37">
        <v>11.5488</v>
      </c>
      <c r="GZ12" s="37">
        <v>11.5488</v>
      </c>
      <c r="HA12" s="37">
        <v>11.5488</v>
      </c>
      <c r="HB12" s="37">
        <v>11.5488</v>
      </c>
      <c r="HC12" s="37">
        <v>11.5488</v>
      </c>
      <c r="HD12" s="37">
        <v>11.5488</v>
      </c>
      <c r="HE12" s="37">
        <v>11.5488</v>
      </c>
      <c r="HF12" s="37">
        <v>11.5488</v>
      </c>
      <c r="HG12" s="37">
        <v>11.5488</v>
      </c>
      <c r="HH12" s="37">
        <v>11.5488</v>
      </c>
      <c r="HI12" s="37">
        <v>11.5488</v>
      </c>
      <c r="HJ12" s="37">
        <v>11.5488</v>
      </c>
      <c r="HK12" s="37">
        <v>11.5488</v>
      </c>
      <c r="HL12" s="37">
        <v>11.5488</v>
      </c>
      <c r="HM12" s="37">
        <v>11.5488</v>
      </c>
      <c r="HN12" s="37">
        <v>11.5488</v>
      </c>
      <c r="HO12" s="37">
        <v>11.5488</v>
      </c>
      <c r="HP12" s="37">
        <v>11.5488</v>
      </c>
      <c r="HQ12" s="37">
        <v>11.5488</v>
      </c>
      <c r="HR12" s="37">
        <v>11.5488</v>
      </c>
      <c r="HS12" s="37">
        <v>11.5488</v>
      </c>
      <c r="HT12" s="37">
        <v>11.5488</v>
      </c>
      <c r="HU12" s="37">
        <v>11.5488</v>
      </c>
      <c r="HV12" s="37">
        <v>11.5488</v>
      </c>
      <c r="HW12" s="37">
        <v>11.5488</v>
      </c>
      <c r="HX12" s="37">
        <v>11.5488</v>
      </c>
      <c r="HY12" s="37">
        <v>11.5488</v>
      </c>
      <c r="HZ12" s="37">
        <v>11.5488</v>
      </c>
      <c r="IA12" s="37">
        <v>11.5488</v>
      </c>
      <c r="IB12" s="37">
        <v>11.5488</v>
      </c>
      <c r="IC12" s="37">
        <v>11.5488</v>
      </c>
      <c r="ID12" s="37">
        <v>11.5488</v>
      </c>
      <c r="IE12" s="37">
        <v>11.5488</v>
      </c>
      <c r="IF12" s="37">
        <v>11.5488</v>
      </c>
      <c r="IG12" s="37">
        <v>11.5488</v>
      </c>
      <c r="IH12" s="37">
        <v>11.5488</v>
      </c>
      <c r="II12" s="37">
        <v>11.5488</v>
      </c>
      <c r="IJ12" s="37">
        <v>11.5488</v>
      </c>
      <c r="IK12" s="37">
        <v>11.5488</v>
      </c>
      <c r="IL12" s="37">
        <v>11.5488</v>
      </c>
      <c r="IM12" s="37">
        <v>11.5488</v>
      </c>
      <c r="IN12" s="37">
        <v>11.5488</v>
      </c>
      <c r="IO12" s="37">
        <v>11.5488</v>
      </c>
      <c r="IP12" s="37">
        <v>11.5488</v>
      </c>
      <c r="IQ12" s="37">
        <v>11.5488</v>
      </c>
      <c r="IR12" s="37">
        <v>11.5488</v>
      </c>
      <c r="IS12" s="37">
        <v>11.5488</v>
      </c>
      <c r="IT12" s="37">
        <v>11.5488</v>
      </c>
      <c r="IU12" s="37">
        <v>11.5488</v>
      </c>
      <c r="IV12" s="37">
        <v>11.5488</v>
      </c>
      <c r="IW12" s="37">
        <v>11.5488</v>
      </c>
      <c r="IX12" s="37">
        <v>11.5488</v>
      </c>
      <c r="IY12" s="37">
        <v>11.5488</v>
      </c>
      <c r="IZ12" s="37">
        <v>11.5488</v>
      </c>
      <c r="JA12" s="37">
        <v>11.5488</v>
      </c>
      <c r="JB12" s="37">
        <v>11.5488</v>
      </c>
      <c r="JC12" s="37">
        <v>11.5488</v>
      </c>
      <c r="JD12" s="37">
        <v>11.5488</v>
      </c>
      <c r="JE12" s="37">
        <v>11.5488</v>
      </c>
      <c r="JF12" s="37">
        <v>11.5488</v>
      </c>
      <c r="JG12" s="37">
        <v>11.5488</v>
      </c>
      <c r="JH12" s="37">
        <v>11.5488</v>
      </c>
      <c r="JI12" s="37">
        <v>11.5488</v>
      </c>
      <c r="JJ12" s="37">
        <v>11.5488</v>
      </c>
      <c r="JK12" s="37">
        <v>11.5488</v>
      </c>
      <c r="JL12" s="37">
        <v>11.5488</v>
      </c>
      <c r="JM12" s="37">
        <v>11.5488</v>
      </c>
      <c r="JN12" s="37">
        <v>11.5488</v>
      </c>
      <c r="JO12" s="37">
        <v>11.5488</v>
      </c>
      <c r="JP12" s="37">
        <v>11.5488</v>
      </c>
      <c r="JQ12" s="37">
        <v>11.5488</v>
      </c>
      <c r="JR12" s="37">
        <v>11.5488</v>
      </c>
      <c r="JS12" s="37">
        <v>11.5488</v>
      </c>
      <c r="JT12" s="37">
        <v>11.5488</v>
      </c>
      <c r="JU12" s="37">
        <v>11.5488</v>
      </c>
      <c r="JV12" s="37">
        <v>11.5488</v>
      </c>
      <c r="JW12" s="37">
        <v>11.5488</v>
      </c>
      <c r="JX12" s="37">
        <v>11.5488</v>
      </c>
      <c r="JY12" s="37">
        <v>11.5488</v>
      </c>
      <c r="JZ12" s="37">
        <v>11.5488</v>
      </c>
      <c r="KA12" s="37">
        <v>11.5488</v>
      </c>
      <c r="KB12" s="37">
        <v>11.5488</v>
      </c>
      <c r="KC12" s="37">
        <v>11.5488</v>
      </c>
      <c r="KD12" s="37">
        <v>11.5488</v>
      </c>
      <c r="KE12" s="37">
        <v>11.5488</v>
      </c>
      <c r="KF12" s="37">
        <v>11.5488</v>
      </c>
      <c r="KG12" s="37">
        <v>11.5488</v>
      </c>
      <c r="KH12" s="37">
        <v>11.5488</v>
      </c>
      <c r="KI12" s="37">
        <v>11.5488</v>
      </c>
      <c r="KJ12" s="37">
        <v>11.5488</v>
      </c>
      <c r="KK12" s="37">
        <v>11.5488</v>
      </c>
      <c r="KL12" s="37">
        <v>11.5488</v>
      </c>
      <c r="KM12" s="37">
        <v>11.5488</v>
      </c>
      <c r="KN12" s="37">
        <v>11.5488</v>
      </c>
      <c r="KO12" s="37">
        <v>11.5488</v>
      </c>
      <c r="KP12" s="37">
        <v>11.5488</v>
      </c>
      <c r="KQ12" s="37">
        <v>11.5488</v>
      </c>
      <c r="KR12" s="37">
        <v>11.5488</v>
      </c>
      <c r="KS12" s="37">
        <v>11.5488</v>
      </c>
      <c r="KT12" s="37">
        <v>11.5488</v>
      </c>
      <c r="KU12" s="37">
        <v>11.5488</v>
      </c>
      <c r="KV12" s="37">
        <v>11.5488</v>
      </c>
      <c r="KW12" s="37">
        <v>11.5488</v>
      </c>
      <c r="KX12" s="37">
        <v>11.5488</v>
      </c>
      <c r="KY12" s="37">
        <v>11.5488</v>
      </c>
      <c r="KZ12" s="37">
        <v>11.5488</v>
      </c>
      <c r="LA12" s="37">
        <v>11.5488</v>
      </c>
      <c r="LB12" s="37">
        <v>11.5488</v>
      </c>
      <c r="LC12" s="37">
        <v>11.5488</v>
      </c>
      <c r="LD12" s="37">
        <v>11.5488</v>
      </c>
      <c r="LE12" s="37">
        <v>11.5488</v>
      </c>
      <c r="LF12" s="37">
        <v>11.5488</v>
      </c>
      <c r="LG12" s="37">
        <v>11.5488</v>
      </c>
      <c r="LH12" s="37">
        <v>11.5488</v>
      </c>
      <c r="LI12" s="37">
        <v>11.5488</v>
      </c>
      <c r="LJ12" s="37">
        <v>11.5488</v>
      </c>
      <c r="LK12" s="37">
        <v>11.5488</v>
      </c>
      <c r="LL12" s="37">
        <v>11.5488</v>
      </c>
      <c r="LM12" s="37">
        <v>11.5488</v>
      </c>
      <c r="LN12" s="37">
        <v>11.5488</v>
      </c>
      <c r="LO12" s="37">
        <v>11.5488</v>
      </c>
      <c r="LP12" s="37">
        <v>11.5488</v>
      </c>
      <c r="LQ12" s="37">
        <v>11.5488</v>
      </c>
      <c r="LR12" s="37">
        <v>11.5488</v>
      </c>
      <c r="LS12" s="37">
        <v>11.5488</v>
      </c>
      <c r="LT12" s="37">
        <v>11.5488</v>
      </c>
      <c r="LU12" s="37">
        <v>11.5488</v>
      </c>
      <c r="LV12" s="37">
        <v>11.5488</v>
      </c>
      <c r="LW12" s="37">
        <v>11.5488</v>
      </c>
      <c r="LX12" s="37">
        <v>11.5488</v>
      </c>
      <c r="LY12" s="37">
        <v>11.5488</v>
      </c>
      <c r="LZ12" s="37">
        <v>11.5488</v>
      </c>
      <c r="MA12" s="37">
        <v>11.5488</v>
      </c>
      <c r="MB12" s="37">
        <v>11.5488</v>
      </c>
      <c r="MC12" s="37">
        <v>11.5488</v>
      </c>
      <c r="MD12" s="37">
        <v>11.5488</v>
      </c>
      <c r="ME12" s="37">
        <v>11.5488</v>
      </c>
      <c r="MF12" s="37">
        <v>11.5488</v>
      </c>
      <c r="MG12" s="37">
        <v>11.5488</v>
      </c>
      <c r="MH12" s="37">
        <v>11.5488</v>
      </c>
      <c r="MI12" s="37">
        <v>11.5488</v>
      </c>
      <c r="MJ12" s="37">
        <v>11.5488</v>
      </c>
      <c r="MK12" s="37">
        <v>11.5488</v>
      </c>
      <c r="ML12" s="37">
        <v>11.5488</v>
      </c>
      <c r="MM12" s="37">
        <v>11.5488</v>
      </c>
      <c r="MN12" s="37">
        <v>11.5488</v>
      </c>
      <c r="MO12" s="37">
        <v>11.5488</v>
      </c>
      <c r="MP12" s="37">
        <v>11.5488</v>
      </c>
      <c r="MQ12" s="37">
        <v>11.5488</v>
      </c>
      <c r="MR12" s="37">
        <v>11.5488</v>
      </c>
      <c r="MS12" s="37">
        <v>11.5488</v>
      </c>
      <c r="MT12" s="37">
        <v>11.5488</v>
      </c>
      <c r="MU12" s="37">
        <v>11.5488</v>
      </c>
      <c r="MV12" s="37">
        <v>11.5488</v>
      </c>
      <c r="MW12" s="37">
        <v>11.5488</v>
      </c>
      <c r="MX12" s="37">
        <v>11.5488</v>
      </c>
      <c r="MY12" s="37">
        <v>11.5488</v>
      </c>
      <c r="MZ12" s="37">
        <v>11.5488</v>
      </c>
      <c r="NA12" s="37">
        <v>11.5488</v>
      </c>
      <c r="NB12" s="37">
        <v>11.5488</v>
      </c>
      <c r="NC12" s="37">
        <v>11.5488</v>
      </c>
      <c r="ND12" s="37">
        <v>11.5488</v>
      </c>
      <c r="NE12" s="37">
        <v>11.5488</v>
      </c>
      <c r="NF12" s="37">
        <v>11.5488</v>
      </c>
      <c r="NG12" s="37">
        <v>11.5488</v>
      </c>
      <c r="NH12" s="37">
        <v>11.5488</v>
      </c>
      <c r="NI12" s="37">
        <v>11.5488</v>
      </c>
      <c r="NJ12" s="37">
        <v>11.5488</v>
      </c>
      <c r="NK12" s="37">
        <v>11.5488</v>
      </c>
      <c r="NL12" s="37">
        <v>11.5488</v>
      </c>
      <c r="NM12" s="37">
        <v>11.5488</v>
      </c>
      <c r="NN12" s="37">
        <v>11.5488</v>
      </c>
      <c r="NO12" s="37">
        <v>11.5488</v>
      </c>
      <c r="NP12" s="37">
        <v>11.5488</v>
      </c>
      <c r="NQ12" s="37">
        <v>11.5488</v>
      </c>
      <c r="NR12" s="37">
        <v>11.5488</v>
      </c>
      <c r="NS12" s="37">
        <v>11.5488</v>
      </c>
      <c r="NT12" s="37">
        <v>11.5488</v>
      </c>
      <c r="NU12" s="37">
        <v>11.5488</v>
      </c>
      <c r="NV12" s="37">
        <v>11.83488</v>
      </c>
      <c r="SM12" s="15" t="s">
        <v>668</v>
      </c>
      <c r="SN12" s="15" t="s">
        <v>668</v>
      </c>
      <c r="SO12" s="15" t="s">
        <v>668</v>
      </c>
    </row>
    <row r="13" spans="1:786" x14ac:dyDescent="0.2">
      <c r="A13" s="37">
        <v>11</v>
      </c>
      <c r="B13" s="48" t="s">
        <v>510</v>
      </c>
      <c r="C13" s="17">
        <f>+'Detalle Compras'!D13</f>
        <v>202504170122</v>
      </c>
      <c r="D13" s="55">
        <f t="shared" si="13"/>
        <v>12.6721</v>
      </c>
      <c r="E13" s="14">
        <f>+IF(B13="","",'Detalle Compras'!S13+0)</f>
        <v>45910</v>
      </c>
      <c r="F13" s="14">
        <f>+IF(B13="","",EOMONTH('Detalle Compras'!S13,G13)+10)</f>
        <v>56867</v>
      </c>
      <c r="G13" s="50">
        <f t="shared" si="14"/>
        <v>359</v>
      </c>
      <c r="H13" s="50">
        <f t="shared" si="15"/>
        <v>355</v>
      </c>
      <c r="AB13" s="37">
        <v>12.6721</v>
      </c>
      <c r="AC13" s="37">
        <v>12.6721</v>
      </c>
      <c r="AD13" s="37">
        <v>12.6721</v>
      </c>
      <c r="AE13" s="37">
        <v>12.6721</v>
      </c>
      <c r="AF13" s="37">
        <v>12.6721</v>
      </c>
      <c r="AG13" s="37">
        <v>12.6721</v>
      </c>
      <c r="AH13" s="37">
        <v>12.6721</v>
      </c>
      <c r="AI13" s="37">
        <v>12.6721</v>
      </c>
      <c r="AJ13" s="37">
        <v>12.6721</v>
      </c>
      <c r="AK13" s="37">
        <v>12.6721</v>
      </c>
      <c r="AL13" s="37">
        <v>12.6721</v>
      </c>
      <c r="AM13" s="37">
        <v>12.6721</v>
      </c>
      <c r="AN13" s="37">
        <v>12.6721</v>
      </c>
      <c r="AO13" s="37">
        <v>12.6721</v>
      </c>
      <c r="AP13" s="37">
        <v>12.6721</v>
      </c>
      <c r="AQ13" s="37">
        <v>12.6721</v>
      </c>
      <c r="AR13" s="37">
        <v>12.6721</v>
      </c>
      <c r="AS13" s="37">
        <v>12.6721</v>
      </c>
      <c r="AT13" s="37">
        <v>12.6721</v>
      </c>
      <c r="AU13" s="37">
        <v>12.6721</v>
      </c>
      <c r="AV13" s="37">
        <v>12.6721</v>
      </c>
      <c r="AW13" s="37">
        <v>12.6721</v>
      </c>
      <c r="AX13" s="37">
        <v>12.6721</v>
      </c>
      <c r="AY13" s="37">
        <v>12.6721</v>
      </c>
      <c r="AZ13" s="37">
        <v>12.6721</v>
      </c>
      <c r="BA13" s="37">
        <v>12.6721</v>
      </c>
      <c r="BB13" s="37">
        <v>12.6721</v>
      </c>
      <c r="BC13" s="37">
        <v>12.6721</v>
      </c>
      <c r="BD13" s="37">
        <v>12.6721</v>
      </c>
      <c r="BE13" s="37">
        <v>12.6721</v>
      </c>
      <c r="BF13" s="37">
        <v>12.6721</v>
      </c>
      <c r="BG13" s="37">
        <v>12.6721</v>
      </c>
      <c r="BH13" s="37">
        <v>12.6721</v>
      </c>
      <c r="BI13" s="37">
        <v>12.6721</v>
      </c>
      <c r="BJ13" s="37">
        <v>12.6721</v>
      </c>
      <c r="BK13" s="37">
        <v>12.6721</v>
      </c>
      <c r="BL13" s="37">
        <v>12.6721</v>
      </c>
      <c r="BM13" s="37">
        <v>12.6721</v>
      </c>
      <c r="BN13" s="37">
        <v>12.6721</v>
      </c>
      <c r="BO13" s="37">
        <v>12.6721</v>
      </c>
      <c r="BP13" s="37">
        <v>12.6721</v>
      </c>
      <c r="BQ13" s="37">
        <v>12.6721</v>
      </c>
      <c r="BR13" s="37">
        <v>12.6721</v>
      </c>
      <c r="BS13" s="37">
        <v>12.6721</v>
      </c>
      <c r="BT13" s="37">
        <v>12.6721</v>
      </c>
      <c r="BU13" s="37">
        <v>12.6721</v>
      </c>
      <c r="BV13" s="37">
        <v>12.6721</v>
      </c>
      <c r="BW13" s="37">
        <v>12.6721</v>
      </c>
      <c r="BX13" s="37">
        <v>12.6721</v>
      </c>
      <c r="BY13" s="37">
        <v>12.6721</v>
      </c>
      <c r="BZ13" s="37">
        <v>12.6721</v>
      </c>
      <c r="CA13" s="37">
        <v>12.6721</v>
      </c>
      <c r="CB13" s="37">
        <v>12.6721</v>
      </c>
      <c r="CC13" s="37">
        <v>12.6721</v>
      </c>
      <c r="CD13" s="37">
        <v>12.6721</v>
      </c>
      <c r="CE13" s="37">
        <v>12.6721</v>
      </c>
      <c r="CF13" s="37">
        <v>12.6721</v>
      </c>
      <c r="CG13" s="37">
        <v>12.6721</v>
      </c>
      <c r="CH13" s="37">
        <v>12.6721</v>
      </c>
      <c r="CI13" s="37">
        <v>12.6721</v>
      </c>
      <c r="CJ13" s="37">
        <v>12.6721</v>
      </c>
      <c r="CK13" s="37">
        <v>12.6721</v>
      </c>
      <c r="CL13" s="37">
        <v>12.6721</v>
      </c>
      <c r="CM13" s="37">
        <v>12.6721</v>
      </c>
      <c r="CN13" s="37">
        <v>12.6721</v>
      </c>
      <c r="CO13" s="37">
        <v>12.6721</v>
      </c>
      <c r="CP13" s="37">
        <v>12.6721</v>
      </c>
      <c r="CQ13" s="37">
        <v>12.6721</v>
      </c>
      <c r="CR13" s="37">
        <v>12.6721</v>
      </c>
      <c r="CS13" s="37">
        <v>12.6721</v>
      </c>
      <c r="CT13" s="37">
        <v>12.6721</v>
      </c>
      <c r="CU13" s="37">
        <v>12.6721</v>
      </c>
      <c r="CV13" s="37">
        <v>12.6721</v>
      </c>
      <c r="CW13" s="37">
        <v>12.6721</v>
      </c>
      <c r="CX13" s="37">
        <v>12.6721</v>
      </c>
      <c r="CY13" s="37">
        <v>12.6721</v>
      </c>
      <c r="CZ13" s="37">
        <v>12.6721</v>
      </c>
      <c r="DA13" s="37">
        <v>12.6721</v>
      </c>
      <c r="DB13" s="37">
        <v>12.6721</v>
      </c>
      <c r="DC13" s="37">
        <v>12.6721</v>
      </c>
      <c r="DD13" s="37">
        <v>12.6721</v>
      </c>
      <c r="DE13" s="37">
        <v>12.6721</v>
      </c>
      <c r="DF13" s="37">
        <v>12.6721</v>
      </c>
      <c r="DG13" s="37">
        <v>12.6721</v>
      </c>
      <c r="DH13" s="37">
        <v>12.6721</v>
      </c>
      <c r="DI13" s="37">
        <v>12.6721</v>
      </c>
      <c r="DJ13" s="37">
        <v>12.6721</v>
      </c>
      <c r="DK13" s="37">
        <v>12.6721</v>
      </c>
      <c r="DL13" s="37">
        <v>12.6721</v>
      </c>
      <c r="DM13" s="37">
        <v>12.6721</v>
      </c>
      <c r="DN13" s="37">
        <v>12.6721</v>
      </c>
      <c r="DO13" s="37">
        <v>12.6721</v>
      </c>
      <c r="DP13" s="37">
        <v>12.6721</v>
      </c>
      <c r="DQ13" s="37">
        <v>12.6721</v>
      </c>
      <c r="DR13" s="37">
        <v>12.6721</v>
      </c>
      <c r="DS13" s="37">
        <v>12.6721</v>
      </c>
      <c r="DT13" s="37">
        <v>12.6721</v>
      </c>
      <c r="DU13" s="37">
        <v>12.6721</v>
      </c>
      <c r="DV13" s="37">
        <v>12.6721</v>
      </c>
      <c r="DW13" s="37">
        <v>12.6721</v>
      </c>
      <c r="DX13" s="37">
        <v>12.6721</v>
      </c>
      <c r="DY13" s="37">
        <v>12.6721</v>
      </c>
      <c r="DZ13" s="37">
        <v>12.6721</v>
      </c>
      <c r="EA13" s="37">
        <v>12.6721</v>
      </c>
      <c r="EB13" s="37">
        <v>12.6721</v>
      </c>
      <c r="EC13" s="37">
        <v>12.6721</v>
      </c>
      <c r="ED13" s="37">
        <v>12.6721</v>
      </c>
      <c r="EE13" s="37">
        <v>12.6721</v>
      </c>
      <c r="EF13" s="37">
        <v>12.6721</v>
      </c>
      <c r="EG13" s="37">
        <v>12.6721</v>
      </c>
      <c r="EH13" s="37">
        <v>12.6721</v>
      </c>
      <c r="EI13" s="37">
        <v>12.6721</v>
      </c>
      <c r="EJ13" s="37">
        <v>12.6721</v>
      </c>
      <c r="EK13" s="37">
        <v>12.6721</v>
      </c>
      <c r="EL13" s="37">
        <v>12.6721</v>
      </c>
      <c r="EM13" s="37">
        <v>12.6721</v>
      </c>
      <c r="EN13" s="37">
        <v>12.6721</v>
      </c>
      <c r="EO13" s="37">
        <v>12.6721</v>
      </c>
      <c r="EP13" s="37">
        <v>12.6721</v>
      </c>
      <c r="EQ13" s="37">
        <v>12.6721</v>
      </c>
      <c r="ER13" s="37">
        <v>12.6721</v>
      </c>
      <c r="ES13" s="37">
        <v>12.6721</v>
      </c>
      <c r="ET13" s="37">
        <v>12.6721</v>
      </c>
      <c r="EU13" s="37">
        <v>12.6721</v>
      </c>
      <c r="EV13" s="37">
        <v>12.6721</v>
      </c>
      <c r="EW13" s="37">
        <v>12.6721</v>
      </c>
      <c r="EX13" s="37">
        <v>12.6721</v>
      </c>
      <c r="EY13" s="37">
        <v>12.6721</v>
      </c>
      <c r="EZ13" s="37">
        <v>12.6721</v>
      </c>
      <c r="FA13" s="37">
        <v>12.6721</v>
      </c>
      <c r="FB13" s="37">
        <v>12.6721</v>
      </c>
      <c r="FC13" s="37">
        <v>12.6721</v>
      </c>
      <c r="FD13" s="37">
        <v>12.6721</v>
      </c>
      <c r="FE13" s="37">
        <v>12.6721</v>
      </c>
      <c r="FF13" s="37">
        <v>12.6721</v>
      </c>
      <c r="FG13" s="37">
        <v>12.6721</v>
      </c>
      <c r="FH13" s="37">
        <v>12.6721</v>
      </c>
      <c r="FI13" s="37">
        <v>12.6721</v>
      </c>
      <c r="FJ13" s="37">
        <v>12.6721</v>
      </c>
      <c r="FK13" s="37">
        <v>12.6721</v>
      </c>
      <c r="FL13" s="37">
        <v>12.6721</v>
      </c>
      <c r="FM13" s="37">
        <v>12.6721</v>
      </c>
      <c r="FN13" s="37">
        <v>12.6721</v>
      </c>
      <c r="FO13" s="37">
        <v>12.6721</v>
      </c>
      <c r="FP13" s="37">
        <v>12.6721</v>
      </c>
      <c r="FQ13" s="37">
        <v>12.6721</v>
      </c>
      <c r="FR13" s="37">
        <v>12.6721</v>
      </c>
      <c r="FS13" s="37">
        <v>12.6721</v>
      </c>
      <c r="FT13" s="37">
        <v>12.6721</v>
      </c>
      <c r="FU13" s="37">
        <v>12.6721</v>
      </c>
      <c r="FV13" s="37">
        <v>12.6721</v>
      </c>
      <c r="FW13" s="37">
        <v>12.6721</v>
      </c>
      <c r="FX13" s="37">
        <v>12.6721</v>
      </c>
      <c r="FY13" s="37">
        <v>12.6721</v>
      </c>
      <c r="FZ13" s="37">
        <v>12.6721</v>
      </c>
      <c r="GA13" s="37">
        <v>12.6721</v>
      </c>
      <c r="GB13" s="37">
        <v>12.6721</v>
      </c>
      <c r="GC13" s="37">
        <v>12.6721</v>
      </c>
      <c r="GD13" s="37">
        <v>12.6721</v>
      </c>
      <c r="GE13" s="37">
        <v>12.6721</v>
      </c>
      <c r="GF13" s="37">
        <v>12.6721</v>
      </c>
      <c r="GG13" s="37">
        <v>12.6721</v>
      </c>
      <c r="GH13" s="37">
        <v>12.6721</v>
      </c>
      <c r="GI13" s="37">
        <v>12.6721</v>
      </c>
      <c r="GJ13" s="37">
        <v>12.6721</v>
      </c>
      <c r="GK13" s="37">
        <v>12.6721</v>
      </c>
      <c r="GL13" s="37">
        <v>12.6721</v>
      </c>
      <c r="GM13" s="37">
        <v>12.6721</v>
      </c>
      <c r="GN13" s="37">
        <v>12.6721</v>
      </c>
      <c r="GO13" s="37">
        <v>12.6721</v>
      </c>
      <c r="GP13" s="37">
        <v>12.6721</v>
      </c>
      <c r="GQ13" s="37">
        <v>12.6721</v>
      </c>
      <c r="GR13" s="37">
        <v>12.6721</v>
      </c>
      <c r="GS13" s="37">
        <v>12.6721</v>
      </c>
      <c r="GT13" s="37">
        <v>12.6721</v>
      </c>
      <c r="GU13" s="37">
        <v>12.6721</v>
      </c>
      <c r="GV13" s="37">
        <v>12.6721</v>
      </c>
      <c r="GW13" s="37">
        <v>12.6721</v>
      </c>
      <c r="GX13" s="37">
        <v>12.6721</v>
      </c>
      <c r="GY13" s="37">
        <v>12.6721</v>
      </c>
      <c r="GZ13" s="37">
        <v>12.6721</v>
      </c>
      <c r="HA13" s="37">
        <v>12.6721</v>
      </c>
      <c r="HB13" s="37">
        <v>12.6721</v>
      </c>
      <c r="HC13" s="37">
        <v>12.6721</v>
      </c>
      <c r="HD13" s="37">
        <v>12.6721</v>
      </c>
      <c r="HE13" s="37">
        <v>12.6721</v>
      </c>
      <c r="HF13" s="37">
        <v>12.6721</v>
      </c>
      <c r="HG13" s="37">
        <v>12.6721</v>
      </c>
      <c r="HH13" s="37">
        <v>12.6721</v>
      </c>
      <c r="HI13" s="37">
        <v>12.6721</v>
      </c>
      <c r="HJ13" s="37">
        <v>12.6721</v>
      </c>
      <c r="HK13" s="37">
        <v>12.6721</v>
      </c>
      <c r="HL13" s="37">
        <v>12.6721</v>
      </c>
      <c r="HM13" s="37">
        <v>12.6721</v>
      </c>
      <c r="HN13" s="37">
        <v>12.6721</v>
      </c>
      <c r="HO13" s="37">
        <v>12.6721</v>
      </c>
      <c r="HP13" s="37">
        <v>12.6721</v>
      </c>
      <c r="HQ13" s="37">
        <v>12.6721</v>
      </c>
      <c r="HR13" s="37">
        <v>12.6721</v>
      </c>
      <c r="HS13" s="37">
        <v>12.6721</v>
      </c>
      <c r="HT13" s="37">
        <v>12.6721</v>
      </c>
      <c r="HU13" s="37">
        <v>12.6721</v>
      </c>
      <c r="HV13" s="37">
        <v>12.6721</v>
      </c>
      <c r="HW13" s="37">
        <v>12.6721</v>
      </c>
      <c r="HX13" s="37">
        <v>12.6721</v>
      </c>
      <c r="HY13" s="37">
        <v>12.6721</v>
      </c>
      <c r="HZ13" s="37">
        <v>12.6721</v>
      </c>
      <c r="IA13" s="37">
        <v>12.6721</v>
      </c>
      <c r="IB13" s="37">
        <v>12.6721</v>
      </c>
      <c r="IC13" s="37">
        <v>12.6721</v>
      </c>
      <c r="ID13" s="37">
        <v>12.6721</v>
      </c>
      <c r="IE13" s="37">
        <v>12.6721</v>
      </c>
      <c r="IF13" s="37">
        <v>12.6721</v>
      </c>
      <c r="IG13" s="37">
        <v>12.6721</v>
      </c>
      <c r="IH13" s="37">
        <v>12.6721</v>
      </c>
      <c r="II13" s="37">
        <v>12.6721</v>
      </c>
      <c r="IJ13" s="37">
        <v>12.6721</v>
      </c>
      <c r="IK13" s="37">
        <v>12.6721</v>
      </c>
      <c r="IL13" s="37">
        <v>12.6721</v>
      </c>
      <c r="IM13" s="37">
        <v>12.6721</v>
      </c>
      <c r="IN13" s="37">
        <v>12.6721</v>
      </c>
      <c r="IO13" s="37">
        <v>12.6721</v>
      </c>
      <c r="IP13" s="37">
        <v>12.6721</v>
      </c>
      <c r="IQ13" s="37">
        <v>12.6721</v>
      </c>
      <c r="IR13" s="37">
        <v>12.6721</v>
      </c>
      <c r="IS13" s="37">
        <v>12.6721</v>
      </c>
      <c r="IT13" s="37">
        <v>12.6721</v>
      </c>
      <c r="IU13" s="37">
        <v>12.6721</v>
      </c>
      <c r="IV13" s="37">
        <v>12.6721</v>
      </c>
      <c r="IW13" s="37">
        <v>12.6721</v>
      </c>
      <c r="IX13" s="37">
        <v>12.6721</v>
      </c>
      <c r="IY13" s="37">
        <v>12.6721</v>
      </c>
      <c r="IZ13" s="37">
        <v>12.6721</v>
      </c>
      <c r="JA13" s="37">
        <v>12.6721</v>
      </c>
      <c r="JB13" s="37">
        <v>12.6721</v>
      </c>
      <c r="JC13" s="37">
        <v>12.6721</v>
      </c>
      <c r="JD13" s="37">
        <v>12.6721</v>
      </c>
      <c r="JE13" s="37">
        <v>12.6721</v>
      </c>
      <c r="JF13" s="37">
        <v>12.6721</v>
      </c>
      <c r="JG13" s="37">
        <v>12.6721</v>
      </c>
      <c r="JH13" s="37">
        <v>12.6721</v>
      </c>
      <c r="JI13" s="37">
        <v>12.6721</v>
      </c>
      <c r="JJ13" s="37">
        <v>12.6721</v>
      </c>
      <c r="JK13" s="37">
        <v>12.6721</v>
      </c>
      <c r="JL13" s="37">
        <v>12.6721</v>
      </c>
      <c r="JM13" s="37">
        <v>12.6721</v>
      </c>
      <c r="JN13" s="37">
        <v>12.6721</v>
      </c>
      <c r="JO13" s="37">
        <v>12.6721</v>
      </c>
      <c r="JP13" s="37">
        <v>12.6721</v>
      </c>
      <c r="JQ13" s="37">
        <v>12.6721</v>
      </c>
      <c r="JR13" s="37">
        <v>12.6721</v>
      </c>
      <c r="JS13" s="37">
        <v>12.6721</v>
      </c>
      <c r="JT13" s="37">
        <v>12.6721</v>
      </c>
      <c r="JU13" s="37">
        <v>12.6721</v>
      </c>
      <c r="JV13" s="37">
        <v>12.6721</v>
      </c>
      <c r="JW13" s="37">
        <v>12.6721</v>
      </c>
      <c r="JX13" s="37">
        <v>12.6721</v>
      </c>
      <c r="JY13" s="37">
        <v>12.6721</v>
      </c>
      <c r="JZ13" s="37">
        <v>12.6721</v>
      </c>
      <c r="KA13" s="37">
        <v>12.6721</v>
      </c>
      <c r="KB13" s="37">
        <v>12.6721</v>
      </c>
      <c r="KC13" s="37">
        <v>12.6721</v>
      </c>
      <c r="KD13" s="37">
        <v>12.6721</v>
      </c>
      <c r="KE13" s="37">
        <v>12.6721</v>
      </c>
      <c r="KF13" s="37">
        <v>12.6721</v>
      </c>
      <c r="KG13" s="37">
        <v>12.6721</v>
      </c>
      <c r="KH13" s="37">
        <v>12.6721</v>
      </c>
      <c r="KI13" s="37">
        <v>12.6721</v>
      </c>
      <c r="KJ13" s="37">
        <v>12.6721</v>
      </c>
      <c r="KK13" s="37">
        <v>12.6721</v>
      </c>
      <c r="KL13" s="37">
        <v>12.6721</v>
      </c>
      <c r="KM13" s="37">
        <v>12.6721</v>
      </c>
      <c r="KN13" s="37">
        <v>12.6721</v>
      </c>
      <c r="KO13" s="37">
        <v>12.6721</v>
      </c>
      <c r="KP13" s="37">
        <v>12.6721</v>
      </c>
      <c r="KQ13" s="37">
        <v>12.6721</v>
      </c>
      <c r="KR13" s="37">
        <v>12.6721</v>
      </c>
      <c r="KS13" s="37">
        <v>12.6721</v>
      </c>
      <c r="KT13" s="37">
        <v>12.6721</v>
      </c>
      <c r="KU13" s="37">
        <v>12.6721</v>
      </c>
      <c r="KV13" s="37">
        <v>12.6721</v>
      </c>
      <c r="KW13" s="37">
        <v>12.6721</v>
      </c>
      <c r="KX13" s="37">
        <v>12.6721</v>
      </c>
      <c r="KY13" s="37">
        <v>12.6721</v>
      </c>
      <c r="KZ13" s="37">
        <v>12.6721</v>
      </c>
      <c r="LA13" s="37">
        <v>12.6721</v>
      </c>
      <c r="LB13" s="37">
        <v>12.6721</v>
      </c>
      <c r="LC13" s="37">
        <v>12.6721</v>
      </c>
      <c r="LD13" s="37">
        <v>12.6721</v>
      </c>
      <c r="LE13" s="37">
        <v>12.6721</v>
      </c>
      <c r="LF13" s="37">
        <v>12.6721</v>
      </c>
      <c r="LG13" s="37">
        <v>12.6721</v>
      </c>
      <c r="LH13" s="37">
        <v>12.6721</v>
      </c>
      <c r="LI13" s="37">
        <v>12.6721</v>
      </c>
      <c r="LJ13" s="37">
        <v>12.6721</v>
      </c>
      <c r="LK13" s="37">
        <v>12.6721</v>
      </c>
      <c r="LL13" s="37">
        <v>12.6721</v>
      </c>
      <c r="LM13" s="37">
        <v>12.6721</v>
      </c>
      <c r="LN13" s="37">
        <v>12.6721</v>
      </c>
      <c r="LO13" s="37">
        <v>12.6721</v>
      </c>
      <c r="LP13" s="37">
        <v>12.6721</v>
      </c>
      <c r="LQ13" s="37">
        <v>12.6721</v>
      </c>
      <c r="LR13" s="37">
        <v>12.6721</v>
      </c>
      <c r="LS13" s="37">
        <v>12.6721</v>
      </c>
      <c r="LT13" s="37">
        <v>12.6721</v>
      </c>
      <c r="LU13" s="37">
        <v>12.6721</v>
      </c>
      <c r="LV13" s="37">
        <v>12.6721</v>
      </c>
      <c r="LW13" s="37">
        <v>12.6721</v>
      </c>
      <c r="LX13" s="37">
        <v>12.6721</v>
      </c>
      <c r="LY13" s="37">
        <v>12.6721</v>
      </c>
      <c r="LZ13" s="37">
        <v>12.6721</v>
      </c>
      <c r="MA13" s="37">
        <v>12.6721</v>
      </c>
      <c r="MB13" s="37">
        <v>12.6721</v>
      </c>
      <c r="MC13" s="37">
        <v>12.6721</v>
      </c>
      <c r="MD13" s="37">
        <v>12.6721</v>
      </c>
      <c r="ME13" s="37">
        <v>12.6721</v>
      </c>
      <c r="MF13" s="37">
        <v>12.6721</v>
      </c>
      <c r="MG13" s="37">
        <v>12.6721</v>
      </c>
      <c r="MH13" s="37">
        <v>12.6721</v>
      </c>
      <c r="MI13" s="37">
        <v>12.6721</v>
      </c>
      <c r="MJ13" s="37">
        <v>12.6721</v>
      </c>
      <c r="MK13" s="37">
        <v>12.6721</v>
      </c>
      <c r="ML13" s="37">
        <v>12.6721</v>
      </c>
      <c r="MM13" s="37">
        <v>12.6721</v>
      </c>
      <c r="MN13" s="37">
        <v>12.6721</v>
      </c>
      <c r="MO13" s="37">
        <v>12.6721</v>
      </c>
      <c r="MP13" s="37">
        <v>12.6721</v>
      </c>
      <c r="MQ13" s="37">
        <v>12.6721</v>
      </c>
      <c r="MR13" s="37">
        <v>12.6721</v>
      </c>
      <c r="MS13" s="37">
        <v>12.6721</v>
      </c>
      <c r="MT13" s="37">
        <v>12.6721</v>
      </c>
      <c r="MU13" s="37">
        <v>12.6721</v>
      </c>
      <c r="MV13" s="37">
        <v>12.6721</v>
      </c>
      <c r="MW13" s="37">
        <v>12.6721</v>
      </c>
      <c r="MX13" s="37">
        <v>12.6721</v>
      </c>
      <c r="MY13" s="37">
        <v>12.6721</v>
      </c>
      <c r="MZ13" s="37">
        <v>12.6721</v>
      </c>
      <c r="NA13" s="37">
        <v>12.6721</v>
      </c>
      <c r="NB13" s="37">
        <v>12.6721</v>
      </c>
      <c r="NC13" s="37">
        <v>12.6721</v>
      </c>
      <c r="ND13" s="37">
        <v>12.6721</v>
      </c>
      <c r="NE13" s="37">
        <v>12.6721</v>
      </c>
      <c r="NF13" s="37">
        <v>12.6721</v>
      </c>
      <c r="NG13" s="37">
        <v>12.6721</v>
      </c>
      <c r="NH13" s="37">
        <v>12.6721</v>
      </c>
      <c r="NI13" s="37">
        <v>12.6721</v>
      </c>
      <c r="NJ13" s="37">
        <v>12.6721</v>
      </c>
      <c r="NK13" s="37">
        <v>12.6721</v>
      </c>
      <c r="NL13" s="37">
        <v>12.6721</v>
      </c>
      <c r="NM13" s="37">
        <v>12.6721</v>
      </c>
      <c r="NN13" s="37">
        <v>12.6721</v>
      </c>
      <c r="NO13" s="37">
        <v>12.6721</v>
      </c>
      <c r="NP13" s="37">
        <v>12.6721</v>
      </c>
      <c r="NQ13" s="37">
        <v>12.6721</v>
      </c>
      <c r="NR13" s="37">
        <v>12.6721</v>
      </c>
      <c r="NS13" s="37">
        <v>12.6721</v>
      </c>
      <c r="NT13" s="37">
        <v>12.6721</v>
      </c>
      <c r="NU13" s="37">
        <v>12.6721</v>
      </c>
      <c r="NV13" s="37">
        <v>12.052899999999999</v>
      </c>
      <c r="SM13" s="15" t="s">
        <v>668</v>
      </c>
      <c r="SN13" s="15" t="s">
        <v>668</v>
      </c>
      <c r="SO13" s="15" t="s">
        <v>668</v>
      </c>
    </row>
    <row r="14" spans="1:786" x14ac:dyDescent="0.2">
      <c r="A14" s="37">
        <v>12</v>
      </c>
      <c r="B14" s="48" t="s">
        <v>511</v>
      </c>
      <c r="C14" s="17">
        <f>+'Detalle Compras'!D14</f>
        <v>202504300165</v>
      </c>
      <c r="D14" s="55">
        <f t="shared" si="13"/>
        <v>8.1826799999999995</v>
      </c>
      <c r="E14" s="14">
        <f>+IF(B14="","",'Detalle Compras'!S14+0)</f>
        <v>45879</v>
      </c>
      <c r="F14" s="14">
        <f>+IF(B14="","",EOMONTH('Detalle Compras'!S14,G14)+10)</f>
        <v>56805</v>
      </c>
      <c r="G14" s="50">
        <f t="shared" si="14"/>
        <v>358</v>
      </c>
      <c r="H14" s="50">
        <f t="shared" si="15"/>
        <v>354</v>
      </c>
      <c r="AB14" s="37">
        <v>8.1826799999999995</v>
      </c>
      <c r="AC14" s="37">
        <v>8.1826799999999995</v>
      </c>
      <c r="AD14" s="37">
        <v>8.1826799999999995</v>
      </c>
      <c r="AE14" s="37">
        <v>8.1826799999999995</v>
      </c>
      <c r="AF14" s="37">
        <v>8.1826799999999995</v>
      </c>
      <c r="AG14" s="37">
        <v>8.1826799999999995</v>
      </c>
      <c r="AH14" s="37">
        <v>8.1826799999999995</v>
      </c>
      <c r="AI14" s="37">
        <v>8.1826799999999995</v>
      </c>
      <c r="AJ14" s="37">
        <v>8.1826799999999995</v>
      </c>
      <c r="AK14" s="37">
        <v>8.1826799999999995</v>
      </c>
      <c r="AL14" s="37">
        <v>8.1826799999999995</v>
      </c>
      <c r="AM14" s="37">
        <v>8.1826799999999995</v>
      </c>
      <c r="AN14" s="37">
        <v>8.1826799999999995</v>
      </c>
      <c r="AO14" s="37">
        <v>8.1826799999999995</v>
      </c>
      <c r="AP14" s="37">
        <v>8.1826799999999995</v>
      </c>
      <c r="AQ14" s="37">
        <v>8.1826799999999995</v>
      </c>
      <c r="AR14" s="37">
        <v>8.1826799999999995</v>
      </c>
      <c r="AS14" s="37">
        <v>8.1826799999999995</v>
      </c>
      <c r="AT14" s="37">
        <v>8.1826799999999995</v>
      </c>
      <c r="AU14" s="37">
        <v>8.1826799999999995</v>
      </c>
      <c r="AV14" s="37">
        <v>8.1826799999999995</v>
      </c>
      <c r="AW14" s="37">
        <v>8.1826799999999995</v>
      </c>
      <c r="AX14" s="37">
        <v>8.1826799999999995</v>
      </c>
      <c r="AY14" s="37">
        <v>8.1826799999999995</v>
      </c>
      <c r="AZ14" s="37">
        <v>8.1826799999999995</v>
      </c>
      <c r="BA14" s="37">
        <v>8.1826799999999995</v>
      </c>
      <c r="BB14" s="37">
        <v>8.1826799999999995</v>
      </c>
      <c r="BC14" s="37">
        <v>8.1826799999999995</v>
      </c>
      <c r="BD14" s="37">
        <v>8.1826799999999995</v>
      </c>
      <c r="BE14" s="37">
        <v>8.1826799999999995</v>
      </c>
      <c r="BF14" s="37">
        <v>8.1826799999999995</v>
      </c>
      <c r="BG14" s="37">
        <v>8.1826799999999995</v>
      </c>
      <c r="BH14" s="37">
        <v>8.1826799999999995</v>
      </c>
      <c r="BI14" s="37">
        <v>8.1826799999999995</v>
      </c>
      <c r="BJ14" s="37">
        <v>8.1826799999999995</v>
      </c>
      <c r="BK14" s="37">
        <v>8.1826799999999995</v>
      </c>
      <c r="BL14" s="37">
        <v>8.1826799999999995</v>
      </c>
      <c r="BM14" s="37">
        <v>8.1826799999999995</v>
      </c>
      <c r="BN14" s="37">
        <v>8.1826799999999995</v>
      </c>
      <c r="BO14" s="37">
        <v>8.1826799999999995</v>
      </c>
      <c r="BP14" s="37">
        <v>8.1826799999999995</v>
      </c>
      <c r="BQ14" s="37">
        <v>8.1826799999999995</v>
      </c>
      <c r="BR14" s="37">
        <v>8.1826799999999995</v>
      </c>
      <c r="BS14" s="37">
        <v>8.1826799999999995</v>
      </c>
      <c r="BT14" s="37">
        <v>8.1826799999999995</v>
      </c>
      <c r="BU14" s="37">
        <v>8.1826799999999995</v>
      </c>
      <c r="BV14" s="37">
        <v>8.1826799999999995</v>
      </c>
      <c r="BW14" s="37">
        <v>8.1826799999999995</v>
      </c>
      <c r="BX14" s="37">
        <v>8.1826799999999995</v>
      </c>
      <c r="BY14" s="37">
        <v>8.1826799999999995</v>
      </c>
      <c r="BZ14" s="37">
        <v>8.1826799999999995</v>
      </c>
      <c r="CA14" s="37">
        <v>8.1826799999999995</v>
      </c>
      <c r="CB14" s="37">
        <v>8.1826799999999995</v>
      </c>
      <c r="CC14" s="37">
        <v>8.1826799999999995</v>
      </c>
      <c r="CD14" s="37">
        <v>8.1826799999999995</v>
      </c>
      <c r="CE14" s="37">
        <v>8.1826799999999995</v>
      </c>
      <c r="CF14" s="37">
        <v>8.1826799999999995</v>
      </c>
      <c r="CG14" s="37">
        <v>8.1826799999999995</v>
      </c>
      <c r="CH14" s="37">
        <v>8.1826799999999995</v>
      </c>
      <c r="CI14" s="37">
        <v>8.1826799999999995</v>
      </c>
      <c r="CJ14" s="37">
        <v>8.1826799999999995</v>
      </c>
      <c r="CK14" s="37">
        <v>8.1826799999999995</v>
      </c>
      <c r="CL14" s="37">
        <v>8.1826799999999995</v>
      </c>
      <c r="CM14" s="37">
        <v>8.1826799999999995</v>
      </c>
      <c r="CN14" s="37">
        <v>8.1826799999999995</v>
      </c>
      <c r="CO14" s="37">
        <v>8.1826799999999995</v>
      </c>
      <c r="CP14" s="37">
        <v>8.1826799999999995</v>
      </c>
      <c r="CQ14" s="37">
        <v>8.1826799999999995</v>
      </c>
      <c r="CR14" s="37">
        <v>8.1826799999999995</v>
      </c>
      <c r="CS14" s="37">
        <v>8.1826799999999995</v>
      </c>
      <c r="CT14" s="37">
        <v>8.1826799999999995</v>
      </c>
      <c r="CU14" s="37">
        <v>8.1826799999999995</v>
      </c>
      <c r="CV14" s="37">
        <v>8.1826799999999995</v>
      </c>
      <c r="CW14" s="37">
        <v>8.1826799999999995</v>
      </c>
      <c r="CX14" s="37">
        <v>8.1826799999999995</v>
      </c>
      <c r="CY14" s="37">
        <v>8.1826799999999995</v>
      </c>
      <c r="CZ14" s="37">
        <v>8.1826799999999995</v>
      </c>
      <c r="DA14" s="37">
        <v>8.1826799999999995</v>
      </c>
      <c r="DB14" s="37">
        <v>8.1826799999999995</v>
      </c>
      <c r="DC14" s="37">
        <v>8.1826799999999995</v>
      </c>
      <c r="DD14" s="37">
        <v>8.1826799999999995</v>
      </c>
      <c r="DE14" s="37">
        <v>8.1826799999999995</v>
      </c>
      <c r="DF14" s="37">
        <v>8.1826799999999995</v>
      </c>
      <c r="DG14" s="37">
        <v>8.1826799999999995</v>
      </c>
      <c r="DH14" s="37">
        <v>8.1826799999999995</v>
      </c>
      <c r="DI14" s="37">
        <v>8.1826799999999995</v>
      </c>
      <c r="DJ14" s="37">
        <v>8.1826799999999995</v>
      </c>
      <c r="DK14" s="37">
        <v>8.1826799999999995</v>
      </c>
      <c r="DL14" s="37">
        <v>8.1826799999999995</v>
      </c>
      <c r="DM14" s="37">
        <v>8.1826799999999995</v>
      </c>
      <c r="DN14" s="37">
        <v>8.1826799999999995</v>
      </c>
      <c r="DO14" s="37">
        <v>8.1826799999999995</v>
      </c>
      <c r="DP14" s="37">
        <v>8.1826799999999995</v>
      </c>
      <c r="DQ14" s="37">
        <v>8.1826799999999995</v>
      </c>
      <c r="DR14" s="37">
        <v>8.1826799999999995</v>
      </c>
      <c r="DS14" s="37">
        <v>8.1826799999999995</v>
      </c>
      <c r="DT14" s="37">
        <v>8.1826799999999995</v>
      </c>
      <c r="DU14" s="37">
        <v>8.1826799999999995</v>
      </c>
      <c r="DV14" s="37">
        <v>8.1826799999999995</v>
      </c>
      <c r="DW14" s="37">
        <v>8.1826799999999995</v>
      </c>
      <c r="DX14" s="37">
        <v>8.1826799999999995</v>
      </c>
      <c r="DY14" s="37">
        <v>8.1826799999999995</v>
      </c>
      <c r="DZ14" s="37">
        <v>8.1826799999999995</v>
      </c>
      <c r="EA14" s="37">
        <v>8.1826799999999995</v>
      </c>
      <c r="EB14" s="37">
        <v>8.1826799999999995</v>
      </c>
      <c r="EC14" s="37">
        <v>8.1826799999999995</v>
      </c>
      <c r="ED14" s="37">
        <v>8.1826799999999995</v>
      </c>
      <c r="EE14" s="37">
        <v>8.1826799999999995</v>
      </c>
      <c r="EF14" s="37">
        <v>8.1826799999999995</v>
      </c>
      <c r="EG14" s="37">
        <v>8.1826799999999995</v>
      </c>
      <c r="EH14" s="37">
        <v>8.1826799999999995</v>
      </c>
      <c r="EI14" s="37">
        <v>8.1826799999999995</v>
      </c>
      <c r="EJ14" s="37">
        <v>8.1826799999999995</v>
      </c>
      <c r="EK14" s="37">
        <v>8.1826799999999995</v>
      </c>
      <c r="EL14" s="37">
        <v>8.1826799999999995</v>
      </c>
      <c r="EM14" s="37">
        <v>8.1826799999999995</v>
      </c>
      <c r="EN14" s="37">
        <v>8.1826799999999995</v>
      </c>
      <c r="EO14" s="37">
        <v>8.1826799999999995</v>
      </c>
      <c r="EP14" s="37">
        <v>8.1826799999999995</v>
      </c>
      <c r="EQ14" s="37">
        <v>8.1826799999999995</v>
      </c>
      <c r="ER14" s="37">
        <v>8.1826799999999995</v>
      </c>
      <c r="ES14" s="37">
        <v>8.1826799999999995</v>
      </c>
      <c r="ET14" s="37">
        <v>8.1826799999999995</v>
      </c>
      <c r="EU14" s="37">
        <v>8.1826799999999995</v>
      </c>
      <c r="EV14" s="37">
        <v>8.1826799999999995</v>
      </c>
      <c r="EW14" s="37">
        <v>8.1826799999999995</v>
      </c>
      <c r="EX14" s="37">
        <v>8.1826799999999995</v>
      </c>
      <c r="EY14" s="37">
        <v>8.1826799999999995</v>
      </c>
      <c r="EZ14" s="37">
        <v>8.1826799999999995</v>
      </c>
      <c r="FA14" s="37">
        <v>8.1826799999999995</v>
      </c>
      <c r="FB14" s="37">
        <v>8.1826799999999995</v>
      </c>
      <c r="FC14" s="37">
        <v>8.1826799999999995</v>
      </c>
      <c r="FD14" s="37">
        <v>8.1826799999999995</v>
      </c>
      <c r="FE14" s="37">
        <v>8.1826799999999995</v>
      </c>
      <c r="FF14" s="37">
        <v>8.1826799999999995</v>
      </c>
      <c r="FG14" s="37">
        <v>8.1826799999999995</v>
      </c>
      <c r="FH14" s="37">
        <v>8.1826799999999995</v>
      </c>
      <c r="FI14" s="37">
        <v>8.1826799999999995</v>
      </c>
      <c r="FJ14" s="37">
        <v>8.1826799999999995</v>
      </c>
      <c r="FK14" s="37">
        <v>8.1826799999999995</v>
      </c>
      <c r="FL14" s="37">
        <v>8.1826799999999995</v>
      </c>
      <c r="FM14" s="37">
        <v>8.1826799999999995</v>
      </c>
      <c r="FN14" s="37">
        <v>8.1826799999999995</v>
      </c>
      <c r="FO14" s="37">
        <v>8.1826799999999995</v>
      </c>
      <c r="FP14" s="37">
        <v>8.1826799999999995</v>
      </c>
      <c r="FQ14" s="37">
        <v>8.1826799999999995</v>
      </c>
      <c r="FR14" s="37">
        <v>8.1826799999999995</v>
      </c>
      <c r="FS14" s="37">
        <v>8.1826799999999995</v>
      </c>
      <c r="FT14" s="37">
        <v>8.1826799999999995</v>
      </c>
      <c r="FU14" s="37">
        <v>8.1826799999999995</v>
      </c>
      <c r="FV14" s="37">
        <v>8.1826799999999995</v>
      </c>
      <c r="FW14" s="37">
        <v>8.1826799999999995</v>
      </c>
      <c r="FX14" s="37">
        <v>8.1826799999999995</v>
      </c>
      <c r="FY14" s="37">
        <v>8.1826799999999995</v>
      </c>
      <c r="FZ14" s="37">
        <v>8.1826799999999995</v>
      </c>
      <c r="GA14" s="37">
        <v>8.1826799999999995</v>
      </c>
      <c r="GB14" s="37">
        <v>8.1826799999999995</v>
      </c>
      <c r="GC14" s="37">
        <v>8.1826799999999995</v>
      </c>
      <c r="GD14" s="37">
        <v>8.1826799999999995</v>
      </c>
      <c r="GE14" s="37">
        <v>8.1826799999999995</v>
      </c>
      <c r="GF14" s="37">
        <v>8.1826799999999995</v>
      </c>
      <c r="GG14" s="37">
        <v>8.1826799999999995</v>
      </c>
      <c r="GH14" s="37">
        <v>8.1826799999999995</v>
      </c>
      <c r="GI14" s="37">
        <v>8.1826799999999995</v>
      </c>
      <c r="GJ14" s="37">
        <v>8.1826799999999995</v>
      </c>
      <c r="GK14" s="37">
        <v>8.1826799999999995</v>
      </c>
      <c r="GL14" s="37">
        <v>8.1826799999999995</v>
      </c>
      <c r="GM14" s="37">
        <v>8.1826799999999995</v>
      </c>
      <c r="GN14" s="37">
        <v>8.1826799999999995</v>
      </c>
      <c r="GO14" s="37">
        <v>8.1826799999999995</v>
      </c>
      <c r="GP14" s="37">
        <v>8.1826799999999995</v>
      </c>
      <c r="GQ14" s="37">
        <v>8.1826799999999995</v>
      </c>
      <c r="GR14" s="37">
        <v>8.1826799999999995</v>
      </c>
      <c r="GS14" s="37">
        <v>8.1826799999999995</v>
      </c>
      <c r="GT14" s="37">
        <v>8.1826799999999995</v>
      </c>
      <c r="GU14" s="37">
        <v>8.1826799999999995</v>
      </c>
      <c r="GV14" s="37">
        <v>8.1826799999999995</v>
      </c>
      <c r="GW14" s="37">
        <v>8.1826799999999995</v>
      </c>
      <c r="GX14" s="37">
        <v>8.1826799999999995</v>
      </c>
      <c r="GY14" s="37">
        <v>8.1826799999999995</v>
      </c>
      <c r="GZ14" s="37">
        <v>8.1826799999999995</v>
      </c>
      <c r="HA14" s="37">
        <v>8.1826799999999995</v>
      </c>
      <c r="HB14" s="37">
        <v>8.1826799999999995</v>
      </c>
      <c r="HC14" s="37">
        <v>8.1826799999999995</v>
      </c>
      <c r="HD14" s="37">
        <v>8.1826799999999995</v>
      </c>
      <c r="HE14" s="37">
        <v>8.1826799999999995</v>
      </c>
      <c r="HF14" s="37">
        <v>8.1826799999999995</v>
      </c>
      <c r="HG14" s="37">
        <v>8.1826799999999995</v>
      </c>
      <c r="HH14" s="37">
        <v>8.1826799999999995</v>
      </c>
      <c r="HI14" s="37">
        <v>8.1826799999999995</v>
      </c>
      <c r="HJ14" s="37">
        <v>8.1826799999999995</v>
      </c>
      <c r="HK14" s="37">
        <v>8.1826799999999995</v>
      </c>
      <c r="HL14" s="37">
        <v>8.1826799999999995</v>
      </c>
      <c r="HM14" s="37">
        <v>8.1826799999999995</v>
      </c>
      <c r="HN14" s="37">
        <v>8.1826799999999995</v>
      </c>
      <c r="HO14" s="37">
        <v>8.1826799999999995</v>
      </c>
      <c r="HP14" s="37">
        <v>8.1826799999999995</v>
      </c>
      <c r="HQ14" s="37">
        <v>8.1826799999999995</v>
      </c>
      <c r="HR14" s="37">
        <v>8.1826799999999995</v>
      </c>
      <c r="HS14" s="37">
        <v>8.1826799999999995</v>
      </c>
      <c r="HT14" s="37">
        <v>8.1826799999999995</v>
      </c>
      <c r="HU14" s="37">
        <v>8.1826799999999995</v>
      </c>
      <c r="HV14" s="37">
        <v>8.1826799999999995</v>
      </c>
      <c r="HW14" s="37">
        <v>8.1826799999999995</v>
      </c>
      <c r="HX14" s="37">
        <v>8.1826799999999995</v>
      </c>
      <c r="HY14" s="37">
        <v>8.1826799999999995</v>
      </c>
      <c r="HZ14" s="37">
        <v>8.1826799999999995</v>
      </c>
      <c r="IA14" s="37">
        <v>8.1826799999999995</v>
      </c>
      <c r="IB14" s="37">
        <v>8.1826799999999995</v>
      </c>
      <c r="IC14" s="37">
        <v>8.1826799999999995</v>
      </c>
      <c r="ID14" s="37">
        <v>8.1826799999999995</v>
      </c>
      <c r="IE14" s="37">
        <v>8.1826799999999995</v>
      </c>
      <c r="IF14" s="37">
        <v>8.1826799999999995</v>
      </c>
      <c r="IG14" s="37">
        <v>8.1826799999999995</v>
      </c>
      <c r="IH14" s="37">
        <v>8.1826799999999995</v>
      </c>
      <c r="II14" s="37">
        <v>8.1826799999999995</v>
      </c>
      <c r="IJ14" s="37">
        <v>8.1826799999999995</v>
      </c>
      <c r="IK14" s="37">
        <v>8.1826799999999995</v>
      </c>
      <c r="IL14" s="37">
        <v>8.1826799999999995</v>
      </c>
      <c r="IM14" s="37">
        <v>8.1826799999999995</v>
      </c>
      <c r="IN14" s="37">
        <v>8.1826799999999995</v>
      </c>
      <c r="IO14" s="37">
        <v>8.1826799999999995</v>
      </c>
      <c r="IP14" s="37">
        <v>8.1826799999999995</v>
      </c>
      <c r="IQ14" s="37">
        <v>8.1826799999999995</v>
      </c>
      <c r="IR14" s="37">
        <v>8.1826799999999995</v>
      </c>
      <c r="IS14" s="37">
        <v>8.1826799999999995</v>
      </c>
      <c r="IT14" s="37">
        <v>8.1826799999999995</v>
      </c>
      <c r="IU14" s="37">
        <v>8.1826799999999995</v>
      </c>
      <c r="IV14" s="37">
        <v>8.1826799999999995</v>
      </c>
      <c r="IW14" s="37">
        <v>8.1826799999999995</v>
      </c>
      <c r="IX14" s="37">
        <v>8.1826799999999995</v>
      </c>
      <c r="IY14" s="37">
        <v>8.1826799999999995</v>
      </c>
      <c r="IZ14" s="37">
        <v>8.1826799999999995</v>
      </c>
      <c r="JA14" s="37">
        <v>8.1826799999999995</v>
      </c>
      <c r="JB14" s="37">
        <v>8.1826799999999995</v>
      </c>
      <c r="JC14" s="37">
        <v>8.1826799999999995</v>
      </c>
      <c r="JD14" s="37">
        <v>8.1826799999999995</v>
      </c>
      <c r="JE14" s="37">
        <v>8.1826799999999995</v>
      </c>
      <c r="JF14" s="37">
        <v>8.1826799999999995</v>
      </c>
      <c r="JG14" s="37">
        <v>8.1826799999999995</v>
      </c>
      <c r="JH14" s="37">
        <v>8.1826799999999995</v>
      </c>
      <c r="JI14" s="37">
        <v>8.1826799999999995</v>
      </c>
      <c r="JJ14" s="37">
        <v>8.1826799999999995</v>
      </c>
      <c r="JK14" s="37">
        <v>8.1826799999999995</v>
      </c>
      <c r="JL14" s="37">
        <v>8.1826799999999995</v>
      </c>
      <c r="JM14" s="37">
        <v>8.1826799999999995</v>
      </c>
      <c r="JN14" s="37">
        <v>8.1826799999999995</v>
      </c>
      <c r="JO14" s="37">
        <v>8.1826799999999995</v>
      </c>
      <c r="JP14" s="37">
        <v>8.1826799999999995</v>
      </c>
      <c r="JQ14" s="37">
        <v>8.1826799999999995</v>
      </c>
      <c r="JR14" s="37">
        <v>8.1826799999999995</v>
      </c>
      <c r="JS14" s="37">
        <v>8.1826799999999995</v>
      </c>
      <c r="JT14" s="37">
        <v>8.1826799999999995</v>
      </c>
      <c r="JU14" s="37">
        <v>8.1826799999999995</v>
      </c>
      <c r="JV14" s="37">
        <v>8.1826799999999995</v>
      </c>
      <c r="JW14" s="37">
        <v>8.1826799999999995</v>
      </c>
      <c r="JX14" s="37">
        <v>8.1826799999999995</v>
      </c>
      <c r="JY14" s="37">
        <v>8.1826799999999995</v>
      </c>
      <c r="JZ14" s="37">
        <v>8.1826799999999995</v>
      </c>
      <c r="KA14" s="37">
        <v>8.1826799999999995</v>
      </c>
      <c r="KB14" s="37">
        <v>8.1826799999999995</v>
      </c>
      <c r="KC14" s="37">
        <v>8.1826799999999995</v>
      </c>
      <c r="KD14" s="37">
        <v>8.1826799999999995</v>
      </c>
      <c r="KE14" s="37">
        <v>8.1826799999999995</v>
      </c>
      <c r="KF14" s="37">
        <v>8.1826799999999995</v>
      </c>
      <c r="KG14" s="37">
        <v>8.1826799999999995</v>
      </c>
      <c r="KH14" s="37">
        <v>8.1826799999999995</v>
      </c>
      <c r="KI14" s="37">
        <v>8.1826799999999995</v>
      </c>
      <c r="KJ14" s="37">
        <v>8.1826799999999995</v>
      </c>
      <c r="KK14" s="37">
        <v>8.1826799999999995</v>
      </c>
      <c r="KL14" s="37">
        <v>8.1826799999999995</v>
      </c>
      <c r="KM14" s="37">
        <v>8.1826799999999995</v>
      </c>
      <c r="KN14" s="37">
        <v>8.1826799999999995</v>
      </c>
      <c r="KO14" s="37">
        <v>8.1826799999999995</v>
      </c>
      <c r="KP14" s="37">
        <v>8.1826799999999995</v>
      </c>
      <c r="KQ14" s="37">
        <v>8.1826799999999995</v>
      </c>
      <c r="KR14" s="37">
        <v>8.1826799999999995</v>
      </c>
      <c r="KS14" s="37">
        <v>8.1826799999999995</v>
      </c>
      <c r="KT14" s="37">
        <v>8.1826799999999995</v>
      </c>
      <c r="KU14" s="37">
        <v>8.1826799999999995</v>
      </c>
      <c r="KV14" s="37">
        <v>8.1826799999999995</v>
      </c>
      <c r="KW14" s="37">
        <v>8.1826799999999995</v>
      </c>
      <c r="KX14" s="37">
        <v>8.1826799999999995</v>
      </c>
      <c r="KY14" s="37">
        <v>8.1826799999999995</v>
      </c>
      <c r="KZ14" s="37">
        <v>8.1826799999999995</v>
      </c>
      <c r="LA14" s="37">
        <v>8.1826799999999995</v>
      </c>
      <c r="LB14" s="37">
        <v>8.1826799999999995</v>
      </c>
      <c r="LC14" s="37">
        <v>8.1826799999999995</v>
      </c>
      <c r="LD14" s="37">
        <v>8.1826799999999995</v>
      </c>
      <c r="LE14" s="37">
        <v>8.1826799999999995</v>
      </c>
      <c r="LF14" s="37">
        <v>8.1826799999999995</v>
      </c>
      <c r="LG14" s="37">
        <v>8.1826799999999995</v>
      </c>
      <c r="LH14" s="37">
        <v>8.1826799999999995</v>
      </c>
      <c r="LI14" s="37">
        <v>8.1826799999999995</v>
      </c>
      <c r="LJ14" s="37">
        <v>8.1826799999999995</v>
      </c>
      <c r="LK14" s="37">
        <v>8.1826799999999995</v>
      </c>
      <c r="LL14" s="37">
        <v>8.1826799999999995</v>
      </c>
      <c r="LM14" s="37">
        <v>8.1826799999999995</v>
      </c>
      <c r="LN14" s="37">
        <v>8.1826799999999995</v>
      </c>
      <c r="LO14" s="37">
        <v>8.1826799999999995</v>
      </c>
      <c r="LP14" s="37">
        <v>8.1826799999999995</v>
      </c>
      <c r="LQ14" s="37">
        <v>8.1826799999999995</v>
      </c>
      <c r="LR14" s="37">
        <v>8.1826799999999995</v>
      </c>
      <c r="LS14" s="37">
        <v>8.1826799999999995</v>
      </c>
      <c r="LT14" s="37">
        <v>8.1826799999999995</v>
      </c>
      <c r="LU14" s="37">
        <v>8.1826799999999995</v>
      </c>
      <c r="LV14" s="37">
        <v>8.1826799999999995</v>
      </c>
      <c r="LW14" s="37">
        <v>8.1826799999999995</v>
      </c>
      <c r="LX14" s="37">
        <v>8.1826799999999995</v>
      </c>
      <c r="LY14" s="37">
        <v>8.1826799999999995</v>
      </c>
      <c r="LZ14" s="37">
        <v>8.1826799999999995</v>
      </c>
      <c r="MA14" s="37">
        <v>8.1826799999999995</v>
      </c>
      <c r="MB14" s="37">
        <v>8.1826799999999995</v>
      </c>
      <c r="MC14" s="37">
        <v>8.1826799999999995</v>
      </c>
      <c r="MD14" s="37">
        <v>8.1826799999999995</v>
      </c>
      <c r="ME14" s="37">
        <v>8.1826799999999995</v>
      </c>
      <c r="MF14" s="37">
        <v>8.1826799999999995</v>
      </c>
      <c r="MG14" s="37">
        <v>8.1826799999999995</v>
      </c>
      <c r="MH14" s="37">
        <v>8.1826799999999995</v>
      </c>
      <c r="MI14" s="37">
        <v>8.1826799999999995</v>
      </c>
      <c r="MJ14" s="37">
        <v>8.1826799999999995</v>
      </c>
      <c r="MK14" s="37">
        <v>8.1826799999999995</v>
      </c>
      <c r="ML14" s="37">
        <v>8.1826799999999995</v>
      </c>
      <c r="MM14" s="37">
        <v>8.1826799999999995</v>
      </c>
      <c r="MN14" s="37">
        <v>8.1826799999999995</v>
      </c>
      <c r="MO14" s="37">
        <v>8.1826799999999995</v>
      </c>
      <c r="MP14" s="37">
        <v>8.1826799999999995</v>
      </c>
      <c r="MQ14" s="37">
        <v>8.1826799999999995</v>
      </c>
      <c r="MR14" s="37">
        <v>8.1826799999999995</v>
      </c>
      <c r="MS14" s="37">
        <v>8.1826799999999995</v>
      </c>
      <c r="MT14" s="37">
        <v>8.1826799999999995</v>
      </c>
      <c r="MU14" s="37">
        <v>8.1826799999999995</v>
      </c>
      <c r="MV14" s="37">
        <v>8.1826799999999995</v>
      </c>
      <c r="MW14" s="37">
        <v>8.1826799999999995</v>
      </c>
      <c r="MX14" s="37">
        <v>8.1826799999999995</v>
      </c>
      <c r="MY14" s="37">
        <v>8.1826799999999995</v>
      </c>
      <c r="MZ14" s="37">
        <v>8.1826799999999995</v>
      </c>
      <c r="NA14" s="37">
        <v>8.1826799999999995</v>
      </c>
      <c r="NB14" s="37">
        <v>8.1826799999999995</v>
      </c>
      <c r="NC14" s="37">
        <v>8.1826799999999995</v>
      </c>
      <c r="ND14" s="37">
        <v>8.1826799999999995</v>
      </c>
      <c r="NE14" s="37">
        <v>8.1826799999999995</v>
      </c>
      <c r="NF14" s="37">
        <v>8.1826799999999995</v>
      </c>
      <c r="NG14" s="37">
        <v>8.1826799999999995</v>
      </c>
      <c r="NH14" s="37">
        <v>8.1826799999999995</v>
      </c>
      <c r="NI14" s="37">
        <v>8.1826799999999995</v>
      </c>
      <c r="NJ14" s="37">
        <v>8.1826799999999995</v>
      </c>
      <c r="NK14" s="37">
        <v>8.1826799999999995</v>
      </c>
      <c r="NL14" s="37">
        <v>8.1826799999999995</v>
      </c>
      <c r="NM14" s="37">
        <v>8.1826799999999995</v>
      </c>
      <c r="NN14" s="37">
        <v>8.1826799999999995</v>
      </c>
      <c r="NO14" s="37">
        <v>8.1826799999999995</v>
      </c>
      <c r="NP14" s="37">
        <v>8.1826799999999995</v>
      </c>
      <c r="NQ14" s="37">
        <v>8.1826799999999995</v>
      </c>
      <c r="NR14" s="37">
        <v>8.1826799999999995</v>
      </c>
      <c r="NS14" s="37">
        <v>8.1826799999999995</v>
      </c>
      <c r="NT14" s="37">
        <v>8.1826799999999995</v>
      </c>
      <c r="NU14" s="37">
        <v>8.0612399999999997</v>
      </c>
    </row>
    <row r="15" spans="1:786" x14ac:dyDescent="0.2">
      <c r="A15" s="37">
        <v>13</v>
      </c>
      <c r="B15" s="48" t="s">
        <v>543</v>
      </c>
      <c r="C15" s="17">
        <f>+'Detalle Compras'!D15</f>
        <v>202504250148</v>
      </c>
      <c r="D15" s="55">
        <f t="shared" si="13"/>
        <v>12.749499999999999</v>
      </c>
      <c r="E15" s="14">
        <f>+IF(B15="","",'Detalle Compras'!S15+0)</f>
        <v>45931</v>
      </c>
      <c r="F15" s="14">
        <f>+IF(B15="","",EOMONTH('Detalle Compras'!S15,G15)+10)</f>
        <v>56897</v>
      </c>
      <c r="G15" s="50">
        <f t="shared" si="14"/>
        <v>359</v>
      </c>
      <c r="H15" s="50">
        <f t="shared" si="15"/>
        <v>356</v>
      </c>
      <c r="AC15" s="37">
        <v>12.749499999999999</v>
      </c>
      <c r="AD15" s="37">
        <v>12.749499999999999</v>
      </c>
      <c r="AE15" s="37">
        <v>12.749499999999999</v>
      </c>
      <c r="AF15" s="37">
        <v>12.749499999999999</v>
      </c>
      <c r="AG15" s="37">
        <v>12.749499999999999</v>
      </c>
      <c r="AH15" s="37">
        <v>12.749499999999999</v>
      </c>
      <c r="AI15" s="37">
        <v>12.749499999999999</v>
      </c>
      <c r="AJ15" s="37">
        <v>12.749499999999999</v>
      </c>
      <c r="AK15" s="37">
        <v>12.749499999999999</v>
      </c>
      <c r="AL15" s="37">
        <v>12.749499999999999</v>
      </c>
      <c r="AM15" s="37">
        <v>12.749499999999999</v>
      </c>
      <c r="AN15" s="37">
        <v>12.749499999999999</v>
      </c>
      <c r="AO15" s="37">
        <v>12.749499999999999</v>
      </c>
      <c r="AP15" s="37">
        <v>12.749499999999999</v>
      </c>
      <c r="AQ15" s="37">
        <v>12.749499999999999</v>
      </c>
      <c r="AR15" s="37">
        <v>12.749499999999999</v>
      </c>
      <c r="AS15" s="37">
        <v>12.749499999999999</v>
      </c>
      <c r="AT15" s="37">
        <v>12.749499999999999</v>
      </c>
      <c r="AU15" s="37">
        <v>12.749499999999999</v>
      </c>
      <c r="AV15" s="37">
        <v>12.749499999999999</v>
      </c>
      <c r="AW15" s="37">
        <v>12.749499999999999</v>
      </c>
      <c r="AX15" s="37">
        <v>12.749499999999999</v>
      </c>
      <c r="AY15" s="37">
        <v>12.749499999999999</v>
      </c>
      <c r="AZ15" s="37">
        <v>12.749499999999999</v>
      </c>
      <c r="BA15" s="37">
        <v>12.749499999999999</v>
      </c>
      <c r="BB15" s="37">
        <v>12.749499999999999</v>
      </c>
      <c r="BC15" s="37">
        <v>12.749499999999999</v>
      </c>
      <c r="BD15" s="37">
        <v>12.749499999999999</v>
      </c>
      <c r="BE15" s="37">
        <v>12.749499999999999</v>
      </c>
      <c r="BF15" s="37">
        <v>12.749499999999999</v>
      </c>
      <c r="BG15" s="37">
        <v>12.749499999999999</v>
      </c>
      <c r="BH15" s="37">
        <v>12.749499999999999</v>
      </c>
      <c r="BI15" s="37">
        <v>12.749499999999999</v>
      </c>
      <c r="BJ15" s="37">
        <v>12.749499999999999</v>
      </c>
      <c r="BK15" s="37">
        <v>12.749499999999999</v>
      </c>
      <c r="BL15" s="37">
        <v>12.749499999999999</v>
      </c>
      <c r="BM15" s="37">
        <v>12.749499999999999</v>
      </c>
      <c r="BN15" s="37">
        <v>12.749499999999999</v>
      </c>
      <c r="BO15" s="37">
        <v>12.749499999999999</v>
      </c>
      <c r="BP15" s="37">
        <v>12.749499999999999</v>
      </c>
      <c r="BQ15" s="37">
        <v>12.749499999999999</v>
      </c>
      <c r="BR15" s="37">
        <v>12.749499999999999</v>
      </c>
      <c r="BS15" s="37">
        <v>12.749499999999999</v>
      </c>
      <c r="BT15" s="37">
        <v>12.749499999999999</v>
      </c>
      <c r="BU15" s="37">
        <v>12.749499999999999</v>
      </c>
      <c r="BV15" s="37">
        <v>12.749499999999999</v>
      </c>
      <c r="BW15" s="37">
        <v>12.749499999999999</v>
      </c>
      <c r="BX15" s="37">
        <v>12.749499999999999</v>
      </c>
      <c r="BY15" s="37">
        <v>12.749499999999999</v>
      </c>
      <c r="BZ15" s="37">
        <v>12.749499999999999</v>
      </c>
      <c r="CA15" s="37">
        <v>12.749499999999999</v>
      </c>
      <c r="CB15" s="37">
        <v>12.749499999999999</v>
      </c>
      <c r="CC15" s="37">
        <v>12.749499999999999</v>
      </c>
      <c r="CD15" s="37">
        <v>12.749499999999999</v>
      </c>
      <c r="CE15" s="37">
        <v>12.749499999999999</v>
      </c>
      <c r="CF15" s="37">
        <v>12.749499999999999</v>
      </c>
      <c r="CG15" s="37">
        <v>12.749499999999999</v>
      </c>
      <c r="CH15" s="37">
        <v>12.749499999999999</v>
      </c>
      <c r="CI15" s="37">
        <v>12.749499999999999</v>
      </c>
      <c r="CJ15" s="37">
        <v>12.749499999999999</v>
      </c>
      <c r="CK15" s="37">
        <v>12.749499999999999</v>
      </c>
      <c r="CL15" s="37">
        <v>12.749499999999999</v>
      </c>
      <c r="CM15" s="37">
        <v>12.749499999999999</v>
      </c>
      <c r="CN15" s="37">
        <v>12.749499999999999</v>
      </c>
      <c r="CO15" s="37">
        <v>12.749499999999999</v>
      </c>
      <c r="CP15" s="37">
        <v>12.749499999999999</v>
      </c>
      <c r="CQ15" s="37">
        <v>12.749499999999999</v>
      </c>
      <c r="CR15" s="37">
        <v>12.749499999999999</v>
      </c>
      <c r="CS15" s="37">
        <v>12.749499999999999</v>
      </c>
      <c r="CT15" s="37">
        <v>12.749499999999999</v>
      </c>
      <c r="CU15" s="37">
        <v>12.749499999999999</v>
      </c>
      <c r="CV15" s="37">
        <v>12.749499999999999</v>
      </c>
      <c r="CW15" s="37">
        <v>12.749499999999999</v>
      </c>
      <c r="CX15" s="37">
        <v>12.749499999999999</v>
      </c>
      <c r="CY15" s="37">
        <v>12.749499999999999</v>
      </c>
      <c r="CZ15" s="37">
        <v>12.749499999999999</v>
      </c>
      <c r="DA15" s="37">
        <v>12.749499999999999</v>
      </c>
      <c r="DB15" s="37">
        <v>12.749499999999999</v>
      </c>
      <c r="DC15" s="37">
        <v>12.749499999999999</v>
      </c>
      <c r="DD15" s="37">
        <v>12.749499999999999</v>
      </c>
      <c r="DE15" s="37">
        <v>12.749499999999999</v>
      </c>
      <c r="DF15" s="37">
        <v>12.749499999999999</v>
      </c>
      <c r="DG15" s="37">
        <v>12.749499999999999</v>
      </c>
      <c r="DH15" s="37">
        <v>12.749499999999999</v>
      </c>
      <c r="DI15" s="37">
        <v>12.749499999999999</v>
      </c>
      <c r="DJ15" s="37">
        <v>12.749499999999999</v>
      </c>
      <c r="DK15" s="37">
        <v>12.749499999999999</v>
      </c>
      <c r="DL15" s="37">
        <v>12.749499999999999</v>
      </c>
      <c r="DM15" s="37">
        <v>12.749499999999999</v>
      </c>
      <c r="DN15" s="37">
        <v>12.749499999999999</v>
      </c>
      <c r="DO15" s="37">
        <v>12.749499999999999</v>
      </c>
      <c r="DP15" s="37">
        <v>12.749499999999999</v>
      </c>
      <c r="DQ15" s="37">
        <v>12.749499999999999</v>
      </c>
      <c r="DR15" s="37">
        <v>12.749499999999999</v>
      </c>
      <c r="DS15" s="37">
        <v>12.749499999999999</v>
      </c>
      <c r="DT15" s="37">
        <v>12.749499999999999</v>
      </c>
      <c r="DU15" s="37">
        <v>12.749499999999999</v>
      </c>
      <c r="DV15" s="37">
        <v>12.749499999999999</v>
      </c>
      <c r="DW15" s="37">
        <v>12.749499999999999</v>
      </c>
      <c r="DX15" s="37">
        <v>12.749499999999999</v>
      </c>
      <c r="DY15" s="37">
        <v>12.749499999999999</v>
      </c>
      <c r="DZ15" s="37">
        <v>12.749499999999999</v>
      </c>
      <c r="EA15" s="37">
        <v>12.749499999999999</v>
      </c>
      <c r="EB15" s="37">
        <v>12.749499999999999</v>
      </c>
      <c r="EC15" s="37">
        <v>12.749499999999999</v>
      </c>
      <c r="ED15" s="37">
        <v>12.749499999999999</v>
      </c>
      <c r="EE15" s="37">
        <v>12.749499999999999</v>
      </c>
      <c r="EF15" s="37">
        <v>12.749499999999999</v>
      </c>
      <c r="EG15" s="37">
        <v>12.749499999999999</v>
      </c>
      <c r="EH15" s="37">
        <v>12.749499999999999</v>
      </c>
      <c r="EI15" s="37">
        <v>12.749499999999999</v>
      </c>
      <c r="EJ15" s="37">
        <v>12.749499999999999</v>
      </c>
      <c r="EK15" s="37">
        <v>12.749499999999999</v>
      </c>
      <c r="EL15" s="37">
        <v>12.749499999999999</v>
      </c>
      <c r="EM15" s="37">
        <v>12.749499999999999</v>
      </c>
      <c r="EN15" s="37">
        <v>12.749499999999999</v>
      </c>
      <c r="EO15" s="37">
        <v>12.749499999999999</v>
      </c>
      <c r="EP15" s="37">
        <v>12.749499999999999</v>
      </c>
      <c r="EQ15" s="37">
        <v>12.749499999999999</v>
      </c>
      <c r="ER15" s="37">
        <v>12.749499999999999</v>
      </c>
      <c r="ES15" s="37">
        <v>12.749499999999999</v>
      </c>
      <c r="ET15" s="37">
        <v>12.749499999999999</v>
      </c>
      <c r="EU15" s="37">
        <v>12.749499999999999</v>
      </c>
      <c r="EV15" s="37">
        <v>12.749499999999999</v>
      </c>
      <c r="EW15" s="37">
        <v>12.749499999999999</v>
      </c>
      <c r="EX15" s="37">
        <v>12.749499999999999</v>
      </c>
      <c r="EY15" s="37">
        <v>12.749499999999999</v>
      </c>
      <c r="EZ15" s="37">
        <v>12.749499999999999</v>
      </c>
      <c r="FA15" s="37">
        <v>12.749499999999999</v>
      </c>
      <c r="FB15" s="37">
        <v>12.749499999999999</v>
      </c>
      <c r="FC15" s="37">
        <v>12.749499999999999</v>
      </c>
      <c r="FD15" s="37">
        <v>12.749499999999999</v>
      </c>
      <c r="FE15" s="37">
        <v>12.749499999999999</v>
      </c>
      <c r="FF15" s="37">
        <v>12.749499999999999</v>
      </c>
      <c r="FG15" s="37">
        <v>12.749499999999999</v>
      </c>
      <c r="FH15" s="37">
        <v>12.749499999999999</v>
      </c>
      <c r="FI15" s="37">
        <v>12.749499999999999</v>
      </c>
      <c r="FJ15" s="37">
        <v>12.749499999999999</v>
      </c>
      <c r="FK15" s="37">
        <v>12.749499999999999</v>
      </c>
      <c r="FL15" s="37">
        <v>12.749499999999999</v>
      </c>
      <c r="FM15" s="37">
        <v>12.749499999999999</v>
      </c>
      <c r="FN15" s="37">
        <v>12.749499999999999</v>
      </c>
      <c r="FO15" s="37">
        <v>12.749499999999999</v>
      </c>
      <c r="FP15" s="37">
        <v>12.749499999999999</v>
      </c>
      <c r="FQ15" s="37">
        <v>12.749499999999999</v>
      </c>
      <c r="FR15" s="37">
        <v>12.749499999999999</v>
      </c>
      <c r="FS15" s="37">
        <v>12.749499999999999</v>
      </c>
      <c r="FT15" s="37">
        <v>12.749499999999999</v>
      </c>
      <c r="FU15" s="37">
        <v>12.749499999999999</v>
      </c>
      <c r="FV15" s="37">
        <v>12.749499999999999</v>
      </c>
      <c r="FW15" s="37">
        <v>12.749499999999999</v>
      </c>
      <c r="FX15" s="37">
        <v>12.749499999999999</v>
      </c>
      <c r="FY15" s="37">
        <v>12.749499999999999</v>
      </c>
      <c r="FZ15" s="37">
        <v>12.749499999999999</v>
      </c>
      <c r="GA15" s="37">
        <v>12.749499999999999</v>
      </c>
      <c r="GB15" s="37">
        <v>12.749499999999999</v>
      </c>
      <c r="GC15" s="37">
        <v>12.749499999999999</v>
      </c>
      <c r="GD15" s="37">
        <v>12.749499999999999</v>
      </c>
      <c r="GE15" s="37">
        <v>12.749499999999999</v>
      </c>
      <c r="GF15" s="37">
        <v>12.749499999999999</v>
      </c>
      <c r="GG15" s="37">
        <v>12.749499999999999</v>
      </c>
      <c r="GH15" s="37">
        <v>12.749499999999999</v>
      </c>
      <c r="GI15" s="37">
        <v>12.749499999999999</v>
      </c>
      <c r="GJ15" s="37">
        <v>12.749499999999999</v>
      </c>
      <c r="GK15" s="37">
        <v>12.749499999999999</v>
      </c>
      <c r="GL15" s="37">
        <v>12.749499999999999</v>
      </c>
      <c r="GM15" s="37">
        <v>12.749499999999999</v>
      </c>
      <c r="GN15" s="37">
        <v>12.749499999999999</v>
      </c>
      <c r="GO15" s="37">
        <v>12.749499999999999</v>
      </c>
      <c r="GP15" s="37">
        <v>12.749499999999999</v>
      </c>
      <c r="GQ15" s="37">
        <v>12.749499999999999</v>
      </c>
      <c r="GR15" s="37">
        <v>12.749499999999999</v>
      </c>
      <c r="GS15" s="37">
        <v>12.749499999999999</v>
      </c>
      <c r="GT15" s="37">
        <v>12.749499999999999</v>
      </c>
      <c r="GU15" s="37">
        <v>12.749499999999999</v>
      </c>
      <c r="GV15" s="37">
        <v>12.749499999999999</v>
      </c>
      <c r="GW15" s="37">
        <v>12.749499999999999</v>
      </c>
      <c r="GX15" s="37">
        <v>12.749499999999999</v>
      </c>
      <c r="GY15" s="37">
        <v>12.749499999999999</v>
      </c>
      <c r="GZ15" s="37">
        <v>12.749499999999999</v>
      </c>
      <c r="HA15" s="37">
        <v>12.749499999999999</v>
      </c>
      <c r="HB15" s="37">
        <v>12.749499999999999</v>
      </c>
      <c r="HC15" s="37">
        <v>12.749499999999999</v>
      </c>
      <c r="HD15" s="37">
        <v>12.749499999999999</v>
      </c>
      <c r="HE15" s="37">
        <v>12.749499999999999</v>
      </c>
      <c r="HF15" s="37">
        <v>12.749499999999999</v>
      </c>
      <c r="HG15" s="37">
        <v>12.749499999999999</v>
      </c>
      <c r="HH15" s="37">
        <v>12.749499999999999</v>
      </c>
      <c r="HI15" s="37">
        <v>12.749499999999999</v>
      </c>
      <c r="HJ15" s="37">
        <v>12.749499999999999</v>
      </c>
      <c r="HK15" s="37">
        <v>12.749499999999999</v>
      </c>
      <c r="HL15" s="37">
        <v>12.749499999999999</v>
      </c>
      <c r="HM15" s="37">
        <v>12.749499999999999</v>
      </c>
      <c r="HN15" s="37">
        <v>12.749499999999999</v>
      </c>
      <c r="HO15" s="37">
        <v>12.749499999999999</v>
      </c>
      <c r="HP15" s="37">
        <v>12.749499999999999</v>
      </c>
      <c r="HQ15" s="37">
        <v>12.749499999999999</v>
      </c>
      <c r="HR15" s="37">
        <v>12.749499999999999</v>
      </c>
      <c r="HS15" s="37">
        <v>12.749499999999999</v>
      </c>
      <c r="HT15" s="37">
        <v>12.749499999999999</v>
      </c>
      <c r="HU15" s="37">
        <v>12.749499999999999</v>
      </c>
      <c r="HV15" s="37">
        <v>12.749499999999999</v>
      </c>
      <c r="HW15" s="37">
        <v>12.749499999999999</v>
      </c>
      <c r="HX15" s="37">
        <v>12.749499999999999</v>
      </c>
      <c r="HY15" s="37">
        <v>12.749499999999999</v>
      </c>
      <c r="HZ15" s="37">
        <v>12.749499999999999</v>
      </c>
      <c r="IA15" s="37">
        <v>12.749499999999999</v>
      </c>
      <c r="IB15" s="37">
        <v>12.749499999999999</v>
      </c>
      <c r="IC15" s="37">
        <v>12.749499999999999</v>
      </c>
      <c r="ID15" s="37">
        <v>12.749499999999999</v>
      </c>
      <c r="IE15" s="37">
        <v>12.749499999999999</v>
      </c>
      <c r="IF15" s="37">
        <v>12.749499999999999</v>
      </c>
      <c r="IG15" s="37">
        <v>12.749499999999999</v>
      </c>
      <c r="IH15" s="37">
        <v>12.749499999999999</v>
      </c>
      <c r="II15" s="37">
        <v>12.749499999999999</v>
      </c>
      <c r="IJ15" s="37">
        <v>12.749499999999999</v>
      </c>
      <c r="IK15" s="37">
        <v>12.749499999999999</v>
      </c>
      <c r="IL15" s="37">
        <v>12.749499999999999</v>
      </c>
      <c r="IM15" s="37">
        <v>12.749499999999999</v>
      </c>
      <c r="IN15" s="37">
        <v>12.749499999999999</v>
      </c>
      <c r="IO15" s="37">
        <v>12.749499999999999</v>
      </c>
      <c r="IP15" s="37">
        <v>12.749499999999999</v>
      </c>
      <c r="IQ15" s="37">
        <v>12.749499999999999</v>
      </c>
      <c r="IR15" s="37">
        <v>12.749499999999999</v>
      </c>
      <c r="IS15" s="37">
        <v>12.749499999999999</v>
      </c>
      <c r="IT15" s="37">
        <v>12.749499999999999</v>
      </c>
      <c r="IU15" s="37">
        <v>12.749499999999999</v>
      </c>
      <c r="IV15" s="37">
        <v>12.749499999999999</v>
      </c>
      <c r="IW15" s="37">
        <v>12.749499999999999</v>
      </c>
      <c r="IX15" s="37">
        <v>12.749499999999999</v>
      </c>
      <c r="IY15" s="37">
        <v>12.749499999999999</v>
      </c>
      <c r="IZ15" s="37">
        <v>12.749499999999999</v>
      </c>
      <c r="JA15" s="37">
        <v>12.749499999999999</v>
      </c>
      <c r="JB15" s="37">
        <v>12.749499999999999</v>
      </c>
      <c r="JC15" s="37">
        <v>12.749499999999999</v>
      </c>
      <c r="JD15" s="37">
        <v>12.749499999999999</v>
      </c>
      <c r="JE15" s="37">
        <v>12.749499999999999</v>
      </c>
      <c r="JF15" s="37">
        <v>12.749499999999999</v>
      </c>
      <c r="JG15" s="37">
        <v>12.749499999999999</v>
      </c>
      <c r="JH15" s="37">
        <v>12.749499999999999</v>
      </c>
      <c r="JI15" s="37">
        <v>12.749499999999999</v>
      </c>
      <c r="JJ15" s="37">
        <v>12.749499999999999</v>
      </c>
      <c r="JK15" s="37">
        <v>12.749499999999999</v>
      </c>
      <c r="JL15" s="37">
        <v>12.749499999999999</v>
      </c>
      <c r="JM15" s="37">
        <v>12.749499999999999</v>
      </c>
      <c r="JN15" s="37">
        <v>12.749499999999999</v>
      </c>
      <c r="JO15" s="37">
        <v>12.749499999999999</v>
      </c>
      <c r="JP15" s="37">
        <v>12.749499999999999</v>
      </c>
      <c r="JQ15" s="37">
        <v>12.749499999999999</v>
      </c>
      <c r="JR15" s="37">
        <v>12.749499999999999</v>
      </c>
      <c r="JS15" s="37">
        <v>12.749499999999999</v>
      </c>
      <c r="JT15" s="37">
        <v>12.749499999999999</v>
      </c>
      <c r="JU15" s="37">
        <v>12.749499999999999</v>
      </c>
      <c r="JV15" s="37">
        <v>12.749499999999999</v>
      </c>
      <c r="JW15" s="37">
        <v>12.749499999999999</v>
      </c>
      <c r="JX15" s="37">
        <v>12.749499999999999</v>
      </c>
      <c r="JY15" s="37">
        <v>12.749499999999999</v>
      </c>
      <c r="JZ15" s="37">
        <v>12.749499999999999</v>
      </c>
      <c r="KA15" s="37">
        <v>12.749499999999999</v>
      </c>
      <c r="KB15" s="37">
        <v>12.749499999999999</v>
      </c>
      <c r="KC15" s="37">
        <v>12.749499999999999</v>
      </c>
      <c r="KD15" s="37">
        <v>12.749499999999999</v>
      </c>
      <c r="KE15" s="37">
        <v>12.749499999999999</v>
      </c>
      <c r="KF15" s="37">
        <v>12.749499999999999</v>
      </c>
      <c r="KG15" s="37">
        <v>12.749499999999999</v>
      </c>
      <c r="KH15" s="37">
        <v>12.749499999999999</v>
      </c>
      <c r="KI15" s="37">
        <v>12.749499999999999</v>
      </c>
      <c r="KJ15" s="37">
        <v>12.749499999999999</v>
      </c>
      <c r="KK15" s="37">
        <v>12.749499999999999</v>
      </c>
      <c r="KL15" s="37">
        <v>12.749499999999999</v>
      </c>
      <c r="KM15" s="37">
        <v>12.749499999999999</v>
      </c>
      <c r="KN15" s="37">
        <v>12.749499999999999</v>
      </c>
      <c r="KO15" s="37">
        <v>12.749499999999999</v>
      </c>
      <c r="KP15" s="37">
        <v>12.749499999999999</v>
      </c>
      <c r="KQ15" s="37">
        <v>12.749499999999999</v>
      </c>
      <c r="KR15" s="37">
        <v>12.749499999999999</v>
      </c>
      <c r="KS15" s="37">
        <v>12.749499999999999</v>
      </c>
      <c r="KT15" s="37">
        <v>12.749499999999999</v>
      </c>
      <c r="KU15" s="37">
        <v>12.749499999999999</v>
      </c>
      <c r="KV15" s="37">
        <v>12.749499999999999</v>
      </c>
      <c r="KW15" s="37">
        <v>12.749499999999999</v>
      </c>
      <c r="KX15" s="37">
        <v>12.749499999999999</v>
      </c>
      <c r="KY15" s="37">
        <v>12.749499999999999</v>
      </c>
      <c r="KZ15" s="37">
        <v>12.749499999999999</v>
      </c>
      <c r="LA15" s="37">
        <v>12.749499999999999</v>
      </c>
      <c r="LB15" s="37">
        <v>12.749499999999999</v>
      </c>
      <c r="LC15" s="37">
        <v>12.749499999999999</v>
      </c>
      <c r="LD15" s="37">
        <v>12.749499999999999</v>
      </c>
      <c r="LE15" s="37">
        <v>12.749499999999999</v>
      </c>
      <c r="LF15" s="37">
        <v>12.749499999999999</v>
      </c>
      <c r="LG15" s="37">
        <v>12.749499999999999</v>
      </c>
      <c r="LH15" s="37">
        <v>12.749499999999999</v>
      </c>
      <c r="LI15" s="37">
        <v>12.749499999999999</v>
      </c>
      <c r="LJ15" s="37">
        <v>12.749499999999999</v>
      </c>
      <c r="LK15" s="37">
        <v>12.749499999999999</v>
      </c>
      <c r="LL15" s="37">
        <v>12.749499999999999</v>
      </c>
      <c r="LM15" s="37">
        <v>12.749499999999999</v>
      </c>
      <c r="LN15" s="37">
        <v>12.749499999999999</v>
      </c>
      <c r="LO15" s="37">
        <v>12.749499999999999</v>
      </c>
      <c r="LP15" s="37">
        <v>12.749499999999999</v>
      </c>
      <c r="LQ15" s="37">
        <v>12.749499999999999</v>
      </c>
      <c r="LR15" s="37">
        <v>12.749499999999999</v>
      </c>
      <c r="LS15" s="37">
        <v>12.749499999999999</v>
      </c>
      <c r="LT15" s="37">
        <v>12.749499999999999</v>
      </c>
      <c r="LU15" s="37">
        <v>12.749499999999999</v>
      </c>
      <c r="LV15" s="37">
        <v>12.749499999999999</v>
      </c>
      <c r="LW15" s="37">
        <v>12.749499999999999</v>
      </c>
      <c r="LX15" s="37">
        <v>12.749499999999999</v>
      </c>
      <c r="LY15" s="37">
        <v>12.749499999999999</v>
      </c>
      <c r="LZ15" s="37">
        <v>12.749499999999999</v>
      </c>
      <c r="MA15" s="37">
        <v>12.749499999999999</v>
      </c>
      <c r="MB15" s="37">
        <v>12.749499999999999</v>
      </c>
      <c r="MC15" s="37">
        <v>12.749499999999999</v>
      </c>
      <c r="MD15" s="37">
        <v>12.749499999999999</v>
      </c>
      <c r="ME15" s="37">
        <v>12.749499999999999</v>
      </c>
      <c r="MF15" s="37">
        <v>12.749499999999999</v>
      </c>
      <c r="MG15" s="37">
        <v>12.749499999999999</v>
      </c>
      <c r="MH15" s="37">
        <v>12.749499999999999</v>
      </c>
      <c r="MI15" s="37">
        <v>12.749499999999999</v>
      </c>
      <c r="MJ15" s="37">
        <v>12.749499999999999</v>
      </c>
      <c r="MK15" s="37">
        <v>12.749499999999999</v>
      </c>
      <c r="ML15" s="37">
        <v>12.749499999999999</v>
      </c>
      <c r="MM15" s="37">
        <v>12.749499999999999</v>
      </c>
      <c r="MN15" s="37">
        <v>12.749499999999999</v>
      </c>
      <c r="MO15" s="37">
        <v>12.749499999999999</v>
      </c>
      <c r="MP15" s="37">
        <v>12.749499999999999</v>
      </c>
      <c r="MQ15" s="37">
        <v>12.749499999999999</v>
      </c>
      <c r="MR15" s="37">
        <v>12.749499999999999</v>
      </c>
      <c r="MS15" s="37">
        <v>12.749499999999999</v>
      </c>
      <c r="MT15" s="37">
        <v>12.749499999999999</v>
      </c>
      <c r="MU15" s="37">
        <v>12.749499999999999</v>
      </c>
      <c r="MV15" s="37">
        <v>12.749499999999999</v>
      </c>
      <c r="MW15" s="37">
        <v>12.749499999999999</v>
      </c>
      <c r="MX15" s="37">
        <v>12.749499999999999</v>
      </c>
      <c r="MY15" s="37">
        <v>12.749499999999999</v>
      </c>
      <c r="MZ15" s="37">
        <v>12.749499999999999</v>
      </c>
      <c r="NA15" s="37">
        <v>12.749499999999999</v>
      </c>
      <c r="NB15" s="37">
        <v>12.749499999999999</v>
      </c>
      <c r="NC15" s="37">
        <v>12.749499999999999</v>
      </c>
      <c r="ND15" s="37">
        <v>12.749499999999999</v>
      </c>
      <c r="NE15" s="37">
        <v>12.749499999999999</v>
      </c>
      <c r="NF15" s="37">
        <v>12.749499999999999</v>
      </c>
      <c r="NG15" s="37">
        <v>12.749499999999999</v>
      </c>
      <c r="NH15" s="37">
        <v>12.749499999999999</v>
      </c>
      <c r="NI15" s="37">
        <v>12.749499999999999</v>
      </c>
      <c r="NJ15" s="37">
        <v>12.749499999999999</v>
      </c>
      <c r="NK15" s="37">
        <v>12.749499999999999</v>
      </c>
      <c r="NL15" s="37">
        <v>12.749499999999999</v>
      </c>
      <c r="NM15" s="37">
        <v>12.749499999999999</v>
      </c>
      <c r="NN15" s="37">
        <v>12.749499999999999</v>
      </c>
      <c r="NO15" s="37">
        <v>12.749499999999999</v>
      </c>
      <c r="NP15" s="37">
        <v>12.749499999999999</v>
      </c>
      <c r="NQ15" s="37">
        <v>12.749499999999999</v>
      </c>
      <c r="NR15" s="37">
        <v>12.749499999999999</v>
      </c>
      <c r="NS15" s="37">
        <v>12.749499999999999</v>
      </c>
      <c r="NT15" s="37">
        <v>12.749499999999999</v>
      </c>
      <c r="NU15" s="37">
        <v>12.749499999999999</v>
      </c>
      <c r="NV15" s="37">
        <v>12.749499999999999</v>
      </c>
      <c r="NW15" s="37">
        <v>12.749499999999999</v>
      </c>
    </row>
    <row r="16" spans="1:786" x14ac:dyDescent="0.2">
      <c r="A16" s="37">
        <v>14</v>
      </c>
      <c r="B16" s="15" t="s">
        <v>546</v>
      </c>
      <c r="C16" s="17">
        <f>+'Detalle Compras'!D16</f>
        <v>202505290001</v>
      </c>
      <c r="D16" s="55">
        <f t="shared" si="13"/>
        <v>12.0314</v>
      </c>
      <c r="E16" s="14">
        <f>+IF(B16="","",'Detalle Compras'!S16+0)</f>
        <v>45848</v>
      </c>
      <c r="F16" s="14">
        <f>+IF(B16="","",EOMONTH('Detalle Compras'!S16,G16)+10)</f>
        <v>58663</v>
      </c>
      <c r="G16" s="50">
        <f t="shared" si="14"/>
        <v>420</v>
      </c>
      <c r="H16" s="50">
        <f t="shared" si="15"/>
        <v>413</v>
      </c>
      <c r="Y16" s="37">
        <v>12.0314</v>
      </c>
      <c r="Z16" s="37">
        <v>12.0314</v>
      </c>
      <c r="AA16" s="37">
        <v>12.0314</v>
      </c>
      <c r="AB16" s="37">
        <v>12.0314</v>
      </c>
      <c r="AC16" s="37">
        <v>12.0314</v>
      </c>
      <c r="AD16" s="37">
        <v>12.0314</v>
      </c>
      <c r="AE16" s="37">
        <v>12.0314</v>
      </c>
      <c r="AF16" s="37">
        <v>12.0314</v>
      </c>
      <c r="AG16" s="37">
        <v>12.0314</v>
      </c>
      <c r="AH16" s="37">
        <v>12.0314</v>
      </c>
      <c r="AI16" s="37">
        <v>12.0314</v>
      </c>
      <c r="AJ16" s="37">
        <v>12.0314</v>
      </c>
      <c r="AK16" s="37">
        <v>12.0314</v>
      </c>
      <c r="AL16" s="37">
        <v>12.0314</v>
      </c>
      <c r="AM16" s="37">
        <v>12.0314</v>
      </c>
      <c r="AN16" s="37">
        <v>12.0314</v>
      </c>
      <c r="AO16" s="37">
        <v>12.0314</v>
      </c>
      <c r="AP16" s="37">
        <v>12.0314</v>
      </c>
      <c r="AQ16" s="37">
        <v>12.0314</v>
      </c>
      <c r="AR16" s="37">
        <v>12.0314</v>
      </c>
      <c r="AS16" s="37">
        <v>12.0314</v>
      </c>
      <c r="AT16" s="37">
        <v>12.0314</v>
      </c>
      <c r="AU16" s="37">
        <v>12.0314</v>
      </c>
      <c r="AV16" s="37">
        <v>12.0314</v>
      </c>
      <c r="AW16" s="37">
        <v>12.0314</v>
      </c>
      <c r="AX16" s="37">
        <v>12.0314</v>
      </c>
      <c r="AY16" s="37">
        <v>12.0314</v>
      </c>
      <c r="AZ16" s="37">
        <v>12.0314</v>
      </c>
      <c r="BA16" s="37">
        <v>12.0314</v>
      </c>
      <c r="BB16" s="37">
        <v>12.0314</v>
      </c>
      <c r="BC16" s="37">
        <v>12.0314</v>
      </c>
      <c r="BD16" s="37">
        <v>12.0314</v>
      </c>
      <c r="BE16" s="37">
        <v>12.0314</v>
      </c>
      <c r="BF16" s="37">
        <v>12.0314</v>
      </c>
      <c r="BG16" s="37">
        <v>12.0314</v>
      </c>
      <c r="BH16" s="37">
        <v>12.0314</v>
      </c>
      <c r="BI16" s="37">
        <v>12.0314</v>
      </c>
      <c r="BJ16" s="37">
        <v>12.0314</v>
      </c>
      <c r="BK16" s="37">
        <v>12.0314</v>
      </c>
      <c r="BL16" s="37">
        <v>12.0314</v>
      </c>
      <c r="BM16" s="37">
        <v>12.0314</v>
      </c>
      <c r="BN16" s="37">
        <v>12.0314</v>
      </c>
      <c r="BO16" s="37">
        <v>12.0314</v>
      </c>
      <c r="BP16" s="37">
        <v>12.0314</v>
      </c>
      <c r="BQ16" s="37">
        <v>12.0314</v>
      </c>
      <c r="BR16" s="37">
        <v>12.0314</v>
      </c>
      <c r="BS16" s="37">
        <v>12.0314</v>
      </c>
      <c r="BT16" s="37">
        <v>12.0314</v>
      </c>
      <c r="BU16" s="37">
        <v>12.0314</v>
      </c>
      <c r="BV16" s="37">
        <v>12.0314</v>
      </c>
      <c r="BW16" s="37">
        <v>12.0314</v>
      </c>
      <c r="BX16" s="37">
        <v>12.0314</v>
      </c>
      <c r="BY16" s="37">
        <v>12.0314</v>
      </c>
      <c r="BZ16" s="37">
        <v>12.0314</v>
      </c>
      <c r="CA16" s="37">
        <v>12.0314</v>
      </c>
      <c r="CB16" s="37">
        <v>12.0314</v>
      </c>
      <c r="CC16" s="37">
        <v>12.0314</v>
      </c>
      <c r="CD16" s="37">
        <v>12.0314</v>
      </c>
      <c r="CE16" s="37">
        <v>12.0314</v>
      </c>
      <c r="CF16" s="37">
        <v>12.0314</v>
      </c>
      <c r="CG16" s="37">
        <v>12.0314</v>
      </c>
      <c r="CH16" s="37">
        <v>12.0314</v>
      </c>
      <c r="CI16" s="37">
        <v>12.0314</v>
      </c>
      <c r="CJ16" s="37">
        <v>12.0314</v>
      </c>
      <c r="CK16" s="37">
        <v>12.0314</v>
      </c>
      <c r="CL16" s="37">
        <v>12.0314</v>
      </c>
      <c r="CM16" s="37">
        <v>12.0314</v>
      </c>
      <c r="CN16" s="37">
        <v>12.0314</v>
      </c>
      <c r="CO16" s="37">
        <v>12.0314</v>
      </c>
      <c r="CP16" s="37">
        <v>12.0314</v>
      </c>
      <c r="CQ16" s="37">
        <v>12.0314</v>
      </c>
      <c r="CR16" s="37">
        <v>12.0314</v>
      </c>
      <c r="CS16" s="37">
        <v>12.0314</v>
      </c>
      <c r="CT16" s="37">
        <v>12.0314</v>
      </c>
      <c r="CU16" s="37">
        <v>12.0314</v>
      </c>
      <c r="CV16" s="37">
        <v>12.0314</v>
      </c>
      <c r="CW16" s="37">
        <v>12.0314</v>
      </c>
      <c r="CX16" s="37">
        <v>12.0314</v>
      </c>
      <c r="CY16" s="37">
        <v>12.0314</v>
      </c>
      <c r="CZ16" s="37">
        <v>12.0314</v>
      </c>
      <c r="DA16" s="37">
        <v>12.0314</v>
      </c>
      <c r="DB16" s="37">
        <v>12.0314</v>
      </c>
      <c r="DC16" s="37">
        <v>12.0314</v>
      </c>
      <c r="DD16" s="37">
        <v>12.0314</v>
      </c>
      <c r="DE16" s="37">
        <v>12.0314</v>
      </c>
      <c r="DF16" s="37">
        <v>12.0314</v>
      </c>
      <c r="DG16" s="37">
        <v>12.0314</v>
      </c>
      <c r="DH16" s="37">
        <v>12.0314</v>
      </c>
      <c r="DI16" s="37">
        <v>12.0314</v>
      </c>
      <c r="DJ16" s="37">
        <v>12.0314</v>
      </c>
      <c r="DK16" s="37">
        <v>12.0314</v>
      </c>
      <c r="DL16" s="37">
        <v>12.0314</v>
      </c>
      <c r="DM16" s="37">
        <v>12.0314</v>
      </c>
      <c r="DN16" s="37">
        <v>12.0314</v>
      </c>
      <c r="DO16" s="37">
        <v>12.0314</v>
      </c>
      <c r="DP16" s="37">
        <v>12.0314</v>
      </c>
      <c r="DQ16" s="37">
        <v>12.0314</v>
      </c>
      <c r="DR16" s="37">
        <v>12.0314</v>
      </c>
      <c r="DS16" s="37">
        <v>12.0314</v>
      </c>
      <c r="DT16" s="37">
        <v>12.0314</v>
      </c>
      <c r="DU16" s="37">
        <v>12.0314</v>
      </c>
      <c r="DV16" s="37">
        <v>12.0314</v>
      </c>
      <c r="DW16" s="37">
        <v>12.0314</v>
      </c>
      <c r="DX16" s="37">
        <v>12.0314</v>
      </c>
      <c r="DY16" s="37">
        <v>12.0314</v>
      </c>
      <c r="DZ16" s="37">
        <v>12.0314</v>
      </c>
      <c r="EA16" s="37">
        <v>12.0314</v>
      </c>
      <c r="EB16" s="37">
        <v>12.0314</v>
      </c>
      <c r="EC16" s="37">
        <v>12.0314</v>
      </c>
      <c r="ED16" s="37">
        <v>12.0314</v>
      </c>
      <c r="EE16" s="37">
        <v>12.0314</v>
      </c>
      <c r="EF16" s="37">
        <v>12.0314</v>
      </c>
      <c r="EG16" s="37">
        <v>12.0314</v>
      </c>
      <c r="EH16" s="37">
        <v>12.0314</v>
      </c>
      <c r="EI16" s="37">
        <v>12.0314</v>
      </c>
      <c r="EJ16" s="37">
        <v>12.0314</v>
      </c>
      <c r="EK16" s="37">
        <v>12.0314</v>
      </c>
      <c r="EL16" s="37">
        <v>12.0314</v>
      </c>
      <c r="EM16" s="37">
        <v>12.0314</v>
      </c>
      <c r="EN16" s="37">
        <v>12.0314</v>
      </c>
      <c r="EO16" s="37">
        <v>12.0314</v>
      </c>
      <c r="EP16" s="37">
        <v>12.0314</v>
      </c>
      <c r="EQ16" s="37">
        <v>12.0314</v>
      </c>
      <c r="ER16" s="37">
        <v>12.0314</v>
      </c>
      <c r="ES16" s="37">
        <v>12.0314</v>
      </c>
      <c r="ET16" s="37">
        <v>12.0314</v>
      </c>
      <c r="EU16" s="37">
        <v>12.0314</v>
      </c>
      <c r="EV16" s="37">
        <v>12.0314</v>
      </c>
      <c r="EW16" s="37">
        <v>12.0314</v>
      </c>
      <c r="EX16" s="37">
        <v>12.0314</v>
      </c>
      <c r="EY16" s="37">
        <v>12.0314</v>
      </c>
      <c r="EZ16" s="37">
        <v>12.0314</v>
      </c>
      <c r="FA16" s="37">
        <v>12.0314</v>
      </c>
      <c r="FB16" s="37">
        <v>12.0314</v>
      </c>
      <c r="FC16" s="37">
        <v>12.0314</v>
      </c>
      <c r="FD16" s="37">
        <v>12.0314</v>
      </c>
      <c r="FE16" s="37">
        <v>12.0314</v>
      </c>
      <c r="FF16" s="37">
        <v>12.0314</v>
      </c>
      <c r="FG16" s="37">
        <v>12.0314</v>
      </c>
      <c r="FH16" s="37">
        <v>12.0314</v>
      </c>
      <c r="FI16" s="37">
        <v>12.0314</v>
      </c>
      <c r="FJ16" s="37">
        <v>12.0314</v>
      </c>
      <c r="FK16" s="37">
        <v>12.0314</v>
      </c>
      <c r="FL16" s="37">
        <v>12.0314</v>
      </c>
      <c r="FM16" s="37">
        <v>12.0314</v>
      </c>
      <c r="FN16" s="37">
        <v>12.0314</v>
      </c>
      <c r="FO16" s="37">
        <v>12.0314</v>
      </c>
      <c r="FP16" s="37">
        <v>12.0314</v>
      </c>
      <c r="FQ16" s="37">
        <v>12.0314</v>
      </c>
      <c r="FR16" s="37">
        <v>12.0314</v>
      </c>
      <c r="FS16" s="37">
        <v>12.0314</v>
      </c>
      <c r="FT16" s="37">
        <v>12.0314</v>
      </c>
      <c r="FU16" s="37">
        <v>12.0314</v>
      </c>
      <c r="FV16" s="37">
        <v>12.0314</v>
      </c>
      <c r="FW16" s="37">
        <v>12.0314</v>
      </c>
      <c r="FX16" s="37">
        <v>12.0314</v>
      </c>
      <c r="FY16" s="37">
        <v>12.0314</v>
      </c>
      <c r="FZ16" s="37">
        <v>12.0314</v>
      </c>
      <c r="GA16" s="37">
        <v>12.0314</v>
      </c>
      <c r="GB16" s="37">
        <v>12.0314</v>
      </c>
      <c r="GC16" s="37">
        <v>12.0314</v>
      </c>
      <c r="GD16" s="37">
        <v>12.0314</v>
      </c>
      <c r="GE16" s="37">
        <v>12.0314</v>
      </c>
      <c r="GF16" s="37">
        <v>12.0314</v>
      </c>
      <c r="GG16" s="37">
        <v>12.0314</v>
      </c>
      <c r="GH16" s="37">
        <v>12.0314</v>
      </c>
      <c r="GI16" s="37">
        <v>12.0314</v>
      </c>
      <c r="GJ16" s="37">
        <v>12.0314</v>
      </c>
      <c r="GK16" s="37">
        <v>12.0314</v>
      </c>
      <c r="GL16" s="37">
        <v>12.0314</v>
      </c>
      <c r="GM16" s="37">
        <v>12.0314</v>
      </c>
      <c r="GN16" s="37">
        <v>12.0314</v>
      </c>
      <c r="GO16" s="37">
        <v>12.0314</v>
      </c>
      <c r="GP16" s="37">
        <v>12.0314</v>
      </c>
      <c r="GQ16" s="37">
        <v>12.0314</v>
      </c>
      <c r="GR16" s="37">
        <v>12.0314</v>
      </c>
      <c r="GS16" s="37">
        <v>12.0314</v>
      </c>
      <c r="GT16" s="37">
        <v>12.0314</v>
      </c>
      <c r="GU16" s="37">
        <v>12.0314</v>
      </c>
      <c r="GV16" s="37">
        <v>12.0314</v>
      </c>
      <c r="GW16" s="37">
        <v>12.0314</v>
      </c>
      <c r="GX16" s="37">
        <v>12.0314</v>
      </c>
      <c r="GY16" s="37">
        <v>12.0314</v>
      </c>
      <c r="GZ16" s="37">
        <v>12.0314</v>
      </c>
      <c r="HA16" s="37">
        <v>12.0314</v>
      </c>
      <c r="HB16" s="37">
        <v>12.0314</v>
      </c>
      <c r="HC16" s="37">
        <v>12.0314</v>
      </c>
      <c r="HD16" s="37">
        <v>12.0314</v>
      </c>
      <c r="HE16" s="37">
        <v>12.0314</v>
      </c>
      <c r="HF16" s="37">
        <v>12.0314</v>
      </c>
      <c r="HG16" s="37">
        <v>12.0314</v>
      </c>
      <c r="HH16" s="37">
        <v>12.0314</v>
      </c>
      <c r="HI16" s="37">
        <v>12.0314</v>
      </c>
      <c r="HJ16" s="37">
        <v>12.0314</v>
      </c>
      <c r="HK16" s="37">
        <v>12.0314</v>
      </c>
      <c r="HL16" s="37">
        <v>12.0314</v>
      </c>
      <c r="HM16" s="37">
        <v>12.0314</v>
      </c>
      <c r="HN16" s="37">
        <v>12.0314</v>
      </c>
      <c r="HO16" s="37">
        <v>12.0314</v>
      </c>
      <c r="HP16" s="37">
        <v>12.0314</v>
      </c>
      <c r="HQ16" s="37">
        <v>12.0314</v>
      </c>
      <c r="HR16" s="37">
        <v>12.0314</v>
      </c>
      <c r="HS16" s="37">
        <v>12.0314</v>
      </c>
      <c r="HT16" s="37">
        <v>12.0314</v>
      </c>
      <c r="HU16" s="37">
        <v>12.0314</v>
      </c>
      <c r="HV16" s="37">
        <v>12.0314</v>
      </c>
      <c r="HW16" s="37">
        <v>12.0314</v>
      </c>
      <c r="HX16" s="37">
        <v>12.0314</v>
      </c>
      <c r="HY16" s="37">
        <v>12.0314</v>
      </c>
      <c r="HZ16" s="37">
        <v>12.0314</v>
      </c>
      <c r="IA16" s="37">
        <v>12.0314</v>
      </c>
      <c r="IB16" s="37">
        <v>12.0314</v>
      </c>
      <c r="IC16" s="37">
        <v>12.0314</v>
      </c>
      <c r="ID16" s="37">
        <v>12.0314</v>
      </c>
      <c r="IE16" s="37">
        <v>12.0314</v>
      </c>
      <c r="IF16" s="37">
        <v>12.0314</v>
      </c>
      <c r="IG16" s="37">
        <v>12.0314</v>
      </c>
      <c r="IH16" s="37">
        <v>12.0314</v>
      </c>
      <c r="II16" s="37">
        <v>12.0314</v>
      </c>
      <c r="IJ16" s="37">
        <v>12.0314</v>
      </c>
      <c r="IK16" s="37">
        <v>12.0314</v>
      </c>
      <c r="IL16" s="37">
        <v>12.0314</v>
      </c>
      <c r="IM16" s="37">
        <v>12.0314</v>
      </c>
      <c r="IN16" s="37">
        <v>12.0314</v>
      </c>
      <c r="IO16" s="37">
        <v>12.0314</v>
      </c>
      <c r="IP16" s="37">
        <v>12.0314</v>
      </c>
      <c r="IQ16" s="37">
        <v>12.0314</v>
      </c>
      <c r="IR16" s="37">
        <v>12.0314</v>
      </c>
      <c r="IS16" s="37">
        <v>12.0314</v>
      </c>
      <c r="IT16" s="37">
        <v>12.0314</v>
      </c>
      <c r="IU16" s="37">
        <v>12.0314</v>
      </c>
      <c r="IV16" s="37">
        <v>12.0314</v>
      </c>
      <c r="IW16" s="37">
        <v>12.0314</v>
      </c>
      <c r="IX16" s="37">
        <v>12.0314</v>
      </c>
      <c r="IY16" s="37">
        <v>12.0314</v>
      </c>
      <c r="IZ16" s="37">
        <v>12.0314</v>
      </c>
      <c r="JA16" s="37">
        <v>12.0314</v>
      </c>
      <c r="JB16" s="37">
        <v>12.0314</v>
      </c>
      <c r="JC16" s="37">
        <v>12.0314</v>
      </c>
      <c r="JD16" s="37">
        <v>12.0314</v>
      </c>
      <c r="JE16" s="37">
        <v>12.0314</v>
      </c>
      <c r="JF16" s="37">
        <v>12.0314</v>
      </c>
      <c r="JG16" s="37">
        <v>12.0314</v>
      </c>
      <c r="JH16" s="37">
        <v>12.0314</v>
      </c>
      <c r="JI16" s="37">
        <v>12.0314</v>
      </c>
      <c r="JJ16" s="37">
        <v>12.0314</v>
      </c>
      <c r="JK16" s="37">
        <v>12.0314</v>
      </c>
      <c r="JL16" s="37">
        <v>12.0314</v>
      </c>
      <c r="JM16" s="37">
        <v>12.0314</v>
      </c>
      <c r="JN16" s="37">
        <v>12.0314</v>
      </c>
      <c r="JO16" s="37">
        <v>12.0314</v>
      </c>
      <c r="JP16" s="37">
        <v>12.0314</v>
      </c>
      <c r="JQ16" s="37">
        <v>12.0314</v>
      </c>
      <c r="JR16" s="37">
        <v>12.0314</v>
      </c>
      <c r="JS16" s="37">
        <v>12.0314</v>
      </c>
      <c r="JT16" s="37">
        <v>12.0314</v>
      </c>
      <c r="JU16" s="37">
        <v>12.0314</v>
      </c>
      <c r="JV16" s="37">
        <v>12.0314</v>
      </c>
      <c r="JW16" s="37">
        <v>12.0314</v>
      </c>
      <c r="JX16" s="37">
        <v>12.0314</v>
      </c>
      <c r="JY16" s="37">
        <v>12.0314</v>
      </c>
      <c r="JZ16" s="37">
        <v>12.0314</v>
      </c>
      <c r="KA16" s="37">
        <v>12.0314</v>
      </c>
      <c r="KB16" s="37">
        <v>12.0314</v>
      </c>
      <c r="KC16" s="37">
        <v>12.0314</v>
      </c>
      <c r="KD16" s="37">
        <v>12.0314</v>
      </c>
      <c r="KE16" s="37">
        <v>12.0314</v>
      </c>
      <c r="KF16" s="37">
        <v>12.0314</v>
      </c>
      <c r="KG16" s="37">
        <v>12.0314</v>
      </c>
      <c r="KH16" s="37">
        <v>12.0314</v>
      </c>
      <c r="KI16" s="37">
        <v>12.0314</v>
      </c>
      <c r="KJ16" s="37">
        <v>12.0314</v>
      </c>
      <c r="KK16" s="37">
        <v>12.0314</v>
      </c>
      <c r="KL16" s="37">
        <v>12.0314</v>
      </c>
      <c r="KM16" s="37">
        <v>12.0314</v>
      </c>
      <c r="KN16" s="37">
        <v>12.0314</v>
      </c>
      <c r="KO16" s="37">
        <v>12.0314</v>
      </c>
      <c r="KP16" s="37">
        <v>12.0314</v>
      </c>
      <c r="KQ16" s="37">
        <v>12.0314</v>
      </c>
      <c r="KR16" s="37">
        <v>12.0314</v>
      </c>
      <c r="KS16" s="37">
        <v>12.0314</v>
      </c>
      <c r="KT16" s="37">
        <v>12.0314</v>
      </c>
      <c r="KU16" s="37">
        <v>12.0314</v>
      </c>
      <c r="KV16" s="37">
        <v>12.0314</v>
      </c>
      <c r="KW16" s="37">
        <v>12.0314</v>
      </c>
      <c r="KX16" s="37">
        <v>12.0314</v>
      </c>
      <c r="KY16" s="37">
        <v>12.0314</v>
      </c>
      <c r="KZ16" s="37">
        <v>12.0314</v>
      </c>
      <c r="LA16" s="37">
        <v>12.0314</v>
      </c>
      <c r="LB16" s="37">
        <v>12.0314</v>
      </c>
      <c r="LC16" s="37">
        <v>12.0314</v>
      </c>
      <c r="LD16" s="37">
        <v>12.0314</v>
      </c>
      <c r="LE16" s="37">
        <v>12.0314</v>
      </c>
      <c r="LF16" s="37">
        <v>12.0314</v>
      </c>
      <c r="LG16" s="37">
        <v>12.0314</v>
      </c>
      <c r="LH16" s="37">
        <v>12.0314</v>
      </c>
      <c r="LI16" s="37">
        <v>12.0314</v>
      </c>
      <c r="LJ16" s="37">
        <v>12.0314</v>
      </c>
      <c r="LK16" s="37">
        <v>12.0314</v>
      </c>
      <c r="LL16" s="37">
        <v>12.0314</v>
      </c>
      <c r="LM16" s="37">
        <v>12.0314</v>
      </c>
      <c r="LN16" s="37">
        <v>12.0314</v>
      </c>
      <c r="LO16" s="37">
        <v>12.0314</v>
      </c>
      <c r="LP16" s="37">
        <v>12.0314</v>
      </c>
      <c r="LQ16" s="37">
        <v>12.0314</v>
      </c>
      <c r="LR16" s="37">
        <v>12.0314</v>
      </c>
      <c r="LS16" s="37">
        <v>12.0314</v>
      </c>
      <c r="LT16" s="37">
        <v>12.0314</v>
      </c>
      <c r="LU16" s="37">
        <v>12.0314</v>
      </c>
      <c r="LV16" s="37">
        <v>12.0314</v>
      </c>
      <c r="LW16" s="37">
        <v>12.0314</v>
      </c>
      <c r="LX16" s="37">
        <v>12.0314</v>
      </c>
      <c r="LY16" s="37">
        <v>12.0314</v>
      </c>
      <c r="LZ16" s="37">
        <v>12.0314</v>
      </c>
      <c r="MA16" s="37">
        <v>12.0314</v>
      </c>
      <c r="MB16" s="37">
        <v>12.0314</v>
      </c>
      <c r="MC16" s="37">
        <v>12.0314</v>
      </c>
      <c r="MD16" s="37">
        <v>12.0314</v>
      </c>
      <c r="ME16" s="37">
        <v>12.0314</v>
      </c>
      <c r="MF16" s="37">
        <v>12.0314</v>
      </c>
      <c r="MG16" s="37">
        <v>12.0314</v>
      </c>
      <c r="MH16" s="37">
        <v>12.0314</v>
      </c>
      <c r="MI16" s="37">
        <v>12.0314</v>
      </c>
      <c r="MJ16" s="37">
        <v>12.0314</v>
      </c>
      <c r="MK16" s="37">
        <v>12.0314</v>
      </c>
      <c r="ML16" s="37">
        <v>12.0314</v>
      </c>
      <c r="MM16" s="37">
        <v>12.0314</v>
      </c>
      <c r="MN16" s="37">
        <v>12.0314</v>
      </c>
      <c r="MO16" s="37">
        <v>12.0314</v>
      </c>
      <c r="MP16" s="37">
        <v>12.0314</v>
      </c>
      <c r="MQ16" s="37">
        <v>12.0314</v>
      </c>
      <c r="MR16" s="37">
        <v>12.0314</v>
      </c>
      <c r="MS16" s="37">
        <v>12.0314</v>
      </c>
      <c r="MT16" s="37">
        <v>12.0314</v>
      </c>
      <c r="MU16" s="37">
        <v>12.0314</v>
      </c>
      <c r="MV16" s="37">
        <v>12.0314</v>
      </c>
      <c r="MW16" s="37">
        <v>12.0314</v>
      </c>
      <c r="MX16" s="37">
        <v>12.0314</v>
      </c>
      <c r="MY16" s="37">
        <v>12.0314</v>
      </c>
      <c r="MZ16" s="37">
        <v>12.0314</v>
      </c>
      <c r="NA16" s="37">
        <v>12.0314</v>
      </c>
      <c r="NB16" s="37">
        <v>12.0314</v>
      </c>
      <c r="NC16" s="37">
        <v>12.0314</v>
      </c>
      <c r="ND16" s="37">
        <v>12.0314</v>
      </c>
      <c r="NE16" s="37">
        <v>12.0314</v>
      </c>
      <c r="NF16" s="37">
        <v>12.0314</v>
      </c>
      <c r="NG16" s="37">
        <v>12.0314</v>
      </c>
      <c r="NH16" s="37">
        <v>12.0314</v>
      </c>
      <c r="NI16" s="37">
        <v>12.0314</v>
      </c>
      <c r="NJ16" s="37">
        <v>12.0314</v>
      </c>
      <c r="NK16" s="37">
        <v>12.0314</v>
      </c>
      <c r="NL16" s="37">
        <v>12.0314</v>
      </c>
      <c r="NM16" s="37">
        <v>12.0314</v>
      </c>
      <c r="NN16" s="37">
        <v>12.0314</v>
      </c>
      <c r="NO16" s="37">
        <v>12.0314</v>
      </c>
      <c r="NP16" s="37">
        <v>12.0314</v>
      </c>
      <c r="NQ16" s="37">
        <v>12.0314</v>
      </c>
      <c r="NR16" s="37">
        <v>12.0314</v>
      </c>
      <c r="NS16" s="37">
        <v>12.0314</v>
      </c>
      <c r="NT16" s="37">
        <v>12.0314</v>
      </c>
      <c r="NU16" s="37">
        <v>12.0314</v>
      </c>
      <c r="NV16" s="37">
        <v>12.0314</v>
      </c>
      <c r="NW16" s="37">
        <v>12.0314</v>
      </c>
      <c r="NX16" s="37">
        <v>12.0314</v>
      </c>
      <c r="NY16" s="37">
        <v>12.0314</v>
      </c>
      <c r="NZ16" s="37">
        <v>12.0314</v>
      </c>
      <c r="OA16" s="37">
        <v>12.0314</v>
      </c>
      <c r="OB16" s="37">
        <v>12.0314</v>
      </c>
      <c r="OC16" s="37">
        <v>12.0314</v>
      </c>
      <c r="OD16" s="37">
        <v>12.0314</v>
      </c>
      <c r="OE16" s="37">
        <v>12.0314</v>
      </c>
      <c r="OF16" s="37">
        <v>12.0314</v>
      </c>
      <c r="OG16" s="37">
        <v>12.0314</v>
      </c>
      <c r="OH16" s="37">
        <v>12.0314</v>
      </c>
      <c r="OI16" s="37">
        <v>12.0314</v>
      </c>
      <c r="OJ16" s="37">
        <v>12.0314</v>
      </c>
      <c r="OK16" s="37">
        <v>12.0314</v>
      </c>
      <c r="OL16" s="37">
        <v>12.0314</v>
      </c>
      <c r="OM16" s="37">
        <v>12.0314</v>
      </c>
      <c r="ON16" s="37">
        <v>12.0314</v>
      </c>
      <c r="OO16" s="37">
        <v>12.0314</v>
      </c>
      <c r="OP16" s="37">
        <v>12.0314</v>
      </c>
      <c r="OQ16" s="37">
        <v>12.0314</v>
      </c>
      <c r="OR16" s="37">
        <v>12.0314</v>
      </c>
      <c r="OS16" s="37">
        <v>12.0314</v>
      </c>
      <c r="OT16" s="37">
        <v>12.0314</v>
      </c>
      <c r="OU16" s="37">
        <v>12.0314</v>
      </c>
      <c r="OV16" s="37">
        <v>12.0314</v>
      </c>
      <c r="OW16" s="37">
        <v>12.0314</v>
      </c>
      <c r="OX16" s="37">
        <v>12.0314</v>
      </c>
      <c r="OY16" s="37">
        <v>12.0314</v>
      </c>
      <c r="OZ16" s="37">
        <v>12.0314</v>
      </c>
      <c r="PA16" s="37">
        <v>12.0314</v>
      </c>
      <c r="PB16" s="37">
        <v>12.0314</v>
      </c>
      <c r="PC16" s="37">
        <v>12.0314</v>
      </c>
      <c r="PD16" s="37">
        <v>12.0314</v>
      </c>
      <c r="PE16" s="37">
        <v>12.0314</v>
      </c>
      <c r="PF16" s="37">
        <v>12.0314</v>
      </c>
      <c r="PG16" s="37">
        <v>12.0314</v>
      </c>
      <c r="PH16" s="37">
        <v>12.0314</v>
      </c>
      <c r="PI16" s="37">
        <v>12.0314</v>
      </c>
      <c r="PJ16" s="37">
        <v>12.0314</v>
      </c>
      <c r="PK16" s="37">
        <v>12.0314</v>
      </c>
      <c r="PL16" s="37">
        <v>12.0314</v>
      </c>
      <c r="PM16" s="37">
        <v>12.0314</v>
      </c>
      <c r="PN16" s="37">
        <v>12.0314</v>
      </c>
      <c r="PO16" s="37">
        <v>12.0314</v>
      </c>
      <c r="PP16" s="37">
        <v>12.0314</v>
      </c>
      <c r="PQ16" s="37">
        <v>12.0314</v>
      </c>
      <c r="PR16" s="37">
        <v>12.0314</v>
      </c>
      <c r="PS16" s="15">
        <v>12.0314</v>
      </c>
      <c r="PT16" s="15">
        <v>12.0314</v>
      </c>
      <c r="PU16" s="15">
        <v>12.0314</v>
      </c>
      <c r="PV16" s="15">
        <v>12.0314</v>
      </c>
      <c r="PW16" s="15">
        <v>12.0314</v>
      </c>
      <c r="PX16" s="15">
        <v>12.0314</v>
      </c>
      <c r="PY16" s="15">
        <v>12.0314</v>
      </c>
      <c r="PZ16" s="15">
        <v>12.0314</v>
      </c>
      <c r="QA16" s="15">
        <v>12.0314</v>
      </c>
      <c r="QB16" s="15">
        <v>10.70055</v>
      </c>
      <c r="QC16" s="15" t="s">
        <v>668</v>
      </c>
      <c r="QD16" s="15" t="s">
        <v>668</v>
      </c>
      <c r="QE16" s="15" t="s">
        <v>668</v>
      </c>
      <c r="QF16" s="15" t="s">
        <v>668</v>
      </c>
      <c r="QG16" s="15" t="s">
        <v>668</v>
      </c>
      <c r="QH16" s="15" t="s">
        <v>668</v>
      </c>
      <c r="QI16" s="15" t="s">
        <v>668</v>
      </c>
      <c r="QJ16" s="15" t="s">
        <v>668</v>
      </c>
      <c r="QK16" s="15" t="s">
        <v>668</v>
      </c>
      <c r="QL16" s="15" t="s">
        <v>668</v>
      </c>
      <c r="QM16" s="15" t="s">
        <v>668</v>
      </c>
      <c r="QN16" s="15" t="s">
        <v>668</v>
      </c>
      <c r="QO16" s="15" t="s">
        <v>668</v>
      </c>
      <c r="QP16" s="15" t="s">
        <v>668</v>
      </c>
      <c r="QQ16" s="15" t="s">
        <v>668</v>
      </c>
      <c r="QR16" s="15" t="s">
        <v>668</v>
      </c>
      <c r="QS16" s="15" t="s">
        <v>668</v>
      </c>
      <c r="QT16" s="15" t="s">
        <v>668</v>
      </c>
      <c r="QU16" s="15" t="s">
        <v>668</v>
      </c>
      <c r="QV16" s="15" t="s">
        <v>668</v>
      </c>
      <c r="QW16" s="15" t="s">
        <v>668</v>
      </c>
      <c r="QX16" s="15" t="s">
        <v>668</v>
      </c>
      <c r="QY16" s="15" t="s">
        <v>668</v>
      </c>
      <c r="QZ16" s="15" t="s">
        <v>668</v>
      </c>
      <c r="RA16" s="15" t="s">
        <v>668</v>
      </c>
      <c r="RB16" s="15" t="s">
        <v>668</v>
      </c>
      <c r="RC16" s="15" t="s">
        <v>668</v>
      </c>
      <c r="RD16" s="15" t="s">
        <v>668</v>
      </c>
      <c r="RE16" s="15" t="s">
        <v>668</v>
      </c>
      <c r="RF16" s="15" t="s">
        <v>668</v>
      </c>
      <c r="RG16" s="15" t="s">
        <v>668</v>
      </c>
      <c r="RH16" s="15" t="s">
        <v>668</v>
      </c>
      <c r="RI16" s="15" t="s">
        <v>668</v>
      </c>
      <c r="RJ16" s="15" t="s">
        <v>668</v>
      </c>
      <c r="RK16" s="15" t="s">
        <v>668</v>
      </c>
      <c r="RL16" s="15" t="s">
        <v>668</v>
      </c>
      <c r="RM16" s="15" t="s">
        <v>668</v>
      </c>
      <c r="RN16" s="15" t="s">
        <v>668</v>
      </c>
      <c r="RO16" s="15" t="s">
        <v>668</v>
      </c>
      <c r="RP16" s="15" t="s">
        <v>668</v>
      </c>
      <c r="RQ16" s="15" t="s">
        <v>668</v>
      </c>
      <c r="RR16" s="15" t="s">
        <v>668</v>
      </c>
      <c r="RS16" s="15" t="s">
        <v>668</v>
      </c>
      <c r="RT16" s="15" t="s">
        <v>668</v>
      </c>
      <c r="RU16" s="15" t="s">
        <v>668</v>
      </c>
      <c r="RV16" s="15" t="s">
        <v>668</v>
      </c>
      <c r="RW16" s="15" t="s">
        <v>668</v>
      </c>
      <c r="RX16" s="15" t="s">
        <v>668</v>
      </c>
      <c r="RY16" s="15" t="s">
        <v>668</v>
      </c>
      <c r="RZ16" s="15" t="s">
        <v>668</v>
      </c>
      <c r="SA16" s="15" t="s">
        <v>668</v>
      </c>
      <c r="SB16" s="15" t="s">
        <v>668</v>
      </c>
      <c r="SC16" s="15" t="s">
        <v>668</v>
      </c>
      <c r="SD16" s="15" t="s">
        <v>668</v>
      </c>
      <c r="SE16" s="15" t="s">
        <v>668</v>
      </c>
      <c r="SF16" s="15" t="s">
        <v>668</v>
      </c>
      <c r="SG16" s="15" t="s">
        <v>668</v>
      </c>
      <c r="SH16" s="15" t="s">
        <v>668</v>
      </c>
      <c r="SI16" s="15" t="s">
        <v>668</v>
      </c>
      <c r="SJ16" s="15" t="s">
        <v>668</v>
      </c>
      <c r="SK16" s="15" t="s">
        <v>668</v>
      </c>
      <c r="SL16" s="15" t="s">
        <v>668</v>
      </c>
    </row>
    <row r="17" spans="1:506" x14ac:dyDescent="0.2">
      <c r="A17" s="37">
        <v>15</v>
      </c>
      <c r="B17" s="15" t="s">
        <v>547</v>
      </c>
      <c r="C17" s="17">
        <f>+'Detalle Compras'!D17</f>
        <v>202505290009</v>
      </c>
      <c r="D17" s="55">
        <f t="shared" si="13"/>
        <v>12.6721</v>
      </c>
      <c r="E17" s="14">
        <f>+IF(B17="","",'Detalle Compras'!S17+0)</f>
        <v>45848</v>
      </c>
      <c r="F17" s="14">
        <f>+IF(B17="","",EOMONTH('Detalle Compras'!S17,G17)+10)</f>
        <v>56836</v>
      </c>
      <c r="G17" s="50">
        <f t="shared" si="14"/>
        <v>360</v>
      </c>
      <c r="H17" s="50">
        <f t="shared" si="15"/>
        <v>353</v>
      </c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>
        <v>12.6721</v>
      </c>
      <c r="Z17" s="52">
        <v>12.6721</v>
      </c>
      <c r="AA17" s="52">
        <v>12.6721</v>
      </c>
      <c r="AB17" s="52">
        <v>12.6721</v>
      </c>
      <c r="AC17" s="52">
        <v>12.6721</v>
      </c>
      <c r="AD17" s="52">
        <v>12.6721</v>
      </c>
      <c r="AE17" s="52">
        <v>12.6721</v>
      </c>
      <c r="AF17" s="52">
        <v>12.6721</v>
      </c>
      <c r="AG17" s="52">
        <v>12.6721</v>
      </c>
      <c r="AH17" s="52">
        <v>12.6721</v>
      </c>
      <c r="AI17" s="52">
        <v>12.6721</v>
      </c>
      <c r="AJ17" s="52">
        <v>12.6721</v>
      </c>
      <c r="AK17" s="52">
        <v>12.6721</v>
      </c>
      <c r="AL17" s="52">
        <v>12.6721</v>
      </c>
      <c r="AM17" s="52">
        <v>12.6721</v>
      </c>
      <c r="AN17" s="52">
        <v>12.6721</v>
      </c>
      <c r="AO17" s="52">
        <v>12.6721</v>
      </c>
      <c r="AP17" s="52">
        <v>12.6721</v>
      </c>
      <c r="AQ17" s="52">
        <v>12.6721</v>
      </c>
      <c r="AR17" s="52">
        <v>12.6721</v>
      </c>
      <c r="AS17" s="52">
        <v>12.6721</v>
      </c>
      <c r="AT17" s="52">
        <v>12.6721</v>
      </c>
      <c r="AU17" s="52">
        <v>12.6721</v>
      </c>
      <c r="AV17" s="52">
        <v>12.6721</v>
      </c>
      <c r="AW17" s="52">
        <v>12.6721</v>
      </c>
      <c r="AX17" s="52">
        <v>12.6721</v>
      </c>
      <c r="AY17" s="52">
        <v>12.6721</v>
      </c>
      <c r="AZ17" s="52">
        <v>12.6721</v>
      </c>
      <c r="BA17" s="52">
        <v>12.6721</v>
      </c>
      <c r="BB17" s="52">
        <v>12.6721</v>
      </c>
      <c r="BC17" s="52">
        <v>12.6721</v>
      </c>
      <c r="BD17" s="52">
        <v>12.6721</v>
      </c>
      <c r="BE17" s="52">
        <v>12.6721</v>
      </c>
      <c r="BF17" s="52">
        <v>12.6721</v>
      </c>
      <c r="BG17" s="52">
        <v>12.6721</v>
      </c>
      <c r="BH17" s="52">
        <v>12.6721</v>
      </c>
      <c r="BI17" s="52">
        <v>12.6721</v>
      </c>
      <c r="BJ17" s="52">
        <v>12.6721</v>
      </c>
      <c r="BK17" s="52">
        <v>12.6721</v>
      </c>
      <c r="BL17" s="52">
        <v>12.6721</v>
      </c>
      <c r="BM17" s="52">
        <v>12.6721</v>
      </c>
      <c r="BN17" s="52">
        <v>12.6721</v>
      </c>
      <c r="BO17" s="52">
        <v>12.6721</v>
      </c>
      <c r="BP17" s="52">
        <v>12.6721</v>
      </c>
      <c r="BQ17" s="52">
        <v>12.6721</v>
      </c>
      <c r="BR17" s="52">
        <v>12.6721</v>
      </c>
      <c r="BS17" s="52">
        <v>12.6721</v>
      </c>
      <c r="BT17" s="52">
        <v>12.6721</v>
      </c>
      <c r="BU17" s="52">
        <v>12.6721</v>
      </c>
      <c r="BV17" s="52">
        <v>12.6721</v>
      </c>
      <c r="BW17" s="52">
        <v>12.6721</v>
      </c>
      <c r="BX17" s="52">
        <v>12.6721</v>
      </c>
      <c r="BY17" s="52">
        <v>12.6721</v>
      </c>
      <c r="BZ17" s="52">
        <v>12.6721</v>
      </c>
      <c r="CA17" s="52">
        <v>12.6721</v>
      </c>
      <c r="CB17" s="52">
        <v>12.6721</v>
      </c>
      <c r="CC17" s="52">
        <v>12.6721</v>
      </c>
      <c r="CD17" s="52">
        <v>12.6721</v>
      </c>
      <c r="CE17" s="52">
        <v>12.6721</v>
      </c>
      <c r="CF17" s="52">
        <v>12.6721</v>
      </c>
      <c r="CG17" s="52">
        <v>12.6721</v>
      </c>
      <c r="CH17" s="52">
        <v>12.6721</v>
      </c>
      <c r="CI17" s="52">
        <v>12.6721</v>
      </c>
      <c r="CJ17" s="52">
        <v>12.6721</v>
      </c>
      <c r="CK17" s="52">
        <v>12.6721</v>
      </c>
      <c r="CL17" s="52">
        <v>12.6721</v>
      </c>
      <c r="CM17" s="52">
        <v>12.6721</v>
      </c>
      <c r="CN17" s="52">
        <v>12.6721</v>
      </c>
      <c r="CO17" s="52">
        <v>12.6721</v>
      </c>
      <c r="CP17" s="52">
        <v>12.6721</v>
      </c>
      <c r="CQ17" s="52">
        <v>12.6721</v>
      </c>
      <c r="CR17" s="52">
        <v>12.6721</v>
      </c>
      <c r="CS17" s="52">
        <v>12.6721</v>
      </c>
      <c r="CT17" s="52">
        <v>12.6721</v>
      </c>
      <c r="CU17" s="52">
        <v>12.6721</v>
      </c>
      <c r="CV17" s="52">
        <v>12.6721</v>
      </c>
      <c r="CW17" s="52">
        <v>12.6721</v>
      </c>
      <c r="CX17" s="52">
        <v>12.6721</v>
      </c>
      <c r="CY17" s="52">
        <v>12.6721</v>
      </c>
      <c r="CZ17" s="52">
        <v>12.6721</v>
      </c>
      <c r="DA17" s="52">
        <v>12.6721</v>
      </c>
      <c r="DB17" s="52">
        <v>12.6721</v>
      </c>
      <c r="DC17" s="52">
        <v>12.6721</v>
      </c>
      <c r="DD17" s="52">
        <v>12.6721</v>
      </c>
      <c r="DE17" s="52">
        <v>12.6721</v>
      </c>
      <c r="DF17" s="52">
        <v>12.6721</v>
      </c>
      <c r="DG17" s="52">
        <v>12.6721</v>
      </c>
      <c r="DH17" s="52">
        <v>12.6721</v>
      </c>
      <c r="DI17" s="52">
        <v>12.6721</v>
      </c>
      <c r="DJ17" s="52">
        <v>12.6721</v>
      </c>
      <c r="DK17" s="52">
        <v>12.6721</v>
      </c>
      <c r="DL17" s="52">
        <v>12.6721</v>
      </c>
      <c r="DM17" s="52">
        <v>12.6721</v>
      </c>
      <c r="DN17" s="52">
        <v>12.6721</v>
      </c>
      <c r="DO17" s="52">
        <v>12.6721</v>
      </c>
      <c r="DP17" s="52">
        <v>12.6721</v>
      </c>
      <c r="DQ17" s="52">
        <v>12.6721</v>
      </c>
      <c r="DR17" s="52">
        <v>12.6721</v>
      </c>
      <c r="DS17" s="52">
        <v>12.6721</v>
      </c>
      <c r="DT17" s="52">
        <v>12.6721</v>
      </c>
      <c r="DU17" s="52">
        <v>12.6721</v>
      </c>
      <c r="DV17" s="52">
        <v>12.6721</v>
      </c>
      <c r="DW17" s="52">
        <v>12.6721</v>
      </c>
      <c r="DX17" s="52">
        <v>12.6721</v>
      </c>
      <c r="DY17" s="52">
        <v>12.6721</v>
      </c>
      <c r="DZ17" s="52">
        <v>12.6721</v>
      </c>
      <c r="EA17" s="52">
        <v>12.6721</v>
      </c>
      <c r="EB17" s="52">
        <v>12.6721</v>
      </c>
      <c r="EC17" s="52">
        <v>12.6721</v>
      </c>
      <c r="ED17" s="52">
        <v>12.6721</v>
      </c>
      <c r="EE17" s="52">
        <v>12.6721</v>
      </c>
      <c r="EF17" s="52">
        <v>12.6721</v>
      </c>
      <c r="EG17" s="52">
        <v>12.6721</v>
      </c>
      <c r="EH17" s="52">
        <v>12.6721</v>
      </c>
      <c r="EI17" s="52">
        <v>12.6721</v>
      </c>
      <c r="EJ17" s="52">
        <v>12.6721</v>
      </c>
      <c r="EK17" s="52">
        <v>12.6721</v>
      </c>
      <c r="EL17" s="52">
        <v>12.6721</v>
      </c>
      <c r="EM17" s="52">
        <v>12.6721</v>
      </c>
      <c r="EN17" s="52">
        <v>12.6721</v>
      </c>
      <c r="EO17" s="52">
        <v>12.6721</v>
      </c>
      <c r="EP17" s="52">
        <v>12.6721</v>
      </c>
      <c r="EQ17" s="52">
        <v>12.6721</v>
      </c>
      <c r="ER17" s="52">
        <v>12.6721</v>
      </c>
      <c r="ES17" s="52">
        <v>12.6721</v>
      </c>
      <c r="ET17" s="52">
        <v>12.6721</v>
      </c>
      <c r="EU17" s="52">
        <v>12.6721</v>
      </c>
      <c r="EV17" s="52">
        <v>12.6721</v>
      </c>
      <c r="EW17" s="52">
        <v>12.6721</v>
      </c>
      <c r="EX17" s="52">
        <v>12.6721</v>
      </c>
      <c r="EY17" s="52">
        <v>12.6721</v>
      </c>
      <c r="EZ17" s="52">
        <v>12.6721</v>
      </c>
      <c r="FA17" s="52">
        <v>12.6721</v>
      </c>
      <c r="FB17" s="52">
        <v>12.6721</v>
      </c>
      <c r="FC17" s="52">
        <v>12.6721</v>
      </c>
      <c r="FD17" s="52">
        <v>12.6721</v>
      </c>
      <c r="FE17" s="52">
        <v>12.6721</v>
      </c>
      <c r="FF17" s="52">
        <v>12.6721</v>
      </c>
      <c r="FG17" s="52">
        <v>12.6721</v>
      </c>
      <c r="FH17" s="52">
        <v>12.6721</v>
      </c>
      <c r="FI17" s="52">
        <v>12.6721</v>
      </c>
      <c r="FJ17" s="52">
        <v>12.6721</v>
      </c>
      <c r="FK17" s="52">
        <v>12.6721</v>
      </c>
      <c r="FL17" s="52">
        <v>12.6721</v>
      </c>
      <c r="FM17" s="52">
        <v>12.6721</v>
      </c>
      <c r="FN17" s="52">
        <v>12.6721</v>
      </c>
      <c r="FO17" s="52">
        <v>12.6721</v>
      </c>
      <c r="FP17" s="52">
        <v>12.6721</v>
      </c>
      <c r="FQ17" s="52">
        <v>12.6721</v>
      </c>
      <c r="FR17" s="52">
        <v>12.6721</v>
      </c>
      <c r="FS17" s="52">
        <v>12.6721</v>
      </c>
      <c r="FT17" s="52">
        <v>12.6721</v>
      </c>
      <c r="FU17" s="52">
        <v>12.6721</v>
      </c>
      <c r="FV17" s="52">
        <v>12.6721</v>
      </c>
      <c r="FW17" s="52">
        <v>12.6721</v>
      </c>
      <c r="FX17" s="52">
        <v>12.6721</v>
      </c>
      <c r="FY17" s="52">
        <v>12.6721</v>
      </c>
      <c r="FZ17" s="52">
        <v>12.6721</v>
      </c>
      <c r="GA17" s="52">
        <v>12.6721</v>
      </c>
      <c r="GB17" s="52">
        <v>12.6721</v>
      </c>
      <c r="GC17" s="52">
        <v>12.6721</v>
      </c>
      <c r="GD17" s="52">
        <v>12.6721</v>
      </c>
      <c r="GE17" s="52">
        <v>12.6721</v>
      </c>
      <c r="GF17" s="52">
        <v>12.6721</v>
      </c>
      <c r="GG17" s="52">
        <v>12.6721</v>
      </c>
      <c r="GH17" s="52">
        <v>12.6721</v>
      </c>
      <c r="GI17" s="52">
        <v>12.6721</v>
      </c>
      <c r="GJ17" s="52">
        <v>12.6721</v>
      </c>
      <c r="GK17" s="52">
        <v>12.6721</v>
      </c>
      <c r="GL17" s="52">
        <v>12.6721</v>
      </c>
      <c r="GM17" s="52">
        <v>12.6721</v>
      </c>
      <c r="GN17" s="52">
        <v>12.6721</v>
      </c>
      <c r="GO17" s="52">
        <v>12.6721</v>
      </c>
      <c r="GP17" s="52">
        <v>12.6721</v>
      </c>
      <c r="GQ17" s="52">
        <v>12.6721</v>
      </c>
      <c r="GR17" s="52">
        <v>12.6721</v>
      </c>
      <c r="GS17" s="52">
        <v>12.6721</v>
      </c>
      <c r="GT17" s="52">
        <v>12.6721</v>
      </c>
      <c r="GU17" s="52">
        <v>12.6721</v>
      </c>
      <c r="GV17" s="52">
        <v>12.6721</v>
      </c>
      <c r="GW17" s="52">
        <v>12.6721</v>
      </c>
      <c r="GX17" s="52">
        <v>12.6721</v>
      </c>
      <c r="GY17" s="52">
        <v>12.6721</v>
      </c>
      <c r="GZ17" s="52">
        <v>12.6721</v>
      </c>
      <c r="HA17" s="52">
        <v>12.6721</v>
      </c>
      <c r="HB17" s="52">
        <v>12.6721</v>
      </c>
      <c r="HC17" s="52">
        <v>12.6721</v>
      </c>
      <c r="HD17" s="52">
        <v>12.6721</v>
      </c>
      <c r="HE17" s="52">
        <v>12.6721</v>
      </c>
      <c r="HF17" s="52">
        <v>12.6721</v>
      </c>
      <c r="HG17" s="52">
        <v>12.6721</v>
      </c>
      <c r="HH17" s="52">
        <v>12.6721</v>
      </c>
      <c r="HI17" s="52">
        <v>12.6721</v>
      </c>
      <c r="HJ17" s="52">
        <v>12.6721</v>
      </c>
      <c r="HK17" s="52">
        <v>12.6721</v>
      </c>
      <c r="HL17" s="52">
        <v>12.6721</v>
      </c>
      <c r="HM17" s="52">
        <v>12.6721</v>
      </c>
      <c r="HN17" s="52">
        <v>12.6721</v>
      </c>
      <c r="HO17" s="52">
        <v>12.6721</v>
      </c>
      <c r="HP17" s="52">
        <v>12.6721</v>
      </c>
      <c r="HQ17" s="52">
        <v>12.6721</v>
      </c>
      <c r="HR17" s="52">
        <v>12.6721</v>
      </c>
      <c r="HS17" s="52">
        <v>12.6721</v>
      </c>
      <c r="HT17" s="52">
        <v>12.6721</v>
      </c>
      <c r="HU17" s="52">
        <v>12.6721</v>
      </c>
      <c r="HV17" s="52">
        <v>12.6721</v>
      </c>
      <c r="HW17" s="52">
        <v>12.6721</v>
      </c>
      <c r="HX17" s="52">
        <v>12.6721</v>
      </c>
      <c r="HY17" s="52">
        <v>12.6721</v>
      </c>
      <c r="HZ17" s="52">
        <v>12.6721</v>
      </c>
      <c r="IA17" s="52">
        <v>12.6721</v>
      </c>
      <c r="IB17" s="52">
        <v>12.6721</v>
      </c>
      <c r="IC17" s="52">
        <v>12.6721</v>
      </c>
      <c r="ID17" s="52">
        <v>12.6721</v>
      </c>
      <c r="IE17" s="52">
        <v>12.6721</v>
      </c>
      <c r="IF17" s="52">
        <v>12.6721</v>
      </c>
      <c r="IG17" s="52">
        <v>12.6721</v>
      </c>
      <c r="IH17" s="52">
        <v>12.6721</v>
      </c>
      <c r="II17" s="52">
        <v>12.6721</v>
      </c>
      <c r="IJ17" s="52">
        <v>12.6721</v>
      </c>
      <c r="IK17" s="52">
        <v>12.6721</v>
      </c>
      <c r="IL17" s="52">
        <v>12.6721</v>
      </c>
      <c r="IM17" s="52">
        <v>12.6721</v>
      </c>
      <c r="IN17" s="52">
        <v>12.6721</v>
      </c>
      <c r="IO17" s="52">
        <v>12.6721</v>
      </c>
      <c r="IP17" s="52">
        <v>12.6721</v>
      </c>
      <c r="IQ17" s="52">
        <v>12.6721</v>
      </c>
      <c r="IR17" s="52">
        <v>12.6721</v>
      </c>
      <c r="IS17" s="52">
        <v>12.6721</v>
      </c>
      <c r="IT17" s="52">
        <v>12.6721</v>
      </c>
      <c r="IU17" s="52">
        <v>12.6721</v>
      </c>
      <c r="IV17" s="52">
        <v>12.6721</v>
      </c>
      <c r="IW17" s="52">
        <v>12.6721</v>
      </c>
      <c r="IX17" s="52">
        <v>12.6721</v>
      </c>
      <c r="IY17" s="52">
        <v>12.6721</v>
      </c>
      <c r="IZ17" s="52">
        <v>12.6721</v>
      </c>
      <c r="JA17" s="52">
        <v>12.6721</v>
      </c>
      <c r="JB17" s="52">
        <v>12.6721</v>
      </c>
      <c r="JC17" s="52">
        <v>12.6721</v>
      </c>
      <c r="JD17" s="52">
        <v>12.6721</v>
      </c>
      <c r="JE17" s="52">
        <v>12.6721</v>
      </c>
      <c r="JF17" s="52">
        <v>12.6721</v>
      </c>
      <c r="JG17" s="52">
        <v>12.6721</v>
      </c>
      <c r="JH17" s="52">
        <v>12.6721</v>
      </c>
      <c r="JI17" s="52">
        <v>12.6721</v>
      </c>
      <c r="JJ17" s="52">
        <v>12.6721</v>
      </c>
      <c r="JK17" s="52">
        <v>12.6721</v>
      </c>
      <c r="JL17" s="52">
        <v>12.6721</v>
      </c>
      <c r="JM17" s="52">
        <v>12.6721</v>
      </c>
      <c r="JN17" s="52">
        <v>12.6721</v>
      </c>
      <c r="JO17" s="52">
        <v>12.6721</v>
      </c>
      <c r="JP17" s="52">
        <v>12.6721</v>
      </c>
      <c r="JQ17" s="52">
        <v>12.6721</v>
      </c>
      <c r="JR17" s="52">
        <v>12.6721</v>
      </c>
      <c r="JS17" s="52">
        <v>12.6721</v>
      </c>
      <c r="JT17" s="52">
        <v>12.6721</v>
      </c>
      <c r="JU17" s="52">
        <v>12.6721</v>
      </c>
      <c r="JV17" s="52">
        <v>12.6721</v>
      </c>
      <c r="JW17" s="52">
        <v>12.6721</v>
      </c>
      <c r="JX17" s="52">
        <v>12.6721</v>
      </c>
      <c r="JY17" s="52">
        <v>12.6721</v>
      </c>
      <c r="JZ17" s="52">
        <v>12.6721</v>
      </c>
      <c r="KA17" s="52">
        <v>12.6721</v>
      </c>
      <c r="KB17" s="52">
        <v>12.6721</v>
      </c>
      <c r="KC17" s="52">
        <v>12.6721</v>
      </c>
      <c r="KD17" s="52">
        <v>12.6721</v>
      </c>
      <c r="KE17" s="52">
        <v>12.6721</v>
      </c>
      <c r="KF17" s="52">
        <v>12.6721</v>
      </c>
      <c r="KG17" s="52">
        <v>12.6721</v>
      </c>
      <c r="KH17" s="52">
        <v>12.6721</v>
      </c>
      <c r="KI17" s="52">
        <v>12.6721</v>
      </c>
      <c r="KJ17" s="52">
        <v>12.6721</v>
      </c>
      <c r="KK17" s="52">
        <v>12.6721</v>
      </c>
      <c r="KL17" s="52">
        <v>12.6721</v>
      </c>
      <c r="KM17" s="52">
        <v>12.6721</v>
      </c>
      <c r="KN17" s="52">
        <v>12.6721</v>
      </c>
      <c r="KO17" s="52">
        <v>12.6721</v>
      </c>
      <c r="KP17" s="52">
        <v>12.6721</v>
      </c>
      <c r="KQ17" s="52">
        <v>12.6721</v>
      </c>
      <c r="KR17" s="52">
        <v>12.6721</v>
      </c>
      <c r="KS17" s="52">
        <v>12.6721</v>
      </c>
      <c r="KT17" s="52">
        <v>12.6721</v>
      </c>
      <c r="KU17" s="52">
        <v>12.6721</v>
      </c>
      <c r="KV17" s="52">
        <v>12.6721</v>
      </c>
      <c r="KW17" s="52">
        <v>12.6721</v>
      </c>
      <c r="KX17" s="52">
        <v>12.6721</v>
      </c>
      <c r="KY17" s="52">
        <v>12.6721</v>
      </c>
      <c r="KZ17" s="52">
        <v>12.6721</v>
      </c>
      <c r="LA17" s="52">
        <v>12.6721</v>
      </c>
      <c r="LB17" s="52">
        <v>12.6721</v>
      </c>
      <c r="LC17" s="52">
        <v>12.6721</v>
      </c>
      <c r="LD17" s="52">
        <v>12.6721</v>
      </c>
      <c r="LE17" s="52">
        <v>12.6721</v>
      </c>
      <c r="LF17" s="52">
        <v>12.6721</v>
      </c>
      <c r="LG17" s="52">
        <v>12.6721</v>
      </c>
      <c r="LH17" s="52">
        <v>12.6721</v>
      </c>
      <c r="LI17" s="52">
        <v>12.6721</v>
      </c>
      <c r="LJ17" s="52">
        <v>12.6721</v>
      </c>
      <c r="LK17" s="52">
        <v>12.6721</v>
      </c>
      <c r="LL17" s="52">
        <v>12.6721</v>
      </c>
      <c r="LM17" s="52">
        <v>12.6721</v>
      </c>
      <c r="LN17" s="52">
        <v>12.6721</v>
      </c>
      <c r="LO17" s="52">
        <v>12.6721</v>
      </c>
      <c r="LP17" s="52">
        <v>12.6721</v>
      </c>
      <c r="LQ17" s="52">
        <v>12.6721</v>
      </c>
      <c r="LR17" s="52">
        <v>12.6721</v>
      </c>
      <c r="LS17" s="52">
        <v>12.6721</v>
      </c>
      <c r="LT17" s="52">
        <v>12.6721</v>
      </c>
      <c r="LU17" s="52">
        <v>12.6721</v>
      </c>
      <c r="LV17" s="52">
        <v>12.6721</v>
      </c>
      <c r="LW17" s="52">
        <v>12.6721</v>
      </c>
      <c r="LX17" s="52">
        <v>12.6721</v>
      </c>
      <c r="LY17" s="52">
        <v>12.6721</v>
      </c>
      <c r="LZ17" s="52">
        <v>12.6721</v>
      </c>
      <c r="MA17" s="52">
        <v>12.6721</v>
      </c>
      <c r="MB17" s="52">
        <v>12.6721</v>
      </c>
      <c r="MC17" s="52">
        <v>12.6721</v>
      </c>
      <c r="MD17" s="52">
        <v>12.6721</v>
      </c>
      <c r="ME17" s="52">
        <v>12.6721</v>
      </c>
      <c r="MF17" s="52">
        <v>12.6721</v>
      </c>
      <c r="MG17" s="52">
        <v>12.6721</v>
      </c>
      <c r="MH17" s="52">
        <v>12.6721</v>
      </c>
      <c r="MI17" s="52">
        <v>12.6721</v>
      </c>
      <c r="MJ17" s="52">
        <v>12.6721</v>
      </c>
      <c r="MK17" s="52">
        <v>12.6721</v>
      </c>
      <c r="ML17" s="52">
        <v>12.6721</v>
      </c>
      <c r="MM17" s="52">
        <v>12.6721</v>
      </c>
      <c r="MN17" s="52">
        <v>12.6721</v>
      </c>
      <c r="MO17" s="52">
        <v>12.6721</v>
      </c>
      <c r="MP17" s="52">
        <v>12.6721</v>
      </c>
      <c r="MQ17" s="52">
        <v>12.6721</v>
      </c>
      <c r="MR17" s="52">
        <v>12.6721</v>
      </c>
      <c r="MS17" s="52">
        <v>12.6721</v>
      </c>
      <c r="MT17" s="52">
        <v>12.6721</v>
      </c>
      <c r="MU17" s="52">
        <v>12.6721</v>
      </c>
      <c r="MV17" s="52">
        <v>12.6721</v>
      </c>
      <c r="MW17" s="52">
        <v>12.6721</v>
      </c>
      <c r="MX17" s="52">
        <v>12.6721</v>
      </c>
      <c r="MY17" s="52">
        <v>12.6721</v>
      </c>
      <c r="MZ17" s="52">
        <v>12.6721</v>
      </c>
      <c r="NA17" s="52">
        <v>12.6721</v>
      </c>
      <c r="NB17" s="52">
        <v>12.6721</v>
      </c>
      <c r="NC17" s="52">
        <v>12.6721</v>
      </c>
      <c r="ND17" s="52">
        <v>12.6721</v>
      </c>
      <c r="NE17" s="37">
        <v>12.6721</v>
      </c>
      <c r="NF17" s="37">
        <v>12.6721</v>
      </c>
      <c r="NG17" s="37">
        <v>12.6721</v>
      </c>
      <c r="NH17" s="37">
        <v>12.6721</v>
      </c>
      <c r="NI17" s="37">
        <v>12.6721</v>
      </c>
      <c r="NJ17" s="37">
        <v>12.6721</v>
      </c>
      <c r="NK17" s="37">
        <v>12.6721</v>
      </c>
      <c r="NL17" s="37">
        <v>12.6721</v>
      </c>
      <c r="NM17" s="37">
        <v>12.6721</v>
      </c>
      <c r="NN17" s="37">
        <v>12.6721</v>
      </c>
      <c r="NO17" s="37">
        <v>12.6721</v>
      </c>
      <c r="NP17" s="37">
        <v>12.6721</v>
      </c>
      <c r="NQ17" s="37">
        <v>12.6721</v>
      </c>
      <c r="NR17" s="37">
        <v>12.6721</v>
      </c>
      <c r="NS17" s="37">
        <v>12.6721</v>
      </c>
      <c r="NT17" s="37">
        <v>12.052899999999999</v>
      </c>
      <c r="NU17" s="37" t="s">
        <v>668</v>
      </c>
      <c r="NV17" s="37" t="s">
        <v>668</v>
      </c>
      <c r="NW17" s="37" t="s">
        <v>668</v>
      </c>
      <c r="NX17" s="37" t="s">
        <v>668</v>
      </c>
      <c r="NY17" s="37" t="s">
        <v>668</v>
      </c>
      <c r="NZ17" s="37" t="s">
        <v>668</v>
      </c>
      <c r="OA17" s="37" t="s">
        <v>668</v>
      </c>
      <c r="OB17" s="37" t="s">
        <v>668</v>
      </c>
      <c r="OC17" s="37" t="s">
        <v>668</v>
      </c>
      <c r="OD17" s="37" t="s">
        <v>668</v>
      </c>
      <c r="OE17" s="37" t="s">
        <v>668</v>
      </c>
      <c r="OF17" s="37" t="s">
        <v>668</v>
      </c>
      <c r="OG17" s="37" t="s">
        <v>668</v>
      </c>
      <c r="OH17" s="37" t="s">
        <v>668</v>
      </c>
      <c r="OI17" s="37" t="s">
        <v>668</v>
      </c>
      <c r="OJ17" s="37" t="s">
        <v>668</v>
      </c>
      <c r="OK17" s="37" t="s">
        <v>668</v>
      </c>
      <c r="OL17" s="37" t="s">
        <v>668</v>
      </c>
      <c r="OM17" s="37" t="s">
        <v>668</v>
      </c>
      <c r="ON17" s="37" t="s">
        <v>668</v>
      </c>
      <c r="OO17" s="37" t="s">
        <v>668</v>
      </c>
      <c r="OP17" s="37" t="s">
        <v>668</v>
      </c>
      <c r="OQ17" s="37" t="s">
        <v>668</v>
      </c>
      <c r="OR17" s="37" t="s">
        <v>668</v>
      </c>
      <c r="OS17" s="37" t="s">
        <v>668</v>
      </c>
      <c r="OT17" s="37" t="s">
        <v>668</v>
      </c>
      <c r="OU17" s="37" t="s">
        <v>668</v>
      </c>
      <c r="OV17" s="37" t="s">
        <v>668</v>
      </c>
      <c r="OW17" s="37" t="s">
        <v>668</v>
      </c>
      <c r="OX17" s="37" t="s">
        <v>668</v>
      </c>
      <c r="OY17" s="37" t="s">
        <v>668</v>
      </c>
      <c r="OZ17" s="37" t="s">
        <v>668</v>
      </c>
      <c r="PA17" s="37" t="s">
        <v>668</v>
      </c>
      <c r="PB17" s="37" t="s">
        <v>668</v>
      </c>
      <c r="PC17" s="37" t="s">
        <v>668</v>
      </c>
      <c r="PD17" s="37" t="s">
        <v>668</v>
      </c>
      <c r="PE17" s="37" t="s">
        <v>668</v>
      </c>
      <c r="PF17" s="37" t="s">
        <v>668</v>
      </c>
      <c r="PG17" s="37" t="s">
        <v>668</v>
      </c>
      <c r="PH17" s="37" t="s">
        <v>668</v>
      </c>
      <c r="PI17" s="37" t="s">
        <v>668</v>
      </c>
      <c r="PJ17" s="37" t="s">
        <v>668</v>
      </c>
      <c r="PK17" s="37" t="s">
        <v>668</v>
      </c>
      <c r="PL17" s="37" t="s">
        <v>668</v>
      </c>
      <c r="PM17" s="37" t="s">
        <v>668</v>
      </c>
      <c r="PN17" s="37" t="s">
        <v>668</v>
      </c>
      <c r="PO17" s="37" t="s">
        <v>668</v>
      </c>
      <c r="PP17" s="37" t="s">
        <v>668</v>
      </c>
      <c r="PQ17" s="37" t="s">
        <v>668</v>
      </c>
      <c r="PR17" s="37" t="s">
        <v>668</v>
      </c>
      <c r="PS17" s="15" t="s">
        <v>668</v>
      </c>
      <c r="PT17" s="15" t="s">
        <v>668</v>
      </c>
      <c r="PU17" s="15" t="s">
        <v>668</v>
      </c>
      <c r="PV17" s="15" t="s">
        <v>668</v>
      </c>
      <c r="PW17" s="15" t="s">
        <v>668</v>
      </c>
      <c r="PX17" s="15" t="s">
        <v>668</v>
      </c>
      <c r="PY17" s="15" t="s">
        <v>668</v>
      </c>
      <c r="PZ17" s="15" t="s">
        <v>668</v>
      </c>
      <c r="QA17" s="15" t="s">
        <v>668</v>
      </c>
      <c r="QB17" s="15" t="s">
        <v>668</v>
      </c>
      <c r="QC17" s="15" t="s">
        <v>668</v>
      </c>
      <c r="QD17" s="15" t="s">
        <v>668</v>
      </c>
      <c r="QE17" s="15" t="s">
        <v>668</v>
      </c>
      <c r="QF17" s="15" t="s">
        <v>668</v>
      </c>
      <c r="QG17" s="15" t="s">
        <v>668</v>
      </c>
      <c r="QH17" s="15" t="s">
        <v>668</v>
      </c>
      <c r="QI17" s="15" t="s">
        <v>668</v>
      </c>
      <c r="QJ17" s="15" t="s">
        <v>668</v>
      </c>
      <c r="QK17" s="15" t="s">
        <v>668</v>
      </c>
      <c r="QL17" s="15" t="s">
        <v>668</v>
      </c>
      <c r="QM17" s="15" t="s">
        <v>668</v>
      </c>
      <c r="QN17" s="15" t="s">
        <v>668</v>
      </c>
      <c r="QO17" s="15" t="s">
        <v>668</v>
      </c>
      <c r="QP17" s="15" t="s">
        <v>668</v>
      </c>
      <c r="QQ17" s="15" t="s">
        <v>668</v>
      </c>
      <c r="QR17" s="15" t="s">
        <v>668</v>
      </c>
      <c r="QS17" s="15" t="s">
        <v>668</v>
      </c>
      <c r="QT17" s="15" t="s">
        <v>668</v>
      </c>
      <c r="QU17" s="15" t="s">
        <v>668</v>
      </c>
      <c r="QV17" s="15" t="s">
        <v>668</v>
      </c>
      <c r="QW17" s="15" t="s">
        <v>668</v>
      </c>
      <c r="QX17" s="15" t="s">
        <v>668</v>
      </c>
      <c r="QY17" s="15" t="s">
        <v>668</v>
      </c>
      <c r="QZ17" s="15" t="s">
        <v>668</v>
      </c>
      <c r="RA17" s="15" t="s">
        <v>668</v>
      </c>
      <c r="RB17" s="15" t="s">
        <v>668</v>
      </c>
      <c r="RC17" s="15" t="s">
        <v>668</v>
      </c>
      <c r="RD17" s="15" t="s">
        <v>668</v>
      </c>
      <c r="RE17" s="15" t="s">
        <v>668</v>
      </c>
      <c r="RF17" s="15" t="s">
        <v>668</v>
      </c>
      <c r="RG17" s="15" t="s">
        <v>668</v>
      </c>
      <c r="RH17" s="15" t="s">
        <v>668</v>
      </c>
      <c r="RI17" s="15" t="s">
        <v>668</v>
      </c>
      <c r="RJ17" s="15" t="s">
        <v>668</v>
      </c>
      <c r="RK17" s="15" t="s">
        <v>668</v>
      </c>
      <c r="RL17" s="15" t="s">
        <v>668</v>
      </c>
      <c r="RM17" s="15" t="s">
        <v>668</v>
      </c>
      <c r="RN17" s="15" t="s">
        <v>668</v>
      </c>
      <c r="RO17" s="15" t="s">
        <v>668</v>
      </c>
      <c r="RP17" s="15" t="s">
        <v>668</v>
      </c>
      <c r="RQ17" s="15" t="s">
        <v>668</v>
      </c>
      <c r="RR17" s="15" t="s">
        <v>668</v>
      </c>
      <c r="RS17" s="15" t="s">
        <v>668</v>
      </c>
      <c r="RT17" s="15" t="s">
        <v>668</v>
      </c>
      <c r="RU17" s="15" t="s">
        <v>668</v>
      </c>
      <c r="RV17" s="15" t="s">
        <v>668</v>
      </c>
      <c r="RW17" s="15" t="s">
        <v>668</v>
      </c>
      <c r="RX17" s="15" t="s">
        <v>668</v>
      </c>
      <c r="RY17" s="15" t="s">
        <v>668</v>
      </c>
      <c r="RZ17" s="15" t="s">
        <v>668</v>
      </c>
      <c r="SA17" s="15" t="s">
        <v>668</v>
      </c>
      <c r="SB17" s="15" t="s">
        <v>668</v>
      </c>
      <c r="SC17" s="15" t="s">
        <v>668</v>
      </c>
      <c r="SD17" s="15" t="s">
        <v>668</v>
      </c>
      <c r="SE17" s="15" t="s">
        <v>668</v>
      </c>
      <c r="SF17" s="15" t="s">
        <v>668</v>
      </c>
      <c r="SG17" s="15" t="s">
        <v>668</v>
      </c>
      <c r="SH17" s="15" t="s">
        <v>668</v>
      </c>
      <c r="SI17" s="15" t="s">
        <v>668</v>
      </c>
      <c r="SJ17" s="15" t="s">
        <v>668</v>
      </c>
      <c r="SK17" s="15" t="s">
        <v>668</v>
      </c>
      <c r="SL17" s="15" t="s">
        <v>668</v>
      </c>
    </row>
    <row r="18" spans="1:506" x14ac:dyDescent="0.2">
      <c r="A18" s="37">
        <v>16</v>
      </c>
      <c r="B18" s="15" t="s">
        <v>548</v>
      </c>
      <c r="C18" s="17">
        <f>+'Detalle Compras'!D18</f>
        <v>202505300003</v>
      </c>
      <c r="D18" s="55">
        <f t="shared" si="13"/>
        <v>10.801119999999999</v>
      </c>
      <c r="E18" s="14">
        <f>+IF(B18="","",'Detalle Compras'!S18+0)</f>
        <v>45848</v>
      </c>
      <c r="F18" s="14">
        <f>+IF(B18="","",EOMONTH('Detalle Compras'!S18,G18)+10)</f>
        <v>56836</v>
      </c>
      <c r="G18" s="50">
        <f t="shared" si="14"/>
        <v>360</v>
      </c>
      <c r="H18" s="50">
        <f t="shared" si="15"/>
        <v>353</v>
      </c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>
        <v>10.801119999999999</v>
      </c>
      <c r="Z18" s="52">
        <v>10.801119999999999</v>
      </c>
      <c r="AA18" s="52">
        <v>10.801119999999999</v>
      </c>
      <c r="AB18" s="52">
        <v>10.801119999999999</v>
      </c>
      <c r="AC18" s="52">
        <v>10.801119999999999</v>
      </c>
      <c r="AD18" s="52">
        <v>10.801119999999999</v>
      </c>
      <c r="AE18" s="52">
        <v>10.801119999999999</v>
      </c>
      <c r="AF18" s="52">
        <v>10.801119999999999</v>
      </c>
      <c r="AG18" s="52">
        <v>10.801119999999999</v>
      </c>
      <c r="AH18" s="52">
        <v>10.801119999999999</v>
      </c>
      <c r="AI18" s="52">
        <v>10.801119999999999</v>
      </c>
      <c r="AJ18" s="52">
        <v>10.801119999999999</v>
      </c>
      <c r="AK18" s="52">
        <v>10.801119999999999</v>
      </c>
      <c r="AL18" s="52">
        <v>10.801119999999999</v>
      </c>
      <c r="AM18" s="52">
        <v>10.801119999999999</v>
      </c>
      <c r="AN18" s="52">
        <v>10.801119999999999</v>
      </c>
      <c r="AO18" s="52">
        <v>10.801119999999999</v>
      </c>
      <c r="AP18" s="52">
        <v>10.801119999999999</v>
      </c>
      <c r="AQ18" s="52">
        <v>10.801119999999999</v>
      </c>
      <c r="AR18" s="52">
        <v>10.801119999999999</v>
      </c>
      <c r="AS18" s="52">
        <v>10.801119999999999</v>
      </c>
      <c r="AT18" s="52">
        <v>10.801119999999999</v>
      </c>
      <c r="AU18" s="52">
        <v>10.801119999999999</v>
      </c>
      <c r="AV18" s="52">
        <v>10.801119999999999</v>
      </c>
      <c r="AW18" s="52">
        <v>10.801119999999999</v>
      </c>
      <c r="AX18" s="52">
        <v>10.801119999999999</v>
      </c>
      <c r="AY18" s="52">
        <v>10.801119999999999</v>
      </c>
      <c r="AZ18" s="52">
        <v>10.801119999999999</v>
      </c>
      <c r="BA18" s="52">
        <v>10.801119999999999</v>
      </c>
      <c r="BB18" s="52">
        <v>10.801119999999999</v>
      </c>
      <c r="BC18" s="52">
        <v>10.801119999999999</v>
      </c>
      <c r="BD18" s="52">
        <v>10.801119999999999</v>
      </c>
      <c r="BE18" s="52">
        <v>10.801119999999999</v>
      </c>
      <c r="BF18" s="52">
        <v>10.801119999999999</v>
      </c>
      <c r="BG18" s="52">
        <v>10.801119999999999</v>
      </c>
      <c r="BH18" s="52">
        <v>10.801119999999999</v>
      </c>
      <c r="BI18" s="52">
        <v>10.801119999999999</v>
      </c>
      <c r="BJ18" s="52">
        <v>10.801119999999999</v>
      </c>
      <c r="BK18" s="52">
        <v>10.801119999999999</v>
      </c>
      <c r="BL18" s="52">
        <v>10.801119999999999</v>
      </c>
      <c r="BM18" s="52">
        <v>10.801119999999999</v>
      </c>
      <c r="BN18" s="52">
        <v>10.801119999999999</v>
      </c>
      <c r="BO18" s="52">
        <v>10.801119999999999</v>
      </c>
      <c r="BP18" s="52">
        <v>10.801119999999999</v>
      </c>
      <c r="BQ18" s="52">
        <v>10.801119999999999</v>
      </c>
      <c r="BR18" s="52">
        <v>10.801119999999999</v>
      </c>
      <c r="BS18" s="52">
        <v>10.801119999999999</v>
      </c>
      <c r="BT18" s="52">
        <v>10.801119999999999</v>
      </c>
      <c r="BU18" s="52">
        <v>10.801119999999999</v>
      </c>
      <c r="BV18" s="52">
        <v>10.801119999999999</v>
      </c>
      <c r="BW18" s="52">
        <v>10.801119999999999</v>
      </c>
      <c r="BX18" s="52">
        <v>10.801119999999999</v>
      </c>
      <c r="BY18" s="52">
        <v>10.801119999999999</v>
      </c>
      <c r="BZ18" s="52">
        <v>10.801119999999999</v>
      </c>
      <c r="CA18" s="52">
        <v>10.801119999999999</v>
      </c>
      <c r="CB18" s="52">
        <v>10.801119999999999</v>
      </c>
      <c r="CC18" s="52">
        <v>10.801119999999999</v>
      </c>
      <c r="CD18" s="52">
        <v>10.801119999999999</v>
      </c>
      <c r="CE18" s="52">
        <v>10.801119999999999</v>
      </c>
      <c r="CF18" s="52">
        <v>10.801119999999999</v>
      </c>
      <c r="CG18" s="52">
        <v>10.801119999999999</v>
      </c>
      <c r="CH18" s="52">
        <v>10.801119999999999</v>
      </c>
      <c r="CI18" s="52">
        <v>10.801119999999999</v>
      </c>
      <c r="CJ18" s="52">
        <v>10.801119999999999</v>
      </c>
      <c r="CK18" s="52">
        <v>10.801119999999999</v>
      </c>
      <c r="CL18" s="52">
        <v>10.801119999999999</v>
      </c>
      <c r="CM18" s="52">
        <v>10.801119999999999</v>
      </c>
      <c r="CN18" s="52">
        <v>10.801119999999999</v>
      </c>
      <c r="CO18" s="52">
        <v>10.801119999999999</v>
      </c>
      <c r="CP18" s="52">
        <v>10.801119999999999</v>
      </c>
      <c r="CQ18" s="52">
        <v>10.801119999999999</v>
      </c>
      <c r="CR18" s="52">
        <v>10.801119999999999</v>
      </c>
      <c r="CS18" s="52">
        <v>10.801119999999999</v>
      </c>
      <c r="CT18" s="52">
        <v>10.801119999999999</v>
      </c>
      <c r="CU18" s="52">
        <v>10.801119999999999</v>
      </c>
      <c r="CV18" s="52">
        <v>10.801119999999999</v>
      </c>
      <c r="CW18" s="52">
        <v>10.801119999999999</v>
      </c>
      <c r="CX18" s="52">
        <v>10.801119999999999</v>
      </c>
      <c r="CY18" s="52">
        <v>10.801119999999999</v>
      </c>
      <c r="CZ18" s="52">
        <v>10.801119999999999</v>
      </c>
      <c r="DA18" s="52">
        <v>10.801119999999999</v>
      </c>
      <c r="DB18" s="52">
        <v>10.801119999999999</v>
      </c>
      <c r="DC18" s="52">
        <v>10.801119999999999</v>
      </c>
      <c r="DD18" s="52">
        <v>10.801119999999999</v>
      </c>
      <c r="DE18" s="52">
        <v>10.801119999999999</v>
      </c>
      <c r="DF18" s="52">
        <v>10.801119999999999</v>
      </c>
      <c r="DG18" s="52">
        <v>10.801119999999999</v>
      </c>
      <c r="DH18" s="52">
        <v>10.801119999999999</v>
      </c>
      <c r="DI18" s="52">
        <v>10.801119999999999</v>
      </c>
      <c r="DJ18" s="52">
        <v>10.801119999999999</v>
      </c>
      <c r="DK18" s="52">
        <v>10.801119999999999</v>
      </c>
      <c r="DL18" s="52">
        <v>10.801119999999999</v>
      </c>
      <c r="DM18" s="52">
        <v>10.801119999999999</v>
      </c>
      <c r="DN18" s="52">
        <v>10.801119999999999</v>
      </c>
      <c r="DO18" s="52">
        <v>10.801119999999999</v>
      </c>
      <c r="DP18" s="52">
        <v>10.801119999999999</v>
      </c>
      <c r="DQ18" s="52">
        <v>10.801119999999999</v>
      </c>
      <c r="DR18" s="52">
        <v>10.801119999999999</v>
      </c>
      <c r="DS18" s="52">
        <v>10.801119999999999</v>
      </c>
      <c r="DT18" s="52">
        <v>10.801119999999999</v>
      </c>
      <c r="DU18" s="52">
        <v>10.801119999999999</v>
      </c>
      <c r="DV18" s="52">
        <v>10.801119999999999</v>
      </c>
      <c r="DW18" s="52">
        <v>10.801119999999999</v>
      </c>
      <c r="DX18" s="52">
        <v>10.801119999999999</v>
      </c>
      <c r="DY18" s="52">
        <v>10.801119999999999</v>
      </c>
      <c r="DZ18" s="52">
        <v>10.801119999999999</v>
      </c>
      <c r="EA18" s="52">
        <v>10.801119999999999</v>
      </c>
      <c r="EB18" s="52">
        <v>10.801119999999999</v>
      </c>
      <c r="EC18" s="52">
        <v>10.801119999999999</v>
      </c>
      <c r="ED18" s="52">
        <v>10.801119999999999</v>
      </c>
      <c r="EE18" s="52">
        <v>10.801119999999999</v>
      </c>
      <c r="EF18" s="52">
        <v>10.801119999999999</v>
      </c>
      <c r="EG18" s="52">
        <v>10.801119999999999</v>
      </c>
      <c r="EH18" s="52">
        <v>10.801119999999999</v>
      </c>
      <c r="EI18" s="52">
        <v>10.801119999999999</v>
      </c>
      <c r="EJ18" s="52">
        <v>10.801119999999999</v>
      </c>
      <c r="EK18" s="52">
        <v>10.801119999999999</v>
      </c>
      <c r="EL18" s="52">
        <v>10.801119999999999</v>
      </c>
      <c r="EM18" s="52">
        <v>10.801119999999999</v>
      </c>
      <c r="EN18" s="52">
        <v>10.801119999999999</v>
      </c>
      <c r="EO18" s="52">
        <v>10.801119999999999</v>
      </c>
      <c r="EP18" s="52">
        <v>10.801119999999999</v>
      </c>
      <c r="EQ18" s="52">
        <v>10.801119999999999</v>
      </c>
      <c r="ER18" s="52">
        <v>10.801119999999999</v>
      </c>
      <c r="ES18" s="52">
        <v>10.801119999999999</v>
      </c>
      <c r="ET18" s="52">
        <v>10.801119999999999</v>
      </c>
      <c r="EU18" s="52">
        <v>10.801119999999999</v>
      </c>
      <c r="EV18" s="52">
        <v>10.801119999999999</v>
      </c>
      <c r="EW18" s="52">
        <v>10.801119999999999</v>
      </c>
      <c r="EX18" s="52">
        <v>10.801119999999999</v>
      </c>
      <c r="EY18" s="52">
        <v>10.801119999999999</v>
      </c>
      <c r="EZ18" s="52">
        <v>10.801119999999999</v>
      </c>
      <c r="FA18" s="52">
        <v>10.801119999999999</v>
      </c>
      <c r="FB18" s="52">
        <v>10.801119999999999</v>
      </c>
      <c r="FC18" s="52">
        <v>10.801119999999999</v>
      </c>
      <c r="FD18" s="52">
        <v>10.801119999999999</v>
      </c>
      <c r="FE18" s="52">
        <v>10.801119999999999</v>
      </c>
      <c r="FF18" s="52">
        <v>10.801119999999999</v>
      </c>
      <c r="FG18" s="52">
        <v>10.801119999999999</v>
      </c>
      <c r="FH18" s="52">
        <v>10.801119999999999</v>
      </c>
      <c r="FI18" s="52">
        <v>10.801119999999999</v>
      </c>
      <c r="FJ18" s="52">
        <v>10.801119999999999</v>
      </c>
      <c r="FK18" s="52">
        <v>10.801119999999999</v>
      </c>
      <c r="FL18" s="52">
        <v>10.801119999999999</v>
      </c>
      <c r="FM18" s="52">
        <v>10.801119999999999</v>
      </c>
      <c r="FN18" s="52">
        <v>10.801119999999999</v>
      </c>
      <c r="FO18" s="52">
        <v>10.801119999999999</v>
      </c>
      <c r="FP18" s="52">
        <v>10.801119999999999</v>
      </c>
      <c r="FQ18" s="52">
        <v>10.801119999999999</v>
      </c>
      <c r="FR18" s="52">
        <v>10.801119999999999</v>
      </c>
      <c r="FS18" s="52">
        <v>10.801119999999999</v>
      </c>
      <c r="FT18" s="52">
        <v>10.801119999999999</v>
      </c>
      <c r="FU18" s="52">
        <v>10.801119999999999</v>
      </c>
      <c r="FV18" s="52">
        <v>10.801119999999999</v>
      </c>
      <c r="FW18" s="52">
        <v>10.801119999999999</v>
      </c>
      <c r="FX18" s="52">
        <v>10.801119999999999</v>
      </c>
      <c r="FY18" s="52">
        <v>10.801119999999999</v>
      </c>
      <c r="FZ18" s="52">
        <v>10.801119999999999</v>
      </c>
      <c r="GA18" s="52">
        <v>10.801119999999999</v>
      </c>
      <c r="GB18" s="52">
        <v>10.801119999999999</v>
      </c>
      <c r="GC18" s="52">
        <v>10.801119999999999</v>
      </c>
      <c r="GD18" s="52">
        <v>10.801119999999999</v>
      </c>
      <c r="GE18" s="52">
        <v>10.801119999999999</v>
      </c>
      <c r="GF18" s="52">
        <v>10.801119999999999</v>
      </c>
      <c r="GG18" s="52">
        <v>10.801119999999999</v>
      </c>
      <c r="GH18" s="52">
        <v>10.801119999999999</v>
      </c>
      <c r="GI18" s="52">
        <v>10.801119999999999</v>
      </c>
      <c r="GJ18" s="52">
        <v>10.801119999999999</v>
      </c>
      <c r="GK18" s="52">
        <v>10.801119999999999</v>
      </c>
      <c r="GL18" s="52">
        <v>10.801119999999999</v>
      </c>
      <c r="GM18" s="52">
        <v>10.801119999999999</v>
      </c>
      <c r="GN18" s="52">
        <v>10.801119999999999</v>
      </c>
      <c r="GO18" s="52">
        <v>10.801119999999999</v>
      </c>
      <c r="GP18" s="52">
        <v>10.801119999999999</v>
      </c>
      <c r="GQ18" s="52">
        <v>10.801119999999999</v>
      </c>
      <c r="GR18" s="52">
        <v>10.801119999999999</v>
      </c>
      <c r="GS18" s="52">
        <v>10.801119999999999</v>
      </c>
      <c r="GT18" s="52">
        <v>10.801119999999999</v>
      </c>
      <c r="GU18" s="52">
        <v>10.801119999999999</v>
      </c>
      <c r="GV18" s="52">
        <v>10.801119999999999</v>
      </c>
      <c r="GW18" s="52">
        <v>10.801119999999999</v>
      </c>
      <c r="GX18" s="52">
        <v>10.801119999999999</v>
      </c>
      <c r="GY18" s="52">
        <v>10.801119999999999</v>
      </c>
      <c r="GZ18" s="52">
        <v>10.801119999999999</v>
      </c>
      <c r="HA18" s="52">
        <v>10.801119999999999</v>
      </c>
      <c r="HB18" s="52">
        <v>10.801119999999999</v>
      </c>
      <c r="HC18" s="52">
        <v>10.801119999999999</v>
      </c>
      <c r="HD18" s="52">
        <v>10.801119999999999</v>
      </c>
      <c r="HE18" s="52">
        <v>10.801119999999999</v>
      </c>
      <c r="HF18" s="52">
        <v>10.801119999999999</v>
      </c>
      <c r="HG18" s="52">
        <v>10.801119999999999</v>
      </c>
      <c r="HH18" s="52">
        <v>10.801119999999999</v>
      </c>
      <c r="HI18" s="52">
        <v>10.801119999999999</v>
      </c>
      <c r="HJ18" s="52">
        <v>10.801119999999999</v>
      </c>
      <c r="HK18" s="52">
        <v>10.801119999999999</v>
      </c>
      <c r="HL18" s="52">
        <v>10.801119999999999</v>
      </c>
      <c r="HM18" s="52">
        <v>10.801119999999999</v>
      </c>
      <c r="HN18" s="52">
        <v>10.801119999999999</v>
      </c>
      <c r="HO18" s="52">
        <v>10.801119999999999</v>
      </c>
      <c r="HP18" s="52">
        <v>10.801119999999999</v>
      </c>
      <c r="HQ18" s="52">
        <v>10.801119999999999</v>
      </c>
      <c r="HR18" s="52">
        <v>10.801119999999999</v>
      </c>
      <c r="HS18" s="52">
        <v>10.801119999999999</v>
      </c>
      <c r="HT18" s="52">
        <v>10.801119999999999</v>
      </c>
      <c r="HU18" s="52">
        <v>10.801119999999999</v>
      </c>
      <c r="HV18" s="52">
        <v>10.801119999999999</v>
      </c>
      <c r="HW18" s="52">
        <v>10.801119999999999</v>
      </c>
      <c r="HX18" s="52">
        <v>10.801119999999999</v>
      </c>
      <c r="HY18" s="52">
        <v>10.801119999999999</v>
      </c>
      <c r="HZ18" s="52">
        <v>10.801119999999999</v>
      </c>
      <c r="IA18" s="52">
        <v>10.801119999999999</v>
      </c>
      <c r="IB18" s="52">
        <v>10.801119999999999</v>
      </c>
      <c r="IC18" s="52">
        <v>10.801119999999999</v>
      </c>
      <c r="ID18" s="52">
        <v>10.801119999999999</v>
      </c>
      <c r="IE18" s="52">
        <v>10.801119999999999</v>
      </c>
      <c r="IF18" s="52">
        <v>10.801119999999999</v>
      </c>
      <c r="IG18" s="52">
        <v>10.801119999999999</v>
      </c>
      <c r="IH18" s="52">
        <v>10.801119999999999</v>
      </c>
      <c r="II18" s="52">
        <v>10.801119999999999</v>
      </c>
      <c r="IJ18" s="52">
        <v>10.801119999999999</v>
      </c>
      <c r="IK18" s="52">
        <v>10.801119999999999</v>
      </c>
      <c r="IL18" s="52">
        <v>10.801119999999999</v>
      </c>
      <c r="IM18" s="52">
        <v>10.801119999999999</v>
      </c>
      <c r="IN18" s="52">
        <v>10.801119999999999</v>
      </c>
      <c r="IO18" s="52">
        <v>10.801119999999999</v>
      </c>
      <c r="IP18" s="52">
        <v>10.801119999999999</v>
      </c>
      <c r="IQ18" s="52">
        <v>10.801119999999999</v>
      </c>
      <c r="IR18" s="52">
        <v>10.801119999999999</v>
      </c>
      <c r="IS18" s="52">
        <v>10.801119999999999</v>
      </c>
      <c r="IT18" s="52">
        <v>10.801119999999999</v>
      </c>
      <c r="IU18" s="52">
        <v>10.801119999999999</v>
      </c>
      <c r="IV18" s="52">
        <v>10.801119999999999</v>
      </c>
      <c r="IW18" s="52">
        <v>10.801119999999999</v>
      </c>
      <c r="IX18" s="52">
        <v>10.801119999999999</v>
      </c>
      <c r="IY18" s="52">
        <v>10.801119999999999</v>
      </c>
      <c r="IZ18" s="52">
        <v>10.801119999999999</v>
      </c>
      <c r="JA18" s="52">
        <v>10.801119999999999</v>
      </c>
      <c r="JB18" s="52">
        <v>10.801119999999999</v>
      </c>
      <c r="JC18" s="52">
        <v>10.801119999999999</v>
      </c>
      <c r="JD18" s="52">
        <v>10.801119999999999</v>
      </c>
      <c r="JE18" s="52">
        <v>10.801119999999999</v>
      </c>
      <c r="JF18" s="52">
        <v>10.801119999999999</v>
      </c>
      <c r="JG18" s="52">
        <v>10.801119999999999</v>
      </c>
      <c r="JH18" s="52">
        <v>10.801119999999999</v>
      </c>
      <c r="JI18" s="52">
        <v>10.801119999999999</v>
      </c>
      <c r="JJ18" s="52">
        <v>10.801119999999999</v>
      </c>
      <c r="JK18" s="52">
        <v>10.801119999999999</v>
      </c>
      <c r="JL18" s="52">
        <v>10.801119999999999</v>
      </c>
      <c r="JM18" s="52">
        <v>10.801119999999999</v>
      </c>
      <c r="JN18" s="52">
        <v>10.801119999999999</v>
      </c>
      <c r="JO18" s="52">
        <v>10.801119999999999</v>
      </c>
      <c r="JP18" s="52">
        <v>10.801119999999999</v>
      </c>
      <c r="JQ18" s="52">
        <v>10.801119999999999</v>
      </c>
      <c r="JR18" s="52">
        <v>10.801119999999999</v>
      </c>
      <c r="JS18" s="52">
        <v>10.801119999999999</v>
      </c>
      <c r="JT18" s="52">
        <v>10.801119999999999</v>
      </c>
      <c r="JU18" s="52">
        <v>10.801119999999999</v>
      </c>
      <c r="JV18" s="52">
        <v>10.801119999999999</v>
      </c>
      <c r="JW18" s="52">
        <v>10.801119999999999</v>
      </c>
      <c r="JX18" s="52">
        <v>10.801119999999999</v>
      </c>
      <c r="JY18" s="52">
        <v>10.801119999999999</v>
      </c>
      <c r="JZ18" s="52">
        <v>10.801119999999999</v>
      </c>
      <c r="KA18" s="52">
        <v>10.801119999999999</v>
      </c>
      <c r="KB18" s="52">
        <v>10.801119999999999</v>
      </c>
      <c r="KC18" s="52">
        <v>10.801119999999999</v>
      </c>
      <c r="KD18" s="52">
        <v>10.801119999999999</v>
      </c>
      <c r="KE18" s="52">
        <v>10.801119999999999</v>
      </c>
      <c r="KF18" s="52">
        <v>10.801119999999999</v>
      </c>
      <c r="KG18" s="52">
        <v>10.801119999999999</v>
      </c>
      <c r="KH18" s="52">
        <v>10.801119999999999</v>
      </c>
      <c r="KI18" s="52">
        <v>10.801119999999999</v>
      </c>
      <c r="KJ18" s="52">
        <v>10.801119999999999</v>
      </c>
      <c r="KK18" s="52">
        <v>10.801119999999999</v>
      </c>
      <c r="KL18" s="52">
        <v>10.801119999999999</v>
      </c>
      <c r="KM18" s="52">
        <v>10.801119999999999</v>
      </c>
      <c r="KN18" s="52">
        <v>10.801119999999999</v>
      </c>
      <c r="KO18" s="52">
        <v>10.801119999999999</v>
      </c>
      <c r="KP18" s="52">
        <v>10.801119999999999</v>
      </c>
      <c r="KQ18" s="52">
        <v>10.801119999999999</v>
      </c>
      <c r="KR18" s="52">
        <v>10.801119999999999</v>
      </c>
      <c r="KS18" s="52">
        <v>10.801119999999999</v>
      </c>
      <c r="KT18" s="52">
        <v>10.801119999999999</v>
      </c>
      <c r="KU18" s="52">
        <v>10.801119999999999</v>
      </c>
      <c r="KV18" s="52">
        <v>10.801119999999999</v>
      </c>
      <c r="KW18" s="52">
        <v>10.801119999999999</v>
      </c>
      <c r="KX18" s="52">
        <v>10.801119999999999</v>
      </c>
      <c r="KY18" s="52">
        <v>10.801119999999999</v>
      </c>
      <c r="KZ18" s="52">
        <v>10.801119999999999</v>
      </c>
      <c r="LA18" s="52">
        <v>10.801119999999999</v>
      </c>
      <c r="LB18" s="52">
        <v>10.801119999999999</v>
      </c>
      <c r="LC18" s="52">
        <v>10.801119999999999</v>
      </c>
      <c r="LD18" s="52">
        <v>10.801119999999999</v>
      </c>
      <c r="LE18" s="52">
        <v>10.801119999999999</v>
      </c>
      <c r="LF18" s="52">
        <v>10.801119999999999</v>
      </c>
      <c r="LG18" s="52">
        <v>10.801119999999999</v>
      </c>
      <c r="LH18" s="52">
        <v>10.801119999999999</v>
      </c>
      <c r="LI18" s="52">
        <v>10.801119999999999</v>
      </c>
      <c r="LJ18" s="52">
        <v>10.801119999999999</v>
      </c>
      <c r="LK18" s="52">
        <v>10.801119999999999</v>
      </c>
      <c r="LL18" s="52">
        <v>10.801119999999999</v>
      </c>
      <c r="LM18" s="52">
        <v>10.801119999999999</v>
      </c>
      <c r="LN18" s="52">
        <v>10.801119999999999</v>
      </c>
      <c r="LO18" s="52">
        <v>10.801119999999999</v>
      </c>
      <c r="LP18" s="52">
        <v>10.801119999999999</v>
      </c>
      <c r="LQ18" s="52">
        <v>10.801119999999999</v>
      </c>
      <c r="LR18" s="52">
        <v>10.801119999999999</v>
      </c>
      <c r="LS18" s="52">
        <v>10.801119999999999</v>
      </c>
      <c r="LT18" s="52">
        <v>10.801119999999999</v>
      </c>
      <c r="LU18" s="52">
        <v>10.801119999999999</v>
      </c>
      <c r="LV18" s="52">
        <v>10.801119999999999</v>
      </c>
      <c r="LW18" s="52">
        <v>10.801119999999999</v>
      </c>
      <c r="LX18" s="52">
        <v>10.801119999999999</v>
      </c>
      <c r="LY18" s="52">
        <v>10.801119999999999</v>
      </c>
      <c r="LZ18" s="52">
        <v>10.801119999999999</v>
      </c>
      <c r="MA18" s="52">
        <v>10.801119999999999</v>
      </c>
      <c r="MB18" s="52">
        <v>10.801119999999999</v>
      </c>
      <c r="MC18" s="52">
        <v>10.801119999999999</v>
      </c>
      <c r="MD18" s="52">
        <v>10.801119999999999</v>
      </c>
      <c r="ME18" s="52">
        <v>10.801119999999999</v>
      </c>
      <c r="MF18" s="52">
        <v>10.801119999999999</v>
      </c>
      <c r="MG18" s="52">
        <v>10.801119999999999</v>
      </c>
      <c r="MH18" s="52">
        <v>10.801119999999999</v>
      </c>
      <c r="MI18" s="52">
        <v>10.801119999999999</v>
      </c>
      <c r="MJ18" s="52">
        <v>10.801119999999999</v>
      </c>
      <c r="MK18" s="52">
        <v>10.801119999999999</v>
      </c>
      <c r="ML18" s="52">
        <v>10.801119999999999</v>
      </c>
      <c r="MM18" s="52">
        <v>10.801119999999999</v>
      </c>
      <c r="MN18" s="52">
        <v>10.801119999999999</v>
      </c>
      <c r="MO18" s="52">
        <v>10.801119999999999</v>
      </c>
      <c r="MP18" s="52">
        <v>10.801119999999999</v>
      </c>
      <c r="MQ18" s="52">
        <v>10.801119999999999</v>
      </c>
      <c r="MR18" s="52">
        <v>10.801119999999999</v>
      </c>
      <c r="MS18" s="52">
        <v>10.801119999999999</v>
      </c>
      <c r="MT18" s="52">
        <v>10.801119999999999</v>
      </c>
      <c r="MU18" s="52">
        <v>10.801119999999999</v>
      </c>
      <c r="MV18" s="52">
        <v>10.801119999999999</v>
      </c>
      <c r="MW18" s="52">
        <v>10.801119999999999</v>
      </c>
      <c r="MX18" s="52">
        <v>10.801119999999999</v>
      </c>
      <c r="MY18" s="52">
        <v>10.801119999999999</v>
      </c>
      <c r="MZ18" s="52">
        <v>10.801119999999999</v>
      </c>
      <c r="NA18" s="52">
        <v>10.801119999999999</v>
      </c>
      <c r="NB18" s="52">
        <v>10.801119999999999</v>
      </c>
      <c r="NC18" s="52">
        <v>10.801119999999999</v>
      </c>
      <c r="ND18" s="52">
        <v>10.801119999999999</v>
      </c>
      <c r="NE18" s="37">
        <v>10.801119999999999</v>
      </c>
      <c r="NF18" s="37">
        <v>10.801119999999999</v>
      </c>
      <c r="NG18" s="37">
        <v>10.801119999999999</v>
      </c>
      <c r="NH18" s="37">
        <v>10.801119999999999</v>
      </c>
      <c r="NI18" s="37">
        <v>10.801119999999999</v>
      </c>
      <c r="NJ18" s="37">
        <v>10.801119999999999</v>
      </c>
      <c r="NK18" s="37">
        <v>10.801119999999999</v>
      </c>
      <c r="NL18" s="37">
        <v>10.801119999999999</v>
      </c>
      <c r="NM18" s="37">
        <v>10.801119999999999</v>
      </c>
      <c r="NN18" s="37">
        <v>10.801119999999999</v>
      </c>
      <c r="NO18" s="37">
        <v>10.801119999999999</v>
      </c>
      <c r="NP18" s="37">
        <v>10.801119999999999</v>
      </c>
      <c r="NQ18" s="37">
        <v>10.801119999999999</v>
      </c>
      <c r="NR18" s="37">
        <v>10.801119999999999</v>
      </c>
      <c r="NS18" s="37">
        <v>10.801119999999999</v>
      </c>
      <c r="NT18" s="37">
        <v>11.586080000000001</v>
      </c>
      <c r="NU18" s="37" t="s">
        <v>668</v>
      </c>
      <c r="NV18" s="37" t="s">
        <v>668</v>
      </c>
      <c r="NW18" s="37" t="s">
        <v>668</v>
      </c>
      <c r="NX18" s="37" t="s">
        <v>668</v>
      </c>
      <c r="NY18" s="37" t="s">
        <v>668</v>
      </c>
      <c r="NZ18" s="37" t="s">
        <v>668</v>
      </c>
      <c r="OA18" s="37" t="s">
        <v>668</v>
      </c>
      <c r="OB18" s="37" t="s">
        <v>668</v>
      </c>
      <c r="OC18" s="37" t="s">
        <v>668</v>
      </c>
      <c r="OD18" s="37" t="s">
        <v>668</v>
      </c>
      <c r="OE18" s="37" t="s">
        <v>668</v>
      </c>
      <c r="OF18" s="37" t="s">
        <v>668</v>
      </c>
      <c r="OG18" s="37" t="s">
        <v>668</v>
      </c>
      <c r="OH18" s="37" t="s">
        <v>668</v>
      </c>
      <c r="OI18" s="37" t="s">
        <v>668</v>
      </c>
      <c r="OJ18" s="37" t="s">
        <v>668</v>
      </c>
      <c r="OK18" s="37" t="s">
        <v>668</v>
      </c>
      <c r="OL18" s="37" t="s">
        <v>668</v>
      </c>
      <c r="OM18" s="37" t="s">
        <v>668</v>
      </c>
      <c r="ON18" s="37" t="s">
        <v>668</v>
      </c>
      <c r="OO18" s="37" t="s">
        <v>668</v>
      </c>
      <c r="OP18" s="37" t="s">
        <v>668</v>
      </c>
      <c r="OQ18" s="37" t="s">
        <v>668</v>
      </c>
      <c r="OR18" s="37" t="s">
        <v>668</v>
      </c>
      <c r="OS18" s="37" t="s">
        <v>668</v>
      </c>
      <c r="OT18" s="37" t="s">
        <v>668</v>
      </c>
      <c r="OU18" s="37" t="s">
        <v>668</v>
      </c>
      <c r="OV18" s="37" t="s">
        <v>668</v>
      </c>
      <c r="OW18" s="37" t="s">
        <v>668</v>
      </c>
      <c r="OX18" s="37" t="s">
        <v>668</v>
      </c>
      <c r="OY18" s="37" t="s">
        <v>668</v>
      </c>
      <c r="OZ18" s="37" t="s">
        <v>668</v>
      </c>
      <c r="PA18" s="37" t="s">
        <v>668</v>
      </c>
      <c r="PB18" s="37" t="s">
        <v>668</v>
      </c>
      <c r="PC18" s="37" t="s">
        <v>668</v>
      </c>
      <c r="PD18" s="37" t="s">
        <v>668</v>
      </c>
      <c r="PE18" s="37" t="s">
        <v>668</v>
      </c>
      <c r="PF18" s="37" t="s">
        <v>668</v>
      </c>
      <c r="PG18" s="37" t="s">
        <v>668</v>
      </c>
      <c r="PH18" s="37" t="s">
        <v>668</v>
      </c>
      <c r="PI18" s="37" t="s">
        <v>668</v>
      </c>
      <c r="PJ18" s="37" t="s">
        <v>668</v>
      </c>
      <c r="PK18" s="37" t="s">
        <v>668</v>
      </c>
      <c r="PL18" s="37" t="s">
        <v>668</v>
      </c>
      <c r="PM18" s="37" t="s">
        <v>668</v>
      </c>
      <c r="PN18" s="37" t="s">
        <v>668</v>
      </c>
      <c r="PO18" s="37" t="s">
        <v>668</v>
      </c>
      <c r="PP18" s="37" t="s">
        <v>668</v>
      </c>
      <c r="PQ18" s="37" t="s">
        <v>668</v>
      </c>
      <c r="PR18" s="37" t="s">
        <v>668</v>
      </c>
      <c r="PS18" s="15" t="s">
        <v>668</v>
      </c>
      <c r="PT18" s="15" t="s">
        <v>668</v>
      </c>
      <c r="PU18" s="15" t="s">
        <v>668</v>
      </c>
      <c r="PV18" s="15" t="s">
        <v>668</v>
      </c>
      <c r="PW18" s="15" t="s">
        <v>668</v>
      </c>
      <c r="PX18" s="15" t="s">
        <v>668</v>
      </c>
      <c r="PY18" s="15" t="s">
        <v>668</v>
      </c>
      <c r="PZ18" s="15" t="s">
        <v>668</v>
      </c>
      <c r="QA18" s="15" t="s">
        <v>668</v>
      </c>
      <c r="QB18" s="15" t="s">
        <v>668</v>
      </c>
      <c r="QC18" s="15" t="s">
        <v>668</v>
      </c>
      <c r="QD18" s="15" t="s">
        <v>668</v>
      </c>
      <c r="QE18" s="15" t="s">
        <v>668</v>
      </c>
      <c r="QF18" s="15" t="s">
        <v>668</v>
      </c>
      <c r="QG18" s="15" t="s">
        <v>668</v>
      </c>
      <c r="QH18" s="15" t="s">
        <v>668</v>
      </c>
      <c r="QI18" s="15" t="s">
        <v>668</v>
      </c>
      <c r="QJ18" s="15" t="s">
        <v>668</v>
      </c>
      <c r="QK18" s="15" t="s">
        <v>668</v>
      </c>
      <c r="QL18" s="15" t="s">
        <v>668</v>
      </c>
      <c r="QM18" s="15" t="s">
        <v>668</v>
      </c>
      <c r="QN18" s="15" t="s">
        <v>668</v>
      </c>
      <c r="QO18" s="15" t="s">
        <v>668</v>
      </c>
      <c r="QP18" s="15" t="s">
        <v>668</v>
      </c>
      <c r="QQ18" s="15" t="s">
        <v>668</v>
      </c>
      <c r="QR18" s="15" t="s">
        <v>668</v>
      </c>
      <c r="QS18" s="15" t="s">
        <v>668</v>
      </c>
      <c r="QT18" s="15" t="s">
        <v>668</v>
      </c>
      <c r="QU18" s="15" t="s">
        <v>668</v>
      </c>
      <c r="QV18" s="15" t="s">
        <v>668</v>
      </c>
      <c r="QW18" s="15" t="s">
        <v>668</v>
      </c>
      <c r="QX18" s="15" t="s">
        <v>668</v>
      </c>
      <c r="QY18" s="15" t="s">
        <v>668</v>
      </c>
      <c r="QZ18" s="15" t="s">
        <v>668</v>
      </c>
      <c r="RA18" s="15" t="s">
        <v>668</v>
      </c>
      <c r="RB18" s="15" t="s">
        <v>668</v>
      </c>
      <c r="RC18" s="15" t="s">
        <v>668</v>
      </c>
      <c r="RD18" s="15" t="s">
        <v>668</v>
      </c>
      <c r="RE18" s="15" t="s">
        <v>668</v>
      </c>
      <c r="RF18" s="15" t="s">
        <v>668</v>
      </c>
      <c r="RG18" s="15" t="s">
        <v>668</v>
      </c>
      <c r="RH18" s="15" t="s">
        <v>668</v>
      </c>
      <c r="RI18" s="15" t="s">
        <v>668</v>
      </c>
      <c r="RJ18" s="15" t="s">
        <v>668</v>
      </c>
      <c r="RK18" s="15" t="s">
        <v>668</v>
      </c>
      <c r="RL18" s="15" t="s">
        <v>668</v>
      </c>
      <c r="RM18" s="15" t="s">
        <v>668</v>
      </c>
      <c r="RN18" s="15" t="s">
        <v>668</v>
      </c>
      <c r="RO18" s="15" t="s">
        <v>668</v>
      </c>
      <c r="RP18" s="15" t="s">
        <v>668</v>
      </c>
      <c r="RQ18" s="15" t="s">
        <v>668</v>
      </c>
      <c r="RR18" s="15" t="s">
        <v>668</v>
      </c>
      <c r="RS18" s="15" t="s">
        <v>668</v>
      </c>
      <c r="RT18" s="15" t="s">
        <v>668</v>
      </c>
      <c r="RU18" s="15" t="s">
        <v>668</v>
      </c>
      <c r="RV18" s="15" t="s">
        <v>668</v>
      </c>
      <c r="RW18" s="15" t="s">
        <v>668</v>
      </c>
      <c r="RX18" s="15" t="s">
        <v>668</v>
      </c>
      <c r="RY18" s="15" t="s">
        <v>668</v>
      </c>
      <c r="RZ18" s="15" t="s">
        <v>668</v>
      </c>
      <c r="SA18" s="15" t="s">
        <v>668</v>
      </c>
      <c r="SB18" s="15" t="s">
        <v>668</v>
      </c>
      <c r="SC18" s="15" t="s">
        <v>668</v>
      </c>
      <c r="SD18" s="15" t="s">
        <v>668</v>
      </c>
      <c r="SE18" s="15" t="s">
        <v>668</v>
      </c>
      <c r="SF18" s="15" t="s">
        <v>668</v>
      </c>
      <c r="SG18" s="15" t="s">
        <v>668</v>
      </c>
      <c r="SH18" s="15" t="s">
        <v>668</v>
      </c>
      <c r="SI18" s="15" t="s">
        <v>668</v>
      </c>
      <c r="SJ18" s="15" t="s">
        <v>668</v>
      </c>
      <c r="SK18" s="15" t="s">
        <v>668</v>
      </c>
      <c r="SL18" s="15" t="s">
        <v>668</v>
      </c>
    </row>
    <row r="19" spans="1:506" x14ac:dyDescent="0.2">
      <c r="A19" s="37">
        <v>17</v>
      </c>
      <c r="B19" s="15" t="s">
        <v>549</v>
      </c>
      <c r="C19" s="17">
        <f>+'Detalle Compras'!D19</f>
        <v>202505300011</v>
      </c>
      <c r="D19" s="55">
        <f t="shared" si="13"/>
        <v>5.7960649999999996</v>
      </c>
      <c r="E19" s="14">
        <f>+IF(B19="","",'Detalle Compras'!S19+0)</f>
        <v>45848</v>
      </c>
      <c r="F19" s="14">
        <f>+IF(B19="","",EOMONTH('Detalle Compras'!S19,G19)+10)</f>
        <v>56836</v>
      </c>
      <c r="G19" s="50">
        <f t="shared" si="14"/>
        <v>360</v>
      </c>
      <c r="H19" s="50">
        <f t="shared" si="15"/>
        <v>353</v>
      </c>
      <c r="I19" s="52"/>
      <c r="J19" s="52"/>
      <c r="K19" s="52"/>
      <c r="L19" s="52"/>
      <c r="M19" s="52"/>
      <c r="N19" s="52"/>
      <c r="O19" s="52"/>
      <c r="P19" s="52"/>
      <c r="Q19" s="52"/>
      <c r="R19" s="52"/>
      <c r="S19" s="52"/>
      <c r="T19" s="52"/>
      <c r="U19" s="52"/>
      <c r="V19" s="52"/>
      <c r="W19" s="52"/>
      <c r="X19" s="52"/>
      <c r="Y19" s="52">
        <v>5.7960649999999996</v>
      </c>
      <c r="Z19" s="52">
        <v>5.7960649999999996</v>
      </c>
      <c r="AA19" s="52">
        <v>5.7960649999999996</v>
      </c>
      <c r="AB19" s="52">
        <v>5.7960649999999996</v>
      </c>
      <c r="AC19" s="52">
        <v>5.7960649999999996</v>
      </c>
      <c r="AD19" s="52">
        <v>5.7960649999999996</v>
      </c>
      <c r="AE19" s="52">
        <v>5.7960649999999996</v>
      </c>
      <c r="AF19" s="52">
        <v>5.7960649999999996</v>
      </c>
      <c r="AG19" s="52">
        <v>5.7960649999999996</v>
      </c>
      <c r="AH19" s="52">
        <v>5.7960649999999996</v>
      </c>
      <c r="AI19" s="52">
        <v>5.7960649999999996</v>
      </c>
      <c r="AJ19" s="52">
        <v>5.7960649999999996</v>
      </c>
      <c r="AK19" s="52">
        <v>5.7960649999999996</v>
      </c>
      <c r="AL19" s="52">
        <v>5.7960649999999996</v>
      </c>
      <c r="AM19" s="52">
        <v>5.7960649999999996</v>
      </c>
      <c r="AN19" s="52">
        <v>5.7960649999999996</v>
      </c>
      <c r="AO19" s="52">
        <v>5.7960649999999996</v>
      </c>
      <c r="AP19" s="52">
        <v>5.7960649999999996</v>
      </c>
      <c r="AQ19" s="52">
        <v>5.7960649999999996</v>
      </c>
      <c r="AR19" s="52">
        <v>5.7960649999999996</v>
      </c>
      <c r="AS19" s="52">
        <v>5.7960649999999996</v>
      </c>
      <c r="AT19" s="52">
        <v>5.7960649999999996</v>
      </c>
      <c r="AU19" s="52">
        <v>5.7960649999999996</v>
      </c>
      <c r="AV19" s="52">
        <v>5.7960649999999996</v>
      </c>
      <c r="AW19" s="52">
        <v>5.7960649999999996</v>
      </c>
      <c r="AX19" s="52">
        <v>5.7960649999999996</v>
      </c>
      <c r="AY19" s="52">
        <v>5.7960649999999996</v>
      </c>
      <c r="AZ19" s="52">
        <v>5.7960649999999996</v>
      </c>
      <c r="BA19" s="52">
        <v>5.7960649999999996</v>
      </c>
      <c r="BB19" s="52">
        <v>5.7960649999999996</v>
      </c>
      <c r="BC19" s="52">
        <v>5.7960649999999996</v>
      </c>
      <c r="BD19" s="52">
        <v>5.7960649999999996</v>
      </c>
      <c r="BE19" s="52">
        <v>5.7960649999999996</v>
      </c>
      <c r="BF19" s="52">
        <v>5.7960649999999996</v>
      </c>
      <c r="BG19" s="52">
        <v>5.7960649999999996</v>
      </c>
      <c r="BH19" s="52">
        <v>5.7960649999999996</v>
      </c>
      <c r="BI19" s="52">
        <v>5.7960649999999996</v>
      </c>
      <c r="BJ19" s="52">
        <v>5.7960649999999996</v>
      </c>
      <c r="BK19" s="52">
        <v>5.7960649999999996</v>
      </c>
      <c r="BL19" s="52">
        <v>5.7960649999999996</v>
      </c>
      <c r="BM19" s="52">
        <v>5.7960649999999996</v>
      </c>
      <c r="BN19" s="52">
        <v>5.7960649999999996</v>
      </c>
      <c r="BO19" s="52">
        <v>5.7960649999999996</v>
      </c>
      <c r="BP19" s="52">
        <v>5.7960649999999996</v>
      </c>
      <c r="BQ19" s="52">
        <v>5.7960649999999996</v>
      </c>
      <c r="BR19" s="52">
        <v>5.7960649999999996</v>
      </c>
      <c r="BS19" s="52">
        <v>5.7960649999999996</v>
      </c>
      <c r="BT19" s="52">
        <v>5.7960649999999996</v>
      </c>
      <c r="BU19" s="52">
        <v>5.7960649999999996</v>
      </c>
      <c r="BV19" s="52">
        <v>5.7960649999999996</v>
      </c>
      <c r="BW19" s="52">
        <v>5.7960649999999996</v>
      </c>
      <c r="BX19" s="52">
        <v>5.7960649999999996</v>
      </c>
      <c r="BY19" s="52">
        <v>5.7960649999999996</v>
      </c>
      <c r="BZ19" s="52">
        <v>5.7960649999999996</v>
      </c>
      <c r="CA19" s="52">
        <v>5.7960649999999996</v>
      </c>
      <c r="CB19" s="52">
        <v>5.7960649999999996</v>
      </c>
      <c r="CC19" s="52">
        <v>5.7960649999999996</v>
      </c>
      <c r="CD19" s="52">
        <v>5.7960649999999996</v>
      </c>
      <c r="CE19" s="52">
        <v>5.7960649999999996</v>
      </c>
      <c r="CF19" s="52">
        <v>5.7960649999999996</v>
      </c>
      <c r="CG19" s="52">
        <v>5.7960649999999996</v>
      </c>
      <c r="CH19" s="52">
        <v>5.7960649999999996</v>
      </c>
      <c r="CI19" s="52">
        <v>5.7960649999999996</v>
      </c>
      <c r="CJ19" s="52">
        <v>5.7960649999999996</v>
      </c>
      <c r="CK19" s="52">
        <v>5.7960649999999996</v>
      </c>
      <c r="CL19" s="52">
        <v>5.7960649999999996</v>
      </c>
      <c r="CM19" s="52">
        <v>5.7960649999999996</v>
      </c>
      <c r="CN19" s="52">
        <v>5.7960649999999996</v>
      </c>
      <c r="CO19" s="52">
        <v>5.7960649999999996</v>
      </c>
      <c r="CP19" s="52">
        <v>5.7960649999999996</v>
      </c>
      <c r="CQ19" s="52">
        <v>5.7960649999999996</v>
      </c>
      <c r="CR19" s="52">
        <v>5.7960649999999996</v>
      </c>
      <c r="CS19" s="52">
        <v>5.7960649999999996</v>
      </c>
      <c r="CT19" s="52">
        <v>5.7960649999999996</v>
      </c>
      <c r="CU19" s="52">
        <v>5.7960649999999996</v>
      </c>
      <c r="CV19" s="52">
        <v>5.7960649999999996</v>
      </c>
      <c r="CW19" s="52">
        <v>5.7960649999999996</v>
      </c>
      <c r="CX19" s="52">
        <v>5.7960649999999996</v>
      </c>
      <c r="CY19" s="52">
        <v>5.7960649999999996</v>
      </c>
      <c r="CZ19" s="52">
        <v>5.7960649999999996</v>
      </c>
      <c r="DA19" s="52">
        <v>5.7960649999999996</v>
      </c>
      <c r="DB19" s="52">
        <v>5.7960649999999996</v>
      </c>
      <c r="DC19" s="52">
        <v>5.7960649999999996</v>
      </c>
      <c r="DD19" s="52">
        <v>5.7960649999999996</v>
      </c>
      <c r="DE19" s="52">
        <v>5.7960649999999996</v>
      </c>
      <c r="DF19" s="52">
        <v>5.7960649999999996</v>
      </c>
      <c r="DG19" s="52">
        <v>5.7960649999999996</v>
      </c>
      <c r="DH19" s="52">
        <v>5.7960649999999996</v>
      </c>
      <c r="DI19" s="52">
        <v>5.7960649999999996</v>
      </c>
      <c r="DJ19" s="52">
        <v>5.7960649999999996</v>
      </c>
      <c r="DK19" s="52">
        <v>5.7960649999999996</v>
      </c>
      <c r="DL19" s="52">
        <v>5.7960649999999996</v>
      </c>
      <c r="DM19" s="52">
        <v>5.7960649999999996</v>
      </c>
      <c r="DN19" s="52">
        <v>5.7960649999999996</v>
      </c>
      <c r="DO19" s="52">
        <v>5.7960649999999996</v>
      </c>
      <c r="DP19" s="52">
        <v>5.7960649999999996</v>
      </c>
      <c r="DQ19" s="52">
        <v>5.7960649999999996</v>
      </c>
      <c r="DR19" s="52">
        <v>5.7960649999999996</v>
      </c>
      <c r="DS19" s="52">
        <v>5.7960649999999996</v>
      </c>
      <c r="DT19" s="52">
        <v>5.7960649999999996</v>
      </c>
      <c r="DU19" s="52">
        <v>5.7960649999999996</v>
      </c>
      <c r="DV19" s="52">
        <v>5.7960649999999996</v>
      </c>
      <c r="DW19" s="52">
        <v>5.7960649999999996</v>
      </c>
      <c r="DX19" s="52">
        <v>5.7960649999999996</v>
      </c>
      <c r="DY19" s="52">
        <v>5.7960649999999996</v>
      </c>
      <c r="DZ19" s="52">
        <v>5.7960649999999996</v>
      </c>
      <c r="EA19" s="52">
        <v>5.7960649999999996</v>
      </c>
      <c r="EB19" s="52">
        <v>5.7960649999999996</v>
      </c>
      <c r="EC19" s="52">
        <v>5.7960649999999996</v>
      </c>
      <c r="ED19" s="52">
        <v>5.7960649999999996</v>
      </c>
      <c r="EE19" s="52">
        <v>5.7960649999999996</v>
      </c>
      <c r="EF19" s="52">
        <v>5.7960649999999996</v>
      </c>
      <c r="EG19" s="52">
        <v>5.7960649999999996</v>
      </c>
      <c r="EH19" s="52">
        <v>5.7960649999999996</v>
      </c>
      <c r="EI19" s="52">
        <v>5.7960649999999996</v>
      </c>
      <c r="EJ19" s="52">
        <v>5.7960649999999996</v>
      </c>
      <c r="EK19" s="52">
        <v>5.7960649999999996</v>
      </c>
      <c r="EL19" s="52">
        <v>5.7960649999999996</v>
      </c>
      <c r="EM19" s="52">
        <v>5.7960649999999996</v>
      </c>
      <c r="EN19" s="52">
        <v>5.7960649999999996</v>
      </c>
      <c r="EO19" s="52">
        <v>5.7960649999999996</v>
      </c>
      <c r="EP19" s="52">
        <v>5.7960649999999996</v>
      </c>
      <c r="EQ19" s="52">
        <v>5.7960649999999996</v>
      </c>
      <c r="ER19" s="52">
        <v>5.7960649999999996</v>
      </c>
      <c r="ES19" s="52">
        <v>5.7960649999999996</v>
      </c>
      <c r="ET19" s="52">
        <v>5.7960649999999996</v>
      </c>
      <c r="EU19" s="52">
        <v>5.7960649999999996</v>
      </c>
      <c r="EV19" s="52">
        <v>5.7960649999999996</v>
      </c>
      <c r="EW19" s="52">
        <v>5.7960649999999996</v>
      </c>
      <c r="EX19" s="52">
        <v>5.7960649999999996</v>
      </c>
      <c r="EY19" s="52">
        <v>5.7960649999999996</v>
      </c>
      <c r="EZ19" s="52">
        <v>5.7960649999999996</v>
      </c>
      <c r="FA19" s="52">
        <v>5.7960649999999996</v>
      </c>
      <c r="FB19" s="52">
        <v>5.7960649999999996</v>
      </c>
      <c r="FC19" s="52">
        <v>5.7960649999999996</v>
      </c>
      <c r="FD19" s="52">
        <v>5.7960649999999996</v>
      </c>
      <c r="FE19" s="52">
        <v>5.7960649999999996</v>
      </c>
      <c r="FF19" s="52">
        <v>5.7960649999999996</v>
      </c>
      <c r="FG19" s="52">
        <v>5.7960649999999996</v>
      </c>
      <c r="FH19" s="52">
        <v>5.7960649999999996</v>
      </c>
      <c r="FI19" s="52">
        <v>5.7960649999999996</v>
      </c>
      <c r="FJ19" s="52">
        <v>5.7960649999999996</v>
      </c>
      <c r="FK19" s="52">
        <v>5.7960649999999996</v>
      </c>
      <c r="FL19" s="52">
        <v>5.7960649999999996</v>
      </c>
      <c r="FM19" s="52">
        <v>5.7960649999999996</v>
      </c>
      <c r="FN19" s="52">
        <v>5.7960649999999996</v>
      </c>
      <c r="FO19" s="52">
        <v>5.7960649999999996</v>
      </c>
      <c r="FP19" s="52">
        <v>5.7960649999999996</v>
      </c>
      <c r="FQ19" s="52">
        <v>5.7960649999999996</v>
      </c>
      <c r="FR19" s="52">
        <v>5.7960649999999996</v>
      </c>
      <c r="FS19" s="52">
        <v>5.7960649999999996</v>
      </c>
      <c r="FT19" s="52">
        <v>5.7960649999999996</v>
      </c>
      <c r="FU19" s="52">
        <v>5.7960649999999996</v>
      </c>
      <c r="FV19" s="52">
        <v>5.7960649999999996</v>
      </c>
      <c r="FW19" s="52">
        <v>5.7960649999999996</v>
      </c>
      <c r="FX19" s="52">
        <v>5.7960649999999996</v>
      </c>
      <c r="FY19" s="52">
        <v>5.7960649999999996</v>
      </c>
      <c r="FZ19" s="52">
        <v>5.7960649999999996</v>
      </c>
      <c r="GA19" s="52">
        <v>5.7960649999999996</v>
      </c>
      <c r="GB19" s="52">
        <v>5.7960649999999996</v>
      </c>
      <c r="GC19" s="52">
        <v>5.7960649999999996</v>
      </c>
      <c r="GD19" s="52">
        <v>5.7960649999999996</v>
      </c>
      <c r="GE19" s="52">
        <v>5.7960649999999996</v>
      </c>
      <c r="GF19" s="52">
        <v>5.7960649999999996</v>
      </c>
      <c r="GG19" s="52">
        <v>5.7960649999999996</v>
      </c>
      <c r="GH19" s="52">
        <v>5.7960649999999996</v>
      </c>
      <c r="GI19" s="52">
        <v>5.7960649999999996</v>
      </c>
      <c r="GJ19" s="52">
        <v>5.7960649999999996</v>
      </c>
      <c r="GK19" s="52">
        <v>5.7960649999999996</v>
      </c>
      <c r="GL19" s="52">
        <v>5.7960649999999996</v>
      </c>
      <c r="GM19" s="52">
        <v>5.7960649999999996</v>
      </c>
      <c r="GN19" s="52">
        <v>5.7960649999999996</v>
      </c>
      <c r="GO19" s="52">
        <v>5.7960649999999996</v>
      </c>
      <c r="GP19" s="52">
        <v>5.7960649999999996</v>
      </c>
      <c r="GQ19" s="52">
        <v>5.7960649999999996</v>
      </c>
      <c r="GR19" s="52">
        <v>5.7960649999999996</v>
      </c>
      <c r="GS19" s="52">
        <v>5.7960649999999996</v>
      </c>
      <c r="GT19" s="52">
        <v>5.7960649999999996</v>
      </c>
      <c r="GU19" s="52">
        <v>5.7960649999999996</v>
      </c>
      <c r="GV19" s="52">
        <v>5.7960649999999996</v>
      </c>
      <c r="GW19" s="52">
        <v>5.7960649999999996</v>
      </c>
      <c r="GX19" s="52">
        <v>5.7960649999999996</v>
      </c>
      <c r="GY19" s="52">
        <v>5.7960649999999996</v>
      </c>
      <c r="GZ19" s="52">
        <v>5.7960649999999996</v>
      </c>
      <c r="HA19" s="52">
        <v>5.7960649999999996</v>
      </c>
      <c r="HB19" s="52">
        <v>5.7960649999999996</v>
      </c>
      <c r="HC19" s="52">
        <v>5.7960649999999996</v>
      </c>
      <c r="HD19" s="52">
        <v>5.7960649999999996</v>
      </c>
      <c r="HE19" s="52">
        <v>5.7960649999999996</v>
      </c>
      <c r="HF19" s="52">
        <v>5.7960649999999996</v>
      </c>
      <c r="HG19" s="52">
        <v>5.7960649999999996</v>
      </c>
      <c r="HH19" s="52">
        <v>5.7960649999999996</v>
      </c>
      <c r="HI19" s="52">
        <v>5.7960649999999996</v>
      </c>
      <c r="HJ19" s="52">
        <v>5.7960649999999996</v>
      </c>
      <c r="HK19" s="52">
        <v>5.7960649999999996</v>
      </c>
      <c r="HL19" s="52">
        <v>5.7960649999999996</v>
      </c>
      <c r="HM19" s="52">
        <v>5.7960649999999996</v>
      </c>
      <c r="HN19" s="52">
        <v>5.7960649999999996</v>
      </c>
      <c r="HO19" s="52">
        <v>5.7960649999999996</v>
      </c>
      <c r="HP19" s="52">
        <v>5.7960649999999996</v>
      </c>
      <c r="HQ19" s="52">
        <v>5.7960649999999996</v>
      </c>
      <c r="HR19" s="52">
        <v>5.7960649999999996</v>
      </c>
      <c r="HS19" s="52">
        <v>5.7960649999999996</v>
      </c>
      <c r="HT19" s="52">
        <v>5.7960649999999996</v>
      </c>
      <c r="HU19" s="52">
        <v>5.7960649999999996</v>
      </c>
      <c r="HV19" s="52">
        <v>5.7960649999999996</v>
      </c>
      <c r="HW19" s="52">
        <v>5.7960649999999996</v>
      </c>
      <c r="HX19" s="52">
        <v>5.7960649999999996</v>
      </c>
      <c r="HY19" s="52">
        <v>5.7960649999999996</v>
      </c>
      <c r="HZ19" s="52">
        <v>5.7960649999999996</v>
      </c>
      <c r="IA19" s="52">
        <v>5.7960649999999996</v>
      </c>
      <c r="IB19" s="52">
        <v>5.7960649999999996</v>
      </c>
      <c r="IC19" s="52">
        <v>5.7960649999999996</v>
      </c>
      <c r="ID19" s="52">
        <v>5.7960649999999996</v>
      </c>
      <c r="IE19" s="52">
        <v>5.7960649999999996</v>
      </c>
      <c r="IF19" s="52">
        <v>5.7960649999999996</v>
      </c>
      <c r="IG19" s="52">
        <v>5.7960649999999996</v>
      </c>
      <c r="IH19" s="52">
        <v>5.7960649999999996</v>
      </c>
      <c r="II19" s="52">
        <v>5.7960649999999996</v>
      </c>
      <c r="IJ19" s="52">
        <v>5.7960649999999996</v>
      </c>
      <c r="IK19" s="52">
        <v>5.7960649999999996</v>
      </c>
      <c r="IL19" s="52">
        <v>5.7960649999999996</v>
      </c>
      <c r="IM19" s="52">
        <v>5.7960649999999996</v>
      </c>
      <c r="IN19" s="52">
        <v>5.7960649999999996</v>
      </c>
      <c r="IO19" s="51">
        <v>5.7960649999999996</v>
      </c>
      <c r="IP19" s="51">
        <v>5.7960649999999996</v>
      </c>
      <c r="IQ19" s="51">
        <v>5.7960649999999996</v>
      </c>
      <c r="IR19" s="51">
        <v>5.7960649999999996</v>
      </c>
      <c r="IS19" s="51">
        <v>5.7960649999999996</v>
      </c>
      <c r="IT19" s="51">
        <v>5.7960649999999996</v>
      </c>
      <c r="IU19" s="51">
        <v>5.7960649999999996</v>
      </c>
      <c r="IV19" s="51">
        <v>5.7960649999999996</v>
      </c>
      <c r="IW19" s="51">
        <v>5.7960649999999996</v>
      </c>
      <c r="IX19" s="51">
        <v>5.7960649999999996</v>
      </c>
      <c r="IY19" s="51">
        <v>5.7960649999999996</v>
      </c>
      <c r="IZ19" s="51">
        <v>5.7960649999999996</v>
      </c>
      <c r="JA19" s="51">
        <v>5.7960649999999996</v>
      </c>
      <c r="JB19" s="51">
        <v>5.7960649999999996</v>
      </c>
      <c r="JC19" s="51">
        <v>5.7960649999999996</v>
      </c>
      <c r="JD19" s="51">
        <v>5.7960649999999996</v>
      </c>
      <c r="JE19" s="51">
        <v>5.7960649999999996</v>
      </c>
      <c r="JF19" s="51">
        <v>5.7960649999999996</v>
      </c>
      <c r="JG19" s="51">
        <v>5.7960649999999996</v>
      </c>
      <c r="JH19" s="51">
        <v>5.7960649999999996</v>
      </c>
      <c r="JI19" s="51">
        <v>5.7960649999999996</v>
      </c>
      <c r="JJ19" s="51">
        <v>5.7960649999999996</v>
      </c>
      <c r="JK19" s="51">
        <v>5.7960649999999996</v>
      </c>
      <c r="JL19" s="51">
        <v>5.7960649999999996</v>
      </c>
      <c r="JM19" s="51">
        <v>5.7960649999999996</v>
      </c>
      <c r="JN19" s="51">
        <v>5.7960649999999996</v>
      </c>
      <c r="JO19" s="51">
        <v>5.7960649999999996</v>
      </c>
      <c r="JP19" s="51">
        <v>5.7960649999999996</v>
      </c>
      <c r="JQ19" s="51">
        <v>5.7960649999999996</v>
      </c>
      <c r="JR19" s="51">
        <v>5.7960649999999996</v>
      </c>
      <c r="JS19" s="51">
        <v>5.7960649999999996</v>
      </c>
      <c r="JT19" s="51">
        <v>5.7960649999999996</v>
      </c>
      <c r="JU19" s="51">
        <v>5.7960649999999996</v>
      </c>
      <c r="JV19" s="51">
        <v>5.7960649999999996</v>
      </c>
      <c r="JW19" s="51">
        <v>5.7960649999999996</v>
      </c>
      <c r="JX19" s="51">
        <v>5.7960649999999996</v>
      </c>
      <c r="JY19" s="51">
        <v>5.7960649999999996</v>
      </c>
      <c r="JZ19" s="51">
        <v>5.7960649999999996</v>
      </c>
      <c r="KA19" s="51">
        <v>5.7960649999999996</v>
      </c>
      <c r="KB19" s="51">
        <v>5.7960649999999996</v>
      </c>
      <c r="KC19" s="51">
        <v>5.7960649999999996</v>
      </c>
      <c r="KD19" s="51">
        <v>5.7960649999999996</v>
      </c>
      <c r="KE19" s="51">
        <v>5.7960649999999996</v>
      </c>
      <c r="KF19" s="51">
        <v>5.7960649999999996</v>
      </c>
      <c r="KG19" s="51">
        <v>5.7960649999999996</v>
      </c>
      <c r="KH19" s="51">
        <v>5.7960649999999996</v>
      </c>
      <c r="KI19" s="51">
        <v>5.7960649999999996</v>
      </c>
      <c r="KJ19" s="51">
        <v>5.7960649999999996</v>
      </c>
      <c r="KK19" s="51">
        <v>5.7960649999999996</v>
      </c>
      <c r="KL19" s="51">
        <v>5.7960649999999996</v>
      </c>
      <c r="KM19" s="51">
        <v>5.7960649999999996</v>
      </c>
      <c r="KN19" s="51">
        <v>5.7960649999999996</v>
      </c>
      <c r="KO19" s="51">
        <v>5.7960649999999996</v>
      </c>
      <c r="KP19" s="51">
        <v>5.7960649999999996</v>
      </c>
      <c r="KQ19" s="51">
        <v>5.7960649999999996</v>
      </c>
      <c r="KR19" s="51">
        <v>5.7960649999999996</v>
      </c>
      <c r="KS19" s="51">
        <v>5.7960649999999996</v>
      </c>
      <c r="KT19" s="51">
        <v>5.7960649999999996</v>
      </c>
      <c r="KU19" s="51">
        <v>5.7960649999999996</v>
      </c>
      <c r="KV19" s="51">
        <v>5.7960649999999996</v>
      </c>
      <c r="KW19" s="51">
        <v>5.7960649999999996</v>
      </c>
      <c r="KX19" s="51">
        <v>5.7960649999999996</v>
      </c>
      <c r="KY19" s="51">
        <v>5.7960649999999996</v>
      </c>
      <c r="KZ19" s="51">
        <v>5.7960649999999996</v>
      </c>
      <c r="LA19" s="51">
        <v>5.7960649999999996</v>
      </c>
      <c r="LB19" s="51">
        <v>5.7960649999999996</v>
      </c>
      <c r="LC19" s="51">
        <v>5.7960649999999996</v>
      </c>
      <c r="LD19" s="51">
        <v>5.7960649999999996</v>
      </c>
      <c r="LE19" s="51">
        <v>5.7960649999999996</v>
      </c>
      <c r="LF19" s="51">
        <v>5.7960649999999996</v>
      </c>
      <c r="LG19" s="51">
        <v>5.7960649999999996</v>
      </c>
      <c r="LH19" s="51">
        <v>5.7960649999999996</v>
      </c>
      <c r="LI19" s="51">
        <v>5.7960649999999996</v>
      </c>
      <c r="LJ19" s="51">
        <v>5.7960649999999996</v>
      </c>
      <c r="LK19" s="51">
        <v>5.7960649999999996</v>
      </c>
      <c r="LL19" s="51">
        <v>5.7960649999999996</v>
      </c>
      <c r="LM19" s="51">
        <v>5.7960649999999996</v>
      </c>
      <c r="LN19" s="51">
        <v>5.7960649999999996</v>
      </c>
      <c r="LO19" s="51">
        <v>5.7960649999999996</v>
      </c>
      <c r="LP19" s="51">
        <v>5.7960649999999996</v>
      </c>
      <c r="LQ19" s="51">
        <v>5.7960649999999996</v>
      </c>
      <c r="LR19" s="51">
        <v>5.7960649999999996</v>
      </c>
      <c r="LS19" s="51">
        <v>5.7960649999999996</v>
      </c>
      <c r="LT19" s="51">
        <v>5.7960649999999996</v>
      </c>
      <c r="LU19" s="51">
        <v>5.7960649999999996</v>
      </c>
      <c r="LV19" s="51">
        <v>5.7960649999999996</v>
      </c>
      <c r="LW19" s="51">
        <v>5.7960649999999996</v>
      </c>
      <c r="LX19" s="51">
        <v>5.7960649999999996</v>
      </c>
      <c r="LY19" s="51">
        <v>5.7960649999999996</v>
      </c>
      <c r="LZ19" s="51">
        <v>5.7960649999999996</v>
      </c>
      <c r="MA19" s="51">
        <v>5.7960649999999996</v>
      </c>
      <c r="MB19" s="51">
        <v>5.7960649999999996</v>
      </c>
      <c r="MC19" s="51">
        <v>5.7960649999999996</v>
      </c>
      <c r="MD19" s="51">
        <v>5.7960649999999996</v>
      </c>
      <c r="ME19" s="51">
        <v>5.7960649999999996</v>
      </c>
      <c r="MF19" s="51">
        <v>5.7960649999999996</v>
      </c>
      <c r="MG19" s="51">
        <v>5.7960649999999996</v>
      </c>
      <c r="MH19" s="51">
        <v>5.7960649999999996</v>
      </c>
      <c r="MI19" s="51">
        <v>5.7960649999999996</v>
      </c>
      <c r="MJ19" s="51">
        <v>5.7960649999999996</v>
      </c>
      <c r="MK19" s="51">
        <v>5.7960649999999996</v>
      </c>
      <c r="ML19" s="51">
        <v>5.7960649999999996</v>
      </c>
      <c r="MM19" s="51">
        <v>5.7960649999999996</v>
      </c>
      <c r="MN19" s="51">
        <v>5.7960649999999996</v>
      </c>
      <c r="MO19" s="51">
        <v>5.7960649999999996</v>
      </c>
      <c r="MP19" s="51">
        <v>5.7960649999999996</v>
      </c>
      <c r="MQ19" s="51">
        <v>5.7960649999999996</v>
      </c>
      <c r="MR19" s="51">
        <v>5.7960649999999996</v>
      </c>
      <c r="MS19" s="51">
        <v>5.7960649999999996</v>
      </c>
      <c r="MT19" s="51">
        <v>5.7960649999999996</v>
      </c>
      <c r="MU19" s="51">
        <v>5.7960649999999996</v>
      </c>
      <c r="MV19" s="51">
        <v>5.7960649999999996</v>
      </c>
      <c r="MW19" s="51">
        <v>5.7960649999999996</v>
      </c>
      <c r="MX19" s="51">
        <v>5.7960649999999996</v>
      </c>
      <c r="MY19" s="51">
        <v>5.7960649999999996</v>
      </c>
      <c r="MZ19" s="51">
        <v>5.7960649999999996</v>
      </c>
      <c r="NA19" s="51">
        <v>5.7960649999999996</v>
      </c>
      <c r="NB19" s="51">
        <v>5.7960649999999996</v>
      </c>
      <c r="NC19" s="51">
        <v>5.7960649999999996</v>
      </c>
      <c r="ND19" s="51">
        <v>5.7960649999999996</v>
      </c>
      <c r="NE19" s="37">
        <v>5.7960649999999996</v>
      </c>
      <c r="NF19" s="37">
        <v>5.7960649999999996</v>
      </c>
      <c r="NG19" s="37">
        <v>5.7960649999999996</v>
      </c>
      <c r="NH19" s="37">
        <v>5.7960649999999996</v>
      </c>
      <c r="NI19" s="37">
        <v>5.7960649999999996</v>
      </c>
      <c r="NJ19" s="37">
        <v>5.7960649999999996</v>
      </c>
      <c r="NK19" s="37">
        <v>5.7960649999999996</v>
      </c>
      <c r="NL19" s="37">
        <v>5.7960649999999996</v>
      </c>
      <c r="NM19" s="37">
        <v>5.7960649999999996</v>
      </c>
      <c r="NN19" s="37">
        <v>5.7960649999999996</v>
      </c>
      <c r="NO19" s="37">
        <v>5.7960649999999996</v>
      </c>
      <c r="NP19" s="37">
        <v>5.7960649999999996</v>
      </c>
      <c r="NQ19" s="37">
        <v>5.7960649999999996</v>
      </c>
      <c r="NR19" s="37">
        <v>5.7960649999999996</v>
      </c>
      <c r="NS19" s="37">
        <v>5.7960649999999996</v>
      </c>
      <c r="NT19" s="37">
        <v>5.710045</v>
      </c>
      <c r="NU19" s="37" t="s">
        <v>668</v>
      </c>
      <c r="NV19" s="37" t="s">
        <v>668</v>
      </c>
      <c r="NW19" s="37" t="s">
        <v>668</v>
      </c>
      <c r="NX19" s="37" t="s">
        <v>668</v>
      </c>
      <c r="NY19" s="37" t="s">
        <v>668</v>
      </c>
      <c r="NZ19" s="37" t="s">
        <v>668</v>
      </c>
      <c r="OA19" s="37" t="s">
        <v>668</v>
      </c>
      <c r="OB19" s="37" t="s">
        <v>668</v>
      </c>
      <c r="OC19" s="37" t="s">
        <v>668</v>
      </c>
      <c r="OD19" s="37" t="s">
        <v>668</v>
      </c>
      <c r="OE19" s="37" t="s">
        <v>668</v>
      </c>
      <c r="OF19" s="37" t="s">
        <v>668</v>
      </c>
      <c r="OG19" s="37" t="s">
        <v>668</v>
      </c>
      <c r="OH19" s="37" t="s">
        <v>668</v>
      </c>
      <c r="OI19" s="37" t="s">
        <v>668</v>
      </c>
      <c r="OJ19" s="37" t="s">
        <v>668</v>
      </c>
      <c r="OK19" s="37" t="s">
        <v>668</v>
      </c>
      <c r="OL19" s="37" t="s">
        <v>668</v>
      </c>
      <c r="OM19" s="37" t="s">
        <v>668</v>
      </c>
      <c r="ON19" s="37" t="s">
        <v>668</v>
      </c>
      <c r="OO19" s="37" t="s">
        <v>668</v>
      </c>
      <c r="OP19" s="37" t="s">
        <v>668</v>
      </c>
      <c r="OQ19" s="37" t="s">
        <v>668</v>
      </c>
      <c r="OR19" s="37" t="s">
        <v>668</v>
      </c>
      <c r="OS19" s="37" t="s">
        <v>668</v>
      </c>
      <c r="OT19" s="37" t="s">
        <v>668</v>
      </c>
      <c r="OU19" s="37" t="s">
        <v>668</v>
      </c>
      <c r="OV19" s="37" t="s">
        <v>668</v>
      </c>
      <c r="OW19" s="37" t="s">
        <v>668</v>
      </c>
      <c r="OX19" s="37" t="s">
        <v>668</v>
      </c>
      <c r="OY19" s="37" t="s">
        <v>668</v>
      </c>
      <c r="OZ19" s="37" t="s">
        <v>668</v>
      </c>
      <c r="PA19" s="37" t="s">
        <v>668</v>
      </c>
      <c r="PB19" s="37" t="s">
        <v>668</v>
      </c>
      <c r="PC19" s="37" t="s">
        <v>668</v>
      </c>
      <c r="PD19" s="37" t="s">
        <v>668</v>
      </c>
      <c r="PE19" s="37" t="s">
        <v>668</v>
      </c>
      <c r="PF19" s="37" t="s">
        <v>668</v>
      </c>
      <c r="PG19" s="37" t="s">
        <v>668</v>
      </c>
      <c r="PH19" s="37" t="s">
        <v>668</v>
      </c>
      <c r="PI19" s="37" t="s">
        <v>668</v>
      </c>
      <c r="PJ19" s="37" t="s">
        <v>668</v>
      </c>
      <c r="PK19" s="37" t="s">
        <v>668</v>
      </c>
      <c r="PL19" s="37" t="s">
        <v>668</v>
      </c>
      <c r="PM19" s="37" t="s">
        <v>668</v>
      </c>
      <c r="PN19" s="37" t="s">
        <v>668</v>
      </c>
      <c r="PO19" s="37" t="s">
        <v>668</v>
      </c>
      <c r="PP19" s="37" t="s">
        <v>668</v>
      </c>
      <c r="PQ19" s="37" t="s">
        <v>668</v>
      </c>
      <c r="PR19" s="37" t="s">
        <v>668</v>
      </c>
      <c r="PS19" s="15" t="s">
        <v>668</v>
      </c>
      <c r="PT19" s="15" t="s">
        <v>668</v>
      </c>
      <c r="PU19" s="15" t="s">
        <v>668</v>
      </c>
      <c r="PV19" s="15" t="s">
        <v>668</v>
      </c>
      <c r="PW19" s="15" t="s">
        <v>668</v>
      </c>
      <c r="PX19" s="15" t="s">
        <v>668</v>
      </c>
      <c r="PY19" s="15" t="s">
        <v>668</v>
      </c>
      <c r="PZ19" s="15" t="s">
        <v>668</v>
      </c>
      <c r="QA19" s="15" t="s">
        <v>668</v>
      </c>
      <c r="QB19" s="15" t="s">
        <v>668</v>
      </c>
      <c r="QC19" s="15" t="s">
        <v>668</v>
      </c>
      <c r="QD19" s="15" t="s">
        <v>668</v>
      </c>
      <c r="QE19" s="15" t="s">
        <v>668</v>
      </c>
      <c r="QF19" s="15" t="s">
        <v>668</v>
      </c>
      <c r="QG19" s="15" t="s">
        <v>668</v>
      </c>
      <c r="QH19" s="15" t="s">
        <v>668</v>
      </c>
      <c r="QI19" s="15" t="s">
        <v>668</v>
      </c>
      <c r="QJ19" s="15" t="s">
        <v>668</v>
      </c>
      <c r="QK19" s="15" t="s">
        <v>668</v>
      </c>
      <c r="QL19" s="15" t="s">
        <v>668</v>
      </c>
      <c r="QM19" s="15" t="s">
        <v>668</v>
      </c>
      <c r="QN19" s="15" t="s">
        <v>668</v>
      </c>
      <c r="QO19" s="15" t="s">
        <v>668</v>
      </c>
      <c r="QP19" s="15" t="s">
        <v>668</v>
      </c>
      <c r="QQ19" s="15" t="s">
        <v>668</v>
      </c>
      <c r="QR19" s="15" t="s">
        <v>668</v>
      </c>
      <c r="QS19" s="15" t="s">
        <v>668</v>
      </c>
      <c r="QT19" s="15" t="s">
        <v>668</v>
      </c>
      <c r="QU19" s="15" t="s">
        <v>668</v>
      </c>
      <c r="QV19" s="15" t="s">
        <v>668</v>
      </c>
      <c r="QW19" s="15" t="s">
        <v>668</v>
      </c>
      <c r="QX19" s="15" t="s">
        <v>668</v>
      </c>
      <c r="QY19" s="15" t="s">
        <v>668</v>
      </c>
      <c r="QZ19" s="15" t="s">
        <v>668</v>
      </c>
      <c r="RA19" s="15" t="s">
        <v>668</v>
      </c>
      <c r="RB19" s="15" t="s">
        <v>668</v>
      </c>
      <c r="RC19" s="15" t="s">
        <v>668</v>
      </c>
      <c r="RD19" s="15" t="s">
        <v>668</v>
      </c>
      <c r="RE19" s="15" t="s">
        <v>668</v>
      </c>
      <c r="RF19" s="15" t="s">
        <v>668</v>
      </c>
      <c r="RG19" s="15" t="s">
        <v>668</v>
      </c>
      <c r="RH19" s="15" t="s">
        <v>668</v>
      </c>
      <c r="RI19" s="15" t="s">
        <v>668</v>
      </c>
      <c r="RJ19" s="15" t="s">
        <v>668</v>
      </c>
      <c r="RK19" s="15" t="s">
        <v>668</v>
      </c>
      <c r="RL19" s="15" t="s">
        <v>668</v>
      </c>
      <c r="RM19" s="15" t="s">
        <v>668</v>
      </c>
      <c r="RN19" s="15" t="s">
        <v>668</v>
      </c>
      <c r="RO19" s="15" t="s">
        <v>668</v>
      </c>
      <c r="RP19" s="15" t="s">
        <v>668</v>
      </c>
      <c r="RQ19" s="15" t="s">
        <v>668</v>
      </c>
      <c r="RR19" s="15" t="s">
        <v>668</v>
      </c>
      <c r="RS19" s="15" t="s">
        <v>668</v>
      </c>
      <c r="RT19" s="15" t="s">
        <v>668</v>
      </c>
      <c r="RU19" s="15" t="s">
        <v>668</v>
      </c>
      <c r="RV19" s="15" t="s">
        <v>668</v>
      </c>
      <c r="RW19" s="15" t="s">
        <v>668</v>
      </c>
      <c r="RX19" s="15" t="s">
        <v>668</v>
      </c>
      <c r="RY19" s="15" t="s">
        <v>668</v>
      </c>
      <c r="RZ19" s="15" t="s">
        <v>668</v>
      </c>
      <c r="SA19" s="15" t="s">
        <v>668</v>
      </c>
      <c r="SB19" s="15" t="s">
        <v>668</v>
      </c>
      <c r="SC19" s="15" t="s">
        <v>668</v>
      </c>
      <c r="SD19" s="15" t="s">
        <v>668</v>
      </c>
      <c r="SE19" s="15" t="s">
        <v>668</v>
      </c>
      <c r="SF19" s="15" t="s">
        <v>668</v>
      </c>
      <c r="SG19" s="15" t="s">
        <v>668</v>
      </c>
      <c r="SH19" s="15" t="s">
        <v>668</v>
      </c>
      <c r="SI19" s="15" t="s">
        <v>668</v>
      </c>
      <c r="SJ19" s="15" t="s">
        <v>668</v>
      </c>
      <c r="SK19" s="15" t="s">
        <v>668</v>
      </c>
      <c r="SL19" s="15" t="s">
        <v>668</v>
      </c>
    </row>
    <row r="20" spans="1:506" x14ac:dyDescent="0.2">
      <c r="A20" s="37">
        <v>18</v>
      </c>
      <c r="B20" s="15" t="s">
        <v>550</v>
      </c>
      <c r="C20" s="17">
        <f>+'Detalle Compras'!D20</f>
        <v>202505300005</v>
      </c>
      <c r="D20" s="55">
        <f t="shared" si="13"/>
        <v>8.8216629999999991</v>
      </c>
      <c r="E20" s="14">
        <f>+IF(B20="","",'Detalle Compras'!S20+0)</f>
        <v>45848</v>
      </c>
      <c r="F20" s="14">
        <f>+IF(B20="","",EOMONTH('Detalle Compras'!S20,G20)+10)</f>
        <v>60489</v>
      </c>
      <c r="G20" s="50">
        <f t="shared" si="14"/>
        <v>480</v>
      </c>
      <c r="H20" s="50">
        <f t="shared" si="15"/>
        <v>473</v>
      </c>
      <c r="I20" s="52"/>
      <c r="J20" s="52"/>
      <c r="K20" s="52"/>
      <c r="L20" s="52"/>
      <c r="M20" s="52"/>
      <c r="N20" s="52"/>
      <c r="O20" s="52"/>
      <c r="P20" s="52"/>
      <c r="Q20" s="52"/>
      <c r="R20" s="52"/>
      <c r="S20" s="52"/>
      <c r="T20" s="52"/>
      <c r="U20" s="52"/>
      <c r="V20" s="52"/>
      <c r="W20" s="52"/>
      <c r="X20" s="52"/>
      <c r="Y20" s="52">
        <v>8.8216629999999991</v>
      </c>
      <c r="Z20" s="52">
        <v>8.8216629999999991</v>
      </c>
      <c r="AA20" s="52">
        <v>8.8216629999999991</v>
      </c>
      <c r="AB20" s="52">
        <v>8.8216629999999991</v>
      </c>
      <c r="AC20" s="52">
        <v>8.8216629999999991</v>
      </c>
      <c r="AD20" s="52">
        <v>8.8216629999999991</v>
      </c>
      <c r="AE20" s="52">
        <v>8.8216629999999991</v>
      </c>
      <c r="AF20" s="52">
        <v>8.8216629999999991</v>
      </c>
      <c r="AG20" s="52">
        <v>8.8216629999999991</v>
      </c>
      <c r="AH20" s="52">
        <v>8.8216629999999991</v>
      </c>
      <c r="AI20" s="52">
        <v>8.8216629999999991</v>
      </c>
      <c r="AJ20" s="52">
        <v>8.8216629999999991</v>
      </c>
      <c r="AK20" s="52">
        <v>8.8216629999999991</v>
      </c>
      <c r="AL20" s="52">
        <v>8.8216629999999991</v>
      </c>
      <c r="AM20" s="52">
        <v>8.8216629999999991</v>
      </c>
      <c r="AN20" s="52">
        <v>8.8216629999999991</v>
      </c>
      <c r="AO20" s="52">
        <v>8.8216629999999991</v>
      </c>
      <c r="AP20" s="52">
        <v>8.8216629999999991</v>
      </c>
      <c r="AQ20" s="52">
        <v>8.8216629999999991</v>
      </c>
      <c r="AR20" s="52">
        <v>8.8216629999999991</v>
      </c>
      <c r="AS20" s="52">
        <v>8.8216629999999991</v>
      </c>
      <c r="AT20" s="52">
        <v>8.8216629999999991</v>
      </c>
      <c r="AU20" s="52">
        <v>8.8216629999999991</v>
      </c>
      <c r="AV20" s="52">
        <v>8.8216629999999991</v>
      </c>
      <c r="AW20" s="52">
        <v>8.8216629999999991</v>
      </c>
      <c r="AX20" s="52">
        <v>8.8216629999999991</v>
      </c>
      <c r="AY20" s="52">
        <v>8.8216629999999991</v>
      </c>
      <c r="AZ20" s="52">
        <v>8.8216629999999991</v>
      </c>
      <c r="BA20" s="52">
        <v>8.8216629999999991</v>
      </c>
      <c r="BB20" s="52">
        <v>8.8216629999999991</v>
      </c>
      <c r="BC20" s="52">
        <v>8.8216629999999991</v>
      </c>
      <c r="BD20" s="52">
        <v>8.8216629999999991</v>
      </c>
      <c r="BE20" s="52">
        <v>8.8216629999999991</v>
      </c>
      <c r="BF20" s="52">
        <v>8.8216629999999991</v>
      </c>
      <c r="BG20" s="52">
        <v>8.8216629999999991</v>
      </c>
      <c r="BH20" s="52">
        <v>8.8216629999999991</v>
      </c>
      <c r="BI20" s="52">
        <v>8.8216629999999991</v>
      </c>
      <c r="BJ20" s="52">
        <v>8.8216629999999991</v>
      </c>
      <c r="BK20" s="52">
        <v>8.8216629999999991</v>
      </c>
      <c r="BL20" s="52">
        <v>8.8216629999999991</v>
      </c>
      <c r="BM20" s="52">
        <v>8.8216629999999991</v>
      </c>
      <c r="BN20" s="52">
        <v>8.8216629999999991</v>
      </c>
      <c r="BO20" s="52">
        <v>8.8216629999999991</v>
      </c>
      <c r="BP20" s="52">
        <v>8.8216629999999991</v>
      </c>
      <c r="BQ20" s="52">
        <v>8.8216629999999991</v>
      </c>
      <c r="BR20" s="52">
        <v>8.8216629999999991</v>
      </c>
      <c r="BS20" s="52">
        <v>8.8216629999999991</v>
      </c>
      <c r="BT20" s="52">
        <v>8.8216629999999991</v>
      </c>
      <c r="BU20" s="52">
        <v>8.8216629999999991</v>
      </c>
      <c r="BV20" s="52">
        <v>8.8216629999999991</v>
      </c>
      <c r="BW20" s="52">
        <v>8.8216629999999991</v>
      </c>
      <c r="BX20" s="52">
        <v>8.8216629999999991</v>
      </c>
      <c r="BY20" s="52">
        <v>8.8216629999999991</v>
      </c>
      <c r="BZ20" s="52">
        <v>8.8216629999999991</v>
      </c>
      <c r="CA20" s="52">
        <v>8.8216629999999991</v>
      </c>
      <c r="CB20" s="52">
        <v>8.8216629999999991</v>
      </c>
      <c r="CC20" s="52">
        <v>8.8216629999999991</v>
      </c>
      <c r="CD20" s="52">
        <v>8.8216629999999991</v>
      </c>
      <c r="CE20" s="52">
        <v>8.8216629999999991</v>
      </c>
      <c r="CF20" s="52">
        <v>8.8216629999999991</v>
      </c>
      <c r="CG20" s="52">
        <v>8.8216629999999991</v>
      </c>
      <c r="CH20" s="52">
        <v>8.8216629999999991</v>
      </c>
      <c r="CI20" s="52">
        <v>8.8216629999999991</v>
      </c>
      <c r="CJ20" s="52">
        <v>8.8216629999999991</v>
      </c>
      <c r="CK20" s="52">
        <v>8.8216629999999991</v>
      </c>
      <c r="CL20" s="52">
        <v>8.8216629999999991</v>
      </c>
      <c r="CM20" s="52">
        <v>8.8216629999999991</v>
      </c>
      <c r="CN20" s="52">
        <v>8.8216629999999991</v>
      </c>
      <c r="CO20" s="52">
        <v>8.8216629999999991</v>
      </c>
      <c r="CP20" s="52">
        <v>8.8216629999999991</v>
      </c>
      <c r="CQ20" s="52">
        <v>8.8216629999999991</v>
      </c>
      <c r="CR20" s="52">
        <v>8.8216629999999991</v>
      </c>
      <c r="CS20" s="52">
        <v>8.8216629999999991</v>
      </c>
      <c r="CT20" s="52">
        <v>8.8216629999999991</v>
      </c>
      <c r="CU20" s="52">
        <v>8.8216629999999991</v>
      </c>
      <c r="CV20" s="52">
        <v>8.8216629999999991</v>
      </c>
      <c r="CW20" s="52">
        <v>8.8216629999999991</v>
      </c>
      <c r="CX20" s="52">
        <v>8.8216629999999991</v>
      </c>
      <c r="CY20" s="52">
        <v>8.8216629999999991</v>
      </c>
      <c r="CZ20" s="52">
        <v>8.8216629999999991</v>
      </c>
      <c r="DA20" s="52">
        <v>8.8216629999999991</v>
      </c>
      <c r="DB20" s="52">
        <v>8.8216629999999991</v>
      </c>
      <c r="DC20" s="52">
        <v>8.8216629999999991</v>
      </c>
      <c r="DD20" s="52">
        <v>8.8216629999999991</v>
      </c>
      <c r="DE20" s="52">
        <v>8.8216629999999991</v>
      </c>
      <c r="DF20" s="52">
        <v>8.8216629999999991</v>
      </c>
      <c r="DG20" s="52">
        <v>8.8216629999999991</v>
      </c>
      <c r="DH20" s="52">
        <v>8.8216629999999991</v>
      </c>
      <c r="DI20" s="52">
        <v>8.8216629999999991</v>
      </c>
      <c r="DJ20" s="52">
        <v>8.8216629999999991</v>
      </c>
      <c r="DK20" s="52">
        <v>8.8216629999999991</v>
      </c>
      <c r="DL20" s="52">
        <v>8.8216629999999991</v>
      </c>
      <c r="DM20" s="52">
        <v>8.8216629999999991</v>
      </c>
      <c r="DN20" s="52">
        <v>8.8216629999999991</v>
      </c>
      <c r="DO20" s="52">
        <v>8.8216629999999991</v>
      </c>
      <c r="DP20" s="52">
        <v>8.8216629999999991</v>
      </c>
      <c r="DQ20" s="52">
        <v>8.8216629999999991</v>
      </c>
      <c r="DR20" s="52">
        <v>8.8216629999999991</v>
      </c>
      <c r="DS20" s="52">
        <v>8.8216629999999991</v>
      </c>
      <c r="DT20" s="52">
        <v>8.8216629999999991</v>
      </c>
      <c r="DU20" s="52">
        <v>8.8216629999999991</v>
      </c>
      <c r="DV20" s="52">
        <v>8.8216629999999991</v>
      </c>
      <c r="DW20" s="52">
        <v>8.8216629999999991</v>
      </c>
      <c r="DX20" s="52">
        <v>8.8216629999999991</v>
      </c>
      <c r="DY20" s="52">
        <v>8.8216629999999991</v>
      </c>
      <c r="DZ20" s="52">
        <v>8.8216629999999991</v>
      </c>
      <c r="EA20" s="52">
        <v>8.8216629999999991</v>
      </c>
      <c r="EB20" s="52">
        <v>8.8216629999999991</v>
      </c>
      <c r="EC20" s="52">
        <v>8.8216629999999991</v>
      </c>
      <c r="ED20" s="52">
        <v>8.8216629999999991</v>
      </c>
      <c r="EE20" s="52">
        <v>8.8216629999999991</v>
      </c>
      <c r="EF20" s="52">
        <v>8.8216629999999991</v>
      </c>
      <c r="EG20" s="52">
        <v>8.8216629999999991</v>
      </c>
      <c r="EH20" s="52">
        <v>8.8216629999999991</v>
      </c>
      <c r="EI20" s="52">
        <v>8.8216629999999991</v>
      </c>
      <c r="EJ20" s="52">
        <v>8.8216629999999991</v>
      </c>
      <c r="EK20" s="52">
        <v>8.8216629999999991</v>
      </c>
      <c r="EL20" s="52">
        <v>8.8216629999999991</v>
      </c>
      <c r="EM20" s="52">
        <v>8.8216629999999991</v>
      </c>
      <c r="EN20" s="52">
        <v>8.8216629999999991</v>
      </c>
      <c r="EO20" s="52">
        <v>8.8216629999999991</v>
      </c>
      <c r="EP20" s="52">
        <v>8.8216629999999991</v>
      </c>
      <c r="EQ20" s="52">
        <v>8.8216629999999991</v>
      </c>
      <c r="ER20" s="52">
        <v>8.8216629999999991</v>
      </c>
      <c r="ES20" s="52">
        <v>8.8216629999999991</v>
      </c>
      <c r="ET20" s="52">
        <v>8.8216629999999991</v>
      </c>
      <c r="EU20" s="52">
        <v>8.8216629999999991</v>
      </c>
      <c r="EV20" s="52">
        <v>8.8216629999999991</v>
      </c>
      <c r="EW20" s="52">
        <v>8.8216629999999991</v>
      </c>
      <c r="EX20" s="52">
        <v>8.8216629999999991</v>
      </c>
      <c r="EY20" s="52">
        <v>8.8216629999999991</v>
      </c>
      <c r="EZ20" s="52">
        <v>8.8216629999999991</v>
      </c>
      <c r="FA20" s="52">
        <v>8.8216629999999991</v>
      </c>
      <c r="FB20" s="52">
        <v>8.8216629999999991</v>
      </c>
      <c r="FC20" s="52">
        <v>8.8216629999999991</v>
      </c>
      <c r="FD20" s="52">
        <v>8.8216629999999991</v>
      </c>
      <c r="FE20" s="52">
        <v>8.8216629999999991</v>
      </c>
      <c r="FF20" s="52">
        <v>8.8216629999999991</v>
      </c>
      <c r="FG20" s="52">
        <v>8.8216629999999991</v>
      </c>
      <c r="FH20" s="52">
        <v>8.8216629999999991</v>
      </c>
      <c r="FI20" s="52">
        <v>8.8216629999999991</v>
      </c>
      <c r="FJ20" s="52">
        <v>8.8216629999999991</v>
      </c>
      <c r="FK20" s="52">
        <v>8.8216629999999991</v>
      </c>
      <c r="FL20" s="52">
        <v>8.8216629999999991</v>
      </c>
      <c r="FM20" s="52">
        <v>8.8216629999999991</v>
      </c>
      <c r="FN20" s="52">
        <v>8.8216629999999991</v>
      </c>
      <c r="FO20" s="52">
        <v>8.8216629999999991</v>
      </c>
      <c r="FP20" s="52">
        <v>8.8216629999999991</v>
      </c>
      <c r="FQ20" s="52">
        <v>8.8216629999999991</v>
      </c>
      <c r="FR20" s="52">
        <v>8.8216629999999991</v>
      </c>
      <c r="FS20" s="52">
        <v>8.8216629999999991</v>
      </c>
      <c r="FT20" s="52">
        <v>8.8216629999999991</v>
      </c>
      <c r="FU20" s="52">
        <v>8.8216629999999991</v>
      </c>
      <c r="FV20" s="52">
        <v>8.8216629999999991</v>
      </c>
      <c r="FW20" s="52">
        <v>8.8216629999999991</v>
      </c>
      <c r="FX20" s="52">
        <v>8.8216629999999991</v>
      </c>
      <c r="FY20" s="52">
        <v>8.8216629999999991</v>
      </c>
      <c r="FZ20" s="52">
        <v>8.8216629999999991</v>
      </c>
      <c r="GA20" s="52">
        <v>8.8216629999999991</v>
      </c>
      <c r="GB20" s="52">
        <v>8.8216629999999991</v>
      </c>
      <c r="GC20" s="52">
        <v>8.8216629999999991</v>
      </c>
      <c r="GD20" s="52">
        <v>8.8216629999999991</v>
      </c>
      <c r="GE20" s="52">
        <v>8.8216629999999991</v>
      </c>
      <c r="GF20" s="52">
        <v>8.8216629999999991</v>
      </c>
      <c r="GG20" s="52">
        <v>8.8216629999999991</v>
      </c>
      <c r="GH20" s="52">
        <v>8.8216629999999991</v>
      </c>
      <c r="GI20" s="52">
        <v>8.8216629999999991</v>
      </c>
      <c r="GJ20" s="52">
        <v>8.8216629999999991</v>
      </c>
      <c r="GK20" s="52">
        <v>8.8216629999999991</v>
      </c>
      <c r="GL20" s="52">
        <v>8.8216629999999991</v>
      </c>
      <c r="GM20" s="52">
        <v>8.8216629999999991</v>
      </c>
      <c r="GN20" s="52">
        <v>8.8216629999999991</v>
      </c>
      <c r="GO20" s="52">
        <v>8.8216629999999991</v>
      </c>
      <c r="GP20" s="52">
        <v>8.8216629999999991</v>
      </c>
      <c r="GQ20" s="52">
        <v>8.8216629999999991</v>
      </c>
      <c r="GR20" s="52">
        <v>8.8216629999999991</v>
      </c>
      <c r="GS20" s="52">
        <v>8.8216629999999991</v>
      </c>
      <c r="GT20" s="52">
        <v>8.8216629999999991</v>
      </c>
      <c r="GU20" s="52">
        <v>8.8216629999999991</v>
      </c>
      <c r="GV20" s="52">
        <v>8.8216629999999991</v>
      </c>
      <c r="GW20" s="52">
        <v>8.8216629999999991</v>
      </c>
      <c r="GX20" s="52">
        <v>8.8216629999999991</v>
      </c>
      <c r="GY20" s="52">
        <v>8.8216629999999991</v>
      </c>
      <c r="GZ20" s="52">
        <v>8.8216629999999991</v>
      </c>
      <c r="HA20" s="52">
        <v>8.8216629999999991</v>
      </c>
      <c r="HB20" s="52">
        <v>8.8216629999999991</v>
      </c>
      <c r="HC20" s="52">
        <v>8.8216629999999991</v>
      </c>
      <c r="HD20" s="52">
        <v>8.8216629999999991</v>
      </c>
      <c r="HE20" s="52">
        <v>8.8216629999999991</v>
      </c>
      <c r="HF20" s="52">
        <v>8.8216629999999991</v>
      </c>
      <c r="HG20" s="52">
        <v>8.8216629999999991</v>
      </c>
      <c r="HH20" s="52">
        <v>8.8216629999999991</v>
      </c>
      <c r="HI20" s="52">
        <v>8.8216629999999991</v>
      </c>
      <c r="HJ20" s="52">
        <v>8.8216629999999991</v>
      </c>
      <c r="HK20" s="52">
        <v>8.8216629999999991</v>
      </c>
      <c r="HL20" s="52">
        <v>8.8216629999999991</v>
      </c>
      <c r="HM20" s="52">
        <v>8.8216629999999991</v>
      </c>
      <c r="HN20" s="52">
        <v>8.8216629999999991</v>
      </c>
      <c r="HO20" s="52">
        <v>8.8216629999999991</v>
      </c>
      <c r="HP20" s="52">
        <v>8.8216629999999991</v>
      </c>
      <c r="HQ20" s="52">
        <v>8.8216629999999991</v>
      </c>
      <c r="HR20" s="52">
        <v>8.8216629999999991</v>
      </c>
      <c r="HS20" s="52">
        <v>8.8216629999999991</v>
      </c>
      <c r="HT20" s="52">
        <v>8.8216629999999991</v>
      </c>
      <c r="HU20" s="52">
        <v>8.8216629999999991</v>
      </c>
      <c r="HV20" s="52">
        <v>8.8216629999999991</v>
      </c>
      <c r="HW20" s="52">
        <v>8.8216629999999991</v>
      </c>
      <c r="HX20" s="52">
        <v>8.8216629999999991</v>
      </c>
      <c r="HY20" s="52">
        <v>8.8216629999999991</v>
      </c>
      <c r="HZ20" s="52">
        <v>8.8216629999999991</v>
      </c>
      <c r="IA20" s="52">
        <v>8.8216629999999991</v>
      </c>
      <c r="IB20" s="52">
        <v>8.8216629999999991</v>
      </c>
      <c r="IC20" s="52">
        <v>8.8216629999999991</v>
      </c>
      <c r="ID20" s="52">
        <v>8.8216629999999991</v>
      </c>
      <c r="IE20" s="52">
        <v>8.8216629999999991</v>
      </c>
      <c r="IF20" s="52">
        <v>8.8216629999999991</v>
      </c>
      <c r="IG20" s="52">
        <v>8.8216629999999991</v>
      </c>
      <c r="IH20" s="52">
        <v>8.8216629999999991</v>
      </c>
      <c r="II20" s="52">
        <v>8.8216629999999991</v>
      </c>
      <c r="IJ20" s="52">
        <v>8.8216629999999991</v>
      </c>
      <c r="IK20" s="52">
        <v>8.8216629999999991</v>
      </c>
      <c r="IL20" s="52">
        <v>8.8216629999999991</v>
      </c>
      <c r="IM20" s="52">
        <v>8.8216629999999991</v>
      </c>
      <c r="IN20" s="52">
        <v>8.8216629999999991</v>
      </c>
      <c r="IO20" s="52">
        <v>8.8216629999999991</v>
      </c>
      <c r="IP20" s="52">
        <v>8.8216629999999991</v>
      </c>
      <c r="IQ20" s="52">
        <v>8.8216629999999991</v>
      </c>
      <c r="IR20" s="52">
        <v>8.8216629999999991</v>
      </c>
      <c r="IS20" s="52">
        <v>8.8216629999999991</v>
      </c>
      <c r="IT20" s="52">
        <v>8.8216629999999991</v>
      </c>
      <c r="IU20" s="52">
        <v>8.8216629999999991</v>
      </c>
      <c r="IV20" s="52">
        <v>8.8216629999999991</v>
      </c>
      <c r="IW20" s="52">
        <v>8.8216629999999991</v>
      </c>
      <c r="IX20" s="52">
        <v>8.8216629999999991</v>
      </c>
      <c r="IY20" s="52">
        <v>8.8216629999999991</v>
      </c>
      <c r="IZ20" s="52">
        <v>8.8216629999999991</v>
      </c>
      <c r="JA20" s="52">
        <v>8.8216629999999991</v>
      </c>
      <c r="JB20" s="52">
        <v>8.8216629999999991</v>
      </c>
      <c r="JC20" s="52">
        <v>8.8216629999999991</v>
      </c>
      <c r="JD20" s="52">
        <v>8.8216629999999991</v>
      </c>
      <c r="JE20" s="52">
        <v>8.8216629999999991</v>
      </c>
      <c r="JF20" s="52">
        <v>8.8216629999999991</v>
      </c>
      <c r="JG20" s="52">
        <v>8.8216629999999991</v>
      </c>
      <c r="JH20" s="52">
        <v>8.8216629999999991</v>
      </c>
      <c r="JI20" s="52">
        <v>8.8216629999999991</v>
      </c>
      <c r="JJ20" s="52">
        <v>8.8216629999999991</v>
      </c>
      <c r="JK20" s="52">
        <v>8.8216629999999991</v>
      </c>
      <c r="JL20" s="52">
        <v>8.8216629999999991</v>
      </c>
      <c r="JM20" s="52">
        <v>8.8216629999999991</v>
      </c>
      <c r="JN20" s="52">
        <v>8.8216629999999991</v>
      </c>
      <c r="JO20" s="52">
        <v>8.8216629999999991</v>
      </c>
      <c r="JP20" s="52">
        <v>8.8216629999999991</v>
      </c>
      <c r="JQ20" s="52">
        <v>8.8216629999999991</v>
      </c>
      <c r="JR20" s="52">
        <v>8.8216629999999991</v>
      </c>
      <c r="JS20" s="52">
        <v>8.8216629999999991</v>
      </c>
      <c r="JT20" s="52">
        <v>8.8216629999999991</v>
      </c>
      <c r="JU20" s="52">
        <v>8.8216629999999991</v>
      </c>
      <c r="JV20" s="52">
        <v>8.8216629999999991</v>
      </c>
      <c r="JW20" s="52">
        <v>8.8216629999999991</v>
      </c>
      <c r="JX20" s="52">
        <v>8.8216629999999991</v>
      </c>
      <c r="JY20" s="52">
        <v>8.8216629999999991</v>
      </c>
      <c r="JZ20" s="52">
        <v>8.8216629999999991</v>
      </c>
      <c r="KA20" s="52">
        <v>8.8216629999999991</v>
      </c>
      <c r="KB20" s="52">
        <v>8.8216629999999991</v>
      </c>
      <c r="KC20" s="52">
        <v>8.8216629999999991</v>
      </c>
      <c r="KD20" s="52">
        <v>8.8216629999999991</v>
      </c>
      <c r="KE20" s="52">
        <v>8.8216629999999991</v>
      </c>
      <c r="KF20" s="52">
        <v>8.8216629999999991</v>
      </c>
      <c r="KG20" s="52">
        <v>8.8216629999999991</v>
      </c>
      <c r="KH20" s="52">
        <v>8.8216629999999991</v>
      </c>
      <c r="KI20" s="52">
        <v>8.8216629999999991</v>
      </c>
      <c r="KJ20" s="52">
        <v>8.8216629999999991</v>
      </c>
      <c r="KK20" s="52">
        <v>8.8216629999999991</v>
      </c>
      <c r="KL20" s="52">
        <v>8.8216629999999991</v>
      </c>
      <c r="KM20" s="52">
        <v>8.8216629999999991</v>
      </c>
      <c r="KN20" s="52">
        <v>8.8216629999999991</v>
      </c>
      <c r="KO20" s="52">
        <v>8.8216629999999991</v>
      </c>
      <c r="KP20" s="52">
        <v>8.8216629999999991</v>
      </c>
      <c r="KQ20" s="52">
        <v>8.8216629999999991</v>
      </c>
      <c r="KR20" s="52">
        <v>8.8216629999999991</v>
      </c>
      <c r="KS20" s="52">
        <v>8.8216629999999991</v>
      </c>
      <c r="KT20" s="52">
        <v>8.8216629999999991</v>
      </c>
      <c r="KU20" s="52">
        <v>8.8216629999999991</v>
      </c>
      <c r="KV20" s="52">
        <v>8.8216629999999991</v>
      </c>
      <c r="KW20" s="52">
        <v>8.8216629999999991</v>
      </c>
      <c r="KX20" s="52">
        <v>8.8216629999999991</v>
      </c>
      <c r="KY20" s="52">
        <v>8.8216629999999991</v>
      </c>
      <c r="KZ20" s="52">
        <v>8.8216629999999991</v>
      </c>
      <c r="LA20" s="52">
        <v>8.8216629999999991</v>
      </c>
      <c r="LB20" s="52">
        <v>8.8216629999999991</v>
      </c>
      <c r="LC20" s="52">
        <v>8.8216629999999991</v>
      </c>
      <c r="LD20" s="52">
        <v>8.8216629999999991</v>
      </c>
      <c r="LE20" s="52">
        <v>8.8216629999999991</v>
      </c>
      <c r="LF20" s="52">
        <v>8.8216629999999991</v>
      </c>
      <c r="LG20" s="52">
        <v>8.8216629999999991</v>
      </c>
      <c r="LH20" s="52">
        <v>8.8216629999999991</v>
      </c>
      <c r="LI20" s="52">
        <v>8.8216629999999991</v>
      </c>
      <c r="LJ20" s="52">
        <v>8.8216629999999991</v>
      </c>
      <c r="LK20" s="52">
        <v>8.8216629999999991</v>
      </c>
      <c r="LL20" s="52">
        <v>8.8216629999999991</v>
      </c>
      <c r="LM20" s="52">
        <v>8.8216629999999991</v>
      </c>
      <c r="LN20" s="52">
        <v>8.8216629999999991</v>
      </c>
      <c r="LO20" s="52">
        <v>8.8216629999999991</v>
      </c>
      <c r="LP20" s="52">
        <v>8.8216629999999991</v>
      </c>
      <c r="LQ20" s="52">
        <v>8.8216629999999991</v>
      </c>
      <c r="LR20" s="52">
        <v>8.8216629999999991</v>
      </c>
      <c r="LS20" s="52">
        <v>8.8216629999999991</v>
      </c>
      <c r="LT20" s="52">
        <v>8.8216629999999991</v>
      </c>
      <c r="LU20" s="52">
        <v>8.8216629999999991</v>
      </c>
      <c r="LV20" s="52">
        <v>8.8216629999999991</v>
      </c>
      <c r="LW20" s="52">
        <v>8.8216629999999991</v>
      </c>
      <c r="LX20" s="52">
        <v>8.8216629999999991</v>
      </c>
      <c r="LY20" s="52">
        <v>8.8216629999999991</v>
      </c>
      <c r="LZ20" s="52">
        <v>8.8216629999999991</v>
      </c>
      <c r="MA20" s="52">
        <v>8.8216629999999991</v>
      </c>
      <c r="MB20" s="52">
        <v>8.8216629999999991</v>
      </c>
      <c r="MC20" s="52">
        <v>8.8216629999999991</v>
      </c>
      <c r="MD20" s="52">
        <v>8.8216629999999991</v>
      </c>
      <c r="ME20" s="52">
        <v>8.8216629999999991</v>
      </c>
      <c r="MF20" s="52">
        <v>8.8216629999999991</v>
      </c>
      <c r="MG20" s="52">
        <v>8.8216629999999991</v>
      </c>
      <c r="MH20" s="52">
        <v>8.8216629999999991</v>
      </c>
      <c r="MI20" s="52">
        <v>8.8216629999999991</v>
      </c>
      <c r="MJ20" s="52">
        <v>8.8216629999999991</v>
      </c>
      <c r="MK20" s="52">
        <v>8.8216629999999991</v>
      </c>
      <c r="ML20" s="52">
        <v>8.8216629999999991</v>
      </c>
      <c r="MM20" s="52">
        <v>8.8216629999999991</v>
      </c>
      <c r="MN20" s="52">
        <v>8.8216629999999991</v>
      </c>
      <c r="MO20" s="52">
        <v>8.8216629999999991</v>
      </c>
      <c r="MP20" s="52">
        <v>8.8216629999999991</v>
      </c>
      <c r="MQ20" s="52">
        <v>8.8216629999999991</v>
      </c>
      <c r="MR20" s="52">
        <v>8.8216629999999991</v>
      </c>
      <c r="MS20" s="52">
        <v>8.8216629999999991</v>
      </c>
      <c r="MT20" s="52">
        <v>8.8216629999999991</v>
      </c>
      <c r="MU20" s="52">
        <v>8.8216629999999991</v>
      </c>
      <c r="MV20" s="52">
        <v>8.8216629999999991</v>
      </c>
      <c r="MW20" s="52">
        <v>8.8216629999999991</v>
      </c>
      <c r="MX20" s="52">
        <v>8.8216629999999991</v>
      </c>
      <c r="MY20" s="52">
        <v>8.8216629999999991</v>
      </c>
      <c r="MZ20" s="52">
        <v>8.8216629999999991</v>
      </c>
      <c r="NA20" s="52">
        <v>8.8216629999999991</v>
      </c>
      <c r="NB20" s="52">
        <v>8.8216629999999991</v>
      </c>
      <c r="NC20" s="52">
        <v>8.8216629999999991</v>
      </c>
      <c r="ND20" s="52">
        <v>8.8216629999999991</v>
      </c>
      <c r="NE20" s="37">
        <v>8.8216629999999991</v>
      </c>
      <c r="NF20" s="37">
        <v>8.8216629999999991</v>
      </c>
      <c r="NG20" s="37">
        <v>8.8216629999999991</v>
      </c>
      <c r="NH20" s="37">
        <v>8.8216629999999991</v>
      </c>
      <c r="NI20" s="37">
        <v>8.8216629999999991</v>
      </c>
      <c r="NJ20" s="37">
        <v>8.8216629999999991</v>
      </c>
      <c r="NK20" s="37">
        <v>8.8216629999999991</v>
      </c>
      <c r="NL20" s="37">
        <v>8.8216629999999991</v>
      </c>
      <c r="NM20" s="37">
        <v>8.8216629999999991</v>
      </c>
      <c r="NN20" s="37">
        <v>8.8216629999999991</v>
      </c>
      <c r="NO20" s="37">
        <v>8.8216629999999991</v>
      </c>
      <c r="NP20" s="37">
        <v>8.8216629999999991</v>
      </c>
      <c r="NQ20" s="37">
        <v>8.8216629999999991</v>
      </c>
      <c r="NR20" s="37">
        <v>8.8216629999999991</v>
      </c>
      <c r="NS20" s="37">
        <v>8.8216629999999991</v>
      </c>
      <c r="NT20" s="37">
        <v>8.8216629999999991</v>
      </c>
      <c r="NU20" s="37">
        <v>8.8216629999999991</v>
      </c>
      <c r="NV20" s="37">
        <v>8.8216629999999991</v>
      </c>
      <c r="NW20" s="37">
        <v>8.8216629999999991</v>
      </c>
      <c r="NX20" s="37">
        <v>8.8216629999999991</v>
      </c>
      <c r="NY20" s="37">
        <v>8.8216629999999991</v>
      </c>
      <c r="NZ20" s="37">
        <v>8.8216629999999991</v>
      </c>
      <c r="OA20" s="37">
        <v>8.8216629999999991</v>
      </c>
      <c r="OB20" s="37">
        <v>8.8216629999999991</v>
      </c>
      <c r="OC20" s="37">
        <v>8.8216629999999991</v>
      </c>
      <c r="OD20" s="37">
        <v>8.8216629999999991</v>
      </c>
      <c r="OE20" s="37">
        <v>8.8216629999999991</v>
      </c>
      <c r="OF20" s="37">
        <v>8.8216629999999991</v>
      </c>
      <c r="OG20" s="37">
        <v>8.8216629999999991</v>
      </c>
      <c r="OH20" s="37">
        <v>8.8216629999999991</v>
      </c>
      <c r="OI20" s="37">
        <v>8.8216629999999991</v>
      </c>
      <c r="OJ20" s="37">
        <v>8.8216629999999991</v>
      </c>
      <c r="OK20" s="37">
        <v>8.8216629999999991</v>
      </c>
      <c r="OL20" s="37">
        <v>8.8216629999999991</v>
      </c>
      <c r="OM20" s="37">
        <v>8.8216629999999991</v>
      </c>
      <c r="ON20" s="37">
        <v>8.8216629999999991</v>
      </c>
      <c r="OO20" s="37">
        <v>8.8216629999999991</v>
      </c>
      <c r="OP20" s="37">
        <v>8.8216629999999991</v>
      </c>
      <c r="OQ20" s="37">
        <v>8.8216629999999991</v>
      </c>
      <c r="OR20" s="37">
        <v>8.8216629999999991</v>
      </c>
      <c r="OS20" s="37">
        <v>8.8216629999999991</v>
      </c>
      <c r="OT20" s="37">
        <v>8.8216629999999991</v>
      </c>
      <c r="OU20" s="37">
        <v>8.8216629999999991</v>
      </c>
      <c r="OV20" s="37">
        <v>8.8216629999999991</v>
      </c>
      <c r="OW20" s="37">
        <v>8.8216629999999991</v>
      </c>
      <c r="OX20" s="37">
        <v>8.8216629999999991</v>
      </c>
      <c r="OY20" s="37">
        <v>8.8216629999999991</v>
      </c>
      <c r="OZ20" s="37">
        <v>8.8216629999999991</v>
      </c>
      <c r="PA20" s="37">
        <v>8.8216629999999991</v>
      </c>
      <c r="PB20" s="37">
        <v>8.8216629999999991</v>
      </c>
      <c r="PC20" s="37">
        <v>8.8216629999999991</v>
      </c>
      <c r="PD20" s="37">
        <v>8.8216629999999991</v>
      </c>
      <c r="PE20" s="37">
        <v>8.8216629999999991</v>
      </c>
      <c r="PF20" s="37">
        <v>8.8216629999999991</v>
      </c>
      <c r="PG20" s="37">
        <v>8.8216629999999991</v>
      </c>
      <c r="PH20" s="37">
        <v>8.8216629999999991</v>
      </c>
      <c r="PI20" s="37">
        <v>8.8216629999999991</v>
      </c>
      <c r="PJ20" s="37">
        <v>8.8216629999999991</v>
      </c>
      <c r="PK20" s="37">
        <v>8.8216629999999991</v>
      </c>
      <c r="PL20" s="37">
        <v>8.8216629999999991</v>
      </c>
      <c r="PM20" s="37">
        <v>8.8216629999999991</v>
      </c>
      <c r="PN20" s="37">
        <v>8.8216629999999991</v>
      </c>
      <c r="PO20" s="37">
        <v>8.8216629999999991</v>
      </c>
      <c r="PP20" s="37">
        <v>8.8216629999999991</v>
      </c>
      <c r="PQ20" s="37">
        <v>8.8216629999999991</v>
      </c>
      <c r="PR20" s="37">
        <v>8.8216629999999991</v>
      </c>
      <c r="PS20" s="15">
        <v>8.8216629999999991</v>
      </c>
      <c r="PT20" s="15">
        <v>8.8216629999999991</v>
      </c>
      <c r="PU20" s="15">
        <v>8.8216629999999991</v>
      </c>
      <c r="PV20" s="15">
        <v>8.8216629999999991</v>
      </c>
      <c r="PW20" s="15">
        <v>8.8216629999999991</v>
      </c>
      <c r="PX20" s="15">
        <v>8.8216629999999991</v>
      </c>
      <c r="PY20" s="15">
        <v>8.8216629999999991</v>
      </c>
      <c r="PZ20" s="15">
        <v>8.8216629999999991</v>
      </c>
      <c r="QA20" s="15">
        <v>8.8216629999999991</v>
      </c>
      <c r="QB20" s="15">
        <v>8.8216629999999991</v>
      </c>
      <c r="QC20" s="15">
        <v>8.8216629999999991</v>
      </c>
      <c r="QD20" s="15">
        <v>8.8216629999999991</v>
      </c>
      <c r="QE20" s="15">
        <v>8.8216629999999991</v>
      </c>
      <c r="QF20" s="15">
        <v>8.8216629999999991</v>
      </c>
      <c r="QG20" s="15">
        <v>8.8216629999999991</v>
      </c>
      <c r="QH20" s="15">
        <v>8.8216629999999991</v>
      </c>
      <c r="QI20" s="15">
        <v>8.8216629999999991</v>
      </c>
      <c r="QJ20" s="15">
        <v>8.8216629999999991</v>
      </c>
      <c r="QK20" s="15">
        <v>8.8216629999999991</v>
      </c>
      <c r="QL20" s="15">
        <v>8.8216629999999991</v>
      </c>
      <c r="QM20" s="15">
        <v>8.8216629999999991</v>
      </c>
      <c r="QN20" s="15">
        <v>8.8216629999999991</v>
      </c>
      <c r="QO20" s="15">
        <v>8.8216629999999991</v>
      </c>
      <c r="QP20" s="15">
        <v>8.8216629999999991</v>
      </c>
      <c r="QQ20" s="15">
        <v>8.8216629999999991</v>
      </c>
      <c r="QR20" s="15">
        <v>8.8216629999999991</v>
      </c>
      <c r="QS20" s="15">
        <v>8.8216629999999991</v>
      </c>
      <c r="QT20" s="15">
        <v>8.8216629999999991</v>
      </c>
      <c r="QU20" s="15">
        <v>8.8216629999999991</v>
      </c>
      <c r="QV20" s="15">
        <v>8.8216629999999991</v>
      </c>
      <c r="QW20" s="15">
        <v>8.8216629999999991</v>
      </c>
      <c r="QX20" s="15">
        <v>8.8216629999999991</v>
      </c>
      <c r="QY20" s="15">
        <v>8.8216629999999991</v>
      </c>
      <c r="QZ20" s="15">
        <v>8.8216629999999991</v>
      </c>
      <c r="RA20" s="15">
        <v>8.8216629999999991</v>
      </c>
      <c r="RB20" s="15">
        <v>8.8216629999999991</v>
      </c>
      <c r="RC20" s="15">
        <v>8.8216629999999991</v>
      </c>
      <c r="RD20" s="15">
        <v>8.8216629999999991</v>
      </c>
      <c r="RE20" s="15">
        <v>8.8216629999999991</v>
      </c>
      <c r="RF20" s="15">
        <v>8.8216629999999991</v>
      </c>
      <c r="RG20" s="15">
        <v>8.8216629999999991</v>
      </c>
      <c r="RH20" s="15">
        <v>8.8216629999999991</v>
      </c>
      <c r="RI20" s="15">
        <v>8.8216629999999991</v>
      </c>
      <c r="RJ20" s="15">
        <v>8.8216629999999991</v>
      </c>
      <c r="RK20" s="15">
        <v>8.8216629999999991</v>
      </c>
      <c r="RL20" s="15">
        <v>8.8216629999999991</v>
      </c>
      <c r="RM20" s="15">
        <v>8.8216629999999991</v>
      </c>
      <c r="RN20" s="15">
        <v>8.8216629999999991</v>
      </c>
      <c r="RO20" s="15">
        <v>8.8216629999999991</v>
      </c>
      <c r="RP20" s="15">
        <v>8.8216629999999991</v>
      </c>
      <c r="RQ20" s="15">
        <v>8.8216629999999991</v>
      </c>
      <c r="RR20" s="15">
        <v>8.8216629999999991</v>
      </c>
      <c r="RS20" s="15">
        <v>8.8216629999999991</v>
      </c>
      <c r="RT20" s="15">
        <v>8.8216629999999991</v>
      </c>
      <c r="RU20" s="15">
        <v>8.8216629999999991</v>
      </c>
      <c r="RV20" s="15">
        <v>8.8216629999999991</v>
      </c>
      <c r="RW20" s="15">
        <v>8.8216629999999991</v>
      </c>
      <c r="RX20" s="15">
        <v>8.8216629999999991</v>
      </c>
      <c r="RY20" s="15">
        <v>8.8216629999999991</v>
      </c>
      <c r="RZ20" s="15">
        <v>8.8216629999999991</v>
      </c>
      <c r="SA20" s="15">
        <v>8.8216629999999991</v>
      </c>
      <c r="SB20" s="15">
        <v>8.8216629999999991</v>
      </c>
      <c r="SC20" s="15">
        <v>8.8216629999999991</v>
      </c>
      <c r="SD20" s="15">
        <v>8.8216629999999991</v>
      </c>
      <c r="SE20" s="15">
        <v>8.8216629999999991</v>
      </c>
      <c r="SF20" s="15">
        <v>8.8216629999999991</v>
      </c>
      <c r="SG20" s="15">
        <v>8.8216629999999991</v>
      </c>
      <c r="SH20" s="15">
        <v>8.8216629999999991</v>
      </c>
      <c r="SI20" s="15">
        <v>8.8216629999999991</v>
      </c>
      <c r="SJ20" s="15">
        <v>8.7904689999999999</v>
      </c>
      <c r="SK20" s="15" t="s">
        <v>668</v>
      </c>
      <c r="SL20" s="15" t="s">
        <v>668</v>
      </c>
    </row>
    <row r="21" spans="1:506" x14ac:dyDescent="0.2">
      <c r="A21" s="37">
        <v>19</v>
      </c>
      <c r="B21" s="15" t="s">
        <v>551</v>
      </c>
      <c r="C21" s="17">
        <f>+'Detalle Compras'!D21</f>
        <v>202506050023</v>
      </c>
      <c r="D21" s="55">
        <f t="shared" si="13"/>
        <v>11.592129999999999</v>
      </c>
      <c r="E21" s="14">
        <f>+IF(B21="","",'Detalle Compras'!S21+0)</f>
        <v>45879</v>
      </c>
      <c r="F21" s="14">
        <f>+IF(B21="","",EOMONTH('Detalle Compras'!S21,G21)+10)</f>
        <v>56867</v>
      </c>
      <c r="G21" s="50">
        <f t="shared" si="14"/>
        <v>360</v>
      </c>
      <c r="H21" s="50">
        <f t="shared" si="15"/>
        <v>354</v>
      </c>
      <c r="I21" s="52"/>
      <c r="J21" s="52"/>
      <c r="K21" s="52"/>
      <c r="L21" s="52"/>
      <c r="M21" s="52"/>
      <c r="N21" s="52"/>
      <c r="O21" s="52"/>
      <c r="P21" s="52"/>
      <c r="Q21" s="52"/>
      <c r="R21" s="52"/>
      <c r="S21" s="52"/>
      <c r="T21" s="52"/>
      <c r="U21" s="52"/>
      <c r="V21" s="52"/>
      <c r="W21" s="52"/>
      <c r="X21" s="52"/>
      <c r="Y21" s="52">
        <v>0</v>
      </c>
      <c r="Z21" s="52">
        <v>11.592129999999999</v>
      </c>
      <c r="AA21" s="52">
        <v>11.592129999999999</v>
      </c>
      <c r="AB21" s="52">
        <v>11.592129999999999</v>
      </c>
      <c r="AC21" s="52">
        <v>11.592129999999999</v>
      </c>
      <c r="AD21" s="52">
        <v>11.592129999999999</v>
      </c>
      <c r="AE21" s="52">
        <v>11.592129999999999</v>
      </c>
      <c r="AF21" s="52">
        <v>11.592129999999999</v>
      </c>
      <c r="AG21" s="52">
        <v>11.592129999999999</v>
      </c>
      <c r="AH21" s="52">
        <v>11.592129999999999</v>
      </c>
      <c r="AI21" s="52">
        <v>11.592129999999999</v>
      </c>
      <c r="AJ21" s="52">
        <v>11.592129999999999</v>
      </c>
      <c r="AK21" s="52">
        <v>11.592129999999999</v>
      </c>
      <c r="AL21" s="52">
        <v>11.592129999999999</v>
      </c>
      <c r="AM21" s="52">
        <v>11.592129999999999</v>
      </c>
      <c r="AN21" s="52">
        <v>11.592129999999999</v>
      </c>
      <c r="AO21" s="52">
        <v>11.592129999999999</v>
      </c>
      <c r="AP21" s="52">
        <v>11.592129999999999</v>
      </c>
      <c r="AQ21" s="52">
        <v>11.592129999999999</v>
      </c>
      <c r="AR21" s="52">
        <v>11.592129999999999</v>
      </c>
      <c r="AS21" s="52">
        <v>11.592129999999999</v>
      </c>
      <c r="AT21" s="52">
        <v>11.592129999999999</v>
      </c>
      <c r="AU21" s="52">
        <v>11.592129999999999</v>
      </c>
      <c r="AV21" s="52">
        <v>11.592129999999999</v>
      </c>
      <c r="AW21" s="52">
        <v>11.592129999999999</v>
      </c>
      <c r="AX21" s="52">
        <v>11.592129999999999</v>
      </c>
      <c r="AY21" s="52">
        <v>11.592129999999999</v>
      </c>
      <c r="AZ21" s="52">
        <v>11.592129999999999</v>
      </c>
      <c r="BA21" s="52">
        <v>11.592129999999999</v>
      </c>
      <c r="BB21" s="52">
        <v>11.592129999999999</v>
      </c>
      <c r="BC21" s="52">
        <v>11.592129999999999</v>
      </c>
      <c r="BD21" s="52">
        <v>11.592129999999999</v>
      </c>
      <c r="BE21" s="52">
        <v>11.592129999999999</v>
      </c>
      <c r="BF21" s="52">
        <v>11.592129999999999</v>
      </c>
      <c r="BG21" s="52">
        <v>11.592129999999999</v>
      </c>
      <c r="BH21" s="52">
        <v>11.592129999999999</v>
      </c>
      <c r="BI21" s="52">
        <v>11.592129999999999</v>
      </c>
      <c r="BJ21" s="52">
        <v>11.592129999999999</v>
      </c>
      <c r="BK21" s="52">
        <v>11.592129999999999</v>
      </c>
      <c r="BL21" s="52">
        <v>11.592129999999999</v>
      </c>
      <c r="BM21" s="52">
        <v>11.592129999999999</v>
      </c>
      <c r="BN21" s="52">
        <v>11.592129999999999</v>
      </c>
      <c r="BO21" s="52">
        <v>11.592129999999999</v>
      </c>
      <c r="BP21" s="52">
        <v>11.592129999999999</v>
      </c>
      <c r="BQ21" s="52">
        <v>11.592129999999999</v>
      </c>
      <c r="BR21" s="52">
        <v>11.592129999999999</v>
      </c>
      <c r="BS21" s="52">
        <v>11.592129999999999</v>
      </c>
      <c r="BT21" s="52">
        <v>11.592129999999999</v>
      </c>
      <c r="BU21" s="52">
        <v>11.592129999999999</v>
      </c>
      <c r="BV21" s="52">
        <v>11.592129999999999</v>
      </c>
      <c r="BW21" s="52">
        <v>11.592129999999999</v>
      </c>
      <c r="BX21" s="52">
        <v>11.592129999999999</v>
      </c>
      <c r="BY21" s="52">
        <v>11.592129999999999</v>
      </c>
      <c r="BZ21" s="52">
        <v>11.592129999999999</v>
      </c>
      <c r="CA21" s="52">
        <v>11.592129999999999</v>
      </c>
      <c r="CB21" s="52">
        <v>11.592129999999999</v>
      </c>
      <c r="CC21" s="52">
        <v>11.592129999999999</v>
      </c>
      <c r="CD21" s="52">
        <v>11.592129999999999</v>
      </c>
      <c r="CE21" s="52">
        <v>11.592129999999999</v>
      </c>
      <c r="CF21" s="52">
        <v>11.592129999999999</v>
      </c>
      <c r="CG21" s="52">
        <v>11.592129999999999</v>
      </c>
      <c r="CH21" s="52">
        <v>11.592129999999999</v>
      </c>
      <c r="CI21" s="52">
        <v>11.592129999999999</v>
      </c>
      <c r="CJ21" s="52">
        <v>11.592129999999999</v>
      </c>
      <c r="CK21" s="52">
        <v>11.592129999999999</v>
      </c>
      <c r="CL21" s="52">
        <v>11.592129999999999</v>
      </c>
      <c r="CM21" s="52">
        <v>11.592129999999999</v>
      </c>
      <c r="CN21" s="52">
        <v>11.592129999999999</v>
      </c>
      <c r="CO21" s="52">
        <v>11.592129999999999</v>
      </c>
      <c r="CP21" s="52">
        <v>11.592129999999999</v>
      </c>
      <c r="CQ21" s="52">
        <v>11.592129999999999</v>
      </c>
      <c r="CR21" s="52">
        <v>11.592129999999999</v>
      </c>
      <c r="CS21" s="52">
        <v>11.592129999999999</v>
      </c>
      <c r="CT21" s="52">
        <v>11.592129999999999</v>
      </c>
      <c r="CU21" s="52">
        <v>11.592129999999999</v>
      </c>
      <c r="CV21" s="52">
        <v>11.592129999999999</v>
      </c>
      <c r="CW21" s="52">
        <v>11.592129999999999</v>
      </c>
      <c r="CX21" s="52">
        <v>11.592129999999999</v>
      </c>
      <c r="CY21" s="52">
        <v>11.592129999999999</v>
      </c>
      <c r="CZ21" s="52">
        <v>11.592129999999999</v>
      </c>
      <c r="DA21" s="52">
        <v>11.592129999999999</v>
      </c>
      <c r="DB21" s="52">
        <v>11.592129999999999</v>
      </c>
      <c r="DC21" s="52">
        <v>11.592129999999999</v>
      </c>
      <c r="DD21" s="52">
        <v>11.592129999999999</v>
      </c>
      <c r="DE21" s="52">
        <v>11.592129999999999</v>
      </c>
      <c r="DF21" s="52">
        <v>11.592129999999999</v>
      </c>
      <c r="DG21" s="52">
        <v>11.592129999999999</v>
      </c>
      <c r="DH21" s="52">
        <v>11.592129999999999</v>
      </c>
      <c r="DI21" s="52">
        <v>11.592129999999999</v>
      </c>
      <c r="DJ21" s="52">
        <v>11.592129999999999</v>
      </c>
      <c r="DK21" s="52">
        <v>11.592129999999999</v>
      </c>
      <c r="DL21" s="52">
        <v>11.592129999999999</v>
      </c>
      <c r="DM21" s="52">
        <v>11.592129999999999</v>
      </c>
      <c r="DN21" s="52">
        <v>11.592129999999999</v>
      </c>
      <c r="DO21" s="52">
        <v>11.592129999999999</v>
      </c>
      <c r="DP21" s="52">
        <v>11.592129999999999</v>
      </c>
      <c r="DQ21" s="52">
        <v>11.592129999999999</v>
      </c>
      <c r="DR21" s="52">
        <v>11.592129999999999</v>
      </c>
      <c r="DS21" s="52">
        <v>11.592129999999999</v>
      </c>
      <c r="DT21" s="52">
        <v>11.592129999999999</v>
      </c>
      <c r="DU21" s="52">
        <v>11.592129999999999</v>
      </c>
      <c r="DV21" s="52">
        <v>11.592129999999999</v>
      </c>
      <c r="DW21" s="52">
        <v>11.592129999999999</v>
      </c>
      <c r="DX21" s="52">
        <v>11.592129999999999</v>
      </c>
      <c r="DY21" s="52">
        <v>11.592129999999999</v>
      </c>
      <c r="DZ21" s="52">
        <v>11.592129999999999</v>
      </c>
      <c r="EA21" s="52">
        <v>11.592129999999999</v>
      </c>
      <c r="EB21" s="52">
        <v>11.592129999999999</v>
      </c>
      <c r="EC21" s="52">
        <v>11.592129999999999</v>
      </c>
      <c r="ED21" s="52">
        <v>11.592129999999999</v>
      </c>
      <c r="EE21" s="52">
        <v>11.592129999999999</v>
      </c>
      <c r="EF21" s="52">
        <v>11.592129999999999</v>
      </c>
      <c r="EG21" s="52">
        <v>11.592129999999999</v>
      </c>
      <c r="EH21" s="52">
        <v>11.592129999999999</v>
      </c>
      <c r="EI21" s="52">
        <v>11.592129999999999</v>
      </c>
      <c r="EJ21" s="52">
        <v>11.592129999999999</v>
      </c>
      <c r="EK21" s="52">
        <v>11.592129999999999</v>
      </c>
      <c r="EL21" s="52">
        <v>11.592129999999999</v>
      </c>
      <c r="EM21" s="52">
        <v>11.592129999999999</v>
      </c>
      <c r="EN21" s="52">
        <v>11.592129999999999</v>
      </c>
      <c r="EO21" s="52">
        <v>11.592129999999999</v>
      </c>
      <c r="EP21" s="52">
        <v>11.592129999999999</v>
      </c>
      <c r="EQ21" s="52">
        <v>11.592129999999999</v>
      </c>
      <c r="ER21" s="52">
        <v>11.592129999999999</v>
      </c>
      <c r="ES21" s="52">
        <v>11.592129999999999</v>
      </c>
      <c r="ET21" s="52">
        <v>11.592129999999999</v>
      </c>
      <c r="EU21" s="52">
        <v>11.592129999999999</v>
      </c>
      <c r="EV21" s="52">
        <v>11.592129999999999</v>
      </c>
      <c r="EW21" s="52">
        <v>11.592129999999999</v>
      </c>
      <c r="EX21" s="52">
        <v>11.592129999999999</v>
      </c>
      <c r="EY21" s="52">
        <v>11.592129999999999</v>
      </c>
      <c r="EZ21" s="52">
        <v>11.592129999999999</v>
      </c>
      <c r="FA21" s="52">
        <v>11.592129999999999</v>
      </c>
      <c r="FB21" s="52">
        <v>11.592129999999999</v>
      </c>
      <c r="FC21" s="52">
        <v>11.592129999999999</v>
      </c>
      <c r="FD21" s="52">
        <v>11.592129999999999</v>
      </c>
      <c r="FE21" s="52">
        <v>11.592129999999999</v>
      </c>
      <c r="FF21" s="52">
        <v>11.592129999999999</v>
      </c>
      <c r="FG21" s="52">
        <v>11.592129999999999</v>
      </c>
      <c r="FH21" s="52">
        <v>11.592129999999999</v>
      </c>
      <c r="FI21" s="52">
        <v>11.592129999999999</v>
      </c>
      <c r="FJ21" s="52">
        <v>11.592129999999999</v>
      </c>
      <c r="FK21" s="52">
        <v>11.592129999999999</v>
      </c>
      <c r="FL21" s="52">
        <v>11.592129999999999</v>
      </c>
      <c r="FM21" s="52">
        <v>11.592129999999999</v>
      </c>
      <c r="FN21" s="52">
        <v>11.592129999999999</v>
      </c>
      <c r="FO21" s="52">
        <v>11.592129999999999</v>
      </c>
      <c r="FP21" s="52">
        <v>11.592129999999999</v>
      </c>
      <c r="FQ21" s="52">
        <v>11.592129999999999</v>
      </c>
      <c r="FR21" s="52">
        <v>11.592129999999999</v>
      </c>
      <c r="FS21" s="52">
        <v>11.592129999999999</v>
      </c>
      <c r="FT21" s="52">
        <v>11.592129999999999</v>
      </c>
      <c r="FU21" s="52">
        <v>11.592129999999999</v>
      </c>
      <c r="FV21" s="52">
        <v>11.592129999999999</v>
      </c>
      <c r="FW21" s="52">
        <v>11.592129999999999</v>
      </c>
      <c r="FX21" s="52">
        <v>11.592129999999999</v>
      </c>
      <c r="FY21" s="52">
        <v>11.592129999999999</v>
      </c>
      <c r="FZ21" s="52">
        <v>11.592129999999999</v>
      </c>
      <c r="GA21" s="52">
        <v>11.592129999999999</v>
      </c>
      <c r="GB21" s="52">
        <v>11.592129999999999</v>
      </c>
      <c r="GC21" s="52">
        <v>11.592129999999999</v>
      </c>
      <c r="GD21" s="52">
        <v>11.592129999999999</v>
      </c>
      <c r="GE21" s="52">
        <v>11.592129999999999</v>
      </c>
      <c r="GF21" s="52">
        <v>11.592129999999999</v>
      </c>
      <c r="GG21" s="52">
        <v>11.592129999999999</v>
      </c>
      <c r="GH21" s="52">
        <v>11.592129999999999</v>
      </c>
      <c r="GI21" s="52">
        <v>11.592129999999999</v>
      </c>
      <c r="GJ21" s="52">
        <v>11.592129999999999</v>
      </c>
      <c r="GK21" s="52">
        <v>11.592129999999999</v>
      </c>
      <c r="GL21" s="52">
        <v>11.592129999999999</v>
      </c>
      <c r="GM21" s="52">
        <v>11.592129999999999</v>
      </c>
      <c r="GN21" s="52">
        <v>11.592129999999999</v>
      </c>
      <c r="GO21" s="52">
        <v>11.592129999999999</v>
      </c>
      <c r="GP21" s="52">
        <v>11.592129999999999</v>
      </c>
      <c r="GQ21" s="52">
        <v>11.592129999999999</v>
      </c>
      <c r="GR21" s="52">
        <v>11.592129999999999</v>
      </c>
      <c r="GS21" s="52">
        <v>11.592129999999999</v>
      </c>
      <c r="GT21" s="52">
        <v>11.592129999999999</v>
      </c>
      <c r="GU21" s="52">
        <v>11.592129999999999</v>
      </c>
      <c r="GV21" s="52">
        <v>11.592129999999999</v>
      </c>
      <c r="GW21" s="52">
        <v>11.592129999999999</v>
      </c>
      <c r="GX21" s="52">
        <v>11.592129999999999</v>
      </c>
      <c r="GY21" s="52">
        <v>11.592129999999999</v>
      </c>
      <c r="GZ21" s="52">
        <v>11.592129999999999</v>
      </c>
      <c r="HA21" s="52">
        <v>11.592129999999999</v>
      </c>
      <c r="HB21" s="52">
        <v>11.592129999999999</v>
      </c>
      <c r="HC21" s="52">
        <v>11.592129999999999</v>
      </c>
      <c r="HD21" s="52">
        <v>11.592129999999999</v>
      </c>
      <c r="HE21" s="52">
        <v>11.592129999999999</v>
      </c>
      <c r="HF21" s="52">
        <v>11.592129999999999</v>
      </c>
      <c r="HG21" s="52">
        <v>11.592129999999999</v>
      </c>
      <c r="HH21" s="52">
        <v>11.592129999999999</v>
      </c>
      <c r="HI21" s="52">
        <v>11.592129999999999</v>
      </c>
      <c r="HJ21" s="52">
        <v>11.592129999999999</v>
      </c>
      <c r="HK21" s="52">
        <v>11.592129999999999</v>
      </c>
      <c r="HL21" s="52">
        <v>11.592129999999999</v>
      </c>
      <c r="HM21" s="52">
        <v>11.592129999999999</v>
      </c>
      <c r="HN21" s="52">
        <v>11.592129999999999</v>
      </c>
      <c r="HO21" s="52">
        <v>11.592129999999999</v>
      </c>
      <c r="HP21" s="52">
        <v>11.592129999999999</v>
      </c>
      <c r="HQ21" s="52">
        <v>11.592129999999999</v>
      </c>
      <c r="HR21" s="52">
        <v>11.592129999999999</v>
      </c>
      <c r="HS21" s="52">
        <v>11.592129999999999</v>
      </c>
      <c r="HT21" s="52">
        <v>11.592129999999999</v>
      </c>
      <c r="HU21" s="52">
        <v>11.592129999999999</v>
      </c>
      <c r="HV21" s="52">
        <v>11.592129999999999</v>
      </c>
      <c r="HW21" s="52">
        <v>11.592129999999999</v>
      </c>
      <c r="HX21" s="52">
        <v>11.592129999999999</v>
      </c>
      <c r="HY21" s="52">
        <v>11.592129999999999</v>
      </c>
      <c r="HZ21" s="52">
        <v>11.592129999999999</v>
      </c>
      <c r="IA21" s="52">
        <v>11.592129999999999</v>
      </c>
      <c r="IB21" s="52">
        <v>11.592129999999999</v>
      </c>
      <c r="IC21" s="52">
        <v>11.592129999999999</v>
      </c>
      <c r="ID21" s="52">
        <v>11.592129999999999</v>
      </c>
      <c r="IE21" s="52">
        <v>11.592129999999999</v>
      </c>
      <c r="IF21" s="52">
        <v>11.592129999999999</v>
      </c>
      <c r="IG21" s="52">
        <v>11.592129999999999</v>
      </c>
      <c r="IH21" s="52">
        <v>11.592129999999999</v>
      </c>
      <c r="II21" s="52">
        <v>11.592129999999999</v>
      </c>
      <c r="IJ21" s="52">
        <v>11.592129999999999</v>
      </c>
      <c r="IK21" s="52">
        <v>11.592129999999999</v>
      </c>
      <c r="IL21" s="52">
        <v>11.592129999999999</v>
      </c>
      <c r="IM21" s="52">
        <v>11.592129999999999</v>
      </c>
      <c r="IN21" s="52">
        <v>11.592129999999999</v>
      </c>
      <c r="IO21" s="52">
        <v>11.592129999999999</v>
      </c>
      <c r="IP21" s="52">
        <v>11.592129999999999</v>
      </c>
      <c r="IQ21" s="52">
        <v>11.592129999999999</v>
      </c>
      <c r="IR21" s="52">
        <v>11.592129999999999</v>
      </c>
      <c r="IS21" s="52">
        <v>11.592129999999999</v>
      </c>
      <c r="IT21" s="52">
        <v>11.592129999999999</v>
      </c>
      <c r="IU21" s="52">
        <v>11.592129999999999</v>
      </c>
      <c r="IV21" s="52">
        <v>11.592129999999999</v>
      </c>
      <c r="IW21" s="52">
        <v>11.592129999999999</v>
      </c>
      <c r="IX21" s="52">
        <v>11.592129999999999</v>
      </c>
      <c r="IY21" s="52">
        <v>11.592129999999999</v>
      </c>
      <c r="IZ21" s="52">
        <v>11.592129999999999</v>
      </c>
      <c r="JA21" s="52">
        <v>11.592129999999999</v>
      </c>
      <c r="JB21" s="52">
        <v>11.592129999999999</v>
      </c>
      <c r="JC21" s="52">
        <v>11.592129999999999</v>
      </c>
      <c r="JD21" s="52">
        <v>11.592129999999999</v>
      </c>
      <c r="JE21" s="52">
        <v>11.592129999999999</v>
      </c>
      <c r="JF21" s="52">
        <v>11.592129999999999</v>
      </c>
      <c r="JG21" s="52">
        <v>11.592129999999999</v>
      </c>
      <c r="JH21" s="52">
        <v>11.592129999999999</v>
      </c>
      <c r="JI21" s="52">
        <v>11.592129999999999</v>
      </c>
      <c r="JJ21" s="52">
        <v>11.592129999999999</v>
      </c>
      <c r="JK21" s="52">
        <v>11.592129999999999</v>
      </c>
      <c r="JL21" s="52">
        <v>11.592129999999999</v>
      </c>
      <c r="JM21" s="52">
        <v>11.592129999999999</v>
      </c>
      <c r="JN21" s="52">
        <v>11.592129999999999</v>
      </c>
      <c r="JO21" s="52">
        <v>11.592129999999999</v>
      </c>
      <c r="JP21" s="52">
        <v>11.592129999999999</v>
      </c>
      <c r="JQ21" s="52">
        <v>11.592129999999999</v>
      </c>
      <c r="JR21" s="52">
        <v>11.592129999999999</v>
      </c>
      <c r="JS21" s="52">
        <v>11.592129999999999</v>
      </c>
      <c r="JT21" s="52">
        <v>11.592129999999999</v>
      </c>
      <c r="JU21" s="52">
        <v>11.592129999999999</v>
      </c>
      <c r="JV21" s="52">
        <v>11.592129999999999</v>
      </c>
      <c r="JW21" s="52">
        <v>11.592129999999999</v>
      </c>
      <c r="JX21" s="52">
        <v>11.592129999999999</v>
      </c>
      <c r="JY21" s="52">
        <v>11.592129999999999</v>
      </c>
      <c r="JZ21" s="52">
        <v>11.592129999999999</v>
      </c>
      <c r="KA21" s="52">
        <v>11.592129999999999</v>
      </c>
      <c r="KB21" s="52">
        <v>11.592129999999999</v>
      </c>
      <c r="KC21" s="52">
        <v>11.592129999999999</v>
      </c>
      <c r="KD21" s="52">
        <v>11.592129999999999</v>
      </c>
      <c r="KE21" s="52">
        <v>11.592129999999999</v>
      </c>
      <c r="KF21" s="52">
        <v>11.592129999999999</v>
      </c>
      <c r="KG21" s="52">
        <v>11.592129999999999</v>
      </c>
      <c r="KH21" s="52">
        <v>11.592129999999999</v>
      </c>
      <c r="KI21" s="52">
        <v>11.592129999999999</v>
      </c>
      <c r="KJ21" s="52">
        <v>11.592129999999999</v>
      </c>
      <c r="KK21" s="52">
        <v>11.592129999999999</v>
      </c>
      <c r="KL21" s="52">
        <v>11.592129999999999</v>
      </c>
      <c r="KM21" s="52">
        <v>11.592129999999999</v>
      </c>
      <c r="KN21" s="52">
        <v>11.592129999999999</v>
      </c>
      <c r="KO21" s="52">
        <v>11.592129999999999</v>
      </c>
      <c r="KP21" s="52">
        <v>11.592129999999999</v>
      </c>
      <c r="KQ21" s="52">
        <v>11.592129999999999</v>
      </c>
      <c r="KR21" s="52">
        <v>11.592129999999999</v>
      </c>
      <c r="KS21" s="52">
        <v>11.592129999999999</v>
      </c>
      <c r="KT21" s="52">
        <v>11.592129999999999</v>
      </c>
      <c r="KU21" s="52">
        <v>11.592129999999999</v>
      </c>
      <c r="KV21" s="52">
        <v>11.592129999999999</v>
      </c>
      <c r="KW21" s="52">
        <v>11.592129999999999</v>
      </c>
      <c r="KX21" s="52">
        <v>11.592129999999999</v>
      </c>
      <c r="KY21" s="52">
        <v>11.592129999999999</v>
      </c>
      <c r="KZ21" s="52">
        <v>11.592129999999999</v>
      </c>
      <c r="LA21" s="52">
        <v>11.592129999999999</v>
      </c>
      <c r="LB21" s="52">
        <v>11.592129999999999</v>
      </c>
      <c r="LC21" s="52">
        <v>11.592129999999999</v>
      </c>
      <c r="LD21" s="52">
        <v>11.592129999999999</v>
      </c>
      <c r="LE21" s="52">
        <v>11.592129999999999</v>
      </c>
      <c r="LF21" s="52">
        <v>11.592129999999999</v>
      </c>
      <c r="LG21" s="52">
        <v>11.592129999999999</v>
      </c>
      <c r="LH21" s="52">
        <v>11.592129999999999</v>
      </c>
      <c r="LI21" s="52">
        <v>11.592129999999999</v>
      </c>
      <c r="LJ21" s="52">
        <v>11.592129999999999</v>
      </c>
      <c r="LK21" s="52">
        <v>11.592129999999999</v>
      </c>
      <c r="LL21" s="52">
        <v>11.592129999999999</v>
      </c>
      <c r="LM21" s="52">
        <v>11.592129999999999</v>
      </c>
      <c r="LN21" s="52">
        <v>11.592129999999999</v>
      </c>
      <c r="LO21" s="52">
        <v>11.592129999999999</v>
      </c>
      <c r="LP21" s="52">
        <v>11.592129999999999</v>
      </c>
      <c r="LQ21" s="52">
        <v>11.592129999999999</v>
      </c>
      <c r="LR21" s="52">
        <v>11.592129999999999</v>
      </c>
      <c r="LS21" s="52">
        <v>11.592129999999999</v>
      </c>
      <c r="LT21" s="52">
        <v>11.592129999999999</v>
      </c>
      <c r="LU21" s="52">
        <v>11.592129999999999</v>
      </c>
      <c r="LV21" s="52">
        <v>11.592129999999999</v>
      </c>
      <c r="LW21" s="52">
        <v>11.592129999999999</v>
      </c>
      <c r="LX21" s="52">
        <v>11.592129999999999</v>
      </c>
      <c r="LY21" s="52">
        <v>11.592129999999999</v>
      </c>
      <c r="LZ21" s="52">
        <v>11.592129999999999</v>
      </c>
      <c r="MA21" s="52">
        <v>11.592129999999999</v>
      </c>
      <c r="MB21" s="52">
        <v>11.592129999999999</v>
      </c>
      <c r="MC21" s="52">
        <v>11.592129999999999</v>
      </c>
      <c r="MD21" s="52">
        <v>11.592129999999999</v>
      </c>
      <c r="ME21" s="52">
        <v>11.592129999999999</v>
      </c>
      <c r="MF21" s="52">
        <v>11.592129999999999</v>
      </c>
      <c r="MG21" s="52">
        <v>11.592129999999999</v>
      </c>
      <c r="MH21" s="52">
        <v>11.592129999999999</v>
      </c>
      <c r="MI21" s="52">
        <v>11.592129999999999</v>
      </c>
      <c r="MJ21" s="52">
        <v>11.592129999999999</v>
      </c>
      <c r="MK21" s="52">
        <v>11.592129999999999</v>
      </c>
      <c r="ML21" s="52">
        <v>11.592129999999999</v>
      </c>
      <c r="MM21" s="52">
        <v>11.592129999999999</v>
      </c>
      <c r="MN21" s="52">
        <v>11.592129999999999</v>
      </c>
      <c r="MO21" s="52">
        <v>11.592129999999999</v>
      </c>
      <c r="MP21" s="52">
        <v>11.592129999999999</v>
      </c>
      <c r="MQ21" s="52">
        <v>11.592129999999999</v>
      </c>
      <c r="MR21" s="52">
        <v>11.592129999999999</v>
      </c>
      <c r="MS21" s="52">
        <v>11.592129999999999</v>
      </c>
      <c r="MT21" s="52">
        <v>11.592129999999999</v>
      </c>
      <c r="MU21" s="52">
        <v>11.592129999999999</v>
      </c>
      <c r="MV21" s="52">
        <v>11.592129999999999</v>
      </c>
      <c r="MW21" s="52">
        <v>11.592129999999999</v>
      </c>
      <c r="MX21" s="52">
        <v>11.592129999999999</v>
      </c>
      <c r="MY21" s="52">
        <v>11.592129999999999</v>
      </c>
      <c r="MZ21" s="52">
        <v>11.592129999999999</v>
      </c>
      <c r="NA21" s="52">
        <v>11.592129999999999</v>
      </c>
      <c r="NB21" s="52">
        <v>11.592129999999999</v>
      </c>
      <c r="NC21" s="52">
        <v>11.592129999999999</v>
      </c>
      <c r="ND21" s="52">
        <v>11.592129999999999</v>
      </c>
      <c r="NE21" s="52">
        <v>11.592129999999999</v>
      </c>
      <c r="NF21" s="37">
        <v>11.592129999999999</v>
      </c>
      <c r="NG21" s="37">
        <v>11.592129999999999</v>
      </c>
      <c r="NH21" s="37">
        <v>11.592129999999999</v>
      </c>
      <c r="NI21" s="37">
        <v>11.592129999999999</v>
      </c>
      <c r="NJ21" s="37">
        <v>11.592129999999999</v>
      </c>
      <c r="NK21" s="37">
        <v>11.592129999999999</v>
      </c>
      <c r="NL21" s="37">
        <v>11.592129999999999</v>
      </c>
      <c r="NM21" s="37">
        <v>11.592129999999999</v>
      </c>
      <c r="NN21" s="37">
        <v>11.592129999999999</v>
      </c>
      <c r="NO21" s="37">
        <v>11.592129999999999</v>
      </c>
      <c r="NP21" s="37">
        <v>11.592129999999999</v>
      </c>
      <c r="NQ21" s="37">
        <v>11.592129999999999</v>
      </c>
      <c r="NR21" s="37">
        <v>11.592129999999999</v>
      </c>
      <c r="NS21" s="37">
        <v>11.592129999999999</v>
      </c>
      <c r="NT21" s="37">
        <v>11.592129999999999</v>
      </c>
      <c r="NU21" s="37">
        <v>11.42009</v>
      </c>
      <c r="NV21" s="37" t="s">
        <v>668</v>
      </c>
      <c r="NW21" s="37" t="s">
        <v>668</v>
      </c>
      <c r="NX21" s="37" t="s">
        <v>668</v>
      </c>
      <c r="NY21" s="37" t="s">
        <v>668</v>
      </c>
      <c r="NZ21" s="37" t="s">
        <v>668</v>
      </c>
      <c r="OA21" s="37" t="s">
        <v>668</v>
      </c>
      <c r="OB21" s="37" t="s">
        <v>668</v>
      </c>
      <c r="OC21" s="37" t="s">
        <v>668</v>
      </c>
      <c r="OD21" s="37" t="s">
        <v>668</v>
      </c>
      <c r="OE21" s="37" t="s">
        <v>668</v>
      </c>
      <c r="OF21" s="37" t="s">
        <v>668</v>
      </c>
      <c r="OG21" s="37" t="s">
        <v>668</v>
      </c>
      <c r="OH21" s="37" t="s">
        <v>668</v>
      </c>
      <c r="OI21" s="37" t="s">
        <v>668</v>
      </c>
      <c r="OJ21" s="37" t="s">
        <v>668</v>
      </c>
      <c r="OK21" s="37" t="s">
        <v>668</v>
      </c>
      <c r="OL21" s="37" t="s">
        <v>668</v>
      </c>
      <c r="OM21" s="37" t="s">
        <v>668</v>
      </c>
      <c r="ON21" s="37" t="s">
        <v>668</v>
      </c>
      <c r="OO21" s="37" t="s">
        <v>668</v>
      </c>
      <c r="OP21" s="37" t="s">
        <v>668</v>
      </c>
      <c r="OQ21" s="37" t="s">
        <v>668</v>
      </c>
      <c r="OR21" s="37" t="s">
        <v>668</v>
      </c>
      <c r="OS21" s="37" t="s">
        <v>668</v>
      </c>
      <c r="OT21" s="37" t="s">
        <v>668</v>
      </c>
      <c r="OU21" s="37" t="s">
        <v>668</v>
      </c>
      <c r="OV21" s="37" t="s">
        <v>668</v>
      </c>
      <c r="OW21" s="37" t="s">
        <v>668</v>
      </c>
      <c r="OX21" s="37" t="s">
        <v>668</v>
      </c>
      <c r="OY21" s="37" t="s">
        <v>668</v>
      </c>
      <c r="OZ21" s="37" t="s">
        <v>668</v>
      </c>
      <c r="PA21" s="37" t="s">
        <v>668</v>
      </c>
      <c r="PB21" s="37" t="s">
        <v>668</v>
      </c>
      <c r="PC21" s="37" t="s">
        <v>668</v>
      </c>
      <c r="PD21" s="37" t="s">
        <v>668</v>
      </c>
      <c r="PE21" s="37" t="s">
        <v>668</v>
      </c>
      <c r="PF21" s="37" t="s">
        <v>668</v>
      </c>
      <c r="PG21" s="37" t="s">
        <v>668</v>
      </c>
      <c r="PH21" s="37" t="s">
        <v>668</v>
      </c>
      <c r="PI21" s="37" t="s">
        <v>668</v>
      </c>
      <c r="PJ21" s="37" t="s">
        <v>668</v>
      </c>
      <c r="PK21" s="37" t="s">
        <v>668</v>
      </c>
      <c r="PL21" s="37" t="s">
        <v>668</v>
      </c>
      <c r="PM21" s="37" t="s">
        <v>668</v>
      </c>
      <c r="PN21" s="37" t="s">
        <v>668</v>
      </c>
      <c r="PO21" s="37" t="s">
        <v>668</v>
      </c>
      <c r="PP21" s="37" t="s">
        <v>668</v>
      </c>
      <c r="PQ21" s="37" t="s">
        <v>668</v>
      </c>
      <c r="PR21" s="37" t="s">
        <v>668</v>
      </c>
      <c r="PS21" s="15" t="s">
        <v>668</v>
      </c>
      <c r="PT21" s="15" t="s">
        <v>668</v>
      </c>
      <c r="PU21" s="15" t="s">
        <v>668</v>
      </c>
      <c r="PV21" s="15" t="s">
        <v>668</v>
      </c>
      <c r="PW21" s="15" t="s">
        <v>668</v>
      </c>
      <c r="PX21" s="15" t="s">
        <v>668</v>
      </c>
      <c r="PY21" s="15" t="s">
        <v>668</v>
      </c>
      <c r="PZ21" s="15" t="s">
        <v>668</v>
      </c>
      <c r="QA21" s="15" t="s">
        <v>668</v>
      </c>
      <c r="QB21" s="15" t="s">
        <v>668</v>
      </c>
      <c r="QC21" s="15" t="s">
        <v>668</v>
      </c>
      <c r="QD21" s="15" t="s">
        <v>668</v>
      </c>
      <c r="QE21" s="15" t="s">
        <v>668</v>
      </c>
      <c r="QF21" s="15" t="s">
        <v>668</v>
      </c>
      <c r="QG21" s="15" t="s">
        <v>668</v>
      </c>
      <c r="QH21" s="15" t="s">
        <v>668</v>
      </c>
      <c r="QI21" s="15" t="s">
        <v>668</v>
      </c>
      <c r="QJ21" s="15" t="s">
        <v>668</v>
      </c>
      <c r="QK21" s="15" t="s">
        <v>668</v>
      </c>
      <c r="QL21" s="15" t="s">
        <v>668</v>
      </c>
      <c r="QM21" s="15" t="s">
        <v>668</v>
      </c>
      <c r="QN21" s="15" t="s">
        <v>668</v>
      </c>
      <c r="QO21" s="15" t="s">
        <v>668</v>
      </c>
      <c r="QP21" s="15" t="s">
        <v>668</v>
      </c>
      <c r="QQ21" s="15" t="s">
        <v>668</v>
      </c>
      <c r="QR21" s="15" t="s">
        <v>668</v>
      </c>
      <c r="QS21" s="15" t="s">
        <v>668</v>
      </c>
      <c r="QT21" s="15" t="s">
        <v>668</v>
      </c>
      <c r="QU21" s="15" t="s">
        <v>668</v>
      </c>
      <c r="QV21" s="15" t="s">
        <v>668</v>
      </c>
      <c r="QW21" s="15" t="s">
        <v>668</v>
      </c>
      <c r="QX21" s="15" t="s">
        <v>668</v>
      </c>
      <c r="QY21" s="15" t="s">
        <v>668</v>
      </c>
      <c r="QZ21" s="15" t="s">
        <v>668</v>
      </c>
      <c r="RA21" s="15" t="s">
        <v>668</v>
      </c>
      <c r="RB21" s="15" t="s">
        <v>668</v>
      </c>
      <c r="RC21" s="15" t="s">
        <v>668</v>
      </c>
      <c r="RD21" s="15" t="s">
        <v>668</v>
      </c>
      <c r="RE21" s="15" t="s">
        <v>668</v>
      </c>
      <c r="RF21" s="15" t="s">
        <v>668</v>
      </c>
      <c r="RG21" s="15" t="s">
        <v>668</v>
      </c>
      <c r="RH21" s="15" t="s">
        <v>668</v>
      </c>
      <c r="RI21" s="15" t="s">
        <v>668</v>
      </c>
      <c r="RJ21" s="15" t="s">
        <v>668</v>
      </c>
      <c r="RK21" s="15" t="s">
        <v>668</v>
      </c>
      <c r="RL21" s="15" t="s">
        <v>668</v>
      </c>
      <c r="RM21" s="15" t="s">
        <v>668</v>
      </c>
      <c r="RN21" s="15" t="s">
        <v>668</v>
      </c>
      <c r="RO21" s="15" t="s">
        <v>668</v>
      </c>
      <c r="RP21" s="15" t="s">
        <v>668</v>
      </c>
      <c r="RQ21" s="15" t="s">
        <v>668</v>
      </c>
      <c r="RR21" s="15" t="s">
        <v>668</v>
      </c>
      <c r="RS21" s="15" t="s">
        <v>668</v>
      </c>
      <c r="RT21" s="15" t="s">
        <v>668</v>
      </c>
      <c r="RU21" s="15" t="s">
        <v>668</v>
      </c>
      <c r="RV21" s="15" t="s">
        <v>668</v>
      </c>
      <c r="RW21" s="15" t="s">
        <v>668</v>
      </c>
      <c r="RX21" s="15" t="s">
        <v>668</v>
      </c>
      <c r="RY21" s="15" t="s">
        <v>668</v>
      </c>
      <c r="RZ21" s="15" t="s">
        <v>668</v>
      </c>
      <c r="SA21" s="15" t="s">
        <v>668</v>
      </c>
      <c r="SB21" s="15" t="s">
        <v>668</v>
      </c>
      <c r="SC21" s="15" t="s">
        <v>668</v>
      </c>
      <c r="SD21" s="15" t="s">
        <v>668</v>
      </c>
      <c r="SE21" s="15" t="s">
        <v>668</v>
      </c>
      <c r="SF21" s="15" t="s">
        <v>668</v>
      </c>
      <c r="SG21" s="15" t="s">
        <v>668</v>
      </c>
      <c r="SH21" s="15" t="s">
        <v>668</v>
      </c>
      <c r="SI21" s="15" t="s">
        <v>668</v>
      </c>
      <c r="SJ21" s="15" t="s">
        <v>668</v>
      </c>
      <c r="SK21" s="15" t="s">
        <v>668</v>
      </c>
      <c r="SL21" s="15" t="s">
        <v>668</v>
      </c>
    </row>
    <row r="22" spans="1:506" x14ac:dyDescent="0.2">
      <c r="A22" s="37">
        <v>20</v>
      </c>
      <c r="B22" s="15" t="s">
        <v>552</v>
      </c>
      <c r="C22" s="17">
        <f>+'Detalle Compras'!D22</f>
        <v>202505300006</v>
      </c>
      <c r="D22" s="55">
        <f t="shared" si="13"/>
        <v>5.6159999999999997</v>
      </c>
      <c r="E22" s="14">
        <f>+IF(B22="","",'Detalle Compras'!S22+0)</f>
        <v>45848</v>
      </c>
      <c r="F22" s="14">
        <f>+IF(B22="","",EOMONTH('Detalle Compras'!S22,G22)+10)</f>
        <v>58663</v>
      </c>
      <c r="G22" s="50">
        <f t="shared" si="14"/>
        <v>420</v>
      </c>
      <c r="H22" s="50">
        <f t="shared" si="15"/>
        <v>413</v>
      </c>
      <c r="I22" s="52"/>
      <c r="J22" s="52"/>
      <c r="K22" s="52"/>
      <c r="L22" s="52"/>
      <c r="M22" s="52"/>
      <c r="N22" s="52"/>
      <c r="O22" s="52"/>
      <c r="P22" s="52"/>
      <c r="Q22" s="52"/>
      <c r="R22" s="52"/>
      <c r="S22" s="52"/>
      <c r="T22" s="52"/>
      <c r="U22" s="52"/>
      <c r="V22" s="52"/>
      <c r="W22" s="52"/>
      <c r="X22" s="52"/>
      <c r="Y22" s="52">
        <v>5.6159999999999997</v>
      </c>
      <c r="Z22" s="52">
        <v>5.6159999999999997</v>
      </c>
      <c r="AA22" s="52">
        <v>5.6159999999999997</v>
      </c>
      <c r="AB22" s="52">
        <v>5.6159999999999997</v>
      </c>
      <c r="AC22" s="52">
        <v>5.6159999999999997</v>
      </c>
      <c r="AD22" s="52">
        <v>5.6159999999999997</v>
      </c>
      <c r="AE22" s="52">
        <v>5.6159999999999997</v>
      </c>
      <c r="AF22" s="52">
        <v>5.6159999999999997</v>
      </c>
      <c r="AG22" s="52">
        <v>5.6159999999999997</v>
      </c>
      <c r="AH22" s="52">
        <v>5.6159999999999997</v>
      </c>
      <c r="AI22" s="52">
        <v>5.6159999999999997</v>
      </c>
      <c r="AJ22" s="52">
        <v>5.6159999999999997</v>
      </c>
      <c r="AK22" s="52">
        <v>5.6159999999999997</v>
      </c>
      <c r="AL22" s="52">
        <v>5.6159999999999997</v>
      </c>
      <c r="AM22" s="52">
        <v>5.6159999999999997</v>
      </c>
      <c r="AN22" s="52">
        <v>5.6159999999999997</v>
      </c>
      <c r="AO22" s="52">
        <v>5.6159999999999997</v>
      </c>
      <c r="AP22" s="52">
        <v>5.6159999999999997</v>
      </c>
      <c r="AQ22" s="52">
        <v>5.6159999999999997</v>
      </c>
      <c r="AR22" s="52">
        <v>5.6159999999999997</v>
      </c>
      <c r="AS22" s="52">
        <v>5.6159999999999997</v>
      </c>
      <c r="AT22" s="52">
        <v>5.6159999999999997</v>
      </c>
      <c r="AU22" s="52">
        <v>5.6159999999999997</v>
      </c>
      <c r="AV22" s="52">
        <v>5.6159999999999997</v>
      </c>
      <c r="AW22" s="52">
        <v>5.6159999999999997</v>
      </c>
      <c r="AX22" s="52">
        <v>5.6159999999999997</v>
      </c>
      <c r="AY22" s="52">
        <v>5.6159999999999997</v>
      </c>
      <c r="AZ22" s="52">
        <v>5.6159999999999997</v>
      </c>
      <c r="BA22" s="52">
        <v>5.6159999999999997</v>
      </c>
      <c r="BB22" s="52">
        <v>5.6159999999999997</v>
      </c>
      <c r="BC22" s="52">
        <v>5.6159999999999997</v>
      </c>
      <c r="BD22" s="52">
        <v>5.6159999999999997</v>
      </c>
      <c r="BE22" s="52">
        <v>5.6159999999999997</v>
      </c>
      <c r="BF22" s="52">
        <v>5.6159999999999997</v>
      </c>
      <c r="BG22" s="52">
        <v>5.6159999999999997</v>
      </c>
      <c r="BH22" s="52">
        <v>5.6159999999999997</v>
      </c>
      <c r="BI22" s="52">
        <v>5.6159999999999997</v>
      </c>
      <c r="BJ22" s="52">
        <v>5.6159999999999997</v>
      </c>
      <c r="BK22" s="52">
        <v>5.6159999999999997</v>
      </c>
      <c r="BL22" s="52">
        <v>5.6159999999999997</v>
      </c>
      <c r="BM22" s="52">
        <v>5.6159999999999997</v>
      </c>
      <c r="BN22" s="52">
        <v>5.6159999999999997</v>
      </c>
      <c r="BO22" s="52">
        <v>5.6159999999999997</v>
      </c>
      <c r="BP22" s="52">
        <v>5.6159999999999997</v>
      </c>
      <c r="BQ22" s="52">
        <v>5.6159999999999997</v>
      </c>
      <c r="BR22" s="52">
        <v>5.6159999999999997</v>
      </c>
      <c r="BS22" s="52">
        <v>5.6159999999999997</v>
      </c>
      <c r="BT22" s="52">
        <v>5.6159999999999997</v>
      </c>
      <c r="BU22" s="52">
        <v>5.6159999999999997</v>
      </c>
      <c r="BV22" s="52">
        <v>5.6159999999999997</v>
      </c>
      <c r="BW22" s="52">
        <v>5.6159999999999997</v>
      </c>
      <c r="BX22" s="52">
        <v>5.6159999999999997</v>
      </c>
      <c r="BY22" s="52">
        <v>5.6159999999999997</v>
      </c>
      <c r="BZ22" s="52">
        <v>5.6159999999999997</v>
      </c>
      <c r="CA22" s="52">
        <v>5.6159999999999997</v>
      </c>
      <c r="CB22" s="52">
        <v>5.6159999999999997</v>
      </c>
      <c r="CC22" s="52">
        <v>5.6159999999999997</v>
      </c>
      <c r="CD22" s="52">
        <v>5.6159999999999997</v>
      </c>
      <c r="CE22" s="52">
        <v>5.6159999999999997</v>
      </c>
      <c r="CF22" s="52">
        <v>5.6159999999999997</v>
      </c>
      <c r="CG22" s="52">
        <v>5.6159999999999997</v>
      </c>
      <c r="CH22" s="52">
        <v>5.6159999999999997</v>
      </c>
      <c r="CI22" s="52">
        <v>5.6159999999999997</v>
      </c>
      <c r="CJ22" s="52">
        <v>5.6159999999999997</v>
      </c>
      <c r="CK22" s="52">
        <v>5.6159999999999997</v>
      </c>
      <c r="CL22" s="52">
        <v>5.6159999999999997</v>
      </c>
      <c r="CM22" s="52">
        <v>5.6159999999999997</v>
      </c>
      <c r="CN22" s="52">
        <v>5.6159999999999997</v>
      </c>
      <c r="CO22" s="52">
        <v>5.6159999999999997</v>
      </c>
      <c r="CP22" s="52">
        <v>5.6159999999999997</v>
      </c>
      <c r="CQ22" s="52">
        <v>5.6159999999999997</v>
      </c>
      <c r="CR22" s="52">
        <v>5.6159999999999997</v>
      </c>
      <c r="CS22" s="52">
        <v>5.6159999999999997</v>
      </c>
      <c r="CT22" s="52">
        <v>5.6159999999999997</v>
      </c>
      <c r="CU22" s="52">
        <v>5.6159999999999997</v>
      </c>
      <c r="CV22" s="52">
        <v>5.6159999999999997</v>
      </c>
      <c r="CW22" s="52">
        <v>5.6159999999999997</v>
      </c>
      <c r="CX22" s="52">
        <v>5.6159999999999997</v>
      </c>
      <c r="CY22" s="52">
        <v>5.6159999999999997</v>
      </c>
      <c r="CZ22" s="52">
        <v>5.6159999999999997</v>
      </c>
      <c r="DA22" s="52">
        <v>5.6159999999999997</v>
      </c>
      <c r="DB22" s="52">
        <v>5.6159999999999997</v>
      </c>
      <c r="DC22" s="52">
        <v>5.6159999999999997</v>
      </c>
      <c r="DD22" s="52">
        <v>5.6159999999999997</v>
      </c>
      <c r="DE22" s="52">
        <v>5.6159999999999997</v>
      </c>
      <c r="DF22" s="52">
        <v>5.6159999999999997</v>
      </c>
      <c r="DG22" s="52">
        <v>5.6159999999999997</v>
      </c>
      <c r="DH22" s="52">
        <v>5.6159999999999997</v>
      </c>
      <c r="DI22" s="52">
        <v>5.6159999999999997</v>
      </c>
      <c r="DJ22" s="52">
        <v>5.6159999999999997</v>
      </c>
      <c r="DK22" s="52">
        <v>5.6159999999999997</v>
      </c>
      <c r="DL22" s="52">
        <v>5.6159999999999997</v>
      </c>
      <c r="DM22" s="52">
        <v>5.6159999999999997</v>
      </c>
      <c r="DN22" s="52">
        <v>5.6159999999999997</v>
      </c>
      <c r="DO22" s="52">
        <v>5.6159999999999997</v>
      </c>
      <c r="DP22" s="52">
        <v>5.6159999999999997</v>
      </c>
      <c r="DQ22" s="52">
        <v>5.6159999999999997</v>
      </c>
      <c r="DR22" s="52">
        <v>5.6159999999999997</v>
      </c>
      <c r="DS22" s="52">
        <v>5.6159999999999997</v>
      </c>
      <c r="DT22" s="52">
        <v>5.6159999999999997</v>
      </c>
      <c r="DU22" s="52">
        <v>5.6159999999999997</v>
      </c>
      <c r="DV22" s="52">
        <v>5.6159999999999997</v>
      </c>
      <c r="DW22" s="52">
        <v>5.6159999999999997</v>
      </c>
      <c r="DX22" s="52">
        <v>5.6159999999999997</v>
      </c>
      <c r="DY22" s="52">
        <v>5.6159999999999997</v>
      </c>
      <c r="DZ22" s="52">
        <v>5.6159999999999997</v>
      </c>
      <c r="EA22" s="52">
        <v>5.6159999999999997</v>
      </c>
      <c r="EB22" s="52">
        <v>5.6159999999999997</v>
      </c>
      <c r="EC22" s="52">
        <v>5.6159999999999997</v>
      </c>
      <c r="ED22" s="52">
        <v>5.6159999999999997</v>
      </c>
      <c r="EE22" s="52">
        <v>5.6159999999999997</v>
      </c>
      <c r="EF22" s="52">
        <v>5.6159999999999997</v>
      </c>
      <c r="EG22" s="52">
        <v>5.6159999999999997</v>
      </c>
      <c r="EH22" s="52">
        <v>5.6159999999999997</v>
      </c>
      <c r="EI22" s="52">
        <v>5.6159999999999997</v>
      </c>
      <c r="EJ22" s="52">
        <v>5.6159999999999997</v>
      </c>
      <c r="EK22" s="52">
        <v>5.6159999999999997</v>
      </c>
      <c r="EL22" s="52">
        <v>5.6159999999999997</v>
      </c>
      <c r="EM22" s="52">
        <v>5.6159999999999997</v>
      </c>
      <c r="EN22" s="52">
        <v>5.6159999999999997</v>
      </c>
      <c r="EO22" s="52">
        <v>5.6159999999999997</v>
      </c>
      <c r="EP22" s="52">
        <v>5.6159999999999997</v>
      </c>
      <c r="EQ22" s="52">
        <v>5.6159999999999997</v>
      </c>
      <c r="ER22" s="52">
        <v>5.6159999999999997</v>
      </c>
      <c r="ES22" s="52">
        <v>5.6159999999999997</v>
      </c>
      <c r="ET22" s="52">
        <v>5.6159999999999997</v>
      </c>
      <c r="EU22" s="52">
        <v>5.6159999999999997</v>
      </c>
      <c r="EV22" s="52">
        <v>5.6159999999999997</v>
      </c>
      <c r="EW22" s="52">
        <v>5.6159999999999997</v>
      </c>
      <c r="EX22" s="52">
        <v>5.6159999999999997</v>
      </c>
      <c r="EY22" s="52">
        <v>5.6159999999999997</v>
      </c>
      <c r="EZ22" s="52">
        <v>5.6159999999999997</v>
      </c>
      <c r="FA22" s="52">
        <v>5.6159999999999997</v>
      </c>
      <c r="FB22" s="52">
        <v>5.6159999999999997</v>
      </c>
      <c r="FC22" s="52">
        <v>5.6159999999999997</v>
      </c>
      <c r="FD22" s="52">
        <v>5.6159999999999997</v>
      </c>
      <c r="FE22" s="52">
        <v>5.6159999999999997</v>
      </c>
      <c r="FF22" s="52">
        <v>5.6159999999999997</v>
      </c>
      <c r="FG22" s="52">
        <v>5.6159999999999997</v>
      </c>
      <c r="FH22" s="52">
        <v>5.6159999999999997</v>
      </c>
      <c r="FI22" s="52">
        <v>5.6159999999999997</v>
      </c>
      <c r="FJ22" s="52">
        <v>5.6159999999999997</v>
      </c>
      <c r="FK22" s="52">
        <v>5.6159999999999997</v>
      </c>
      <c r="FL22" s="52">
        <v>5.6159999999999997</v>
      </c>
      <c r="FM22" s="52">
        <v>5.6159999999999997</v>
      </c>
      <c r="FN22" s="52">
        <v>5.6159999999999997</v>
      </c>
      <c r="FO22" s="52">
        <v>5.6159999999999997</v>
      </c>
      <c r="FP22" s="52">
        <v>5.6159999999999997</v>
      </c>
      <c r="FQ22" s="52">
        <v>5.6159999999999997</v>
      </c>
      <c r="FR22" s="52">
        <v>5.6159999999999997</v>
      </c>
      <c r="FS22" s="52">
        <v>5.6159999999999997</v>
      </c>
      <c r="FT22" s="52">
        <v>5.6159999999999997</v>
      </c>
      <c r="FU22" s="52">
        <v>5.6159999999999997</v>
      </c>
      <c r="FV22" s="52">
        <v>5.6159999999999997</v>
      </c>
      <c r="FW22" s="52">
        <v>5.6159999999999997</v>
      </c>
      <c r="FX22" s="52">
        <v>5.6159999999999997</v>
      </c>
      <c r="FY22" s="52">
        <v>5.6159999999999997</v>
      </c>
      <c r="FZ22" s="52">
        <v>5.6159999999999997</v>
      </c>
      <c r="GA22" s="52">
        <v>5.6159999999999997</v>
      </c>
      <c r="GB22" s="52">
        <v>5.6159999999999997</v>
      </c>
      <c r="GC22" s="52">
        <v>5.6159999999999997</v>
      </c>
      <c r="GD22" s="52">
        <v>5.6159999999999997</v>
      </c>
      <c r="GE22" s="52">
        <v>5.6159999999999997</v>
      </c>
      <c r="GF22" s="52">
        <v>5.6159999999999997</v>
      </c>
      <c r="GG22" s="52">
        <v>5.6159999999999997</v>
      </c>
      <c r="GH22" s="52">
        <v>5.6159999999999997</v>
      </c>
      <c r="GI22" s="52">
        <v>5.6159999999999997</v>
      </c>
      <c r="GJ22" s="52">
        <v>5.6159999999999997</v>
      </c>
      <c r="GK22" s="52">
        <v>5.6159999999999997</v>
      </c>
      <c r="GL22" s="52">
        <v>5.6159999999999997</v>
      </c>
      <c r="GM22" s="52">
        <v>5.6159999999999997</v>
      </c>
      <c r="GN22" s="52">
        <v>5.6159999999999997</v>
      </c>
      <c r="GO22" s="52">
        <v>5.6159999999999997</v>
      </c>
      <c r="GP22" s="52">
        <v>5.6159999999999997</v>
      </c>
      <c r="GQ22" s="52">
        <v>5.6159999999999997</v>
      </c>
      <c r="GR22" s="52">
        <v>5.6159999999999997</v>
      </c>
      <c r="GS22" s="52">
        <v>5.6159999999999997</v>
      </c>
      <c r="GT22" s="52">
        <v>5.6159999999999997</v>
      </c>
      <c r="GU22" s="52">
        <v>5.6159999999999997</v>
      </c>
      <c r="GV22" s="52">
        <v>5.6159999999999997</v>
      </c>
      <c r="GW22" s="52">
        <v>5.6159999999999997</v>
      </c>
      <c r="GX22" s="52">
        <v>5.6159999999999997</v>
      </c>
      <c r="GY22" s="52">
        <v>5.6159999999999997</v>
      </c>
      <c r="GZ22" s="52">
        <v>5.6159999999999997</v>
      </c>
      <c r="HA22" s="52">
        <v>5.6159999999999997</v>
      </c>
      <c r="HB22" s="52">
        <v>5.6159999999999997</v>
      </c>
      <c r="HC22" s="52">
        <v>5.6159999999999997</v>
      </c>
      <c r="HD22" s="52">
        <v>5.6159999999999997</v>
      </c>
      <c r="HE22" s="52">
        <v>5.6159999999999997</v>
      </c>
      <c r="HF22" s="52">
        <v>5.6159999999999997</v>
      </c>
      <c r="HG22" s="52">
        <v>5.6159999999999997</v>
      </c>
      <c r="HH22" s="52">
        <v>5.6159999999999997</v>
      </c>
      <c r="HI22" s="52">
        <v>5.6159999999999997</v>
      </c>
      <c r="HJ22" s="52">
        <v>5.6159999999999997</v>
      </c>
      <c r="HK22" s="52">
        <v>5.6159999999999997</v>
      </c>
      <c r="HL22" s="52">
        <v>5.6159999999999997</v>
      </c>
      <c r="HM22" s="52">
        <v>5.6159999999999997</v>
      </c>
      <c r="HN22" s="52">
        <v>5.6159999999999997</v>
      </c>
      <c r="HO22" s="52">
        <v>5.6159999999999997</v>
      </c>
      <c r="HP22" s="52">
        <v>5.6159999999999997</v>
      </c>
      <c r="HQ22" s="52">
        <v>5.6159999999999997</v>
      </c>
      <c r="HR22" s="52">
        <v>5.6159999999999997</v>
      </c>
      <c r="HS22" s="52">
        <v>5.6159999999999997</v>
      </c>
      <c r="HT22" s="52">
        <v>5.6159999999999997</v>
      </c>
      <c r="HU22" s="52">
        <v>5.6159999999999997</v>
      </c>
      <c r="HV22" s="52">
        <v>5.6159999999999997</v>
      </c>
      <c r="HW22" s="52">
        <v>5.6159999999999997</v>
      </c>
      <c r="HX22" s="52">
        <v>5.6159999999999997</v>
      </c>
      <c r="HY22" s="52">
        <v>5.6159999999999997</v>
      </c>
      <c r="HZ22" s="52">
        <v>5.6159999999999997</v>
      </c>
      <c r="IA22" s="52">
        <v>5.6159999999999997</v>
      </c>
      <c r="IB22" s="52">
        <v>5.6159999999999997</v>
      </c>
      <c r="IC22" s="52">
        <v>5.6159999999999997</v>
      </c>
      <c r="ID22" s="52">
        <v>5.6159999999999997</v>
      </c>
      <c r="IE22" s="52">
        <v>5.6159999999999997</v>
      </c>
      <c r="IF22" s="52">
        <v>5.6159999999999997</v>
      </c>
      <c r="IG22" s="52">
        <v>5.6159999999999997</v>
      </c>
      <c r="IH22" s="52">
        <v>5.6159999999999997</v>
      </c>
      <c r="II22" s="52">
        <v>5.6159999999999997</v>
      </c>
      <c r="IJ22" s="52">
        <v>5.6159999999999997</v>
      </c>
      <c r="IK22" s="52">
        <v>5.6159999999999997</v>
      </c>
      <c r="IL22" s="52">
        <v>5.6159999999999997</v>
      </c>
      <c r="IM22" s="52">
        <v>5.6159999999999997</v>
      </c>
      <c r="IN22" s="52">
        <v>5.6159999999999997</v>
      </c>
      <c r="IO22" s="52">
        <v>5.6159999999999997</v>
      </c>
      <c r="IP22" s="52">
        <v>5.6159999999999997</v>
      </c>
      <c r="IQ22" s="52">
        <v>5.6159999999999997</v>
      </c>
      <c r="IR22" s="52">
        <v>5.6159999999999997</v>
      </c>
      <c r="IS22" s="52">
        <v>5.6159999999999997</v>
      </c>
      <c r="IT22" s="52">
        <v>5.6159999999999997</v>
      </c>
      <c r="IU22" s="52">
        <v>5.6159999999999997</v>
      </c>
      <c r="IV22" s="52">
        <v>5.6159999999999997</v>
      </c>
      <c r="IW22" s="52">
        <v>5.6159999999999997</v>
      </c>
      <c r="IX22" s="52">
        <v>5.6159999999999997</v>
      </c>
      <c r="IY22" s="52">
        <v>5.6159999999999997</v>
      </c>
      <c r="IZ22" s="52">
        <v>5.6159999999999997</v>
      </c>
      <c r="JA22" s="52">
        <v>5.6159999999999997</v>
      </c>
      <c r="JB22" s="52">
        <v>5.6159999999999997</v>
      </c>
      <c r="JC22" s="52">
        <v>5.6159999999999997</v>
      </c>
      <c r="JD22" s="52">
        <v>5.6159999999999997</v>
      </c>
      <c r="JE22" s="52">
        <v>5.6159999999999997</v>
      </c>
      <c r="JF22" s="52">
        <v>5.6159999999999997</v>
      </c>
      <c r="JG22" s="52">
        <v>5.6159999999999997</v>
      </c>
      <c r="JH22" s="52">
        <v>5.6159999999999997</v>
      </c>
      <c r="JI22" s="52">
        <v>5.6159999999999997</v>
      </c>
      <c r="JJ22" s="52">
        <v>5.6159999999999997</v>
      </c>
      <c r="JK22" s="52">
        <v>5.6159999999999997</v>
      </c>
      <c r="JL22" s="52">
        <v>5.6159999999999997</v>
      </c>
      <c r="JM22" s="52">
        <v>5.6159999999999997</v>
      </c>
      <c r="JN22" s="52">
        <v>5.6159999999999997</v>
      </c>
      <c r="JO22" s="52">
        <v>5.6159999999999997</v>
      </c>
      <c r="JP22" s="52">
        <v>5.6159999999999997</v>
      </c>
      <c r="JQ22" s="52">
        <v>5.6159999999999997</v>
      </c>
      <c r="JR22" s="52">
        <v>5.6159999999999997</v>
      </c>
      <c r="JS22" s="52">
        <v>5.6159999999999997</v>
      </c>
      <c r="JT22" s="52">
        <v>5.6159999999999997</v>
      </c>
      <c r="JU22" s="52">
        <v>5.6159999999999997</v>
      </c>
      <c r="JV22" s="52">
        <v>5.6159999999999997</v>
      </c>
      <c r="JW22" s="52">
        <v>5.6159999999999997</v>
      </c>
      <c r="JX22" s="52">
        <v>5.6159999999999997</v>
      </c>
      <c r="JY22" s="52">
        <v>5.6159999999999997</v>
      </c>
      <c r="JZ22" s="52">
        <v>5.6159999999999997</v>
      </c>
      <c r="KA22" s="52">
        <v>5.6159999999999997</v>
      </c>
      <c r="KB22" s="52">
        <v>5.6159999999999997</v>
      </c>
      <c r="KC22" s="52">
        <v>5.6159999999999997</v>
      </c>
      <c r="KD22" s="52">
        <v>5.6159999999999997</v>
      </c>
      <c r="KE22" s="52">
        <v>5.6159999999999997</v>
      </c>
      <c r="KF22" s="52">
        <v>5.6159999999999997</v>
      </c>
      <c r="KG22" s="52">
        <v>5.6159999999999997</v>
      </c>
      <c r="KH22" s="52">
        <v>5.6159999999999997</v>
      </c>
      <c r="KI22" s="52">
        <v>5.6159999999999997</v>
      </c>
      <c r="KJ22" s="52">
        <v>5.6159999999999997</v>
      </c>
      <c r="KK22" s="52">
        <v>5.6159999999999997</v>
      </c>
      <c r="KL22" s="52">
        <v>5.6159999999999997</v>
      </c>
      <c r="KM22" s="52">
        <v>5.6159999999999997</v>
      </c>
      <c r="KN22" s="52">
        <v>5.6159999999999997</v>
      </c>
      <c r="KO22" s="52">
        <v>5.6159999999999997</v>
      </c>
      <c r="KP22" s="52">
        <v>5.6159999999999997</v>
      </c>
      <c r="KQ22" s="52">
        <v>5.6159999999999997</v>
      </c>
      <c r="KR22" s="52">
        <v>5.6159999999999997</v>
      </c>
      <c r="KS22" s="52">
        <v>5.6159999999999997</v>
      </c>
      <c r="KT22" s="52">
        <v>5.6159999999999997</v>
      </c>
      <c r="KU22" s="52">
        <v>5.6159999999999997</v>
      </c>
      <c r="KV22" s="52">
        <v>5.6159999999999997</v>
      </c>
      <c r="KW22" s="52">
        <v>5.6159999999999997</v>
      </c>
      <c r="KX22" s="37">
        <v>5.6159999999999997</v>
      </c>
      <c r="KY22" s="37">
        <v>5.6159999999999997</v>
      </c>
      <c r="KZ22" s="37">
        <v>5.6159999999999997</v>
      </c>
      <c r="LA22" s="37">
        <v>5.6159999999999997</v>
      </c>
      <c r="LB22" s="37">
        <v>5.6159999999999997</v>
      </c>
      <c r="LC22" s="37">
        <v>5.6159999999999997</v>
      </c>
      <c r="LD22" s="37">
        <v>5.6159999999999997</v>
      </c>
      <c r="LE22" s="37">
        <v>5.6159999999999997</v>
      </c>
      <c r="LF22" s="37">
        <v>5.6159999999999997</v>
      </c>
      <c r="LG22" s="37">
        <v>5.6159999999999997</v>
      </c>
      <c r="LH22" s="37">
        <v>5.6159999999999997</v>
      </c>
      <c r="LI22" s="37">
        <v>5.6159999999999997</v>
      </c>
      <c r="LJ22" s="37">
        <v>5.6159999999999997</v>
      </c>
      <c r="LK22" s="37">
        <v>5.6159999999999997</v>
      </c>
      <c r="LL22" s="37">
        <v>5.6159999999999997</v>
      </c>
      <c r="LM22" s="37">
        <v>5.6159999999999997</v>
      </c>
      <c r="LN22" s="37">
        <v>5.6159999999999997</v>
      </c>
      <c r="LO22" s="37">
        <v>5.6159999999999997</v>
      </c>
      <c r="LP22" s="37">
        <v>5.6159999999999997</v>
      </c>
      <c r="LQ22" s="37">
        <v>5.6159999999999997</v>
      </c>
      <c r="LR22" s="37">
        <v>5.6159999999999997</v>
      </c>
      <c r="LS22" s="37">
        <v>5.6159999999999997</v>
      </c>
      <c r="LT22" s="37">
        <v>5.6159999999999997</v>
      </c>
      <c r="LU22" s="37">
        <v>5.6159999999999997</v>
      </c>
      <c r="LV22" s="37">
        <v>5.6159999999999997</v>
      </c>
      <c r="LW22" s="37">
        <v>5.6159999999999997</v>
      </c>
      <c r="LX22" s="37">
        <v>5.6159999999999997</v>
      </c>
      <c r="LY22" s="37">
        <v>5.6159999999999997</v>
      </c>
      <c r="LZ22" s="37">
        <v>5.6159999999999997</v>
      </c>
      <c r="MA22" s="37">
        <v>5.6159999999999997</v>
      </c>
      <c r="MB22" s="37">
        <v>5.6159999999999997</v>
      </c>
      <c r="MC22" s="37">
        <v>5.6159999999999997</v>
      </c>
      <c r="MD22" s="37">
        <v>5.6159999999999997</v>
      </c>
      <c r="ME22" s="37">
        <v>5.6159999999999997</v>
      </c>
      <c r="MF22" s="37">
        <v>5.6159999999999997</v>
      </c>
      <c r="MG22" s="37">
        <v>5.6159999999999997</v>
      </c>
      <c r="MH22" s="37">
        <v>5.6159999999999997</v>
      </c>
      <c r="MI22" s="37">
        <v>5.6159999999999997</v>
      </c>
      <c r="MJ22" s="37">
        <v>5.6159999999999997</v>
      </c>
      <c r="MK22" s="37">
        <v>5.6159999999999997</v>
      </c>
      <c r="ML22" s="37">
        <v>5.6159999999999997</v>
      </c>
      <c r="MM22" s="37">
        <v>5.6159999999999997</v>
      </c>
      <c r="MN22" s="37">
        <v>5.6159999999999997</v>
      </c>
      <c r="MO22" s="37">
        <v>5.6159999999999997</v>
      </c>
      <c r="MP22" s="37">
        <v>5.6159999999999997</v>
      </c>
      <c r="MQ22" s="37">
        <v>5.6159999999999997</v>
      </c>
      <c r="MR22" s="37">
        <v>5.6159999999999997</v>
      </c>
      <c r="MS22" s="37">
        <v>5.6159999999999997</v>
      </c>
      <c r="MT22" s="37">
        <v>5.6159999999999997</v>
      </c>
      <c r="MU22" s="37">
        <v>5.6159999999999997</v>
      </c>
      <c r="MV22" s="37">
        <v>5.6159999999999997</v>
      </c>
      <c r="MW22" s="37">
        <v>5.6159999999999997</v>
      </c>
      <c r="MX22" s="37">
        <v>5.6159999999999997</v>
      </c>
      <c r="MY22" s="37">
        <v>5.6159999999999997</v>
      </c>
      <c r="MZ22" s="37">
        <v>5.6159999999999997</v>
      </c>
      <c r="NA22" s="37">
        <v>5.6159999999999997</v>
      </c>
      <c r="NB22" s="37">
        <v>5.6159999999999997</v>
      </c>
      <c r="NC22" s="37">
        <v>5.6159999999999997</v>
      </c>
      <c r="ND22" s="37">
        <v>5.6159999999999997</v>
      </c>
      <c r="NE22" s="37">
        <v>5.6159999999999997</v>
      </c>
      <c r="NF22" s="37">
        <v>5.6159999999999997</v>
      </c>
      <c r="NG22" s="37">
        <v>5.6159999999999997</v>
      </c>
      <c r="NH22" s="37">
        <v>5.6159999999999997</v>
      </c>
      <c r="NI22" s="37">
        <v>5.6159999999999997</v>
      </c>
      <c r="NJ22" s="37">
        <v>5.6159999999999997</v>
      </c>
      <c r="NK22" s="37">
        <v>5.6159999999999997</v>
      </c>
      <c r="NL22" s="37">
        <v>5.6159999999999997</v>
      </c>
      <c r="NM22" s="37">
        <v>5.6159999999999997</v>
      </c>
      <c r="NN22" s="37">
        <v>5.6159999999999997</v>
      </c>
      <c r="NO22" s="37">
        <v>5.6159999999999997</v>
      </c>
      <c r="NP22" s="37">
        <v>5.6159999999999997</v>
      </c>
      <c r="NQ22" s="37">
        <v>5.6159999999999997</v>
      </c>
      <c r="NR22" s="37">
        <v>5.6159999999999997</v>
      </c>
      <c r="NS22" s="37">
        <v>5.6159999999999997</v>
      </c>
      <c r="NT22" s="37">
        <v>5.6159999999999997</v>
      </c>
      <c r="NU22" s="37">
        <v>5.6159999999999997</v>
      </c>
      <c r="NV22" s="37">
        <v>5.6159999999999997</v>
      </c>
      <c r="NW22" s="37">
        <v>5.6159999999999997</v>
      </c>
      <c r="NX22" s="37">
        <v>5.6159999999999997</v>
      </c>
      <c r="NY22" s="37">
        <v>5.6159999999999997</v>
      </c>
      <c r="NZ22" s="37">
        <v>5.6159999999999997</v>
      </c>
      <c r="OA22" s="37">
        <v>5.6159999999999997</v>
      </c>
      <c r="OB22" s="37">
        <v>5.6159999999999997</v>
      </c>
      <c r="OC22" s="37">
        <v>5.6159999999999997</v>
      </c>
      <c r="OD22" s="37">
        <v>5.6159999999999997</v>
      </c>
      <c r="OE22" s="37">
        <v>5.6159999999999997</v>
      </c>
      <c r="OF22" s="37">
        <v>5.6159999999999997</v>
      </c>
      <c r="OG22" s="37">
        <v>5.6159999999999997</v>
      </c>
      <c r="OH22" s="37">
        <v>5.6159999999999997</v>
      </c>
      <c r="OI22" s="37">
        <v>5.6159999999999997</v>
      </c>
      <c r="OJ22" s="37">
        <v>5.6159999999999997</v>
      </c>
      <c r="OK22" s="37">
        <v>5.6159999999999997</v>
      </c>
      <c r="OL22" s="37">
        <v>5.6159999999999997</v>
      </c>
      <c r="OM22" s="37">
        <v>5.6159999999999997</v>
      </c>
      <c r="ON22" s="37">
        <v>5.6159999999999997</v>
      </c>
      <c r="OO22" s="37">
        <v>5.6159999999999997</v>
      </c>
      <c r="OP22" s="37">
        <v>5.6159999999999997</v>
      </c>
      <c r="OQ22" s="37">
        <v>5.6159999999999997</v>
      </c>
      <c r="OR22" s="37">
        <v>5.6159999999999997</v>
      </c>
      <c r="OS22" s="37">
        <v>5.6159999999999997</v>
      </c>
      <c r="OT22" s="37">
        <v>5.6159999999999997</v>
      </c>
      <c r="OU22" s="37">
        <v>5.6159999999999997</v>
      </c>
      <c r="OV22" s="37">
        <v>5.6159999999999997</v>
      </c>
      <c r="OW22" s="37">
        <v>5.6159999999999997</v>
      </c>
      <c r="OX22" s="37">
        <v>5.6159999999999997</v>
      </c>
      <c r="OY22" s="37">
        <v>5.6159999999999997</v>
      </c>
      <c r="OZ22" s="37">
        <v>5.6159999999999997</v>
      </c>
      <c r="PA22" s="37">
        <v>5.6159999999999997</v>
      </c>
      <c r="PB22" s="37">
        <v>5.6159999999999997</v>
      </c>
      <c r="PC22" s="37">
        <v>5.6159999999999997</v>
      </c>
      <c r="PD22" s="37">
        <v>5.6159999999999997</v>
      </c>
      <c r="PE22" s="37">
        <v>5.6159999999999997</v>
      </c>
      <c r="PF22" s="37">
        <v>5.6159999999999997</v>
      </c>
      <c r="PG22" s="37">
        <v>5.6159999999999997</v>
      </c>
      <c r="PH22" s="37">
        <v>5.6159999999999997</v>
      </c>
      <c r="PI22" s="37">
        <v>5.6159999999999997</v>
      </c>
      <c r="PJ22" s="37">
        <v>5.6159999999999997</v>
      </c>
      <c r="PK22" s="37">
        <v>5.6159999999999997</v>
      </c>
      <c r="PL22" s="37">
        <v>5.6159999999999997</v>
      </c>
      <c r="PM22" s="37">
        <v>5.6159999999999997</v>
      </c>
      <c r="PN22" s="37">
        <v>5.6159999999999997</v>
      </c>
      <c r="PO22" s="37">
        <v>5.6159999999999997</v>
      </c>
      <c r="PP22" s="37">
        <v>5.6159999999999997</v>
      </c>
      <c r="PQ22" s="37">
        <v>5.6159999999999997</v>
      </c>
      <c r="PR22" s="37">
        <v>5.6159999999999997</v>
      </c>
      <c r="PS22" s="15">
        <v>5.6159999999999997</v>
      </c>
      <c r="PT22" s="15">
        <v>5.6159999999999997</v>
      </c>
      <c r="PU22" s="15">
        <v>5.6159999999999997</v>
      </c>
      <c r="PV22" s="15">
        <v>5.6159999999999997</v>
      </c>
      <c r="PW22" s="15">
        <v>5.6159999999999997</v>
      </c>
      <c r="PX22" s="15">
        <v>5.6159999999999997</v>
      </c>
      <c r="PY22" s="15">
        <v>5.6159999999999997</v>
      </c>
      <c r="PZ22" s="15">
        <v>5.6159999999999997</v>
      </c>
      <c r="QA22" s="15">
        <v>5.6159999999999997</v>
      </c>
      <c r="QB22" s="15">
        <v>5.8128000000000002</v>
      </c>
      <c r="QC22" s="15" t="s">
        <v>668</v>
      </c>
      <c r="QD22" s="15" t="s">
        <v>668</v>
      </c>
      <c r="QE22" s="15" t="s">
        <v>668</v>
      </c>
      <c r="QF22" s="15" t="s">
        <v>668</v>
      </c>
      <c r="QG22" s="15" t="s">
        <v>668</v>
      </c>
      <c r="QH22" s="15" t="s">
        <v>668</v>
      </c>
      <c r="QI22" s="15" t="s">
        <v>668</v>
      </c>
      <c r="QJ22" s="15" t="s">
        <v>668</v>
      </c>
      <c r="QK22" s="15" t="s">
        <v>668</v>
      </c>
      <c r="QL22" s="15" t="s">
        <v>668</v>
      </c>
      <c r="QM22" s="15" t="s">
        <v>668</v>
      </c>
      <c r="QN22" s="15" t="s">
        <v>668</v>
      </c>
      <c r="QO22" s="15" t="s">
        <v>668</v>
      </c>
      <c r="QP22" s="15" t="s">
        <v>668</v>
      </c>
      <c r="QQ22" s="15" t="s">
        <v>668</v>
      </c>
      <c r="QR22" s="15" t="s">
        <v>668</v>
      </c>
      <c r="QS22" s="15" t="s">
        <v>668</v>
      </c>
      <c r="QT22" s="15" t="s">
        <v>668</v>
      </c>
      <c r="QU22" s="15" t="s">
        <v>668</v>
      </c>
      <c r="QV22" s="15" t="s">
        <v>668</v>
      </c>
      <c r="QW22" s="15" t="s">
        <v>668</v>
      </c>
      <c r="QX22" s="15" t="s">
        <v>668</v>
      </c>
      <c r="QY22" s="15" t="s">
        <v>668</v>
      </c>
      <c r="QZ22" s="15" t="s">
        <v>668</v>
      </c>
      <c r="RA22" s="15" t="s">
        <v>668</v>
      </c>
      <c r="RB22" s="15" t="s">
        <v>668</v>
      </c>
      <c r="RC22" s="15" t="s">
        <v>668</v>
      </c>
      <c r="RD22" s="15" t="s">
        <v>668</v>
      </c>
      <c r="RE22" s="15" t="s">
        <v>668</v>
      </c>
      <c r="RF22" s="15" t="s">
        <v>668</v>
      </c>
      <c r="RG22" s="15" t="s">
        <v>668</v>
      </c>
      <c r="RH22" s="15" t="s">
        <v>668</v>
      </c>
      <c r="RI22" s="15" t="s">
        <v>668</v>
      </c>
      <c r="RJ22" s="15" t="s">
        <v>668</v>
      </c>
      <c r="RK22" s="15" t="s">
        <v>668</v>
      </c>
      <c r="RL22" s="15" t="s">
        <v>668</v>
      </c>
      <c r="RM22" s="15" t="s">
        <v>668</v>
      </c>
      <c r="RN22" s="15" t="s">
        <v>668</v>
      </c>
      <c r="RO22" s="15" t="s">
        <v>668</v>
      </c>
      <c r="RP22" s="15" t="s">
        <v>668</v>
      </c>
      <c r="RQ22" s="15" t="s">
        <v>668</v>
      </c>
      <c r="RR22" s="15" t="s">
        <v>668</v>
      </c>
      <c r="RS22" s="15" t="s">
        <v>668</v>
      </c>
      <c r="RT22" s="15" t="s">
        <v>668</v>
      </c>
      <c r="RU22" s="15" t="s">
        <v>668</v>
      </c>
      <c r="RV22" s="15" t="s">
        <v>668</v>
      </c>
      <c r="RW22" s="15" t="s">
        <v>668</v>
      </c>
      <c r="RX22" s="15" t="s">
        <v>668</v>
      </c>
      <c r="RY22" s="15" t="s">
        <v>668</v>
      </c>
      <c r="RZ22" s="15" t="s">
        <v>668</v>
      </c>
      <c r="SA22" s="15" t="s">
        <v>668</v>
      </c>
      <c r="SB22" s="15" t="s">
        <v>668</v>
      </c>
      <c r="SC22" s="15" t="s">
        <v>668</v>
      </c>
      <c r="SD22" s="15" t="s">
        <v>668</v>
      </c>
      <c r="SE22" s="15" t="s">
        <v>668</v>
      </c>
      <c r="SF22" s="15" t="s">
        <v>668</v>
      </c>
      <c r="SG22" s="15" t="s">
        <v>668</v>
      </c>
      <c r="SH22" s="15" t="s">
        <v>668</v>
      </c>
      <c r="SI22" s="15" t="s">
        <v>668</v>
      </c>
      <c r="SJ22" s="15" t="s">
        <v>668</v>
      </c>
      <c r="SK22" s="15" t="s">
        <v>668</v>
      </c>
      <c r="SL22" s="15" t="s">
        <v>668</v>
      </c>
    </row>
    <row r="23" spans="1:506" x14ac:dyDescent="0.2">
      <c r="A23" s="37">
        <v>21</v>
      </c>
      <c r="B23" s="15" t="s">
        <v>553</v>
      </c>
      <c r="C23" s="17">
        <f>+'Detalle Compras'!D23</f>
        <v>202505300010</v>
      </c>
      <c r="D23" s="55">
        <f t="shared" si="13"/>
        <v>12.0314</v>
      </c>
      <c r="E23" s="14">
        <f>+IF(B23="","",'Detalle Compras'!S23+0)</f>
        <v>45848</v>
      </c>
      <c r="F23" s="14">
        <f>+IF(B23="","",EOMONTH('Detalle Compras'!S23,G23)+10)</f>
        <v>58663</v>
      </c>
      <c r="G23" s="50">
        <f t="shared" si="14"/>
        <v>420</v>
      </c>
      <c r="H23" s="50">
        <f t="shared" si="15"/>
        <v>413</v>
      </c>
      <c r="I23" s="52"/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2"/>
      <c r="U23" s="52"/>
      <c r="V23" s="52"/>
      <c r="W23" s="52"/>
      <c r="X23" s="52"/>
      <c r="Y23" s="52">
        <v>12.0314</v>
      </c>
      <c r="Z23" s="52">
        <v>12.0314</v>
      </c>
      <c r="AA23" s="52">
        <v>12.0314</v>
      </c>
      <c r="AB23" s="52">
        <v>12.0314</v>
      </c>
      <c r="AC23" s="52">
        <v>12.0314</v>
      </c>
      <c r="AD23" s="52">
        <v>12.0314</v>
      </c>
      <c r="AE23" s="52">
        <v>12.0314</v>
      </c>
      <c r="AF23" s="52">
        <v>12.0314</v>
      </c>
      <c r="AG23" s="52">
        <v>12.0314</v>
      </c>
      <c r="AH23" s="52">
        <v>12.0314</v>
      </c>
      <c r="AI23" s="52">
        <v>12.0314</v>
      </c>
      <c r="AJ23" s="52">
        <v>12.0314</v>
      </c>
      <c r="AK23" s="52">
        <v>12.0314</v>
      </c>
      <c r="AL23" s="52">
        <v>12.0314</v>
      </c>
      <c r="AM23" s="52">
        <v>12.0314</v>
      </c>
      <c r="AN23" s="52">
        <v>12.0314</v>
      </c>
      <c r="AO23" s="52">
        <v>12.0314</v>
      </c>
      <c r="AP23" s="52">
        <v>12.0314</v>
      </c>
      <c r="AQ23" s="52">
        <v>12.0314</v>
      </c>
      <c r="AR23" s="52">
        <v>12.0314</v>
      </c>
      <c r="AS23" s="52">
        <v>12.0314</v>
      </c>
      <c r="AT23" s="52">
        <v>12.0314</v>
      </c>
      <c r="AU23" s="52">
        <v>12.0314</v>
      </c>
      <c r="AV23" s="52">
        <v>12.0314</v>
      </c>
      <c r="AW23" s="52">
        <v>12.0314</v>
      </c>
      <c r="AX23" s="52">
        <v>12.0314</v>
      </c>
      <c r="AY23" s="52">
        <v>12.0314</v>
      </c>
      <c r="AZ23" s="52">
        <v>12.0314</v>
      </c>
      <c r="BA23" s="52">
        <v>12.0314</v>
      </c>
      <c r="BB23" s="52">
        <v>12.0314</v>
      </c>
      <c r="BC23" s="52">
        <v>12.0314</v>
      </c>
      <c r="BD23" s="52">
        <v>12.0314</v>
      </c>
      <c r="BE23" s="52">
        <v>12.0314</v>
      </c>
      <c r="BF23" s="52">
        <v>12.0314</v>
      </c>
      <c r="BG23" s="52">
        <v>12.0314</v>
      </c>
      <c r="BH23" s="52">
        <v>12.0314</v>
      </c>
      <c r="BI23" s="52">
        <v>12.0314</v>
      </c>
      <c r="BJ23" s="52">
        <v>12.0314</v>
      </c>
      <c r="BK23" s="52">
        <v>12.0314</v>
      </c>
      <c r="BL23" s="52">
        <v>12.0314</v>
      </c>
      <c r="BM23" s="52">
        <v>12.0314</v>
      </c>
      <c r="BN23" s="52">
        <v>12.0314</v>
      </c>
      <c r="BO23" s="52">
        <v>12.0314</v>
      </c>
      <c r="BP23" s="52">
        <v>12.0314</v>
      </c>
      <c r="BQ23" s="52">
        <v>12.0314</v>
      </c>
      <c r="BR23" s="52">
        <v>12.0314</v>
      </c>
      <c r="BS23" s="52">
        <v>12.0314</v>
      </c>
      <c r="BT23" s="52">
        <v>12.0314</v>
      </c>
      <c r="BU23" s="52">
        <v>12.0314</v>
      </c>
      <c r="BV23" s="52">
        <v>12.0314</v>
      </c>
      <c r="BW23" s="52">
        <v>12.0314</v>
      </c>
      <c r="BX23" s="52">
        <v>12.0314</v>
      </c>
      <c r="BY23" s="52">
        <v>12.0314</v>
      </c>
      <c r="BZ23" s="52">
        <v>12.0314</v>
      </c>
      <c r="CA23" s="52">
        <v>12.0314</v>
      </c>
      <c r="CB23" s="52">
        <v>12.0314</v>
      </c>
      <c r="CC23" s="52">
        <v>12.0314</v>
      </c>
      <c r="CD23" s="52">
        <v>12.0314</v>
      </c>
      <c r="CE23" s="52">
        <v>12.0314</v>
      </c>
      <c r="CF23" s="52">
        <v>12.0314</v>
      </c>
      <c r="CG23" s="52">
        <v>12.0314</v>
      </c>
      <c r="CH23" s="52">
        <v>12.0314</v>
      </c>
      <c r="CI23" s="52">
        <v>12.0314</v>
      </c>
      <c r="CJ23" s="52">
        <v>12.0314</v>
      </c>
      <c r="CK23" s="52">
        <v>12.0314</v>
      </c>
      <c r="CL23" s="52">
        <v>12.0314</v>
      </c>
      <c r="CM23" s="52">
        <v>12.0314</v>
      </c>
      <c r="CN23" s="52">
        <v>12.0314</v>
      </c>
      <c r="CO23" s="52">
        <v>12.0314</v>
      </c>
      <c r="CP23" s="52">
        <v>12.0314</v>
      </c>
      <c r="CQ23" s="52">
        <v>12.0314</v>
      </c>
      <c r="CR23" s="52">
        <v>12.0314</v>
      </c>
      <c r="CS23" s="52">
        <v>12.0314</v>
      </c>
      <c r="CT23" s="52">
        <v>12.0314</v>
      </c>
      <c r="CU23" s="52">
        <v>12.0314</v>
      </c>
      <c r="CV23" s="52">
        <v>12.0314</v>
      </c>
      <c r="CW23" s="52">
        <v>12.0314</v>
      </c>
      <c r="CX23" s="52">
        <v>12.0314</v>
      </c>
      <c r="CY23" s="52">
        <v>12.0314</v>
      </c>
      <c r="CZ23" s="52">
        <v>12.0314</v>
      </c>
      <c r="DA23" s="52">
        <v>12.0314</v>
      </c>
      <c r="DB23" s="52">
        <v>12.0314</v>
      </c>
      <c r="DC23" s="52">
        <v>12.0314</v>
      </c>
      <c r="DD23" s="52">
        <v>12.0314</v>
      </c>
      <c r="DE23" s="52">
        <v>12.0314</v>
      </c>
      <c r="DF23" s="52">
        <v>12.0314</v>
      </c>
      <c r="DG23" s="52">
        <v>12.0314</v>
      </c>
      <c r="DH23" s="52">
        <v>12.0314</v>
      </c>
      <c r="DI23" s="52">
        <v>12.0314</v>
      </c>
      <c r="DJ23" s="52">
        <v>12.0314</v>
      </c>
      <c r="DK23" s="52">
        <v>12.0314</v>
      </c>
      <c r="DL23" s="52">
        <v>12.0314</v>
      </c>
      <c r="DM23" s="52">
        <v>12.0314</v>
      </c>
      <c r="DN23" s="52">
        <v>12.0314</v>
      </c>
      <c r="DO23" s="52">
        <v>12.0314</v>
      </c>
      <c r="DP23" s="52">
        <v>12.0314</v>
      </c>
      <c r="DQ23" s="52">
        <v>12.0314</v>
      </c>
      <c r="DR23" s="52">
        <v>12.0314</v>
      </c>
      <c r="DS23" s="52">
        <v>12.0314</v>
      </c>
      <c r="DT23" s="52">
        <v>12.0314</v>
      </c>
      <c r="DU23" s="52">
        <v>12.0314</v>
      </c>
      <c r="DV23" s="52">
        <v>12.0314</v>
      </c>
      <c r="DW23" s="52">
        <v>12.0314</v>
      </c>
      <c r="DX23" s="52">
        <v>12.0314</v>
      </c>
      <c r="DY23" s="52">
        <v>12.0314</v>
      </c>
      <c r="DZ23" s="52">
        <v>12.0314</v>
      </c>
      <c r="EA23" s="52">
        <v>12.0314</v>
      </c>
      <c r="EB23" s="52">
        <v>12.0314</v>
      </c>
      <c r="EC23" s="52">
        <v>12.0314</v>
      </c>
      <c r="ED23" s="52">
        <v>12.0314</v>
      </c>
      <c r="EE23" s="52">
        <v>12.0314</v>
      </c>
      <c r="EF23" s="52">
        <v>12.0314</v>
      </c>
      <c r="EG23" s="52">
        <v>12.0314</v>
      </c>
      <c r="EH23" s="52">
        <v>12.0314</v>
      </c>
      <c r="EI23" s="52">
        <v>12.0314</v>
      </c>
      <c r="EJ23" s="52">
        <v>12.0314</v>
      </c>
      <c r="EK23" s="52">
        <v>12.0314</v>
      </c>
      <c r="EL23" s="52">
        <v>12.0314</v>
      </c>
      <c r="EM23" s="52">
        <v>12.0314</v>
      </c>
      <c r="EN23" s="52">
        <v>12.0314</v>
      </c>
      <c r="EO23" s="52">
        <v>12.0314</v>
      </c>
      <c r="EP23" s="52">
        <v>12.0314</v>
      </c>
      <c r="EQ23" s="52">
        <v>12.0314</v>
      </c>
      <c r="ER23" s="52">
        <v>12.0314</v>
      </c>
      <c r="ES23" s="52">
        <v>12.0314</v>
      </c>
      <c r="ET23" s="52">
        <v>12.0314</v>
      </c>
      <c r="EU23" s="52">
        <v>12.0314</v>
      </c>
      <c r="EV23" s="52">
        <v>12.0314</v>
      </c>
      <c r="EW23" s="52">
        <v>12.0314</v>
      </c>
      <c r="EX23" s="52">
        <v>12.0314</v>
      </c>
      <c r="EY23" s="52">
        <v>12.0314</v>
      </c>
      <c r="EZ23" s="52">
        <v>12.0314</v>
      </c>
      <c r="FA23" s="52">
        <v>12.0314</v>
      </c>
      <c r="FB23" s="52">
        <v>12.0314</v>
      </c>
      <c r="FC23" s="52">
        <v>12.0314</v>
      </c>
      <c r="FD23" s="52">
        <v>12.0314</v>
      </c>
      <c r="FE23" s="52">
        <v>12.0314</v>
      </c>
      <c r="FF23" s="52">
        <v>12.0314</v>
      </c>
      <c r="FG23" s="52">
        <v>12.0314</v>
      </c>
      <c r="FH23" s="52">
        <v>12.0314</v>
      </c>
      <c r="FI23" s="52">
        <v>12.0314</v>
      </c>
      <c r="FJ23" s="52">
        <v>12.0314</v>
      </c>
      <c r="FK23" s="52">
        <v>12.0314</v>
      </c>
      <c r="FL23" s="52">
        <v>12.0314</v>
      </c>
      <c r="FM23" s="52">
        <v>12.0314</v>
      </c>
      <c r="FN23" s="52">
        <v>12.0314</v>
      </c>
      <c r="FO23" s="52">
        <v>12.0314</v>
      </c>
      <c r="FP23" s="52">
        <v>12.0314</v>
      </c>
      <c r="FQ23" s="52">
        <v>12.0314</v>
      </c>
      <c r="FR23" s="52">
        <v>12.0314</v>
      </c>
      <c r="FS23" s="52">
        <v>12.0314</v>
      </c>
      <c r="FT23" s="52">
        <v>12.0314</v>
      </c>
      <c r="FU23" s="52">
        <v>12.0314</v>
      </c>
      <c r="FV23" s="52">
        <v>12.0314</v>
      </c>
      <c r="FW23" s="52">
        <v>12.0314</v>
      </c>
      <c r="FX23" s="52">
        <v>12.0314</v>
      </c>
      <c r="FY23" s="52">
        <v>12.0314</v>
      </c>
      <c r="FZ23" s="52">
        <v>12.0314</v>
      </c>
      <c r="GA23" s="52">
        <v>12.0314</v>
      </c>
      <c r="GB23" s="52">
        <v>12.0314</v>
      </c>
      <c r="GC23" s="52">
        <v>12.0314</v>
      </c>
      <c r="GD23" s="52">
        <v>12.0314</v>
      </c>
      <c r="GE23" s="52">
        <v>12.0314</v>
      </c>
      <c r="GF23" s="52">
        <v>12.0314</v>
      </c>
      <c r="GG23" s="52">
        <v>12.0314</v>
      </c>
      <c r="GH23" s="52">
        <v>12.0314</v>
      </c>
      <c r="GI23" s="52">
        <v>12.0314</v>
      </c>
      <c r="GJ23" s="52">
        <v>12.0314</v>
      </c>
      <c r="GK23" s="52">
        <v>12.0314</v>
      </c>
      <c r="GL23" s="52">
        <v>12.0314</v>
      </c>
      <c r="GM23" s="52">
        <v>12.0314</v>
      </c>
      <c r="GN23" s="52">
        <v>12.0314</v>
      </c>
      <c r="GO23" s="52">
        <v>12.0314</v>
      </c>
      <c r="GP23" s="52">
        <v>12.0314</v>
      </c>
      <c r="GQ23" s="52">
        <v>12.0314</v>
      </c>
      <c r="GR23" s="52">
        <v>12.0314</v>
      </c>
      <c r="GS23" s="52">
        <v>12.0314</v>
      </c>
      <c r="GT23" s="52">
        <v>12.0314</v>
      </c>
      <c r="GU23" s="52">
        <v>12.0314</v>
      </c>
      <c r="GV23" s="52">
        <v>12.0314</v>
      </c>
      <c r="GW23" s="52">
        <v>12.0314</v>
      </c>
      <c r="GX23" s="52">
        <v>12.0314</v>
      </c>
      <c r="GY23" s="52">
        <v>12.0314</v>
      </c>
      <c r="GZ23" s="52">
        <v>12.0314</v>
      </c>
      <c r="HA23" s="52">
        <v>12.0314</v>
      </c>
      <c r="HB23" s="52">
        <v>12.0314</v>
      </c>
      <c r="HC23" s="52">
        <v>12.0314</v>
      </c>
      <c r="HD23" s="52">
        <v>12.0314</v>
      </c>
      <c r="HE23" s="52">
        <v>12.0314</v>
      </c>
      <c r="HF23" s="52">
        <v>12.0314</v>
      </c>
      <c r="HG23" s="52">
        <v>12.0314</v>
      </c>
      <c r="HH23" s="52">
        <v>12.0314</v>
      </c>
      <c r="HI23" s="52">
        <v>12.0314</v>
      </c>
      <c r="HJ23" s="52">
        <v>12.0314</v>
      </c>
      <c r="HK23" s="52">
        <v>12.0314</v>
      </c>
      <c r="HL23" s="52">
        <v>12.0314</v>
      </c>
      <c r="HM23" s="52">
        <v>12.0314</v>
      </c>
      <c r="HN23" s="52">
        <v>12.0314</v>
      </c>
      <c r="HO23" s="52">
        <v>12.0314</v>
      </c>
      <c r="HP23" s="52">
        <v>12.0314</v>
      </c>
      <c r="HQ23" s="52">
        <v>12.0314</v>
      </c>
      <c r="HR23" s="52">
        <v>12.0314</v>
      </c>
      <c r="HS23" s="52">
        <v>12.0314</v>
      </c>
      <c r="HT23" s="52">
        <v>12.0314</v>
      </c>
      <c r="HU23" s="52">
        <v>12.0314</v>
      </c>
      <c r="HV23" s="52">
        <v>12.0314</v>
      </c>
      <c r="HW23" s="52">
        <v>12.0314</v>
      </c>
      <c r="HX23" s="52">
        <v>12.0314</v>
      </c>
      <c r="HY23" s="52">
        <v>12.0314</v>
      </c>
      <c r="HZ23" s="52">
        <v>12.0314</v>
      </c>
      <c r="IA23" s="52">
        <v>12.0314</v>
      </c>
      <c r="IB23" s="52">
        <v>12.0314</v>
      </c>
      <c r="IC23" s="52">
        <v>12.0314</v>
      </c>
      <c r="ID23" s="52">
        <v>12.0314</v>
      </c>
      <c r="IE23" s="52">
        <v>12.0314</v>
      </c>
      <c r="IF23" s="52">
        <v>12.0314</v>
      </c>
      <c r="IG23" s="52">
        <v>12.0314</v>
      </c>
      <c r="IH23" s="52">
        <v>12.0314</v>
      </c>
      <c r="II23" s="52">
        <v>12.0314</v>
      </c>
      <c r="IJ23" s="52">
        <v>12.0314</v>
      </c>
      <c r="IK23" s="52">
        <v>12.0314</v>
      </c>
      <c r="IL23" s="52">
        <v>12.0314</v>
      </c>
      <c r="IM23" s="52">
        <v>12.0314</v>
      </c>
      <c r="IN23" s="52">
        <v>12.0314</v>
      </c>
      <c r="IO23" s="52">
        <v>12.0314</v>
      </c>
      <c r="IP23" s="52">
        <v>12.0314</v>
      </c>
      <c r="IQ23" s="52">
        <v>12.0314</v>
      </c>
      <c r="IR23" s="52">
        <v>12.0314</v>
      </c>
      <c r="IS23" s="52">
        <v>12.0314</v>
      </c>
      <c r="IT23" s="52">
        <v>12.0314</v>
      </c>
      <c r="IU23" s="52">
        <v>12.0314</v>
      </c>
      <c r="IV23" s="52">
        <v>12.0314</v>
      </c>
      <c r="IW23" s="52">
        <v>12.0314</v>
      </c>
      <c r="IX23" s="52">
        <v>12.0314</v>
      </c>
      <c r="IY23" s="52">
        <v>12.0314</v>
      </c>
      <c r="IZ23" s="52">
        <v>12.0314</v>
      </c>
      <c r="JA23" s="52">
        <v>12.0314</v>
      </c>
      <c r="JB23" s="52">
        <v>12.0314</v>
      </c>
      <c r="JC23" s="52">
        <v>12.0314</v>
      </c>
      <c r="JD23" s="52">
        <v>12.0314</v>
      </c>
      <c r="JE23" s="52">
        <v>12.0314</v>
      </c>
      <c r="JF23" s="52">
        <v>12.0314</v>
      </c>
      <c r="JG23" s="52">
        <v>12.0314</v>
      </c>
      <c r="JH23" s="52">
        <v>12.0314</v>
      </c>
      <c r="JI23" s="52">
        <v>12.0314</v>
      </c>
      <c r="JJ23" s="52">
        <v>12.0314</v>
      </c>
      <c r="JK23" s="52">
        <v>12.0314</v>
      </c>
      <c r="JL23" s="52">
        <v>12.0314</v>
      </c>
      <c r="JM23" s="52">
        <v>12.0314</v>
      </c>
      <c r="JN23" s="52">
        <v>12.0314</v>
      </c>
      <c r="JO23" s="52">
        <v>12.0314</v>
      </c>
      <c r="JP23" s="52">
        <v>12.0314</v>
      </c>
      <c r="JQ23" s="52">
        <v>12.0314</v>
      </c>
      <c r="JR23" s="52">
        <v>12.0314</v>
      </c>
      <c r="JS23" s="52">
        <v>12.0314</v>
      </c>
      <c r="JT23" s="52">
        <v>12.0314</v>
      </c>
      <c r="JU23" s="52">
        <v>12.0314</v>
      </c>
      <c r="JV23" s="52">
        <v>12.0314</v>
      </c>
      <c r="JW23" s="52">
        <v>12.0314</v>
      </c>
      <c r="JX23" s="52">
        <v>12.0314</v>
      </c>
      <c r="JY23" s="52">
        <v>12.0314</v>
      </c>
      <c r="JZ23" s="52">
        <v>12.0314</v>
      </c>
      <c r="KA23" s="52">
        <v>12.0314</v>
      </c>
      <c r="KB23" s="52">
        <v>12.0314</v>
      </c>
      <c r="KC23" s="52">
        <v>12.0314</v>
      </c>
      <c r="KD23" s="52">
        <v>12.0314</v>
      </c>
      <c r="KE23" s="52">
        <v>12.0314</v>
      </c>
      <c r="KF23" s="52">
        <v>12.0314</v>
      </c>
      <c r="KG23" s="52">
        <v>12.0314</v>
      </c>
      <c r="KH23" s="52">
        <v>12.0314</v>
      </c>
      <c r="KI23" s="52">
        <v>12.0314</v>
      </c>
      <c r="KJ23" s="52">
        <v>12.0314</v>
      </c>
      <c r="KK23" s="52">
        <v>12.0314</v>
      </c>
      <c r="KL23" s="52">
        <v>12.0314</v>
      </c>
      <c r="KM23" s="52">
        <v>12.0314</v>
      </c>
      <c r="KN23" s="52">
        <v>12.0314</v>
      </c>
      <c r="KO23" s="52">
        <v>12.0314</v>
      </c>
      <c r="KP23" s="52">
        <v>12.0314</v>
      </c>
      <c r="KQ23" s="52">
        <v>12.0314</v>
      </c>
      <c r="KR23" s="52">
        <v>12.0314</v>
      </c>
      <c r="KS23" s="52">
        <v>12.0314</v>
      </c>
      <c r="KT23" s="52">
        <v>12.0314</v>
      </c>
      <c r="KU23" s="52">
        <v>12.0314</v>
      </c>
      <c r="KV23" s="52">
        <v>12.0314</v>
      </c>
      <c r="KW23" s="52">
        <v>12.0314</v>
      </c>
      <c r="KX23" s="52">
        <v>12.0314</v>
      </c>
      <c r="KY23" s="52">
        <v>12.0314</v>
      </c>
      <c r="KZ23" s="52">
        <v>12.0314</v>
      </c>
      <c r="LA23" s="52">
        <v>12.0314</v>
      </c>
      <c r="LB23" s="52">
        <v>12.0314</v>
      </c>
      <c r="LC23" s="52">
        <v>12.0314</v>
      </c>
      <c r="LD23" s="52">
        <v>12.0314</v>
      </c>
      <c r="LE23" s="52">
        <v>12.0314</v>
      </c>
      <c r="LF23" s="52">
        <v>12.0314</v>
      </c>
      <c r="LG23" s="52">
        <v>12.0314</v>
      </c>
      <c r="LH23" s="52">
        <v>12.0314</v>
      </c>
      <c r="LI23" s="52">
        <v>12.0314</v>
      </c>
      <c r="LJ23" s="52">
        <v>12.0314</v>
      </c>
      <c r="LK23" s="52">
        <v>12.0314</v>
      </c>
      <c r="LL23" s="52">
        <v>12.0314</v>
      </c>
      <c r="LM23" s="52">
        <v>12.0314</v>
      </c>
      <c r="LN23" s="52">
        <v>12.0314</v>
      </c>
      <c r="LO23" s="52">
        <v>12.0314</v>
      </c>
      <c r="LP23" s="52">
        <v>12.0314</v>
      </c>
      <c r="LQ23" s="52">
        <v>12.0314</v>
      </c>
      <c r="LR23" s="52">
        <v>12.0314</v>
      </c>
      <c r="LS23" s="52">
        <v>12.0314</v>
      </c>
      <c r="LT23" s="52">
        <v>12.0314</v>
      </c>
      <c r="LU23" s="52">
        <v>12.0314</v>
      </c>
      <c r="LV23" s="52">
        <v>12.0314</v>
      </c>
      <c r="LW23" s="52">
        <v>12.0314</v>
      </c>
      <c r="LX23" s="52">
        <v>12.0314</v>
      </c>
      <c r="LY23" s="52">
        <v>12.0314</v>
      </c>
      <c r="LZ23" s="52">
        <v>12.0314</v>
      </c>
      <c r="MA23" s="52">
        <v>12.0314</v>
      </c>
      <c r="MB23" s="52">
        <v>12.0314</v>
      </c>
      <c r="MC23" s="52">
        <v>12.0314</v>
      </c>
      <c r="MD23" s="52">
        <v>12.0314</v>
      </c>
      <c r="ME23" s="52">
        <v>12.0314</v>
      </c>
      <c r="MF23" s="52">
        <v>12.0314</v>
      </c>
      <c r="MG23" s="52">
        <v>12.0314</v>
      </c>
      <c r="MH23" s="52">
        <v>12.0314</v>
      </c>
      <c r="MI23" s="52">
        <v>12.0314</v>
      </c>
      <c r="MJ23" s="52">
        <v>12.0314</v>
      </c>
      <c r="MK23" s="52">
        <v>12.0314</v>
      </c>
      <c r="ML23" s="52">
        <v>12.0314</v>
      </c>
      <c r="MM23" s="52">
        <v>12.0314</v>
      </c>
      <c r="MN23" s="52">
        <v>12.0314</v>
      </c>
      <c r="MO23" s="52">
        <v>12.0314</v>
      </c>
      <c r="MP23" s="52">
        <v>12.0314</v>
      </c>
      <c r="MQ23" s="52">
        <v>12.0314</v>
      </c>
      <c r="MR23" s="52">
        <v>12.0314</v>
      </c>
      <c r="MS23" s="52">
        <v>12.0314</v>
      </c>
      <c r="MT23" s="52">
        <v>12.0314</v>
      </c>
      <c r="MU23" s="52">
        <v>12.0314</v>
      </c>
      <c r="MV23" s="52">
        <v>12.0314</v>
      </c>
      <c r="MW23" s="52">
        <v>12.0314</v>
      </c>
      <c r="MX23" s="52">
        <v>12.0314</v>
      </c>
      <c r="MY23" s="52">
        <v>12.0314</v>
      </c>
      <c r="MZ23" s="52">
        <v>12.0314</v>
      </c>
      <c r="NA23" s="52">
        <v>12.0314</v>
      </c>
      <c r="NB23" s="52">
        <v>12.0314</v>
      </c>
      <c r="NC23" s="52">
        <v>12.0314</v>
      </c>
      <c r="ND23" s="52">
        <v>12.0314</v>
      </c>
      <c r="NE23" s="37">
        <v>12.0314</v>
      </c>
      <c r="NF23" s="37">
        <v>12.0314</v>
      </c>
      <c r="NG23" s="37">
        <v>12.0314</v>
      </c>
      <c r="NH23" s="37">
        <v>12.0314</v>
      </c>
      <c r="NI23" s="37">
        <v>12.0314</v>
      </c>
      <c r="NJ23" s="37">
        <v>12.0314</v>
      </c>
      <c r="NK23" s="37">
        <v>12.0314</v>
      </c>
      <c r="NL23" s="37">
        <v>12.0314</v>
      </c>
      <c r="NM23" s="37">
        <v>12.0314</v>
      </c>
      <c r="NN23" s="37">
        <v>12.0314</v>
      </c>
      <c r="NO23" s="37">
        <v>12.0314</v>
      </c>
      <c r="NP23" s="37">
        <v>12.0314</v>
      </c>
      <c r="NQ23" s="37">
        <v>12.0314</v>
      </c>
      <c r="NR23" s="37">
        <v>12.0314</v>
      </c>
      <c r="NS23" s="37">
        <v>12.0314</v>
      </c>
      <c r="NT23" s="37">
        <v>12.0314</v>
      </c>
      <c r="NU23" s="37">
        <v>12.0314</v>
      </c>
      <c r="NV23" s="37">
        <v>12.0314</v>
      </c>
      <c r="NW23" s="37">
        <v>12.0314</v>
      </c>
      <c r="NX23" s="37">
        <v>12.0314</v>
      </c>
      <c r="NY23" s="37">
        <v>12.0314</v>
      </c>
      <c r="NZ23" s="37">
        <v>12.0314</v>
      </c>
      <c r="OA23" s="37">
        <v>12.0314</v>
      </c>
      <c r="OB23" s="37">
        <v>12.0314</v>
      </c>
      <c r="OC23" s="37">
        <v>12.0314</v>
      </c>
      <c r="OD23" s="37">
        <v>12.0314</v>
      </c>
      <c r="OE23" s="37">
        <v>12.0314</v>
      </c>
      <c r="OF23" s="37">
        <v>12.0314</v>
      </c>
      <c r="OG23" s="37">
        <v>12.0314</v>
      </c>
      <c r="OH23" s="37">
        <v>12.0314</v>
      </c>
      <c r="OI23" s="37">
        <v>12.0314</v>
      </c>
      <c r="OJ23" s="37">
        <v>12.0314</v>
      </c>
      <c r="OK23" s="37">
        <v>12.0314</v>
      </c>
      <c r="OL23" s="37">
        <v>12.0314</v>
      </c>
      <c r="OM23" s="37">
        <v>12.0314</v>
      </c>
      <c r="ON23" s="37">
        <v>12.0314</v>
      </c>
      <c r="OO23" s="37">
        <v>12.0314</v>
      </c>
      <c r="OP23" s="37">
        <v>12.0314</v>
      </c>
      <c r="OQ23" s="37">
        <v>12.0314</v>
      </c>
      <c r="OR23" s="37">
        <v>12.0314</v>
      </c>
      <c r="OS23" s="37">
        <v>12.0314</v>
      </c>
      <c r="OT23" s="37">
        <v>12.0314</v>
      </c>
      <c r="OU23" s="37">
        <v>12.0314</v>
      </c>
      <c r="OV23" s="37">
        <v>12.0314</v>
      </c>
      <c r="OW23" s="37">
        <v>12.0314</v>
      </c>
      <c r="OX23" s="37">
        <v>12.0314</v>
      </c>
      <c r="OY23" s="37">
        <v>12.0314</v>
      </c>
      <c r="OZ23" s="37">
        <v>12.0314</v>
      </c>
      <c r="PA23" s="37">
        <v>12.0314</v>
      </c>
      <c r="PB23" s="37">
        <v>12.0314</v>
      </c>
      <c r="PC23" s="37">
        <v>12.0314</v>
      </c>
      <c r="PD23" s="37">
        <v>12.0314</v>
      </c>
      <c r="PE23" s="37">
        <v>12.0314</v>
      </c>
      <c r="PF23" s="37">
        <v>12.0314</v>
      </c>
      <c r="PG23" s="37">
        <v>12.0314</v>
      </c>
      <c r="PH23" s="37">
        <v>12.0314</v>
      </c>
      <c r="PI23" s="37">
        <v>12.0314</v>
      </c>
      <c r="PJ23" s="37">
        <v>12.0314</v>
      </c>
      <c r="PK23" s="37">
        <v>12.0314</v>
      </c>
      <c r="PL23" s="37">
        <v>12.0314</v>
      </c>
      <c r="PM23" s="37">
        <v>12.0314</v>
      </c>
      <c r="PN23" s="37">
        <v>12.0314</v>
      </c>
      <c r="PO23" s="37">
        <v>12.0314</v>
      </c>
      <c r="PP23" s="37">
        <v>12.0314</v>
      </c>
      <c r="PQ23" s="37">
        <v>12.0314</v>
      </c>
      <c r="PR23" s="37">
        <v>12.0314</v>
      </c>
      <c r="PS23" s="15">
        <v>12.0314</v>
      </c>
      <c r="PT23" s="15">
        <v>12.0314</v>
      </c>
      <c r="PU23" s="15">
        <v>12.0314</v>
      </c>
      <c r="PV23" s="15">
        <v>12.0314</v>
      </c>
      <c r="PW23" s="15">
        <v>12.0314</v>
      </c>
      <c r="PX23" s="15">
        <v>12.0314</v>
      </c>
      <c r="PY23" s="15">
        <v>12.0314</v>
      </c>
      <c r="PZ23" s="15">
        <v>12.0314</v>
      </c>
      <c r="QA23" s="15">
        <v>12.0314</v>
      </c>
      <c r="QB23" s="15">
        <v>10.70055</v>
      </c>
      <c r="QC23" s="15" t="s">
        <v>668</v>
      </c>
      <c r="QD23" s="15" t="s">
        <v>668</v>
      </c>
      <c r="QE23" s="15" t="s">
        <v>668</v>
      </c>
      <c r="QF23" s="15" t="s">
        <v>668</v>
      </c>
      <c r="QG23" s="15" t="s">
        <v>668</v>
      </c>
      <c r="QH23" s="15" t="s">
        <v>668</v>
      </c>
      <c r="QI23" s="15" t="s">
        <v>668</v>
      </c>
      <c r="QJ23" s="15" t="s">
        <v>668</v>
      </c>
      <c r="QK23" s="15" t="s">
        <v>668</v>
      </c>
      <c r="QL23" s="15" t="s">
        <v>668</v>
      </c>
      <c r="QM23" s="15" t="s">
        <v>668</v>
      </c>
      <c r="QN23" s="15" t="s">
        <v>668</v>
      </c>
      <c r="QO23" s="15" t="s">
        <v>668</v>
      </c>
      <c r="QP23" s="15" t="s">
        <v>668</v>
      </c>
      <c r="QQ23" s="15" t="s">
        <v>668</v>
      </c>
      <c r="QR23" s="15" t="s">
        <v>668</v>
      </c>
      <c r="QS23" s="15" t="s">
        <v>668</v>
      </c>
      <c r="QT23" s="15" t="s">
        <v>668</v>
      </c>
      <c r="QU23" s="15" t="s">
        <v>668</v>
      </c>
      <c r="QV23" s="15" t="s">
        <v>668</v>
      </c>
      <c r="QW23" s="15" t="s">
        <v>668</v>
      </c>
      <c r="QX23" s="15" t="s">
        <v>668</v>
      </c>
      <c r="QY23" s="15" t="s">
        <v>668</v>
      </c>
      <c r="QZ23" s="15" t="s">
        <v>668</v>
      </c>
      <c r="RA23" s="15" t="s">
        <v>668</v>
      </c>
      <c r="RB23" s="15" t="s">
        <v>668</v>
      </c>
      <c r="RC23" s="15" t="s">
        <v>668</v>
      </c>
      <c r="RD23" s="15" t="s">
        <v>668</v>
      </c>
      <c r="RE23" s="15" t="s">
        <v>668</v>
      </c>
      <c r="RF23" s="15" t="s">
        <v>668</v>
      </c>
      <c r="RG23" s="15" t="s">
        <v>668</v>
      </c>
      <c r="RH23" s="15" t="s">
        <v>668</v>
      </c>
      <c r="RI23" s="15" t="s">
        <v>668</v>
      </c>
      <c r="RJ23" s="15" t="s">
        <v>668</v>
      </c>
      <c r="RK23" s="15" t="s">
        <v>668</v>
      </c>
      <c r="RL23" s="15" t="s">
        <v>668</v>
      </c>
      <c r="RM23" s="15" t="s">
        <v>668</v>
      </c>
      <c r="RN23" s="15" t="s">
        <v>668</v>
      </c>
      <c r="RO23" s="15" t="s">
        <v>668</v>
      </c>
      <c r="RP23" s="15" t="s">
        <v>668</v>
      </c>
      <c r="RQ23" s="15" t="s">
        <v>668</v>
      </c>
      <c r="RR23" s="15" t="s">
        <v>668</v>
      </c>
      <c r="RS23" s="15" t="s">
        <v>668</v>
      </c>
      <c r="RT23" s="15" t="s">
        <v>668</v>
      </c>
      <c r="RU23" s="15" t="s">
        <v>668</v>
      </c>
      <c r="RV23" s="15" t="s">
        <v>668</v>
      </c>
      <c r="RW23" s="15" t="s">
        <v>668</v>
      </c>
      <c r="RX23" s="15" t="s">
        <v>668</v>
      </c>
      <c r="RY23" s="15" t="s">
        <v>668</v>
      </c>
      <c r="RZ23" s="15" t="s">
        <v>668</v>
      </c>
      <c r="SA23" s="15" t="s">
        <v>668</v>
      </c>
      <c r="SB23" s="15" t="s">
        <v>668</v>
      </c>
      <c r="SC23" s="15" t="s">
        <v>668</v>
      </c>
      <c r="SD23" s="15" t="s">
        <v>668</v>
      </c>
      <c r="SE23" s="15" t="s">
        <v>668</v>
      </c>
      <c r="SF23" s="15" t="s">
        <v>668</v>
      </c>
      <c r="SG23" s="15" t="s">
        <v>668</v>
      </c>
      <c r="SH23" s="15" t="s">
        <v>668</v>
      </c>
      <c r="SI23" s="15" t="s">
        <v>668</v>
      </c>
      <c r="SJ23" s="15" t="s">
        <v>668</v>
      </c>
      <c r="SK23" s="15" t="s">
        <v>668</v>
      </c>
      <c r="SL23" s="15" t="s">
        <v>668</v>
      </c>
    </row>
    <row r="24" spans="1:506" x14ac:dyDescent="0.2">
      <c r="A24" s="37">
        <v>22</v>
      </c>
      <c r="B24" s="15" t="s">
        <v>554</v>
      </c>
      <c r="C24" s="17">
        <f>+'Detalle Compras'!D24</f>
        <v>202505300008</v>
      </c>
      <c r="D24" s="55">
        <f t="shared" si="13"/>
        <v>12.0314</v>
      </c>
      <c r="E24" s="14">
        <f>+IF(B24="","",'Detalle Compras'!S24+0)</f>
        <v>45848</v>
      </c>
      <c r="F24" s="14">
        <f>+IF(B24="","",EOMONTH('Detalle Compras'!S24,G24)+10)</f>
        <v>58663</v>
      </c>
      <c r="G24" s="50">
        <f t="shared" si="14"/>
        <v>420</v>
      </c>
      <c r="H24" s="50">
        <f t="shared" si="15"/>
        <v>413</v>
      </c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>
        <v>12.0314</v>
      </c>
      <c r="Z24" s="52">
        <v>12.0314</v>
      </c>
      <c r="AA24" s="52">
        <v>12.0314</v>
      </c>
      <c r="AB24" s="52">
        <v>12.0314</v>
      </c>
      <c r="AC24" s="52">
        <v>12.0314</v>
      </c>
      <c r="AD24" s="52">
        <v>12.0314</v>
      </c>
      <c r="AE24" s="52">
        <v>12.0314</v>
      </c>
      <c r="AF24" s="52">
        <v>12.0314</v>
      </c>
      <c r="AG24" s="52">
        <v>12.0314</v>
      </c>
      <c r="AH24" s="52">
        <v>12.0314</v>
      </c>
      <c r="AI24" s="52">
        <v>12.0314</v>
      </c>
      <c r="AJ24" s="52">
        <v>12.0314</v>
      </c>
      <c r="AK24" s="52">
        <v>12.0314</v>
      </c>
      <c r="AL24" s="52">
        <v>12.0314</v>
      </c>
      <c r="AM24" s="52">
        <v>12.0314</v>
      </c>
      <c r="AN24" s="52">
        <v>12.0314</v>
      </c>
      <c r="AO24" s="52">
        <v>12.0314</v>
      </c>
      <c r="AP24" s="52">
        <v>12.0314</v>
      </c>
      <c r="AQ24" s="52">
        <v>12.0314</v>
      </c>
      <c r="AR24" s="52">
        <v>12.0314</v>
      </c>
      <c r="AS24" s="52">
        <v>12.0314</v>
      </c>
      <c r="AT24" s="52">
        <v>12.0314</v>
      </c>
      <c r="AU24" s="52">
        <v>12.0314</v>
      </c>
      <c r="AV24" s="52">
        <v>12.0314</v>
      </c>
      <c r="AW24" s="52">
        <v>12.0314</v>
      </c>
      <c r="AX24" s="52">
        <v>12.0314</v>
      </c>
      <c r="AY24" s="52">
        <v>12.0314</v>
      </c>
      <c r="AZ24" s="52">
        <v>12.0314</v>
      </c>
      <c r="BA24" s="52">
        <v>12.0314</v>
      </c>
      <c r="BB24" s="52">
        <v>12.0314</v>
      </c>
      <c r="BC24" s="52">
        <v>12.0314</v>
      </c>
      <c r="BD24" s="52">
        <v>12.0314</v>
      </c>
      <c r="BE24" s="52">
        <v>12.0314</v>
      </c>
      <c r="BF24" s="52">
        <v>12.0314</v>
      </c>
      <c r="BG24" s="52">
        <v>12.0314</v>
      </c>
      <c r="BH24" s="52">
        <v>12.0314</v>
      </c>
      <c r="BI24" s="52">
        <v>12.0314</v>
      </c>
      <c r="BJ24" s="52">
        <v>12.0314</v>
      </c>
      <c r="BK24" s="52">
        <v>12.0314</v>
      </c>
      <c r="BL24" s="52">
        <v>12.0314</v>
      </c>
      <c r="BM24" s="52">
        <v>12.0314</v>
      </c>
      <c r="BN24" s="52">
        <v>12.0314</v>
      </c>
      <c r="BO24" s="52">
        <v>12.0314</v>
      </c>
      <c r="BP24" s="52">
        <v>12.0314</v>
      </c>
      <c r="BQ24" s="52">
        <v>12.0314</v>
      </c>
      <c r="BR24" s="52">
        <v>12.0314</v>
      </c>
      <c r="BS24" s="52">
        <v>12.0314</v>
      </c>
      <c r="BT24" s="52">
        <v>12.0314</v>
      </c>
      <c r="BU24" s="52">
        <v>12.0314</v>
      </c>
      <c r="BV24" s="52">
        <v>12.0314</v>
      </c>
      <c r="BW24" s="52">
        <v>12.0314</v>
      </c>
      <c r="BX24" s="52">
        <v>12.0314</v>
      </c>
      <c r="BY24" s="52">
        <v>12.0314</v>
      </c>
      <c r="BZ24" s="52">
        <v>12.0314</v>
      </c>
      <c r="CA24" s="52">
        <v>12.0314</v>
      </c>
      <c r="CB24" s="52">
        <v>12.0314</v>
      </c>
      <c r="CC24" s="52">
        <v>12.0314</v>
      </c>
      <c r="CD24" s="52">
        <v>12.0314</v>
      </c>
      <c r="CE24" s="52">
        <v>12.0314</v>
      </c>
      <c r="CF24" s="52">
        <v>12.0314</v>
      </c>
      <c r="CG24" s="52">
        <v>12.0314</v>
      </c>
      <c r="CH24" s="52">
        <v>12.0314</v>
      </c>
      <c r="CI24" s="52">
        <v>12.0314</v>
      </c>
      <c r="CJ24" s="52">
        <v>12.0314</v>
      </c>
      <c r="CK24" s="52">
        <v>12.0314</v>
      </c>
      <c r="CL24" s="52">
        <v>12.0314</v>
      </c>
      <c r="CM24" s="52">
        <v>12.0314</v>
      </c>
      <c r="CN24" s="52">
        <v>12.0314</v>
      </c>
      <c r="CO24" s="52">
        <v>12.0314</v>
      </c>
      <c r="CP24" s="52">
        <v>12.0314</v>
      </c>
      <c r="CQ24" s="52">
        <v>12.0314</v>
      </c>
      <c r="CR24" s="52">
        <v>12.0314</v>
      </c>
      <c r="CS24" s="52">
        <v>12.0314</v>
      </c>
      <c r="CT24" s="52">
        <v>12.0314</v>
      </c>
      <c r="CU24" s="52">
        <v>12.0314</v>
      </c>
      <c r="CV24" s="52">
        <v>12.0314</v>
      </c>
      <c r="CW24" s="52">
        <v>12.0314</v>
      </c>
      <c r="CX24" s="52">
        <v>12.0314</v>
      </c>
      <c r="CY24" s="52">
        <v>12.0314</v>
      </c>
      <c r="CZ24" s="52">
        <v>12.0314</v>
      </c>
      <c r="DA24" s="52">
        <v>12.0314</v>
      </c>
      <c r="DB24" s="52">
        <v>12.0314</v>
      </c>
      <c r="DC24" s="52">
        <v>12.0314</v>
      </c>
      <c r="DD24" s="52">
        <v>12.0314</v>
      </c>
      <c r="DE24" s="52">
        <v>12.0314</v>
      </c>
      <c r="DF24" s="52">
        <v>12.0314</v>
      </c>
      <c r="DG24" s="52">
        <v>12.0314</v>
      </c>
      <c r="DH24" s="52">
        <v>12.0314</v>
      </c>
      <c r="DI24" s="52">
        <v>12.0314</v>
      </c>
      <c r="DJ24" s="52">
        <v>12.0314</v>
      </c>
      <c r="DK24" s="52">
        <v>12.0314</v>
      </c>
      <c r="DL24" s="52">
        <v>12.0314</v>
      </c>
      <c r="DM24" s="52">
        <v>12.0314</v>
      </c>
      <c r="DN24" s="52">
        <v>12.0314</v>
      </c>
      <c r="DO24" s="52">
        <v>12.0314</v>
      </c>
      <c r="DP24" s="52">
        <v>12.0314</v>
      </c>
      <c r="DQ24" s="52">
        <v>12.0314</v>
      </c>
      <c r="DR24" s="52">
        <v>12.0314</v>
      </c>
      <c r="DS24" s="52">
        <v>12.0314</v>
      </c>
      <c r="DT24" s="52">
        <v>12.0314</v>
      </c>
      <c r="DU24" s="52">
        <v>12.0314</v>
      </c>
      <c r="DV24" s="52">
        <v>12.0314</v>
      </c>
      <c r="DW24" s="52">
        <v>12.0314</v>
      </c>
      <c r="DX24" s="52">
        <v>12.0314</v>
      </c>
      <c r="DY24" s="52">
        <v>12.0314</v>
      </c>
      <c r="DZ24" s="52">
        <v>12.0314</v>
      </c>
      <c r="EA24" s="52">
        <v>12.0314</v>
      </c>
      <c r="EB24" s="52">
        <v>12.0314</v>
      </c>
      <c r="EC24" s="52">
        <v>12.0314</v>
      </c>
      <c r="ED24" s="52">
        <v>12.0314</v>
      </c>
      <c r="EE24" s="52">
        <v>12.0314</v>
      </c>
      <c r="EF24" s="52">
        <v>12.0314</v>
      </c>
      <c r="EG24" s="52">
        <v>12.0314</v>
      </c>
      <c r="EH24" s="52">
        <v>12.0314</v>
      </c>
      <c r="EI24" s="52">
        <v>12.0314</v>
      </c>
      <c r="EJ24" s="52">
        <v>12.0314</v>
      </c>
      <c r="EK24" s="52">
        <v>12.0314</v>
      </c>
      <c r="EL24" s="52">
        <v>12.0314</v>
      </c>
      <c r="EM24" s="52">
        <v>12.0314</v>
      </c>
      <c r="EN24" s="52">
        <v>12.0314</v>
      </c>
      <c r="EO24" s="52">
        <v>12.0314</v>
      </c>
      <c r="EP24" s="52">
        <v>12.0314</v>
      </c>
      <c r="EQ24" s="52">
        <v>12.0314</v>
      </c>
      <c r="ER24" s="52">
        <v>12.0314</v>
      </c>
      <c r="ES24" s="52">
        <v>12.0314</v>
      </c>
      <c r="ET24" s="52">
        <v>12.0314</v>
      </c>
      <c r="EU24" s="52">
        <v>12.0314</v>
      </c>
      <c r="EV24" s="52">
        <v>12.0314</v>
      </c>
      <c r="EW24" s="52">
        <v>12.0314</v>
      </c>
      <c r="EX24" s="52">
        <v>12.0314</v>
      </c>
      <c r="EY24" s="52">
        <v>12.0314</v>
      </c>
      <c r="EZ24" s="52">
        <v>12.0314</v>
      </c>
      <c r="FA24" s="52">
        <v>12.0314</v>
      </c>
      <c r="FB24" s="52">
        <v>12.0314</v>
      </c>
      <c r="FC24" s="52">
        <v>12.0314</v>
      </c>
      <c r="FD24" s="52">
        <v>12.0314</v>
      </c>
      <c r="FE24" s="52">
        <v>12.0314</v>
      </c>
      <c r="FF24" s="52">
        <v>12.0314</v>
      </c>
      <c r="FG24" s="52">
        <v>12.0314</v>
      </c>
      <c r="FH24" s="52">
        <v>12.0314</v>
      </c>
      <c r="FI24" s="52">
        <v>12.0314</v>
      </c>
      <c r="FJ24" s="52">
        <v>12.0314</v>
      </c>
      <c r="FK24" s="52">
        <v>12.0314</v>
      </c>
      <c r="FL24" s="52">
        <v>12.0314</v>
      </c>
      <c r="FM24" s="52">
        <v>12.0314</v>
      </c>
      <c r="FN24" s="52">
        <v>12.0314</v>
      </c>
      <c r="FO24" s="52">
        <v>12.0314</v>
      </c>
      <c r="FP24" s="52">
        <v>12.0314</v>
      </c>
      <c r="FQ24" s="52">
        <v>12.0314</v>
      </c>
      <c r="FR24" s="52">
        <v>12.0314</v>
      </c>
      <c r="FS24" s="52">
        <v>12.0314</v>
      </c>
      <c r="FT24" s="52">
        <v>12.0314</v>
      </c>
      <c r="FU24" s="52">
        <v>12.0314</v>
      </c>
      <c r="FV24" s="52">
        <v>12.0314</v>
      </c>
      <c r="FW24" s="52">
        <v>12.0314</v>
      </c>
      <c r="FX24" s="52">
        <v>12.0314</v>
      </c>
      <c r="FY24" s="52">
        <v>12.0314</v>
      </c>
      <c r="FZ24" s="52">
        <v>12.0314</v>
      </c>
      <c r="GA24" s="52">
        <v>12.0314</v>
      </c>
      <c r="GB24" s="52">
        <v>12.0314</v>
      </c>
      <c r="GC24" s="52">
        <v>12.0314</v>
      </c>
      <c r="GD24" s="52">
        <v>12.0314</v>
      </c>
      <c r="GE24" s="52">
        <v>12.0314</v>
      </c>
      <c r="GF24" s="52">
        <v>12.0314</v>
      </c>
      <c r="GG24" s="52">
        <v>12.0314</v>
      </c>
      <c r="GH24" s="52">
        <v>12.0314</v>
      </c>
      <c r="GI24" s="52">
        <v>12.0314</v>
      </c>
      <c r="GJ24" s="52">
        <v>12.0314</v>
      </c>
      <c r="GK24" s="52">
        <v>12.0314</v>
      </c>
      <c r="GL24" s="52">
        <v>12.0314</v>
      </c>
      <c r="GM24" s="52">
        <v>12.0314</v>
      </c>
      <c r="GN24" s="52">
        <v>12.0314</v>
      </c>
      <c r="GO24" s="52">
        <v>12.0314</v>
      </c>
      <c r="GP24" s="52">
        <v>12.0314</v>
      </c>
      <c r="GQ24" s="52">
        <v>12.0314</v>
      </c>
      <c r="GR24" s="52">
        <v>12.0314</v>
      </c>
      <c r="GS24" s="52">
        <v>12.0314</v>
      </c>
      <c r="GT24" s="52">
        <v>12.0314</v>
      </c>
      <c r="GU24" s="52">
        <v>12.0314</v>
      </c>
      <c r="GV24" s="52">
        <v>12.0314</v>
      </c>
      <c r="GW24" s="52">
        <v>12.0314</v>
      </c>
      <c r="GX24" s="52">
        <v>12.0314</v>
      </c>
      <c r="GY24" s="52">
        <v>12.0314</v>
      </c>
      <c r="GZ24" s="52">
        <v>12.0314</v>
      </c>
      <c r="HA24" s="52">
        <v>12.0314</v>
      </c>
      <c r="HB24" s="52">
        <v>12.0314</v>
      </c>
      <c r="HC24" s="52">
        <v>12.0314</v>
      </c>
      <c r="HD24" s="52">
        <v>12.0314</v>
      </c>
      <c r="HE24" s="52">
        <v>12.0314</v>
      </c>
      <c r="HF24" s="52">
        <v>12.0314</v>
      </c>
      <c r="HG24" s="52">
        <v>12.0314</v>
      </c>
      <c r="HH24" s="52">
        <v>12.0314</v>
      </c>
      <c r="HI24" s="52">
        <v>12.0314</v>
      </c>
      <c r="HJ24" s="52">
        <v>12.0314</v>
      </c>
      <c r="HK24" s="52">
        <v>12.0314</v>
      </c>
      <c r="HL24" s="52">
        <v>12.0314</v>
      </c>
      <c r="HM24" s="52">
        <v>12.0314</v>
      </c>
      <c r="HN24" s="52">
        <v>12.0314</v>
      </c>
      <c r="HO24" s="52">
        <v>12.0314</v>
      </c>
      <c r="HP24" s="52">
        <v>12.0314</v>
      </c>
      <c r="HQ24" s="52">
        <v>12.0314</v>
      </c>
      <c r="HR24" s="52">
        <v>12.0314</v>
      </c>
      <c r="HS24" s="52">
        <v>12.0314</v>
      </c>
      <c r="HT24" s="52">
        <v>12.0314</v>
      </c>
      <c r="HU24" s="52">
        <v>12.0314</v>
      </c>
      <c r="HV24" s="52">
        <v>12.0314</v>
      </c>
      <c r="HW24" s="52">
        <v>12.0314</v>
      </c>
      <c r="HX24" s="52">
        <v>12.0314</v>
      </c>
      <c r="HY24" s="52">
        <v>12.0314</v>
      </c>
      <c r="HZ24" s="52">
        <v>12.0314</v>
      </c>
      <c r="IA24" s="52">
        <v>12.0314</v>
      </c>
      <c r="IB24" s="52">
        <v>12.0314</v>
      </c>
      <c r="IC24" s="52">
        <v>12.0314</v>
      </c>
      <c r="ID24" s="52">
        <v>12.0314</v>
      </c>
      <c r="IE24" s="52">
        <v>12.0314</v>
      </c>
      <c r="IF24" s="52">
        <v>12.0314</v>
      </c>
      <c r="IG24" s="52">
        <v>12.0314</v>
      </c>
      <c r="IH24" s="52">
        <v>12.0314</v>
      </c>
      <c r="II24" s="52">
        <v>12.0314</v>
      </c>
      <c r="IJ24" s="52">
        <v>12.0314</v>
      </c>
      <c r="IK24" s="52">
        <v>12.0314</v>
      </c>
      <c r="IL24" s="52">
        <v>12.0314</v>
      </c>
      <c r="IM24" s="52">
        <v>12.0314</v>
      </c>
      <c r="IN24" s="52">
        <v>12.0314</v>
      </c>
      <c r="IO24" s="52">
        <v>12.0314</v>
      </c>
      <c r="IP24" s="52">
        <v>12.0314</v>
      </c>
      <c r="IQ24" s="52">
        <v>12.0314</v>
      </c>
      <c r="IR24" s="52">
        <v>12.0314</v>
      </c>
      <c r="IS24" s="52">
        <v>12.0314</v>
      </c>
      <c r="IT24" s="52">
        <v>12.0314</v>
      </c>
      <c r="IU24" s="52">
        <v>12.0314</v>
      </c>
      <c r="IV24" s="52">
        <v>12.0314</v>
      </c>
      <c r="IW24" s="52">
        <v>12.0314</v>
      </c>
      <c r="IX24" s="52">
        <v>12.0314</v>
      </c>
      <c r="IY24" s="52">
        <v>12.0314</v>
      </c>
      <c r="IZ24" s="52">
        <v>12.0314</v>
      </c>
      <c r="JA24" s="52">
        <v>12.0314</v>
      </c>
      <c r="JB24" s="52">
        <v>12.0314</v>
      </c>
      <c r="JC24" s="52">
        <v>12.0314</v>
      </c>
      <c r="JD24" s="52">
        <v>12.0314</v>
      </c>
      <c r="JE24" s="52">
        <v>12.0314</v>
      </c>
      <c r="JF24" s="52">
        <v>12.0314</v>
      </c>
      <c r="JG24" s="52">
        <v>12.0314</v>
      </c>
      <c r="JH24" s="52">
        <v>12.0314</v>
      </c>
      <c r="JI24" s="52">
        <v>12.0314</v>
      </c>
      <c r="JJ24" s="52">
        <v>12.0314</v>
      </c>
      <c r="JK24" s="52">
        <v>12.0314</v>
      </c>
      <c r="JL24" s="52">
        <v>12.0314</v>
      </c>
      <c r="JM24" s="52">
        <v>12.0314</v>
      </c>
      <c r="JN24" s="52">
        <v>12.0314</v>
      </c>
      <c r="JO24" s="52">
        <v>12.0314</v>
      </c>
      <c r="JP24" s="52">
        <v>12.0314</v>
      </c>
      <c r="JQ24" s="52">
        <v>12.0314</v>
      </c>
      <c r="JR24" s="52">
        <v>12.0314</v>
      </c>
      <c r="JS24" s="52">
        <v>12.0314</v>
      </c>
      <c r="JT24" s="52">
        <v>12.0314</v>
      </c>
      <c r="JU24" s="52">
        <v>12.0314</v>
      </c>
      <c r="JV24" s="52">
        <v>12.0314</v>
      </c>
      <c r="JW24" s="52">
        <v>12.0314</v>
      </c>
      <c r="JX24" s="52">
        <v>12.0314</v>
      </c>
      <c r="JY24" s="52">
        <v>12.0314</v>
      </c>
      <c r="JZ24" s="52">
        <v>12.0314</v>
      </c>
      <c r="KA24" s="52">
        <v>12.0314</v>
      </c>
      <c r="KB24" s="52">
        <v>12.0314</v>
      </c>
      <c r="KC24" s="52">
        <v>12.0314</v>
      </c>
      <c r="KD24" s="52">
        <v>12.0314</v>
      </c>
      <c r="KE24" s="52">
        <v>12.0314</v>
      </c>
      <c r="KF24" s="52">
        <v>12.0314</v>
      </c>
      <c r="KG24" s="52">
        <v>12.0314</v>
      </c>
      <c r="KH24" s="52">
        <v>12.0314</v>
      </c>
      <c r="KI24" s="52">
        <v>12.0314</v>
      </c>
      <c r="KJ24" s="52">
        <v>12.0314</v>
      </c>
      <c r="KK24" s="52">
        <v>12.0314</v>
      </c>
      <c r="KL24" s="52">
        <v>12.0314</v>
      </c>
      <c r="KM24" s="52">
        <v>12.0314</v>
      </c>
      <c r="KN24" s="52">
        <v>12.0314</v>
      </c>
      <c r="KO24" s="52">
        <v>12.0314</v>
      </c>
      <c r="KP24" s="52">
        <v>12.0314</v>
      </c>
      <c r="KQ24" s="52">
        <v>12.0314</v>
      </c>
      <c r="KR24" s="52">
        <v>12.0314</v>
      </c>
      <c r="KS24" s="52">
        <v>12.0314</v>
      </c>
      <c r="KT24" s="52">
        <v>12.0314</v>
      </c>
      <c r="KU24" s="52">
        <v>12.0314</v>
      </c>
      <c r="KV24" s="52">
        <v>12.0314</v>
      </c>
      <c r="KW24" s="52">
        <v>12.0314</v>
      </c>
      <c r="KX24" s="52">
        <v>12.0314</v>
      </c>
      <c r="KY24" s="52">
        <v>12.0314</v>
      </c>
      <c r="KZ24" s="52">
        <v>12.0314</v>
      </c>
      <c r="LA24" s="52">
        <v>12.0314</v>
      </c>
      <c r="LB24" s="52">
        <v>12.0314</v>
      </c>
      <c r="LC24" s="52">
        <v>12.0314</v>
      </c>
      <c r="LD24" s="52">
        <v>12.0314</v>
      </c>
      <c r="LE24" s="52">
        <v>12.0314</v>
      </c>
      <c r="LF24" s="52">
        <v>12.0314</v>
      </c>
      <c r="LG24" s="52">
        <v>12.0314</v>
      </c>
      <c r="LH24" s="52">
        <v>12.0314</v>
      </c>
      <c r="LI24" s="52">
        <v>12.0314</v>
      </c>
      <c r="LJ24" s="52">
        <v>12.0314</v>
      </c>
      <c r="LK24" s="52">
        <v>12.0314</v>
      </c>
      <c r="LL24" s="52">
        <v>12.0314</v>
      </c>
      <c r="LM24" s="52">
        <v>12.0314</v>
      </c>
      <c r="LN24" s="52">
        <v>12.0314</v>
      </c>
      <c r="LO24" s="52">
        <v>12.0314</v>
      </c>
      <c r="LP24" s="52">
        <v>12.0314</v>
      </c>
      <c r="LQ24" s="52">
        <v>12.0314</v>
      </c>
      <c r="LR24" s="52">
        <v>12.0314</v>
      </c>
      <c r="LS24" s="52">
        <v>12.0314</v>
      </c>
      <c r="LT24" s="52">
        <v>12.0314</v>
      </c>
      <c r="LU24" s="52">
        <v>12.0314</v>
      </c>
      <c r="LV24" s="52">
        <v>12.0314</v>
      </c>
      <c r="LW24" s="52">
        <v>12.0314</v>
      </c>
      <c r="LX24" s="52">
        <v>12.0314</v>
      </c>
      <c r="LY24" s="52">
        <v>12.0314</v>
      </c>
      <c r="LZ24" s="52">
        <v>12.0314</v>
      </c>
      <c r="MA24" s="52">
        <v>12.0314</v>
      </c>
      <c r="MB24" s="52">
        <v>12.0314</v>
      </c>
      <c r="MC24" s="52">
        <v>12.0314</v>
      </c>
      <c r="MD24" s="52">
        <v>12.0314</v>
      </c>
      <c r="ME24" s="52">
        <v>12.0314</v>
      </c>
      <c r="MF24" s="52">
        <v>12.0314</v>
      </c>
      <c r="MG24" s="52">
        <v>12.0314</v>
      </c>
      <c r="MH24" s="52">
        <v>12.0314</v>
      </c>
      <c r="MI24" s="52">
        <v>12.0314</v>
      </c>
      <c r="MJ24" s="52">
        <v>12.0314</v>
      </c>
      <c r="MK24" s="52">
        <v>12.0314</v>
      </c>
      <c r="ML24" s="52">
        <v>12.0314</v>
      </c>
      <c r="MM24" s="52">
        <v>12.0314</v>
      </c>
      <c r="MN24" s="52">
        <v>12.0314</v>
      </c>
      <c r="MO24" s="52">
        <v>12.0314</v>
      </c>
      <c r="MP24" s="52">
        <v>12.0314</v>
      </c>
      <c r="MQ24" s="52">
        <v>12.0314</v>
      </c>
      <c r="MR24" s="52">
        <v>12.0314</v>
      </c>
      <c r="MS24" s="52">
        <v>12.0314</v>
      </c>
      <c r="MT24" s="52">
        <v>12.0314</v>
      </c>
      <c r="MU24" s="52">
        <v>12.0314</v>
      </c>
      <c r="MV24" s="52">
        <v>12.0314</v>
      </c>
      <c r="MW24" s="52">
        <v>12.0314</v>
      </c>
      <c r="MX24" s="52">
        <v>12.0314</v>
      </c>
      <c r="MY24" s="52">
        <v>12.0314</v>
      </c>
      <c r="MZ24" s="52">
        <v>12.0314</v>
      </c>
      <c r="NA24" s="52">
        <v>12.0314</v>
      </c>
      <c r="NB24" s="52">
        <v>12.0314</v>
      </c>
      <c r="NC24" s="52">
        <v>12.0314</v>
      </c>
      <c r="ND24" s="52">
        <v>12.0314</v>
      </c>
      <c r="NE24" s="37">
        <v>12.0314</v>
      </c>
      <c r="NF24" s="37">
        <v>12.0314</v>
      </c>
      <c r="NG24" s="37">
        <v>12.0314</v>
      </c>
      <c r="NH24" s="37">
        <v>12.0314</v>
      </c>
      <c r="NI24" s="37">
        <v>12.0314</v>
      </c>
      <c r="NJ24" s="37">
        <v>12.0314</v>
      </c>
      <c r="NK24" s="37">
        <v>12.0314</v>
      </c>
      <c r="NL24" s="37">
        <v>12.0314</v>
      </c>
      <c r="NM24" s="37">
        <v>12.0314</v>
      </c>
      <c r="NN24" s="37">
        <v>12.0314</v>
      </c>
      <c r="NO24" s="37">
        <v>12.0314</v>
      </c>
      <c r="NP24" s="37">
        <v>12.0314</v>
      </c>
      <c r="NQ24" s="37">
        <v>12.0314</v>
      </c>
      <c r="NR24" s="37">
        <v>12.0314</v>
      </c>
      <c r="NS24" s="37">
        <v>12.0314</v>
      </c>
      <c r="NT24" s="37">
        <v>12.0314</v>
      </c>
      <c r="NU24" s="37">
        <v>12.0314</v>
      </c>
      <c r="NV24" s="37">
        <v>12.0314</v>
      </c>
      <c r="NW24" s="37">
        <v>12.0314</v>
      </c>
      <c r="NX24" s="37">
        <v>12.0314</v>
      </c>
      <c r="NY24" s="37">
        <v>12.0314</v>
      </c>
      <c r="NZ24" s="37">
        <v>12.0314</v>
      </c>
      <c r="OA24" s="37">
        <v>12.0314</v>
      </c>
      <c r="OB24" s="37">
        <v>12.0314</v>
      </c>
      <c r="OC24" s="37">
        <v>12.0314</v>
      </c>
      <c r="OD24" s="37">
        <v>12.0314</v>
      </c>
      <c r="OE24" s="37">
        <v>12.0314</v>
      </c>
      <c r="OF24" s="37">
        <v>12.0314</v>
      </c>
      <c r="OG24" s="37">
        <v>12.0314</v>
      </c>
      <c r="OH24" s="37">
        <v>12.0314</v>
      </c>
      <c r="OI24" s="37">
        <v>12.0314</v>
      </c>
      <c r="OJ24" s="37">
        <v>12.0314</v>
      </c>
      <c r="OK24" s="37">
        <v>12.0314</v>
      </c>
      <c r="OL24" s="37">
        <v>12.0314</v>
      </c>
      <c r="OM24" s="37">
        <v>12.0314</v>
      </c>
      <c r="ON24" s="37">
        <v>12.0314</v>
      </c>
      <c r="OO24" s="37">
        <v>12.0314</v>
      </c>
      <c r="OP24" s="37">
        <v>12.0314</v>
      </c>
      <c r="OQ24" s="37">
        <v>12.0314</v>
      </c>
      <c r="OR24" s="37">
        <v>12.0314</v>
      </c>
      <c r="OS24" s="37">
        <v>12.0314</v>
      </c>
      <c r="OT24" s="37">
        <v>12.0314</v>
      </c>
      <c r="OU24" s="37">
        <v>12.0314</v>
      </c>
      <c r="OV24" s="37">
        <v>12.0314</v>
      </c>
      <c r="OW24" s="37">
        <v>12.0314</v>
      </c>
      <c r="OX24" s="37">
        <v>12.0314</v>
      </c>
      <c r="OY24" s="37">
        <v>12.0314</v>
      </c>
      <c r="OZ24" s="37">
        <v>12.0314</v>
      </c>
      <c r="PA24" s="37">
        <v>12.0314</v>
      </c>
      <c r="PB24" s="37">
        <v>12.0314</v>
      </c>
      <c r="PC24" s="37">
        <v>12.0314</v>
      </c>
      <c r="PD24" s="37">
        <v>12.0314</v>
      </c>
      <c r="PE24" s="37">
        <v>12.0314</v>
      </c>
      <c r="PF24" s="37">
        <v>12.0314</v>
      </c>
      <c r="PG24" s="37">
        <v>12.0314</v>
      </c>
      <c r="PH24" s="37">
        <v>12.0314</v>
      </c>
      <c r="PI24" s="37">
        <v>12.0314</v>
      </c>
      <c r="PJ24" s="37">
        <v>12.0314</v>
      </c>
      <c r="PK24" s="37">
        <v>12.0314</v>
      </c>
      <c r="PL24" s="37">
        <v>12.0314</v>
      </c>
      <c r="PM24" s="37">
        <v>12.0314</v>
      </c>
      <c r="PN24" s="37">
        <v>12.0314</v>
      </c>
      <c r="PO24" s="37">
        <v>12.0314</v>
      </c>
      <c r="PP24" s="37">
        <v>12.0314</v>
      </c>
      <c r="PQ24" s="37">
        <v>12.0314</v>
      </c>
      <c r="PR24" s="37">
        <v>12.0314</v>
      </c>
      <c r="PS24" s="15">
        <v>12.0314</v>
      </c>
      <c r="PT24" s="15">
        <v>12.0314</v>
      </c>
      <c r="PU24" s="15">
        <v>12.0314</v>
      </c>
      <c r="PV24" s="15">
        <v>12.0314</v>
      </c>
      <c r="PW24" s="15">
        <v>12.0314</v>
      </c>
      <c r="PX24" s="15">
        <v>12.0314</v>
      </c>
      <c r="PY24" s="15">
        <v>12.0314</v>
      </c>
      <c r="PZ24" s="15">
        <v>12.0314</v>
      </c>
      <c r="QA24" s="15">
        <v>12.0314</v>
      </c>
      <c r="QB24" s="15">
        <v>10.70055</v>
      </c>
      <c r="QC24" s="15" t="s">
        <v>668</v>
      </c>
      <c r="QD24" s="15" t="s">
        <v>668</v>
      </c>
      <c r="QE24" s="15" t="s">
        <v>668</v>
      </c>
      <c r="QF24" s="15" t="s">
        <v>668</v>
      </c>
      <c r="QG24" s="15" t="s">
        <v>668</v>
      </c>
      <c r="QH24" s="15" t="s">
        <v>668</v>
      </c>
      <c r="QI24" s="15" t="s">
        <v>668</v>
      </c>
      <c r="QJ24" s="15" t="s">
        <v>668</v>
      </c>
      <c r="QK24" s="15" t="s">
        <v>668</v>
      </c>
      <c r="QL24" s="15" t="s">
        <v>668</v>
      </c>
      <c r="QM24" s="15" t="s">
        <v>668</v>
      </c>
      <c r="QN24" s="15" t="s">
        <v>668</v>
      </c>
      <c r="QO24" s="15" t="s">
        <v>668</v>
      </c>
      <c r="QP24" s="15" t="s">
        <v>668</v>
      </c>
      <c r="QQ24" s="15" t="s">
        <v>668</v>
      </c>
      <c r="QR24" s="15" t="s">
        <v>668</v>
      </c>
      <c r="QS24" s="15" t="s">
        <v>668</v>
      </c>
      <c r="QT24" s="15" t="s">
        <v>668</v>
      </c>
      <c r="QU24" s="15" t="s">
        <v>668</v>
      </c>
      <c r="QV24" s="15" t="s">
        <v>668</v>
      </c>
      <c r="QW24" s="15" t="s">
        <v>668</v>
      </c>
      <c r="QX24" s="15" t="s">
        <v>668</v>
      </c>
      <c r="QY24" s="15" t="s">
        <v>668</v>
      </c>
      <c r="QZ24" s="15" t="s">
        <v>668</v>
      </c>
      <c r="RA24" s="15" t="s">
        <v>668</v>
      </c>
      <c r="RB24" s="15" t="s">
        <v>668</v>
      </c>
      <c r="RC24" s="15" t="s">
        <v>668</v>
      </c>
      <c r="RD24" s="15" t="s">
        <v>668</v>
      </c>
      <c r="RE24" s="15" t="s">
        <v>668</v>
      </c>
      <c r="RF24" s="15" t="s">
        <v>668</v>
      </c>
      <c r="RG24" s="15" t="s">
        <v>668</v>
      </c>
      <c r="RH24" s="15" t="s">
        <v>668</v>
      </c>
      <c r="RI24" s="15" t="s">
        <v>668</v>
      </c>
      <c r="RJ24" s="15" t="s">
        <v>668</v>
      </c>
      <c r="RK24" s="15" t="s">
        <v>668</v>
      </c>
      <c r="RL24" s="15" t="s">
        <v>668</v>
      </c>
      <c r="RM24" s="15" t="s">
        <v>668</v>
      </c>
      <c r="RN24" s="15" t="s">
        <v>668</v>
      </c>
      <c r="RO24" s="15" t="s">
        <v>668</v>
      </c>
      <c r="RP24" s="15" t="s">
        <v>668</v>
      </c>
      <c r="RQ24" s="15" t="s">
        <v>668</v>
      </c>
      <c r="RR24" s="15" t="s">
        <v>668</v>
      </c>
      <c r="RS24" s="15" t="s">
        <v>668</v>
      </c>
      <c r="RT24" s="15" t="s">
        <v>668</v>
      </c>
      <c r="RU24" s="15" t="s">
        <v>668</v>
      </c>
      <c r="RV24" s="15" t="s">
        <v>668</v>
      </c>
      <c r="RW24" s="15" t="s">
        <v>668</v>
      </c>
      <c r="RX24" s="15" t="s">
        <v>668</v>
      </c>
      <c r="RY24" s="15" t="s">
        <v>668</v>
      </c>
      <c r="RZ24" s="15" t="s">
        <v>668</v>
      </c>
      <c r="SA24" s="15" t="s">
        <v>668</v>
      </c>
      <c r="SB24" s="15" t="s">
        <v>668</v>
      </c>
      <c r="SC24" s="15" t="s">
        <v>668</v>
      </c>
      <c r="SD24" s="15" t="s">
        <v>668</v>
      </c>
      <c r="SE24" s="15" t="s">
        <v>668</v>
      </c>
      <c r="SF24" s="15" t="s">
        <v>668</v>
      </c>
      <c r="SG24" s="15" t="s">
        <v>668</v>
      </c>
      <c r="SH24" s="15" t="s">
        <v>668</v>
      </c>
      <c r="SI24" s="15" t="s">
        <v>668</v>
      </c>
      <c r="SJ24" s="15" t="s">
        <v>668</v>
      </c>
      <c r="SK24" s="15" t="s">
        <v>668</v>
      </c>
      <c r="SL24" s="15" t="s">
        <v>668</v>
      </c>
    </row>
    <row r="25" spans="1:506" x14ac:dyDescent="0.2">
      <c r="A25" s="37">
        <v>23</v>
      </c>
      <c r="B25" s="15" t="s">
        <v>555</v>
      </c>
      <c r="C25" s="17">
        <f>+'Detalle Compras'!D25</f>
        <v>202505300013</v>
      </c>
      <c r="D25" s="55">
        <f t="shared" si="13"/>
        <v>11.5928</v>
      </c>
      <c r="E25" s="14">
        <f>+IF(B25="","",'Detalle Compras'!S25+0)</f>
        <v>45848</v>
      </c>
      <c r="F25" s="14">
        <f>+IF(B25="","",EOMONTH('Detalle Compras'!S25,G25)+10)</f>
        <v>60489</v>
      </c>
      <c r="G25" s="50">
        <f t="shared" si="14"/>
        <v>480</v>
      </c>
      <c r="H25" s="50">
        <f t="shared" si="15"/>
        <v>473</v>
      </c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>
        <v>11.5928</v>
      </c>
      <c r="Z25" s="52">
        <v>11.5928</v>
      </c>
      <c r="AA25" s="52">
        <v>11.5928</v>
      </c>
      <c r="AB25" s="52">
        <v>11.5928</v>
      </c>
      <c r="AC25" s="52">
        <v>11.5928</v>
      </c>
      <c r="AD25" s="52">
        <v>11.5928</v>
      </c>
      <c r="AE25" s="52">
        <v>11.5928</v>
      </c>
      <c r="AF25" s="52">
        <v>11.5928</v>
      </c>
      <c r="AG25" s="52">
        <v>11.5928</v>
      </c>
      <c r="AH25" s="52">
        <v>11.5928</v>
      </c>
      <c r="AI25" s="52">
        <v>11.5928</v>
      </c>
      <c r="AJ25" s="52">
        <v>11.5928</v>
      </c>
      <c r="AK25" s="52">
        <v>11.5928</v>
      </c>
      <c r="AL25" s="52">
        <v>11.5928</v>
      </c>
      <c r="AM25" s="52">
        <v>11.5928</v>
      </c>
      <c r="AN25" s="52">
        <v>11.5928</v>
      </c>
      <c r="AO25" s="52">
        <v>11.5928</v>
      </c>
      <c r="AP25" s="52">
        <v>11.5928</v>
      </c>
      <c r="AQ25" s="52">
        <v>11.5928</v>
      </c>
      <c r="AR25" s="52">
        <v>11.5928</v>
      </c>
      <c r="AS25" s="52">
        <v>11.5928</v>
      </c>
      <c r="AT25" s="52">
        <v>11.5928</v>
      </c>
      <c r="AU25" s="52">
        <v>11.5928</v>
      </c>
      <c r="AV25" s="52">
        <v>11.5928</v>
      </c>
      <c r="AW25" s="52">
        <v>11.5928</v>
      </c>
      <c r="AX25" s="52">
        <v>11.5928</v>
      </c>
      <c r="AY25" s="52">
        <v>11.5928</v>
      </c>
      <c r="AZ25" s="52">
        <v>11.5928</v>
      </c>
      <c r="BA25" s="52">
        <v>11.5928</v>
      </c>
      <c r="BB25" s="52">
        <v>11.5928</v>
      </c>
      <c r="BC25" s="52">
        <v>11.5928</v>
      </c>
      <c r="BD25" s="52">
        <v>11.5928</v>
      </c>
      <c r="BE25" s="52">
        <v>11.5928</v>
      </c>
      <c r="BF25" s="52">
        <v>11.5928</v>
      </c>
      <c r="BG25" s="52">
        <v>11.5928</v>
      </c>
      <c r="BH25" s="52">
        <v>11.5928</v>
      </c>
      <c r="BI25" s="52">
        <v>11.5928</v>
      </c>
      <c r="BJ25" s="52">
        <v>11.5928</v>
      </c>
      <c r="BK25" s="52">
        <v>11.5928</v>
      </c>
      <c r="BL25" s="52">
        <v>11.5928</v>
      </c>
      <c r="BM25" s="52">
        <v>11.5928</v>
      </c>
      <c r="BN25" s="52">
        <v>11.5928</v>
      </c>
      <c r="BO25" s="52">
        <v>11.5928</v>
      </c>
      <c r="BP25" s="52">
        <v>11.5928</v>
      </c>
      <c r="BQ25" s="52">
        <v>11.5928</v>
      </c>
      <c r="BR25" s="52">
        <v>11.5928</v>
      </c>
      <c r="BS25" s="52">
        <v>11.5928</v>
      </c>
      <c r="BT25" s="52">
        <v>11.5928</v>
      </c>
      <c r="BU25" s="52">
        <v>11.5928</v>
      </c>
      <c r="BV25" s="52">
        <v>11.5928</v>
      </c>
      <c r="BW25" s="52">
        <v>11.5928</v>
      </c>
      <c r="BX25" s="52">
        <v>11.5928</v>
      </c>
      <c r="BY25" s="52">
        <v>11.5928</v>
      </c>
      <c r="BZ25" s="52">
        <v>11.5928</v>
      </c>
      <c r="CA25" s="52">
        <v>11.5928</v>
      </c>
      <c r="CB25" s="52">
        <v>11.5928</v>
      </c>
      <c r="CC25" s="52">
        <v>11.5928</v>
      </c>
      <c r="CD25" s="52">
        <v>11.5928</v>
      </c>
      <c r="CE25" s="52">
        <v>11.5928</v>
      </c>
      <c r="CF25" s="52">
        <v>11.5928</v>
      </c>
      <c r="CG25" s="52">
        <v>11.5928</v>
      </c>
      <c r="CH25" s="52">
        <v>11.5928</v>
      </c>
      <c r="CI25" s="52">
        <v>11.5928</v>
      </c>
      <c r="CJ25" s="52">
        <v>11.5928</v>
      </c>
      <c r="CK25" s="52">
        <v>11.5928</v>
      </c>
      <c r="CL25" s="52">
        <v>11.5928</v>
      </c>
      <c r="CM25" s="52">
        <v>11.5928</v>
      </c>
      <c r="CN25" s="52">
        <v>11.5928</v>
      </c>
      <c r="CO25" s="52">
        <v>11.5928</v>
      </c>
      <c r="CP25" s="52">
        <v>11.5928</v>
      </c>
      <c r="CQ25" s="52">
        <v>11.5928</v>
      </c>
      <c r="CR25" s="52">
        <v>11.5928</v>
      </c>
      <c r="CS25" s="52">
        <v>11.5928</v>
      </c>
      <c r="CT25" s="52">
        <v>11.5928</v>
      </c>
      <c r="CU25" s="52">
        <v>11.5928</v>
      </c>
      <c r="CV25" s="52">
        <v>11.5928</v>
      </c>
      <c r="CW25" s="52">
        <v>11.5928</v>
      </c>
      <c r="CX25" s="52">
        <v>11.5928</v>
      </c>
      <c r="CY25" s="52">
        <v>11.5928</v>
      </c>
      <c r="CZ25" s="52">
        <v>11.5928</v>
      </c>
      <c r="DA25" s="52">
        <v>11.5928</v>
      </c>
      <c r="DB25" s="52">
        <v>11.5928</v>
      </c>
      <c r="DC25" s="52">
        <v>11.5928</v>
      </c>
      <c r="DD25" s="52">
        <v>11.5928</v>
      </c>
      <c r="DE25" s="52">
        <v>11.5928</v>
      </c>
      <c r="DF25" s="52">
        <v>11.5928</v>
      </c>
      <c r="DG25" s="52">
        <v>11.5928</v>
      </c>
      <c r="DH25" s="52">
        <v>11.5928</v>
      </c>
      <c r="DI25" s="52">
        <v>11.5928</v>
      </c>
      <c r="DJ25" s="52">
        <v>11.5928</v>
      </c>
      <c r="DK25" s="52">
        <v>11.5928</v>
      </c>
      <c r="DL25" s="52">
        <v>11.5928</v>
      </c>
      <c r="DM25" s="52">
        <v>11.5928</v>
      </c>
      <c r="DN25" s="52">
        <v>11.5928</v>
      </c>
      <c r="DO25" s="52">
        <v>11.5928</v>
      </c>
      <c r="DP25" s="52">
        <v>11.5928</v>
      </c>
      <c r="DQ25" s="52">
        <v>11.5928</v>
      </c>
      <c r="DR25" s="52">
        <v>11.5928</v>
      </c>
      <c r="DS25" s="52">
        <v>11.5928</v>
      </c>
      <c r="DT25" s="52">
        <v>11.5928</v>
      </c>
      <c r="DU25" s="52">
        <v>11.5928</v>
      </c>
      <c r="DV25" s="52">
        <v>11.5928</v>
      </c>
      <c r="DW25" s="52">
        <v>11.5928</v>
      </c>
      <c r="DX25" s="52">
        <v>11.5928</v>
      </c>
      <c r="DY25" s="52">
        <v>11.5928</v>
      </c>
      <c r="DZ25" s="52">
        <v>11.5928</v>
      </c>
      <c r="EA25" s="52">
        <v>11.5928</v>
      </c>
      <c r="EB25" s="52">
        <v>11.5928</v>
      </c>
      <c r="EC25" s="52">
        <v>11.5928</v>
      </c>
      <c r="ED25" s="52">
        <v>11.5928</v>
      </c>
      <c r="EE25" s="52">
        <v>11.5928</v>
      </c>
      <c r="EF25" s="52">
        <v>11.5928</v>
      </c>
      <c r="EG25" s="52">
        <v>11.5928</v>
      </c>
      <c r="EH25" s="52">
        <v>11.5928</v>
      </c>
      <c r="EI25" s="52">
        <v>11.5928</v>
      </c>
      <c r="EJ25" s="52">
        <v>11.5928</v>
      </c>
      <c r="EK25" s="52">
        <v>11.5928</v>
      </c>
      <c r="EL25" s="52">
        <v>11.5928</v>
      </c>
      <c r="EM25" s="52">
        <v>11.5928</v>
      </c>
      <c r="EN25" s="52">
        <v>11.5928</v>
      </c>
      <c r="EO25" s="52">
        <v>11.5928</v>
      </c>
      <c r="EP25" s="52">
        <v>11.5928</v>
      </c>
      <c r="EQ25" s="52">
        <v>11.5928</v>
      </c>
      <c r="ER25" s="52">
        <v>11.5928</v>
      </c>
      <c r="ES25" s="52">
        <v>11.5928</v>
      </c>
      <c r="ET25" s="52">
        <v>11.5928</v>
      </c>
      <c r="EU25" s="52">
        <v>11.5928</v>
      </c>
      <c r="EV25" s="52">
        <v>11.5928</v>
      </c>
      <c r="EW25" s="52">
        <v>11.5928</v>
      </c>
      <c r="EX25" s="52">
        <v>11.5928</v>
      </c>
      <c r="EY25" s="52">
        <v>11.5928</v>
      </c>
      <c r="EZ25" s="52">
        <v>11.5928</v>
      </c>
      <c r="FA25" s="52">
        <v>11.5928</v>
      </c>
      <c r="FB25" s="52">
        <v>11.5928</v>
      </c>
      <c r="FC25" s="52">
        <v>11.5928</v>
      </c>
      <c r="FD25" s="52">
        <v>11.5928</v>
      </c>
      <c r="FE25" s="52">
        <v>11.5928</v>
      </c>
      <c r="FF25" s="52">
        <v>11.5928</v>
      </c>
      <c r="FG25" s="52">
        <v>11.5928</v>
      </c>
      <c r="FH25" s="52">
        <v>11.5928</v>
      </c>
      <c r="FI25" s="52">
        <v>11.5928</v>
      </c>
      <c r="FJ25" s="52">
        <v>11.5928</v>
      </c>
      <c r="FK25" s="52">
        <v>11.5928</v>
      </c>
      <c r="FL25" s="52">
        <v>11.5928</v>
      </c>
      <c r="FM25" s="52">
        <v>11.5928</v>
      </c>
      <c r="FN25" s="52">
        <v>11.5928</v>
      </c>
      <c r="FO25" s="52">
        <v>11.5928</v>
      </c>
      <c r="FP25" s="52">
        <v>11.5928</v>
      </c>
      <c r="FQ25" s="52">
        <v>11.5928</v>
      </c>
      <c r="FR25" s="52">
        <v>11.5928</v>
      </c>
      <c r="FS25" s="52">
        <v>11.5928</v>
      </c>
      <c r="FT25" s="52">
        <v>11.5928</v>
      </c>
      <c r="FU25" s="52">
        <v>11.5928</v>
      </c>
      <c r="FV25" s="52">
        <v>11.5928</v>
      </c>
      <c r="FW25" s="52">
        <v>11.5928</v>
      </c>
      <c r="FX25" s="52">
        <v>11.5928</v>
      </c>
      <c r="FY25" s="52">
        <v>11.5928</v>
      </c>
      <c r="FZ25" s="52">
        <v>11.5928</v>
      </c>
      <c r="GA25" s="52">
        <v>11.5928</v>
      </c>
      <c r="GB25" s="52">
        <v>11.5928</v>
      </c>
      <c r="GC25" s="52">
        <v>11.5928</v>
      </c>
      <c r="GD25" s="52">
        <v>11.5928</v>
      </c>
      <c r="GE25" s="52">
        <v>11.5928</v>
      </c>
      <c r="GF25" s="52">
        <v>11.5928</v>
      </c>
      <c r="GG25" s="52">
        <v>11.5928</v>
      </c>
      <c r="GH25" s="52">
        <v>11.5928</v>
      </c>
      <c r="GI25" s="52">
        <v>11.5928</v>
      </c>
      <c r="GJ25" s="52">
        <v>11.5928</v>
      </c>
      <c r="GK25" s="52">
        <v>11.5928</v>
      </c>
      <c r="GL25" s="52">
        <v>11.5928</v>
      </c>
      <c r="GM25" s="52">
        <v>11.5928</v>
      </c>
      <c r="GN25" s="52">
        <v>11.5928</v>
      </c>
      <c r="GO25" s="52">
        <v>11.5928</v>
      </c>
      <c r="GP25" s="52">
        <v>11.5928</v>
      </c>
      <c r="GQ25" s="52">
        <v>11.5928</v>
      </c>
      <c r="GR25" s="52">
        <v>11.5928</v>
      </c>
      <c r="GS25" s="52">
        <v>11.5928</v>
      </c>
      <c r="GT25" s="52">
        <v>11.5928</v>
      </c>
      <c r="GU25" s="52">
        <v>11.5928</v>
      </c>
      <c r="GV25" s="52">
        <v>11.5928</v>
      </c>
      <c r="GW25" s="52">
        <v>11.5928</v>
      </c>
      <c r="GX25" s="52">
        <v>11.5928</v>
      </c>
      <c r="GY25" s="52">
        <v>11.5928</v>
      </c>
      <c r="GZ25" s="52">
        <v>11.5928</v>
      </c>
      <c r="HA25" s="52">
        <v>11.5928</v>
      </c>
      <c r="HB25" s="52">
        <v>11.5928</v>
      </c>
      <c r="HC25" s="52">
        <v>11.5928</v>
      </c>
      <c r="HD25" s="52">
        <v>11.5928</v>
      </c>
      <c r="HE25" s="52">
        <v>11.5928</v>
      </c>
      <c r="HF25" s="52">
        <v>11.5928</v>
      </c>
      <c r="HG25" s="52">
        <v>11.5928</v>
      </c>
      <c r="HH25" s="52">
        <v>11.5928</v>
      </c>
      <c r="HI25" s="52">
        <v>11.5928</v>
      </c>
      <c r="HJ25" s="52">
        <v>11.5928</v>
      </c>
      <c r="HK25" s="52">
        <v>11.5928</v>
      </c>
      <c r="HL25" s="52">
        <v>11.5928</v>
      </c>
      <c r="HM25" s="52">
        <v>11.5928</v>
      </c>
      <c r="HN25" s="52">
        <v>11.5928</v>
      </c>
      <c r="HO25" s="52">
        <v>11.5928</v>
      </c>
      <c r="HP25" s="52">
        <v>11.5928</v>
      </c>
      <c r="HQ25" s="52">
        <v>11.5928</v>
      </c>
      <c r="HR25" s="52">
        <v>11.5928</v>
      </c>
      <c r="HS25" s="52">
        <v>11.5928</v>
      </c>
      <c r="HT25" s="52">
        <v>11.5928</v>
      </c>
      <c r="HU25" s="52">
        <v>11.5928</v>
      </c>
      <c r="HV25" s="52">
        <v>11.5928</v>
      </c>
      <c r="HW25" s="52">
        <v>11.5928</v>
      </c>
      <c r="HX25" s="52">
        <v>11.5928</v>
      </c>
      <c r="HY25" s="52">
        <v>11.5928</v>
      </c>
      <c r="HZ25" s="52">
        <v>11.5928</v>
      </c>
      <c r="IA25" s="52">
        <v>11.5928</v>
      </c>
      <c r="IB25" s="52">
        <v>11.5928</v>
      </c>
      <c r="IC25" s="52">
        <v>11.5928</v>
      </c>
      <c r="ID25" s="52">
        <v>11.5928</v>
      </c>
      <c r="IE25" s="52">
        <v>11.5928</v>
      </c>
      <c r="IF25" s="52">
        <v>11.5928</v>
      </c>
      <c r="IG25" s="52">
        <v>11.5928</v>
      </c>
      <c r="IH25" s="52">
        <v>11.5928</v>
      </c>
      <c r="II25" s="52">
        <v>11.5928</v>
      </c>
      <c r="IJ25" s="52">
        <v>11.5928</v>
      </c>
      <c r="IK25" s="52">
        <v>11.5928</v>
      </c>
      <c r="IL25" s="52">
        <v>11.5928</v>
      </c>
      <c r="IM25" s="52">
        <v>11.5928</v>
      </c>
      <c r="IN25" s="52">
        <v>11.5928</v>
      </c>
      <c r="IO25" s="52">
        <v>11.5928</v>
      </c>
      <c r="IP25" s="52">
        <v>11.5928</v>
      </c>
      <c r="IQ25" s="52">
        <v>11.5928</v>
      </c>
      <c r="IR25" s="52">
        <v>11.5928</v>
      </c>
      <c r="IS25" s="52">
        <v>11.5928</v>
      </c>
      <c r="IT25" s="52">
        <v>11.5928</v>
      </c>
      <c r="IU25" s="52">
        <v>11.5928</v>
      </c>
      <c r="IV25" s="52">
        <v>11.5928</v>
      </c>
      <c r="IW25" s="52">
        <v>11.5928</v>
      </c>
      <c r="IX25" s="52">
        <v>11.5928</v>
      </c>
      <c r="IY25" s="52">
        <v>11.5928</v>
      </c>
      <c r="IZ25" s="52">
        <v>11.5928</v>
      </c>
      <c r="JA25" s="52">
        <v>11.5928</v>
      </c>
      <c r="JB25" s="52">
        <v>11.5928</v>
      </c>
      <c r="JC25" s="52">
        <v>11.5928</v>
      </c>
      <c r="JD25" s="52">
        <v>11.5928</v>
      </c>
      <c r="JE25" s="52">
        <v>11.5928</v>
      </c>
      <c r="JF25" s="52">
        <v>11.5928</v>
      </c>
      <c r="JG25" s="52">
        <v>11.5928</v>
      </c>
      <c r="JH25" s="52">
        <v>11.5928</v>
      </c>
      <c r="JI25" s="52">
        <v>11.5928</v>
      </c>
      <c r="JJ25" s="52">
        <v>11.5928</v>
      </c>
      <c r="JK25" s="52">
        <v>11.5928</v>
      </c>
      <c r="JL25" s="52">
        <v>11.5928</v>
      </c>
      <c r="JM25" s="52">
        <v>11.5928</v>
      </c>
      <c r="JN25" s="52">
        <v>11.5928</v>
      </c>
      <c r="JO25" s="52">
        <v>11.5928</v>
      </c>
      <c r="JP25" s="52">
        <v>11.5928</v>
      </c>
      <c r="JQ25" s="52">
        <v>11.5928</v>
      </c>
      <c r="JR25" s="52">
        <v>11.5928</v>
      </c>
      <c r="JS25" s="52">
        <v>11.5928</v>
      </c>
      <c r="JT25" s="52">
        <v>11.5928</v>
      </c>
      <c r="JU25" s="52">
        <v>11.5928</v>
      </c>
      <c r="JV25" s="52">
        <v>11.5928</v>
      </c>
      <c r="JW25" s="52">
        <v>11.5928</v>
      </c>
      <c r="JX25" s="52">
        <v>11.5928</v>
      </c>
      <c r="JY25" s="52">
        <v>11.5928</v>
      </c>
      <c r="JZ25" s="52">
        <v>11.5928</v>
      </c>
      <c r="KA25" s="52">
        <v>11.5928</v>
      </c>
      <c r="KB25" s="52">
        <v>11.5928</v>
      </c>
      <c r="KC25" s="52">
        <v>11.5928</v>
      </c>
      <c r="KD25" s="52">
        <v>11.5928</v>
      </c>
      <c r="KE25" s="52">
        <v>11.5928</v>
      </c>
      <c r="KF25" s="52">
        <v>11.5928</v>
      </c>
      <c r="KG25" s="52">
        <v>11.5928</v>
      </c>
      <c r="KH25" s="52">
        <v>11.5928</v>
      </c>
      <c r="KI25" s="52">
        <v>11.5928</v>
      </c>
      <c r="KJ25" s="52">
        <v>11.5928</v>
      </c>
      <c r="KK25" s="52">
        <v>11.5928</v>
      </c>
      <c r="KL25" s="52">
        <v>11.5928</v>
      </c>
      <c r="KM25" s="52">
        <v>11.5928</v>
      </c>
      <c r="KN25" s="52">
        <v>11.5928</v>
      </c>
      <c r="KO25" s="52">
        <v>11.5928</v>
      </c>
      <c r="KP25" s="52">
        <v>11.5928</v>
      </c>
      <c r="KQ25" s="52">
        <v>11.5928</v>
      </c>
      <c r="KR25" s="52">
        <v>11.5928</v>
      </c>
      <c r="KS25" s="52">
        <v>11.5928</v>
      </c>
      <c r="KT25" s="52">
        <v>11.5928</v>
      </c>
      <c r="KU25" s="52">
        <v>11.5928</v>
      </c>
      <c r="KV25" s="52">
        <v>11.5928</v>
      </c>
      <c r="KW25" s="52">
        <v>11.5928</v>
      </c>
      <c r="KX25" s="52">
        <v>11.5928</v>
      </c>
      <c r="KY25" s="52">
        <v>11.5928</v>
      </c>
      <c r="KZ25" s="52">
        <v>11.5928</v>
      </c>
      <c r="LA25" s="52">
        <v>11.5928</v>
      </c>
      <c r="LB25" s="52">
        <v>11.5928</v>
      </c>
      <c r="LC25" s="52">
        <v>11.5928</v>
      </c>
      <c r="LD25" s="52">
        <v>11.5928</v>
      </c>
      <c r="LE25" s="52">
        <v>11.5928</v>
      </c>
      <c r="LF25" s="52">
        <v>11.5928</v>
      </c>
      <c r="LG25" s="52">
        <v>11.5928</v>
      </c>
      <c r="LH25" s="52">
        <v>11.5928</v>
      </c>
      <c r="LI25" s="52">
        <v>11.5928</v>
      </c>
      <c r="LJ25" s="52">
        <v>11.5928</v>
      </c>
      <c r="LK25" s="52">
        <v>11.5928</v>
      </c>
      <c r="LL25" s="52">
        <v>11.5928</v>
      </c>
      <c r="LM25" s="52">
        <v>11.5928</v>
      </c>
      <c r="LN25" s="52">
        <v>11.5928</v>
      </c>
      <c r="LO25" s="52">
        <v>11.5928</v>
      </c>
      <c r="LP25" s="52">
        <v>11.5928</v>
      </c>
      <c r="LQ25" s="52">
        <v>11.5928</v>
      </c>
      <c r="LR25" s="52">
        <v>11.5928</v>
      </c>
      <c r="LS25" s="52">
        <v>11.5928</v>
      </c>
      <c r="LT25" s="52">
        <v>11.5928</v>
      </c>
      <c r="LU25" s="52">
        <v>11.5928</v>
      </c>
      <c r="LV25" s="52">
        <v>11.5928</v>
      </c>
      <c r="LW25" s="52">
        <v>11.5928</v>
      </c>
      <c r="LX25" s="52">
        <v>11.5928</v>
      </c>
      <c r="LY25" s="52">
        <v>11.5928</v>
      </c>
      <c r="LZ25" s="52">
        <v>11.5928</v>
      </c>
      <c r="MA25" s="52">
        <v>11.5928</v>
      </c>
      <c r="MB25" s="52">
        <v>11.5928</v>
      </c>
      <c r="MC25" s="52">
        <v>11.5928</v>
      </c>
      <c r="MD25" s="52">
        <v>11.5928</v>
      </c>
      <c r="ME25" s="52">
        <v>11.5928</v>
      </c>
      <c r="MF25" s="52">
        <v>11.5928</v>
      </c>
      <c r="MG25" s="52">
        <v>11.5928</v>
      </c>
      <c r="MH25" s="52">
        <v>11.5928</v>
      </c>
      <c r="MI25" s="52">
        <v>11.5928</v>
      </c>
      <c r="MJ25" s="52">
        <v>11.5928</v>
      </c>
      <c r="MK25" s="52">
        <v>11.5928</v>
      </c>
      <c r="ML25" s="52">
        <v>11.5928</v>
      </c>
      <c r="MM25" s="52">
        <v>11.5928</v>
      </c>
      <c r="MN25" s="52">
        <v>11.5928</v>
      </c>
      <c r="MO25" s="52">
        <v>11.5928</v>
      </c>
      <c r="MP25" s="52">
        <v>11.5928</v>
      </c>
      <c r="MQ25" s="52">
        <v>11.5928</v>
      </c>
      <c r="MR25" s="52">
        <v>11.5928</v>
      </c>
      <c r="MS25" s="52">
        <v>11.5928</v>
      </c>
      <c r="MT25" s="52">
        <v>11.5928</v>
      </c>
      <c r="MU25" s="52">
        <v>11.5928</v>
      </c>
      <c r="MV25" s="52">
        <v>11.5928</v>
      </c>
      <c r="MW25" s="52">
        <v>11.5928</v>
      </c>
      <c r="MX25" s="52">
        <v>11.5928</v>
      </c>
      <c r="MY25" s="52">
        <v>11.5928</v>
      </c>
      <c r="MZ25" s="52">
        <v>11.5928</v>
      </c>
      <c r="NA25" s="52">
        <v>11.5928</v>
      </c>
      <c r="NB25" s="52">
        <v>11.5928</v>
      </c>
      <c r="NC25" s="52">
        <v>11.5928</v>
      </c>
      <c r="ND25" s="52">
        <v>11.5928</v>
      </c>
      <c r="NE25" s="37">
        <v>11.5928</v>
      </c>
      <c r="NF25" s="37">
        <v>11.5928</v>
      </c>
      <c r="NG25" s="37">
        <v>11.5928</v>
      </c>
      <c r="NH25" s="37">
        <v>11.5928</v>
      </c>
      <c r="NI25" s="37">
        <v>11.5928</v>
      </c>
      <c r="NJ25" s="37">
        <v>11.5928</v>
      </c>
      <c r="NK25" s="37">
        <v>11.5928</v>
      </c>
      <c r="NL25" s="37">
        <v>11.5928</v>
      </c>
      <c r="NM25" s="37">
        <v>11.5928</v>
      </c>
      <c r="NN25" s="37">
        <v>11.5928</v>
      </c>
      <c r="NO25" s="37">
        <v>11.5928</v>
      </c>
      <c r="NP25" s="37">
        <v>11.5928</v>
      </c>
      <c r="NQ25" s="37">
        <v>11.5928</v>
      </c>
      <c r="NR25" s="37">
        <v>11.5928</v>
      </c>
      <c r="NS25" s="37">
        <v>11.5928</v>
      </c>
      <c r="NT25" s="37">
        <v>11.5928</v>
      </c>
      <c r="NU25" s="37">
        <v>11.5928</v>
      </c>
      <c r="NV25" s="37">
        <v>11.5928</v>
      </c>
      <c r="NW25" s="37">
        <v>11.5928</v>
      </c>
      <c r="NX25" s="37">
        <v>11.5928</v>
      </c>
      <c r="NY25" s="37">
        <v>11.5928</v>
      </c>
      <c r="NZ25" s="37">
        <v>11.5928</v>
      </c>
      <c r="OA25" s="37">
        <v>11.5928</v>
      </c>
      <c r="OB25" s="37">
        <v>11.5928</v>
      </c>
      <c r="OC25" s="37">
        <v>11.5928</v>
      </c>
      <c r="OD25" s="37">
        <v>11.5928</v>
      </c>
      <c r="OE25" s="37">
        <v>11.5928</v>
      </c>
      <c r="OF25" s="37">
        <v>11.5928</v>
      </c>
      <c r="OG25" s="37">
        <v>11.5928</v>
      </c>
      <c r="OH25" s="37">
        <v>11.5928</v>
      </c>
      <c r="OI25" s="37">
        <v>11.5928</v>
      </c>
      <c r="OJ25" s="37">
        <v>11.5928</v>
      </c>
      <c r="OK25" s="37">
        <v>11.5928</v>
      </c>
      <c r="OL25" s="37">
        <v>11.5928</v>
      </c>
      <c r="OM25" s="37">
        <v>11.5928</v>
      </c>
      <c r="ON25" s="37">
        <v>11.5928</v>
      </c>
      <c r="OO25" s="37">
        <v>11.5928</v>
      </c>
      <c r="OP25" s="37">
        <v>11.5928</v>
      </c>
      <c r="OQ25" s="37">
        <v>11.5928</v>
      </c>
      <c r="OR25" s="37">
        <v>11.5928</v>
      </c>
      <c r="OS25" s="37">
        <v>11.5928</v>
      </c>
      <c r="OT25" s="37">
        <v>11.5928</v>
      </c>
      <c r="OU25" s="37">
        <v>11.5928</v>
      </c>
      <c r="OV25" s="37">
        <v>11.5928</v>
      </c>
      <c r="OW25" s="37">
        <v>11.5928</v>
      </c>
      <c r="OX25" s="37">
        <v>11.5928</v>
      </c>
      <c r="OY25" s="37">
        <v>11.5928</v>
      </c>
      <c r="OZ25" s="37">
        <v>11.5928</v>
      </c>
      <c r="PA25" s="37">
        <v>11.5928</v>
      </c>
      <c r="PB25" s="37">
        <v>11.5928</v>
      </c>
      <c r="PC25" s="37">
        <v>11.5928</v>
      </c>
      <c r="PD25" s="37">
        <v>11.5928</v>
      </c>
      <c r="PE25" s="37">
        <v>11.5928</v>
      </c>
      <c r="PF25" s="37">
        <v>11.5928</v>
      </c>
      <c r="PG25" s="37">
        <v>11.5928</v>
      </c>
      <c r="PH25" s="37">
        <v>11.5928</v>
      </c>
      <c r="PI25" s="37">
        <v>11.5928</v>
      </c>
      <c r="PJ25" s="37">
        <v>11.5928</v>
      </c>
      <c r="PK25" s="37">
        <v>11.5928</v>
      </c>
      <c r="PL25" s="37">
        <v>11.5928</v>
      </c>
      <c r="PM25" s="37">
        <v>11.5928</v>
      </c>
      <c r="PN25" s="37">
        <v>11.5928</v>
      </c>
      <c r="PO25" s="37">
        <v>11.5928</v>
      </c>
      <c r="PP25" s="37">
        <v>11.5928</v>
      </c>
      <c r="PQ25" s="37">
        <v>11.5928</v>
      </c>
      <c r="PR25" s="37">
        <v>11.5928</v>
      </c>
      <c r="PS25" s="15">
        <v>11.5928</v>
      </c>
      <c r="PT25" s="15">
        <v>11.5928</v>
      </c>
      <c r="PU25" s="15">
        <v>11.5928</v>
      </c>
      <c r="PV25" s="15">
        <v>11.5928</v>
      </c>
      <c r="PW25" s="15">
        <v>11.5928</v>
      </c>
      <c r="PX25" s="15">
        <v>11.5928</v>
      </c>
      <c r="PY25" s="15">
        <v>11.5928</v>
      </c>
      <c r="PZ25" s="15">
        <v>11.5928</v>
      </c>
      <c r="QA25" s="15">
        <v>11.5928</v>
      </c>
      <c r="QB25" s="15">
        <v>11.5928</v>
      </c>
      <c r="QC25" s="15">
        <v>11.5928</v>
      </c>
      <c r="QD25" s="15">
        <v>11.5928</v>
      </c>
      <c r="QE25" s="15">
        <v>11.5928</v>
      </c>
      <c r="QF25" s="15">
        <v>11.5928</v>
      </c>
      <c r="QG25" s="15">
        <v>11.5928</v>
      </c>
      <c r="QH25" s="15">
        <v>11.5928</v>
      </c>
      <c r="QI25" s="15">
        <v>11.5928</v>
      </c>
      <c r="QJ25" s="15">
        <v>11.5928</v>
      </c>
      <c r="QK25" s="15">
        <v>11.5928</v>
      </c>
      <c r="QL25" s="15">
        <v>11.5928</v>
      </c>
      <c r="QM25" s="15">
        <v>11.5928</v>
      </c>
      <c r="QN25" s="15">
        <v>11.5928</v>
      </c>
      <c r="QO25" s="15">
        <v>11.5928</v>
      </c>
      <c r="QP25" s="15">
        <v>11.5928</v>
      </c>
      <c r="QQ25" s="15">
        <v>11.5928</v>
      </c>
      <c r="QR25" s="15">
        <v>11.5928</v>
      </c>
      <c r="QS25" s="15">
        <v>11.5928</v>
      </c>
      <c r="QT25" s="15">
        <v>11.5928</v>
      </c>
      <c r="QU25" s="15">
        <v>11.5928</v>
      </c>
      <c r="QV25" s="15">
        <v>11.5928</v>
      </c>
      <c r="QW25" s="15">
        <v>11.5928</v>
      </c>
      <c r="QX25" s="15">
        <v>11.5928</v>
      </c>
      <c r="QY25" s="15">
        <v>11.5928</v>
      </c>
      <c r="QZ25" s="15">
        <v>11.5928</v>
      </c>
      <c r="RA25" s="15">
        <v>11.5928</v>
      </c>
      <c r="RB25" s="15">
        <v>11.5928</v>
      </c>
      <c r="RC25" s="15">
        <v>11.5928</v>
      </c>
      <c r="RD25" s="15">
        <v>11.5928</v>
      </c>
      <c r="RE25" s="15">
        <v>11.5928</v>
      </c>
      <c r="RF25" s="15">
        <v>11.5928</v>
      </c>
      <c r="RG25" s="15">
        <v>11.5928</v>
      </c>
      <c r="RH25" s="15">
        <v>11.5928</v>
      </c>
      <c r="RI25" s="15">
        <v>11.5928</v>
      </c>
      <c r="RJ25" s="15">
        <v>11.5928</v>
      </c>
      <c r="RK25" s="15">
        <v>11.5928</v>
      </c>
      <c r="RL25" s="15">
        <v>11.5928</v>
      </c>
      <c r="RM25" s="15">
        <v>11.5928</v>
      </c>
      <c r="RN25" s="15">
        <v>11.5928</v>
      </c>
      <c r="RO25" s="15">
        <v>11.5928</v>
      </c>
      <c r="RP25" s="15">
        <v>11.5928</v>
      </c>
      <c r="RQ25" s="15">
        <v>11.5928</v>
      </c>
      <c r="RR25" s="15">
        <v>11.5928</v>
      </c>
      <c r="RS25" s="15">
        <v>11.5928</v>
      </c>
      <c r="RT25" s="15">
        <v>11.5928</v>
      </c>
      <c r="RU25" s="15">
        <v>11.5928</v>
      </c>
      <c r="RV25" s="15">
        <v>11.5928</v>
      </c>
      <c r="RW25" s="15">
        <v>11.5928</v>
      </c>
      <c r="RX25" s="15">
        <v>11.5928</v>
      </c>
      <c r="RY25" s="15">
        <v>11.5928</v>
      </c>
      <c r="RZ25" s="15">
        <v>11.5928</v>
      </c>
      <c r="SA25" s="15">
        <v>11.5928</v>
      </c>
      <c r="SB25" s="15">
        <v>11.5928</v>
      </c>
      <c r="SC25" s="15">
        <v>11.5928</v>
      </c>
      <c r="SD25" s="15">
        <v>11.5928</v>
      </c>
      <c r="SE25" s="15">
        <v>11.5928</v>
      </c>
      <c r="SF25" s="15">
        <v>11.5928</v>
      </c>
      <c r="SG25" s="15">
        <v>11.5928</v>
      </c>
      <c r="SH25" s="15">
        <v>11.5928</v>
      </c>
      <c r="SI25" s="15">
        <v>11.5928</v>
      </c>
      <c r="SJ25" s="15">
        <v>10.4361</v>
      </c>
      <c r="SK25" s="15" t="s">
        <v>668</v>
      </c>
      <c r="SL25" s="15" t="s">
        <v>668</v>
      </c>
    </row>
    <row r="26" spans="1:506" x14ac:dyDescent="0.2">
      <c r="A26" s="37">
        <v>24</v>
      </c>
      <c r="B26" s="15" t="s">
        <v>556</v>
      </c>
      <c r="C26" s="17">
        <f>+'Detalle Compras'!D26</f>
        <v>202506020022</v>
      </c>
      <c r="D26" s="55">
        <f t="shared" si="13"/>
        <v>10.59843</v>
      </c>
      <c r="E26" s="14">
        <f>+IF(B26="","",'Detalle Compras'!S26+0)</f>
        <v>45879</v>
      </c>
      <c r="F26" s="14">
        <f>+IF(B26="","",EOMONTH('Detalle Compras'!S26,G26)+10)</f>
        <v>56867</v>
      </c>
      <c r="G26" s="50">
        <f t="shared" si="14"/>
        <v>360</v>
      </c>
      <c r="H26" s="50">
        <f t="shared" si="15"/>
        <v>354</v>
      </c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>
        <v>0</v>
      </c>
      <c r="Z26" s="52">
        <v>10.59843</v>
      </c>
      <c r="AA26" s="52">
        <v>10.59843</v>
      </c>
      <c r="AB26" s="52">
        <v>10.59843</v>
      </c>
      <c r="AC26" s="52">
        <v>10.59843</v>
      </c>
      <c r="AD26" s="52">
        <v>10.59843</v>
      </c>
      <c r="AE26" s="52">
        <v>10.59843</v>
      </c>
      <c r="AF26" s="52">
        <v>10.59843</v>
      </c>
      <c r="AG26" s="52">
        <v>10.59843</v>
      </c>
      <c r="AH26" s="52">
        <v>10.59843</v>
      </c>
      <c r="AI26" s="52">
        <v>10.59843</v>
      </c>
      <c r="AJ26" s="52">
        <v>10.59843</v>
      </c>
      <c r="AK26" s="52">
        <v>10.59843</v>
      </c>
      <c r="AL26" s="52">
        <v>10.59843</v>
      </c>
      <c r="AM26" s="52">
        <v>10.59843</v>
      </c>
      <c r="AN26" s="52">
        <v>10.59843</v>
      </c>
      <c r="AO26" s="52">
        <v>10.59843</v>
      </c>
      <c r="AP26" s="52">
        <v>10.59843</v>
      </c>
      <c r="AQ26" s="52">
        <v>10.59843</v>
      </c>
      <c r="AR26" s="52">
        <v>10.59843</v>
      </c>
      <c r="AS26" s="52">
        <v>10.59843</v>
      </c>
      <c r="AT26" s="52">
        <v>10.59843</v>
      </c>
      <c r="AU26" s="52">
        <v>10.59843</v>
      </c>
      <c r="AV26" s="52">
        <v>10.59843</v>
      </c>
      <c r="AW26" s="52">
        <v>10.59843</v>
      </c>
      <c r="AX26" s="52">
        <v>10.59843</v>
      </c>
      <c r="AY26" s="52">
        <v>10.59843</v>
      </c>
      <c r="AZ26" s="52">
        <v>10.59843</v>
      </c>
      <c r="BA26" s="52">
        <v>10.59843</v>
      </c>
      <c r="BB26" s="52">
        <v>10.59843</v>
      </c>
      <c r="BC26" s="52">
        <v>10.59843</v>
      </c>
      <c r="BD26" s="52">
        <v>10.59843</v>
      </c>
      <c r="BE26" s="52">
        <v>10.59843</v>
      </c>
      <c r="BF26" s="52">
        <v>10.59843</v>
      </c>
      <c r="BG26" s="52">
        <v>10.59843</v>
      </c>
      <c r="BH26" s="52">
        <v>10.59843</v>
      </c>
      <c r="BI26" s="52">
        <v>10.59843</v>
      </c>
      <c r="BJ26" s="52">
        <v>10.59843</v>
      </c>
      <c r="BK26" s="52">
        <v>10.59843</v>
      </c>
      <c r="BL26" s="52">
        <v>10.59843</v>
      </c>
      <c r="BM26" s="52">
        <v>10.59843</v>
      </c>
      <c r="BN26" s="52">
        <v>10.59843</v>
      </c>
      <c r="BO26" s="52">
        <v>10.59843</v>
      </c>
      <c r="BP26" s="52">
        <v>10.59843</v>
      </c>
      <c r="BQ26" s="52">
        <v>10.59843</v>
      </c>
      <c r="BR26" s="52">
        <v>10.59843</v>
      </c>
      <c r="BS26" s="52">
        <v>10.59843</v>
      </c>
      <c r="BT26" s="52">
        <v>10.59843</v>
      </c>
      <c r="BU26" s="52">
        <v>10.59843</v>
      </c>
      <c r="BV26" s="52">
        <v>10.59843</v>
      </c>
      <c r="BW26" s="52">
        <v>10.59843</v>
      </c>
      <c r="BX26" s="52">
        <v>10.59843</v>
      </c>
      <c r="BY26" s="52">
        <v>10.59843</v>
      </c>
      <c r="BZ26" s="52">
        <v>10.59843</v>
      </c>
      <c r="CA26" s="52">
        <v>10.59843</v>
      </c>
      <c r="CB26" s="52">
        <v>10.59843</v>
      </c>
      <c r="CC26" s="52">
        <v>10.59843</v>
      </c>
      <c r="CD26" s="52">
        <v>10.59843</v>
      </c>
      <c r="CE26" s="52">
        <v>10.59843</v>
      </c>
      <c r="CF26" s="52">
        <v>10.59843</v>
      </c>
      <c r="CG26" s="52">
        <v>10.59843</v>
      </c>
      <c r="CH26" s="52">
        <v>10.59843</v>
      </c>
      <c r="CI26" s="52">
        <v>10.59843</v>
      </c>
      <c r="CJ26" s="52">
        <v>10.59843</v>
      </c>
      <c r="CK26" s="52">
        <v>10.59843</v>
      </c>
      <c r="CL26" s="52">
        <v>10.59843</v>
      </c>
      <c r="CM26" s="52">
        <v>10.59843</v>
      </c>
      <c r="CN26" s="52">
        <v>10.59843</v>
      </c>
      <c r="CO26" s="52">
        <v>10.59843</v>
      </c>
      <c r="CP26" s="52">
        <v>10.59843</v>
      </c>
      <c r="CQ26" s="52">
        <v>10.59843</v>
      </c>
      <c r="CR26" s="52">
        <v>10.59843</v>
      </c>
      <c r="CS26" s="52">
        <v>10.59843</v>
      </c>
      <c r="CT26" s="52">
        <v>10.59843</v>
      </c>
      <c r="CU26" s="52">
        <v>10.59843</v>
      </c>
      <c r="CV26" s="52">
        <v>10.59843</v>
      </c>
      <c r="CW26" s="52">
        <v>10.59843</v>
      </c>
      <c r="CX26" s="52">
        <v>10.59843</v>
      </c>
      <c r="CY26" s="52">
        <v>10.59843</v>
      </c>
      <c r="CZ26" s="52">
        <v>10.59843</v>
      </c>
      <c r="DA26" s="52">
        <v>10.59843</v>
      </c>
      <c r="DB26" s="52">
        <v>10.59843</v>
      </c>
      <c r="DC26" s="52">
        <v>10.59843</v>
      </c>
      <c r="DD26" s="52">
        <v>10.59843</v>
      </c>
      <c r="DE26" s="52">
        <v>10.59843</v>
      </c>
      <c r="DF26" s="52">
        <v>10.59843</v>
      </c>
      <c r="DG26" s="52">
        <v>10.59843</v>
      </c>
      <c r="DH26" s="52">
        <v>10.59843</v>
      </c>
      <c r="DI26" s="52">
        <v>10.59843</v>
      </c>
      <c r="DJ26" s="52">
        <v>10.59843</v>
      </c>
      <c r="DK26" s="52">
        <v>10.59843</v>
      </c>
      <c r="DL26" s="52">
        <v>10.59843</v>
      </c>
      <c r="DM26" s="52">
        <v>10.59843</v>
      </c>
      <c r="DN26" s="52">
        <v>10.59843</v>
      </c>
      <c r="DO26" s="52">
        <v>10.59843</v>
      </c>
      <c r="DP26" s="52">
        <v>10.59843</v>
      </c>
      <c r="DQ26" s="52">
        <v>10.59843</v>
      </c>
      <c r="DR26" s="52">
        <v>10.59843</v>
      </c>
      <c r="DS26" s="52">
        <v>10.59843</v>
      </c>
      <c r="DT26" s="52">
        <v>10.59843</v>
      </c>
      <c r="DU26" s="52">
        <v>10.59843</v>
      </c>
      <c r="DV26" s="52">
        <v>10.59843</v>
      </c>
      <c r="DW26" s="52">
        <v>10.59843</v>
      </c>
      <c r="DX26" s="52">
        <v>10.59843</v>
      </c>
      <c r="DY26" s="52">
        <v>10.59843</v>
      </c>
      <c r="DZ26" s="52">
        <v>10.59843</v>
      </c>
      <c r="EA26" s="52">
        <v>10.59843</v>
      </c>
      <c r="EB26" s="52">
        <v>10.59843</v>
      </c>
      <c r="EC26" s="52">
        <v>10.59843</v>
      </c>
      <c r="ED26" s="52">
        <v>10.59843</v>
      </c>
      <c r="EE26" s="52">
        <v>10.59843</v>
      </c>
      <c r="EF26" s="52">
        <v>10.59843</v>
      </c>
      <c r="EG26" s="52">
        <v>10.59843</v>
      </c>
      <c r="EH26" s="52">
        <v>10.59843</v>
      </c>
      <c r="EI26" s="52">
        <v>10.59843</v>
      </c>
      <c r="EJ26" s="52">
        <v>10.59843</v>
      </c>
      <c r="EK26" s="52">
        <v>10.59843</v>
      </c>
      <c r="EL26" s="52">
        <v>10.59843</v>
      </c>
      <c r="EM26" s="52">
        <v>10.59843</v>
      </c>
      <c r="EN26" s="52">
        <v>10.59843</v>
      </c>
      <c r="EO26" s="52">
        <v>10.59843</v>
      </c>
      <c r="EP26" s="52">
        <v>10.59843</v>
      </c>
      <c r="EQ26" s="52">
        <v>10.59843</v>
      </c>
      <c r="ER26" s="52">
        <v>10.59843</v>
      </c>
      <c r="ES26" s="52">
        <v>10.59843</v>
      </c>
      <c r="ET26" s="52">
        <v>10.59843</v>
      </c>
      <c r="EU26" s="52">
        <v>10.59843</v>
      </c>
      <c r="EV26" s="52">
        <v>10.59843</v>
      </c>
      <c r="EW26" s="52">
        <v>10.59843</v>
      </c>
      <c r="EX26" s="52">
        <v>10.59843</v>
      </c>
      <c r="EY26" s="52">
        <v>10.59843</v>
      </c>
      <c r="EZ26" s="52">
        <v>10.59843</v>
      </c>
      <c r="FA26" s="52">
        <v>10.59843</v>
      </c>
      <c r="FB26" s="52">
        <v>10.59843</v>
      </c>
      <c r="FC26" s="52">
        <v>10.59843</v>
      </c>
      <c r="FD26" s="52">
        <v>10.59843</v>
      </c>
      <c r="FE26" s="52">
        <v>10.59843</v>
      </c>
      <c r="FF26" s="52">
        <v>10.59843</v>
      </c>
      <c r="FG26" s="52">
        <v>10.59843</v>
      </c>
      <c r="FH26" s="52">
        <v>10.59843</v>
      </c>
      <c r="FI26" s="52">
        <v>10.59843</v>
      </c>
      <c r="FJ26" s="52">
        <v>10.59843</v>
      </c>
      <c r="FK26" s="52">
        <v>10.59843</v>
      </c>
      <c r="FL26" s="52">
        <v>10.59843</v>
      </c>
      <c r="FM26" s="52">
        <v>10.59843</v>
      </c>
      <c r="FN26" s="52">
        <v>10.59843</v>
      </c>
      <c r="FO26" s="52">
        <v>10.59843</v>
      </c>
      <c r="FP26" s="52">
        <v>10.59843</v>
      </c>
      <c r="FQ26" s="52">
        <v>10.59843</v>
      </c>
      <c r="FR26" s="52">
        <v>10.59843</v>
      </c>
      <c r="FS26" s="52">
        <v>10.59843</v>
      </c>
      <c r="FT26" s="52">
        <v>10.59843</v>
      </c>
      <c r="FU26" s="52">
        <v>10.59843</v>
      </c>
      <c r="FV26" s="52">
        <v>10.59843</v>
      </c>
      <c r="FW26" s="52">
        <v>10.59843</v>
      </c>
      <c r="FX26" s="52">
        <v>10.59843</v>
      </c>
      <c r="FY26" s="52">
        <v>10.59843</v>
      </c>
      <c r="FZ26" s="52">
        <v>10.59843</v>
      </c>
      <c r="GA26" s="52">
        <v>10.59843</v>
      </c>
      <c r="GB26" s="52">
        <v>10.59843</v>
      </c>
      <c r="GC26" s="52">
        <v>10.59843</v>
      </c>
      <c r="GD26" s="52">
        <v>10.59843</v>
      </c>
      <c r="GE26" s="52">
        <v>10.59843</v>
      </c>
      <c r="GF26" s="52">
        <v>10.59843</v>
      </c>
      <c r="GG26" s="52">
        <v>10.59843</v>
      </c>
      <c r="GH26" s="52">
        <v>10.59843</v>
      </c>
      <c r="GI26" s="52">
        <v>10.59843</v>
      </c>
      <c r="GJ26" s="52">
        <v>10.59843</v>
      </c>
      <c r="GK26" s="52">
        <v>10.59843</v>
      </c>
      <c r="GL26" s="52">
        <v>10.59843</v>
      </c>
      <c r="GM26" s="52">
        <v>10.59843</v>
      </c>
      <c r="GN26" s="52">
        <v>10.59843</v>
      </c>
      <c r="GO26" s="52">
        <v>10.59843</v>
      </c>
      <c r="GP26" s="52">
        <v>10.59843</v>
      </c>
      <c r="GQ26" s="52">
        <v>10.59843</v>
      </c>
      <c r="GR26" s="52">
        <v>10.59843</v>
      </c>
      <c r="GS26" s="52">
        <v>10.59843</v>
      </c>
      <c r="GT26" s="52">
        <v>10.59843</v>
      </c>
      <c r="GU26" s="52">
        <v>10.59843</v>
      </c>
      <c r="GV26" s="52">
        <v>10.59843</v>
      </c>
      <c r="GW26" s="52">
        <v>10.59843</v>
      </c>
      <c r="GX26" s="52">
        <v>10.59843</v>
      </c>
      <c r="GY26" s="52">
        <v>10.59843</v>
      </c>
      <c r="GZ26" s="52">
        <v>10.59843</v>
      </c>
      <c r="HA26" s="52">
        <v>10.59843</v>
      </c>
      <c r="HB26" s="52">
        <v>10.59843</v>
      </c>
      <c r="HC26" s="52">
        <v>10.59843</v>
      </c>
      <c r="HD26" s="52">
        <v>10.59843</v>
      </c>
      <c r="HE26" s="52">
        <v>10.59843</v>
      </c>
      <c r="HF26" s="52">
        <v>10.59843</v>
      </c>
      <c r="HG26" s="52">
        <v>10.59843</v>
      </c>
      <c r="HH26" s="52">
        <v>10.59843</v>
      </c>
      <c r="HI26" s="52">
        <v>10.59843</v>
      </c>
      <c r="HJ26" s="52">
        <v>10.59843</v>
      </c>
      <c r="HK26" s="52">
        <v>10.59843</v>
      </c>
      <c r="HL26" s="52">
        <v>10.59843</v>
      </c>
      <c r="HM26" s="52">
        <v>10.59843</v>
      </c>
      <c r="HN26" s="52">
        <v>10.59843</v>
      </c>
      <c r="HO26" s="52">
        <v>10.59843</v>
      </c>
      <c r="HP26" s="52">
        <v>10.59843</v>
      </c>
      <c r="HQ26" s="52">
        <v>10.59843</v>
      </c>
      <c r="HR26" s="52">
        <v>10.59843</v>
      </c>
      <c r="HS26" s="52">
        <v>10.59843</v>
      </c>
      <c r="HT26" s="52">
        <v>10.59843</v>
      </c>
      <c r="HU26" s="52">
        <v>10.59843</v>
      </c>
      <c r="HV26" s="52">
        <v>10.59843</v>
      </c>
      <c r="HW26" s="52">
        <v>10.59843</v>
      </c>
      <c r="HX26" s="52">
        <v>10.59843</v>
      </c>
      <c r="HY26" s="52">
        <v>10.59843</v>
      </c>
      <c r="HZ26" s="52">
        <v>10.59843</v>
      </c>
      <c r="IA26" s="52">
        <v>10.59843</v>
      </c>
      <c r="IB26" s="52">
        <v>10.59843</v>
      </c>
      <c r="IC26" s="52">
        <v>10.59843</v>
      </c>
      <c r="ID26" s="52">
        <v>10.59843</v>
      </c>
      <c r="IE26" s="52">
        <v>10.59843</v>
      </c>
      <c r="IF26" s="52">
        <v>10.59843</v>
      </c>
      <c r="IG26" s="52">
        <v>10.59843</v>
      </c>
      <c r="IH26" s="52">
        <v>10.59843</v>
      </c>
      <c r="II26" s="52">
        <v>10.59843</v>
      </c>
      <c r="IJ26" s="52">
        <v>10.59843</v>
      </c>
      <c r="IK26" s="52">
        <v>10.59843</v>
      </c>
      <c r="IL26" s="52">
        <v>10.59843</v>
      </c>
      <c r="IM26" s="52">
        <v>10.59843</v>
      </c>
      <c r="IN26" s="52">
        <v>10.59843</v>
      </c>
      <c r="IO26" s="52">
        <v>10.59843</v>
      </c>
      <c r="IP26" s="52">
        <v>10.59843</v>
      </c>
      <c r="IQ26" s="52">
        <v>10.59843</v>
      </c>
      <c r="IR26" s="52">
        <v>10.59843</v>
      </c>
      <c r="IS26" s="52">
        <v>10.59843</v>
      </c>
      <c r="IT26" s="52">
        <v>10.59843</v>
      </c>
      <c r="IU26" s="52">
        <v>10.59843</v>
      </c>
      <c r="IV26" s="52">
        <v>10.59843</v>
      </c>
      <c r="IW26" s="52">
        <v>10.59843</v>
      </c>
      <c r="IX26" s="52">
        <v>10.59843</v>
      </c>
      <c r="IY26" s="52">
        <v>10.59843</v>
      </c>
      <c r="IZ26" s="52">
        <v>10.59843</v>
      </c>
      <c r="JA26" s="52">
        <v>10.59843</v>
      </c>
      <c r="JB26" s="52">
        <v>10.59843</v>
      </c>
      <c r="JC26" s="52">
        <v>10.59843</v>
      </c>
      <c r="JD26" s="52">
        <v>10.59843</v>
      </c>
      <c r="JE26" s="52">
        <v>10.59843</v>
      </c>
      <c r="JF26" s="52">
        <v>10.59843</v>
      </c>
      <c r="JG26" s="52">
        <v>10.59843</v>
      </c>
      <c r="JH26" s="52">
        <v>10.59843</v>
      </c>
      <c r="JI26" s="52">
        <v>10.59843</v>
      </c>
      <c r="JJ26" s="52">
        <v>10.59843</v>
      </c>
      <c r="JK26" s="52">
        <v>10.59843</v>
      </c>
      <c r="JL26" s="52">
        <v>10.59843</v>
      </c>
      <c r="JM26" s="52">
        <v>10.59843</v>
      </c>
      <c r="JN26" s="52">
        <v>10.59843</v>
      </c>
      <c r="JO26" s="52">
        <v>10.59843</v>
      </c>
      <c r="JP26" s="52">
        <v>10.59843</v>
      </c>
      <c r="JQ26" s="52">
        <v>10.59843</v>
      </c>
      <c r="JR26" s="52">
        <v>10.59843</v>
      </c>
      <c r="JS26" s="52">
        <v>10.59843</v>
      </c>
      <c r="JT26" s="52">
        <v>10.59843</v>
      </c>
      <c r="JU26" s="52">
        <v>10.59843</v>
      </c>
      <c r="JV26" s="52">
        <v>10.59843</v>
      </c>
      <c r="JW26" s="52">
        <v>10.59843</v>
      </c>
      <c r="JX26" s="52">
        <v>10.59843</v>
      </c>
      <c r="JY26" s="52">
        <v>10.59843</v>
      </c>
      <c r="JZ26" s="52">
        <v>10.59843</v>
      </c>
      <c r="KA26" s="52">
        <v>10.59843</v>
      </c>
      <c r="KB26" s="52">
        <v>10.59843</v>
      </c>
      <c r="KC26" s="52">
        <v>10.59843</v>
      </c>
      <c r="KD26" s="52">
        <v>10.59843</v>
      </c>
      <c r="KE26" s="52">
        <v>10.59843</v>
      </c>
      <c r="KF26" s="52">
        <v>10.59843</v>
      </c>
      <c r="KG26" s="52">
        <v>10.59843</v>
      </c>
      <c r="KH26" s="52">
        <v>10.59843</v>
      </c>
      <c r="KI26" s="52">
        <v>10.59843</v>
      </c>
      <c r="KJ26" s="52">
        <v>10.59843</v>
      </c>
      <c r="KK26" s="52">
        <v>10.59843</v>
      </c>
      <c r="KL26" s="52">
        <v>10.59843</v>
      </c>
      <c r="KM26" s="52">
        <v>10.59843</v>
      </c>
      <c r="KN26" s="52">
        <v>10.59843</v>
      </c>
      <c r="KO26" s="52">
        <v>10.59843</v>
      </c>
      <c r="KP26" s="52">
        <v>10.59843</v>
      </c>
      <c r="KQ26" s="52">
        <v>10.59843</v>
      </c>
      <c r="KR26" s="52">
        <v>10.59843</v>
      </c>
      <c r="KS26" s="52">
        <v>10.59843</v>
      </c>
      <c r="KT26" s="52">
        <v>10.59843</v>
      </c>
      <c r="KU26" s="52">
        <v>10.59843</v>
      </c>
      <c r="KV26" s="52">
        <v>10.59843</v>
      </c>
      <c r="KW26" s="52">
        <v>10.59843</v>
      </c>
      <c r="KX26" s="52">
        <v>10.59843</v>
      </c>
      <c r="KY26" s="52">
        <v>10.59843</v>
      </c>
      <c r="KZ26" s="52">
        <v>10.59843</v>
      </c>
      <c r="LA26" s="52">
        <v>10.59843</v>
      </c>
      <c r="LB26" s="52">
        <v>10.59843</v>
      </c>
      <c r="LC26" s="52">
        <v>10.59843</v>
      </c>
      <c r="LD26" s="52">
        <v>10.59843</v>
      </c>
      <c r="LE26" s="52">
        <v>10.59843</v>
      </c>
      <c r="LF26" s="52">
        <v>10.59843</v>
      </c>
      <c r="LG26" s="52">
        <v>10.59843</v>
      </c>
      <c r="LH26" s="52">
        <v>10.59843</v>
      </c>
      <c r="LI26" s="52">
        <v>10.59843</v>
      </c>
      <c r="LJ26" s="52">
        <v>10.59843</v>
      </c>
      <c r="LK26" s="52">
        <v>10.59843</v>
      </c>
      <c r="LL26" s="52">
        <v>10.59843</v>
      </c>
      <c r="LM26" s="52">
        <v>10.59843</v>
      </c>
      <c r="LN26" s="52">
        <v>10.59843</v>
      </c>
      <c r="LO26" s="52">
        <v>10.59843</v>
      </c>
      <c r="LP26" s="52">
        <v>10.59843</v>
      </c>
      <c r="LQ26" s="52">
        <v>10.59843</v>
      </c>
      <c r="LR26" s="52">
        <v>10.59843</v>
      </c>
      <c r="LS26" s="52">
        <v>10.59843</v>
      </c>
      <c r="LT26" s="52">
        <v>10.59843</v>
      </c>
      <c r="LU26" s="52">
        <v>10.59843</v>
      </c>
      <c r="LV26" s="52">
        <v>10.59843</v>
      </c>
      <c r="LW26" s="52">
        <v>10.59843</v>
      </c>
      <c r="LX26" s="52">
        <v>10.59843</v>
      </c>
      <c r="LY26" s="52">
        <v>10.59843</v>
      </c>
      <c r="LZ26" s="52">
        <v>10.59843</v>
      </c>
      <c r="MA26" s="52">
        <v>10.59843</v>
      </c>
      <c r="MB26" s="52">
        <v>10.59843</v>
      </c>
      <c r="MC26" s="52">
        <v>10.59843</v>
      </c>
      <c r="MD26" s="52">
        <v>10.59843</v>
      </c>
      <c r="ME26" s="52">
        <v>10.59843</v>
      </c>
      <c r="MF26" s="52">
        <v>10.59843</v>
      </c>
      <c r="MG26" s="52">
        <v>10.59843</v>
      </c>
      <c r="MH26" s="52">
        <v>10.59843</v>
      </c>
      <c r="MI26" s="52">
        <v>10.59843</v>
      </c>
      <c r="MJ26" s="52">
        <v>10.59843</v>
      </c>
      <c r="MK26" s="52">
        <v>10.59843</v>
      </c>
      <c r="ML26" s="52">
        <v>10.59843</v>
      </c>
      <c r="MM26" s="52">
        <v>10.59843</v>
      </c>
      <c r="MN26" s="52">
        <v>10.59843</v>
      </c>
      <c r="MO26" s="52">
        <v>10.59843</v>
      </c>
      <c r="MP26" s="52">
        <v>10.59843</v>
      </c>
      <c r="MQ26" s="52">
        <v>10.59843</v>
      </c>
      <c r="MR26" s="52">
        <v>10.59843</v>
      </c>
      <c r="MS26" s="52">
        <v>10.59843</v>
      </c>
      <c r="MT26" s="52">
        <v>10.59843</v>
      </c>
      <c r="MU26" s="52">
        <v>10.59843</v>
      </c>
      <c r="MV26" s="52">
        <v>10.59843</v>
      </c>
      <c r="MW26" s="52">
        <v>10.59843</v>
      </c>
      <c r="MX26" s="52">
        <v>10.59843</v>
      </c>
      <c r="MY26" s="52">
        <v>10.59843</v>
      </c>
      <c r="MZ26" s="52">
        <v>10.59843</v>
      </c>
      <c r="NA26" s="52">
        <v>10.59843</v>
      </c>
      <c r="NB26" s="52">
        <v>10.59843</v>
      </c>
      <c r="NC26" s="52">
        <v>10.59843</v>
      </c>
      <c r="ND26" s="52">
        <v>10.59843</v>
      </c>
      <c r="NE26" s="37">
        <v>10.59843</v>
      </c>
      <c r="NF26" s="37">
        <v>10.59843</v>
      </c>
      <c r="NG26" s="37">
        <v>10.59843</v>
      </c>
      <c r="NH26" s="37">
        <v>10.59843</v>
      </c>
      <c r="NI26" s="37">
        <v>10.59843</v>
      </c>
      <c r="NJ26" s="37">
        <v>10.59843</v>
      </c>
      <c r="NK26" s="37">
        <v>10.59843</v>
      </c>
      <c r="NL26" s="37">
        <v>10.59843</v>
      </c>
      <c r="NM26" s="37">
        <v>10.59843</v>
      </c>
      <c r="NN26" s="37">
        <v>10.59843</v>
      </c>
      <c r="NO26" s="37">
        <v>10.59843</v>
      </c>
      <c r="NP26" s="37">
        <v>10.59843</v>
      </c>
      <c r="NQ26" s="37">
        <v>10.59843</v>
      </c>
      <c r="NR26" s="37">
        <v>10.59843</v>
      </c>
      <c r="NS26" s="37">
        <v>10.59843</v>
      </c>
      <c r="NT26" s="37">
        <v>10.59843</v>
      </c>
      <c r="NU26" s="37">
        <v>10.860968</v>
      </c>
      <c r="NV26" s="37" t="s">
        <v>668</v>
      </c>
      <c r="NW26" s="37" t="s">
        <v>668</v>
      </c>
      <c r="NX26" s="37" t="s">
        <v>668</v>
      </c>
      <c r="NY26" s="37" t="s">
        <v>668</v>
      </c>
      <c r="NZ26" s="37" t="s">
        <v>668</v>
      </c>
      <c r="OA26" s="37" t="s">
        <v>668</v>
      </c>
      <c r="OB26" s="37" t="s">
        <v>668</v>
      </c>
      <c r="OC26" s="37" t="s">
        <v>668</v>
      </c>
      <c r="OD26" s="37" t="s">
        <v>668</v>
      </c>
      <c r="OE26" s="37" t="s">
        <v>668</v>
      </c>
      <c r="OF26" s="37" t="s">
        <v>668</v>
      </c>
      <c r="OG26" s="37" t="s">
        <v>668</v>
      </c>
      <c r="OH26" s="37" t="s">
        <v>668</v>
      </c>
      <c r="OI26" s="37" t="s">
        <v>668</v>
      </c>
      <c r="OJ26" s="37" t="s">
        <v>668</v>
      </c>
      <c r="OK26" s="37" t="s">
        <v>668</v>
      </c>
      <c r="OL26" s="37" t="s">
        <v>668</v>
      </c>
      <c r="OM26" s="37" t="s">
        <v>668</v>
      </c>
      <c r="ON26" s="37" t="s">
        <v>668</v>
      </c>
      <c r="OO26" s="37" t="s">
        <v>668</v>
      </c>
      <c r="OP26" s="37" t="s">
        <v>668</v>
      </c>
      <c r="OQ26" s="37" t="s">
        <v>668</v>
      </c>
      <c r="OR26" s="37" t="s">
        <v>668</v>
      </c>
      <c r="OS26" s="37" t="s">
        <v>668</v>
      </c>
      <c r="OT26" s="37" t="s">
        <v>668</v>
      </c>
      <c r="OU26" s="37" t="s">
        <v>668</v>
      </c>
      <c r="OV26" s="37" t="s">
        <v>668</v>
      </c>
      <c r="OW26" s="37" t="s">
        <v>668</v>
      </c>
      <c r="OX26" s="37" t="s">
        <v>668</v>
      </c>
      <c r="OY26" s="37" t="s">
        <v>668</v>
      </c>
      <c r="OZ26" s="37" t="s">
        <v>668</v>
      </c>
      <c r="PA26" s="37" t="s">
        <v>668</v>
      </c>
      <c r="PB26" s="37" t="s">
        <v>668</v>
      </c>
      <c r="PC26" s="37" t="s">
        <v>668</v>
      </c>
      <c r="PD26" s="37" t="s">
        <v>668</v>
      </c>
      <c r="PE26" s="37" t="s">
        <v>668</v>
      </c>
      <c r="PF26" s="37" t="s">
        <v>668</v>
      </c>
      <c r="PG26" s="37" t="s">
        <v>668</v>
      </c>
      <c r="PH26" s="37" t="s">
        <v>668</v>
      </c>
      <c r="PI26" s="37" t="s">
        <v>668</v>
      </c>
      <c r="PJ26" s="37" t="s">
        <v>668</v>
      </c>
      <c r="PK26" s="37" t="s">
        <v>668</v>
      </c>
      <c r="PL26" s="37" t="s">
        <v>668</v>
      </c>
      <c r="PM26" s="37" t="s">
        <v>668</v>
      </c>
      <c r="PN26" s="37" t="s">
        <v>668</v>
      </c>
      <c r="PO26" s="37" t="s">
        <v>668</v>
      </c>
      <c r="PP26" s="37" t="s">
        <v>668</v>
      </c>
      <c r="PQ26" s="37" t="s">
        <v>668</v>
      </c>
      <c r="PR26" s="37" t="s">
        <v>668</v>
      </c>
      <c r="PS26" s="15" t="s">
        <v>668</v>
      </c>
      <c r="PT26" s="15" t="s">
        <v>668</v>
      </c>
      <c r="PU26" s="15" t="s">
        <v>668</v>
      </c>
      <c r="PV26" s="15" t="s">
        <v>668</v>
      </c>
      <c r="PW26" s="15" t="s">
        <v>668</v>
      </c>
      <c r="PX26" s="15" t="s">
        <v>668</v>
      </c>
      <c r="PY26" s="15" t="s">
        <v>668</v>
      </c>
      <c r="PZ26" s="15" t="s">
        <v>668</v>
      </c>
      <c r="QA26" s="15" t="s">
        <v>668</v>
      </c>
      <c r="QB26" s="15" t="s">
        <v>668</v>
      </c>
      <c r="QC26" s="15" t="s">
        <v>668</v>
      </c>
      <c r="QD26" s="15" t="s">
        <v>668</v>
      </c>
      <c r="QE26" s="15" t="s">
        <v>668</v>
      </c>
      <c r="QF26" s="15" t="s">
        <v>668</v>
      </c>
      <c r="QG26" s="15" t="s">
        <v>668</v>
      </c>
      <c r="QH26" s="15" t="s">
        <v>668</v>
      </c>
      <c r="QI26" s="15" t="s">
        <v>668</v>
      </c>
      <c r="QJ26" s="15" t="s">
        <v>668</v>
      </c>
      <c r="QK26" s="15" t="s">
        <v>668</v>
      </c>
      <c r="QL26" s="15" t="s">
        <v>668</v>
      </c>
      <c r="QM26" s="15" t="s">
        <v>668</v>
      </c>
      <c r="QN26" s="15" t="s">
        <v>668</v>
      </c>
      <c r="QO26" s="15" t="s">
        <v>668</v>
      </c>
      <c r="QP26" s="15" t="s">
        <v>668</v>
      </c>
      <c r="QQ26" s="15" t="s">
        <v>668</v>
      </c>
      <c r="QR26" s="15" t="s">
        <v>668</v>
      </c>
      <c r="QS26" s="15" t="s">
        <v>668</v>
      </c>
      <c r="QT26" s="15" t="s">
        <v>668</v>
      </c>
      <c r="QU26" s="15" t="s">
        <v>668</v>
      </c>
      <c r="QV26" s="15" t="s">
        <v>668</v>
      </c>
      <c r="QW26" s="15" t="s">
        <v>668</v>
      </c>
      <c r="QX26" s="15" t="s">
        <v>668</v>
      </c>
      <c r="QY26" s="15" t="s">
        <v>668</v>
      </c>
      <c r="QZ26" s="15" t="s">
        <v>668</v>
      </c>
      <c r="RA26" s="15" t="s">
        <v>668</v>
      </c>
      <c r="RB26" s="15" t="s">
        <v>668</v>
      </c>
      <c r="RC26" s="15" t="s">
        <v>668</v>
      </c>
      <c r="RD26" s="15" t="s">
        <v>668</v>
      </c>
      <c r="RE26" s="15" t="s">
        <v>668</v>
      </c>
      <c r="RF26" s="15" t="s">
        <v>668</v>
      </c>
      <c r="RG26" s="15" t="s">
        <v>668</v>
      </c>
      <c r="RH26" s="15" t="s">
        <v>668</v>
      </c>
      <c r="RI26" s="15" t="s">
        <v>668</v>
      </c>
      <c r="RJ26" s="15" t="s">
        <v>668</v>
      </c>
      <c r="RK26" s="15" t="s">
        <v>668</v>
      </c>
      <c r="RL26" s="15" t="s">
        <v>668</v>
      </c>
      <c r="RM26" s="15" t="s">
        <v>668</v>
      </c>
      <c r="RN26" s="15" t="s">
        <v>668</v>
      </c>
      <c r="RO26" s="15" t="s">
        <v>668</v>
      </c>
      <c r="RP26" s="15" t="s">
        <v>668</v>
      </c>
      <c r="RQ26" s="15" t="s">
        <v>668</v>
      </c>
      <c r="RR26" s="15" t="s">
        <v>668</v>
      </c>
      <c r="RS26" s="15" t="s">
        <v>668</v>
      </c>
      <c r="RT26" s="15" t="s">
        <v>668</v>
      </c>
      <c r="RU26" s="15" t="s">
        <v>668</v>
      </c>
      <c r="RV26" s="15" t="s">
        <v>668</v>
      </c>
      <c r="RW26" s="15" t="s">
        <v>668</v>
      </c>
      <c r="RX26" s="15" t="s">
        <v>668</v>
      </c>
      <c r="RY26" s="15" t="s">
        <v>668</v>
      </c>
      <c r="RZ26" s="15" t="s">
        <v>668</v>
      </c>
      <c r="SA26" s="15" t="s">
        <v>668</v>
      </c>
      <c r="SB26" s="15" t="s">
        <v>668</v>
      </c>
      <c r="SC26" s="15" t="s">
        <v>668</v>
      </c>
      <c r="SD26" s="15" t="s">
        <v>668</v>
      </c>
      <c r="SE26" s="15" t="s">
        <v>668</v>
      </c>
      <c r="SF26" s="15" t="s">
        <v>668</v>
      </c>
      <c r="SG26" s="15" t="s">
        <v>668</v>
      </c>
      <c r="SH26" s="15" t="s">
        <v>668</v>
      </c>
      <c r="SI26" s="15" t="s">
        <v>668</v>
      </c>
      <c r="SJ26" s="15" t="s">
        <v>668</v>
      </c>
      <c r="SK26" s="15" t="s">
        <v>668</v>
      </c>
      <c r="SL26" s="15" t="s">
        <v>668</v>
      </c>
    </row>
    <row r="27" spans="1:506" x14ac:dyDescent="0.2">
      <c r="A27" s="37">
        <v>25</v>
      </c>
      <c r="B27" s="15" t="s">
        <v>557</v>
      </c>
      <c r="C27" s="17">
        <f>+'Detalle Compras'!D27</f>
        <v>202505300012</v>
      </c>
      <c r="D27" s="55">
        <f t="shared" si="13"/>
        <v>11.749750000000001</v>
      </c>
      <c r="E27" s="14">
        <f>+IF(B27="","",'Detalle Compras'!S27+0)</f>
        <v>45848</v>
      </c>
      <c r="F27" s="14">
        <f>+IF(B27="","",EOMONTH('Detalle Compras'!S27,G27)+10)</f>
        <v>59758</v>
      </c>
      <c r="G27" s="50">
        <f t="shared" si="14"/>
        <v>456</v>
      </c>
      <c r="H27" s="50">
        <f t="shared" si="15"/>
        <v>449</v>
      </c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>
        <v>11.749750000000001</v>
      </c>
      <c r="Z27" s="52">
        <v>11.749750000000001</v>
      </c>
      <c r="AA27" s="52">
        <v>11.749750000000001</v>
      </c>
      <c r="AB27" s="52">
        <v>11.749750000000001</v>
      </c>
      <c r="AC27" s="52">
        <v>11.749750000000001</v>
      </c>
      <c r="AD27" s="52">
        <v>11.749750000000001</v>
      </c>
      <c r="AE27" s="52">
        <v>11.749750000000001</v>
      </c>
      <c r="AF27" s="52">
        <v>11.749750000000001</v>
      </c>
      <c r="AG27" s="52">
        <v>11.749750000000001</v>
      </c>
      <c r="AH27" s="52">
        <v>11.749750000000001</v>
      </c>
      <c r="AI27" s="52">
        <v>11.749750000000001</v>
      </c>
      <c r="AJ27" s="52">
        <v>11.749750000000001</v>
      </c>
      <c r="AK27" s="52">
        <v>11.749750000000001</v>
      </c>
      <c r="AL27" s="52">
        <v>11.749750000000001</v>
      </c>
      <c r="AM27" s="52">
        <v>11.749750000000001</v>
      </c>
      <c r="AN27" s="52">
        <v>11.749750000000001</v>
      </c>
      <c r="AO27" s="52">
        <v>11.749750000000001</v>
      </c>
      <c r="AP27" s="52">
        <v>11.749750000000001</v>
      </c>
      <c r="AQ27" s="52">
        <v>11.749750000000001</v>
      </c>
      <c r="AR27" s="52">
        <v>11.749750000000001</v>
      </c>
      <c r="AS27" s="52">
        <v>11.749750000000001</v>
      </c>
      <c r="AT27" s="52">
        <v>11.749750000000001</v>
      </c>
      <c r="AU27" s="52">
        <v>11.749750000000001</v>
      </c>
      <c r="AV27" s="52">
        <v>11.749750000000001</v>
      </c>
      <c r="AW27" s="52">
        <v>11.749750000000001</v>
      </c>
      <c r="AX27" s="52">
        <v>11.749750000000001</v>
      </c>
      <c r="AY27" s="52">
        <v>11.749750000000001</v>
      </c>
      <c r="AZ27" s="52">
        <v>11.749750000000001</v>
      </c>
      <c r="BA27" s="52">
        <v>11.749750000000001</v>
      </c>
      <c r="BB27" s="52">
        <v>11.749750000000001</v>
      </c>
      <c r="BC27" s="52">
        <v>11.749750000000001</v>
      </c>
      <c r="BD27" s="52">
        <v>11.749750000000001</v>
      </c>
      <c r="BE27" s="52">
        <v>11.749750000000001</v>
      </c>
      <c r="BF27" s="52">
        <v>11.749750000000001</v>
      </c>
      <c r="BG27" s="52">
        <v>11.749750000000001</v>
      </c>
      <c r="BH27" s="52">
        <v>11.749750000000001</v>
      </c>
      <c r="BI27" s="52">
        <v>11.749750000000001</v>
      </c>
      <c r="BJ27" s="52">
        <v>11.749750000000001</v>
      </c>
      <c r="BK27" s="52">
        <v>11.749750000000001</v>
      </c>
      <c r="BL27" s="52">
        <v>11.749750000000001</v>
      </c>
      <c r="BM27" s="52">
        <v>11.749750000000001</v>
      </c>
      <c r="BN27" s="52">
        <v>11.749750000000001</v>
      </c>
      <c r="BO27" s="52">
        <v>11.749750000000001</v>
      </c>
      <c r="BP27" s="52">
        <v>11.749750000000001</v>
      </c>
      <c r="BQ27" s="52">
        <v>11.749750000000001</v>
      </c>
      <c r="BR27" s="52">
        <v>11.749750000000001</v>
      </c>
      <c r="BS27" s="52">
        <v>11.749750000000001</v>
      </c>
      <c r="BT27" s="52">
        <v>11.749750000000001</v>
      </c>
      <c r="BU27" s="52">
        <v>11.749750000000001</v>
      </c>
      <c r="BV27" s="52">
        <v>11.749750000000001</v>
      </c>
      <c r="BW27" s="52">
        <v>11.749750000000001</v>
      </c>
      <c r="BX27" s="52">
        <v>11.749750000000001</v>
      </c>
      <c r="BY27" s="52">
        <v>11.749750000000001</v>
      </c>
      <c r="BZ27" s="52">
        <v>11.749750000000001</v>
      </c>
      <c r="CA27" s="52">
        <v>11.749750000000001</v>
      </c>
      <c r="CB27" s="52">
        <v>11.749750000000001</v>
      </c>
      <c r="CC27" s="52">
        <v>11.749750000000001</v>
      </c>
      <c r="CD27" s="52">
        <v>11.749750000000001</v>
      </c>
      <c r="CE27" s="52">
        <v>11.749750000000001</v>
      </c>
      <c r="CF27" s="52">
        <v>11.749750000000001</v>
      </c>
      <c r="CG27" s="52">
        <v>11.749750000000001</v>
      </c>
      <c r="CH27" s="52">
        <v>11.749750000000001</v>
      </c>
      <c r="CI27" s="52">
        <v>11.749750000000001</v>
      </c>
      <c r="CJ27" s="52">
        <v>11.749750000000001</v>
      </c>
      <c r="CK27" s="52">
        <v>11.749750000000001</v>
      </c>
      <c r="CL27" s="52">
        <v>11.749750000000001</v>
      </c>
      <c r="CM27" s="52">
        <v>11.749750000000001</v>
      </c>
      <c r="CN27" s="52">
        <v>11.749750000000001</v>
      </c>
      <c r="CO27" s="52">
        <v>11.749750000000001</v>
      </c>
      <c r="CP27" s="52">
        <v>11.749750000000001</v>
      </c>
      <c r="CQ27" s="52">
        <v>11.749750000000001</v>
      </c>
      <c r="CR27" s="52">
        <v>11.749750000000001</v>
      </c>
      <c r="CS27" s="52">
        <v>11.749750000000001</v>
      </c>
      <c r="CT27" s="52">
        <v>11.749750000000001</v>
      </c>
      <c r="CU27" s="52">
        <v>11.749750000000001</v>
      </c>
      <c r="CV27" s="52">
        <v>11.749750000000001</v>
      </c>
      <c r="CW27" s="52">
        <v>11.749750000000001</v>
      </c>
      <c r="CX27" s="52">
        <v>11.749750000000001</v>
      </c>
      <c r="CY27" s="52">
        <v>11.749750000000001</v>
      </c>
      <c r="CZ27" s="52">
        <v>11.749750000000001</v>
      </c>
      <c r="DA27" s="52">
        <v>11.749750000000001</v>
      </c>
      <c r="DB27" s="52">
        <v>11.749750000000001</v>
      </c>
      <c r="DC27" s="52">
        <v>11.749750000000001</v>
      </c>
      <c r="DD27" s="52">
        <v>11.749750000000001</v>
      </c>
      <c r="DE27" s="52">
        <v>11.749750000000001</v>
      </c>
      <c r="DF27" s="52">
        <v>11.749750000000001</v>
      </c>
      <c r="DG27" s="52">
        <v>11.749750000000001</v>
      </c>
      <c r="DH27" s="52">
        <v>11.749750000000001</v>
      </c>
      <c r="DI27" s="52">
        <v>11.749750000000001</v>
      </c>
      <c r="DJ27" s="52">
        <v>11.749750000000001</v>
      </c>
      <c r="DK27" s="52">
        <v>11.749750000000001</v>
      </c>
      <c r="DL27" s="52">
        <v>11.749750000000001</v>
      </c>
      <c r="DM27" s="52">
        <v>11.749750000000001</v>
      </c>
      <c r="DN27" s="52">
        <v>11.749750000000001</v>
      </c>
      <c r="DO27" s="52">
        <v>11.749750000000001</v>
      </c>
      <c r="DP27" s="52">
        <v>11.749750000000001</v>
      </c>
      <c r="DQ27" s="52">
        <v>11.749750000000001</v>
      </c>
      <c r="DR27" s="52">
        <v>11.749750000000001</v>
      </c>
      <c r="DS27" s="52">
        <v>11.749750000000001</v>
      </c>
      <c r="DT27" s="52">
        <v>11.749750000000001</v>
      </c>
      <c r="DU27" s="52">
        <v>11.749750000000001</v>
      </c>
      <c r="DV27" s="52">
        <v>11.749750000000001</v>
      </c>
      <c r="DW27" s="52">
        <v>11.749750000000001</v>
      </c>
      <c r="DX27" s="52">
        <v>11.749750000000001</v>
      </c>
      <c r="DY27" s="52">
        <v>11.749750000000001</v>
      </c>
      <c r="DZ27" s="52">
        <v>11.749750000000001</v>
      </c>
      <c r="EA27" s="52">
        <v>11.749750000000001</v>
      </c>
      <c r="EB27" s="52">
        <v>11.749750000000001</v>
      </c>
      <c r="EC27" s="52">
        <v>11.749750000000001</v>
      </c>
      <c r="ED27" s="52">
        <v>11.749750000000001</v>
      </c>
      <c r="EE27" s="52">
        <v>11.749750000000001</v>
      </c>
      <c r="EF27" s="52">
        <v>11.749750000000001</v>
      </c>
      <c r="EG27" s="52">
        <v>11.749750000000001</v>
      </c>
      <c r="EH27" s="52">
        <v>11.749750000000001</v>
      </c>
      <c r="EI27" s="52">
        <v>11.749750000000001</v>
      </c>
      <c r="EJ27" s="52">
        <v>11.749750000000001</v>
      </c>
      <c r="EK27" s="52">
        <v>11.749750000000001</v>
      </c>
      <c r="EL27" s="52">
        <v>11.749750000000001</v>
      </c>
      <c r="EM27" s="52">
        <v>11.749750000000001</v>
      </c>
      <c r="EN27" s="52">
        <v>11.749750000000001</v>
      </c>
      <c r="EO27" s="52">
        <v>11.749750000000001</v>
      </c>
      <c r="EP27" s="52">
        <v>11.749750000000001</v>
      </c>
      <c r="EQ27" s="52">
        <v>11.749750000000001</v>
      </c>
      <c r="ER27" s="52">
        <v>11.749750000000001</v>
      </c>
      <c r="ES27" s="52">
        <v>11.749750000000001</v>
      </c>
      <c r="ET27" s="52">
        <v>11.749750000000001</v>
      </c>
      <c r="EU27" s="52">
        <v>11.749750000000001</v>
      </c>
      <c r="EV27" s="52">
        <v>11.749750000000001</v>
      </c>
      <c r="EW27" s="52">
        <v>11.749750000000001</v>
      </c>
      <c r="EX27" s="52">
        <v>11.749750000000001</v>
      </c>
      <c r="EY27" s="52">
        <v>11.749750000000001</v>
      </c>
      <c r="EZ27" s="52">
        <v>11.749750000000001</v>
      </c>
      <c r="FA27" s="52">
        <v>11.749750000000001</v>
      </c>
      <c r="FB27" s="52">
        <v>11.749750000000001</v>
      </c>
      <c r="FC27" s="52">
        <v>11.749750000000001</v>
      </c>
      <c r="FD27" s="52">
        <v>11.749750000000001</v>
      </c>
      <c r="FE27" s="52">
        <v>11.749750000000001</v>
      </c>
      <c r="FF27" s="52">
        <v>11.749750000000001</v>
      </c>
      <c r="FG27" s="52">
        <v>11.749750000000001</v>
      </c>
      <c r="FH27" s="52">
        <v>11.749750000000001</v>
      </c>
      <c r="FI27" s="52">
        <v>11.749750000000001</v>
      </c>
      <c r="FJ27" s="52">
        <v>11.749750000000001</v>
      </c>
      <c r="FK27" s="52">
        <v>11.749750000000001</v>
      </c>
      <c r="FL27" s="52">
        <v>11.749750000000001</v>
      </c>
      <c r="FM27" s="52">
        <v>11.749750000000001</v>
      </c>
      <c r="FN27" s="52">
        <v>11.749750000000001</v>
      </c>
      <c r="FO27" s="52">
        <v>11.749750000000001</v>
      </c>
      <c r="FP27" s="52">
        <v>11.749750000000001</v>
      </c>
      <c r="FQ27" s="52">
        <v>11.749750000000001</v>
      </c>
      <c r="FR27" s="52">
        <v>11.749750000000001</v>
      </c>
      <c r="FS27" s="52">
        <v>11.749750000000001</v>
      </c>
      <c r="FT27" s="52">
        <v>11.749750000000001</v>
      </c>
      <c r="FU27" s="52">
        <v>11.749750000000001</v>
      </c>
      <c r="FV27" s="52">
        <v>11.749750000000001</v>
      </c>
      <c r="FW27" s="52">
        <v>11.749750000000001</v>
      </c>
      <c r="FX27" s="52">
        <v>11.749750000000001</v>
      </c>
      <c r="FY27" s="52">
        <v>11.749750000000001</v>
      </c>
      <c r="FZ27" s="52">
        <v>11.749750000000001</v>
      </c>
      <c r="GA27" s="52">
        <v>11.749750000000001</v>
      </c>
      <c r="GB27" s="52">
        <v>11.749750000000001</v>
      </c>
      <c r="GC27" s="52">
        <v>11.749750000000001</v>
      </c>
      <c r="GD27" s="52">
        <v>11.749750000000001</v>
      </c>
      <c r="GE27" s="52">
        <v>11.749750000000001</v>
      </c>
      <c r="GF27" s="52">
        <v>11.749750000000001</v>
      </c>
      <c r="GG27" s="52">
        <v>11.749750000000001</v>
      </c>
      <c r="GH27" s="52">
        <v>11.749750000000001</v>
      </c>
      <c r="GI27" s="52">
        <v>11.749750000000001</v>
      </c>
      <c r="GJ27" s="52">
        <v>11.749750000000001</v>
      </c>
      <c r="GK27" s="52">
        <v>11.749750000000001</v>
      </c>
      <c r="GL27" s="52">
        <v>11.749750000000001</v>
      </c>
      <c r="GM27" s="52">
        <v>11.749750000000001</v>
      </c>
      <c r="GN27" s="52">
        <v>11.749750000000001</v>
      </c>
      <c r="GO27" s="52">
        <v>11.749750000000001</v>
      </c>
      <c r="GP27" s="52">
        <v>11.749750000000001</v>
      </c>
      <c r="GQ27" s="52">
        <v>11.749750000000001</v>
      </c>
      <c r="GR27" s="52">
        <v>11.749750000000001</v>
      </c>
      <c r="GS27" s="52">
        <v>11.749750000000001</v>
      </c>
      <c r="GT27" s="52">
        <v>11.749750000000001</v>
      </c>
      <c r="GU27" s="52">
        <v>11.749750000000001</v>
      </c>
      <c r="GV27" s="52">
        <v>11.749750000000001</v>
      </c>
      <c r="GW27" s="52">
        <v>11.749750000000001</v>
      </c>
      <c r="GX27" s="52">
        <v>11.749750000000001</v>
      </c>
      <c r="GY27" s="52">
        <v>11.749750000000001</v>
      </c>
      <c r="GZ27" s="52">
        <v>11.749750000000001</v>
      </c>
      <c r="HA27" s="52">
        <v>11.749750000000001</v>
      </c>
      <c r="HB27" s="52">
        <v>11.749750000000001</v>
      </c>
      <c r="HC27" s="52">
        <v>11.749750000000001</v>
      </c>
      <c r="HD27" s="52">
        <v>11.749750000000001</v>
      </c>
      <c r="HE27" s="52">
        <v>11.749750000000001</v>
      </c>
      <c r="HF27" s="52">
        <v>11.749750000000001</v>
      </c>
      <c r="HG27" s="52">
        <v>11.749750000000001</v>
      </c>
      <c r="HH27" s="52">
        <v>11.749750000000001</v>
      </c>
      <c r="HI27" s="52">
        <v>11.749750000000001</v>
      </c>
      <c r="HJ27" s="52">
        <v>11.749750000000001</v>
      </c>
      <c r="HK27" s="52">
        <v>11.749750000000001</v>
      </c>
      <c r="HL27" s="52">
        <v>11.749750000000001</v>
      </c>
      <c r="HM27" s="52">
        <v>11.749750000000001</v>
      </c>
      <c r="HN27" s="52">
        <v>11.749750000000001</v>
      </c>
      <c r="HO27" s="52">
        <v>11.749750000000001</v>
      </c>
      <c r="HP27" s="52">
        <v>11.749750000000001</v>
      </c>
      <c r="HQ27" s="52">
        <v>11.749750000000001</v>
      </c>
      <c r="HR27" s="52">
        <v>11.749750000000001</v>
      </c>
      <c r="HS27" s="52">
        <v>11.749750000000001</v>
      </c>
      <c r="HT27" s="52">
        <v>11.749750000000001</v>
      </c>
      <c r="HU27" s="52">
        <v>11.749750000000001</v>
      </c>
      <c r="HV27" s="52">
        <v>11.749750000000001</v>
      </c>
      <c r="HW27" s="52">
        <v>11.749750000000001</v>
      </c>
      <c r="HX27" s="52">
        <v>11.749750000000001</v>
      </c>
      <c r="HY27" s="52">
        <v>11.749750000000001</v>
      </c>
      <c r="HZ27" s="52">
        <v>11.749750000000001</v>
      </c>
      <c r="IA27" s="52">
        <v>11.749750000000001</v>
      </c>
      <c r="IB27" s="52">
        <v>11.749750000000001</v>
      </c>
      <c r="IC27" s="52">
        <v>11.749750000000001</v>
      </c>
      <c r="ID27" s="52">
        <v>11.749750000000001</v>
      </c>
      <c r="IE27" s="52">
        <v>11.749750000000001</v>
      </c>
      <c r="IF27" s="52">
        <v>11.749750000000001</v>
      </c>
      <c r="IG27" s="52">
        <v>11.749750000000001</v>
      </c>
      <c r="IH27" s="52">
        <v>11.749750000000001</v>
      </c>
      <c r="II27" s="52">
        <v>11.749750000000001</v>
      </c>
      <c r="IJ27" s="52">
        <v>11.749750000000001</v>
      </c>
      <c r="IK27" s="52">
        <v>11.749750000000001</v>
      </c>
      <c r="IL27" s="52">
        <v>11.749750000000001</v>
      </c>
      <c r="IM27" s="52">
        <v>11.749750000000001</v>
      </c>
      <c r="IN27" s="52">
        <v>11.749750000000001</v>
      </c>
      <c r="IO27" s="52">
        <v>11.749750000000001</v>
      </c>
      <c r="IP27" s="52">
        <v>11.749750000000001</v>
      </c>
      <c r="IQ27" s="52">
        <v>11.749750000000001</v>
      </c>
      <c r="IR27" s="52">
        <v>11.749750000000001</v>
      </c>
      <c r="IS27" s="52">
        <v>11.749750000000001</v>
      </c>
      <c r="IT27" s="52">
        <v>11.749750000000001</v>
      </c>
      <c r="IU27" s="52">
        <v>11.749750000000001</v>
      </c>
      <c r="IV27" s="52">
        <v>11.749750000000001</v>
      </c>
      <c r="IW27" s="52">
        <v>11.749750000000001</v>
      </c>
      <c r="IX27" s="52">
        <v>11.749750000000001</v>
      </c>
      <c r="IY27" s="52">
        <v>11.749750000000001</v>
      </c>
      <c r="IZ27" s="52">
        <v>11.749750000000001</v>
      </c>
      <c r="JA27" s="52">
        <v>11.749750000000001</v>
      </c>
      <c r="JB27" s="52">
        <v>11.749750000000001</v>
      </c>
      <c r="JC27" s="52">
        <v>11.749750000000001</v>
      </c>
      <c r="JD27" s="52">
        <v>11.749750000000001</v>
      </c>
      <c r="JE27" s="52">
        <v>11.749750000000001</v>
      </c>
      <c r="JF27" s="52">
        <v>11.749750000000001</v>
      </c>
      <c r="JG27" s="52">
        <v>11.749750000000001</v>
      </c>
      <c r="JH27" s="52">
        <v>11.749750000000001</v>
      </c>
      <c r="JI27" s="52">
        <v>11.749750000000001</v>
      </c>
      <c r="JJ27" s="52">
        <v>11.749750000000001</v>
      </c>
      <c r="JK27" s="52">
        <v>11.749750000000001</v>
      </c>
      <c r="JL27" s="52">
        <v>11.749750000000001</v>
      </c>
      <c r="JM27" s="52">
        <v>11.749750000000001</v>
      </c>
      <c r="JN27" s="52">
        <v>11.749750000000001</v>
      </c>
      <c r="JO27" s="52">
        <v>11.749750000000001</v>
      </c>
      <c r="JP27" s="52">
        <v>11.749750000000001</v>
      </c>
      <c r="JQ27" s="52">
        <v>11.749750000000001</v>
      </c>
      <c r="JR27" s="52">
        <v>11.749750000000001</v>
      </c>
      <c r="JS27" s="52">
        <v>11.749750000000001</v>
      </c>
      <c r="JT27" s="52">
        <v>11.749750000000001</v>
      </c>
      <c r="JU27" s="52">
        <v>11.749750000000001</v>
      </c>
      <c r="JV27" s="52">
        <v>11.749750000000001</v>
      </c>
      <c r="JW27" s="52">
        <v>11.749750000000001</v>
      </c>
      <c r="JX27" s="52">
        <v>11.749750000000001</v>
      </c>
      <c r="JY27" s="52">
        <v>11.749750000000001</v>
      </c>
      <c r="JZ27" s="52">
        <v>11.749750000000001</v>
      </c>
      <c r="KA27" s="52">
        <v>11.749750000000001</v>
      </c>
      <c r="KB27" s="52">
        <v>11.749750000000001</v>
      </c>
      <c r="KC27" s="52">
        <v>11.749750000000001</v>
      </c>
      <c r="KD27" s="52">
        <v>11.749750000000001</v>
      </c>
      <c r="KE27" s="52">
        <v>11.749750000000001</v>
      </c>
      <c r="KF27" s="52">
        <v>11.749750000000001</v>
      </c>
      <c r="KG27" s="52">
        <v>11.749750000000001</v>
      </c>
      <c r="KH27" s="52">
        <v>11.749750000000001</v>
      </c>
      <c r="KI27" s="52">
        <v>11.749750000000001</v>
      </c>
      <c r="KJ27" s="52">
        <v>11.749750000000001</v>
      </c>
      <c r="KK27" s="52">
        <v>11.749750000000001</v>
      </c>
      <c r="KL27" s="52">
        <v>11.749750000000001</v>
      </c>
      <c r="KM27" s="52">
        <v>11.749750000000001</v>
      </c>
      <c r="KN27" s="52">
        <v>11.749750000000001</v>
      </c>
      <c r="KO27" s="52">
        <v>11.749750000000001</v>
      </c>
      <c r="KP27" s="52">
        <v>11.749750000000001</v>
      </c>
      <c r="KQ27" s="52">
        <v>11.749750000000001</v>
      </c>
      <c r="KR27" s="52">
        <v>11.749750000000001</v>
      </c>
      <c r="KS27" s="52">
        <v>11.749750000000001</v>
      </c>
      <c r="KT27" s="52">
        <v>11.749750000000001</v>
      </c>
      <c r="KU27" s="52">
        <v>11.749750000000001</v>
      </c>
      <c r="KV27" s="52">
        <v>11.749750000000001</v>
      </c>
      <c r="KW27" s="52">
        <v>11.749750000000001</v>
      </c>
      <c r="KX27" s="52">
        <v>11.749750000000001</v>
      </c>
      <c r="KY27" s="52">
        <v>11.749750000000001</v>
      </c>
      <c r="KZ27" s="52">
        <v>11.749750000000001</v>
      </c>
      <c r="LA27" s="52">
        <v>11.749750000000001</v>
      </c>
      <c r="LB27" s="52">
        <v>11.749750000000001</v>
      </c>
      <c r="LC27" s="52">
        <v>11.749750000000001</v>
      </c>
      <c r="LD27" s="52">
        <v>11.749750000000001</v>
      </c>
      <c r="LE27" s="52">
        <v>11.749750000000001</v>
      </c>
      <c r="LF27" s="52">
        <v>11.749750000000001</v>
      </c>
      <c r="LG27" s="52">
        <v>11.749750000000001</v>
      </c>
      <c r="LH27" s="52">
        <v>11.749750000000001</v>
      </c>
      <c r="LI27" s="52">
        <v>11.749750000000001</v>
      </c>
      <c r="LJ27" s="52">
        <v>11.749750000000001</v>
      </c>
      <c r="LK27" s="52">
        <v>11.749750000000001</v>
      </c>
      <c r="LL27" s="52">
        <v>11.749750000000001</v>
      </c>
      <c r="LM27" s="52">
        <v>11.749750000000001</v>
      </c>
      <c r="LN27" s="52">
        <v>11.749750000000001</v>
      </c>
      <c r="LO27" s="52">
        <v>11.749750000000001</v>
      </c>
      <c r="LP27" s="52">
        <v>11.749750000000001</v>
      </c>
      <c r="LQ27" s="52">
        <v>11.749750000000001</v>
      </c>
      <c r="LR27" s="52">
        <v>11.749750000000001</v>
      </c>
      <c r="LS27" s="52">
        <v>11.749750000000001</v>
      </c>
      <c r="LT27" s="52">
        <v>11.749750000000001</v>
      </c>
      <c r="LU27" s="52">
        <v>11.749750000000001</v>
      </c>
      <c r="LV27" s="52">
        <v>11.749750000000001</v>
      </c>
      <c r="LW27" s="52">
        <v>11.749750000000001</v>
      </c>
      <c r="LX27" s="52">
        <v>11.749750000000001</v>
      </c>
      <c r="LY27" s="52">
        <v>11.749750000000001</v>
      </c>
      <c r="LZ27" s="52">
        <v>11.749750000000001</v>
      </c>
      <c r="MA27" s="52">
        <v>11.749750000000001</v>
      </c>
      <c r="MB27" s="52">
        <v>11.749750000000001</v>
      </c>
      <c r="MC27" s="52">
        <v>11.749750000000001</v>
      </c>
      <c r="MD27" s="52">
        <v>11.749750000000001</v>
      </c>
      <c r="ME27" s="52">
        <v>11.749750000000001</v>
      </c>
      <c r="MF27" s="52">
        <v>11.749750000000001</v>
      </c>
      <c r="MG27" s="52">
        <v>11.749750000000001</v>
      </c>
      <c r="MH27" s="52">
        <v>11.749750000000001</v>
      </c>
      <c r="MI27" s="52">
        <v>11.749750000000001</v>
      </c>
      <c r="MJ27" s="52">
        <v>11.749750000000001</v>
      </c>
      <c r="MK27" s="52">
        <v>11.749750000000001</v>
      </c>
      <c r="ML27" s="52">
        <v>11.749750000000001</v>
      </c>
      <c r="MM27" s="52">
        <v>11.749750000000001</v>
      </c>
      <c r="MN27" s="52">
        <v>11.749750000000001</v>
      </c>
      <c r="MO27" s="52">
        <v>11.749750000000001</v>
      </c>
      <c r="MP27" s="52">
        <v>11.749750000000001</v>
      </c>
      <c r="MQ27" s="52">
        <v>11.749750000000001</v>
      </c>
      <c r="MR27" s="52">
        <v>11.749750000000001</v>
      </c>
      <c r="MS27" s="52">
        <v>11.749750000000001</v>
      </c>
      <c r="MT27" s="52">
        <v>11.749750000000001</v>
      </c>
      <c r="MU27" s="52">
        <v>11.749750000000001</v>
      </c>
      <c r="MV27" s="52">
        <v>11.749750000000001</v>
      </c>
      <c r="MW27" s="52">
        <v>11.749750000000001</v>
      </c>
      <c r="MX27" s="52">
        <v>11.749750000000001</v>
      </c>
      <c r="MY27" s="52">
        <v>11.749750000000001</v>
      </c>
      <c r="MZ27" s="52">
        <v>11.749750000000001</v>
      </c>
      <c r="NA27" s="52">
        <v>11.749750000000001</v>
      </c>
      <c r="NB27" s="52">
        <v>11.749750000000001</v>
      </c>
      <c r="NC27" s="52">
        <v>11.749750000000001</v>
      </c>
      <c r="ND27" s="52">
        <v>11.749750000000001</v>
      </c>
      <c r="NE27" s="52">
        <v>11.749750000000001</v>
      </c>
      <c r="NF27" s="37">
        <v>11.749750000000001</v>
      </c>
      <c r="NG27" s="37">
        <v>11.749750000000001</v>
      </c>
      <c r="NH27" s="37">
        <v>11.749750000000001</v>
      </c>
      <c r="NI27" s="37">
        <v>11.749750000000001</v>
      </c>
      <c r="NJ27" s="37">
        <v>11.749750000000001</v>
      </c>
      <c r="NK27" s="37">
        <v>11.749750000000001</v>
      </c>
      <c r="NL27" s="37">
        <v>11.749750000000001</v>
      </c>
      <c r="NM27" s="37">
        <v>11.749750000000001</v>
      </c>
      <c r="NN27" s="37">
        <v>11.749750000000001</v>
      </c>
      <c r="NO27" s="37">
        <v>11.749750000000001</v>
      </c>
      <c r="NP27" s="37">
        <v>11.749750000000001</v>
      </c>
      <c r="NQ27" s="37">
        <v>11.749750000000001</v>
      </c>
      <c r="NR27" s="37">
        <v>11.749750000000001</v>
      </c>
      <c r="NS27" s="37">
        <v>11.749750000000001</v>
      </c>
      <c r="NT27" s="37">
        <v>11.749750000000001</v>
      </c>
      <c r="NU27" s="37">
        <v>11.749750000000001</v>
      </c>
      <c r="NV27" s="37">
        <v>11.749750000000001</v>
      </c>
      <c r="NW27" s="37">
        <v>11.749750000000001</v>
      </c>
      <c r="NX27" s="37">
        <v>11.749750000000001</v>
      </c>
      <c r="NY27" s="37">
        <v>11.749750000000001</v>
      </c>
      <c r="NZ27" s="37">
        <v>11.749750000000001</v>
      </c>
      <c r="OA27" s="37">
        <v>11.749750000000001</v>
      </c>
      <c r="OB27" s="37">
        <v>11.749750000000001</v>
      </c>
      <c r="OC27" s="37">
        <v>11.749750000000001</v>
      </c>
      <c r="OD27" s="37">
        <v>11.749750000000001</v>
      </c>
      <c r="OE27" s="37">
        <v>11.749750000000001</v>
      </c>
      <c r="OF27" s="37">
        <v>11.749750000000001</v>
      </c>
      <c r="OG27" s="37">
        <v>11.749750000000001</v>
      </c>
      <c r="OH27" s="37">
        <v>11.749750000000001</v>
      </c>
      <c r="OI27" s="37">
        <v>11.749750000000001</v>
      </c>
      <c r="OJ27" s="37">
        <v>11.749750000000001</v>
      </c>
      <c r="OK27" s="37">
        <v>11.749750000000001</v>
      </c>
      <c r="OL27" s="37">
        <v>11.749750000000001</v>
      </c>
      <c r="OM27" s="37">
        <v>11.749750000000001</v>
      </c>
      <c r="ON27" s="37">
        <v>11.749750000000001</v>
      </c>
      <c r="OO27" s="37">
        <v>11.749750000000001</v>
      </c>
      <c r="OP27" s="37">
        <v>11.749750000000001</v>
      </c>
      <c r="OQ27" s="37">
        <v>11.749750000000001</v>
      </c>
      <c r="OR27" s="37">
        <v>11.749750000000001</v>
      </c>
      <c r="OS27" s="37">
        <v>11.749750000000001</v>
      </c>
      <c r="OT27" s="37">
        <v>11.749750000000001</v>
      </c>
      <c r="OU27" s="37">
        <v>11.749750000000001</v>
      </c>
      <c r="OV27" s="37">
        <v>11.749750000000001</v>
      </c>
      <c r="OW27" s="37">
        <v>11.749750000000001</v>
      </c>
      <c r="OX27" s="37">
        <v>11.749750000000001</v>
      </c>
      <c r="OY27" s="37">
        <v>11.749750000000001</v>
      </c>
      <c r="OZ27" s="37">
        <v>11.749750000000001</v>
      </c>
      <c r="PA27" s="37">
        <v>11.749750000000001</v>
      </c>
      <c r="PB27" s="37">
        <v>11.749750000000001</v>
      </c>
      <c r="PC27" s="37">
        <v>11.749750000000001</v>
      </c>
      <c r="PD27" s="37">
        <v>11.749750000000001</v>
      </c>
      <c r="PE27" s="37">
        <v>11.749750000000001</v>
      </c>
      <c r="PF27" s="37">
        <v>11.749750000000001</v>
      </c>
      <c r="PG27" s="37">
        <v>11.749750000000001</v>
      </c>
      <c r="PH27" s="37">
        <v>11.749750000000001</v>
      </c>
      <c r="PI27" s="37">
        <v>11.749750000000001</v>
      </c>
      <c r="PJ27" s="37">
        <v>11.749750000000001</v>
      </c>
      <c r="PK27" s="37">
        <v>11.749750000000001</v>
      </c>
      <c r="PL27" s="37">
        <v>11.749750000000001</v>
      </c>
      <c r="PM27" s="37">
        <v>11.749750000000001</v>
      </c>
      <c r="PN27" s="37">
        <v>11.749750000000001</v>
      </c>
      <c r="PO27" s="37">
        <v>11.749750000000001</v>
      </c>
      <c r="PP27" s="37">
        <v>11.749750000000001</v>
      </c>
      <c r="PQ27" s="37">
        <v>11.749750000000001</v>
      </c>
      <c r="PR27" s="37">
        <v>11.749750000000001</v>
      </c>
      <c r="PS27" s="15">
        <v>11.749750000000001</v>
      </c>
      <c r="PT27" s="15">
        <v>11.749750000000001</v>
      </c>
      <c r="PU27" s="15">
        <v>11.749750000000001</v>
      </c>
      <c r="PV27" s="15">
        <v>11.749750000000001</v>
      </c>
      <c r="PW27" s="15">
        <v>11.749750000000001</v>
      </c>
      <c r="PX27" s="15">
        <v>11.749750000000001</v>
      </c>
      <c r="PY27" s="15">
        <v>11.749750000000001</v>
      </c>
      <c r="PZ27" s="15">
        <v>11.749750000000001</v>
      </c>
      <c r="QA27" s="15">
        <v>11.749750000000001</v>
      </c>
      <c r="QB27" s="15">
        <v>11.749750000000001</v>
      </c>
      <c r="QC27" s="15">
        <v>11.749750000000001</v>
      </c>
      <c r="QD27" s="15">
        <v>11.749750000000001</v>
      </c>
      <c r="QE27" s="15">
        <v>11.749750000000001</v>
      </c>
      <c r="QF27" s="15">
        <v>11.749750000000001</v>
      </c>
      <c r="QG27" s="15">
        <v>11.749750000000001</v>
      </c>
      <c r="QH27" s="15">
        <v>11.749750000000001</v>
      </c>
      <c r="QI27" s="15">
        <v>11.749750000000001</v>
      </c>
      <c r="QJ27" s="15">
        <v>11.749750000000001</v>
      </c>
      <c r="QK27" s="15">
        <v>11.749750000000001</v>
      </c>
      <c r="QL27" s="15">
        <v>11.749750000000001</v>
      </c>
      <c r="QM27" s="15">
        <v>11.749750000000001</v>
      </c>
      <c r="QN27" s="15">
        <v>11.749750000000001</v>
      </c>
      <c r="QO27" s="15">
        <v>11.749750000000001</v>
      </c>
      <c r="QP27" s="15">
        <v>11.749750000000001</v>
      </c>
      <c r="QQ27" s="15">
        <v>11.749750000000001</v>
      </c>
      <c r="QR27" s="15">
        <v>11.749750000000001</v>
      </c>
      <c r="QS27" s="15">
        <v>11.749750000000001</v>
      </c>
      <c r="QT27" s="15">
        <v>11.749750000000001</v>
      </c>
      <c r="QU27" s="15">
        <v>11.749750000000001</v>
      </c>
      <c r="QV27" s="15">
        <v>11.749750000000001</v>
      </c>
      <c r="QW27" s="15">
        <v>11.749750000000001</v>
      </c>
      <c r="QX27" s="15">
        <v>11.749750000000001</v>
      </c>
      <c r="QY27" s="15">
        <v>11.749750000000001</v>
      </c>
      <c r="QZ27" s="15">
        <v>11.749750000000001</v>
      </c>
      <c r="RA27" s="15">
        <v>11.749750000000001</v>
      </c>
      <c r="RB27" s="15">
        <v>11.749750000000001</v>
      </c>
      <c r="RC27" s="15">
        <v>11.749750000000001</v>
      </c>
      <c r="RD27" s="15">
        <v>11.749750000000001</v>
      </c>
      <c r="RE27" s="15">
        <v>11.749750000000001</v>
      </c>
      <c r="RF27" s="15">
        <v>11.749750000000001</v>
      </c>
      <c r="RG27" s="15">
        <v>11.749750000000001</v>
      </c>
      <c r="RH27" s="15">
        <v>11.749750000000001</v>
      </c>
      <c r="RI27" s="15">
        <v>11.749750000000001</v>
      </c>
      <c r="RJ27" s="15">
        <v>11.749750000000001</v>
      </c>
      <c r="RK27" s="15">
        <v>11.749750000000001</v>
      </c>
      <c r="RL27" s="15">
        <v>9.9329999999999998</v>
      </c>
      <c r="RM27" s="15" t="s">
        <v>668</v>
      </c>
      <c r="RN27" s="15" t="s">
        <v>668</v>
      </c>
      <c r="RO27" s="15" t="s">
        <v>668</v>
      </c>
      <c r="RP27" s="15" t="s">
        <v>668</v>
      </c>
      <c r="RQ27" s="15" t="s">
        <v>668</v>
      </c>
      <c r="RR27" s="15" t="s">
        <v>668</v>
      </c>
      <c r="RS27" s="15" t="s">
        <v>668</v>
      </c>
      <c r="RT27" s="15" t="s">
        <v>668</v>
      </c>
      <c r="RU27" s="15" t="s">
        <v>668</v>
      </c>
      <c r="RV27" s="15" t="s">
        <v>668</v>
      </c>
      <c r="RW27" s="15" t="s">
        <v>668</v>
      </c>
      <c r="RX27" s="15" t="s">
        <v>668</v>
      </c>
      <c r="RY27" s="15" t="s">
        <v>668</v>
      </c>
      <c r="RZ27" s="15" t="s">
        <v>668</v>
      </c>
      <c r="SA27" s="15" t="s">
        <v>668</v>
      </c>
      <c r="SB27" s="15" t="s">
        <v>668</v>
      </c>
      <c r="SC27" s="15" t="s">
        <v>668</v>
      </c>
      <c r="SD27" s="15" t="s">
        <v>668</v>
      </c>
      <c r="SE27" s="15" t="s">
        <v>668</v>
      </c>
      <c r="SF27" s="15" t="s">
        <v>668</v>
      </c>
      <c r="SG27" s="15" t="s">
        <v>668</v>
      </c>
      <c r="SH27" s="15" t="s">
        <v>668</v>
      </c>
      <c r="SI27" s="15" t="s">
        <v>668</v>
      </c>
      <c r="SJ27" s="15" t="s">
        <v>668</v>
      </c>
      <c r="SK27" s="15" t="s">
        <v>668</v>
      </c>
      <c r="SL27" s="15" t="s">
        <v>668</v>
      </c>
    </row>
    <row r="28" spans="1:506" x14ac:dyDescent="0.2">
      <c r="A28" s="37">
        <v>26</v>
      </c>
      <c r="B28" s="15" t="s">
        <v>558</v>
      </c>
      <c r="C28" s="17">
        <f>+'Detalle Compras'!D28</f>
        <v>202505300007</v>
      </c>
      <c r="D28" s="55">
        <f t="shared" si="13"/>
        <v>12.6721</v>
      </c>
      <c r="E28" s="14">
        <f>+IF(B28="","",'Detalle Compras'!S28+0)</f>
        <v>45848</v>
      </c>
      <c r="F28" s="14">
        <f>+IF(B28="","",EOMONTH('Detalle Compras'!S28,G28)+10)</f>
        <v>56836</v>
      </c>
      <c r="G28" s="50">
        <f t="shared" si="14"/>
        <v>360</v>
      </c>
      <c r="H28" s="50">
        <f t="shared" si="15"/>
        <v>353</v>
      </c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>
        <v>12.6721</v>
      </c>
      <c r="Z28" s="52">
        <v>12.6721</v>
      </c>
      <c r="AA28" s="52">
        <v>12.6721</v>
      </c>
      <c r="AB28" s="52">
        <v>12.6721</v>
      </c>
      <c r="AC28" s="52">
        <v>12.6721</v>
      </c>
      <c r="AD28" s="52">
        <v>12.6721</v>
      </c>
      <c r="AE28" s="52">
        <v>12.6721</v>
      </c>
      <c r="AF28" s="52">
        <v>12.6721</v>
      </c>
      <c r="AG28" s="52">
        <v>12.6721</v>
      </c>
      <c r="AH28" s="52">
        <v>12.6721</v>
      </c>
      <c r="AI28" s="52">
        <v>12.6721</v>
      </c>
      <c r="AJ28" s="52">
        <v>12.6721</v>
      </c>
      <c r="AK28" s="52">
        <v>12.6721</v>
      </c>
      <c r="AL28" s="52">
        <v>12.6721</v>
      </c>
      <c r="AM28" s="52">
        <v>12.6721</v>
      </c>
      <c r="AN28" s="52">
        <v>12.6721</v>
      </c>
      <c r="AO28" s="52">
        <v>12.6721</v>
      </c>
      <c r="AP28" s="52">
        <v>12.6721</v>
      </c>
      <c r="AQ28" s="52">
        <v>12.6721</v>
      </c>
      <c r="AR28" s="52">
        <v>12.6721</v>
      </c>
      <c r="AS28" s="52">
        <v>12.6721</v>
      </c>
      <c r="AT28" s="52">
        <v>12.6721</v>
      </c>
      <c r="AU28" s="52">
        <v>12.6721</v>
      </c>
      <c r="AV28" s="52">
        <v>12.6721</v>
      </c>
      <c r="AW28" s="52">
        <v>12.6721</v>
      </c>
      <c r="AX28" s="52">
        <v>12.6721</v>
      </c>
      <c r="AY28" s="52">
        <v>12.6721</v>
      </c>
      <c r="AZ28" s="52">
        <v>12.6721</v>
      </c>
      <c r="BA28" s="52">
        <v>12.6721</v>
      </c>
      <c r="BB28" s="52">
        <v>12.6721</v>
      </c>
      <c r="BC28" s="52">
        <v>12.6721</v>
      </c>
      <c r="BD28" s="52">
        <v>12.6721</v>
      </c>
      <c r="BE28" s="52">
        <v>12.6721</v>
      </c>
      <c r="BF28" s="52">
        <v>12.6721</v>
      </c>
      <c r="BG28" s="52">
        <v>12.6721</v>
      </c>
      <c r="BH28" s="52">
        <v>12.6721</v>
      </c>
      <c r="BI28" s="52">
        <v>12.6721</v>
      </c>
      <c r="BJ28" s="52">
        <v>12.6721</v>
      </c>
      <c r="BK28" s="52">
        <v>12.6721</v>
      </c>
      <c r="BL28" s="52">
        <v>12.6721</v>
      </c>
      <c r="BM28" s="52">
        <v>12.6721</v>
      </c>
      <c r="BN28" s="52">
        <v>12.6721</v>
      </c>
      <c r="BO28" s="52">
        <v>12.6721</v>
      </c>
      <c r="BP28" s="52">
        <v>12.6721</v>
      </c>
      <c r="BQ28" s="52">
        <v>12.6721</v>
      </c>
      <c r="BR28" s="52">
        <v>12.6721</v>
      </c>
      <c r="BS28" s="52">
        <v>12.6721</v>
      </c>
      <c r="BT28" s="52">
        <v>12.6721</v>
      </c>
      <c r="BU28" s="52">
        <v>12.6721</v>
      </c>
      <c r="BV28" s="52">
        <v>12.6721</v>
      </c>
      <c r="BW28" s="52">
        <v>12.6721</v>
      </c>
      <c r="BX28" s="52">
        <v>12.6721</v>
      </c>
      <c r="BY28" s="52">
        <v>12.6721</v>
      </c>
      <c r="BZ28" s="52">
        <v>12.6721</v>
      </c>
      <c r="CA28" s="52">
        <v>12.6721</v>
      </c>
      <c r="CB28" s="52">
        <v>12.6721</v>
      </c>
      <c r="CC28" s="52">
        <v>12.6721</v>
      </c>
      <c r="CD28" s="52">
        <v>12.6721</v>
      </c>
      <c r="CE28" s="52">
        <v>12.6721</v>
      </c>
      <c r="CF28" s="52">
        <v>12.6721</v>
      </c>
      <c r="CG28" s="52">
        <v>12.6721</v>
      </c>
      <c r="CH28" s="52">
        <v>12.6721</v>
      </c>
      <c r="CI28" s="52">
        <v>12.6721</v>
      </c>
      <c r="CJ28" s="52">
        <v>12.6721</v>
      </c>
      <c r="CK28" s="52">
        <v>12.6721</v>
      </c>
      <c r="CL28" s="52">
        <v>12.6721</v>
      </c>
      <c r="CM28" s="52">
        <v>12.6721</v>
      </c>
      <c r="CN28" s="52">
        <v>12.6721</v>
      </c>
      <c r="CO28" s="52">
        <v>12.6721</v>
      </c>
      <c r="CP28" s="52">
        <v>12.6721</v>
      </c>
      <c r="CQ28" s="52">
        <v>12.6721</v>
      </c>
      <c r="CR28" s="52">
        <v>12.6721</v>
      </c>
      <c r="CS28" s="52">
        <v>12.6721</v>
      </c>
      <c r="CT28" s="52">
        <v>12.6721</v>
      </c>
      <c r="CU28" s="52">
        <v>12.6721</v>
      </c>
      <c r="CV28" s="52">
        <v>12.6721</v>
      </c>
      <c r="CW28" s="52">
        <v>12.6721</v>
      </c>
      <c r="CX28" s="52">
        <v>12.6721</v>
      </c>
      <c r="CY28" s="52">
        <v>12.6721</v>
      </c>
      <c r="CZ28" s="52">
        <v>12.6721</v>
      </c>
      <c r="DA28" s="52">
        <v>12.6721</v>
      </c>
      <c r="DB28" s="52">
        <v>12.6721</v>
      </c>
      <c r="DC28" s="52">
        <v>12.6721</v>
      </c>
      <c r="DD28" s="52">
        <v>12.6721</v>
      </c>
      <c r="DE28" s="52">
        <v>12.6721</v>
      </c>
      <c r="DF28" s="52">
        <v>12.6721</v>
      </c>
      <c r="DG28" s="52">
        <v>12.6721</v>
      </c>
      <c r="DH28" s="52">
        <v>12.6721</v>
      </c>
      <c r="DI28" s="52">
        <v>12.6721</v>
      </c>
      <c r="DJ28" s="52">
        <v>12.6721</v>
      </c>
      <c r="DK28" s="52">
        <v>12.6721</v>
      </c>
      <c r="DL28" s="52">
        <v>12.6721</v>
      </c>
      <c r="DM28" s="52">
        <v>12.6721</v>
      </c>
      <c r="DN28" s="52">
        <v>12.6721</v>
      </c>
      <c r="DO28" s="52">
        <v>12.6721</v>
      </c>
      <c r="DP28" s="52">
        <v>12.6721</v>
      </c>
      <c r="DQ28" s="52">
        <v>12.6721</v>
      </c>
      <c r="DR28" s="52">
        <v>12.6721</v>
      </c>
      <c r="DS28" s="52">
        <v>12.6721</v>
      </c>
      <c r="DT28" s="52">
        <v>12.6721</v>
      </c>
      <c r="DU28" s="52">
        <v>12.6721</v>
      </c>
      <c r="DV28" s="52">
        <v>12.6721</v>
      </c>
      <c r="DW28" s="52">
        <v>12.6721</v>
      </c>
      <c r="DX28" s="52">
        <v>12.6721</v>
      </c>
      <c r="DY28" s="52">
        <v>12.6721</v>
      </c>
      <c r="DZ28" s="52">
        <v>12.6721</v>
      </c>
      <c r="EA28" s="52">
        <v>12.6721</v>
      </c>
      <c r="EB28" s="52">
        <v>12.6721</v>
      </c>
      <c r="EC28" s="52">
        <v>12.6721</v>
      </c>
      <c r="ED28" s="52">
        <v>12.6721</v>
      </c>
      <c r="EE28" s="52">
        <v>12.6721</v>
      </c>
      <c r="EF28" s="52">
        <v>12.6721</v>
      </c>
      <c r="EG28" s="52">
        <v>12.6721</v>
      </c>
      <c r="EH28" s="52">
        <v>12.6721</v>
      </c>
      <c r="EI28" s="52">
        <v>12.6721</v>
      </c>
      <c r="EJ28" s="52">
        <v>12.6721</v>
      </c>
      <c r="EK28" s="52">
        <v>12.6721</v>
      </c>
      <c r="EL28" s="52">
        <v>12.6721</v>
      </c>
      <c r="EM28" s="52">
        <v>12.6721</v>
      </c>
      <c r="EN28" s="52">
        <v>12.6721</v>
      </c>
      <c r="EO28" s="52">
        <v>12.6721</v>
      </c>
      <c r="EP28" s="52">
        <v>12.6721</v>
      </c>
      <c r="EQ28" s="52">
        <v>12.6721</v>
      </c>
      <c r="ER28" s="52">
        <v>12.6721</v>
      </c>
      <c r="ES28" s="52">
        <v>12.6721</v>
      </c>
      <c r="ET28" s="52">
        <v>12.6721</v>
      </c>
      <c r="EU28" s="52">
        <v>12.6721</v>
      </c>
      <c r="EV28" s="52">
        <v>12.6721</v>
      </c>
      <c r="EW28" s="52">
        <v>12.6721</v>
      </c>
      <c r="EX28" s="52">
        <v>12.6721</v>
      </c>
      <c r="EY28" s="52">
        <v>12.6721</v>
      </c>
      <c r="EZ28" s="52">
        <v>12.6721</v>
      </c>
      <c r="FA28" s="52">
        <v>12.6721</v>
      </c>
      <c r="FB28" s="52">
        <v>12.6721</v>
      </c>
      <c r="FC28" s="52">
        <v>12.6721</v>
      </c>
      <c r="FD28" s="52">
        <v>12.6721</v>
      </c>
      <c r="FE28" s="52">
        <v>12.6721</v>
      </c>
      <c r="FF28" s="52">
        <v>12.6721</v>
      </c>
      <c r="FG28" s="52">
        <v>12.6721</v>
      </c>
      <c r="FH28" s="52">
        <v>12.6721</v>
      </c>
      <c r="FI28" s="52">
        <v>12.6721</v>
      </c>
      <c r="FJ28" s="52">
        <v>12.6721</v>
      </c>
      <c r="FK28" s="52">
        <v>12.6721</v>
      </c>
      <c r="FL28" s="52">
        <v>12.6721</v>
      </c>
      <c r="FM28" s="52">
        <v>12.6721</v>
      </c>
      <c r="FN28" s="52">
        <v>12.6721</v>
      </c>
      <c r="FO28" s="52">
        <v>12.6721</v>
      </c>
      <c r="FP28" s="52">
        <v>12.6721</v>
      </c>
      <c r="FQ28" s="52">
        <v>12.6721</v>
      </c>
      <c r="FR28" s="52">
        <v>12.6721</v>
      </c>
      <c r="FS28" s="52">
        <v>12.6721</v>
      </c>
      <c r="FT28" s="52">
        <v>12.6721</v>
      </c>
      <c r="FU28" s="52">
        <v>12.6721</v>
      </c>
      <c r="FV28" s="52">
        <v>12.6721</v>
      </c>
      <c r="FW28" s="52">
        <v>12.6721</v>
      </c>
      <c r="FX28" s="52">
        <v>12.6721</v>
      </c>
      <c r="FY28" s="52">
        <v>12.6721</v>
      </c>
      <c r="FZ28" s="52">
        <v>12.6721</v>
      </c>
      <c r="GA28" s="52">
        <v>12.6721</v>
      </c>
      <c r="GB28" s="52">
        <v>12.6721</v>
      </c>
      <c r="GC28" s="52">
        <v>12.6721</v>
      </c>
      <c r="GD28" s="52">
        <v>12.6721</v>
      </c>
      <c r="GE28" s="52">
        <v>12.6721</v>
      </c>
      <c r="GF28" s="52">
        <v>12.6721</v>
      </c>
      <c r="GG28" s="52">
        <v>12.6721</v>
      </c>
      <c r="GH28" s="52">
        <v>12.6721</v>
      </c>
      <c r="GI28" s="52">
        <v>12.6721</v>
      </c>
      <c r="GJ28" s="52">
        <v>12.6721</v>
      </c>
      <c r="GK28" s="52">
        <v>12.6721</v>
      </c>
      <c r="GL28" s="52">
        <v>12.6721</v>
      </c>
      <c r="GM28" s="52">
        <v>12.6721</v>
      </c>
      <c r="GN28" s="52">
        <v>12.6721</v>
      </c>
      <c r="GO28" s="52">
        <v>12.6721</v>
      </c>
      <c r="GP28" s="52">
        <v>12.6721</v>
      </c>
      <c r="GQ28" s="52">
        <v>12.6721</v>
      </c>
      <c r="GR28" s="52">
        <v>12.6721</v>
      </c>
      <c r="GS28" s="52">
        <v>12.6721</v>
      </c>
      <c r="GT28" s="52">
        <v>12.6721</v>
      </c>
      <c r="GU28" s="52">
        <v>12.6721</v>
      </c>
      <c r="GV28" s="52">
        <v>12.6721</v>
      </c>
      <c r="GW28" s="52">
        <v>12.6721</v>
      </c>
      <c r="GX28" s="52">
        <v>12.6721</v>
      </c>
      <c r="GY28" s="52">
        <v>12.6721</v>
      </c>
      <c r="GZ28" s="52">
        <v>12.6721</v>
      </c>
      <c r="HA28" s="52">
        <v>12.6721</v>
      </c>
      <c r="HB28" s="52">
        <v>12.6721</v>
      </c>
      <c r="HC28" s="52">
        <v>12.6721</v>
      </c>
      <c r="HD28" s="52">
        <v>12.6721</v>
      </c>
      <c r="HE28" s="52">
        <v>12.6721</v>
      </c>
      <c r="HF28" s="52">
        <v>12.6721</v>
      </c>
      <c r="HG28" s="52">
        <v>12.6721</v>
      </c>
      <c r="HH28" s="52">
        <v>12.6721</v>
      </c>
      <c r="HI28" s="52">
        <v>12.6721</v>
      </c>
      <c r="HJ28" s="52">
        <v>12.6721</v>
      </c>
      <c r="HK28" s="52">
        <v>12.6721</v>
      </c>
      <c r="HL28" s="52">
        <v>12.6721</v>
      </c>
      <c r="HM28" s="52">
        <v>12.6721</v>
      </c>
      <c r="HN28" s="52">
        <v>12.6721</v>
      </c>
      <c r="HO28" s="52">
        <v>12.6721</v>
      </c>
      <c r="HP28" s="52">
        <v>12.6721</v>
      </c>
      <c r="HQ28" s="52">
        <v>12.6721</v>
      </c>
      <c r="HR28" s="52">
        <v>12.6721</v>
      </c>
      <c r="HS28" s="52">
        <v>12.6721</v>
      </c>
      <c r="HT28" s="52">
        <v>12.6721</v>
      </c>
      <c r="HU28" s="52">
        <v>12.6721</v>
      </c>
      <c r="HV28" s="52">
        <v>12.6721</v>
      </c>
      <c r="HW28" s="52">
        <v>12.6721</v>
      </c>
      <c r="HX28" s="52">
        <v>12.6721</v>
      </c>
      <c r="HY28" s="52">
        <v>12.6721</v>
      </c>
      <c r="HZ28" s="52">
        <v>12.6721</v>
      </c>
      <c r="IA28" s="52">
        <v>12.6721</v>
      </c>
      <c r="IB28" s="52">
        <v>12.6721</v>
      </c>
      <c r="IC28" s="52">
        <v>12.6721</v>
      </c>
      <c r="ID28" s="52">
        <v>12.6721</v>
      </c>
      <c r="IE28" s="52">
        <v>12.6721</v>
      </c>
      <c r="IF28" s="52">
        <v>12.6721</v>
      </c>
      <c r="IG28" s="52">
        <v>12.6721</v>
      </c>
      <c r="IH28" s="52">
        <v>12.6721</v>
      </c>
      <c r="II28" s="52">
        <v>12.6721</v>
      </c>
      <c r="IJ28" s="52">
        <v>12.6721</v>
      </c>
      <c r="IK28" s="52">
        <v>12.6721</v>
      </c>
      <c r="IL28" s="52">
        <v>12.6721</v>
      </c>
      <c r="IM28" s="52">
        <v>12.6721</v>
      </c>
      <c r="IN28" s="52">
        <v>12.6721</v>
      </c>
      <c r="IO28" s="52">
        <v>12.6721</v>
      </c>
      <c r="IP28" s="52">
        <v>12.6721</v>
      </c>
      <c r="IQ28" s="52">
        <v>12.6721</v>
      </c>
      <c r="IR28" s="52">
        <v>12.6721</v>
      </c>
      <c r="IS28" s="52">
        <v>12.6721</v>
      </c>
      <c r="IT28" s="52">
        <v>12.6721</v>
      </c>
      <c r="IU28" s="52">
        <v>12.6721</v>
      </c>
      <c r="IV28" s="52">
        <v>12.6721</v>
      </c>
      <c r="IW28" s="52">
        <v>12.6721</v>
      </c>
      <c r="IX28" s="52">
        <v>12.6721</v>
      </c>
      <c r="IY28" s="52">
        <v>12.6721</v>
      </c>
      <c r="IZ28" s="52">
        <v>12.6721</v>
      </c>
      <c r="JA28" s="52">
        <v>12.6721</v>
      </c>
      <c r="JB28" s="52">
        <v>12.6721</v>
      </c>
      <c r="JC28" s="52">
        <v>12.6721</v>
      </c>
      <c r="JD28" s="52">
        <v>12.6721</v>
      </c>
      <c r="JE28" s="52">
        <v>12.6721</v>
      </c>
      <c r="JF28" s="52">
        <v>12.6721</v>
      </c>
      <c r="JG28" s="52">
        <v>12.6721</v>
      </c>
      <c r="JH28" s="52">
        <v>12.6721</v>
      </c>
      <c r="JI28" s="52">
        <v>12.6721</v>
      </c>
      <c r="JJ28" s="52">
        <v>12.6721</v>
      </c>
      <c r="JK28" s="52">
        <v>12.6721</v>
      </c>
      <c r="JL28" s="52">
        <v>12.6721</v>
      </c>
      <c r="JM28" s="52">
        <v>12.6721</v>
      </c>
      <c r="JN28" s="52">
        <v>12.6721</v>
      </c>
      <c r="JO28" s="52">
        <v>12.6721</v>
      </c>
      <c r="JP28" s="52">
        <v>12.6721</v>
      </c>
      <c r="JQ28" s="52">
        <v>12.6721</v>
      </c>
      <c r="JR28" s="52">
        <v>12.6721</v>
      </c>
      <c r="JS28" s="52">
        <v>12.6721</v>
      </c>
      <c r="JT28" s="52">
        <v>12.6721</v>
      </c>
      <c r="JU28" s="52">
        <v>12.6721</v>
      </c>
      <c r="JV28" s="52">
        <v>12.6721</v>
      </c>
      <c r="JW28" s="52">
        <v>12.6721</v>
      </c>
      <c r="JX28" s="52">
        <v>12.6721</v>
      </c>
      <c r="JY28" s="52">
        <v>12.6721</v>
      </c>
      <c r="JZ28" s="52">
        <v>12.6721</v>
      </c>
      <c r="KA28" s="52">
        <v>12.6721</v>
      </c>
      <c r="KB28" s="52">
        <v>12.6721</v>
      </c>
      <c r="KC28" s="52">
        <v>12.6721</v>
      </c>
      <c r="KD28" s="52">
        <v>12.6721</v>
      </c>
      <c r="KE28" s="52">
        <v>12.6721</v>
      </c>
      <c r="KF28" s="52">
        <v>12.6721</v>
      </c>
      <c r="KG28" s="52">
        <v>12.6721</v>
      </c>
      <c r="KH28" s="52">
        <v>12.6721</v>
      </c>
      <c r="KI28" s="52">
        <v>12.6721</v>
      </c>
      <c r="KJ28" s="52">
        <v>12.6721</v>
      </c>
      <c r="KK28" s="52">
        <v>12.6721</v>
      </c>
      <c r="KL28" s="52">
        <v>12.6721</v>
      </c>
      <c r="KM28" s="52">
        <v>12.6721</v>
      </c>
      <c r="KN28" s="52">
        <v>12.6721</v>
      </c>
      <c r="KO28" s="52">
        <v>12.6721</v>
      </c>
      <c r="KP28" s="52">
        <v>12.6721</v>
      </c>
      <c r="KQ28" s="52">
        <v>12.6721</v>
      </c>
      <c r="KR28" s="52">
        <v>12.6721</v>
      </c>
      <c r="KS28" s="52">
        <v>12.6721</v>
      </c>
      <c r="KT28" s="52">
        <v>12.6721</v>
      </c>
      <c r="KU28" s="52">
        <v>12.6721</v>
      </c>
      <c r="KV28" s="52">
        <v>12.6721</v>
      </c>
      <c r="KW28" s="37">
        <v>12.6721</v>
      </c>
      <c r="KX28" s="37">
        <v>12.6721</v>
      </c>
      <c r="KY28" s="37">
        <v>12.6721</v>
      </c>
      <c r="KZ28" s="37">
        <v>12.6721</v>
      </c>
      <c r="LA28" s="37">
        <v>12.6721</v>
      </c>
      <c r="LB28" s="37">
        <v>12.6721</v>
      </c>
      <c r="LC28" s="37">
        <v>12.6721</v>
      </c>
      <c r="LD28" s="37">
        <v>12.6721</v>
      </c>
      <c r="LE28" s="37">
        <v>12.6721</v>
      </c>
      <c r="LF28" s="37">
        <v>12.6721</v>
      </c>
      <c r="LG28" s="37">
        <v>12.6721</v>
      </c>
      <c r="LH28" s="37">
        <v>12.6721</v>
      </c>
      <c r="LI28" s="37">
        <v>12.6721</v>
      </c>
      <c r="LJ28" s="37">
        <v>12.6721</v>
      </c>
      <c r="LK28" s="37">
        <v>12.6721</v>
      </c>
      <c r="LL28" s="37">
        <v>12.6721</v>
      </c>
      <c r="LM28" s="37">
        <v>12.6721</v>
      </c>
      <c r="LN28" s="37">
        <v>12.6721</v>
      </c>
      <c r="LO28" s="37">
        <v>12.6721</v>
      </c>
      <c r="LP28" s="37">
        <v>12.6721</v>
      </c>
      <c r="LQ28" s="37">
        <v>12.6721</v>
      </c>
      <c r="LR28" s="37">
        <v>12.6721</v>
      </c>
      <c r="LS28" s="37">
        <v>12.6721</v>
      </c>
      <c r="LT28" s="37">
        <v>12.6721</v>
      </c>
      <c r="LU28" s="37">
        <v>12.6721</v>
      </c>
      <c r="LV28" s="37">
        <v>12.6721</v>
      </c>
      <c r="LW28" s="37">
        <v>12.6721</v>
      </c>
      <c r="LX28" s="37">
        <v>12.6721</v>
      </c>
      <c r="LY28" s="37">
        <v>12.6721</v>
      </c>
      <c r="LZ28" s="37">
        <v>12.6721</v>
      </c>
      <c r="MA28" s="37">
        <v>12.6721</v>
      </c>
      <c r="MB28" s="37">
        <v>12.6721</v>
      </c>
      <c r="MC28" s="37">
        <v>12.6721</v>
      </c>
      <c r="MD28" s="37">
        <v>12.6721</v>
      </c>
      <c r="ME28" s="37">
        <v>12.6721</v>
      </c>
      <c r="MF28" s="37">
        <v>12.6721</v>
      </c>
      <c r="MG28" s="37">
        <v>12.6721</v>
      </c>
      <c r="MH28" s="37">
        <v>12.6721</v>
      </c>
      <c r="MI28" s="37">
        <v>12.6721</v>
      </c>
      <c r="MJ28" s="37">
        <v>12.6721</v>
      </c>
      <c r="MK28" s="37">
        <v>12.6721</v>
      </c>
      <c r="ML28" s="37">
        <v>12.6721</v>
      </c>
      <c r="MM28" s="37">
        <v>12.6721</v>
      </c>
      <c r="MN28" s="37">
        <v>12.6721</v>
      </c>
      <c r="MO28" s="37">
        <v>12.6721</v>
      </c>
      <c r="MP28" s="37">
        <v>12.6721</v>
      </c>
      <c r="MQ28" s="37">
        <v>12.6721</v>
      </c>
      <c r="MR28" s="37">
        <v>12.6721</v>
      </c>
      <c r="MS28" s="37">
        <v>12.6721</v>
      </c>
      <c r="MT28" s="37">
        <v>12.6721</v>
      </c>
      <c r="MU28" s="37">
        <v>12.6721</v>
      </c>
      <c r="MV28" s="37">
        <v>12.6721</v>
      </c>
      <c r="MW28" s="37">
        <v>12.6721</v>
      </c>
      <c r="MX28" s="37">
        <v>12.6721</v>
      </c>
      <c r="MY28" s="37">
        <v>12.6721</v>
      </c>
      <c r="MZ28" s="37">
        <v>12.6721</v>
      </c>
      <c r="NA28" s="37">
        <v>12.6721</v>
      </c>
      <c r="NB28" s="37">
        <v>12.6721</v>
      </c>
      <c r="NC28" s="37">
        <v>12.6721</v>
      </c>
      <c r="ND28" s="37">
        <v>12.6721</v>
      </c>
      <c r="NE28" s="37">
        <v>12.6721</v>
      </c>
      <c r="NF28" s="37">
        <v>12.6721</v>
      </c>
      <c r="NG28" s="37">
        <v>12.6721</v>
      </c>
      <c r="NH28" s="37">
        <v>12.6721</v>
      </c>
      <c r="NI28" s="37">
        <v>12.6721</v>
      </c>
      <c r="NJ28" s="37">
        <v>12.6721</v>
      </c>
      <c r="NK28" s="37">
        <v>12.6721</v>
      </c>
      <c r="NL28" s="37">
        <v>12.6721</v>
      </c>
      <c r="NM28" s="37">
        <v>12.6721</v>
      </c>
      <c r="NN28" s="37">
        <v>12.6721</v>
      </c>
      <c r="NO28" s="37">
        <v>12.6721</v>
      </c>
      <c r="NP28" s="37">
        <v>12.6721</v>
      </c>
      <c r="NQ28" s="37">
        <v>12.6721</v>
      </c>
      <c r="NR28" s="37">
        <v>12.6721</v>
      </c>
      <c r="NS28" s="37">
        <v>12.6721</v>
      </c>
      <c r="NT28" s="37">
        <v>12.052899999999999</v>
      </c>
      <c r="NU28" s="37" t="s">
        <v>668</v>
      </c>
      <c r="NV28" s="37" t="s">
        <v>668</v>
      </c>
      <c r="NW28" s="37" t="s">
        <v>668</v>
      </c>
      <c r="NX28" s="37" t="s">
        <v>668</v>
      </c>
      <c r="NY28" s="37" t="s">
        <v>668</v>
      </c>
      <c r="NZ28" s="37" t="s">
        <v>668</v>
      </c>
      <c r="OA28" s="37" t="s">
        <v>668</v>
      </c>
      <c r="OB28" s="37" t="s">
        <v>668</v>
      </c>
      <c r="OC28" s="37" t="s">
        <v>668</v>
      </c>
      <c r="OD28" s="37" t="s">
        <v>668</v>
      </c>
      <c r="OE28" s="37" t="s">
        <v>668</v>
      </c>
      <c r="OF28" s="37" t="s">
        <v>668</v>
      </c>
      <c r="OG28" s="37" t="s">
        <v>668</v>
      </c>
      <c r="OH28" s="37" t="s">
        <v>668</v>
      </c>
      <c r="OI28" s="37" t="s">
        <v>668</v>
      </c>
      <c r="OJ28" s="37" t="s">
        <v>668</v>
      </c>
      <c r="OK28" s="37" t="s">
        <v>668</v>
      </c>
      <c r="OL28" s="37" t="s">
        <v>668</v>
      </c>
      <c r="OM28" s="37" t="s">
        <v>668</v>
      </c>
      <c r="ON28" s="37" t="s">
        <v>668</v>
      </c>
      <c r="OO28" s="37" t="s">
        <v>668</v>
      </c>
      <c r="OP28" s="37" t="s">
        <v>668</v>
      </c>
      <c r="OQ28" s="37" t="s">
        <v>668</v>
      </c>
      <c r="OR28" s="37" t="s">
        <v>668</v>
      </c>
      <c r="OS28" s="37" t="s">
        <v>668</v>
      </c>
      <c r="OT28" s="37" t="s">
        <v>668</v>
      </c>
      <c r="OU28" s="37" t="s">
        <v>668</v>
      </c>
      <c r="OV28" s="37" t="s">
        <v>668</v>
      </c>
      <c r="OW28" s="37" t="s">
        <v>668</v>
      </c>
      <c r="OX28" s="37" t="s">
        <v>668</v>
      </c>
      <c r="OY28" s="37" t="s">
        <v>668</v>
      </c>
      <c r="OZ28" s="37" t="s">
        <v>668</v>
      </c>
      <c r="PA28" s="37" t="s">
        <v>668</v>
      </c>
      <c r="PB28" s="37" t="s">
        <v>668</v>
      </c>
      <c r="PC28" s="37" t="s">
        <v>668</v>
      </c>
      <c r="PD28" s="37" t="s">
        <v>668</v>
      </c>
      <c r="PE28" s="37" t="s">
        <v>668</v>
      </c>
      <c r="PF28" s="37" t="s">
        <v>668</v>
      </c>
      <c r="PG28" s="37" t="s">
        <v>668</v>
      </c>
      <c r="PH28" s="37" t="s">
        <v>668</v>
      </c>
      <c r="PI28" s="37" t="s">
        <v>668</v>
      </c>
      <c r="PJ28" s="37" t="s">
        <v>668</v>
      </c>
      <c r="PK28" s="37" t="s">
        <v>668</v>
      </c>
      <c r="PL28" s="37" t="s">
        <v>668</v>
      </c>
      <c r="PM28" s="37" t="s">
        <v>668</v>
      </c>
      <c r="PN28" s="37" t="s">
        <v>668</v>
      </c>
      <c r="PO28" s="37" t="s">
        <v>668</v>
      </c>
      <c r="PP28" s="37" t="s">
        <v>668</v>
      </c>
      <c r="PQ28" s="37" t="s">
        <v>668</v>
      </c>
      <c r="PR28" s="37" t="s">
        <v>668</v>
      </c>
      <c r="PS28" s="15" t="s">
        <v>668</v>
      </c>
      <c r="PT28" s="15" t="s">
        <v>668</v>
      </c>
      <c r="PU28" s="15" t="s">
        <v>668</v>
      </c>
      <c r="PV28" s="15" t="s">
        <v>668</v>
      </c>
      <c r="PW28" s="15" t="s">
        <v>668</v>
      </c>
      <c r="PX28" s="15" t="s">
        <v>668</v>
      </c>
      <c r="PY28" s="15" t="s">
        <v>668</v>
      </c>
      <c r="PZ28" s="15" t="s">
        <v>668</v>
      </c>
      <c r="QA28" s="15" t="s">
        <v>668</v>
      </c>
      <c r="QB28" s="15" t="s">
        <v>668</v>
      </c>
      <c r="QC28" s="15" t="s">
        <v>668</v>
      </c>
      <c r="QD28" s="15" t="s">
        <v>668</v>
      </c>
      <c r="QE28" s="15" t="s">
        <v>668</v>
      </c>
      <c r="QF28" s="15" t="s">
        <v>668</v>
      </c>
      <c r="QG28" s="15" t="s">
        <v>668</v>
      </c>
      <c r="QH28" s="15" t="s">
        <v>668</v>
      </c>
      <c r="QI28" s="15" t="s">
        <v>668</v>
      </c>
      <c r="QJ28" s="15" t="s">
        <v>668</v>
      </c>
      <c r="QK28" s="15" t="s">
        <v>668</v>
      </c>
      <c r="QL28" s="15" t="s">
        <v>668</v>
      </c>
      <c r="QM28" s="15" t="s">
        <v>668</v>
      </c>
      <c r="QN28" s="15" t="s">
        <v>668</v>
      </c>
      <c r="QO28" s="15" t="s">
        <v>668</v>
      </c>
      <c r="QP28" s="15" t="s">
        <v>668</v>
      </c>
      <c r="QQ28" s="15" t="s">
        <v>668</v>
      </c>
      <c r="QR28" s="15" t="s">
        <v>668</v>
      </c>
      <c r="QS28" s="15" t="s">
        <v>668</v>
      </c>
      <c r="QT28" s="15" t="s">
        <v>668</v>
      </c>
      <c r="QU28" s="15" t="s">
        <v>668</v>
      </c>
      <c r="QV28" s="15" t="s">
        <v>668</v>
      </c>
      <c r="QW28" s="15" t="s">
        <v>668</v>
      </c>
      <c r="QX28" s="15" t="s">
        <v>668</v>
      </c>
      <c r="QY28" s="15" t="s">
        <v>668</v>
      </c>
      <c r="QZ28" s="15" t="s">
        <v>668</v>
      </c>
      <c r="RA28" s="15" t="s">
        <v>668</v>
      </c>
      <c r="RB28" s="15" t="s">
        <v>668</v>
      </c>
      <c r="RC28" s="15" t="s">
        <v>668</v>
      </c>
      <c r="RD28" s="15" t="s">
        <v>668</v>
      </c>
      <c r="RE28" s="15" t="s">
        <v>668</v>
      </c>
      <c r="RF28" s="15" t="s">
        <v>668</v>
      </c>
      <c r="RG28" s="15" t="s">
        <v>668</v>
      </c>
      <c r="RH28" s="15" t="s">
        <v>668</v>
      </c>
      <c r="RI28" s="15" t="s">
        <v>668</v>
      </c>
      <c r="RJ28" s="15" t="s">
        <v>668</v>
      </c>
      <c r="RK28" s="15" t="s">
        <v>668</v>
      </c>
      <c r="RL28" s="15" t="s">
        <v>668</v>
      </c>
      <c r="RM28" s="15" t="s">
        <v>668</v>
      </c>
      <c r="RN28" s="15" t="s">
        <v>668</v>
      </c>
      <c r="RO28" s="15" t="s">
        <v>668</v>
      </c>
      <c r="RP28" s="15" t="s">
        <v>668</v>
      </c>
      <c r="RQ28" s="15" t="s">
        <v>668</v>
      </c>
      <c r="RR28" s="15" t="s">
        <v>668</v>
      </c>
      <c r="RS28" s="15" t="s">
        <v>668</v>
      </c>
      <c r="RT28" s="15" t="s">
        <v>668</v>
      </c>
      <c r="RU28" s="15" t="s">
        <v>668</v>
      </c>
      <c r="RV28" s="15" t="s">
        <v>668</v>
      </c>
      <c r="RW28" s="15" t="s">
        <v>668</v>
      </c>
      <c r="RX28" s="15" t="s">
        <v>668</v>
      </c>
      <c r="RY28" s="15" t="s">
        <v>668</v>
      </c>
      <c r="RZ28" s="15" t="s">
        <v>668</v>
      </c>
      <c r="SA28" s="15" t="s">
        <v>668</v>
      </c>
      <c r="SB28" s="15" t="s">
        <v>668</v>
      </c>
      <c r="SC28" s="15" t="s">
        <v>668</v>
      </c>
      <c r="SD28" s="15" t="s">
        <v>668</v>
      </c>
      <c r="SE28" s="15" t="s">
        <v>668</v>
      </c>
      <c r="SF28" s="15" t="s">
        <v>668</v>
      </c>
      <c r="SG28" s="15" t="s">
        <v>668</v>
      </c>
      <c r="SH28" s="15" t="s">
        <v>668</v>
      </c>
      <c r="SI28" s="15" t="s">
        <v>668</v>
      </c>
      <c r="SJ28" s="15" t="s">
        <v>668</v>
      </c>
      <c r="SK28" s="15" t="s">
        <v>668</v>
      </c>
      <c r="SL28" s="15" t="s">
        <v>668</v>
      </c>
    </row>
    <row r="29" spans="1:506" x14ac:dyDescent="0.2">
      <c r="A29" s="37">
        <v>27</v>
      </c>
      <c r="B29" s="15" t="s">
        <v>559</v>
      </c>
      <c r="C29" s="17">
        <f>+'Detalle Compras'!D29</f>
        <v>202505300014</v>
      </c>
      <c r="D29" s="55">
        <f t="shared" si="13"/>
        <v>11.27431</v>
      </c>
      <c r="E29" s="14">
        <f>+IF(B29="","",'Detalle Compras'!S29+0)</f>
        <v>45848</v>
      </c>
      <c r="F29" s="14">
        <f>+IF(B29="","",EOMONTH('Detalle Compras'!S29,G29)+10)</f>
        <v>60489</v>
      </c>
      <c r="G29" s="50">
        <f t="shared" si="14"/>
        <v>480</v>
      </c>
      <c r="H29" s="50">
        <f t="shared" si="15"/>
        <v>473</v>
      </c>
      <c r="I29" s="52"/>
      <c r="J29" s="52"/>
      <c r="K29" s="52"/>
      <c r="L29" s="52"/>
      <c r="M29" s="52"/>
      <c r="N29" s="52"/>
      <c r="O29" s="52"/>
      <c r="P29" s="52"/>
      <c r="Q29" s="52"/>
      <c r="R29" s="52"/>
      <c r="S29" s="52"/>
      <c r="T29" s="52"/>
      <c r="U29" s="52"/>
      <c r="V29" s="52"/>
      <c r="W29" s="52"/>
      <c r="X29" s="52"/>
      <c r="Y29" s="52">
        <v>11.27431</v>
      </c>
      <c r="Z29" s="52">
        <v>11.27431</v>
      </c>
      <c r="AA29" s="52">
        <v>11.27431</v>
      </c>
      <c r="AB29" s="52">
        <v>11.27431</v>
      </c>
      <c r="AC29" s="52">
        <v>11.27431</v>
      </c>
      <c r="AD29" s="52">
        <v>11.27431</v>
      </c>
      <c r="AE29" s="52">
        <v>11.27431</v>
      </c>
      <c r="AF29" s="52">
        <v>11.27431</v>
      </c>
      <c r="AG29" s="52">
        <v>11.27431</v>
      </c>
      <c r="AH29" s="52">
        <v>11.27431</v>
      </c>
      <c r="AI29" s="52">
        <v>11.27431</v>
      </c>
      <c r="AJ29" s="52">
        <v>11.27431</v>
      </c>
      <c r="AK29" s="52">
        <v>11.27431</v>
      </c>
      <c r="AL29" s="52">
        <v>11.27431</v>
      </c>
      <c r="AM29" s="52">
        <v>11.27431</v>
      </c>
      <c r="AN29" s="52">
        <v>11.27431</v>
      </c>
      <c r="AO29" s="52">
        <v>11.27431</v>
      </c>
      <c r="AP29" s="52">
        <v>11.27431</v>
      </c>
      <c r="AQ29" s="52">
        <v>11.27431</v>
      </c>
      <c r="AR29" s="52">
        <v>11.27431</v>
      </c>
      <c r="AS29" s="52">
        <v>11.27431</v>
      </c>
      <c r="AT29" s="52">
        <v>11.27431</v>
      </c>
      <c r="AU29" s="52">
        <v>11.27431</v>
      </c>
      <c r="AV29" s="52">
        <v>11.27431</v>
      </c>
      <c r="AW29" s="52">
        <v>11.27431</v>
      </c>
      <c r="AX29" s="52">
        <v>11.27431</v>
      </c>
      <c r="AY29" s="52">
        <v>11.27431</v>
      </c>
      <c r="AZ29" s="52">
        <v>11.27431</v>
      </c>
      <c r="BA29" s="52">
        <v>11.27431</v>
      </c>
      <c r="BB29" s="52">
        <v>11.27431</v>
      </c>
      <c r="BC29" s="52">
        <v>11.27431</v>
      </c>
      <c r="BD29" s="52">
        <v>11.27431</v>
      </c>
      <c r="BE29" s="52">
        <v>11.27431</v>
      </c>
      <c r="BF29" s="52">
        <v>11.27431</v>
      </c>
      <c r="BG29" s="52">
        <v>11.27431</v>
      </c>
      <c r="BH29" s="52">
        <v>11.27431</v>
      </c>
      <c r="BI29" s="52">
        <v>11.27431</v>
      </c>
      <c r="BJ29" s="52">
        <v>11.27431</v>
      </c>
      <c r="BK29" s="52">
        <v>11.27431</v>
      </c>
      <c r="BL29" s="52">
        <v>11.27431</v>
      </c>
      <c r="BM29" s="52">
        <v>11.27431</v>
      </c>
      <c r="BN29" s="52">
        <v>11.27431</v>
      </c>
      <c r="BO29" s="52">
        <v>11.27431</v>
      </c>
      <c r="BP29" s="52">
        <v>11.27431</v>
      </c>
      <c r="BQ29" s="52">
        <v>11.27431</v>
      </c>
      <c r="BR29" s="52">
        <v>11.27431</v>
      </c>
      <c r="BS29" s="52">
        <v>11.27431</v>
      </c>
      <c r="BT29" s="52">
        <v>11.27431</v>
      </c>
      <c r="BU29" s="52">
        <v>11.27431</v>
      </c>
      <c r="BV29" s="52">
        <v>11.27431</v>
      </c>
      <c r="BW29" s="52">
        <v>11.27431</v>
      </c>
      <c r="BX29" s="52">
        <v>11.27431</v>
      </c>
      <c r="BY29" s="52">
        <v>11.27431</v>
      </c>
      <c r="BZ29" s="52">
        <v>11.27431</v>
      </c>
      <c r="CA29" s="52">
        <v>11.27431</v>
      </c>
      <c r="CB29" s="52">
        <v>11.27431</v>
      </c>
      <c r="CC29" s="52">
        <v>11.27431</v>
      </c>
      <c r="CD29" s="52">
        <v>11.27431</v>
      </c>
      <c r="CE29" s="52">
        <v>11.27431</v>
      </c>
      <c r="CF29" s="52">
        <v>11.27431</v>
      </c>
      <c r="CG29" s="52">
        <v>11.27431</v>
      </c>
      <c r="CH29" s="52">
        <v>11.27431</v>
      </c>
      <c r="CI29" s="52">
        <v>11.27431</v>
      </c>
      <c r="CJ29" s="52">
        <v>11.27431</v>
      </c>
      <c r="CK29" s="52">
        <v>11.27431</v>
      </c>
      <c r="CL29" s="52">
        <v>11.27431</v>
      </c>
      <c r="CM29" s="52">
        <v>11.27431</v>
      </c>
      <c r="CN29" s="52">
        <v>11.27431</v>
      </c>
      <c r="CO29" s="52">
        <v>11.27431</v>
      </c>
      <c r="CP29" s="52">
        <v>11.27431</v>
      </c>
      <c r="CQ29" s="52">
        <v>11.27431</v>
      </c>
      <c r="CR29" s="52">
        <v>11.27431</v>
      </c>
      <c r="CS29" s="52">
        <v>11.27431</v>
      </c>
      <c r="CT29" s="52">
        <v>11.27431</v>
      </c>
      <c r="CU29" s="52">
        <v>11.27431</v>
      </c>
      <c r="CV29" s="52">
        <v>11.27431</v>
      </c>
      <c r="CW29" s="52">
        <v>11.27431</v>
      </c>
      <c r="CX29" s="52">
        <v>11.27431</v>
      </c>
      <c r="CY29" s="52">
        <v>11.27431</v>
      </c>
      <c r="CZ29" s="52">
        <v>11.27431</v>
      </c>
      <c r="DA29" s="52">
        <v>11.27431</v>
      </c>
      <c r="DB29" s="52">
        <v>11.27431</v>
      </c>
      <c r="DC29" s="52">
        <v>11.27431</v>
      </c>
      <c r="DD29" s="52">
        <v>11.27431</v>
      </c>
      <c r="DE29" s="52">
        <v>11.27431</v>
      </c>
      <c r="DF29" s="52">
        <v>11.27431</v>
      </c>
      <c r="DG29" s="52">
        <v>11.27431</v>
      </c>
      <c r="DH29" s="52">
        <v>11.27431</v>
      </c>
      <c r="DI29" s="52">
        <v>11.27431</v>
      </c>
      <c r="DJ29" s="52">
        <v>11.27431</v>
      </c>
      <c r="DK29" s="52">
        <v>11.27431</v>
      </c>
      <c r="DL29" s="52">
        <v>11.27431</v>
      </c>
      <c r="DM29" s="52">
        <v>11.27431</v>
      </c>
      <c r="DN29" s="52">
        <v>11.27431</v>
      </c>
      <c r="DO29" s="52">
        <v>11.27431</v>
      </c>
      <c r="DP29" s="52">
        <v>11.27431</v>
      </c>
      <c r="DQ29" s="52">
        <v>11.27431</v>
      </c>
      <c r="DR29" s="52">
        <v>11.27431</v>
      </c>
      <c r="DS29" s="52">
        <v>11.27431</v>
      </c>
      <c r="DT29" s="52">
        <v>11.27431</v>
      </c>
      <c r="DU29" s="52">
        <v>11.27431</v>
      </c>
      <c r="DV29" s="52">
        <v>11.27431</v>
      </c>
      <c r="DW29" s="52">
        <v>11.27431</v>
      </c>
      <c r="DX29" s="52">
        <v>11.27431</v>
      </c>
      <c r="DY29" s="52">
        <v>11.27431</v>
      </c>
      <c r="DZ29" s="52">
        <v>11.27431</v>
      </c>
      <c r="EA29" s="52">
        <v>11.27431</v>
      </c>
      <c r="EB29" s="52">
        <v>11.27431</v>
      </c>
      <c r="EC29" s="52">
        <v>11.27431</v>
      </c>
      <c r="ED29" s="52">
        <v>11.27431</v>
      </c>
      <c r="EE29" s="52">
        <v>11.27431</v>
      </c>
      <c r="EF29" s="52">
        <v>11.27431</v>
      </c>
      <c r="EG29" s="52">
        <v>11.27431</v>
      </c>
      <c r="EH29" s="52">
        <v>11.27431</v>
      </c>
      <c r="EI29" s="52">
        <v>11.27431</v>
      </c>
      <c r="EJ29" s="52">
        <v>11.27431</v>
      </c>
      <c r="EK29" s="52">
        <v>11.27431</v>
      </c>
      <c r="EL29" s="52">
        <v>11.27431</v>
      </c>
      <c r="EM29" s="52">
        <v>11.27431</v>
      </c>
      <c r="EN29" s="52">
        <v>11.27431</v>
      </c>
      <c r="EO29" s="52">
        <v>11.27431</v>
      </c>
      <c r="EP29" s="52">
        <v>11.27431</v>
      </c>
      <c r="EQ29" s="52">
        <v>11.27431</v>
      </c>
      <c r="ER29" s="52">
        <v>11.27431</v>
      </c>
      <c r="ES29" s="52">
        <v>11.27431</v>
      </c>
      <c r="ET29" s="52">
        <v>11.27431</v>
      </c>
      <c r="EU29" s="52">
        <v>11.27431</v>
      </c>
      <c r="EV29" s="52">
        <v>11.27431</v>
      </c>
      <c r="EW29" s="52">
        <v>11.27431</v>
      </c>
      <c r="EX29" s="52">
        <v>11.27431</v>
      </c>
      <c r="EY29" s="52">
        <v>11.27431</v>
      </c>
      <c r="EZ29" s="52">
        <v>11.27431</v>
      </c>
      <c r="FA29" s="52">
        <v>11.27431</v>
      </c>
      <c r="FB29" s="52">
        <v>11.27431</v>
      </c>
      <c r="FC29" s="52">
        <v>11.27431</v>
      </c>
      <c r="FD29" s="52">
        <v>11.27431</v>
      </c>
      <c r="FE29" s="52">
        <v>11.27431</v>
      </c>
      <c r="FF29" s="52">
        <v>11.27431</v>
      </c>
      <c r="FG29" s="52">
        <v>11.27431</v>
      </c>
      <c r="FH29" s="52">
        <v>11.27431</v>
      </c>
      <c r="FI29" s="52">
        <v>11.27431</v>
      </c>
      <c r="FJ29" s="52">
        <v>11.27431</v>
      </c>
      <c r="FK29" s="52">
        <v>11.27431</v>
      </c>
      <c r="FL29" s="52">
        <v>11.27431</v>
      </c>
      <c r="FM29" s="52">
        <v>11.27431</v>
      </c>
      <c r="FN29" s="52">
        <v>11.27431</v>
      </c>
      <c r="FO29" s="52">
        <v>11.27431</v>
      </c>
      <c r="FP29" s="52">
        <v>11.27431</v>
      </c>
      <c r="FQ29" s="52">
        <v>11.27431</v>
      </c>
      <c r="FR29" s="52">
        <v>11.27431</v>
      </c>
      <c r="FS29" s="52">
        <v>11.27431</v>
      </c>
      <c r="FT29" s="52">
        <v>11.27431</v>
      </c>
      <c r="FU29" s="52">
        <v>11.27431</v>
      </c>
      <c r="FV29" s="52">
        <v>11.27431</v>
      </c>
      <c r="FW29" s="52">
        <v>11.27431</v>
      </c>
      <c r="FX29" s="52">
        <v>11.27431</v>
      </c>
      <c r="FY29" s="52">
        <v>11.27431</v>
      </c>
      <c r="FZ29" s="52">
        <v>11.27431</v>
      </c>
      <c r="GA29" s="52">
        <v>11.27431</v>
      </c>
      <c r="GB29" s="52">
        <v>11.27431</v>
      </c>
      <c r="GC29" s="52">
        <v>11.27431</v>
      </c>
      <c r="GD29" s="52">
        <v>11.27431</v>
      </c>
      <c r="GE29" s="52">
        <v>11.27431</v>
      </c>
      <c r="GF29" s="52">
        <v>11.27431</v>
      </c>
      <c r="GG29" s="52">
        <v>11.27431</v>
      </c>
      <c r="GH29" s="52">
        <v>11.27431</v>
      </c>
      <c r="GI29" s="52">
        <v>11.27431</v>
      </c>
      <c r="GJ29" s="52">
        <v>11.27431</v>
      </c>
      <c r="GK29" s="52">
        <v>11.27431</v>
      </c>
      <c r="GL29" s="52">
        <v>11.27431</v>
      </c>
      <c r="GM29" s="52">
        <v>11.27431</v>
      </c>
      <c r="GN29" s="52">
        <v>11.27431</v>
      </c>
      <c r="GO29" s="52">
        <v>11.27431</v>
      </c>
      <c r="GP29" s="52">
        <v>11.27431</v>
      </c>
      <c r="GQ29" s="52">
        <v>11.27431</v>
      </c>
      <c r="GR29" s="52">
        <v>11.27431</v>
      </c>
      <c r="GS29" s="52">
        <v>11.27431</v>
      </c>
      <c r="GT29" s="52">
        <v>11.27431</v>
      </c>
      <c r="GU29" s="52">
        <v>11.27431</v>
      </c>
      <c r="GV29" s="52">
        <v>11.27431</v>
      </c>
      <c r="GW29" s="52">
        <v>11.27431</v>
      </c>
      <c r="GX29" s="52">
        <v>11.27431</v>
      </c>
      <c r="GY29" s="52">
        <v>11.27431</v>
      </c>
      <c r="GZ29" s="52">
        <v>11.27431</v>
      </c>
      <c r="HA29" s="52">
        <v>11.27431</v>
      </c>
      <c r="HB29" s="52">
        <v>11.27431</v>
      </c>
      <c r="HC29" s="52">
        <v>11.27431</v>
      </c>
      <c r="HD29" s="52">
        <v>11.27431</v>
      </c>
      <c r="HE29" s="52">
        <v>11.27431</v>
      </c>
      <c r="HF29" s="52">
        <v>11.27431</v>
      </c>
      <c r="HG29" s="52">
        <v>11.27431</v>
      </c>
      <c r="HH29" s="52">
        <v>11.27431</v>
      </c>
      <c r="HI29" s="52">
        <v>11.27431</v>
      </c>
      <c r="HJ29" s="52">
        <v>11.27431</v>
      </c>
      <c r="HK29" s="52">
        <v>11.27431</v>
      </c>
      <c r="HL29" s="52">
        <v>11.27431</v>
      </c>
      <c r="HM29" s="52">
        <v>11.27431</v>
      </c>
      <c r="HN29" s="52">
        <v>11.27431</v>
      </c>
      <c r="HO29" s="52">
        <v>11.27431</v>
      </c>
      <c r="HP29" s="52">
        <v>11.27431</v>
      </c>
      <c r="HQ29" s="52">
        <v>11.27431</v>
      </c>
      <c r="HR29" s="52">
        <v>11.27431</v>
      </c>
      <c r="HS29" s="52">
        <v>11.27431</v>
      </c>
      <c r="HT29" s="52">
        <v>11.27431</v>
      </c>
      <c r="HU29" s="52">
        <v>11.27431</v>
      </c>
      <c r="HV29" s="52">
        <v>11.27431</v>
      </c>
      <c r="HW29" s="52">
        <v>11.27431</v>
      </c>
      <c r="HX29" s="52">
        <v>11.27431</v>
      </c>
      <c r="HY29" s="52">
        <v>11.27431</v>
      </c>
      <c r="HZ29" s="52">
        <v>11.27431</v>
      </c>
      <c r="IA29" s="52">
        <v>11.27431</v>
      </c>
      <c r="IB29" s="52">
        <v>11.27431</v>
      </c>
      <c r="IC29" s="52">
        <v>11.27431</v>
      </c>
      <c r="ID29" s="52">
        <v>11.27431</v>
      </c>
      <c r="IE29" s="52">
        <v>11.27431</v>
      </c>
      <c r="IF29" s="52">
        <v>11.27431</v>
      </c>
      <c r="IG29" s="52">
        <v>11.27431</v>
      </c>
      <c r="IH29" s="52">
        <v>11.27431</v>
      </c>
      <c r="II29" s="52">
        <v>11.27431</v>
      </c>
      <c r="IJ29" s="52">
        <v>11.27431</v>
      </c>
      <c r="IK29" s="52">
        <v>11.27431</v>
      </c>
      <c r="IL29" s="52">
        <v>11.27431</v>
      </c>
      <c r="IM29" s="52">
        <v>11.27431</v>
      </c>
      <c r="IN29" s="52">
        <v>11.27431</v>
      </c>
      <c r="IO29" s="52">
        <v>11.27431</v>
      </c>
      <c r="IP29" s="52">
        <v>11.27431</v>
      </c>
      <c r="IQ29" s="52">
        <v>11.27431</v>
      </c>
      <c r="IR29" s="52">
        <v>11.27431</v>
      </c>
      <c r="IS29" s="52">
        <v>11.27431</v>
      </c>
      <c r="IT29" s="52">
        <v>11.27431</v>
      </c>
      <c r="IU29" s="52">
        <v>11.27431</v>
      </c>
      <c r="IV29" s="52">
        <v>11.27431</v>
      </c>
      <c r="IW29" s="52">
        <v>11.27431</v>
      </c>
      <c r="IX29" s="52">
        <v>11.27431</v>
      </c>
      <c r="IY29" s="52">
        <v>11.27431</v>
      </c>
      <c r="IZ29" s="52">
        <v>11.27431</v>
      </c>
      <c r="JA29" s="52">
        <v>11.27431</v>
      </c>
      <c r="JB29" s="52">
        <v>11.27431</v>
      </c>
      <c r="JC29" s="52">
        <v>11.27431</v>
      </c>
      <c r="JD29" s="52">
        <v>11.27431</v>
      </c>
      <c r="JE29" s="52">
        <v>11.27431</v>
      </c>
      <c r="JF29" s="52">
        <v>11.27431</v>
      </c>
      <c r="JG29" s="52">
        <v>11.27431</v>
      </c>
      <c r="JH29" s="52">
        <v>11.27431</v>
      </c>
      <c r="JI29" s="52">
        <v>11.27431</v>
      </c>
      <c r="JJ29" s="52">
        <v>11.27431</v>
      </c>
      <c r="JK29" s="52">
        <v>11.27431</v>
      </c>
      <c r="JL29" s="52">
        <v>11.27431</v>
      </c>
      <c r="JM29" s="52">
        <v>11.27431</v>
      </c>
      <c r="JN29" s="52">
        <v>11.27431</v>
      </c>
      <c r="JO29" s="52">
        <v>11.27431</v>
      </c>
      <c r="JP29" s="52">
        <v>11.27431</v>
      </c>
      <c r="JQ29" s="52">
        <v>11.27431</v>
      </c>
      <c r="JR29" s="52">
        <v>11.27431</v>
      </c>
      <c r="JS29" s="52">
        <v>11.27431</v>
      </c>
      <c r="JT29" s="52">
        <v>11.27431</v>
      </c>
      <c r="JU29" s="52">
        <v>11.27431</v>
      </c>
      <c r="JV29" s="52">
        <v>11.27431</v>
      </c>
      <c r="JW29" s="52">
        <v>11.27431</v>
      </c>
      <c r="JX29" s="52">
        <v>11.27431</v>
      </c>
      <c r="JY29" s="52">
        <v>11.27431</v>
      </c>
      <c r="JZ29" s="52">
        <v>11.27431</v>
      </c>
      <c r="KA29" s="52">
        <v>11.27431</v>
      </c>
      <c r="KB29" s="52">
        <v>11.27431</v>
      </c>
      <c r="KC29" s="52">
        <v>11.27431</v>
      </c>
      <c r="KD29" s="52">
        <v>11.27431</v>
      </c>
      <c r="KE29" s="52">
        <v>11.27431</v>
      </c>
      <c r="KF29" s="52">
        <v>11.27431</v>
      </c>
      <c r="KG29" s="52">
        <v>11.27431</v>
      </c>
      <c r="KH29" s="52">
        <v>11.27431</v>
      </c>
      <c r="KI29" s="52">
        <v>11.27431</v>
      </c>
      <c r="KJ29" s="52">
        <v>11.27431</v>
      </c>
      <c r="KK29" s="52">
        <v>11.27431</v>
      </c>
      <c r="KL29" s="52">
        <v>11.27431</v>
      </c>
      <c r="KM29" s="52">
        <v>11.27431</v>
      </c>
      <c r="KN29" s="52">
        <v>11.27431</v>
      </c>
      <c r="KO29" s="52">
        <v>11.27431</v>
      </c>
      <c r="KP29" s="52">
        <v>11.27431</v>
      </c>
      <c r="KQ29" s="52">
        <v>11.27431</v>
      </c>
      <c r="KR29" s="52">
        <v>11.27431</v>
      </c>
      <c r="KS29" s="52">
        <v>11.27431</v>
      </c>
      <c r="KT29" s="52">
        <v>11.27431</v>
      </c>
      <c r="KU29" s="52">
        <v>11.27431</v>
      </c>
      <c r="KV29" s="52">
        <v>11.27431</v>
      </c>
      <c r="KW29" s="52">
        <v>11.27431</v>
      </c>
      <c r="KX29" s="52">
        <v>11.27431</v>
      </c>
      <c r="KY29" s="52">
        <v>11.27431</v>
      </c>
      <c r="KZ29" s="52">
        <v>11.27431</v>
      </c>
      <c r="LA29" s="52">
        <v>11.27431</v>
      </c>
      <c r="LB29" s="52">
        <v>11.27431</v>
      </c>
      <c r="LC29" s="52">
        <v>11.27431</v>
      </c>
      <c r="LD29" s="52">
        <v>11.27431</v>
      </c>
      <c r="LE29" s="52">
        <v>11.27431</v>
      </c>
      <c r="LF29" s="52">
        <v>11.27431</v>
      </c>
      <c r="LG29" s="52">
        <v>11.27431</v>
      </c>
      <c r="LH29" s="52">
        <v>11.27431</v>
      </c>
      <c r="LI29" s="52">
        <v>11.27431</v>
      </c>
      <c r="LJ29" s="52">
        <v>11.27431</v>
      </c>
      <c r="LK29" s="52">
        <v>11.27431</v>
      </c>
      <c r="LL29" s="52">
        <v>11.27431</v>
      </c>
      <c r="LM29" s="52">
        <v>11.27431</v>
      </c>
      <c r="LN29" s="52">
        <v>11.27431</v>
      </c>
      <c r="LO29" s="52">
        <v>11.27431</v>
      </c>
      <c r="LP29" s="52">
        <v>11.27431</v>
      </c>
      <c r="LQ29" s="52">
        <v>11.27431</v>
      </c>
      <c r="LR29" s="52">
        <v>11.27431</v>
      </c>
      <c r="LS29" s="52">
        <v>11.27431</v>
      </c>
      <c r="LT29" s="52">
        <v>11.27431</v>
      </c>
      <c r="LU29" s="52">
        <v>11.27431</v>
      </c>
      <c r="LV29" s="52">
        <v>11.27431</v>
      </c>
      <c r="LW29" s="52">
        <v>11.27431</v>
      </c>
      <c r="LX29" s="52">
        <v>11.27431</v>
      </c>
      <c r="LY29" s="52">
        <v>11.27431</v>
      </c>
      <c r="LZ29" s="52">
        <v>11.27431</v>
      </c>
      <c r="MA29" s="52">
        <v>11.27431</v>
      </c>
      <c r="MB29" s="52">
        <v>11.27431</v>
      </c>
      <c r="MC29" s="52">
        <v>11.27431</v>
      </c>
      <c r="MD29" s="52">
        <v>11.27431</v>
      </c>
      <c r="ME29" s="52">
        <v>11.27431</v>
      </c>
      <c r="MF29" s="52">
        <v>11.27431</v>
      </c>
      <c r="MG29" s="52">
        <v>11.27431</v>
      </c>
      <c r="MH29" s="52">
        <v>11.27431</v>
      </c>
      <c r="MI29" s="52">
        <v>11.27431</v>
      </c>
      <c r="MJ29" s="52">
        <v>11.27431</v>
      </c>
      <c r="MK29" s="52">
        <v>11.27431</v>
      </c>
      <c r="ML29" s="52">
        <v>11.27431</v>
      </c>
      <c r="MM29" s="52">
        <v>11.27431</v>
      </c>
      <c r="MN29" s="52">
        <v>11.27431</v>
      </c>
      <c r="MO29" s="52">
        <v>11.27431</v>
      </c>
      <c r="MP29" s="52">
        <v>11.27431</v>
      </c>
      <c r="MQ29" s="52">
        <v>11.27431</v>
      </c>
      <c r="MR29" s="52">
        <v>11.27431</v>
      </c>
      <c r="MS29" s="52">
        <v>11.27431</v>
      </c>
      <c r="MT29" s="52">
        <v>11.27431</v>
      </c>
      <c r="MU29" s="52">
        <v>11.27431</v>
      </c>
      <c r="MV29" s="52">
        <v>11.27431</v>
      </c>
      <c r="MW29" s="52">
        <v>11.27431</v>
      </c>
      <c r="MX29" s="52">
        <v>11.27431</v>
      </c>
      <c r="MY29" s="52">
        <v>11.27431</v>
      </c>
      <c r="MZ29" s="52">
        <v>11.27431</v>
      </c>
      <c r="NA29" s="52">
        <v>11.27431</v>
      </c>
      <c r="NB29" s="52">
        <v>11.27431</v>
      </c>
      <c r="NC29" s="52">
        <v>11.27431</v>
      </c>
      <c r="ND29" s="52">
        <v>11.27431</v>
      </c>
      <c r="NE29" s="52">
        <v>11.27431</v>
      </c>
      <c r="NF29" s="37">
        <v>11.27431</v>
      </c>
      <c r="NG29" s="37">
        <v>11.27431</v>
      </c>
      <c r="NH29" s="37">
        <v>11.27431</v>
      </c>
      <c r="NI29" s="37">
        <v>11.27431</v>
      </c>
      <c r="NJ29" s="37">
        <v>11.27431</v>
      </c>
      <c r="NK29" s="37">
        <v>11.27431</v>
      </c>
      <c r="NL29" s="37">
        <v>11.27431</v>
      </c>
      <c r="NM29" s="37">
        <v>11.27431</v>
      </c>
      <c r="NN29" s="37">
        <v>11.27431</v>
      </c>
      <c r="NO29" s="37">
        <v>11.27431</v>
      </c>
      <c r="NP29" s="37">
        <v>11.27431</v>
      </c>
      <c r="NQ29" s="37">
        <v>11.27431</v>
      </c>
      <c r="NR29" s="37">
        <v>11.27431</v>
      </c>
      <c r="NS29" s="37">
        <v>11.27431</v>
      </c>
      <c r="NT29" s="37">
        <v>11.27431</v>
      </c>
      <c r="NU29" s="37">
        <v>11.27431</v>
      </c>
      <c r="NV29" s="37">
        <v>11.27431</v>
      </c>
      <c r="NW29" s="37">
        <v>11.27431</v>
      </c>
      <c r="NX29" s="37">
        <v>11.27431</v>
      </c>
      <c r="NY29" s="37">
        <v>11.27431</v>
      </c>
      <c r="NZ29" s="37">
        <v>11.27431</v>
      </c>
      <c r="OA29" s="37">
        <v>11.27431</v>
      </c>
      <c r="OB29" s="37">
        <v>11.27431</v>
      </c>
      <c r="OC29" s="37">
        <v>11.27431</v>
      </c>
      <c r="OD29" s="37">
        <v>11.27431</v>
      </c>
      <c r="OE29" s="37">
        <v>11.27431</v>
      </c>
      <c r="OF29" s="37">
        <v>11.27431</v>
      </c>
      <c r="OG29" s="37">
        <v>11.27431</v>
      </c>
      <c r="OH29" s="37">
        <v>11.27431</v>
      </c>
      <c r="OI29" s="37">
        <v>11.27431</v>
      </c>
      <c r="OJ29" s="37">
        <v>11.27431</v>
      </c>
      <c r="OK29" s="37">
        <v>11.27431</v>
      </c>
      <c r="OL29" s="37">
        <v>11.27431</v>
      </c>
      <c r="OM29" s="37">
        <v>11.27431</v>
      </c>
      <c r="ON29" s="37">
        <v>11.27431</v>
      </c>
      <c r="OO29" s="37">
        <v>11.27431</v>
      </c>
      <c r="OP29" s="37">
        <v>11.27431</v>
      </c>
      <c r="OQ29" s="37">
        <v>11.27431</v>
      </c>
      <c r="OR29" s="37">
        <v>11.27431</v>
      </c>
      <c r="OS29" s="37">
        <v>11.27431</v>
      </c>
      <c r="OT29" s="37">
        <v>11.27431</v>
      </c>
      <c r="OU29" s="37">
        <v>11.27431</v>
      </c>
      <c r="OV29" s="37">
        <v>11.27431</v>
      </c>
      <c r="OW29" s="37">
        <v>11.27431</v>
      </c>
      <c r="OX29" s="37">
        <v>11.27431</v>
      </c>
      <c r="OY29" s="37">
        <v>11.27431</v>
      </c>
      <c r="OZ29" s="37">
        <v>11.27431</v>
      </c>
      <c r="PA29" s="37">
        <v>11.27431</v>
      </c>
      <c r="PB29" s="37">
        <v>11.27431</v>
      </c>
      <c r="PC29" s="37">
        <v>11.27431</v>
      </c>
      <c r="PD29" s="37">
        <v>11.27431</v>
      </c>
      <c r="PE29" s="37">
        <v>11.27431</v>
      </c>
      <c r="PF29" s="37">
        <v>11.27431</v>
      </c>
      <c r="PG29" s="37">
        <v>11.27431</v>
      </c>
      <c r="PH29" s="37">
        <v>11.27431</v>
      </c>
      <c r="PI29" s="37">
        <v>11.27431</v>
      </c>
      <c r="PJ29" s="37">
        <v>11.27431</v>
      </c>
      <c r="PK29" s="37">
        <v>11.27431</v>
      </c>
      <c r="PL29" s="37">
        <v>11.27431</v>
      </c>
      <c r="PM29" s="37">
        <v>11.27431</v>
      </c>
      <c r="PN29" s="37">
        <v>11.27431</v>
      </c>
      <c r="PO29" s="37">
        <v>11.27431</v>
      </c>
      <c r="PP29" s="37">
        <v>11.27431</v>
      </c>
      <c r="PQ29" s="37">
        <v>11.27431</v>
      </c>
      <c r="PR29" s="37">
        <v>11.27431</v>
      </c>
      <c r="PS29" s="15">
        <v>11.27431</v>
      </c>
      <c r="PT29" s="15">
        <v>11.27431</v>
      </c>
      <c r="PU29" s="15">
        <v>11.27431</v>
      </c>
      <c r="PV29" s="15">
        <v>11.27431</v>
      </c>
      <c r="PW29" s="15">
        <v>11.27431</v>
      </c>
      <c r="PX29" s="15">
        <v>11.27431</v>
      </c>
      <c r="PY29" s="15">
        <v>11.27431</v>
      </c>
      <c r="PZ29" s="15">
        <v>11.27431</v>
      </c>
      <c r="QA29" s="15">
        <v>11.27431</v>
      </c>
      <c r="QB29" s="15">
        <v>11.27431</v>
      </c>
      <c r="QC29" s="15">
        <v>11.27431</v>
      </c>
      <c r="QD29" s="15">
        <v>11.27431</v>
      </c>
      <c r="QE29" s="15">
        <v>11.27431</v>
      </c>
      <c r="QF29" s="15">
        <v>11.27431</v>
      </c>
      <c r="QG29" s="15">
        <v>11.27431</v>
      </c>
      <c r="QH29" s="15">
        <v>11.27431</v>
      </c>
      <c r="QI29" s="15">
        <v>11.27431</v>
      </c>
      <c r="QJ29" s="15">
        <v>11.27431</v>
      </c>
      <c r="QK29" s="15">
        <v>11.27431</v>
      </c>
      <c r="QL29" s="15">
        <v>11.27431</v>
      </c>
      <c r="QM29" s="15">
        <v>11.27431</v>
      </c>
      <c r="QN29" s="15">
        <v>11.27431</v>
      </c>
      <c r="QO29" s="15">
        <v>11.27431</v>
      </c>
      <c r="QP29" s="15">
        <v>11.27431</v>
      </c>
      <c r="QQ29" s="15">
        <v>11.27431</v>
      </c>
      <c r="QR29" s="15">
        <v>11.27431</v>
      </c>
      <c r="QS29" s="15">
        <v>11.27431</v>
      </c>
      <c r="QT29" s="15">
        <v>11.27431</v>
      </c>
      <c r="QU29" s="15">
        <v>11.27431</v>
      </c>
      <c r="QV29" s="15">
        <v>11.27431</v>
      </c>
      <c r="QW29" s="15">
        <v>11.27431</v>
      </c>
      <c r="QX29" s="15">
        <v>11.27431</v>
      </c>
      <c r="QY29" s="15">
        <v>11.27431</v>
      </c>
      <c r="QZ29" s="15">
        <v>11.27431</v>
      </c>
      <c r="RA29" s="15">
        <v>11.27431</v>
      </c>
      <c r="RB29" s="15">
        <v>11.27431</v>
      </c>
      <c r="RC29" s="15">
        <v>11.27431</v>
      </c>
      <c r="RD29" s="15">
        <v>11.27431</v>
      </c>
      <c r="RE29" s="15">
        <v>11.27431</v>
      </c>
      <c r="RF29" s="15">
        <v>11.27431</v>
      </c>
      <c r="RG29" s="15">
        <v>11.27431</v>
      </c>
      <c r="RH29" s="15">
        <v>11.27431</v>
      </c>
      <c r="RI29" s="15">
        <v>11.27431</v>
      </c>
      <c r="RJ29" s="15">
        <v>11.27431</v>
      </c>
      <c r="RK29" s="15">
        <v>11.27431</v>
      </c>
      <c r="RL29" s="15">
        <v>11.27431</v>
      </c>
      <c r="RM29" s="15">
        <v>11.27431</v>
      </c>
      <c r="RN29" s="15">
        <v>11.27431</v>
      </c>
      <c r="RO29" s="15">
        <v>11.27431</v>
      </c>
      <c r="RP29" s="15">
        <v>11.27431</v>
      </c>
      <c r="RQ29" s="15">
        <v>11.27431</v>
      </c>
      <c r="RR29" s="15">
        <v>11.27431</v>
      </c>
      <c r="RS29" s="15">
        <v>11.27431</v>
      </c>
      <c r="RT29" s="15">
        <v>11.27431</v>
      </c>
      <c r="RU29" s="15">
        <v>11.27431</v>
      </c>
      <c r="RV29" s="15">
        <v>11.27431</v>
      </c>
      <c r="RW29" s="15">
        <v>11.27431</v>
      </c>
      <c r="RX29" s="15">
        <v>11.27431</v>
      </c>
      <c r="RY29" s="15">
        <v>11.27431</v>
      </c>
      <c r="RZ29" s="15">
        <v>11.27431</v>
      </c>
      <c r="SA29" s="15">
        <v>11.27431</v>
      </c>
      <c r="SB29" s="15">
        <v>11.27431</v>
      </c>
      <c r="SC29" s="15">
        <v>11.27431</v>
      </c>
      <c r="SD29" s="15">
        <v>11.27431</v>
      </c>
      <c r="SE29" s="15">
        <v>11.27431</v>
      </c>
      <c r="SF29" s="15">
        <v>11.27431</v>
      </c>
      <c r="SG29" s="15">
        <v>11.27431</v>
      </c>
      <c r="SH29" s="15">
        <v>11.27431</v>
      </c>
      <c r="SI29" s="15">
        <v>11.27431</v>
      </c>
      <c r="SJ29" s="15">
        <v>9.5052500000000002</v>
      </c>
      <c r="SK29" s="15" t="s">
        <v>668</v>
      </c>
      <c r="SL29" s="15" t="s">
        <v>668</v>
      </c>
    </row>
    <row r="30" spans="1:506" x14ac:dyDescent="0.2">
      <c r="A30" s="37">
        <v>28</v>
      </c>
      <c r="B30" s="15" t="s">
        <v>560</v>
      </c>
      <c r="C30" s="17">
        <f>+'Detalle Compras'!D30</f>
        <v>202505300018</v>
      </c>
      <c r="D30" s="55">
        <f t="shared" si="13"/>
        <v>10.41586</v>
      </c>
      <c r="E30" s="14">
        <f>+IF(B30="","",'Detalle Compras'!S30+0)</f>
        <v>45848</v>
      </c>
      <c r="F30" s="14">
        <f>+IF(B30="","",EOMONTH('Detalle Compras'!S30,G30)+10)</f>
        <v>60489</v>
      </c>
      <c r="G30" s="50">
        <f t="shared" si="14"/>
        <v>480</v>
      </c>
      <c r="H30" s="50">
        <f t="shared" si="15"/>
        <v>473</v>
      </c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52"/>
      <c r="V30" s="52"/>
      <c r="W30" s="52"/>
      <c r="X30" s="52"/>
      <c r="Y30" s="52">
        <v>10.41586</v>
      </c>
      <c r="Z30" s="52">
        <v>10.41586</v>
      </c>
      <c r="AA30" s="52">
        <v>10.41586</v>
      </c>
      <c r="AB30" s="52">
        <v>10.41586</v>
      </c>
      <c r="AC30" s="52">
        <v>10.41586</v>
      </c>
      <c r="AD30" s="52">
        <v>10.41586</v>
      </c>
      <c r="AE30" s="52">
        <v>10.41586</v>
      </c>
      <c r="AF30" s="52">
        <v>10.41586</v>
      </c>
      <c r="AG30" s="52">
        <v>10.41586</v>
      </c>
      <c r="AH30" s="52">
        <v>10.41586</v>
      </c>
      <c r="AI30" s="52">
        <v>10.41586</v>
      </c>
      <c r="AJ30" s="52">
        <v>10.41586</v>
      </c>
      <c r="AK30" s="52">
        <v>10.41586</v>
      </c>
      <c r="AL30" s="52">
        <v>10.41586</v>
      </c>
      <c r="AM30" s="52">
        <v>10.41586</v>
      </c>
      <c r="AN30" s="52">
        <v>10.41586</v>
      </c>
      <c r="AO30" s="52">
        <v>10.41586</v>
      </c>
      <c r="AP30" s="52">
        <v>10.41586</v>
      </c>
      <c r="AQ30" s="52">
        <v>10.41586</v>
      </c>
      <c r="AR30" s="52">
        <v>10.41586</v>
      </c>
      <c r="AS30" s="52">
        <v>10.41586</v>
      </c>
      <c r="AT30" s="52">
        <v>10.41586</v>
      </c>
      <c r="AU30" s="52">
        <v>10.41586</v>
      </c>
      <c r="AV30" s="52">
        <v>10.41586</v>
      </c>
      <c r="AW30" s="52">
        <v>10.41586</v>
      </c>
      <c r="AX30" s="52">
        <v>10.41586</v>
      </c>
      <c r="AY30" s="52">
        <v>10.41586</v>
      </c>
      <c r="AZ30" s="52">
        <v>10.41586</v>
      </c>
      <c r="BA30" s="52">
        <v>10.41586</v>
      </c>
      <c r="BB30" s="52">
        <v>10.41586</v>
      </c>
      <c r="BC30" s="52">
        <v>10.41586</v>
      </c>
      <c r="BD30" s="52">
        <v>10.41586</v>
      </c>
      <c r="BE30" s="52">
        <v>10.41586</v>
      </c>
      <c r="BF30" s="52">
        <v>10.41586</v>
      </c>
      <c r="BG30" s="52">
        <v>10.41586</v>
      </c>
      <c r="BH30" s="52">
        <v>10.41586</v>
      </c>
      <c r="BI30" s="52">
        <v>10.41586</v>
      </c>
      <c r="BJ30" s="52">
        <v>10.41586</v>
      </c>
      <c r="BK30" s="52">
        <v>10.41586</v>
      </c>
      <c r="BL30" s="52">
        <v>10.41586</v>
      </c>
      <c r="BM30" s="52">
        <v>10.41586</v>
      </c>
      <c r="BN30" s="52">
        <v>10.41586</v>
      </c>
      <c r="BO30" s="52">
        <v>10.41586</v>
      </c>
      <c r="BP30" s="52">
        <v>10.41586</v>
      </c>
      <c r="BQ30" s="52">
        <v>10.41586</v>
      </c>
      <c r="BR30" s="52">
        <v>10.41586</v>
      </c>
      <c r="BS30" s="52">
        <v>10.41586</v>
      </c>
      <c r="BT30" s="52">
        <v>10.41586</v>
      </c>
      <c r="BU30" s="52">
        <v>10.41586</v>
      </c>
      <c r="BV30" s="52">
        <v>10.41586</v>
      </c>
      <c r="BW30" s="52">
        <v>10.41586</v>
      </c>
      <c r="BX30" s="52">
        <v>10.41586</v>
      </c>
      <c r="BY30" s="52">
        <v>10.41586</v>
      </c>
      <c r="BZ30" s="52">
        <v>10.41586</v>
      </c>
      <c r="CA30" s="52">
        <v>10.41586</v>
      </c>
      <c r="CB30" s="52">
        <v>10.41586</v>
      </c>
      <c r="CC30" s="52">
        <v>10.41586</v>
      </c>
      <c r="CD30" s="52">
        <v>10.41586</v>
      </c>
      <c r="CE30" s="52">
        <v>10.41586</v>
      </c>
      <c r="CF30" s="52">
        <v>10.41586</v>
      </c>
      <c r="CG30" s="52">
        <v>10.41586</v>
      </c>
      <c r="CH30" s="52">
        <v>10.41586</v>
      </c>
      <c r="CI30" s="52">
        <v>10.41586</v>
      </c>
      <c r="CJ30" s="52">
        <v>10.41586</v>
      </c>
      <c r="CK30" s="52">
        <v>10.41586</v>
      </c>
      <c r="CL30" s="52">
        <v>10.41586</v>
      </c>
      <c r="CM30" s="52">
        <v>10.41586</v>
      </c>
      <c r="CN30" s="52">
        <v>10.41586</v>
      </c>
      <c r="CO30" s="52">
        <v>10.41586</v>
      </c>
      <c r="CP30" s="52">
        <v>10.41586</v>
      </c>
      <c r="CQ30" s="52">
        <v>10.41586</v>
      </c>
      <c r="CR30" s="52">
        <v>10.41586</v>
      </c>
      <c r="CS30" s="52">
        <v>10.41586</v>
      </c>
      <c r="CT30" s="52">
        <v>10.41586</v>
      </c>
      <c r="CU30" s="52">
        <v>10.41586</v>
      </c>
      <c r="CV30" s="52">
        <v>10.41586</v>
      </c>
      <c r="CW30" s="52">
        <v>10.41586</v>
      </c>
      <c r="CX30" s="52">
        <v>10.41586</v>
      </c>
      <c r="CY30" s="52">
        <v>10.41586</v>
      </c>
      <c r="CZ30" s="52">
        <v>10.41586</v>
      </c>
      <c r="DA30" s="52">
        <v>10.41586</v>
      </c>
      <c r="DB30" s="52">
        <v>10.41586</v>
      </c>
      <c r="DC30" s="52">
        <v>10.41586</v>
      </c>
      <c r="DD30" s="52">
        <v>10.41586</v>
      </c>
      <c r="DE30" s="52">
        <v>10.41586</v>
      </c>
      <c r="DF30" s="52">
        <v>10.41586</v>
      </c>
      <c r="DG30" s="52">
        <v>10.41586</v>
      </c>
      <c r="DH30" s="52">
        <v>10.41586</v>
      </c>
      <c r="DI30" s="52">
        <v>10.41586</v>
      </c>
      <c r="DJ30" s="52">
        <v>10.41586</v>
      </c>
      <c r="DK30" s="52">
        <v>10.41586</v>
      </c>
      <c r="DL30" s="52">
        <v>10.41586</v>
      </c>
      <c r="DM30" s="52">
        <v>10.41586</v>
      </c>
      <c r="DN30" s="52">
        <v>10.41586</v>
      </c>
      <c r="DO30" s="52">
        <v>10.41586</v>
      </c>
      <c r="DP30" s="52">
        <v>10.41586</v>
      </c>
      <c r="DQ30" s="52">
        <v>10.41586</v>
      </c>
      <c r="DR30" s="52">
        <v>10.41586</v>
      </c>
      <c r="DS30" s="52">
        <v>10.41586</v>
      </c>
      <c r="DT30" s="52">
        <v>10.41586</v>
      </c>
      <c r="DU30" s="52">
        <v>10.41586</v>
      </c>
      <c r="DV30" s="52">
        <v>10.41586</v>
      </c>
      <c r="DW30" s="52">
        <v>10.41586</v>
      </c>
      <c r="DX30" s="52">
        <v>10.41586</v>
      </c>
      <c r="DY30" s="52">
        <v>10.41586</v>
      </c>
      <c r="DZ30" s="52">
        <v>10.41586</v>
      </c>
      <c r="EA30" s="52">
        <v>10.41586</v>
      </c>
      <c r="EB30" s="52">
        <v>10.41586</v>
      </c>
      <c r="EC30" s="52">
        <v>10.41586</v>
      </c>
      <c r="ED30" s="52">
        <v>10.41586</v>
      </c>
      <c r="EE30" s="52">
        <v>10.41586</v>
      </c>
      <c r="EF30" s="52">
        <v>10.41586</v>
      </c>
      <c r="EG30" s="52">
        <v>10.41586</v>
      </c>
      <c r="EH30" s="52">
        <v>10.41586</v>
      </c>
      <c r="EI30" s="52">
        <v>10.41586</v>
      </c>
      <c r="EJ30" s="52">
        <v>10.41586</v>
      </c>
      <c r="EK30" s="52">
        <v>10.41586</v>
      </c>
      <c r="EL30" s="52">
        <v>10.41586</v>
      </c>
      <c r="EM30" s="52">
        <v>10.41586</v>
      </c>
      <c r="EN30" s="52">
        <v>10.41586</v>
      </c>
      <c r="EO30" s="52">
        <v>10.41586</v>
      </c>
      <c r="EP30" s="52">
        <v>10.41586</v>
      </c>
      <c r="EQ30" s="52">
        <v>10.41586</v>
      </c>
      <c r="ER30" s="52">
        <v>10.41586</v>
      </c>
      <c r="ES30" s="52">
        <v>10.41586</v>
      </c>
      <c r="ET30" s="52">
        <v>10.41586</v>
      </c>
      <c r="EU30" s="52">
        <v>10.41586</v>
      </c>
      <c r="EV30" s="52">
        <v>10.41586</v>
      </c>
      <c r="EW30" s="52">
        <v>10.41586</v>
      </c>
      <c r="EX30" s="52">
        <v>10.41586</v>
      </c>
      <c r="EY30" s="52">
        <v>10.41586</v>
      </c>
      <c r="EZ30" s="52">
        <v>10.41586</v>
      </c>
      <c r="FA30" s="52">
        <v>10.41586</v>
      </c>
      <c r="FB30" s="52">
        <v>10.41586</v>
      </c>
      <c r="FC30" s="52">
        <v>10.41586</v>
      </c>
      <c r="FD30" s="52">
        <v>10.41586</v>
      </c>
      <c r="FE30" s="52">
        <v>10.41586</v>
      </c>
      <c r="FF30" s="52">
        <v>10.41586</v>
      </c>
      <c r="FG30" s="52">
        <v>10.41586</v>
      </c>
      <c r="FH30" s="52">
        <v>10.41586</v>
      </c>
      <c r="FI30" s="52">
        <v>10.41586</v>
      </c>
      <c r="FJ30" s="52">
        <v>10.41586</v>
      </c>
      <c r="FK30" s="52">
        <v>10.41586</v>
      </c>
      <c r="FL30" s="52">
        <v>10.41586</v>
      </c>
      <c r="FM30" s="52">
        <v>10.41586</v>
      </c>
      <c r="FN30" s="52">
        <v>10.41586</v>
      </c>
      <c r="FO30" s="52">
        <v>10.41586</v>
      </c>
      <c r="FP30" s="52">
        <v>10.41586</v>
      </c>
      <c r="FQ30" s="52">
        <v>10.41586</v>
      </c>
      <c r="FR30" s="52">
        <v>10.41586</v>
      </c>
      <c r="FS30" s="52">
        <v>10.41586</v>
      </c>
      <c r="FT30" s="52">
        <v>10.41586</v>
      </c>
      <c r="FU30" s="52">
        <v>10.41586</v>
      </c>
      <c r="FV30" s="52">
        <v>10.41586</v>
      </c>
      <c r="FW30" s="52">
        <v>10.41586</v>
      </c>
      <c r="FX30" s="52">
        <v>10.41586</v>
      </c>
      <c r="FY30" s="52">
        <v>10.41586</v>
      </c>
      <c r="FZ30" s="52">
        <v>10.41586</v>
      </c>
      <c r="GA30" s="52">
        <v>10.41586</v>
      </c>
      <c r="GB30" s="52">
        <v>10.41586</v>
      </c>
      <c r="GC30" s="52">
        <v>10.41586</v>
      </c>
      <c r="GD30" s="52">
        <v>10.41586</v>
      </c>
      <c r="GE30" s="52">
        <v>10.41586</v>
      </c>
      <c r="GF30" s="52">
        <v>10.41586</v>
      </c>
      <c r="GG30" s="52">
        <v>10.41586</v>
      </c>
      <c r="GH30" s="52">
        <v>10.41586</v>
      </c>
      <c r="GI30" s="52">
        <v>10.41586</v>
      </c>
      <c r="GJ30" s="52">
        <v>10.41586</v>
      </c>
      <c r="GK30" s="52">
        <v>10.41586</v>
      </c>
      <c r="GL30" s="52">
        <v>10.41586</v>
      </c>
      <c r="GM30" s="52">
        <v>10.41586</v>
      </c>
      <c r="GN30" s="52">
        <v>10.41586</v>
      </c>
      <c r="GO30" s="52">
        <v>10.41586</v>
      </c>
      <c r="GP30" s="52">
        <v>10.41586</v>
      </c>
      <c r="GQ30" s="52">
        <v>10.41586</v>
      </c>
      <c r="GR30" s="52">
        <v>10.41586</v>
      </c>
      <c r="GS30" s="52">
        <v>10.41586</v>
      </c>
      <c r="GT30" s="52">
        <v>10.41586</v>
      </c>
      <c r="GU30" s="52">
        <v>10.41586</v>
      </c>
      <c r="GV30" s="52">
        <v>10.41586</v>
      </c>
      <c r="GW30" s="52">
        <v>10.41586</v>
      </c>
      <c r="GX30" s="52">
        <v>10.41586</v>
      </c>
      <c r="GY30" s="52">
        <v>10.41586</v>
      </c>
      <c r="GZ30" s="52">
        <v>10.41586</v>
      </c>
      <c r="HA30" s="52">
        <v>10.41586</v>
      </c>
      <c r="HB30" s="52">
        <v>10.41586</v>
      </c>
      <c r="HC30" s="52">
        <v>10.41586</v>
      </c>
      <c r="HD30" s="52">
        <v>10.41586</v>
      </c>
      <c r="HE30" s="52">
        <v>10.41586</v>
      </c>
      <c r="HF30" s="52">
        <v>10.41586</v>
      </c>
      <c r="HG30" s="52">
        <v>10.41586</v>
      </c>
      <c r="HH30" s="52">
        <v>10.41586</v>
      </c>
      <c r="HI30" s="52">
        <v>10.41586</v>
      </c>
      <c r="HJ30" s="52">
        <v>10.41586</v>
      </c>
      <c r="HK30" s="52">
        <v>10.41586</v>
      </c>
      <c r="HL30" s="52">
        <v>10.41586</v>
      </c>
      <c r="HM30" s="52">
        <v>10.41586</v>
      </c>
      <c r="HN30" s="52">
        <v>10.41586</v>
      </c>
      <c r="HO30" s="52">
        <v>10.41586</v>
      </c>
      <c r="HP30" s="52">
        <v>10.41586</v>
      </c>
      <c r="HQ30" s="52">
        <v>10.41586</v>
      </c>
      <c r="HR30" s="52">
        <v>10.41586</v>
      </c>
      <c r="HS30" s="52">
        <v>10.41586</v>
      </c>
      <c r="HT30" s="52">
        <v>10.41586</v>
      </c>
      <c r="HU30" s="52">
        <v>10.41586</v>
      </c>
      <c r="HV30" s="52">
        <v>10.41586</v>
      </c>
      <c r="HW30" s="52">
        <v>10.41586</v>
      </c>
      <c r="HX30" s="52">
        <v>10.41586</v>
      </c>
      <c r="HY30" s="52">
        <v>10.41586</v>
      </c>
      <c r="HZ30" s="52">
        <v>10.41586</v>
      </c>
      <c r="IA30" s="52">
        <v>10.41586</v>
      </c>
      <c r="IB30" s="52">
        <v>10.41586</v>
      </c>
      <c r="IC30" s="52">
        <v>10.41586</v>
      </c>
      <c r="ID30" s="52">
        <v>10.41586</v>
      </c>
      <c r="IE30" s="52">
        <v>10.41586</v>
      </c>
      <c r="IF30" s="52">
        <v>10.41586</v>
      </c>
      <c r="IG30" s="52">
        <v>10.41586</v>
      </c>
      <c r="IH30" s="52">
        <v>10.41586</v>
      </c>
      <c r="II30" s="52">
        <v>10.41586</v>
      </c>
      <c r="IJ30" s="52">
        <v>10.41586</v>
      </c>
      <c r="IK30" s="52">
        <v>10.41586</v>
      </c>
      <c r="IL30" s="52">
        <v>10.41586</v>
      </c>
      <c r="IM30" s="52">
        <v>10.41586</v>
      </c>
      <c r="IN30" s="52">
        <v>10.41586</v>
      </c>
      <c r="IO30" s="52">
        <v>10.41586</v>
      </c>
      <c r="IP30" s="52">
        <v>10.41586</v>
      </c>
      <c r="IQ30" s="52">
        <v>10.41586</v>
      </c>
      <c r="IR30" s="52">
        <v>10.41586</v>
      </c>
      <c r="IS30" s="52">
        <v>10.41586</v>
      </c>
      <c r="IT30" s="52">
        <v>10.41586</v>
      </c>
      <c r="IU30" s="52">
        <v>10.41586</v>
      </c>
      <c r="IV30" s="52">
        <v>10.41586</v>
      </c>
      <c r="IW30" s="52">
        <v>10.41586</v>
      </c>
      <c r="IX30" s="52">
        <v>10.41586</v>
      </c>
      <c r="IY30" s="52">
        <v>10.41586</v>
      </c>
      <c r="IZ30" s="52">
        <v>10.41586</v>
      </c>
      <c r="JA30" s="52">
        <v>10.41586</v>
      </c>
      <c r="JB30" s="52">
        <v>10.41586</v>
      </c>
      <c r="JC30" s="52">
        <v>10.41586</v>
      </c>
      <c r="JD30" s="52">
        <v>10.41586</v>
      </c>
      <c r="JE30" s="52">
        <v>10.41586</v>
      </c>
      <c r="JF30" s="52">
        <v>10.41586</v>
      </c>
      <c r="JG30" s="52">
        <v>10.41586</v>
      </c>
      <c r="JH30" s="52">
        <v>10.41586</v>
      </c>
      <c r="JI30" s="52">
        <v>10.41586</v>
      </c>
      <c r="JJ30" s="52">
        <v>10.41586</v>
      </c>
      <c r="JK30" s="52">
        <v>10.41586</v>
      </c>
      <c r="JL30" s="52">
        <v>10.41586</v>
      </c>
      <c r="JM30" s="52">
        <v>10.41586</v>
      </c>
      <c r="JN30" s="52">
        <v>10.41586</v>
      </c>
      <c r="JO30" s="52">
        <v>10.41586</v>
      </c>
      <c r="JP30" s="52">
        <v>10.41586</v>
      </c>
      <c r="JQ30" s="52">
        <v>10.41586</v>
      </c>
      <c r="JR30" s="52">
        <v>10.41586</v>
      </c>
      <c r="JS30" s="52">
        <v>10.41586</v>
      </c>
      <c r="JT30" s="52">
        <v>10.41586</v>
      </c>
      <c r="JU30" s="52">
        <v>10.41586</v>
      </c>
      <c r="JV30" s="52">
        <v>10.41586</v>
      </c>
      <c r="JW30" s="52">
        <v>10.41586</v>
      </c>
      <c r="JX30" s="52">
        <v>10.41586</v>
      </c>
      <c r="JY30" s="52">
        <v>10.41586</v>
      </c>
      <c r="JZ30" s="52">
        <v>10.41586</v>
      </c>
      <c r="KA30" s="52">
        <v>10.41586</v>
      </c>
      <c r="KB30" s="52">
        <v>10.41586</v>
      </c>
      <c r="KC30" s="52">
        <v>10.41586</v>
      </c>
      <c r="KD30" s="52">
        <v>10.41586</v>
      </c>
      <c r="KE30" s="52">
        <v>10.41586</v>
      </c>
      <c r="KF30" s="52">
        <v>10.41586</v>
      </c>
      <c r="KG30" s="52">
        <v>10.41586</v>
      </c>
      <c r="KH30" s="52">
        <v>10.41586</v>
      </c>
      <c r="KI30" s="52">
        <v>10.41586</v>
      </c>
      <c r="KJ30" s="52">
        <v>10.41586</v>
      </c>
      <c r="KK30" s="52">
        <v>10.41586</v>
      </c>
      <c r="KL30" s="52">
        <v>10.41586</v>
      </c>
      <c r="KM30" s="52">
        <v>10.41586</v>
      </c>
      <c r="KN30" s="52">
        <v>10.41586</v>
      </c>
      <c r="KO30" s="52">
        <v>10.41586</v>
      </c>
      <c r="KP30" s="52">
        <v>10.41586</v>
      </c>
      <c r="KQ30" s="52">
        <v>10.41586</v>
      </c>
      <c r="KR30" s="52">
        <v>10.41586</v>
      </c>
      <c r="KS30" s="52">
        <v>10.41586</v>
      </c>
      <c r="KT30" s="52">
        <v>10.41586</v>
      </c>
      <c r="KU30" s="52">
        <v>10.41586</v>
      </c>
      <c r="KV30" s="52">
        <v>10.41586</v>
      </c>
      <c r="KW30" s="52">
        <v>10.41586</v>
      </c>
      <c r="KX30" s="52">
        <v>10.41586</v>
      </c>
      <c r="KY30" s="52">
        <v>10.41586</v>
      </c>
      <c r="KZ30" s="52">
        <v>10.41586</v>
      </c>
      <c r="LA30" s="52">
        <v>10.41586</v>
      </c>
      <c r="LB30" s="52">
        <v>10.41586</v>
      </c>
      <c r="LC30" s="52">
        <v>10.41586</v>
      </c>
      <c r="LD30" s="52">
        <v>10.41586</v>
      </c>
      <c r="LE30" s="52">
        <v>10.41586</v>
      </c>
      <c r="LF30" s="52">
        <v>10.41586</v>
      </c>
      <c r="LG30" s="52">
        <v>10.41586</v>
      </c>
      <c r="LH30" s="52">
        <v>10.41586</v>
      </c>
      <c r="LI30" s="52">
        <v>10.41586</v>
      </c>
      <c r="LJ30" s="52">
        <v>10.41586</v>
      </c>
      <c r="LK30" s="52">
        <v>10.41586</v>
      </c>
      <c r="LL30" s="52">
        <v>10.41586</v>
      </c>
      <c r="LM30" s="52">
        <v>10.41586</v>
      </c>
      <c r="LN30" s="52">
        <v>10.41586</v>
      </c>
      <c r="LO30" s="52">
        <v>10.41586</v>
      </c>
      <c r="LP30" s="52">
        <v>10.41586</v>
      </c>
      <c r="LQ30" s="52">
        <v>10.41586</v>
      </c>
      <c r="LR30" s="52">
        <v>10.41586</v>
      </c>
      <c r="LS30" s="52">
        <v>10.41586</v>
      </c>
      <c r="LT30" s="52">
        <v>10.41586</v>
      </c>
      <c r="LU30" s="52">
        <v>10.41586</v>
      </c>
      <c r="LV30" s="52">
        <v>10.41586</v>
      </c>
      <c r="LW30" s="52">
        <v>10.41586</v>
      </c>
      <c r="LX30" s="52">
        <v>10.41586</v>
      </c>
      <c r="LY30" s="52">
        <v>10.41586</v>
      </c>
      <c r="LZ30" s="52">
        <v>10.41586</v>
      </c>
      <c r="MA30" s="52">
        <v>10.41586</v>
      </c>
      <c r="MB30" s="52">
        <v>10.41586</v>
      </c>
      <c r="MC30" s="52">
        <v>10.41586</v>
      </c>
      <c r="MD30" s="52">
        <v>10.41586</v>
      </c>
      <c r="ME30" s="52">
        <v>10.41586</v>
      </c>
      <c r="MF30" s="52">
        <v>10.41586</v>
      </c>
      <c r="MG30" s="52">
        <v>10.41586</v>
      </c>
      <c r="MH30" s="52">
        <v>10.41586</v>
      </c>
      <c r="MI30" s="52">
        <v>10.41586</v>
      </c>
      <c r="MJ30" s="52">
        <v>10.41586</v>
      </c>
      <c r="MK30" s="52">
        <v>10.41586</v>
      </c>
      <c r="ML30" s="52">
        <v>10.41586</v>
      </c>
      <c r="MM30" s="52">
        <v>10.41586</v>
      </c>
      <c r="MN30" s="52">
        <v>10.41586</v>
      </c>
      <c r="MO30" s="52">
        <v>10.41586</v>
      </c>
      <c r="MP30" s="52">
        <v>10.41586</v>
      </c>
      <c r="MQ30" s="52">
        <v>10.41586</v>
      </c>
      <c r="MR30" s="52">
        <v>10.41586</v>
      </c>
      <c r="MS30" s="52">
        <v>10.41586</v>
      </c>
      <c r="MT30" s="52">
        <v>10.41586</v>
      </c>
      <c r="MU30" s="52">
        <v>10.41586</v>
      </c>
      <c r="MV30" s="52">
        <v>10.41586</v>
      </c>
      <c r="MW30" s="52">
        <v>10.41586</v>
      </c>
      <c r="MX30" s="52">
        <v>10.41586</v>
      </c>
      <c r="MY30" s="52">
        <v>10.41586</v>
      </c>
      <c r="MZ30" s="52">
        <v>10.41586</v>
      </c>
      <c r="NA30" s="52">
        <v>10.41586</v>
      </c>
      <c r="NB30" s="52">
        <v>10.41586</v>
      </c>
      <c r="NC30" s="52">
        <v>10.41586</v>
      </c>
      <c r="ND30" s="52">
        <v>10.41586</v>
      </c>
      <c r="NE30" s="52">
        <v>10.41586</v>
      </c>
      <c r="NF30" s="37">
        <v>10.41586</v>
      </c>
      <c r="NG30" s="37">
        <v>10.41586</v>
      </c>
      <c r="NH30" s="37">
        <v>10.41586</v>
      </c>
      <c r="NI30" s="37">
        <v>10.41586</v>
      </c>
      <c r="NJ30" s="37">
        <v>10.41586</v>
      </c>
      <c r="NK30" s="37">
        <v>10.41586</v>
      </c>
      <c r="NL30" s="37">
        <v>10.41586</v>
      </c>
      <c r="NM30" s="37">
        <v>10.41586</v>
      </c>
      <c r="NN30" s="37">
        <v>10.41586</v>
      </c>
      <c r="NO30" s="37">
        <v>10.41586</v>
      </c>
      <c r="NP30" s="37">
        <v>10.41586</v>
      </c>
      <c r="NQ30" s="37">
        <v>10.41586</v>
      </c>
      <c r="NR30" s="37">
        <v>10.41586</v>
      </c>
      <c r="NS30" s="37">
        <v>10.41586</v>
      </c>
      <c r="NT30" s="37">
        <v>10.41586</v>
      </c>
      <c r="NU30" s="37">
        <v>10.41586</v>
      </c>
      <c r="NV30" s="37">
        <v>10.41586</v>
      </c>
      <c r="NW30" s="37">
        <v>10.41586</v>
      </c>
      <c r="NX30" s="37">
        <v>10.41586</v>
      </c>
      <c r="NY30" s="37">
        <v>10.41586</v>
      </c>
      <c r="NZ30" s="37">
        <v>10.41586</v>
      </c>
      <c r="OA30" s="37">
        <v>10.41586</v>
      </c>
      <c r="OB30" s="37">
        <v>10.41586</v>
      </c>
      <c r="OC30" s="37">
        <v>10.41586</v>
      </c>
      <c r="OD30" s="37">
        <v>10.41586</v>
      </c>
      <c r="OE30" s="37">
        <v>10.41586</v>
      </c>
      <c r="OF30" s="37">
        <v>10.41586</v>
      </c>
      <c r="OG30" s="37">
        <v>10.41586</v>
      </c>
      <c r="OH30" s="37">
        <v>10.41586</v>
      </c>
      <c r="OI30" s="37">
        <v>10.41586</v>
      </c>
      <c r="OJ30" s="37">
        <v>10.41586</v>
      </c>
      <c r="OK30" s="37">
        <v>10.41586</v>
      </c>
      <c r="OL30" s="37">
        <v>10.41586</v>
      </c>
      <c r="OM30" s="37">
        <v>10.41586</v>
      </c>
      <c r="ON30" s="37">
        <v>10.41586</v>
      </c>
      <c r="OO30" s="37">
        <v>10.41586</v>
      </c>
      <c r="OP30" s="37">
        <v>10.41586</v>
      </c>
      <c r="OQ30" s="37">
        <v>10.41586</v>
      </c>
      <c r="OR30" s="37">
        <v>10.41586</v>
      </c>
      <c r="OS30" s="37">
        <v>10.41586</v>
      </c>
      <c r="OT30" s="37">
        <v>10.41586</v>
      </c>
      <c r="OU30" s="37">
        <v>10.41586</v>
      </c>
      <c r="OV30" s="37">
        <v>10.41586</v>
      </c>
      <c r="OW30" s="37">
        <v>10.41586</v>
      </c>
      <c r="OX30" s="37">
        <v>10.41586</v>
      </c>
      <c r="OY30" s="37">
        <v>10.41586</v>
      </c>
      <c r="OZ30" s="37">
        <v>10.41586</v>
      </c>
      <c r="PA30" s="37">
        <v>10.41586</v>
      </c>
      <c r="PB30" s="37">
        <v>10.41586</v>
      </c>
      <c r="PC30" s="37">
        <v>10.41586</v>
      </c>
      <c r="PD30" s="37">
        <v>10.41586</v>
      </c>
      <c r="PE30" s="37">
        <v>10.41586</v>
      </c>
      <c r="PF30" s="37">
        <v>10.41586</v>
      </c>
      <c r="PG30" s="37">
        <v>10.41586</v>
      </c>
      <c r="PH30" s="37">
        <v>10.41586</v>
      </c>
      <c r="PI30" s="37">
        <v>10.41586</v>
      </c>
      <c r="PJ30" s="37">
        <v>10.41586</v>
      </c>
      <c r="PK30" s="37">
        <v>10.41586</v>
      </c>
      <c r="PL30" s="37">
        <v>10.41586</v>
      </c>
      <c r="PM30" s="37">
        <v>10.41586</v>
      </c>
      <c r="PN30" s="37">
        <v>10.41586</v>
      </c>
      <c r="PO30" s="37">
        <v>10.41586</v>
      </c>
      <c r="PP30" s="37">
        <v>10.41586</v>
      </c>
      <c r="PQ30" s="37">
        <v>10.41586</v>
      </c>
      <c r="PR30" s="37">
        <v>10.41586</v>
      </c>
      <c r="PS30" s="15">
        <v>10.41586</v>
      </c>
      <c r="PT30" s="15">
        <v>10.41586</v>
      </c>
      <c r="PU30" s="15">
        <v>10.41586</v>
      </c>
      <c r="PV30" s="15">
        <v>10.41586</v>
      </c>
      <c r="PW30" s="15">
        <v>10.41586</v>
      </c>
      <c r="PX30" s="15">
        <v>10.41586</v>
      </c>
      <c r="PY30" s="15">
        <v>10.41586</v>
      </c>
      <c r="PZ30" s="15">
        <v>10.41586</v>
      </c>
      <c r="QA30" s="15">
        <v>10.41586</v>
      </c>
      <c r="QB30" s="15">
        <v>10.41586</v>
      </c>
      <c r="QC30" s="15">
        <v>10.41586</v>
      </c>
      <c r="QD30" s="15">
        <v>10.41586</v>
      </c>
      <c r="QE30" s="15">
        <v>10.41586</v>
      </c>
      <c r="QF30" s="15">
        <v>10.41586</v>
      </c>
      <c r="QG30" s="15">
        <v>10.41586</v>
      </c>
      <c r="QH30" s="15">
        <v>10.41586</v>
      </c>
      <c r="QI30" s="15">
        <v>10.41586</v>
      </c>
      <c r="QJ30" s="15">
        <v>10.41586</v>
      </c>
      <c r="QK30" s="15">
        <v>10.41586</v>
      </c>
      <c r="QL30" s="15">
        <v>10.41586</v>
      </c>
      <c r="QM30" s="15">
        <v>10.41586</v>
      </c>
      <c r="QN30" s="15">
        <v>10.41586</v>
      </c>
      <c r="QO30" s="15">
        <v>10.41586</v>
      </c>
      <c r="QP30" s="15">
        <v>10.41586</v>
      </c>
      <c r="QQ30" s="15">
        <v>10.41586</v>
      </c>
      <c r="QR30" s="15">
        <v>10.41586</v>
      </c>
      <c r="QS30" s="15">
        <v>10.41586</v>
      </c>
      <c r="QT30" s="15">
        <v>10.41586</v>
      </c>
      <c r="QU30" s="15">
        <v>10.41586</v>
      </c>
      <c r="QV30" s="15">
        <v>10.41586</v>
      </c>
      <c r="QW30" s="15">
        <v>10.41586</v>
      </c>
      <c r="QX30" s="15">
        <v>10.41586</v>
      </c>
      <c r="QY30" s="15">
        <v>10.41586</v>
      </c>
      <c r="QZ30" s="15">
        <v>10.41586</v>
      </c>
      <c r="RA30" s="15">
        <v>10.41586</v>
      </c>
      <c r="RB30" s="15">
        <v>10.41586</v>
      </c>
      <c r="RC30" s="15">
        <v>10.41586</v>
      </c>
      <c r="RD30" s="15">
        <v>10.41586</v>
      </c>
      <c r="RE30" s="15">
        <v>10.41586</v>
      </c>
      <c r="RF30" s="15">
        <v>10.41586</v>
      </c>
      <c r="RG30" s="15">
        <v>10.41586</v>
      </c>
      <c r="RH30" s="15">
        <v>10.41586</v>
      </c>
      <c r="RI30" s="15">
        <v>10.41586</v>
      </c>
      <c r="RJ30" s="15">
        <v>10.41586</v>
      </c>
      <c r="RK30" s="15">
        <v>10.41586</v>
      </c>
      <c r="RL30" s="15">
        <v>10.41586</v>
      </c>
      <c r="RM30" s="15">
        <v>10.41586</v>
      </c>
      <c r="RN30" s="15">
        <v>10.41586</v>
      </c>
      <c r="RO30" s="15">
        <v>10.41586</v>
      </c>
      <c r="RP30" s="15">
        <v>10.41586</v>
      </c>
      <c r="RQ30" s="15">
        <v>10.41586</v>
      </c>
      <c r="RR30" s="15">
        <v>10.41586</v>
      </c>
      <c r="RS30" s="15">
        <v>10.41586</v>
      </c>
      <c r="RT30" s="15">
        <v>10.41586</v>
      </c>
      <c r="RU30" s="15">
        <v>10.41586</v>
      </c>
      <c r="RV30" s="15">
        <v>10.41586</v>
      </c>
      <c r="RW30" s="15">
        <v>10.41586</v>
      </c>
      <c r="RX30" s="15">
        <v>10.41586</v>
      </c>
      <c r="RY30" s="15">
        <v>10.41586</v>
      </c>
      <c r="RZ30" s="15">
        <v>10.41586</v>
      </c>
      <c r="SA30" s="15">
        <v>10.41586</v>
      </c>
      <c r="SB30" s="15">
        <v>10.41586</v>
      </c>
      <c r="SC30" s="15">
        <v>10.41586</v>
      </c>
      <c r="SD30" s="15">
        <v>10.41586</v>
      </c>
      <c r="SE30" s="15">
        <v>10.41586</v>
      </c>
      <c r="SF30" s="15">
        <v>10.41586</v>
      </c>
      <c r="SG30" s="15">
        <v>10.41586</v>
      </c>
      <c r="SH30" s="15">
        <v>10.41586</v>
      </c>
      <c r="SI30" s="15">
        <v>10.41586</v>
      </c>
      <c r="SJ30" s="15">
        <v>8.7814999999999994</v>
      </c>
      <c r="SK30" s="15" t="s">
        <v>668</v>
      </c>
      <c r="SL30" s="15" t="s">
        <v>668</v>
      </c>
    </row>
    <row r="31" spans="1:506" x14ac:dyDescent="0.2">
      <c r="A31" s="37">
        <v>29</v>
      </c>
      <c r="B31" s="15" t="s">
        <v>561</v>
      </c>
      <c r="C31" s="17">
        <f>+'Detalle Compras'!D31</f>
        <v>202506060025</v>
      </c>
      <c r="D31" s="55">
        <f t="shared" si="13"/>
        <v>9.0495999999999999</v>
      </c>
      <c r="E31" s="14">
        <f>+IF(B31="","",'Detalle Compras'!S31+0)</f>
        <v>45879</v>
      </c>
      <c r="F31" s="14">
        <f>+IF(B31="","",EOMONTH('Detalle Compras'!S31,G31)+10)</f>
        <v>60520</v>
      </c>
      <c r="G31" s="50">
        <f t="shared" si="14"/>
        <v>480</v>
      </c>
      <c r="H31" s="50">
        <f t="shared" si="15"/>
        <v>474</v>
      </c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52"/>
      <c r="V31" s="52"/>
      <c r="W31" s="52"/>
      <c r="X31" s="52"/>
      <c r="Y31" s="52">
        <v>0</v>
      </c>
      <c r="Z31" s="52">
        <v>9.0495999999999999</v>
      </c>
      <c r="AA31" s="52">
        <v>9.0495999999999999</v>
      </c>
      <c r="AB31" s="52">
        <v>9.0495999999999999</v>
      </c>
      <c r="AC31" s="52">
        <v>9.0495999999999999</v>
      </c>
      <c r="AD31" s="52">
        <v>9.0495999999999999</v>
      </c>
      <c r="AE31" s="52">
        <v>9.0495999999999999</v>
      </c>
      <c r="AF31" s="52">
        <v>9.0495999999999999</v>
      </c>
      <c r="AG31" s="52">
        <v>9.0495999999999999</v>
      </c>
      <c r="AH31" s="52">
        <v>9.0495999999999999</v>
      </c>
      <c r="AI31" s="52">
        <v>9.0495999999999999</v>
      </c>
      <c r="AJ31" s="52">
        <v>9.0495999999999999</v>
      </c>
      <c r="AK31" s="52">
        <v>9.0495999999999999</v>
      </c>
      <c r="AL31" s="52">
        <v>9.0495999999999999</v>
      </c>
      <c r="AM31" s="52">
        <v>9.0495999999999999</v>
      </c>
      <c r="AN31" s="52">
        <v>9.0495999999999999</v>
      </c>
      <c r="AO31" s="52">
        <v>9.0495999999999999</v>
      </c>
      <c r="AP31" s="52">
        <v>9.0495999999999999</v>
      </c>
      <c r="AQ31" s="52">
        <v>9.0495999999999999</v>
      </c>
      <c r="AR31" s="52">
        <v>9.0495999999999999</v>
      </c>
      <c r="AS31" s="52">
        <v>9.0495999999999999</v>
      </c>
      <c r="AT31" s="52">
        <v>9.0495999999999999</v>
      </c>
      <c r="AU31" s="52">
        <v>9.0495999999999999</v>
      </c>
      <c r="AV31" s="52">
        <v>9.0495999999999999</v>
      </c>
      <c r="AW31" s="52">
        <v>9.0495999999999999</v>
      </c>
      <c r="AX31" s="52">
        <v>9.0495999999999999</v>
      </c>
      <c r="AY31" s="52">
        <v>9.0495999999999999</v>
      </c>
      <c r="AZ31" s="52">
        <v>9.0495999999999999</v>
      </c>
      <c r="BA31" s="52">
        <v>9.0495999999999999</v>
      </c>
      <c r="BB31" s="52">
        <v>9.0495999999999999</v>
      </c>
      <c r="BC31" s="52">
        <v>9.0495999999999999</v>
      </c>
      <c r="BD31" s="52">
        <v>9.0495999999999999</v>
      </c>
      <c r="BE31" s="52">
        <v>9.0495999999999999</v>
      </c>
      <c r="BF31" s="52">
        <v>9.0495999999999999</v>
      </c>
      <c r="BG31" s="52">
        <v>9.0495999999999999</v>
      </c>
      <c r="BH31" s="52">
        <v>9.0495999999999999</v>
      </c>
      <c r="BI31" s="52">
        <v>9.0495999999999999</v>
      </c>
      <c r="BJ31" s="52">
        <v>9.0495999999999999</v>
      </c>
      <c r="BK31" s="52">
        <v>9.0495999999999999</v>
      </c>
      <c r="BL31" s="52">
        <v>9.0495999999999999</v>
      </c>
      <c r="BM31" s="52">
        <v>9.0495999999999999</v>
      </c>
      <c r="BN31" s="52">
        <v>9.0495999999999999</v>
      </c>
      <c r="BO31" s="52">
        <v>9.0495999999999999</v>
      </c>
      <c r="BP31" s="52">
        <v>9.0495999999999999</v>
      </c>
      <c r="BQ31" s="52">
        <v>9.0495999999999999</v>
      </c>
      <c r="BR31" s="52">
        <v>9.0495999999999999</v>
      </c>
      <c r="BS31" s="52">
        <v>9.0495999999999999</v>
      </c>
      <c r="BT31" s="52">
        <v>9.0495999999999999</v>
      </c>
      <c r="BU31" s="52">
        <v>9.0495999999999999</v>
      </c>
      <c r="BV31" s="52">
        <v>9.0495999999999999</v>
      </c>
      <c r="BW31" s="52">
        <v>9.0495999999999999</v>
      </c>
      <c r="BX31" s="52">
        <v>9.0495999999999999</v>
      </c>
      <c r="BY31" s="52">
        <v>9.0495999999999999</v>
      </c>
      <c r="BZ31" s="52">
        <v>9.0495999999999999</v>
      </c>
      <c r="CA31" s="52">
        <v>9.0495999999999999</v>
      </c>
      <c r="CB31" s="52">
        <v>9.0495999999999999</v>
      </c>
      <c r="CC31" s="52">
        <v>9.0495999999999999</v>
      </c>
      <c r="CD31" s="52">
        <v>9.0495999999999999</v>
      </c>
      <c r="CE31" s="52">
        <v>9.0495999999999999</v>
      </c>
      <c r="CF31" s="52">
        <v>9.0495999999999999</v>
      </c>
      <c r="CG31" s="52">
        <v>9.0495999999999999</v>
      </c>
      <c r="CH31" s="52">
        <v>9.0495999999999999</v>
      </c>
      <c r="CI31" s="52">
        <v>9.0495999999999999</v>
      </c>
      <c r="CJ31" s="52">
        <v>9.0495999999999999</v>
      </c>
      <c r="CK31" s="52">
        <v>9.0495999999999999</v>
      </c>
      <c r="CL31" s="52">
        <v>9.0495999999999999</v>
      </c>
      <c r="CM31" s="52">
        <v>9.0495999999999999</v>
      </c>
      <c r="CN31" s="52">
        <v>9.0495999999999999</v>
      </c>
      <c r="CO31" s="52">
        <v>9.0495999999999999</v>
      </c>
      <c r="CP31" s="52">
        <v>9.0495999999999999</v>
      </c>
      <c r="CQ31" s="52">
        <v>9.0495999999999999</v>
      </c>
      <c r="CR31" s="52">
        <v>9.0495999999999999</v>
      </c>
      <c r="CS31" s="52">
        <v>9.0495999999999999</v>
      </c>
      <c r="CT31" s="52">
        <v>9.0495999999999999</v>
      </c>
      <c r="CU31" s="52">
        <v>9.0495999999999999</v>
      </c>
      <c r="CV31" s="52">
        <v>9.0495999999999999</v>
      </c>
      <c r="CW31" s="52">
        <v>9.0495999999999999</v>
      </c>
      <c r="CX31" s="52">
        <v>9.0495999999999999</v>
      </c>
      <c r="CY31" s="52">
        <v>9.0495999999999999</v>
      </c>
      <c r="CZ31" s="52">
        <v>9.0495999999999999</v>
      </c>
      <c r="DA31" s="52">
        <v>9.0495999999999999</v>
      </c>
      <c r="DB31" s="52">
        <v>9.0495999999999999</v>
      </c>
      <c r="DC31" s="52">
        <v>9.0495999999999999</v>
      </c>
      <c r="DD31" s="52">
        <v>9.0495999999999999</v>
      </c>
      <c r="DE31" s="52">
        <v>9.0495999999999999</v>
      </c>
      <c r="DF31" s="52">
        <v>9.0495999999999999</v>
      </c>
      <c r="DG31" s="52">
        <v>9.0495999999999999</v>
      </c>
      <c r="DH31" s="52">
        <v>9.0495999999999999</v>
      </c>
      <c r="DI31" s="52">
        <v>9.0495999999999999</v>
      </c>
      <c r="DJ31" s="52">
        <v>9.0495999999999999</v>
      </c>
      <c r="DK31" s="52">
        <v>9.0495999999999999</v>
      </c>
      <c r="DL31" s="52">
        <v>9.0495999999999999</v>
      </c>
      <c r="DM31" s="52">
        <v>9.0495999999999999</v>
      </c>
      <c r="DN31" s="52">
        <v>9.0495999999999999</v>
      </c>
      <c r="DO31" s="52">
        <v>9.0495999999999999</v>
      </c>
      <c r="DP31" s="52">
        <v>9.0495999999999999</v>
      </c>
      <c r="DQ31" s="52">
        <v>9.0495999999999999</v>
      </c>
      <c r="DR31" s="52">
        <v>9.0495999999999999</v>
      </c>
      <c r="DS31" s="52">
        <v>9.0495999999999999</v>
      </c>
      <c r="DT31" s="52">
        <v>9.0495999999999999</v>
      </c>
      <c r="DU31" s="52">
        <v>9.0495999999999999</v>
      </c>
      <c r="DV31" s="52">
        <v>9.0495999999999999</v>
      </c>
      <c r="DW31" s="52">
        <v>9.0495999999999999</v>
      </c>
      <c r="DX31" s="52">
        <v>9.0495999999999999</v>
      </c>
      <c r="DY31" s="52">
        <v>9.0495999999999999</v>
      </c>
      <c r="DZ31" s="52">
        <v>9.0495999999999999</v>
      </c>
      <c r="EA31" s="52">
        <v>9.0495999999999999</v>
      </c>
      <c r="EB31" s="52">
        <v>9.0495999999999999</v>
      </c>
      <c r="EC31" s="52">
        <v>9.0495999999999999</v>
      </c>
      <c r="ED31" s="52">
        <v>9.0495999999999999</v>
      </c>
      <c r="EE31" s="52">
        <v>9.0495999999999999</v>
      </c>
      <c r="EF31" s="52">
        <v>9.0495999999999999</v>
      </c>
      <c r="EG31" s="52">
        <v>9.0495999999999999</v>
      </c>
      <c r="EH31" s="52">
        <v>9.0495999999999999</v>
      </c>
      <c r="EI31" s="52">
        <v>9.0495999999999999</v>
      </c>
      <c r="EJ31" s="52">
        <v>9.0495999999999999</v>
      </c>
      <c r="EK31" s="52">
        <v>9.0495999999999999</v>
      </c>
      <c r="EL31" s="52">
        <v>9.0495999999999999</v>
      </c>
      <c r="EM31" s="52">
        <v>9.0495999999999999</v>
      </c>
      <c r="EN31" s="52">
        <v>9.0495999999999999</v>
      </c>
      <c r="EO31" s="52">
        <v>9.0495999999999999</v>
      </c>
      <c r="EP31" s="52">
        <v>9.0495999999999999</v>
      </c>
      <c r="EQ31" s="52">
        <v>9.0495999999999999</v>
      </c>
      <c r="ER31" s="52">
        <v>9.0495999999999999</v>
      </c>
      <c r="ES31" s="52">
        <v>9.0495999999999999</v>
      </c>
      <c r="ET31" s="52">
        <v>9.0495999999999999</v>
      </c>
      <c r="EU31" s="52">
        <v>9.0495999999999999</v>
      </c>
      <c r="EV31" s="52">
        <v>9.0495999999999999</v>
      </c>
      <c r="EW31" s="52">
        <v>9.0495999999999999</v>
      </c>
      <c r="EX31" s="52">
        <v>9.0495999999999999</v>
      </c>
      <c r="EY31" s="52">
        <v>9.0495999999999999</v>
      </c>
      <c r="EZ31" s="52">
        <v>9.0495999999999999</v>
      </c>
      <c r="FA31" s="52">
        <v>9.0495999999999999</v>
      </c>
      <c r="FB31" s="52">
        <v>9.0495999999999999</v>
      </c>
      <c r="FC31" s="52">
        <v>9.0495999999999999</v>
      </c>
      <c r="FD31" s="52">
        <v>9.0495999999999999</v>
      </c>
      <c r="FE31" s="52">
        <v>9.0495999999999999</v>
      </c>
      <c r="FF31" s="52">
        <v>9.0495999999999999</v>
      </c>
      <c r="FG31" s="52">
        <v>9.0495999999999999</v>
      </c>
      <c r="FH31" s="52">
        <v>9.0495999999999999</v>
      </c>
      <c r="FI31" s="52">
        <v>9.0495999999999999</v>
      </c>
      <c r="FJ31" s="52">
        <v>9.0495999999999999</v>
      </c>
      <c r="FK31" s="52">
        <v>9.0495999999999999</v>
      </c>
      <c r="FL31" s="52">
        <v>9.0495999999999999</v>
      </c>
      <c r="FM31" s="52">
        <v>9.0495999999999999</v>
      </c>
      <c r="FN31" s="52">
        <v>9.0495999999999999</v>
      </c>
      <c r="FO31" s="52">
        <v>9.0495999999999999</v>
      </c>
      <c r="FP31" s="52">
        <v>9.0495999999999999</v>
      </c>
      <c r="FQ31" s="52">
        <v>9.0495999999999999</v>
      </c>
      <c r="FR31" s="52">
        <v>9.0495999999999999</v>
      </c>
      <c r="FS31" s="52">
        <v>9.0495999999999999</v>
      </c>
      <c r="FT31" s="52">
        <v>9.0495999999999999</v>
      </c>
      <c r="FU31" s="52">
        <v>9.0495999999999999</v>
      </c>
      <c r="FV31" s="52">
        <v>9.0495999999999999</v>
      </c>
      <c r="FW31" s="52">
        <v>9.0495999999999999</v>
      </c>
      <c r="FX31" s="52">
        <v>9.0495999999999999</v>
      </c>
      <c r="FY31" s="52">
        <v>9.0495999999999999</v>
      </c>
      <c r="FZ31" s="52">
        <v>9.0495999999999999</v>
      </c>
      <c r="GA31" s="52">
        <v>9.0495999999999999</v>
      </c>
      <c r="GB31" s="52">
        <v>9.0495999999999999</v>
      </c>
      <c r="GC31" s="52">
        <v>9.0495999999999999</v>
      </c>
      <c r="GD31" s="52">
        <v>9.0495999999999999</v>
      </c>
      <c r="GE31" s="52">
        <v>9.0495999999999999</v>
      </c>
      <c r="GF31" s="52">
        <v>9.0495999999999999</v>
      </c>
      <c r="GG31" s="52">
        <v>9.0495999999999999</v>
      </c>
      <c r="GH31" s="52">
        <v>9.0495999999999999</v>
      </c>
      <c r="GI31" s="52">
        <v>9.0495999999999999</v>
      </c>
      <c r="GJ31" s="52">
        <v>9.0495999999999999</v>
      </c>
      <c r="GK31" s="52">
        <v>9.0495999999999999</v>
      </c>
      <c r="GL31" s="52">
        <v>9.0495999999999999</v>
      </c>
      <c r="GM31" s="52">
        <v>9.0495999999999999</v>
      </c>
      <c r="GN31" s="52">
        <v>9.0495999999999999</v>
      </c>
      <c r="GO31" s="52">
        <v>9.0495999999999999</v>
      </c>
      <c r="GP31" s="52">
        <v>9.0495999999999999</v>
      </c>
      <c r="GQ31" s="52">
        <v>9.0495999999999999</v>
      </c>
      <c r="GR31" s="52">
        <v>9.0495999999999999</v>
      </c>
      <c r="GS31" s="52">
        <v>9.0495999999999999</v>
      </c>
      <c r="GT31" s="52">
        <v>9.0495999999999999</v>
      </c>
      <c r="GU31" s="52">
        <v>9.0495999999999999</v>
      </c>
      <c r="GV31" s="52">
        <v>9.0495999999999999</v>
      </c>
      <c r="GW31" s="52">
        <v>9.0495999999999999</v>
      </c>
      <c r="GX31" s="52">
        <v>9.0495999999999999</v>
      </c>
      <c r="GY31" s="52">
        <v>9.0495999999999999</v>
      </c>
      <c r="GZ31" s="52">
        <v>9.0495999999999999</v>
      </c>
      <c r="HA31" s="52">
        <v>9.0495999999999999</v>
      </c>
      <c r="HB31" s="52">
        <v>9.0495999999999999</v>
      </c>
      <c r="HC31" s="52">
        <v>9.0495999999999999</v>
      </c>
      <c r="HD31" s="52">
        <v>9.0495999999999999</v>
      </c>
      <c r="HE31" s="52">
        <v>9.0495999999999999</v>
      </c>
      <c r="HF31" s="52">
        <v>9.0495999999999999</v>
      </c>
      <c r="HG31" s="52">
        <v>9.0495999999999999</v>
      </c>
      <c r="HH31" s="52">
        <v>9.0495999999999999</v>
      </c>
      <c r="HI31" s="52">
        <v>9.0495999999999999</v>
      </c>
      <c r="HJ31" s="52">
        <v>9.0495999999999999</v>
      </c>
      <c r="HK31" s="52">
        <v>9.0495999999999999</v>
      </c>
      <c r="HL31" s="52">
        <v>9.0495999999999999</v>
      </c>
      <c r="HM31" s="52">
        <v>9.0495999999999999</v>
      </c>
      <c r="HN31" s="52">
        <v>9.0495999999999999</v>
      </c>
      <c r="HO31" s="52">
        <v>9.0495999999999999</v>
      </c>
      <c r="HP31" s="52">
        <v>9.0495999999999999</v>
      </c>
      <c r="HQ31" s="52">
        <v>9.0495999999999999</v>
      </c>
      <c r="HR31" s="52">
        <v>9.0495999999999999</v>
      </c>
      <c r="HS31" s="52">
        <v>9.0495999999999999</v>
      </c>
      <c r="HT31" s="52">
        <v>9.0495999999999999</v>
      </c>
      <c r="HU31" s="52">
        <v>9.0495999999999999</v>
      </c>
      <c r="HV31" s="52">
        <v>9.0495999999999999</v>
      </c>
      <c r="HW31" s="52">
        <v>9.0495999999999999</v>
      </c>
      <c r="HX31" s="52">
        <v>9.0495999999999999</v>
      </c>
      <c r="HY31" s="52">
        <v>9.0495999999999999</v>
      </c>
      <c r="HZ31" s="52">
        <v>9.0495999999999999</v>
      </c>
      <c r="IA31" s="52">
        <v>9.0495999999999999</v>
      </c>
      <c r="IB31" s="52">
        <v>9.0495999999999999</v>
      </c>
      <c r="IC31" s="52">
        <v>9.0495999999999999</v>
      </c>
      <c r="ID31" s="52">
        <v>9.0495999999999999</v>
      </c>
      <c r="IE31" s="52">
        <v>9.0495999999999999</v>
      </c>
      <c r="IF31" s="52">
        <v>9.0495999999999999</v>
      </c>
      <c r="IG31" s="52">
        <v>9.0495999999999999</v>
      </c>
      <c r="IH31" s="52">
        <v>9.0495999999999999</v>
      </c>
      <c r="II31" s="52">
        <v>9.0495999999999999</v>
      </c>
      <c r="IJ31" s="52">
        <v>9.0495999999999999</v>
      </c>
      <c r="IK31" s="52">
        <v>9.0495999999999999</v>
      </c>
      <c r="IL31" s="52">
        <v>9.0495999999999999</v>
      </c>
      <c r="IM31" s="52">
        <v>9.0495999999999999</v>
      </c>
      <c r="IN31" s="52">
        <v>9.0495999999999999</v>
      </c>
      <c r="IO31" s="52">
        <v>9.0495999999999999</v>
      </c>
      <c r="IP31" s="52">
        <v>9.0495999999999999</v>
      </c>
      <c r="IQ31" s="52">
        <v>9.0495999999999999</v>
      </c>
      <c r="IR31" s="52">
        <v>9.0495999999999999</v>
      </c>
      <c r="IS31" s="52">
        <v>9.0495999999999999</v>
      </c>
      <c r="IT31" s="52">
        <v>9.0495999999999999</v>
      </c>
      <c r="IU31" s="52">
        <v>9.0495999999999999</v>
      </c>
      <c r="IV31" s="52">
        <v>9.0495999999999999</v>
      </c>
      <c r="IW31" s="52">
        <v>9.0495999999999999</v>
      </c>
      <c r="IX31" s="52">
        <v>9.0495999999999999</v>
      </c>
      <c r="IY31" s="52">
        <v>9.0495999999999999</v>
      </c>
      <c r="IZ31" s="52">
        <v>9.0495999999999999</v>
      </c>
      <c r="JA31" s="52">
        <v>9.0495999999999999</v>
      </c>
      <c r="JB31" s="52">
        <v>9.0495999999999999</v>
      </c>
      <c r="JC31" s="52">
        <v>9.0495999999999999</v>
      </c>
      <c r="JD31" s="52">
        <v>9.0495999999999999</v>
      </c>
      <c r="JE31" s="52">
        <v>9.0495999999999999</v>
      </c>
      <c r="JF31" s="52">
        <v>9.0495999999999999</v>
      </c>
      <c r="JG31" s="52">
        <v>9.0495999999999999</v>
      </c>
      <c r="JH31" s="52">
        <v>9.0495999999999999</v>
      </c>
      <c r="JI31" s="52">
        <v>9.0495999999999999</v>
      </c>
      <c r="JJ31" s="52">
        <v>9.0495999999999999</v>
      </c>
      <c r="JK31" s="52">
        <v>9.0495999999999999</v>
      </c>
      <c r="JL31" s="52">
        <v>9.0495999999999999</v>
      </c>
      <c r="JM31" s="52">
        <v>9.0495999999999999</v>
      </c>
      <c r="JN31" s="52">
        <v>9.0495999999999999</v>
      </c>
      <c r="JO31" s="52">
        <v>9.0495999999999999</v>
      </c>
      <c r="JP31" s="52">
        <v>9.0495999999999999</v>
      </c>
      <c r="JQ31" s="52">
        <v>9.0495999999999999</v>
      </c>
      <c r="JR31" s="52">
        <v>9.0495999999999999</v>
      </c>
      <c r="JS31" s="52">
        <v>9.0495999999999999</v>
      </c>
      <c r="JT31" s="52">
        <v>9.0495999999999999</v>
      </c>
      <c r="JU31" s="52">
        <v>9.0495999999999999</v>
      </c>
      <c r="JV31" s="52">
        <v>9.0495999999999999</v>
      </c>
      <c r="JW31" s="52">
        <v>9.0495999999999999</v>
      </c>
      <c r="JX31" s="52">
        <v>9.0495999999999999</v>
      </c>
      <c r="JY31" s="52">
        <v>9.0495999999999999</v>
      </c>
      <c r="JZ31" s="52">
        <v>9.0495999999999999</v>
      </c>
      <c r="KA31" s="52">
        <v>9.0495999999999999</v>
      </c>
      <c r="KB31" s="52">
        <v>9.0495999999999999</v>
      </c>
      <c r="KC31" s="52">
        <v>9.0495999999999999</v>
      </c>
      <c r="KD31" s="52">
        <v>9.0495999999999999</v>
      </c>
      <c r="KE31" s="52">
        <v>9.0495999999999999</v>
      </c>
      <c r="KF31" s="52">
        <v>9.0495999999999999</v>
      </c>
      <c r="KG31" s="52">
        <v>9.0495999999999999</v>
      </c>
      <c r="KH31" s="52">
        <v>9.0495999999999999</v>
      </c>
      <c r="KI31" s="52">
        <v>9.0495999999999999</v>
      </c>
      <c r="KJ31" s="52">
        <v>9.0495999999999999</v>
      </c>
      <c r="KK31" s="52">
        <v>9.0495999999999999</v>
      </c>
      <c r="KL31" s="52">
        <v>9.0495999999999999</v>
      </c>
      <c r="KM31" s="52">
        <v>9.0495999999999999</v>
      </c>
      <c r="KN31" s="52">
        <v>9.0495999999999999</v>
      </c>
      <c r="KO31" s="52">
        <v>9.0495999999999999</v>
      </c>
      <c r="KP31" s="52">
        <v>9.0495999999999999</v>
      </c>
      <c r="KQ31" s="52">
        <v>9.0495999999999999</v>
      </c>
      <c r="KR31" s="52">
        <v>9.0495999999999999</v>
      </c>
      <c r="KS31" s="52">
        <v>9.0495999999999999</v>
      </c>
      <c r="KT31" s="52">
        <v>9.0495999999999999</v>
      </c>
      <c r="KU31" s="52">
        <v>9.0495999999999999</v>
      </c>
      <c r="KV31" s="52">
        <v>9.0495999999999999</v>
      </c>
      <c r="KW31" s="52">
        <v>9.0495999999999999</v>
      </c>
      <c r="KX31" s="52">
        <v>9.0495999999999999</v>
      </c>
      <c r="KY31" s="52">
        <v>9.0495999999999999</v>
      </c>
      <c r="KZ31" s="52">
        <v>9.0495999999999999</v>
      </c>
      <c r="LA31" s="52">
        <v>9.0495999999999999</v>
      </c>
      <c r="LB31" s="52">
        <v>9.0495999999999999</v>
      </c>
      <c r="LC31" s="52">
        <v>9.0495999999999999</v>
      </c>
      <c r="LD31" s="52">
        <v>9.0495999999999999</v>
      </c>
      <c r="LE31" s="52">
        <v>9.0495999999999999</v>
      </c>
      <c r="LF31" s="52">
        <v>9.0495999999999999</v>
      </c>
      <c r="LG31" s="52">
        <v>9.0495999999999999</v>
      </c>
      <c r="LH31" s="52">
        <v>9.0495999999999999</v>
      </c>
      <c r="LI31" s="52">
        <v>9.0495999999999999</v>
      </c>
      <c r="LJ31" s="52">
        <v>9.0495999999999999</v>
      </c>
      <c r="LK31" s="52">
        <v>9.0495999999999999</v>
      </c>
      <c r="LL31" s="52">
        <v>9.0495999999999999</v>
      </c>
      <c r="LM31" s="52">
        <v>9.0495999999999999</v>
      </c>
      <c r="LN31" s="52">
        <v>9.0495999999999999</v>
      </c>
      <c r="LO31" s="52">
        <v>9.0495999999999999</v>
      </c>
      <c r="LP31" s="52">
        <v>9.0495999999999999</v>
      </c>
      <c r="LQ31" s="52">
        <v>9.0495999999999999</v>
      </c>
      <c r="LR31" s="52">
        <v>9.0495999999999999</v>
      </c>
      <c r="LS31" s="52">
        <v>9.0495999999999999</v>
      </c>
      <c r="LT31" s="52">
        <v>9.0495999999999999</v>
      </c>
      <c r="LU31" s="52">
        <v>9.0495999999999999</v>
      </c>
      <c r="LV31" s="52">
        <v>9.0495999999999999</v>
      </c>
      <c r="LW31" s="52">
        <v>9.0495999999999999</v>
      </c>
      <c r="LX31" s="52">
        <v>9.0495999999999999</v>
      </c>
      <c r="LY31" s="52">
        <v>9.0495999999999999</v>
      </c>
      <c r="LZ31" s="52">
        <v>9.0495999999999999</v>
      </c>
      <c r="MA31" s="52">
        <v>9.0495999999999999</v>
      </c>
      <c r="MB31" s="52">
        <v>9.0495999999999999</v>
      </c>
      <c r="MC31" s="52">
        <v>9.0495999999999999</v>
      </c>
      <c r="MD31" s="52">
        <v>9.0495999999999999</v>
      </c>
      <c r="ME31" s="52">
        <v>9.0495999999999999</v>
      </c>
      <c r="MF31" s="52">
        <v>9.0495999999999999</v>
      </c>
      <c r="MG31" s="52">
        <v>9.0495999999999999</v>
      </c>
      <c r="MH31" s="52">
        <v>9.0495999999999999</v>
      </c>
      <c r="MI31" s="52">
        <v>9.0495999999999999</v>
      </c>
      <c r="MJ31" s="52">
        <v>9.0495999999999999</v>
      </c>
      <c r="MK31" s="52">
        <v>9.0495999999999999</v>
      </c>
      <c r="ML31" s="52">
        <v>9.0495999999999999</v>
      </c>
      <c r="MM31" s="52">
        <v>9.0495999999999999</v>
      </c>
      <c r="MN31" s="52">
        <v>9.0495999999999999</v>
      </c>
      <c r="MO31" s="52">
        <v>9.0495999999999999</v>
      </c>
      <c r="MP31" s="52">
        <v>9.0495999999999999</v>
      </c>
      <c r="MQ31" s="52">
        <v>9.0495999999999999</v>
      </c>
      <c r="MR31" s="52">
        <v>9.0495999999999999</v>
      </c>
      <c r="MS31" s="52">
        <v>9.0495999999999999</v>
      </c>
      <c r="MT31" s="52">
        <v>9.0495999999999999</v>
      </c>
      <c r="MU31" s="52">
        <v>9.0495999999999999</v>
      </c>
      <c r="MV31" s="52">
        <v>9.0495999999999999</v>
      </c>
      <c r="MW31" s="52">
        <v>9.0495999999999999</v>
      </c>
      <c r="MX31" s="52">
        <v>9.0495999999999999</v>
      </c>
      <c r="MY31" s="52">
        <v>9.0495999999999999</v>
      </c>
      <c r="MZ31" s="52">
        <v>9.0495999999999999</v>
      </c>
      <c r="NA31" s="52">
        <v>9.0495999999999999</v>
      </c>
      <c r="NB31" s="52">
        <v>9.0495999999999999</v>
      </c>
      <c r="NC31" s="52">
        <v>9.0495999999999999</v>
      </c>
      <c r="ND31" s="52">
        <v>9.0495999999999999</v>
      </c>
      <c r="NE31" s="52">
        <v>9.0495999999999999</v>
      </c>
      <c r="NF31" s="37">
        <v>9.0495999999999999</v>
      </c>
      <c r="NG31" s="37">
        <v>9.0495999999999999</v>
      </c>
      <c r="NH31" s="37">
        <v>9.0495999999999999</v>
      </c>
      <c r="NI31" s="37">
        <v>9.0495999999999999</v>
      </c>
      <c r="NJ31" s="37">
        <v>9.0495999999999999</v>
      </c>
      <c r="NK31" s="37">
        <v>9.0495999999999999</v>
      </c>
      <c r="NL31" s="37">
        <v>9.0495999999999999</v>
      </c>
      <c r="NM31" s="37">
        <v>9.0495999999999999</v>
      </c>
      <c r="NN31" s="37">
        <v>9.0495999999999999</v>
      </c>
      <c r="NO31" s="37">
        <v>9.0495999999999999</v>
      </c>
      <c r="NP31" s="37">
        <v>9.0495999999999999</v>
      </c>
      <c r="NQ31" s="37">
        <v>9.0495999999999999</v>
      </c>
      <c r="NR31" s="37">
        <v>9.0495999999999999</v>
      </c>
      <c r="NS31" s="37">
        <v>9.0495999999999999</v>
      </c>
      <c r="NT31" s="37">
        <v>9.0495999999999999</v>
      </c>
      <c r="NU31" s="37">
        <v>9.0495999999999999</v>
      </c>
      <c r="NV31" s="37">
        <v>9.0495999999999999</v>
      </c>
      <c r="NW31" s="37">
        <v>9.0495999999999999</v>
      </c>
      <c r="NX31" s="37">
        <v>9.0495999999999999</v>
      </c>
      <c r="NY31" s="37">
        <v>9.0495999999999999</v>
      </c>
      <c r="NZ31" s="37">
        <v>9.0495999999999999</v>
      </c>
      <c r="OA31" s="37">
        <v>9.0495999999999999</v>
      </c>
      <c r="OB31" s="37">
        <v>9.0495999999999999</v>
      </c>
      <c r="OC31" s="37">
        <v>9.0495999999999999</v>
      </c>
      <c r="OD31" s="37">
        <v>9.0495999999999999</v>
      </c>
      <c r="OE31" s="37">
        <v>9.0495999999999999</v>
      </c>
      <c r="OF31" s="37">
        <v>9.0495999999999999</v>
      </c>
      <c r="OG31" s="37">
        <v>9.0495999999999999</v>
      </c>
      <c r="OH31" s="37">
        <v>9.0495999999999999</v>
      </c>
      <c r="OI31" s="37">
        <v>9.0495999999999999</v>
      </c>
      <c r="OJ31" s="37">
        <v>9.0495999999999999</v>
      </c>
      <c r="OK31" s="37">
        <v>9.0495999999999999</v>
      </c>
      <c r="OL31" s="37">
        <v>9.0495999999999999</v>
      </c>
      <c r="OM31" s="37">
        <v>9.0495999999999999</v>
      </c>
      <c r="ON31" s="37">
        <v>9.0495999999999999</v>
      </c>
      <c r="OO31" s="37">
        <v>9.0495999999999999</v>
      </c>
      <c r="OP31" s="37">
        <v>9.0495999999999999</v>
      </c>
      <c r="OQ31" s="37">
        <v>9.0495999999999999</v>
      </c>
      <c r="OR31" s="37">
        <v>9.0495999999999999</v>
      </c>
      <c r="OS31" s="37">
        <v>9.0495999999999999</v>
      </c>
      <c r="OT31" s="37">
        <v>9.0495999999999999</v>
      </c>
      <c r="OU31" s="37">
        <v>9.0495999999999999</v>
      </c>
      <c r="OV31" s="37">
        <v>9.0495999999999999</v>
      </c>
      <c r="OW31" s="37">
        <v>9.0495999999999999</v>
      </c>
      <c r="OX31" s="37">
        <v>9.0495999999999999</v>
      </c>
      <c r="OY31" s="37">
        <v>9.0495999999999999</v>
      </c>
      <c r="OZ31" s="37">
        <v>9.0495999999999999</v>
      </c>
      <c r="PA31" s="37">
        <v>9.0495999999999999</v>
      </c>
      <c r="PB31" s="37">
        <v>9.0495999999999999</v>
      </c>
      <c r="PC31" s="37">
        <v>9.0495999999999999</v>
      </c>
      <c r="PD31" s="37">
        <v>9.0495999999999999</v>
      </c>
      <c r="PE31" s="37">
        <v>9.0495999999999999</v>
      </c>
      <c r="PF31" s="37">
        <v>9.0495999999999999</v>
      </c>
      <c r="PG31" s="37">
        <v>9.0495999999999999</v>
      </c>
      <c r="PH31" s="37">
        <v>9.0495999999999999</v>
      </c>
      <c r="PI31" s="37">
        <v>9.0495999999999999</v>
      </c>
      <c r="PJ31" s="37">
        <v>9.0495999999999999</v>
      </c>
      <c r="PK31" s="37">
        <v>9.0495999999999999</v>
      </c>
      <c r="PL31" s="37">
        <v>9.0495999999999999</v>
      </c>
      <c r="PM31" s="37">
        <v>9.0495999999999999</v>
      </c>
      <c r="PN31" s="37">
        <v>9.0495999999999999</v>
      </c>
      <c r="PO31" s="37">
        <v>9.0495999999999999</v>
      </c>
      <c r="PP31" s="37">
        <v>9.0495999999999999</v>
      </c>
      <c r="PQ31" s="37">
        <v>9.0495999999999999</v>
      </c>
      <c r="PR31" s="37">
        <v>9.0495999999999999</v>
      </c>
      <c r="PS31" s="15">
        <v>9.0495999999999999</v>
      </c>
      <c r="PT31" s="15">
        <v>9.0495999999999999</v>
      </c>
      <c r="PU31" s="15">
        <v>9.0495999999999999</v>
      </c>
      <c r="PV31" s="15">
        <v>9.0495999999999999</v>
      </c>
      <c r="PW31" s="15">
        <v>9.0495999999999999</v>
      </c>
      <c r="PX31" s="15">
        <v>9.0495999999999999</v>
      </c>
      <c r="PY31" s="15">
        <v>9.0495999999999999</v>
      </c>
      <c r="PZ31" s="15">
        <v>9.0495999999999999</v>
      </c>
      <c r="QA31" s="15">
        <v>9.0495999999999999</v>
      </c>
      <c r="QB31" s="15">
        <v>9.0495999999999999</v>
      </c>
      <c r="QC31" s="15">
        <v>9.0495999999999999</v>
      </c>
      <c r="QD31" s="15">
        <v>9.0495999999999999</v>
      </c>
      <c r="QE31" s="15">
        <v>9.0495999999999999</v>
      </c>
      <c r="QF31" s="15">
        <v>9.0495999999999999</v>
      </c>
      <c r="QG31" s="15">
        <v>9.0495999999999999</v>
      </c>
      <c r="QH31" s="15">
        <v>9.0495999999999999</v>
      </c>
      <c r="QI31" s="15">
        <v>9.0495999999999999</v>
      </c>
      <c r="QJ31" s="15">
        <v>9.0495999999999999</v>
      </c>
      <c r="QK31" s="15">
        <v>9.0495999999999999</v>
      </c>
      <c r="QL31" s="15">
        <v>9.0495999999999999</v>
      </c>
      <c r="QM31" s="15">
        <v>9.0495999999999999</v>
      </c>
      <c r="QN31" s="15">
        <v>9.0495999999999999</v>
      </c>
      <c r="QO31" s="15">
        <v>9.0495999999999999</v>
      </c>
      <c r="QP31" s="15">
        <v>9.0495999999999999</v>
      </c>
      <c r="QQ31" s="15">
        <v>9.0495999999999999</v>
      </c>
      <c r="QR31" s="15">
        <v>9.0495999999999999</v>
      </c>
      <c r="QS31" s="15">
        <v>9.0495999999999999</v>
      </c>
      <c r="QT31" s="15">
        <v>9.0495999999999999</v>
      </c>
      <c r="QU31" s="15">
        <v>9.0495999999999999</v>
      </c>
      <c r="QV31" s="15">
        <v>9.0495999999999999</v>
      </c>
      <c r="QW31" s="15">
        <v>9.0495999999999999</v>
      </c>
      <c r="QX31" s="15">
        <v>9.0495999999999999</v>
      </c>
      <c r="QY31" s="15">
        <v>9.0495999999999999</v>
      </c>
      <c r="QZ31" s="15">
        <v>9.0495999999999999</v>
      </c>
      <c r="RA31" s="15">
        <v>9.0495999999999999</v>
      </c>
      <c r="RB31" s="15">
        <v>9.0495999999999999</v>
      </c>
      <c r="RC31" s="15">
        <v>9.0495999999999999</v>
      </c>
      <c r="RD31" s="15">
        <v>9.0495999999999999</v>
      </c>
      <c r="RE31" s="15">
        <v>9.0495999999999999</v>
      </c>
      <c r="RF31" s="15">
        <v>9.0495999999999999</v>
      </c>
      <c r="RG31" s="15">
        <v>9.0495999999999999</v>
      </c>
      <c r="RH31" s="15">
        <v>9.0495999999999999</v>
      </c>
      <c r="RI31" s="15">
        <v>9.0495999999999999</v>
      </c>
      <c r="RJ31" s="15">
        <v>9.0495999999999999</v>
      </c>
      <c r="RK31" s="15">
        <v>9.0495999999999999</v>
      </c>
      <c r="RL31" s="15">
        <v>9.0495999999999999</v>
      </c>
      <c r="RM31" s="15">
        <v>9.0495999999999999</v>
      </c>
      <c r="RN31" s="15">
        <v>9.0495999999999999</v>
      </c>
      <c r="RO31" s="15">
        <v>9.0495999999999999</v>
      </c>
      <c r="RP31" s="15">
        <v>9.0495999999999999</v>
      </c>
      <c r="RQ31" s="15">
        <v>9.0495999999999999</v>
      </c>
      <c r="RR31" s="15">
        <v>9.0495999999999999</v>
      </c>
      <c r="RS31" s="15">
        <v>9.0495999999999999</v>
      </c>
      <c r="RT31" s="15">
        <v>9.0495999999999999</v>
      </c>
      <c r="RU31" s="15">
        <v>9.0495999999999999</v>
      </c>
      <c r="RV31" s="15">
        <v>9.0495999999999999</v>
      </c>
      <c r="RW31" s="15">
        <v>9.0495999999999999</v>
      </c>
      <c r="RX31" s="15">
        <v>9.0495999999999999</v>
      </c>
      <c r="RY31" s="15">
        <v>9.0495999999999999</v>
      </c>
      <c r="RZ31" s="15">
        <v>9.0495999999999999</v>
      </c>
      <c r="SA31" s="15">
        <v>9.0495999999999999</v>
      </c>
      <c r="SB31" s="15">
        <v>9.0495999999999999</v>
      </c>
      <c r="SC31" s="15">
        <v>9.0495999999999999</v>
      </c>
      <c r="SD31" s="15">
        <v>9.0495999999999999</v>
      </c>
      <c r="SE31" s="15">
        <v>9.0495999999999999</v>
      </c>
      <c r="SF31" s="15">
        <v>9.0495999999999999</v>
      </c>
      <c r="SG31" s="15">
        <v>9.0495999999999999</v>
      </c>
      <c r="SH31" s="15">
        <v>9.0495999999999999</v>
      </c>
      <c r="SI31" s="15">
        <v>9.0495999999999999</v>
      </c>
      <c r="SJ31" s="15">
        <v>9.0495999999999999</v>
      </c>
      <c r="SK31" s="15">
        <v>9.0175999999999998</v>
      </c>
      <c r="SL31" s="15" t="s">
        <v>668</v>
      </c>
    </row>
    <row r="32" spans="1:506" x14ac:dyDescent="0.2">
      <c r="A32" s="37">
        <v>30</v>
      </c>
      <c r="B32" s="15" t="s">
        <v>562</v>
      </c>
      <c r="C32" s="17">
        <f>+'Detalle Compras'!D32</f>
        <v>202506090026</v>
      </c>
      <c r="D32" s="55">
        <f t="shared" si="13"/>
        <v>8.3978800000000007</v>
      </c>
      <c r="E32" s="14">
        <f>+IF(B32="","",'Detalle Compras'!S32+0)</f>
        <v>45879</v>
      </c>
      <c r="F32" s="14">
        <f>+IF(B32="","",EOMONTH('Detalle Compras'!S32,G32)+10)</f>
        <v>58694</v>
      </c>
      <c r="G32" s="50">
        <f t="shared" si="14"/>
        <v>420</v>
      </c>
      <c r="H32" s="50">
        <f t="shared" si="15"/>
        <v>414</v>
      </c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  <c r="Y32" s="52">
        <v>0</v>
      </c>
      <c r="Z32" s="52">
        <v>8.3978800000000007</v>
      </c>
      <c r="AA32" s="52">
        <v>8.3978800000000007</v>
      </c>
      <c r="AB32" s="52">
        <v>8.3978800000000007</v>
      </c>
      <c r="AC32" s="52">
        <v>8.3978800000000007</v>
      </c>
      <c r="AD32" s="52">
        <v>8.3978800000000007</v>
      </c>
      <c r="AE32" s="52">
        <v>8.3978800000000007</v>
      </c>
      <c r="AF32" s="52">
        <v>8.3978800000000007</v>
      </c>
      <c r="AG32" s="52">
        <v>8.3978800000000007</v>
      </c>
      <c r="AH32" s="52">
        <v>8.3978800000000007</v>
      </c>
      <c r="AI32" s="52">
        <v>8.3978800000000007</v>
      </c>
      <c r="AJ32" s="52">
        <v>8.3978800000000007</v>
      </c>
      <c r="AK32" s="52">
        <v>8.3978800000000007</v>
      </c>
      <c r="AL32" s="52">
        <v>8.3978800000000007</v>
      </c>
      <c r="AM32" s="52">
        <v>8.3978800000000007</v>
      </c>
      <c r="AN32" s="52">
        <v>8.3978800000000007</v>
      </c>
      <c r="AO32" s="52">
        <v>8.3978800000000007</v>
      </c>
      <c r="AP32" s="52">
        <v>8.3978800000000007</v>
      </c>
      <c r="AQ32" s="52">
        <v>8.3978800000000007</v>
      </c>
      <c r="AR32" s="52">
        <v>8.3978800000000007</v>
      </c>
      <c r="AS32" s="52">
        <v>8.3978800000000007</v>
      </c>
      <c r="AT32" s="52">
        <v>8.3978800000000007</v>
      </c>
      <c r="AU32" s="52">
        <v>8.3978800000000007</v>
      </c>
      <c r="AV32" s="52">
        <v>8.3978800000000007</v>
      </c>
      <c r="AW32" s="52">
        <v>8.3978800000000007</v>
      </c>
      <c r="AX32" s="52">
        <v>8.3978800000000007</v>
      </c>
      <c r="AY32" s="52">
        <v>8.3978800000000007</v>
      </c>
      <c r="AZ32" s="52">
        <v>8.3978800000000007</v>
      </c>
      <c r="BA32" s="52">
        <v>8.3978800000000007</v>
      </c>
      <c r="BB32" s="52">
        <v>8.3978800000000007</v>
      </c>
      <c r="BC32" s="52">
        <v>8.3978800000000007</v>
      </c>
      <c r="BD32" s="52">
        <v>8.3978800000000007</v>
      </c>
      <c r="BE32" s="52">
        <v>8.3978800000000007</v>
      </c>
      <c r="BF32" s="52">
        <v>8.3978800000000007</v>
      </c>
      <c r="BG32" s="52">
        <v>8.3978800000000007</v>
      </c>
      <c r="BH32" s="52">
        <v>8.3978800000000007</v>
      </c>
      <c r="BI32" s="52">
        <v>8.3978800000000007</v>
      </c>
      <c r="BJ32" s="52">
        <v>8.3978800000000007</v>
      </c>
      <c r="BK32" s="52">
        <v>8.3978800000000007</v>
      </c>
      <c r="BL32" s="52">
        <v>8.3978800000000007</v>
      </c>
      <c r="BM32" s="52">
        <v>8.3978800000000007</v>
      </c>
      <c r="BN32" s="52">
        <v>8.3978800000000007</v>
      </c>
      <c r="BO32" s="52">
        <v>8.3978800000000007</v>
      </c>
      <c r="BP32" s="52">
        <v>8.3978800000000007</v>
      </c>
      <c r="BQ32" s="52">
        <v>8.3978800000000007</v>
      </c>
      <c r="BR32" s="52">
        <v>8.3978800000000007</v>
      </c>
      <c r="BS32" s="52">
        <v>8.3978800000000007</v>
      </c>
      <c r="BT32" s="52">
        <v>8.3978800000000007</v>
      </c>
      <c r="BU32" s="52">
        <v>8.3978800000000007</v>
      </c>
      <c r="BV32" s="52">
        <v>8.3978800000000007</v>
      </c>
      <c r="BW32" s="52">
        <v>8.3978800000000007</v>
      </c>
      <c r="BX32" s="52">
        <v>8.3978800000000007</v>
      </c>
      <c r="BY32" s="52">
        <v>8.3978800000000007</v>
      </c>
      <c r="BZ32" s="52">
        <v>8.3978800000000007</v>
      </c>
      <c r="CA32" s="52">
        <v>8.3978800000000007</v>
      </c>
      <c r="CB32" s="52">
        <v>8.3978800000000007</v>
      </c>
      <c r="CC32" s="52">
        <v>8.3978800000000007</v>
      </c>
      <c r="CD32" s="52">
        <v>8.3978800000000007</v>
      </c>
      <c r="CE32" s="52">
        <v>8.3978800000000007</v>
      </c>
      <c r="CF32" s="52">
        <v>8.3978800000000007</v>
      </c>
      <c r="CG32" s="52">
        <v>8.3978800000000007</v>
      </c>
      <c r="CH32" s="52">
        <v>8.3978800000000007</v>
      </c>
      <c r="CI32" s="52">
        <v>8.3978800000000007</v>
      </c>
      <c r="CJ32" s="52">
        <v>8.3978800000000007</v>
      </c>
      <c r="CK32" s="52">
        <v>8.3978800000000007</v>
      </c>
      <c r="CL32" s="52">
        <v>8.3978800000000007</v>
      </c>
      <c r="CM32" s="52">
        <v>8.3978800000000007</v>
      </c>
      <c r="CN32" s="52">
        <v>8.3978800000000007</v>
      </c>
      <c r="CO32" s="52">
        <v>8.3978800000000007</v>
      </c>
      <c r="CP32" s="52">
        <v>8.3978800000000007</v>
      </c>
      <c r="CQ32" s="52">
        <v>8.3978800000000007</v>
      </c>
      <c r="CR32" s="52">
        <v>8.3978800000000007</v>
      </c>
      <c r="CS32" s="52">
        <v>8.3978800000000007</v>
      </c>
      <c r="CT32" s="52">
        <v>8.3978800000000007</v>
      </c>
      <c r="CU32" s="52">
        <v>8.3978800000000007</v>
      </c>
      <c r="CV32" s="52">
        <v>8.3978800000000007</v>
      </c>
      <c r="CW32" s="52">
        <v>8.3978800000000007</v>
      </c>
      <c r="CX32" s="52">
        <v>8.3978800000000007</v>
      </c>
      <c r="CY32" s="52">
        <v>8.3978800000000007</v>
      </c>
      <c r="CZ32" s="52">
        <v>8.3978800000000007</v>
      </c>
      <c r="DA32" s="52">
        <v>8.3978800000000007</v>
      </c>
      <c r="DB32" s="52">
        <v>8.3978800000000007</v>
      </c>
      <c r="DC32" s="52">
        <v>8.3978800000000007</v>
      </c>
      <c r="DD32" s="52">
        <v>8.3978800000000007</v>
      </c>
      <c r="DE32" s="52">
        <v>8.3978800000000007</v>
      </c>
      <c r="DF32" s="52">
        <v>8.3978800000000007</v>
      </c>
      <c r="DG32" s="52">
        <v>8.3978800000000007</v>
      </c>
      <c r="DH32" s="52">
        <v>8.3978800000000007</v>
      </c>
      <c r="DI32" s="52">
        <v>8.3978800000000007</v>
      </c>
      <c r="DJ32" s="52">
        <v>8.3978800000000007</v>
      </c>
      <c r="DK32" s="52">
        <v>8.3978800000000007</v>
      </c>
      <c r="DL32" s="52">
        <v>8.3978800000000007</v>
      </c>
      <c r="DM32" s="52">
        <v>8.3978800000000007</v>
      </c>
      <c r="DN32" s="52">
        <v>8.3978800000000007</v>
      </c>
      <c r="DO32" s="52">
        <v>8.3978800000000007</v>
      </c>
      <c r="DP32" s="52">
        <v>8.3978800000000007</v>
      </c>
      <c r="DQ32" s="52">
        <v>8.3978800000000007</v>
      </c>
      <c r="DR32" s="52">
        <v>8.3978800000000007</v>
      </c>
      <c r="DS32" s="52">
        <v>8.3978800000000007</v>
      </c>
      <c r="DT32" s="52">
        <v>8.3978800000000007</v>
      </c>
      <c r="DU32" s="52">
        <v>8.3978800000000007</v>
      </c>
      <c r="DV32" s="52">
        <v>8.3978800000000007</v>
      </c>
      <c r="DW32" s="52">
        <v>8.3978800000000007</v>
      </c>
      <c r="DX32" s="52">
        <v>8.3978800000000007</v>
      </c>
      <c r="DY32" s="52">
        <v>8.3978800000000007</v>
      </c>
      <c r="DZ32" s="52">
        <v>8.3978800000000007</v>
      </c>
      <c r="EA32" s="52">
        <v>8.3978800000000007</v>
      </c>
      <c r="EB32" s="52">
        <v>8.3978800000000007</v>
      </c>
      <c r="EC32" s="52">
        <v>8.3978800000000007</v>
      </c>
      <c r="ED32" s="52">
        <v>8.3978800000000007</v>
      </c>
      <c r="EE32" s="52">
        <v>8.3978800000000007</v>
      </c>
      <c r="EF32" s="52">
        <v>8.3978800000000007</v>
      </c>
      <c r="EG32" s="52">
        <v>8.3978800000000007</v>
      </c>
      <c r="EH32" s="52">
        <v>8.3978800000000007</v>
      </c>
      <c r="EI32" s="52">
        <v>8.3978800000000007</v>
      </c>
      <c r="EJ32" s="52">
        <v>8.3978800000000007</v>
      </c>
      <c r="EK32" s="52">
        <v>8.3978800000000007</v>
      </c>
      <c r="EL32" s="52">
        <v>8.3978800000000007</v>
      </c>
      <c r="EM32" s="52">
        <v>8.3978800000000007</v>
      </c>
      <c r="EN32" s="52">
        <v>8.3978800000000007</v>
      </c>
      <c r="EO32" s="52">
        <v>8.3978800000000007</v>
      </c>
      <c r="EP32" s="52">
        <v>8.3978800000000007</v>
      </c>
      <c r="EQ32" s="52">
        <v>8.3978800000000007</v>
      </c>
      <c r="ER32" s="52">
        <v>8.3978800000000007</v>
      </c>
      <c r="ES32" s="52">
        <v>8.3978800000000007</v>
      </c>
      <c r="ET32" s="52">
        <v>8.3978800000000007</v>
      </c>
      <c r="EU32" s="52">
        <v>8.3978800000000007</v>
      </c>
      <c r="EV32" s="52">
        <v>8.3978800000000007</v>
      </c>
      <c r="EW32" s="52">
        <v>8.3978800000000007</v>
      </c>
      <c r="EX32" s="52">
        <v>8.3978800000000007</v>
      </c>
      <c r="EY32" s="52">
        <v>8.3978800000000007</v>
      </c>
      <c r="EZ32" s="52">
        <v>8.3978800000000007</v>
      </c>
      <c r="FA32" s="52">
        <v>8.3978800000000007</v>
      </c>
      <c r="FB32" s="52">
        <v>8.3978800000000007</v>
      </c>
      <c r="FC32" s="52">
        <v>8.3978800000000007</v>
      </c>
      <c r="FD32" s="52">
        <v>8.3978800000000007</v>
      </c>
      <c r="FE32" s="52">
        <v>8.3978800000000007</v>
      </c>
      <c r="FF32" s="52">
        <v>8.3978800000000007</v>
      </c>
      <c r="FG32" s="52">
        <v>8.3978800000000007</v>
      </c>
      <c r="FH32" s="52">
        <v>8.3978800000000007</v>
      </c>
      <c r="FI32" s="52">
        <v>8.3978800000000007</v>
      </c>
      <c r="FJ32" s="52">
        <v>8.3978800000000007</v>
      </c>
      <c r="FK32" s="52">
        <v>8.3978800000000007</v>
      </c>
      <c r="FL32" s="52">
        <v>8.3978800000000007</v>
      </c>
      <c r="FM32" s="52">
        <v>8.3978800000000007</v>
      </c>
      <c r="FN32" s="52">
        <v>8.3978800000000007</v>
      </c>
      <c r="FO32" s="52">
        <v>8.3978800000000007</v>
      </c>
      <c r="FP32" s="52">
        <v>8.3978800000000007</v>
      </c>
      <c r="FQ32" s="52">
        <v>8.3978800000000007</v>
      </c>
      <c r="FR32" s="52">
        <v>8.3978800000000007</v>
      </c>
      <c r="FS32" s="52">
        <v>8.3978800000000007</v>
      </c>
      <c r="FT32" s="52">
        <v>8.3978800000000007</v>
      </c>
      <c r="FU32" s="52">
        <v>8.3978800000000007</v>
      </c>
      <c r="FV32" s="52">
        <v>8.3978800000000007</v>
      </c>
      <c r="FW32" s="52">
        <v>8.3978800000000007</v>
      </c>
      <c r="FX32" s="52">
        <v>8.3978800000000007</v>
      </c>
      <c r="FY32" s="52">
        <v>8.3978800000000007</v>
      </c>
      <c r="FZ32" s="52">
        <v>8.3978800000000007</v>
      </c>
      <c r="GA32" s="52">
        <v>8.3978800000000007</v>
      </c>
      <c r="GB32" s="52">
        <v>8.3978800000000007</v>
      </c>
      <c r="GC32" s="52">
        <v>8.3978800000000007</v>
      </c>
      <c r="GD32" s="52">
        <v>8.3978800000000007</v>
      </c>
      <c r="GE32" s="52">
        <v>8.3978800000000007</v>
      </c>
      <c r="GF32" s="52">
        <v>8.3978800000000007</v>
      </c>
      <c r="GG32" s="52">
        <v>8.3978800000000007</v>
      </c>
      <c r="GH32" s="52">
        <v>8.3978800000000007</v>
      </c>
      <c r="GI32" s="52">
        <v>8.3978800000000007</v>
      </c>
      <c r="GJ32" s="52">
        <v>8.3978800000000007</v>
      </c>
      <c r="GK32" s="52">
        <v>8.3978800000000007</v>
      </c>
      <c r="GL32" s="52">
        <v>8.3978800000000007</v>
      </c>
      <c r="GM32" s="52">
        <v>8.3978800000000007</v>
      </c>
      <c r="GN32" s="52">
        <v>8.3978800000000007</v>
      </c>
      <c r="GO32" s="52">
        <v>8.3978800000000007</v>
      </c>
      <c r="GP32" s="52">
        <v>8.3978800000000007</v>
      </c>
      <c r="GQ32" s="52">
        <v>8.3978800000000007</v>
      </c>
      <c r="GR32" s="52">
        <v>8.3978800000000007</v>
      </c>
      <c r="GS32" s="52">
        <v>8.3978800000000007</v>
      </c>
      <c r="GT32" s="52">
        <v>8.3978800000000007</v>
      </c>
      <c r="GU32" s="52">
        <v>8.3978800000000007</v>
      </c>
      <c r="GV32" s="52">
        <v>8.3978800000000007</v>
      </c>
      <c r="GW32" s="52">
        <v>8.3978800000000007</v>
      </c>
      <c r="GX32" s="52">
        <v>8.3978800000000007</v>
      </c>
      <c r="GY32" s="52">
        <v>8.3978800000000007</v>
      </c>
      <c r="GZ32" s="52">
        <v>8.3978800000000007</v>
      </c>
      <c r="HA32" s="52">
        <v>8.3978800000000007</v>
      </c>
      <c r="HB32" s="52">
        <v>8.3978800000000007</v>
      </c>
      <c r="HC32" s="52">
        <v>8.3978800000000007</v>
      </c>
      <c r="HD32" s="52">
        <v>8.3978800000000007</v>
      </c>
      <c r="HE32" s="52">
        <v>8.3978800000000007</v>
      </c>
      <c r="HF32" s="52">
        <v>8.3978800000000007</v>
      </c>
      <c r="HG32" s="52">
        <v>8.3978800000000007</v>
      </c>
      <c r="HH32" s="52">
        <v>8.3978800000000007</v>
      </c>
      <c r="HI32" s="52">
        <v>8.3978800000000007</v>
      </c>
      <c r="HJ32" s="52">
        <v>8.3978800000000007</v>
      </c>
      <c r="HK32" s="52">
        <v>8.3978800000000007</v>
      </c>
      <c r="HL32" s="52">
        <v>8.3978800000000007</v>
      </c>
      <c r="HM32" s="52">
        <v>8.3978800000000007</v>
      </c>
      <c r="HN32" s="52">
        <v>8.3978800000000007</v>
      </c>
      <c r="HO32" s="52">
        <v>8.3978800000000007</v>
      </c>
      <c r="HP32" s="52">
        <v>8.3978800000000007</v>
      </c>
      <c r="HQ32" s="52">
        <v>8.3978800000000007</v>
      </c>
      <c r="HR32" s="52">
        <v>8.3978800000000007</v>
      </c>
      <c r="HS32" s="52">
        <v>8.3978800000000007</v>
      </c>
      <c r="HT32" s="52">
        <v>8.3978800000000007</v>
      </c>
      <c r="HU32" s="52">
        <v>8.3978800000000007</v>
      </c>
      <c r="HV32" s="52">
        <v>8.3978800000000007</v>
      </c>
      <c r="HW32" s="52">
        <v>8.3978800000000007</v>
      </c>
      <c r="HX32" s="52">
        <v>8.3978800000000007</v>
      </c>
      <c r="HY32" s="52">
        <v>8.3978800000000007</v>
      </c>
      <c r="HZ32" s="52">
        <v>8.3978800000000007</v>
      </c>
      <c r="IA32" s="52">
        <v>8.3978800000000007</v>
      </c>
      <c r="IB32" s="52">
        <v>8.3978800000000007</v>
      </c>
      <c r="IC32" s="52">
        <v>8.3978800000000007</v>
      </c>
      <c r="ID32" s="52">
        <v>8.3978800000000007</v>
      </c>
      <c r="IE32" s="52">
        <v>8.3978800000000007</v>
      </c>
      <c r="IF32" s="52">
        <v>8.3978800000000007</v>
      </c>
      <c r="IG32" s="52">
        <v>8.3978800000000007</v>
      </c>
      <c r="IH32" s="52">
        <v>8.3978800000000007</v>
      </c>
      <c r="II32" s="52">
        <v>8.3978800000000007</v>
      </c>
      <c r="IJ32" s="52">
        <v>8.3978800000000007</v>
      </c>
      <c r="IK32" s="52">
        <v>8.3978800000000007</v>
      </c>
      <c r="IL32" s="52">
        <v>8.3978800000000007</v>
      </c>
      <c r="IM32" s="52">
        <v>8.3978800000000007</v>
      </c>
      <c r="IN32" s="52">
        <v>8.3978800000000007</v>
      </c>
      <c r="IO32" s="52">
        <v>8.3978800000000007</v>
      </c>
      <c r="IP32" s="52">
        <v>8.3978800000000007</v>
      </c>
      <c r="IQ32" s="52">
        <v>8.3978800000000007</v>
      </c>
      <c r="IR32" s="52">
        <v>8.3978800000000007</v>
      </c>
      <c r="IS32" s="52">
        <v>8.3978800000000007</v>
      </c>
      <c r="IT32" s="52">
        <v>8.3978800000000007</v>
      </c>
      <c r="IU32" s="52">
        <v>8.3978800000000007</v>
      </c>
      <c r="IV32" s="52">
        <v>8.3978800000000007</v>
      </c>
      <c r="IW32" s="52">
        <v>8.3978800000000007</v>
      </c>
      <c r="IX32" s="52">
        <v>8.3978800000000007</v>
      </c>
      <c r="IY32" s="52">
        <v>8.3978800000000007</v>
      </c>
      <c r="IZ32" s="52">
        <v>8.3978800000000007</v>
      </c>
      <c r="JA32" s="52">
        <v>8.3978800000000007</v>
      </c>
      <c r="JB32" s="52">
        <v>8.3978800000000007</v>
      </c>
      <c r="JC32" s="52">
        <v>8.3978800000000007</v>
      </c>
      <c r="JD32" s="52">
        <v>8.3978800000000007</v>
      </c>
      <c r="JE32" s="52">
        <v>8.3978800000000007</v>
      </c>
      <c r="JF32" s="52">
        <v>8.3978800000000007</v>
      </c>
      <c r="JG32" s="52">
        <v>8.3978800000000007</v>
      </c>
      <c r="JH32" s="52">
        <v>8.3978800000000007</v>
      </c>
      <c r="JI32" s="52">
        <v>8.3978800000000007</v>
      </c>
      <c r="JJ32" s="52">
        <v>8.3978800000000007</v>
      </c>
      <c r="JK32" s="52">
        <v>8.3978800000000007</v>
      </c>
      <c r="JL32" s="52">
        <v>8.3978800000000007</v>
      </c>
      <c r="JM32" s="52">
        <v>8.3978800000000007</v>
      </c>
      <c r="JN32" s="52">
        <v>8.3978800000000007</v>
      </c>
      <c r="JO32" s="52">
        <v>8.3978800000000007</v>
      </c>
      <c r="JP32" s="52">
        <v>8.3978800000000007</v>
      </c>
      <c r="JQ32" s="52">
        <v>8.3978800000000007</v>
      </c>
      <c r="JR32" s="52">
        <v>8.3978800000000007</v>
      </c>
      <c r="JS32" s="52">
        <v>8.3978800000000007</v>
      </c>
      <c r="JT32" s="52">
        <v>8.3978800000000007</v>
      </c>
      <c r="JU32" s="52">
        <v>8.3978800000000007</v>
      </c>
      <c r="JV32" s="52">
        <v>8.3978800000000007</v>
      </c>
      <c r="JW32" s="52">
        <v>8.3978800000000007</v>
      </c>
      <c r="JX32" s="52">
        <v>8.3978800000000007</v>
      </c>
      <c r="JY32" s="52">
        <v>8.3978800000000007</v>
      </c>
      <c r="JZ32" s="52">
        <v>8.3978800000000007</v>
      </c>
      <c r="KA32" s="52">
        <v>8.3978800000000007</v>
      </c>
      <c r="KB32" s="52">
        <v>8.3978800000000007</v>
      </c>
      <c r="KC32" s="52">
        <v>8.3978800000000007</v>
      </c>
      <c r="KD32" s="52">
        <v>8.3978800000000007</v>
      </c>
      <c r="KE32" s="52">
        <v>8.3978800000000007</v>
      </c>
      <c r="KF32" s="52">
        <v>8.3978800000000007</v>
      </c>
      <c r="KG32" s="52">
        <v>8.3978800000000007</v>
      </c>
      <c r="KH32" s="52">
        <v>8.3978800000000007</v>
      </c>
      <c r="KI32" s="52">
        <v>8.3978800000000007</v>
      </c>
      <c r="KJ32" s="52">
        <v>8.3978800000000007</v>
      </c>
      <c r="KK32" s="52">
        <v>8.3978800000000007</v>
      </c>
      <c r="KL32" s="52">
        <v>8.3978800000000007</v>
      </c>
      <c r="KM32" s="52">
        <v>8.3978800000000007</v>
      </c>
      <c r="KN32" s="52">
        <v>8.3978800000000007</v>
      </c>
      <c r="KO32" s="52">
        <v>8.3978800000000007</v>
      </c>
      <c r="KP32" s="52">
        <v>8.3978800000000007</v>
      </c>
      <c r="KQ32" s="52">
        <v>8.3978800000000007</v>
      </c>
      <c r="KR32" s="52">
        <v>8.3978800000000007</v>
      </c>
      <c r="KS32" s="52">
        <v>8.3978800000000007</v>
      </c>
      <c r="KT32" s="52">
        <v>8.3978800000000007</v>
      </c>
      <c r="KU32" s="52">
        <v>8.3978800000000007</v>
      </c>
      <c r="KV32" s="52">
        <v>8.3978800000000007</v>
      </c>
      <c r="KW32" s="52">
        <v>8.3978800000000007</v>
      </c>
      <c r="KX32" s="52">
        <v>8.3978800000000007</v>
      </c>
      <c r="KY32" s="52">
        <v>8.3978800000000007</v>
      </c>
      <c r="KZ32" s="52">
        <v>8.3978800000000007</v>
      </c>
      <c r="LA32" s="52">
        <v>8.3978800000000007</v>
      </c>
      <c r="LB32" s="52">
        <v>8.3978800000000007</v>
      </c>
      <c r="LC32" s="52">
        <v>8.3978800000000007</v>
      </c>
      <c r="LD32" s="52">
        <v>8.3978800000000007</v>
      </c>
      <c r="LE32" s="52">
        <v>8.3978800000000007</v>
      </c>
      <c r="LF32" s="52">
        <v>8.3978800000000007</v>
      </c>
      <c r="LG32" s="52">
        <v>8.3978800000000007</v>
      </c>
      <c r="LH32" s="52">
        <v>8.3978800000000007</v>
      </c>
      <c r="LI32" s="52">
        <v>8.3978800000000007</v>
      </c>
      <c r="LJ32" s="52">
        <v>8.3978800000000007</v>
      </c>
      <c r="LK32" s="52">
        <v>8.3978800000000007</v>
      </c>
      <c r="LL32" s="52">
        <v>8.3978800000000007</v>
      </c>
      <c r="LM32" s="52">
        <v>8.3978800000000007</v>
      </c>
      <c r="LN32" s="52">
        <v>8.3978800000000007</v>
      </c>
      <c r="LO32" s="52">
        <v>8.3978800000000007</v>
      </c>
      <c r="LP32" s="52">
        <v>8.3978800000000007</v>
      </c>
      <c r="LQ32" s="52">
        <v>8.3978800000000007</v>
      </c>
      <c r="LR32" s="52">
        <v>8.3978800000000007</v>
      </c>
      <c r="LS32" s="52">
        <v>8.3978800000000007</v>
      </c>
      <c r="LT32" s="52">
        <v>8.3978800000000007</v>
      </c>
      <c r="LU32" s="52">
        <v>8.3978800000000007</v>
      </c>
      <c r="LV32" s="52">
        <v>8.3978800000000007</v>
      </c>
      <c r="LW32" s="52">
        <v>8.3978800000000007</v>
      </c>
      <c r="LX32" s="52">
        <v>8.3978800000000007</v>
      </c>
      <c r="LY32" s="52">
        <v>8.3978800000000007</v>
      </c>
      <c r="LZ32" s="52">
        <v>8.3978800000000007</v>
      </c>
      <c r="MA32" s="52">
        <v>8.3978800000000007</v>
      </c>
      <c r="MB32" s="52">
        <v>8.3978800000000007</v>
      </c>
      <c r="MC32" s="52">
        <v>8.3978800000000007</v>
      </c>
      <c r="MD32" s="52">
        <v>8.3978800000000007</v>
      </c>
      <c r="ME32" s="52">
        <v>8.3978800000000007</v>
      </c>
      <c r="MF32" s="52">
        <v>8.3978800000000007</v>
      </c>
      <c r="MG32" s="52">
        <v>8.3978800000000007</v>
      </c>
      <c r="MH32" s="52">
        <v>8.3978800000000007</v>
      </c>
      <c r="MI32" s="52">
        <v>8.3978800000000007</v>
      </c>
      <c r="MJ32" s="52">
        <v>8.3978800000000007</v>
      </c>
      <c r="MK32" s="52">
        <v>8.3978800000000007</v>
      </c>
      <c r="ML32" s="52">
        <v>8.3978800000000007</v>
      </c>
      <c r="MM32" s="52">
        <v>8.3978800000000007</v>
      </c>
      <c r="MN32" s="52">
        <v>8.3978800000000007</v>
      </c>
      <c r="MO32" s="52">
        <v>8.3978800000000007</v>
      </c>
      <c r="MP32" s="52">
        <v>8.3978800000000007</v>
      </c>
      <c r="MQ32" s="52">
        <v>8.3978800000000007</v>
      </c>
      <c r="MR32" s="52">
        <v>8.3978800000000007</v>
      </c>
      <c r="MS32" s="52">
        <v>8.3978800000000007</v>
      </c>
      <c r="MT32" s="52">
        <v>8.3978800000000007</v>
      </c>
      <c r="MU32" s="52">
        <v>8.3978800000000007</v>
      </c>
      <c r="MV32" s="52">
        <v>8.3978800000000007</v>
      </c>
      <c r="MW32" s="52">
        <v>8.3978800000000007</v>
      </c>
      <c r="MX32" s="52">
        <v>8.3978800000000007</v>
      </c>
      <c r="MY32" s="52">
        <v>8.3978800000000007</v>
      </c>
      <c r="MZ32" s="52">
        <v>8.3978800000000007</v>
      </c>
      <c r="NA32" s="52">
        <v>8.3978800000000007</v>
      </c>
      <c r="NB32" s="52">
        <v>8.3978800000000007</v>
      </c>
      <c r="NC32" s="52">
        <v>8.3978800000000007</v>
      </c>
      <c r="ND32" s="52">
        <v>8.3978800000000007</v>
      </c>
      <c r="NE32" s="52">
        <v>8.3978800000000007</v>
      </c>
      <c r="NF32" s="37">
        <v>8.3978800000000007</v>
      </c>
      <c r="NG32" s="37">
        <v>8.3978800000000007</v>
      </c>
      <c r="NH32" s="37">
        <v>8.3978800000000007</v>
      </c>
      <c r="NI32" s="37">
        <v>8.3978800000000007</v>
      </c>
      <c r="NJ32" s="37">
        <v>8.3978800000000007</v>
      </c>
      <c r="NK32" s="37">
        <v>8.3978800000000007</v>
      </c>
      <c r="NL32" s="37">
        <v>8.3978800000000007</v>
      </c>
      <c r="NM32" s="37">
        <v>8.3978800000000007</v>
      </c>
      <c r="NN32" s="37">
        <v>8.3978800000000007</v>
      </c>
      <c r="NO32" s="37">
        <v>8.3978800000000007</v>
      </c>
      <c r="NP32" s="37">
        <v>8.3978800000000007</v>
      </c>
      <c r="NQ32" s="37">
        <v>8.3978800000000007</v>
      </c>
      <c r="NR32" s="37">
        <v>8.3978800000000007</v>
      </c>
      <c r="NS32" s="37">
        <v>8.3978800000000007</v>
      </c>
      <c r="NT32" s="37">
        <v>8.3978800000000007</v>
      </c>
      <c r="NU32" s="37">
        <v>8.3978800000000007</v>
      </c>
      <c r="NV32" s="37">
        <v>8.3978800000000007</v>
      </c>
      <c r="NW32" s="37">
        <v>8.3978800000000007</v>
      </c>
      <c r="NX32" s="37">
        <v>8.3978800000000007</v>
      </c>
      <c r="NY32" s="37">
        <v>8.3978800000000007</v>
      </c>
      <c r="NZ32" s="37">
        <v>8.3978800000000007</v>
      </c>
      <c r="OA32" s="37">
        <v>8.3978800000000007</v>
      </c>
      <c r="OB32" s="37">
        <v>8.3978800000000007</v>
      </c>
      <c r="OC32" s="37">
        <v>8.3978800000000007</v>
      </c>
      <c r="OD32" s="37">
        <v>8.3978800000000007</v>
      </c>
      <c r="OE32" s="37">
        <v>8.3978800000000007</v>
      </c>
      <c r="OF32" s="37">
        <v>8.3978800000000007</v>
      </c>
      <c r="OG32" s="37">
        <v>8.3978800000000007</v>
      </c>
      <c r="OH32" s="37">
        <v>8.3978800000000007</v>
      </c>
      <c r="OI32" s="37">
        <v>8.3978800000000007</v>
      </c>
      <c r="OJ32" s="37">
        <v>8.3978800000000007</v>
      </c>
      <c r="OK32" s="37">
        <v>8.3978800000000007</v>
      </c>
      <c r="OL32" s="37">
        <v>8.3978800000000007</v>
      </c>
      <c r="OM32" s="37">
        <v>8.3978800000000007</v>
      </c>
      <c r="ON32" s="37">
        <v>8.3978800000000007</v>
      </c>
      <c r="OO32" s="37">
        <v>8.3978800000000007</v>
      </c>
      <c r="OP32" s="37">
        <v>8.3978800000000007</v>
      </c>
      <c r="OQ32" s="37">
        <v>8.3978800000000007</v>
      </c>
      <c r="OR32" s="37">
        <v>8.3978800000000007</v>
      </c>
      <c r="OS32" s="37">
        <v>8.3978800000000007</v>
      </c>
      <c r="OT32" s="37">
        <v>8.3978800000000007</v>
      </c>
      <c r="OU32" s="37">
        <v>8.3978800000000007</v>
      </c>
      <c r="OV32" s="37">
        <v>8.3978800000000007</v>
      </c>
      <c r="OW32" s="37">
        <v>8.3978800000000007</v>
      </c>
      <c r="OX32" s="37">
        <v>8.3978800000000007</v>
      </c>
      <c r="OY32" s="37">
        <v>8.3978800000000007</v>
      </c>
      <c r="OZ32" s="37">
        <v>8.3978800000000007</v>
      </c>
      <c r="PA32" s="37">
        <v>8.3978800000000007</v>
      </c>
      <c r="PB32" s="37">
        <v>8.3978800000000007</v>
      </c>
      <c r="PC32" s="37">
        <v>8.3978800000000007</v>
      </c>
      <c r="PD32" s="37">
        <v>8.3978800000000007</v>
      </c>
      <c r="PE32" s="37">
        <v>8.3978800000000007</v>
      </c>
      <c r="PF32" s="37">
        <v>8.3978800000000007</v>
      </c>
      <c r="PG32" s="37">
        <v>8.3978800000000007</v>
      </c>
      <c r="PH32" s="37">
        <v>8.3978800000000007</v>
      </c>
      <c r="PI32" s="37">
        <v>8.3978800000000007</v>
      </c>
      <c r="PJ32" s="37">
        <v>8.3978800000000007</v>
      </c>
      <c r="PK32" s="37">
        <v>8.3978800000000007</v>
      </c>
      <c r="PL32" s="37">
        <v>8.3978800000000007</v>
      </c>
      <c r="PM32" s="37">
        <v>8.3978800000000007</v>
      </c>
      <c r="PN32" s="37">
        <v>8.3978800000000007</v>
      </c>
      <c r="PO32" s="37">
        <v>8.3978800000000007</v>
      </c>
      <c r="PP32" s="37">
        <v>8.3978800000000007</v>
      </c>
      <c r="PQ32" s="37">
        <v>8.3978800000000007</v>
      </c>
      <c r="PR32" s="37">
        <v>8.3978800000000007</v>
      </c>
      <c r="PS32" s="15">
        <v>8.3978800000000007</v>
      </c>
      <c r="PT32" s="15">
        <v>8.3978800000000007</v>
      </c>
      <c r="PU32" s="15">
        <v>8.3978800000000007</v>
      </c>
      <c r="PV32" s="15">
        <v>8.3978800000000007</v>
      </c>
      <c r="PW32" s="15">
        <v>8.3978800000000007</v>
      </c>
      <c r="PX32" s="15">
        <v>8.3978800000000007</v>
      </c>
      <c r="PY32" s="15">
        <v>8.3978800000000007</v>
      </c>
      <c r="PZ32" s="15">
        <v>8.3978800000000007</v>
      </c>
      <c r="QA32" s="15">
        <v>8.3978800000000007</v>
      </c>
      <c r="QB32" s="15">
        <v>8.3978800000000007</v>
      </c>
      <c r="QC32" s="15">
        <v>9.0894200000000005</v>
      </c>
      <c r="QD32" s="15" t="s">
        <v>668</v>
      </c>
      <c r="QE32" s="15" t="s">
        <v>668</v>
      </c>
      <c r="QF32" s="15" t="s">
        <v>668</v>
      </c>
      <c r="QG32" s="15" t="s">
        <v>668</v>
      </c>
      <c r="QH32" s="15" t="s">
        <v>668</v>
      </c>
      <c r="QI32" s="15" t="s">
        <v>668</v>
      </c>
      <c r="QJ32" s="15" t="s">
        <v>668</v>
      </c>
      <c r="QK32" s="15" t="s">
        <v>668</v>
      </c>
      <c r="QL32" s="15" t="s">
        <v>668</v>
      </c>
      <c r="QM32" s="15" t="s">
        <v>668</v>
      </c>
      <c r="QN32" s="15" t="s">
        <v>668</v>
      </c>
      <c r="QO32" s="15" t="s">
        <v>668</v>
      </c>
      <c r="QP32" s="15" t="s">
        <v>668</v>
      </c>
      <c r="QQ32" s="15" t="s">
        <v>668</v>
      </c>
      <c r="QR32" s="15" t="s">
        <v>668</v>
      </c>
      <c r="QS32" s="15" t="s">
        <v>668</v>
      </c>
      <c r="QT32" s="15" t="s">
        <v>668</v>
      </c>
      <c r="QU32" s="15" t="s">
        <v>668</v>
      </c>
      <c r="QV32" s="15" t="s">
        <v>668</v>
      </c>
      <c r="QW32" s="15" t="s">
        <v>668</v>
      </c>
      <c r="QX32" s="15" t="s">
        <v>668</v>
      </c>
      <c r="QY32" s="15" t="s">
        <v>668</v>
      </c>
      <c r="QZ32" s="15" t="s">
        <v>668</v>
      </c>
      <c r="RA32" s="15" t="s">
        <v>668</v>
      </c>
      <c r="RB32" s="15" t="s">
        <v>668</v>
      </c>
      <c r="RC32" s="15" t="s">
        <v>668</v>
      </c>
      <c r="RD32" s="15" t="s">
        <v>668</v>
      </c>
      <c r="RE32" s="15" t="s">
        <v>668</v>
      </c>
      <c r="RF32" s="15" t="s">
        <v>668</v>
      </c>
      <c r="RG32" s="15" t="s">
        <v>668</v>
      </c>
      <c r="RH32" s="15" t="s">
        <v>668</v>
      </c>
      <c r="RI32" s="15" t="s">
        <v>668</v>
      </c>
      <c r="RJ32" s="15" t="s">
        <v>668</v>
      </c>
      <c r="RK32" s="15" t="s">
        <v>668</v>
      </c>
      <c r="RL32" s="15" t="s">
        <v>668</v>
      </c>
      <c r="RM32" s="15" t="s">
        <v>668</v>
      </c>
      <c r="RN32" s="15" t="s">
        <v>668</v>
      </c>
      <c r="RO32" s="15" t="s">
        <v>668</v>
      </c>
      <c r="RP32" s="15" t="s">
        <v>668</v>
      </c>
      <c r="RQ32" s="15" t="s">
        <v>668</v>
      </c>
      <c r="RR32" s="15" t="s">
        <v>668</v>
      </c>
      <c r="RS32" s="15" t="s">
        <v>668</v>
      </c>
      <c r="RT32" s="15" t="s">
        <v>668</v>
      </c>
      <c r="RU32" s="15" t="s">
        <v>668</v>
      </c>
      <c r="RV32" s="15" t="s">
        <v>668</v>
      </c>
      <c r="RW32" s="15" t="s">
        <v>668</v>
      </c>
      <c r="RX32" s="15" t="s">
        <v>668</v>
      </c>
      <c r="RY32" s="15" t="s">
        <v>668</v>
      </c>
      <c r="RZ32" s="15" t="s">
        <v>668</v>
      </c>
      <c r="SA32" s="15" t="s">
        <v>668</v>
      </c>
      <c r="SB32" s="15" t="s">
        <v>668</v>
      </c>
      <c r="SC32" s="15" t="s">
        <v>668</v>
      </c>
      <c r="SD32" s="15" t="s">
        <v>668</v>
      </c>
      <c r="SE32" s="15" t="s">
        <v>668</v>
      </c>
      <c r="SF32" s="15" t="s">
        <v>668</v>
      </c>
      <c r="SG32" s="15" t="s">
        <v>668</v>
      </c>
      <c r="SH32" s="15" t="s">
        <v>668</v>
      </c>
      <c r="SI32" s="15" t="s">
        <v>668</v>
      </c>
      <c r="SJ32" s="15" t="s">
        <v>668</v>
      </c>
      <c r="SK32" s="15" t="s">
        <v>668</v>
      </c>
      <c r="SL32" s="15" t="s">
        <v>668</v>
      </c>
    </row>
    <row r="33" spans="1:507" x14ac:dyDescent="0.2">
      <c r="A33" s="37">
        <v>31</v>
      </c>
      <c r="B33" s="15" t="s">
        <v>629</v>
      </c>
      <c r="C33" s="17">
        <f>+'Detalle Compras'!D33</f>
        <v>202506170036</v>
      </c>
      <c r="D33" s="55">
        <f t="shared" si="13"/>
        <v>4.9096000000000002</v>
      </c>
      <c r="E33" s="14">
        <f>+IF(B33="","",'Detalle Compras'!S33+0)</f>
        <v>45879</v>
      </c>
      <c r="F33" s="14">
        <f>+IF(B33="","",EOMONTH('Detalle Compras'!S33,G33)+10)</f>
        <v>56867</v>
      </c>
      <c r="G33" s="50">
        <f t="shared" si="14"/>
        <v>360</v>
      </c>
      <c r="H33" s="50">
        <f t="shared" si="15"/>
        <v>354</v>
      </c>
      <c r="I33" s="52"/>
      <c r="J33" s="52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/>
      <c r="Y33" s="52"/>
      <c r="Z33" s="52">
        <v>4.9096000000000002</v>
      </c>
      <c r="AA33" s="52">
        <v>4.9096000000000002</v>
      </c>
      <c r="AB33" s="52">
        <v>4.9096000000000002</v>
      </c>
      <c r="AC33" s="52">
        <v>4.9096000000000002</v>
      </c>
      <c r="AD33" s="52">
        <v>4.9096000000000002</v>
      </c>
      <c r="AE33" s="52">
        <v>4.9096000000000002</v>
      </c>
      <c r="AF33" s="52">
        <v>4.9096000000000002</v>
      </c>
      <c r="AG33" s="52">
        <v>4.9096000000000002</v>
      </c>
      <c r="AH33" s="52">
        <v>4.9096000000000002</v>
      </c>
      <c r="AI33" s="52">
        <v>4.9096000000000002</v>
      </c>
      <c r="AJ33" s="52">
        <v>4.9096000000000002</v>
      </c>
      <c r="AK33" s="52">
        <v>4.9096000000000002</v>
      </c>
      <c r="AL33" s="52">
        <v>4.9096000000000002</v>
      </c>
      <c r="AM33" s="52">
        <v>4.9096000000000002</v>
      </c>
      <c r="AN33" s="52">
        <v>4.9096000000000002</v>
      </c>
      <c r="AO33" s="52">
        <v>4.9096000000000002</v>
      </c>
      <c r="AP33" s="52">
        <v>4.9096000000000002</v>
      </c>
      <c r="AQ33" s="52">
        <v>4.9096000000000002</v>
      </c>
      <c r="AR33" s="52">
        <v>4.9096000000000002</v>
      </c>
      <c r="AS33" s="52">
        <v>4.9096000000000002</v>
      </c>
      <c r="AT33" s="52">
        <v>4.9096000000000002</v>
      </c>
      <c r="AU33" s="52">
        <v>4.9096000000000002</v>
      </c>
      <c r="AV33" s="52">
        <v>4.9096000000000002</v>
      </c>
      <c r="AW33" s="52">
        <v>4.9096000000000002</v>
      </c>
      <c r="AX33" s="52">
        <v>4.9096000000000002</v>
      </c>
      <c r="AY33" s="52">
        <v>4.9096000000000002</v>
      </c>
      <c r="AZ33" s="52">
        <v>4.9096000000000002</v>
      </c>
      <c r="BA33" s="52">
        <v>4.9096000000000002</v>
      </c>
      <c r="BB33" s="52">
        <v>4.9096000000000002</v>
      </c>
      <c r="BC33" s="52">
        <v>4.9096000000000002</v>
      </c>
      <c r="BD33" s="52">
        <v>4.9096000000000002</v>
      </c>
      <c r="BE33" s="52">
        <v>4.9096000000000002</v>
      </c>
      <c r="BF33" s="52">
        <v>4.9096000000000002</v>
      </c>
      <c r="BG33" s="52">
        <v>4.9096000000000002</v>
      </c>
      <c r="BH33" s="52">
        <v>4.9096000000000002</v>
      </c>
      <c r="BI33" s="52">
        <v>4.9096000000000002</v>
      </c>
      <c r="BJ33" s="52">
        <v>4.9096000000000002</v>
      </c>
      <c r="BK33" s="52">
        <v>4.9096000000000002</v>
      </c>
      <c r="BL33" s="52">
        <v>4.9096000000000002</v>
      </c>
      <c r="BM33" s="52">
        <v>4.9096000000000002</v>
      </c>
      <c r="BN33" s="52">
        <v>4.9096000000000002</v>
      </c>
      <c r="BO33" s="52">
        <v>4.9096000000000002</v>
      </c>
      <c r="BP33" s="52">
        <v>4.9096000000000002</v>
      </c>
      <c r="BQ33" s="52">
        <v>4.9096000000000002</v>
      </c>
      <c r="BR33" s="52">
        <v>4.9096000000000002</v>
      </c>
      <c r="BS33" s="52">
        <v>4.9096000000000002</v>
      </c>
      <c r="BT33" s="52">
        <v>4.9096000000000002</v>
      </c>
      <c r="BU33" s="52">
        <v>4.9096000000000002</v>
      </c>
      <c r="BV33" s="52">
        <v>4.9096000000000002</v>
      </c>
      <c r="BW33" s="52">
        <v>4.9096000000000002</v>
      </c>
      <c r="BX33" s="52">
        <v>4.9096000000000002</v>
      </c>
      <c r="BY33" s="52">
        <v>4.9096000000000002</v>
      </c>
      <c r="BZ33" s="52">
        <v>4.9096000000000002</v>
      </c>
      <c r="CA33" s="52">
        <v>4.9096000000000002</v>
      </c>
      <c r="CB33" s="52">
        <v>4.9096000000000002</v>
      </c>
      <c r="CC33" s="52">
        <v>4.9096000000000002</v>
      </c>
      <c r="CD33" s="52">
        <v>4.9096000000000002</v>
      </c>
      <c r="CE33" s="52">
        <v>4.9096000000000002</v>
      </c>
      <c r="CF33" s="52">
        <v>4.9096000000000002</v>
      </c>
      <c r="CG33" s="52">
        <v>4.9096000000000002</v>
      </c>
      <c r="CH33" s="52">
        <v>4.9096000000000002</v>
      </c>
      <c r="CI33" s="52">
        <v>4.9096000000000002</v>
      </c>
      <c r="CJ33" s="52">
        <v>4.9096000000000002</v>
      </c>
      <c r="CK33" s="52">
        <v>4.9096000000000002</v>
      </c>
      <c r="CL33" s="52">
        <v>4.9096000000000002</v>
      </c>
      <c r="CM33" s="52">
        <v>4.9096000000000002</v>
      </c>
      <c r="CN33" s="52">
        <v>4.9096000000000002</v>
      </c>
      <c r="CO33" s="52">
        <v>4.9096000000000002</v>
      </c>
      <c r="CP33" s="52">
        <v>4.9096000000000002</v>
      </c>
      <c r="CQ33" s="52">
        <v>4.9096000000000002</v>
      </c>
      <c r="CR33" s="52">
        <v>4.9096000000000002</v>
      </c>
      <c r="CS33" s="52">
        <v>4.9096000000000002</v>
      </c>
      <c r="CT33" s="52">
        <v>4.9096000000000002</v>
      </c>
      <c r="CU33" s="52">
        <v>4.9096000000000002</v>
      </c>
      <c r="CV33" s="52">
        <v>4.9096000000000002</v>
      </c>
      <c r="CW33" s="52">
        <v>4.9096000000000002</v>
      </c>
      <c r="CX33" s="52">
        <v>4.9096000000000002</v>
      </c>
      <c r="CY33" s="52">
        <v>4.9096000000000002</v>
      </c>
      <c r="CZ33" s="52">
        <v>4.9096000000000002</v>
      </c>
      <c r="DA33" s="52">
        <v>4.9096000000000002</v>
      </c>
      <c r="DB33" s="52">
        <v>4.9096000000000002</v>
      </c>
      <c r="DC33" s="52">
        <v>4.9096000000000002</v>
      </c>
      <c r="DD33" s="52">
        <v>4.9096000000000002</v>
      </c>
      <c r="DE33" s="52">
        <v>4.9096000000000002</v>
      </c>
      <c r="DF33" s="52">
        <v>4.9096000000000002</v>
      </c>
      <c r="DG33" s="52">
        <v>4.9096000000000002</v>
      </c>
      <c r="DH33" s="52">
        <v>4.9096000000000002</v>
      </c>
      <c r="DI33" s="52">
        <v>4.9096000000000002</v>
      </c>
      <c r="DJ33" s="52">
        <v>4.9096000000000002</v>
      </c>
      <c r="DK33" s="52">
        <v>4.9096000000000002</v>
      </c>
      <c r="DL33" s="52">
        <v>4.9096000000000002</v>
      </c>
      <c r="DM33" s="52">
        <v>4.9096000000000002</v>
      </c>
      <c r="DN33" s="52">
        <v>4.9096000000000002</v>
      </c>
      <c r="DO33" s="52">
        <v>4.9096000000000002</v>
      </c>
      <c r="DP33" s="52">
        <v>4.9096000000000002</v>
      </c>
      <c r="DQ33" s="52">
        <v>4.9096000000000002</v>
      </c>
      <c r="DR33" s="52">
        <v>4.9096000000000002</v>
      </c>
      <c r="DS33" s="52">
        <v>4.9096000000000002</v>
      </c>
      <c r="DT33" s="52">
        <v>4.9096000000000002</v>
      </c>
      <c r="DU33" s="52">
        <v>4.9096000000000002</v>
      </c>
      <c r="DV33" s="52">
        <v>4.9096000000000002</v>
      </c>
      <c r="DW33" s="52">
        <v>4.9096000000000002</v>
      </c>
      <c r="DX33" s="52">
        <v>4.9096000000000002</v>
      </c>
      <c r="DY33" s="52">
        <v>4.9096000000000002</v>
      </c>
      <c r="DZ33" s="52">
        <v>4.9096000000000002</v>
      </c>
      <c r="EA33" s="52">
        <v>4.9096000000000002</v>
      </c>
      <c r="EB33" s="52">
        <v>4.9096000000000002</v>
      </c>
      <c r="EC33" s="52">
        <v>4.9096000000000002</v>
      </c>
      <c r="ED33" s="52">
        <v>4.9096000000000002</v>
      </c>
      <c r="EE33" s="52">
        <v>4.9096000000000002</v>
      </c>
      <c r="EF33" s="52">
        <v>4.9096000000000002</v>
      </c>
      <c r="EG33" s="52">
        <v>4.9096000000000002</v>
      </c>
      <c r="EH33" s="52">
        <v>4.9096000000000002</v>
      </c>
      <c r="EI33" s="52">
        <v>4.9096000000000002</v>
      </c>
      <c r="EJ33" s="52">
        <v>4.9096000000000002</v>
      </c>
      <c r="EK33" s="52">
        <v>4.9096000000000002</v>
      </c>
      <c r="EL33" s="52">
        <v>4.9096000000000002</v>
      </c>
      <c r="EM33" s="52">
        <v>4.9096000000000002</v>
      </c>
      <c r="EN33" s="52">
        <v>4.9096000000000002</v>
      </c>
      <c r="EO33" s="52">
        <v>4.9096000000000002</v>
      </c>
      <c r="EP33" s="52">
        <v>4.9096000000000002</v>
      </c>
      <c r="EQ33" s="52">
        <v>4.9096000000000002</v>
      </c>
      <c r="ER33" s="52">
        <v>4.9096000000000002</v>
      </c>
      <c r="ES33" s="52">
        <v>4.9096000000000002</v>
      </c>
      <c r="ET33" s="52">
        <v>4.9096000000000002</v>
      </c>
      <c r="EU33" s="52">
        <v>4.9096000000000002</v>
      </c>
      <c r="EV33" s="52">
        <v>4.9096000000000002</v>
      </c>
      <c r="EW33" s="52">
        <v>4.9096000000000002</v>
      </c>
      <c r="EX33" s="52">
        <v>4.9096000000000002</v>
      </c>
      <c r="EY33" s="52">
        <v>4.9096000000000002</v>
      </c>
      <c r="EZ33" s="52">
        <v>4.9096000000000002</v>
      </c>
      <c r="FA33" s="52">
        <v>4.9096000000000002</v>
      </c>
      <c r="FB33" s="52">
        <v>4.9096000000000002</v>
      </c>
      <c r="FC33" s="52">
        <v>4.9096000000000002</v>
      </c>
      <c r="FD33" s="52">
        <v>4.9096000000000002</v>
      </c>
      <c r="FE33" s="52">
        <v>4.9096000000000002</v>
      </c>
      <c r="FF33" s="52">
        <v>4.9096000000000002</v>
      </c>
      <c r="FG33" s="52">
        <v>4.9096000000000002</v>
      </c>
      <c r="FH33" s="52">
        <v>4.9096000000000002</v>
      </c>
      <c r="FI33" s="52">
        <v>4.9096000000000002</v>
      </c>
      <c r="FJ33" s="52">
        <v>4.9096000000000002</v>
      </c>
      <c r="FK33" s="52">
        <v>4.9096000000000002</v>
      </c>
      <c r="FL33" s="52">
        <v>4.9096000000000002</v>
      </c>
      <c r="FM33" s="52">
        <v>4.9096000000000002</v>
      </c>
      <c r="FN33" s="52">
        <v>4.9096000000000002</v>
      </c>
      <c r="FO33" s="52">
        <v>4.9096000000000002</v>
      </c>
      <c r="FP33" s="52">
        <v>4.9096000000000002</v>
      </c>
      <c r="FQ33" s="52">
        <v>4.9096000000000002</v>
      </c>
      <c r="FR33" s="52">
        <v>4.9096000000000002</v>
      </c>
      <c r="FS33" s="52">
        <v>4.9096000000000002</v>
      </c>
      <c r="FT33" s="52">
        <v>4.9096000000000002</v>
      </c>
      <c r="FU33" s="52">
        <v>4.9096000000000002</v>
      </c>
      <c r="FV33" s="52">
        <v>4.9096000000000002</v>
      </c>
      <c r="FW33" s="52">
        <v>4.9096000000000002</v>
      </c>
      <c r="FX33" s="52">
        <v>4.9096000000000002</v>
      </c>
      <c r="FY33" s="52">
        <v>4.9096000000000002</v>
      </c>
      <c r="FZ33" s="52">
        <v>4.9096000000000002</v>
      </c>
      <c r="GA33" s="52">
        <v>4.9096000000000002</v>
      </c>
      <c r="GB33" s="52">
        <v>4.9096000000000002</v>
      </c>
      <c r="GC33" s="52">
        <v>4.9096000000000002</v>
      </c>
      <c r="GD33" s="52">
        <v>4.9096000000000002</v>
      </c>
      <c r="GE33" s="52">
        <v>4.9096000000000002</v>
      </c>
      <c r="GF33" s="52">
        <v>4.9096000000000002</v>
      </c>
      <c r="GG33" s="52">
        <v>4.9096000000000002</v>
      </c>
      <c r="GH33" s="52">
        <v>4.9096000000000002</v>
      </c>
      <c r="GI33" s="52">
        <v>4.9096000000000002</v>
      </c>
      <c r="GJ33" s="52">
        <v>4.9096000000000002</v>
      </c>
      <c r="GK33" s="52">
        <v>4.9096000000000002</v>
      </c>
      <c r="GL33" s="52">
        <v>4.9096000000000002</v>
      </c>
      <c r="GM33" s="52">
        <v>4.9096000000000002</v>
      </c>
      <c r="GN33" s="52">
        <v>4.9096000000000002</v>
      </c>
      <c r="GO33" s="52">
        <v>4.9096000000000002</v>
      </c>
      <c r="GP33" s="52">
        <v>4.9096000000000002</v>
      </c>
      <c r="GQ33" s="52">
        <v>4.9096000000000002</v>
      </c>
      <c r="GR33" s="52">
        <v>4.9096000000000002</v>
      </c>
      <c r="GS33" s="52">
        <v>4.9096000000000002</v>
      </c>
      <c r="GT33" s="52">
        <v>4.9096000000000002</v>
      </c>
      <c r="GU33" s="52">
        <v>4.9096000000000002</v>
      </c>
      <c r="GV33" s="52">
        <v>4.9096000000000002</v>
      </c>
      <c r="GW33" s="52">
        <v>4.9096000000000002</v>
      </c>
      <c r="GX33" s="52">
        <v>4.9096000000000002</v>
      </c>
      <c r="GY33" s="52">
        <v>4.9096000000000002</v>
      </c>
      <c r="GZ33" s="52">
        <v>4.9096000000000002</v>
      </c>
      <c r="HA33" s="52">
        <v>4.9096000000000002</v>
      </c>
      <c r="HB33" s="52">
        <v>4.9096000000000002</v>
      </c>
      <c r="HC33" s="52">
        <v>4.9096000000000002</v>
      </c>
      <c r="HD33" s="52">
        <v>4.9096000000000002</v>
      </c>
      <c r="HE33" s="52">
        <v>4.9096000000000002</v>
      </c>
      <c r="HF33" s="52">
        <v>4.9096000000000002</v>
      </c>
      <c r="HG33" s="52">
        <v>4.9096000000000002</v>
      </c>
      <c r="HH33" s="52">
        <v>4.9096000000000002</v>
      </c>
      <c r="HI33" s="52">
        <v>4.9096000000000002</v>
      </c>
      <c r="HJ33" s="52">
        <v>4.9096000000000002</v>
      </c>
      <c r="HK33" s="52">
        <v>4.9096000000000002</v>
      </c>
      <c r="HL33" s="52">
        <v>4.9096000000000002</v>
      </c>
      <c r="HM33" s="52">
        <v>4.9096000000000002</v>
      </c>
      <c r="HN33" s="52">
        <v>4.9096000000000002</v>
      </c>
      <c r="HO33" s="52">
        <v>4.9096000000000002</v>
      </c>
      <c r="HP33" s="52">
        <v>4.9096000000000002</v>
      </c>
      <c r="HQ33" s="52">
        <v>4.9096000000000002</v>
      </c>
      <c r="HR33" s="52">
        <v>4.9096000000000002</v>
      </c>
      <c r="HS33" s="52">
        <v>4.9096000000000002</v>
      </c>
      <c r="HT33" s="52">
        <v>4.9096000000000002</v>
      </c>
      <c r="HU33" s="52">
        <v>4.9096000000000002</v>
      </c>
      <c r="HV33" s="52">
        <v>4.9096000000000002</v>
      </c>
      <c r="HW33" s="52">
        <v>4.9096000000000002</v>
      </c>
      <c r="HX33" s="52">
        <v>4.9096000000000002</v>
      </c>
      <c r="HY33" s="52">
        <v>4.9096000000000002</v>
      </c>
      <c r="HZ33" s="52">
        <v>4.9096000000000002</v>
      </c>
      <c r="IA33" s="52">
        <v>4.9096000000000002</v>
      </c>
      <c r="IB33" s="52">
        <v>4.9096000000000002</v>
      </c>
      <c r="IC33" s="52">
        <v>4.9096000000000002</v>
      </c>
      <c r="ID33" s="52">
        <v>4.9096000000000002</v>
      </c>
      <c r="IE33" s="52">
        <v>4.9096000000000002</v>
      </c>
      <c r="IF33" s="52">
        <v>4.9096000000000002</v>
      </c>
      <c r="IG33" s="52">
        <v>4.9096000000000002</v>
      </c>
      <c r="IH33" s="52">
        <v>4.9096000000000002</v>
      </c>
      <c r="II33" s="52">
        <v>4.9096000000000002</v>
      </c>
      <c r="IJ33" s="52">
        <v>4.9096000000000002</v>
      </c>
      <c r="IK33" s="52">
        <v>4.9096000000000002</v>
      </c>
      <c r="IL33" s="52">
        <v>4.9096000000000002</v>
      </c>
      <c r="IM33" s="52">
        <v>4.9096000000000002</v>
      </c>
      <c r="IN33" s="52">
        <v>4.9096000000000002</v>
      </c>
      <c r="IO33" s="52">
        <v>4.9096000000000002</v>
      </c>
      <c r="IP33" s="52">
        <v>4.9096000000000002</v>
      </c>
      <c r="IQ33" s="52">
        <v>4.9096000000000002</v>
      </c>
      <c r="IR33" s="52">
        <v>4.9096000000000002</v>
      </c>
      <c r="IS33" s="52">
        <v>4.9096000000000002</v>
      </c>
      <c r="IT33" s="52">
        <v>4.9096000000000002</v>
      </c>
      <c r="IU33" s="52">
        <v>4.9096000000000002</v>
      </c>
      <c r="IV33" s="52">
        <v>4.9096000000000002</v>
      </c>
      <c r="IW33" s="52">
        <v>4.9096000000000002</v>
      </c>
      <c r="IX33" s="52">
        <v>4.9096000000000002</v>
      </c>
      <c r="IY33" s="52">
        <v>4.9096000000000002</v>
      </c>
      <c r="IZ33" s="52">
        <v>4.9096000000000002</v>
      </c>
      <c r="JA33" s="52">
        <v>4.9096000000000002</v>
      </c>
      <c r="JB33" s="52">
        <v>4.9096000000000002</v>
      </c>
      <c r="JC33" s="52">
        <v>4.9096000000000002</v>
      </c>
      <c r="JD33" s="52">
        <v>4.9096000000000002</v>
      </c>
      <c r="JE33" s="52">
        <v>4.9096000000000002</v>
      </c>
      <c r="JF33" s="52">
        <v>4.9096000000000002</v>
      </c>
      <c r="JG33" s="52">
        <v>4.9096000000000002</v>
      </c>
      <c r="JH33" s="52">
        <v>4.9096000000000002</v>
      </c>
      <c r="JI33" s="52">
        <v>4.9096000000000002</v>
      </c>
      <c r="JJ33" s="52">
        <v>4.9096000000000002</v>
      </c>
      <c r="JK33" s="52">
        <v>4.9096000000000002</v>
      </c>
      <c r="JL33" s="52">
        <v>4.9096000000000002</v>
      </c>
      <c r="JM33" s="52">
        <v>4.9096000000000002</v>
      </c>
      <c r="JN33" s="52">
        <v>4.9096000000000002</v>
      </c>
      <c r="JO33" s="52">
        <v>4.9096000000000002</v>
      </c>
      <c r="JP33" s="52">
        <v>4.9096000000000002</v>
      </c>
      <c r="JQ33" s="52">
        <v>4.9096000000000002</v>
      </c>
      <c r="JR33" s="52">
        <v>4.9096000000000002</v>
      </c>
      <c r="JS33" s="52">
        <v>4.9096000000000002</v>
      </c>
      <c r="JT33" s="52">
        <v>4.9096000000000002</v>
      </c>
      <c r="JU33" s="52">
        <v>4.9096000000000002</v>
      </c>
      <c r="JV33" s="52">
        <v>4.9096000000000002</v>
      </c>
      <c r="JW33" s="52">
        <v>4.9096000000000002</v>
      </c>
      <c r="JX33" s="52">
        <v>4.9096000000000002</v>
      </c>
      <c r="JY33" s="52">
        <v>4.9096000000000002</v>
      </c>
      <c r="JZ33" s="52">
        <v>4.9096000000000002</v>
      </c>
      <c r="KA33" s="52">
        <v>4.9096000000000002</v>
      </c>
      <c r="KB33" s="52">
        <v>4.9096000000000002</v>
      </c>
      <c r="KC33" s="52">
        <v>4.9096000000000002</v>
      </c>
      <c r="KD33" s="52">
        <v>4.9096000000000002</v>
      </c>
      <c r="KE33" s="52">
        <v>4.9096000000000002</v>
      </c>
      <c r="KF33" s="52">
        <v>4.9096000000000002</v>
      </c>
      <c r="KG33" s="52">
        <v>4.9096000000000002</v>
      </c>
      <c r="KH33" s="52">
        <v>4.9096000000000002</v>
      </c>
      <c r="KI33" s="52">
        <v>4.9096000000000002</v>
      </c>
      <c r="KJ33" s="52">
        <v>4.9096000000000002</v>
      </c>
      <c r="KK33" s="52">
        <v>4.9096000000000002</v>
      </c>
      <c r="KL33" s="52">
        <v>4.9096000000000002</v>
      </c>
      <c r="KM33" s="52">
        <v>4.9096000000000002</v>
      </c>
      <c r="KN33" s="52">
        <v>4.9096000000000002</v>
      </c>
      <c r="KO33" s="52">
        <v>4.9096000000000002</v>
      </c>
      <c r="KP33" s="52">
        <v>4.9096000000000002</v>
      </c>
      <c r="KQ33" s="52">
        <v>4.9096000000000002</v>
      </c>
      <c r="KR33" s="52">
        <v>4.9096000000000002</v>
      </c>
      <c r="KS33" s="52">
        <v>4.9096000000000002</v>
      </c>
      <c r="KT33" s="52">
        <v>4.9096000000000002</v>
      </c>
      <c r="KU33" s="52">
        <v>4.9096000000000002</v>
      </c>
      <c r="KV33" s="52">
        <v>4.9096000000000002</v>
      </c>
      <c r="KW33" s="52">
        <v>4.9096000000000002</v>
      </c>
      <c r="KX33" s="52">
        <v>4.9096000000000002</v>
      </c>
      <c r="KY33" s="52">
        <v>4.9096000000000002</v>
      </c>
      <c r="KZ33" s="52">
        <v>4.9096000000000002</v>
      </c>
      <c r="LA33" s="52">
        <v>4.9096000000000002</v>
      </c>
      <c r="LB33" s="52">
        <v>4.9096000000000002</v>
      </c>
      <c r="LC33" s="52">
        <v>4.9096000000000002</v>
      </c>
      <c r="LD33" s="52">
        <v>4.9096000000000002</v>
      </c>
      <c r="LE33" s="52">
        <v>4.9096000000000002</v>
      </c>
      <c r="LF33" s="52">
        <v>4.9096000000000002</v>
      </c>
      <c r="LG33" s="52">
        <v>4.9096000000000002</v>
      </c>
      <c r="LH33" s="52">
        <v>4.9096000000000002</v>
      </c>
      <c r="LI33" s="52">
        <v>4.9096000000000002</v>
      </c>
      <c r="LJ33" s="52">
        <v>4.9096000000000002</v>
      </c>
      <c r="LK33" s="52">
        <v>4.9096000000000002</v>
      </c>
      <c r="LL33" s="52">
        <v>4.9096000000000002</v>
      </c>
      <c r="LM33" s="52">
        <v>4.9096000000000002</v>
      </c>
      <c r="LN33" s="52">
        <v>4.9096000000000002</v>
      </c>
      <c r="LO33" s="52">
        <v>4.9096000000000002</v>
      </c>
      <c r="LP33" s="52">
        <v>4.9096000000000002</v>
      </c>
      <c r="LQ33" s="52">
        <v>4.9096000000000002</v>
      </c>
      <c r="LR33" s="52">
        <v>4.9096000000000002</v>
      </c>
      <c r="LS33" s="52">
        <v>4.9096000000000002</v>
      </c>
      <c r="LT33" s="52">
        <v>4.9096000000000002</v>
      </c>
      <c r="LU33" s="52">
        <v>4.9096000000000002</v>
      </c>
      <c r="LV33" s="52">
        <v>4.9096000000000002</v>
      </c>
      <c r="LW33" s="52">
        <v>4.9096000000000002</v>
      </c>
      <c r="LX33" s="52">
        <v>4.9096000000000002</v>
      </c>
      <c r="LY33" s="52">
        <v>4.9096000000000002</v>
      </c>
      <c r="LZ33" s="52">
        <v>4.9096000000000002</v>
      </c>
      <c r="MA33" s="52">
        <v>4.9096000000000002</v>
      </c>
      <c r="MB33" s="52">
        <v>4.9096000000000002</v>
      </c>
      <c r="MC33" s="52">
        <v>4.9096000000000002</v>
      </c>
      <c r="MD33" s="52">
        <v>4.9096000000000002</v>
      </c>
      <c r="ME33" s="52">
        <v>4.9096000000000002</v>
      </c>
      <c r="MF33" s="52">
        <v>4.9096000000000002</v>
      </c>
      <c r="MG33" s="52">
        <v>4.9096000000000002</v>
      </c>
      <c r="MH33" s="52">
        <v>4.9096000000000002</v>
      </c>
      <c r="MI33" s="52">
        <v>4.9096000000000002</v>
      </c>
      <c r="MJ33" s="52">
        <v>4.9096000000000002</v>
      </c>
      <c r="MK33" s="52">
        <v>4.9096000000000002</v>
      </c>
      <c r="ML33" s="52">
        <v>4.9096000000000002</v>
      </c>
      <c r="MM33" s="52">
        <v>4.9096000000000002</v>
      </c>
      <c r="MN33" s="52">
        <v>4.9096000000000002</v>
      </c>
      <c r="MO33" s="52">
        <v>4.9096000000000002</v>
      </c>
      <c r="MP33" s="52">
        <v>4.9096000000000002</v>
      </c>
      <c r="MQ33" s="52">
        <v>4.9096000000000002</v>
      </c>
      <c r="MR33" s="52">
        <v>4.9096000000000002</v>
      </c>
      <c r="MS33" s="52">
        <v>4.9096000000000002</v>
      </c>
      <c r="MT33" s="52">
        <v>4.9096000000000002</v>
      </c>
      <c r="MU33" s="52">
        <v>4.9096000000000002</v>
      </c>
      <c r="MV33" s="52">
        <v>4.9096000000000002</v>
      </c>
      <c r="MW33" s="52">
        <v>4.9096000000000002</v>
      </c>
      <c r="MX33" s="52">
        <v>4.9096000000000002</v>
      </c>
      <c r="MY33" s="52">
        <v>4.9096000000000002</v>
      </c>
      <c r="MZ33" s="52">
        <v>4.9096000000000002</v>
      </c>
      <c r="NA33" s="52">
        <v>4.9096000000000002</v>
      </c>
      <c r="NB33" s="52">
        <v>4.9096000000000002</v>
      </c>
      <c r="NC33" s="52">
        <v>4.9096000000000002</v>
      </c>
      <c r="ND33" s="52">
        <v>4.9096000000000002</v>
      </c>
      <c r="NE33" s="52">
        <v>4.9096000000000002</v>
      </c>
      <c r="NF33" s="37">
        <v>4.9096000000000002</v>
      </c>
      <c r="NG33" s="37">
        <v>4.9096000000000002</v>
      </c>
      <c r="NH33" s="37">
        <v>4.9096000000000002</v>
      </c>
      <c r="NI33" s="37">
        <v>4.9096000000000002</v>
      </c>
      <c r="NJ33" s="37">
        <v>4.9096000000000002</v>
      </c>
      <c r="NK33" s="37">
        <v>4.9096000000000002</v>
      </c>
      <c r="NL33" s="37">
        <v>4.9096000000000002</v>
      </c>
      <c r="NM33" s="37">
        <v>4.9096000000000002</v>
      </c>
      <c r="NN33" s="37">
        <v>4.9096000000000002</v>
      </c>
      <c r="NO33" s="37">
        <v>4.9096000000000002</v>
      </c>
      <c r="NP33" s="37">
        <v>4.9096000000000002</v>
      </c>
      <c r="NQ33" s="37">
        <v>4.9096000000000002</v>
      </c>
      <c r="NR33" s="37">
        <v>4.9096000000000002</v>
      </c>
      <c r="NS33" s="37">
        <v>4.9096000000000002</v>
      </c>
      <c r="NT33" s="37">
        <v>4.9096000000000002</v>
      </c>
      <c r="NU33" s="37">
        <v>5.2664</v>
      </c>
      <c r="NV33" s="37" t="s">
        <v>668</v>
      </c>
      <c r="NW33" s="37" t="s">
        <v>668</v>
      </c>
      <c r="NX33" s="37" t="s">
        <v>668</v>
      </c>
      <c r="NY33" s="37" t="s">
        <v>668</v>
      </c>
      <c r="NZ33" s="37" t="s">
        <v>668</v>
      </c>
      <c r="OA33" s="37" t="s">
        <v>668</v>
      </c>
      <c r="OB33" s="37" t="s">
        <v>668</v>
      </c>
      <c r="OC33" s="37" t="s">
        <v>668</v>
      </c>
      <c r="OD33" s="37" t="s">
        <v>668</v>
      </c>
      <c r="OE33" s="37" t="s">
        <v>668</v>
      </c>
      <c r="OF33" s="37" t="s">
        <v>668</v>
      </c>
      <c r="OG33" s="37" t="s">
        <v>668</v>
      </c>
      <c r="OH33" s="37" t="s">
        <v>668</v>
      </c>
      <c r="OI33" s="37" t="s">
        <v>668</v>
      </c>
      <c r="OJ33" s="37" t="s">
        <v>668</v>
      </c>
      <c r="OK33" s="37" t="s">
        <v>668</v>
      </c>
      <c r="OL33" s="37" t="s">
        <v>668</v>
      </c>
      <c r="OM33" s="37" t="s">
        <v>668</v>
      </c>
      <c r="ON33" s="37" t="s">
        <v>668</v>
      </c>
      <c r="OO33" s="37" t="s">
        <v>668</v>
      </c>
      <c r="OP33" s="37" t="s">
        <v>668</v>
      </c>
      <c r="OQ33" s="37" t="s">
        <v>668</v>
      </c>
      <c r="OR33" s="37" t="s">
        <v>668</v>
      </c>
      <c r="OS33" s="37" t="s">
        <v>668</v>
      </c>
      <c r="OT33" s="37" t="s">
        <v>668</v>
      </c>
      <c r="OU33" s="37" t="s">
        <v>668</v>
      </c>
      <c r="OV33" s="37" t="s">
        <v>668</v>
      </c>
      <c r="OW33" s="37" t="s">
        <v>668</v>
      </c>
      <c r="OX33" s="37" t="s">
        <v>668</v>
      </c>
      <c r="OY33" s="37" t="s">
        <v>668</v>
      </c>
      <c r="OZ33" s="37" t="s">
        <v>668</v>
      </c>
      <c r="PA33" s="37" t="s">
        <v>668</v>
      </c>
      <c r="PB33" s="37" t="s">
        <v>668</v>
      </c>
      <c r="PC33" s="37" t="s">
        <v>668</v>
      </c>
      <c r="PD33" s="37" t="s">
        <v>668</v>
      </c>
      <c r="PE33" s="37" t="s">
        <v>668</v>
      </c>
      <c r="PF33" s="37" t="s">
        <v>668</v>
      </c>
      <c r="PG33" s="37" t="s">
        <v>668</v>
      </c>
      <c r="PH33" s="37" t="s">
        <v>668</v>
      </c>
      <c r="PI33" s="37" t="s">
        <v>668</v>
      </c>
      <c r="PJ33" s="37" t="s">
        <v>668</v>
      </c>
      <c r="PK33" s="37" t="s">
        <v>668</v>
      </c>
      <c r="PL33" s="37" t="s">
        <v>668</v>
      </c>
      <c r="PM33" s="37" t="s">
        <v>668</v>
      </c>
      <c r="PN33" s="37" t="s">
        <v>668</v>
      </c>
      <c r="PO33" s="37" t="s">
        <v>668</v>
      </c>
      <c r="PP33" s="37" t="s">
        <v>668</v>
      </c>
      <c r="PQ33" s="37" t="s">
        <v>668</v>
      </c>
      <c r="PR33" s="37" t="s">
        <v>668</v>
      </c>
      <c r="PS33" s="15" t="s">
        <v>668</v>
      </c>
      <c r="PT33" s="15" t="s">
        <v>668</v>
      </c>
      <c r="PU33" s="15" t="s">
        <v>668</v>
      </c>
      <c r="PV33" s="15" t="s">
        <v>668</v>
      </c>
      <c r="PW33" s="15" t="s">
        <v>668</v>
      </c>
      <c r="PX33" s="15" t="s">
        <v>668</v>
      </c>
      <c r="PY33" s="15" t="s">
        <v>668</v>
      </c>
      <c r="PZ33" s="15" t="s">
        <v>668</v>
      </c>
      <c r="QA33" s="15" t="s">
        <v>668</v>
      </c>
      <c r="QB33" s="15" t="s">
        <v>668</v>
      </c>
      <c r="QC33" s="15" t="s">
        <v>668</v>
      </c>
      <c r="QD33" s="15" t="s">
        <v>668</v>
      </c>
      <c r="QE33" s="15" t="s">
        <v>668</v>
      </c>
      <c r="QF33" s="15" t="s">
        <v>668</v>
      </c>
      <c r="QG33" s="15" t="s">
        <v>668</v>
      </c>
      <c r="QH33" s="15" t="s">
        <v>668</v>
      </c>
      <c r="QI33" s="15" t="s">
        <v>668</v>
      </c>
      <c r="QJ33" s="15" t="s">
        <v>668</v>
      </c>
      <c r="QK33" s="15" t="s">
        <v>668</v>
      </c>
      <c r="QL33" s="15" t="s">
        <v>668</v>
      </c>
      <c r="QM33" s="15" t="s">
        <v>668</v>
      </c>
      <c r="QN33" s="15" t="s">
        <v>668</v>
      </c>
      <c r="QO33" s="15" t="s">
        <v>668</v>
      </c>
      <c r="QP33" s="15" t="s">
        <v>668</v>
      </c>
      <c r="QQ33" s="15" t="s">
        <v>668</v>
      </c>
      <c r="QR33" s="15" t="s">
        <v>668</v>
      </c>
      <c r="QS33" s="15" t="s">
        <v>668</v>
      </c>
      <c r="QT33" s="15" t="s">
        <v>668</v>
      </c>
      <c r="QU33" s="15" t="s">
        <v>668</v>
      </c>
      <c r="QV33" s="15" t="s">
        <v>668</v>
      </c>
      <c r="QW33" s="15" t="s">
        <v>668</v>
      </c>
      <c r="QX33" s="15" t="s">
        <v>668</v>
      </c>
      <c r="QY33" s="15" t="s">
        <v>668</v>
      </c>
      <c r="QZ33" s="15" t="s">
        <v>668</v>
      </c>
      <c r="RA33" s="15" t="s">
        <v>668</v>
      </c>
      <c r="RB33" s="15" t="s">
        <v>668</v>
      </c>
      <c r="RC33" s="15" t="s">
        <v>668</v>
      </c>
      <c r="RD33" s="15" t="s">
        <v>668</v>
      </c>
      <c r="RE33" s="15" t="s">
        <v>668</v>
      </c>
      <c r="RF33" s="15" t="s">
        <v>668</v>
      </c>
      <c r="RG33" s="15" t="s">
        <v>668</v>
      </c>
      <c r="RH33" s="15" t="s">
        <v>668</v>
      </c>
      <c r="RI33" s="15" t="s">
        <v>668</v>
      </c>
      <c r="RJ33" s="15" t="s">
        <v>668</v>
      </c>
      <c r="RK33" s="15" t="s">
        <v>668</v>
      </c>
      <c r="RL33" s="15" t="s">
        <v>668</v>
      </c>
      <c r="RM33" s="15" t="s">
        <v>668</v>
      </c>
      <c r="RN33" s="15" t="s">
        <v>668</v>
      </c>
      <c r="RO33" s="15" t="s">
        <v>668</v>
      </c>
      <c r="RP33" s="15" t="s">
        <v>668</v>
      </c>
      <c r="RQ33" s="15" t="s">
        <v>668</v>
      </c>
      <c r="RR33" s="15" t="s">
        <v>668</v>
      </c>
      <c r="RS33" s="15" t="s">
        <v>668</v>
      </c>
      <c r="RT33" s="15" t="s">
        <v>668</v>
      </c>
      <c r="RU33" s="15" t="s">
        <v>668</v>
      </c>
      <c r="RV33" s="15" t="s">
        <v>668</v>
      </c>
      <c r="RW33" s="15" t="s">
        <v>668</v>
      </c>
      <c r="RX33" s="15" t="s">
        <v>668</v>
      </c>
      <c r="RY33" s="15" t="s">
        <v>668</v>
      </c>
      <c r="RZ33" s="15" t="s">
        <v>668</v>
      </c>
      <c r="SA33" s="15" t="s">
        <v>668</v>
      </c>
      <c r="SB33" s="15" t="s">
        <v>668</v>
      </c>
      <c r="SC33" s="15" t="s">
        <v>668</v>
      </c>
      <c r="SD33" s="15" t="s">
        <v>668</v>
      </c>
      <c r="SE33" s="15" t="s">
        <v>668</v>
      </c>
      <c r="SF33" s="15" t="s">
        <v>668</v>
      </c>
      <c r="SG33" s="15" t="s">
        <v>668</v>
      </c>
      <c r="SH33" s="15" t="s">
        <v>668</v>
      </c>
      <c r="SI33" s="15" t="s">
        <v>668</v>
      </c>
      <c r="SJ33" s="15" t="s">
        <v>668</v>
      </c>
      <c r="SK33" s="15" t="s">
        <v>668</v>
      </c>
      <c r="SL33" s="15" t="s">
        <v>668</v>
      </c>
    </row>
    <row r="34" spans="1:507" x14ac:dyDescent="0.2">
      <c r="A34" s="37">
        <v>32</v>
      </c>
      <c r="B34" s="15" t="s">
        <v>630</v>
      </c>
      <c r="C34" s="17">
        <f>+'Detalle Compras'!D34</f>
        <v>202506130034</v>
      </c>
      <c r="D34" s="55">
        <f t="shared" si="13"/>
        <v>13.6439</v>
      </c>
      <c r="E34" s="14">
        <f>+IF(B34="","",'Detalle Compras'!S34+0)</f>
        <v>45879</v>
      </c>
      <c r="F34" s="14">
        <f>+IF(B34="","",EOMONTH('Detalle Compras'!S34,G34)+10)</f>
        <v>55041</v>
      </c>
      <c r="G34" s="50">
        <f t="shared" si="14"/>
        <v>300</v>
      </c>
      <c r="H34" s="50">
        <f t="shared" si="15"/>
        <v>294</v>
      </c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2"/>
      <c r="X34" s="52"/>
      <c r="Y34" s="52"/>
      <c r="Z34" s="52">
        <v>13.6439</v>
      </c>
      <c r="AA34" s="52">
        <v>13.6439</v>
      </c>
      <c r="AB34" s="52">
        <v>13.6439</v>
      </c>
      <c r="AC34" s="52">
        <v>13.6439</v>
      </c>
      <c r="AD34" s="52">
        <v>13.6439</v>
      </c>
      <c r="AE34" s="52">
        <v>13.6439</v>
      </c>
      <c r="AF34" s="52">
        <v>13.6439</v>
      </c>
      <c r="AG34" s="52">
        <v>13.6439</v>
      </c>
      <c r="AH34" s="52">
        <v>13.6439</v>
      </c>
      <c r="AI34" s="52">
        <v>13.6439</v>
      </c>
      <c r="AJ34" s="52">
        <v>13.6439</v>
      </c>
      <c r="AK34" s="52">
        <v>13.6439</v>
      </c>
      <c r="AL34" s="52">
        <v>13.6439</v>
      </c>
      <c r="AM34" s="52">
        <v>13.6439</v>
      </c>
      <c r="AN34" s="52">
        <v>13.6439</v>
      </c>
      <c r="AO34" s="52">
        <v>13.6439</v>
      </c>
      <c r="AP34" s="52">
        <v>13.6439</v>
      </c>
      <c r="AQ34" s="52">
        <v>13.6439</v>
      </c>
      <c r="AR34" s="52">
        <v>13.6439</v>
      </c>
      <c r="AS34" s="52">
        <v>13.6439</v>
      </c>
      <c r="AT34" s="52">
        <v>13.6439</v>
      </c>
      <c r="AU34" s="52">
        <v>13.6439</v>
      </c>
      <c r="AV34" s="52">
        <v>13.6439</v>
      </c>
      <c r="AW34" s="52">
        <v>13.6439</v>
      </c>
      <c r="AX34" s="52">
        <v>13.6439</v>
      </c>
      <c r="AY34" s="52">
        <v>13.6439</v>
      </c>
      <c r="AZ34" s="52">
        <v>13.6439</v>
      </c>
      <c r="BA34" s="52">
        <v>13.6439</v>
      </c>
      <c r="BB34" s="52">
        <v>13.6439</v>
      </c>
      <c r="BC34" s="52">
        <v>13.6439</v>
      </c>
      <c r="BD34" s="52">
        <v>13.6439</v>
      </c>
      <c r="BE34" s="52">
        <v>13.6439</v>
      </c>
      <c r="BF34" s="52">
        <v>13.6439</v>
      </c>
      <c r="BG34" s="52">
        <v>13.6439</v>
      </c>
      <c r="BH34" s="52">
        <v>13.6439</v>
      </c>
      <c r="BI34" s="52">
        <v>13.6439</v>
      </c>
      <c r="BJ34" s="52">
        <v>13.6439</v>
      </c>
      <c r="BK34" s="52">
        <v>13.6439</v>
      </c>
      <c r="BL34" s="52">
        <v>13.6439</v>
      </c>
      <c r="BM34" s="52">
        <v>13.6439</v>
      </c>
      <c r="BN34" s="52">
        <v>13.6439</v>
      </c>
      <c r="BO34" s="52">
        <v>13.6439</v>
      </c>
      <c r="BP34" s="52">
        <v>13.6439</v>
      </c>
      <c r="BQ34" s="52">
        <v>13.6439</v>
      </c>
      <c r="BR34" s="52">
        <v>13.6439</v>
      </c>
      <c r="BS34" s="52">
        <v>13.6439</v>
      </c>
      <c r="BT34" s="52">
        <v>13.6439</v>
      </c>
      <c r="BU34" s="52">
        <v>13.6439</v>
      </c>
      <c r="BV34" s="52">
        <v>13.6439</v>
      </c>
      <c r="BW34" s="52">
        <v>13.6439</v>
      </c>
      <c r="BX34" s="52">
        <v>13.6439</v>
      </c>
      <c r="BY34" s="52">
        <v>13.6439</v>
      </c>
      <c r="BZ34" s="52">
        <v>13.6439</v>
      </c>
      <c r="CA34" s="52">
        <v>13.6439</v>
      </c>
      <c r="CB34" s="52">
        <v>13.6439</v>
      </c>
      <c r="CC34" s="52">
        <v>13.6439</v>
      </c>
      <c r="CD34" s="52">
        <v>13.6439</v>
      </c>
      <c r="CE34" s="52">
        <v>13.6439</v>
      </c>
      <c r="CF34" s="52">
        <v>13.6439</v>
      </c>
      <c r="CG34" s="52">
        <v>13.6439</v>
      </c>
      <c r="CH34" s="52">
        <v>13.6439</v>
      </c>
      <c r="CI34" s="52">
        <v>13.6439</v>
      </c>
      <c r="CJ34" s="52">
        <v>13.6439</v>
      </c>
      <c r="CK34" s="52">
        <v>13.6439</v>
      </c>
      <c r="CL34" s="52">
        <v>13.6439</v>
      </c>
      <c r="CM34" s="52">
        <v>13.6439</v>
      </c>
      <c r="CN34" s="52">
        <v>13.6439</v>
      </c>
      <c r="CO34" s="52">
        <v>13.6439</v>
      </c>
      <c r="CP34" s="52">
        <v>13.6439</v>
      </c>
      <c r="CQ34" s="52">
        <v>13.6439</v>
      </c>
      <c r="CR34" s="52">
        <v>13.6439</v>
      </c>
      <c r="CS34" s="52">
        <v>13.6439</v>
      </c>
      <c r="CT34" s="52">
        <v>13.6439</v>
      </c>
      <c r="CU34" s="52">
        <v>13.6439</v>
      </c>
      <c r="CV34" s="52">
        <v>13.6439</v>
      </c>
      <c r="CW34" s="52">
        <v>13.6439</v>
      </c>
      <c r="CX34" s="52">
        <v>13.6439</v>
      </c>
      <c r="CY34" s="52">
        <v>13.6439</v>
      </c>
      <c r="CZ34" s="52">
        <v>13.6439</v>
      </c>
      <c r="DA34" s="52">
        <v>13.6439</v>
      </c>
      <c r="DB34" s="52">
        <v>13.6439</v>
      </c>
      <c r="DC34" s="52">
        <v>13.6439</v>
      </c>
      <c r="DD34" s="52">
        <v>13.6439</v>
      </c>
      <c r="DE34" s="52">
        <v>13.6439</v>
      </c>
      <c r="DF34" s="52">
        <v>13.6439</v>
      </c>
      <c r="DG34" s="52">
        <v>13.6439</v>
      </c>
      <c r="DH34" s="52">
        <v>13.6439</v>
      </c>
      <c r="DI34" s="52">
        <v>13.6439</v>
      </c>
      <c r="DJ34" s="52">
        <v>13.6439</v>
      </c>
      <c r="DK34" s="52">
        <v>13.6439</v>
      </c>
      <c r="DL34" s="52">
        <v>13.6439</v>
      </c>
      <c r="DM34" s="52">
        <v>13.6439</v>
      </c>
      <c r="DN34" s="52">
        <v>13.6439</v>
      </c>
      <c r="DO34" s="52">
        <v>13.6439</v>
      </c>
      <c r="DP34" s="52">
        <v>13.6439</v>
      </c>
      <c r="DQ34" s="52">
        <v>13.6439</v>
      </c>
      <c r="DR34" s="52">
        <v>13.6439</v>
      </c>
      <c r="DS34" s="52">
        <v>13.6439</v>
      </c>
      <c r="DT34" s="52">
        <v>13.6439</v>
      </c>
      <c r="DU34" s="52">
        <v>13.6439</v>
      </c>
      <c r="DV34" s="52">
        <v>13.6439</v>
      </c>
      <c r="DW34" s="52">
        <v>13.6439</v>
      </c>
      <c r="DX34" s="52">
        <v>13.6439</v>
      </c>
      <c r="DY34" s="52">
        <v>13.6439</v>
      </c>
      <c r="DZ34" s="52">
        <v>13.6439</v>
      </c>
      <c r="EA34" s="52">
        <v>13.6439</v>
      </c>
      <c r="EB34" s="52">
        <v>13.6439</v>
      </c>
      <c r="EC34" s="52">
        <v>13.6439</v>
      </c>
      <c r="ED34" s="52">
        <v>13.6439</v>
      </c>
      <c r="EE34" s="52">
        <v>13.6439</v>
      </c>
      <c r="EF34" s="52">
        <v>13.6439</v>
      </c>
      <c r="EG34" s="52">
        <v>13.6439</v>
      </c>
      <c r="EH34" s="52">
        <v>13.6439</v>
      </c>
      <c r="EI34" s="52">
        <v>13.6439</v>
      </c>
      <c r="EJ34" s="52">
        <v>13.6439</v>
      </c>
      <c r="EK34" s="52">
        <v>13.6439</v>
      </c>
      <c r="EL34" s="52">
        <v>13.6439</v>
      </c>
      <c r="EM34" s="52">
        <v>13.6439</v>
      </c>
      <c r="EN34" s="52">
        <v>13.6439</v>
      </c>
      <c r="EO34" s="52">
        <v>13.6439</v>
      </c>
      <c r="EP34" s="52">
        <v>13.6439</v>
      </c>
      <c r="EQ34" s="52">
        <v>13.6439</v>
      </c>
      <c r="ER34" s="52">
        <v>13.6439</v>
      </c>
      <c r="ES34" s="52">
        <v>13.6439</v>
      </c>
      <c r="ET34" s="52">
        <v>13.6439</v>
      </c>
      <c r="EU34" s="52">
        <v>13.6439</v>
      </c>
      <c r="EV34" s="52">
        <v>13.6439</v>
      </c>
      <c r="EW34" s="52">
        <v>13.6439</v>
      </c>
      <c r="EX34" s="52">
        <v>13.6439</v>
      </c>
      <c r="EY34" s="52">
        <v>13.6439</v>
      </c>
      <c r="EZ34" s="52">
        <v>13.6439</v>
      </c>
      <c r="FA34" s="52">
        <v>13.6439</v>
      </c>
      <c r="FB34" s="52">
        <v>13.6439</v>
      </c>
      <c r="FC34" s="52">
        <v>13.6439</v>
      </c>
      <c r="FD34" s="52">
        <v>13.6439</v>
      </c>
      <c r="FE34" s="52">
        <v>13.6439</v>
      </c>
      <c r="FF34" s="52">
        <v>13.6439</v>
      </c>
      <c r="FG34" s="52">
        <v>13.6439</v>
      </c>
      <c r="FH34" s="52">
        <v>13.6439</v>
      </c>
      <c r="FI34" s="52">
        <v>13.6439</v>
      </c>
      <c r="FJ34" s="52">
        <v>13.6439</v>
      </c>
      <c r="FK34" s="52">
        <v>13.6439</v>
      </c>
      <c r="FL34" s="52">
        <v>13.6439</v>
      </c>
      <c r="FM34" s="52">
        <v>13.6439</v>
      </c>
      <c r="FN34" s="52">
        <v>13.6439</v>
      </c>
      <c r="FO34" s="52">
        <v>13.6439</v>
      </c>
      <c r="FP34" s="52">
        <v>13.6439</v>
      </c>
      <c r="FQ34" s="52">
        <v>13.6439</v>
      </c>
      <c r="FR34" s="52">
        <v>13.6439</v>
      </c>
      <c r="FS34" s="52">
        <v>13.6439</v>
      </c>
      <c r="FT34" s="52">
        <v>13.6439</v>
      </c>
      <c r="FU34" s="52">
        <v>13.6439</v>
      </c>
      <c r="FV34" s="52">
        <v>13.6439</v>
      </c>
      <c r="FW34" s="52">
        <v>13.6439</v>
      </c>
      <c r="FX34" s="52">
        <v>13.6439</v>
      </c>
      <c r="FY34" s="52">
        <v>13.6439</v>
      </c>
      <c r="FZ34" s="52">
        <v>13.6439</v>
      </c>
      <c r="GA34" s="52">
        <v>13.6439</v>
      </c>
      <c r="GB34" s="52">
        <v>13.6439</v>
      </c>
      <c r="GC34" s="52">
        <v>13.6439</v>
      </c>
      <c r="GD34" s="52">
        <v>13.6439</v>
      </c>
      <c r="GE34" s="52">
        <v>13.6439</v>
      </c>
      <c r="GF34" s="52">
        <v>13.6439</v>
      </c>
      <c r="GG34" s="52">
        <v>13.6439</v>
      </c>
      <c r="GH34" s="52">
        <v>13.6439</v>
      </c>
      <c r="GI34" s="52">
        <v>13.6439</v>
      </c>
      <c r="GJ34" s="52">
        <v>13.6439</v>
      </c>
      <c r="GK34" s="52">
        <v>13.6439</v>
      </c>
      <c r="GL34" s="52">
        <v>13.6439</v>
      </c>
      <c r="GM34" s="52">
        <v>13.6439</v>
      </c>
      <c r="GN34" s="52">
        <v>13.6439</v>
      </c>
      <c r="GO34" s="52">
        <v>13.6439</v>
      </c>
      <c r="GP34" s="52">
        <v>13.6439</v>
      </c>
      <c r="GQ34" s="52">
        <v>13.6439</v>
      </c>
      <c r="GR34" s="52">
        <v>13.6439</v>
      </c>
      <c r="GS34" s="52">
        <v>13.6439</v>
      </c>
      <c r="GT34" s="52">
        <v>13.6439</v>
      </c>
      <c r="GU34" s="52">
        <v>13.6439</v>
      </c>
      <c r="GV34" s="52">
        <v>13.6439</v>
      </c>
      <c r="GW34" s="52">
        <v>13.6439</v>
      </c>
      <c r="GX34" s="52">
        <v>13.6439</v>
      </c>
      <c r="GY34" s="52">
        <v>13.6439</v>
      </c>
      <c r="GZ34" s="52">
        <v>13.6439</v>
      </c>
      <c r="HA34" s="52">
        <v>13.6439</v>
      </c>
      <c r="HB34" s="52">
        <v>13.6439</v>
      </c>
      <c r="HC34" s="52">
        <v>13.6439</v>
      </c>
      <c r="HD34" s="52">
        <v>13.6439</v>
      </c>
      <c r="HE34" s="52">
        <v>13.6439</v>
      </c>
      <c r="HF34" s="52">
        <v>13.6439</v>
      </c>
      <c r="HG34" s="52">
        <v>13.6439</v>
      </c>
      <c r="HH34" s="52">
        <v>13.6439</v>
      </c>
      <c r="HI34" s="52">
        <v>13.6439</v>
      </c>
      <c r="HJ34" s="52">
        <v>13.6439</v>
      </c>
      <c r="HK34" s="52">
        <v>13.6439</v>
      </c>
      <c r="HL34" s="52">
        <v>13.6439</v>
      </c>
      <c r="HM34" s="52">
        <v>13.6439</v>
      </c>
      <c r="HN34" s="52">
        <v>13.6439</v>
      </c>
      <c r="HO34" s="52">
        <v>13.6439</v>
      </c>
      <c r="HP34" s="52">
        <v>13.6439</v>
      </c>
      <c r="HQ34" s="52">
        <v>13.6439</v>
      </c>
      <c r="HR34" s="52">
        <v>13.6439</v>
      </c>
      <c r="HS34" s="52">
        <v>13.6439</v>
      </c>
      <c r="HT34" s="52">
        <v>13.6439</v>
      </c>
      <c r="HU34" s="52">
        <v>13.6439</v>
      </c>
      <c r="HV34" s="52">
        <v>13.6439</v>
      </c>
      <c r="HW34" s="52">
        <v>13.6439</v>
      </c>
      <c r="HX34" s="52">
        <v>13.6439</v>
      </c>
      <c r="HY34" s="52">
        <v>13.6439</v>
      </c>
      <c r="HZ34" s="52">
        <v>13.6439</v>
      </c>
      <c r="IA34" s="52">
        <v>13.6439</v>
      </c>
      <c r="IB34" s="52">
        <v>13.6439</v>
      </c>
      <c r="IC34" s="52">
        <v>13.6439</v>
      </c>
      <c r="ID34" s="52">
        <v>13.6439</v>
      </c>
      <c r="IE34" s="52">
        <v>13.6439</v>
      </c>
      <c r="IF34" s="52">
        <v>13.6439</v>
      </c>
      <c r="IG34" s="52">
        <v>13.6439</v>
      </c>
      <c r="IH34" s="52">
        <v>13.6439</v>
      </c>
      <c r="II34" s="52">
        <v>13.6439</v>
      </c>
      <c r="IJ34" s="52">
        <v>13.6439</v>
      </c>
      <c r="IK34" s="52">
        <v>13.6439</v>
      </c>
      <c r="IL34" s="52">
        <v>13.6439</v>
      </c>
      <c r="IM34" s="52">
        <v>13.6439</v>
      </c>
      <c r="IN34" s="52">
        <v>13.6439</v>
      </c>
      <c r="IO34" s="52">
        <v>13.6439</v>
      </c>
      <c r="IP34" s="52">
        <v>13.6439</v>
      </c>
      <c r="IQ34" s="52">
        <v>13.6439</v>
      </c>
      <c r="IR34" s="52">
        <v>13.6439</v>
      </c>
      <c r="IS34" s="52">
        <v>13.6439</v>
      </c>
      <c r="IT34" s="52">
        <v>13.6439</v>
      </c>
      <c r="IU34" s="52">
        <v>13.6439</v>
      </c>
      <c r="IV34" s="52">
        <v>13.6439</v>
      </c>
      <c r="IW34" s="52">
        <v>13.6439</v>
      </c>
      <c r="IX34" s="52">
        <v>13.6439</v>
      </c>
      <c r="IY34" s="52">
        <v>13.6439</v>
      </c>
      <c r="IZ34" s="52">
        <v>13.6439</v>
      </c>
      <c r="JA34" s="52">
        <v>13.6439</v>
      </c>
      <c r="JB34" s="52">
        <v>13.6439</v>
      </c>
      <c r="JC34" s="52">
        <v>13.6439</v>
      </c>
      <c r="JD34" s="52">
        <v>13.6439</v>
      </c>
      <c r="JE34" s="52">
        <v>13.6439</v>
      </c>
      <c r="JF34" s="52">
        <v>13.6439</v>
      </c>
      <c r="JG34" s="52">
        <v>13.6439</v>
      </c>
      <c r="JH34" s="52">
        <v>13.6439</v>
      </c>
      <c r="JI34" s="52">
        <v>13.6439</v>
      </c>
      <c r="JJ34" s="52">
        <v>13.6439</v>
      </c>
      <c r="JK34" s="52">
        <v>13.6439</v>
      </c>
      <c r="JL34" s="52">
        <v>13.6439</v>
      </c>
      <c r="JM34" s="52">
        <v>13.6439</v>
      </c>
      <c r="JN34" s="52">
        <v>13.6439</v>
      </c>
      <c r="JO34" s="52">
        <v>13.6439</v>
      </c>
      <c r="JP34" s="52">
        <v>13.6439</v>
      </c>
      <c r="JQ34" s="52">
        <v>13.6439</v>
      </c>
      <c r="JR34" s="52">
        <v>13.6439</v>
      </c>
      <c r="JS34" s="52">
        <v>13.6439</v>
      </c>
      <c r="JT34" s="52">
        <v>13.6439</v>
      </c>
      <c r="JU34" s="52">
        <v>13.6439</v>
      </c>
      <c r="JV34" s="52">
        <v>13.6439</v>
      </c>
      <c r="JW34" s="52">
        <v>13.6439</v>
      </c>
      <c r="JX34" s="52">
        <v>13.6439</v>
      </c>
      <c r="JY34" s="52">
        <v>13.6439</v>
      </c>
      <c r="JZ34" s="52">
        <v>13.6439</v>
      </c>
      <c r="KA34" s="52">
        <v>13.6439</v>
      </c>
      <c r="KB34" s="52">
        <v>13.6439</v>
      </c>
      <c r="KC34" s="52">
        <v>13.6439</v>
      </c>
      <c r="KD34" s="52">
        <v>13.6439</v>
      </c>
      <c r="KE34" s="52">
        <v>13.6439</v>
      </c>
      <c r="KF34" s="52">
        <v>13.6439</v>
      </c>
      <c r="KG34" s="52">
        <v>13.6439</v>
      </c>
      <c r="KH34" s="52">
        <v>13.6439</v>
      </c>
      <c r="KI34" s="52">
        <v>13.6439</v>
      </c>
      <c r="KJ34" s="52">
        <v>13.6439</v>
      </c>
      <c r="KK34" s="52">
        <v>13.6439</v>
      </c>
      <c r="KL34" s="52">
        <v>13.6439</v>
      </c>
      <c r="KM34" s="52">
        <v>13.6439</v>
      </c>
      <c r="KN34" s="52">
        <v>13.6439</v>
      </c>
      <c r="KO34" s="52">
        <v>13.6439</v>
      </c>
      <c r="KP34" s="52">
        <v>13.6439</v>
      </c>
      <c r="KQ34" s="52">
        <v>13.6439</v>
      </c>
      <c r="KR34" s="52">
        <v>13.6439</v>
      </c>
      <c r="KS34" s="52">
        <v>13.6439</v>
      </c>
      <c r="KT34" s="52">
        <v>13.6439</v>
      </c>
      <c r="KU34" s="52">
        <v>13.6439</v>
      </c>
      <c r="KV34" s="52">
        <v>13.6439</v>
      </c>
      <c r="KW34" s="52">
        <v>13.6439</v>
      </c>
      <c r="KX34" s="52">
        <v>13.6439</v>
      </c>
      <c r="KY34" s="52">
        <v>13.6439</v>
      </c>
      <c r="KZ34" s="52">
        <v>13.6439</v>
      </c>
      <c r="LA34" s="52">
        <v>13.6439</v>
      </c>
      <c r="LB34" s="52">
        <v>13.6439</v>
      </c>
      <c r="LC34" s="52">
        <v>13.6439</v>
      </c>
      <c r="LD34" s="52">
        <v>13.6439</v>
      </c>
      <c r="LE34" s="52">
        <v>13.6439</v>
      </c>
      <c r="LF34" s="52">
        <v>13.6439</v>
      </c>
      <c r="LG34" s="52">
        <v>13.6439</v>
      </c>
      <c r="LH34" s="52">
        <v>13.6439</v>
      </c>
      <c r="LI34" s="52">
        <v>13.6439</v>
      </c>
      <c r="LJ34" s="52">
        <v>13.6439</v>
      </c>
      <c r="LK34" s="52">
        <v>13.6439</v>
      </c>
      <c r="LL34" s="52">
        <v>13.6439</v>
      </c>
      <c r="LM34" s="52">
        <v>13.9191</v>
      </c>
      <c r="LN34" s="52" t="s">
        <v>668</v>
      </c>
      <c r="LO34" s="52" t="s">
        <v>668</v>
      </c>
      <c r="LP34" s="52" t="s">
        <v>668</v>
      </c>
      <c r="LQ34" s="52" t="s">
        <v>668</v>
      </c>
      <c r="LR34" s="52" t="s">
        <v>668</v>
      </c>
      <c r="LS34" s="52" t="s">
        <v>668</v>
      </c>
      <c r="LT34" s="52" t="s">
        <v>668</v>
      </c>
      <c r="LU34" s="52" t="s">
        <v>668</v>
      </c>
      <c r="LV34" s="52" t="s">
        <v>668</v>
      </c>
      <c r="LW34" s="52" t="s">
        <v>668</v>
      </c>
      <c r="LX34" s="52" t="s">
        <v>668</v>
      </c>
      <c r="LY34" s="52" t="s">
        <v>668</v>
      </c>
      <c r="LZ34" s="52" t="s">
        <v>668</v>
      </c>
      <c r="MA34" s="52" t="s">
        <v>668</v>
      </c>
      <c r="MB34" s="52" t="s">
        <v>668</v>
      </c>
      <c r="MC34" s="52" t="s">
        <v>668</v>
      </c>
      <c r="MD34" s="52" t="s">
        <v>668</v>
      </c>
      <c r="ME34" s="52" t="s">
        <v>668</v>
      </c>
      <c r="MF34" s="52" t="s">
        <v>668</v>
      </c>
      <c r="MG34" s="52" t="s">
        <v>668</v>
      </c>
      <c r="MH34" s="52" t="s">
        <v>668</v>
      </c>
      <c r="MI34" s="52" t="s">
        <v>668</v>
      </c>
      <c r="MJ34" s="52" t="s">
        <v>668</v>
      </c>
      <c r="MK34" s="52" t="s">
        <v>668</v>
      </c>
      <c r="ML34" s="52" t="s">
        <v>668</v>
      </c>
      <c r="MM34" s="52" t="s">
        <v>668</v>
      </c>
      <c r="MN34" s="52" t="s">
        <v>668</v>
      </c>
      <c r="MO34" s="52" t="s">
        <v>668</v>
      </c>
      <c r="MP34" s="52" t="s">
        <v>668</v>
      </c>
      <c r="MQ34" s="52" t="s">
        <v>668</v>
      </c>
      <c r="MR34" s="52" t="s">
        <v>668</v>
      </c>
      <c r="MS34" s="52" t="s">
        <v>668</v>
      </c>
      <c r="MT34" s="52" t="s">
        <v>668</v>
      </c>
      <c r="MU34" s="52" t="s">
        <v>668</v>
      </c>
      <c r="MV34" s="52" t="s">
        <v>668</v>
      </c>
      <c r="MW34" s="52" t="s">
        <v>668</v>
      </c>
      <c r="MX34" s="52" t="s">
        <v>668</v>
      </c>
      <c r="MY34" s="52" t="s">
        <v>668</v>
      </c>
      <c r="MZ34" s="52" t="s">
        <v>668</v>
      </c>
      <c r="NA34" s="52" t="s">
        <v>668</v>
      </c>
      <c r="NB34" s="52" t="s">
        <v>668</v>
      </c>
      <c r="NC34" s="52" t="s">
        <v>668</v>
      </c>
      <c r="ND34" s="52" t="s">
        <v>668</v>
      </c>
      <c r="NE34" s="52" t="s">
        <v>668</v>
      </c>
      <c r="NF34" s="37" t="s">
        <v>668</v>
      </c>
      <c r="NG34" s="37" t="s">
        <v>668</v>
      </c>
      <c r="NH34" s="37" t="s">
        <v>668</v>
      </c>
      <c r="NI34" s="37" t="s">
        <v>668</v>
      </c>
      <c r="NJ34" s="37" t="s">
        <v>668</v>
      </c>
      <c r="NK34" s="37" t="s">
        <v>668</v>
      </c>
      <c r="NL34" s="37" t="s">
        <v>668</v>
      </c>
      <c r="NM34" s="37" t="s">
        <v>668</v>
      </c>
      <c r="NN34" s="37" t="s">
        <v>668</v>
      </c>
      <c r="NO34" s="37" t="s">
        <v>668</v>
      </c>
      <c r="NP34" s="37" t="s">
        <v>668</v>
      </c>
      <c r="NQ34" s="37" t="s">
        <v>668</v>
      </c>
      <c r="NR34" s="37" t="s">
        <v>668</v>
      </c>
      <c r="NS34" s="37" t="s">
        <v>668</v>
      </c>
      <c r="NT34" s="37" t="s">
        <v>668</v>
      </c>
      <c r="NU34" s="37" t="s">
        <v>668</v>
      </c>
      <c r="NV34" s="37" t="s">
        <v>668</v>
      </c>
      <c r="NW34" s="37" t="s">
        <v>668</v>
      </c>
      <c r="NX34" s="37" t="s">
        <v>668</v>
      </c>
      <c r="NY34" s="37" t="s">
        <v>668</v>
      </c>
      <c r="NZ34" s="37" t="s">
        <v>668</v>
      </c>
      <c r="OA34" s="37" t="s">
        <v>668</v>
      </c>
      <c r="OB34" s="37" t="s">
        <v>668</v>
      </c>
      <c r="OC34" s="37" t="s">
        <v>668</v>
      </c>
      <c r="OD34" s="37" t="s">
        <v>668</v>
      </c>
      <c r="OE34" s="37" t="s">
        <v>668</v>
      </c>
      <c r="OF34" s="37" t="s">
        <v>668</v>
      </c>
      <c r="OG34" s="37" t="s">
        <v>668</v>
      </c>
      <c r="OH34" s="37" t="s">
        <v>668</v>
      </c>
      <c r="OI34" s="37" t="s">
        <v>668</v>
      </c>
      <c r="OJ34" s="37" t="s">
        <v>668</v>
      </c>
      <c r="OK34" s="37" t="s">
        <v>668</v>
      </c>
      <c r="OL34" s="37" t="s">
        <v>668</v>
      </c>
      <c r="OM34" s="37" t="s">
        <v>668</v>
      </c>
      <c r="ON34" s="37" t="s">
        <v>668</v>
      </c>
      <c r="OO34" s="37" t="s">
        <v>668</v>
      </c>
      <c r="OP34" s="37" t="s">
        <v>668</v>
      </c>
      <c r="OQ34" s="37" t="s">
        <v>668</v>
      </c>
      <c r="OR34" s="37" t="s">
        <v>668</v>
      </c>
      <c r="OS34" s="37" t="s">
        <v>668</v>
      </c>
      <c r="OT34" s="37" t="s">
        <v>668</v>
      </c>
      <c r="OU34" s="37" t="s">
        <v>668</v>
      </c>
      <c r="OV34" s="37" t="s">
        <v>668</v>
      </c>
      <c r="OW34" s="37" t="s">
        <v>668</v>
      </c>
      <c r="OX34" s="37" t="s">
        <v>668</v>
      </c>
      <c r="OY34" s="37" t="s">
        <v>668</v>
      </c>
      <c r="OZ34" s="37" t="s">
        <v>668</v>
      </c>
      <c r="PA34" s="37" t="s">
        <v>668</v>
      </c>
      <c r="PB34" s="37" t="s">
        <v>668</v>
      </c>
      <c r="PC34" s="37" t="s">
        <v>668</v>
      </c>
      <c r="PD34" s="37" t="s">
        <v>668</v>
      </c>
      <c r="PE34" s="37" t="s">
        <v>668</v>
      </c>
      <c r="PF34" s="37" t="s">
        <v>668</v>
      </c>
      <c r="PG34" s="37" t="s">
        <v>668</v>
      </c>
      <c r="PH34" s="37" t="s">
        <v>668</v>
      </c>
      <c r="PI34" s="37" t="s">
        <v>668</v>
      </c>
      <c r="PJ34" s="37" t="s">
        <v>668</v>
      </c>
      <c r="PK34" s="37" t="s">
        <v>668</v>
      </c>
      <c r="PL34" s="37" t="s">
        <v>668</v>
      </c>
      <c r="PM34" s="37" t="s">
        <v>668</v>
      </c>
      <c r="PN34" s="37" t="s">
        <v>668</v>
      </c>
      <c r="PO34" s="37" t="s">
        <v>668</v>
      </c>
      <c r="PP34" s="37" t="s">
        <v>668</v>
      </c>
      <c r="PQ34" s="37" t="s">
        <v>668</v>
      </c>
      <c r="PR34" s="37" t="s">
        <v>668</v>
      </c>
      <c r="PS34" s="15" t="s">
        <v>668</v>
      </c>
      <c r="PT34" s="15" t="s">
        <v>668</v>
      </c>
      <c r="PU34" s="15" t="s">
        <v>668</v>
      </c>
      <c r="PV34" s="15" t="s">
        <v>668</v>
      </c>
      <c r="PW34" s="15" t="s">
        <v>668</v>
      </c>
      <c r="PX34" s="15" t="s">
        <v>668</v>
      </c>
      <c r="PY34" s="15" t="s">
        <v>668</v>
      </c>
      <c r="PZ34" s="15" t="s">
        <v>668</v>
      </c>
      <c r="QA34" s="15" t="s">
        <v>668</v>
      </c>
      <c r="QB34" s="15" t="s">
        <v>668</v>
      </c>
      <c r="QC34" s="15" t="s">
        <v>668</v>
      </c>
      <c r="QD34" s="15" t="s">
        <v>668</v>
      </c>
      <c r="QE34" s="15" t="s">
        <v>668</v>
      </c>
      <c r="QF34" s="15" t="s">
        <v>668</v>
      </c>
      <c r="QG34" s="15" t="s">
        <v>668</v>
      </c>
      <c r="QH34" s="15" t="s">
        <v>668</v>
      </c>
      <c r="QI34" s="15" t="s">
        <v>668</v>
      </c>
      <c r="QJ34" s="15" t="s">
        <v>668</v>
      </c>
      <c r="QK34" s="15" t="s">
        <v>668</v>
      </c>
      <c r="QL34" s="15" t="s">
        <v>668</v>
      </c>
      <c r="QM34" s="15" t="s">
        <v>668</v>
      </c>
      <c r="QN34" s="15" t="s">
        <v>668</v>
      </c>
      <c r="QO34" s="15" t="s">
        <v>668</v>
      </c>
      <c r="QP34" s="15" t="s">
        <v>668</v>
      </c>
      <c r="QQ34" s="15" t="s">
        <v>668</v>
      </c>
      <c r="QR34" s="15" t="s">
        <v>668</v>
      </c>
      <c r="QS34" s="15" t="s">
        <v>668</v>
      </c>
      <c r="QT34" s="15" t="s">
        <v>668</v>
      </c>
      <c r="QU34" s="15" t="s">
        <v>668</v>
      </c>
      <c r="QV34" s="15" t="s">
        <v>668</v>
      </c>
      <c r="QW34" s="15" t="s">
        <v>668</v>
      </c>
      <c r="QX34" s="15" t="s">
        <v>668</v>
      </c>
      <c r="QY34" s="15" t="s">
        <v>668</v>
      </c>
      <c r="QZ34" s="15" t="s">
        <v>668</v>
      </c>
      <c r="RA34" s="15" t="s">
        <v>668</v>
      </c>
      <c r="RB34" s="15" t="s">
        <v>668</v>
      </c>
      <c r="RC34" s="15" t="s">
        <v>668</v>
      </c>
      <c r="RD34" s="15" t="s">
        <v>668</v>
      </c>
      <c r="RE34" s="15" t="s">
        <v>668</v>
      </c>
      <c r="RF34" s="15" t="s">
        <v>668</v>
      </c>
      <c r="RG34" s="15" t="s">
        <v>668</v>
      </c>
      <c r="RH34" s="15" t="s">
        <v>668</v>
      </c>
      <c r="RI34" s="15" t="s">
        <v>668</v>
      </c>
      <c r="RJ34" s="15" t="s">
        <v>668</v>
      </c>
      <c r="RK34" s="15" t="s">
        <v>668</v>
      </c>
      <c r="RL34" s="15" t="s">
        <v>668</v>
      </c>
      <c r="RM34" s="15" t="s">
        <v>668</v>
      </c>
      <c r="RN34" s="15" t="s">
        <v>668</v>
      </c>
      <c r="RO34" s="15" t="s">
        <v>668</v>
      </c>
      <c r="RP34" s="15" t="s">
        <v>668</v>
      </c>
      <c r="RQ34" s="15" t="s">
        <v>668</v>
      </c>
      <c r="RR34" s="15" t="s">
        <v>668</v>
      </c>
      <c r="RS34" s="15" t="s">
        <v>668</v>
      </c>
      <c r="RT34" s="15" t="s">
        <v>668</v>
      </c>
      <c r="RU34" s="15" t="s">
        <v>668</v>
      </c>
      <c r="RV34" s="15" t="s">
        <v>668</v>
      </c>
      <c r="RW34" s="15" t="s">
        <v>668</v>
      </c>
      <c r="RX34" s="15" t="s">
        <v>668</v>
      </c>
      <c r="RY34" s="15" t="s">
        <v>668</v>
      </c>
      <c r="RZ34" s="15" t="s">
        <v>668</v>
      </c>
      <c r="SA34" s="15" t="s">
        <v>668</v>
      </c>
      <c r="SB34" s="15" t="s">
        <v>668</v>
      </c>
      <c r="SC34" s="15" t="s">
        <v>668</v>
      </c>
      <c r="SD34" s="15" t="s">
        <v>668</v>
      </c>
      <c r="SE34" s="15" t="s">
        <v>668</v>
      </c>
      <c r="SF34" s="15" t="s">
        <v>668</v>
      </c>
      <c r="SG34" s="15" t="s">
        <v>668</v>
      </c>
      <c r="SH34" s="15" t="s">
        <v>668</v>
      </c>
      <c r="SI34" s="15" t="s">
        <v>668</v>
      </c>
      <c r="SJ34" s="15" t="s">
        <v>668</v>
      </c>
      <c r="SK34" s="15" t="s">
        <v>668</v>
      </c>
      <c r="SL34" s="15" t="s">
        <v>668</v>
      </c>
    </row>
    <row r="35" spans="1:507" x14ac:dyDescent="0.2">
      <c r="A35" s="37">
        <v>33</v>
      </c>
      <c r="B35" s="15" t="s">
        <v>631</v>
      </c>
      <c r="C35" s="17">
        <f>+'Detalle Compras'!D35</f>
        <v>202506190037</v>
      </c>
      <c r="D35" s="55">
        <f t="shared" si="13"/>
        <v>11.5928</v>
      </c>
      <c r="E35" s="14">
        <f>+IF(B35="","",'Detalle Compras'!S35+0)</f>
        <v>45879</v>
      </c>
      <c r="F35" s="14">
        <f>+IF(B35="","",EOMONTH('Detalle Compras'!S35,G35)+10)</f>
        <v>60520</v>
      </c>
      <c r="G35" s="50">
        <f t="shared" si="14"/>
        <v>480</v>
      </c>
      <c r="H35" s="50">
        <f t="shared" si="15"/>
        <v>474</v>
      </c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  <c r="Y35" s="52"/>
      <c r="Z35" s="52">
        <v>11.5928</v>
      </c>
      <c r="AA35" s="52">
        <v>11.5928</v>
      </c>
      <c r="AB35" s="52">
        <v>11.5928</v>
      </c>
      <c r="AC35" s="52">
        <v>11.5928</v>
      </c>
      <c r="AD35" s="52">
        <v>11.5928</v>
      </c>
      <c r="AE35" s="52">
        <v>11.5928</v>
      </c>
      <c r="AF35" s="52">
        <v>11.5928</v>
      </c>
      <c r="AG35" s="52">
        <v>11.5928</v>
      </c>
      <c r="AH35" s="52">
        <v>11.5928</v>
      </c>
      <c r="AI35" s="52">
        <v>11.5928</v>
      </c>
      <c r="AJ35" s="52">
        <v>11.5928</v>
      </c>
      <c r="AK35" s="52">
        <v>11.5928</v>
      </c>
      <c r="AL35" s="52">
        <v>11.5928</v>
      </c>
      <c r="AM35" s="52">
        <v>11.5928</v>
      </c>
      <c r="AN35" s="52">
        <v>11.5928</v>
      </c>
      <c r="AO35" s="52">
        <v>11.5928</v>
      </c>
      <c r="AP35" s="52">
        <v>11.5928</v>
      </c>
      <c r="AQ35" s="52">
        <v>11.5928</v>
      </c>
      <c r="AR35" s="52">
        <v>11.5928</v>
      </c>
      <c r="AS35" s="52">
        <v>11.5928</v>
      </c>
      <c r="AT35" s="52">
        <v>11.5928</v>
      </c>
      <c r="AU35" s="52">
        <v>11.5928</v>
      </c>
      <c r="AV35" s="52">
        <v>11.5928</v>
      </c>
      <c r="AW35" s="52">
        <v>11.5928</v>
      </c>
      <c r="AX35" s="52">
        <v>11.5928</v>
      </c>
      <c r="AY35" s="52">
        <v>11.5928</v>
      </c>
      <c r="AZ35" s="52">
        <v>11.5928</v>
      </c>
      <c r="BA35" s="52">
        <v>11.5928</v>
      </c>
      <c r="BB35" s="52">
        <v>11.5928</v>
      </c>
      <c r="BC35" s="52">
        <v>11.5928</v>
      </c>
      <c r="BD35" s="52">
        <v>11.5928</v>
      </c>
      <c r="BE35" s="52">
        <v>11.5928</v>
      </c>
      <c r="BF35" s="52">
        <v>11.5928</v>
      </c>
      <c r="BG35" s="52">
        <v>11.5928</v>
      </c>
      <c r="BH35" s="52">
        <v>11.5928</v>
      </c>
      <c r="BI35" s="52">
        <v>11.5928</v>
      </c>
      <c r="BJ35" s="52">
        <v>11.5928</v>
      </c>
      <c r="BK35" s="52">
        <v>11.5928</v>
      </c>
      <c r="BL35" s="52">
        <v>11.5928</v>
      </c>
      <c r="BM35" s="52">
        <v>11.5928</v>
      </c>
      <c r="BN35" s="52">
        <v>11.5928</v>
      </c>
      <c r="BO35" s="52">
        <v>11.5928</v>
      </c>
      <c r="BP35" s="52">
        <v>11.5928</v>
      </c>
      <c r="BQ35" s="52">
        <v>11.5928</v>
      </c>
      <c r="BR35" s="52">
        <v>11.5928</v>
      </c>
      <c r="BS35" s="52">
        <v>11.5928</v>
      </c>
      <c r="BT35" s="52">
        <v>11.5928</v>
      </c>
      <c r="BU35" s="52">
        <v>11.5928</v>
      </c>
      <c r="BV35" s="52">
        <v>11.5928</v>
      </c>
      <c r="BW35" s="52">
        <v>11.5928</v>
      </c>
      <c r="BX35" s="52">
        <v>11.5928</v>
      </c>
      <c r="BY35" s="52">
        <v>11.5928</v>
      </c>
      <c r="BZ35" s="52">
        <v>11.5928</v>
      </c>
      <c r="CA35" s="52">
        <v>11.5928</v>
      </c>
      <c r="CB35" s="52">
        <v>11.5928</v>
      </c>
      <c r="CC35" s="52">
        <v>11.5928</v>
      </c>
      <c r="CD35" s="52">
        <v>11.5928</v>
      </c>
      <c r="CE35" s="52">
        <v>11.5928</v>
      </c>
      <c r="CF35" s="52">
        <v>11.5928</v>
      </c>
      <c r="CG35" s="52">
        <v>11.5928</v>
      </c>
      <c r="CH35" s="52">
        <v>11.5928</v>
      </c>
      <c r="CI35" s="52">
        <v>11.5928</v>
      </c>
      <c r="CJ35" s="52">
        <v>11.5928</v>
      </c>
      <c r="CK35" s="52">
        <v>11.5928</v>
      </c>
      <c r="CL35" s="52">
        <v>11.5928</v>
      </c>
      <c r="CM35" s="52">
        <v>11.5928</v>
      </c>
      <c r="CN35" s="52">
        <v>11.5928</v>
      </c>
      <c r="CO35" s="52">
        <v>11.5928</v>
      </c>
      <c r="CP35" s="52">
        <v>11.5928</v>
      </c>
      <c r="CQ35" s="52">
        <v>11.5928</v>
      </c>
      <c r="CR35" s="52">
        <v>11.5928</v>
      </c>
      <c r="CS35" s="52">
        <v>11.5928</v>
      </c>
      <c r="CT35" s="52">
        <v>11.5928</v>
      </c>
      <c r="CU35" s="52">
        <v>11.5928</v>
      </c>
      <c r="CV35" s="52">
        <v>11.5928</v>
      </c>
      <c r="CW35" s="52">
        <v>11.5928</v>
      </c>
      <c r="CX35" s="52">
        <v>11.5928</v>
      </c>
      <c r="CY35" s="52">
        <v>11.5928</v>
      </c>
      <c r="CZ35" s="52">
        <v>11.5928</v>
      </c>
      <c r="DA35" s="52">
        <v>11.5928</v>
      </c>
      <c r="DB35" s="52">
        <v>11.5928</v>
      </c>
      <c r="DC35" s="52">
        <v>11.5928</v>
      </c>
      <c r="DD35" s="52">
        <v>11.5928</v>
      </c>
      <c r="DE35" s="52">
        <v>11.5928</v>
      </c>
      <c r="DF35" s="52">
        <v>11.5928</v>
      </c>
      <c r="DG35" s="52">
        <v>11.5928</v>
      </c>
      <c r="DH35" s="52">
        <v>11.5928</v>
      </c>
      <c r="DI35" s="52">
        <v>11.5928</v>
      </c>
      <c r="DJ35" s="52">
        <v>11.5928</v>
      </c>
      <c r="DK35" s="52">
        <v>11.5928</v>
      </c>
      <c r="DL35" s="52">
        <v>11.5928</v>
      </c>
      <c r="DM35" s="52">
        <v>11.5928</v>
      </c>
      <c r="DN35" s="52">
        <v>11.5928</v>
      </c>
      <c r="DO35" s="52">
        <v>11.5928</v>
      </c>
      <c r="DP35" s="52">
        <v>11.5928</v>
      </c>
      <c r="DQ35" s="52">
        <v>11.5928</v>
      </c>
      <c r="DR35" s="52">
        <v>11.5928</v>
      </c>
      <c r="DS35" s="52">
        <v>11.5928</v>
      </c>
      <c r="DT35" s="52">
        <v>11.5928</v>
      </c>
      <c r="DU35" s="52">
        <v>11.5928</v>
      </c>
      <c r="DV35" s="52">
        <v>11.5928</v>
      </c>
      <c r="DW35" s="52">
        <v>11.5928</v>
      </c>
      <c r="DX35" s="52">
        <v>11.5928</v>
      </c>
      <c r="DY35" s="52">
        <v>11.5928</v>
      </c>
      <c r="DZ35" s="52">
        <v>11.5928</v>
      </c>
      <c r="EA35" s="52">
        <v>11.5928</v>
      </c>
      <c r="EB35" s="52">
        <v>11.5928</v>
      </c>
      <c r="EC35" s="52">
        <v>11.5928</v>
      </c>
      <c r="ED35" s="52">
        <v>11.5928</v>
      </c>
      <c r="EE35" s="52">
        <v>11.5928</v>
      </c>
      <c r="EF35" s="52">
        <v>11.5928</v>
      </c>
      <c r="EG35" s="52">
        <v>11.5928</v>
      </c>
      <c r="EH35" s="52">
        <v>11.5928</v>
      </c>
      <c r="EI35" s="52">
        <v>11.5928</v>
      </c>
      <c r="EJ35" s="52">
        <v>11.5928</v>
      </c>
      <c r="EK35" s="52">
        <v>11.5928</v>
      </c>
      <c r="EL35" s="52">
        <v>11.5928</v>
      </c>
      <c r="EM35" s="52">
        <v>11.5928</v>
      </c>
      <c r="EN35" s="52">
        <v>11.5928</v>
      </c>
      <c r="EO35" s="52">
        <v>11.5928</v>
      </c>
      <c r="EP35" s="52">
        <v>11.5928</v>
      </c>
      <c r="EQ35" s="52">
        <v>11.5928</v>
      </c>
      <c r="ER35" s="52">
        <v>11.5928</v>
      </c>
      <c r="ES35" s="52">
        <v>11.5928</v>
      </c>
      <c r="ET35" s="52">
        <v>11.5928</v>
      </c>
      <c r="EU35" s="52">
        <v>11.5928</v>
      </c>
      <c r="EV35" s="52">
        <v>11.5928</v>
      </c>
      <c r="EW35" s="52">
        <v>11.5928</v>
      </c>
      <c r="EX35" s="52">
        <v>11.5928</v>
      </c>
      <c r="EY35" s="52">
        <v>11.5928</v>
      </c>
      <c r="EZ35" s="52">
        <v>11.5928</v>
      </c>
      <c r="FA35" s="52">
        <v>11.5928</v>
      </c>
      <c r="FB35" s="52">
        <v>11.5928</v>
      </c>
      <c r="FC35" s="52">
        <v>11.5928</v>
      </c>
      <c r="FD35" s="52">
        <v>11.5928</v>
      </c>
      <c r="FE35" s="52">
        <v>11.5928</v>
      </c>
      <c r="FF35" s="52">
        <v>11.5928</v>
      </c>
      <c r="FG35" s="52">
        <v>11.5928</v>
      </c>
      <c r="FH35" s="52">
        <v>11.5928</v>
      </c>
      <c r="FI35" s="52">
        <v>11.5928</v>
      </c>
      <c r="FJ35" s="52">
        <v>11.5928</v>
      </c>
      <c r="FK35" s="52">
        <v>11.5928</v>
      </c>
      <c r="FL35" s="52">
        <v>11.5928</v>
      </c>
      <c r="FM35" s="52">
        <v>11.5928</v>
      </c>
      <c r="FN35" s="52">
        <v>11.5928</v>
      </c>
      <c r="FO35" s="52">
        <v>11.5928</v>
      </c>
      <c r="FP35" s="52">
        <v>11.5928</v>
      </c>
      <c r="FQ35" s="52">
        <v>11.5928</v>
      </c>
      <c r="FR35" s="52">
        <v>11.5928</v>
      </c>
      <c r="FS35" s="52">
        <v>11.5928</v>
      </c>
      <c r="FT35" s="52">
        <v>11.5928</v>
      </c>
      <c r="FU35" s="52">
        <v>11.5928</v>
      </c>
      <c r="FV35" s="52">
        <v>11.5928</v>
      </c>
      <c r="FW35" s="52">
        <v>11.5928</v>
      </c>
      <c r="FX35" s="52">
        <v>11.5928</v>
      </c>
      <c r="FY35" s="52">
        <v>11.5928</v>
      </c>
      <c r="FZ35" s="52">
        <v>11.5928</v>
      </c>
      <c r="GA35" s="52">
        <v>11.5928</v>
      </c>
      <c r="GB35" s="52">
        <v>11.5928</v>
      </c>
      <c r="GC35" s="52">
        <v>11.5928</v>
      </c>
      <c r="GD35" s="52">
        <v>11.5928</v>
      </c>
      <c r="GE35" s="52">
        <v>11.5928</v>
      </c>
      <c r="GF35" s="52">
        <v>11.5928</v>
      </c>
      <c r="GG35" s="52">
        <v>11.5928</v>
      </c>
      <c r="GH35" s="52">
        <v>11.5928</v>
      </c>
      <c r="GI35" s="52">
        <v>11.5928</v>
      </c>
      <c r="GJ35" s="52">
        <v>11.5928</v>
      </c>
      <c r="GK35" s="52">
        <v>11.5928</v>
      </c>
      <c r="GL35" s="52">
        <v>11.5928</v>
      </c>
      <c r="GM35" s="52">
        <v>11.5928</v>
      </c>
      <c r="GN35" s="52">
        <v>11.5928</v>
      </c>
      <c r="GO35" s="52">
        <v>11.5928</v>
      </c>
      <c r="GP35" s="52">
        <v>11.5928</v>
      </c>
      <c r="GQ35" s="52">
        <v>11.5928</v>
      </c>
      <c r="GR35" s="52">
        <v>11.5928</v>
      </c>
      <c r="GS35" s="52">
        <v>11.5928</v>
      </c>
      <c r="GT35" s="52">
        <v>11.5928</v>
      </c>
      <c r="GU35" s="52">
        <v>11.5928</v>
      </c>
      <c r="GV35" s="52">
        <v>11.5928</v>
      </c>
      <c r="GW35" s="52">
        <v>11.5928</v>
      </c>
      <c r="GX35" s="52">
        <v>11.5928</v>
      </c>
      <c r="GY35" s="52">
        <v>11.5928</v>
      </c>
      <c r="GZ35" s="52">
        <v>11.5928</v>
      </c>
      <c r="HA35" s="52">
        <v>11.5928</v>
      </c>
      <c r="HB35" s="52">
        <v>11.5928</v>
      </c>
      <c r="HC35" s="52">
        <v>11.5928</v>
      </c>
      <c r="HD35" s="52">
        <v>11.5928</v>
      </c>
      <c r="HE35" s="52">
        <v>11.5928</v>
      </c>
      <c r="HF35" s="52">
        <v>11.5928</v>
      </c>
      <c r="HG35" s="52">
        <v>11.5928</v>
      </c>
      <c r="HH35" s="52">
        <v>11.5928</v>
      </c>
      <c r="HI35" s="52">
        <v>11.5928</v>
      </c>
      <c r="HJ35" s="52">
        <v>11.5928</v>
      </c>
      <c r="HK35" s="52">
        <v>11.5928</v>
      </c>
      <c r="HL35" s="52">
        <v>11.5928</v>
      </c>
      <c r="HM35" s="52">
        <v>11.5928</v>
      </c>
      <c r="HN35" s="52">
        <v>11.5928</v>
      </c>
      <c r="HO35" s="52">
        <v>11.5928</v>
      </c>
      <c r="HP35" s="52">
        <v>11.5928</v>
      </c>
      <c r="HQ35" s="52">
        <v>11.5928</v>
      </c>
      <c r="HR35" s="52">
        <v>11.5928</v>
      </c>
      <c r="HS35" s="52">
        <v>11.5928</v>
      </c>
      <c r="HT35" s="52">
        <v>11.5928</v>
      </c>
      <c r="HU35" s="52">
        <v>11.5928</v>
      </c>
      <c r="HV35" s="52">
        <v>11.5928</v>
      </c>
      <c r="HW35" s="52">
        <v>11.5928</v>
      </c>
      <c r="HX35" s="52">
        <v>11.5928</v>
      </c>
      <c r="HY35" s="52">
        <v>11.5928</v>
      </c>
      <c r="HZ35" s="52">
        <v>11.5928</v>
      </c>
      <c r="IA35" s="52">
        <v>11.5928</v>
      </c>
      <c r="IB35" s="52">
        <v>11.5928</v>
      </c>
      <c r="IC35" s="52">
        <v>11.5928</v>
      </c>
      <c r="ID35" s="52">
        <v>11.5928</v>
      </c>
      <c r="IE35" s="52">
        <v>11.5928</v>
      </c>
      <c r="IF35" s="52">
        <v>11.5928</v>
      </c>
      <c r="IG35" s="52">
        <v>11.5928</v>
      </c>
      <c r="IH35" s="52">
        <v>11.5928</v>
      </c>
      <c r="II35" s="52">
        <v>11.5928</v>
      </c>
      <c r="IJ35" s="52">
        <v>11.5928</v>
      </c>
      <c r="IK35" s="52">
        <v>11.5928</v>
      </c>
      <c r="IL35" s="52">
        <v>11.5928</v>
      </c>
      <c r="IM35" s="52">
        <v>11.5928</v>
      </c>
      <c r="IN35" s="52">
        <v>11.5928</v>
      </c>
      <c r="IO35" s="52">
        <v>11.5928</v>
      </c>
      <c r="IP35" s="52">
        <v>11.5928</v>
      </c>
      <c r="IQ35" s="52">
        <v>11.5928</v>
      </c>
      <c r="IR35" s="52">
        <v>11.5928</v>
      </c>
      <c r="IS35" s="52">
        <v>11.5928</v>
      </c>
      <c r="IT35" s="52">
        <v>11.5928</v>
      </c>
      <c r="IU35" s="52">
        <v>11.5928</v>
      </c>
      <c r="IV35" s="52">
        <v>11.5928</v>
      </c>
      <c r="IW35" s="52">
        <v>11.5928</v>
      </c>
      <c r="IX35" s="52">
        <v>11.5928</v>
      </c>
      <c r="IY35" s="52">
        <v>11.5928</v>
      </c>
      <c r="IZ35" s="52">
        <v>11.5928</v>
      </c>
      <c r="JA35" s="52">
        <v>11.5928</v>
      </c>
      <c r="JB35" s="52">
        <v>11.5928</v>
      </c>
      <c r="JC35" s="52">
        <v>11.5928</v>
      </c>
      <c r="JD35" s="52">
        <v>11.5928</v>
      </c>
      <c r="JE35" s="52">
        <v>11.5928</v>
      </c>
      <c r="JF35" s="52">
        <v>11.5928</v>
      </c>
      <c r="JG35" s="52">
        <v>11.5928</v>
      </c>
      <c r="JH35" s="52">
        <v>11.5928</v>
      </c>
      <c r="JI35" s="52">
        <v>11.5928</v>
      </c>
      <c r="JJ35" s="52">
        <v>11.5928</v>
      </c>
      <c r="JK35" s="52">
        <v>11.5928</v>
      </c>
      <c r="JL35" s="52">
        <v>11.5928</v>
      </c>
      <c r="JM35" s="52">
        <v>11.5928</v>
      </c>
      <c r="JN35" s="52">
        <v>11.5928</v>
      </c>
      <c r="JO35" s="52">
        <v>11.5928</v>
      </c>
      <c r="JP35" s="52">
        <v>11.5928</v>
      </c>
      <c r="JQ35" s="52">
        <v>11.5928</v>
      </c>
      <c r="JR35" s="52">
        <v>11.5928</v>
      </c>
      <c r="JS35" s="52">
        <v>11.5928</v>
      </c>
      <c r="JT35" s="52">
        <v>11.5928</v>
      </c>
      <c r="JU35" s="52">
        <v>11.5928</v>
      </c>
      <c r="JV35" s="52">
        <v>11.5928</v>
      </c>
      <c r="JW35" s="52">
        <v>11.5928</v>
      </c>
      <c r="JX35" s="52">
        <v>11.5928</v>
      </c>
      <c r="JY35" s="52">
        <v>11.5928</v>
      </c>
      <c r="JZ35" s="52">
        <v>11.5928</v>
      </c>
      <c r="KA35" s="52">
        <v>11.5928</v>
      </c>
      <c r="KB35" s="52">
        <v>11.5928</v>
      </c>
      <c r="KC35" s="52">
        <v>11.5928</v>
      </c>
      <c r="KD35" s="52">
        <v>11.5928</v>
      </c>
      <c r="KE35" s="52">
        <v>11.5928</v>
      </c>
      <c r="KF35" s="52">
        <v>11.5928</v>
      </c>
      <c r="KG35" s="52">
        <v>11.5928</v>
      </c>
      <c r="KH35" s="52">
        <v>11.5928</v>
      </c>
      <c r="KI35" s="52">
        <v>11.5928</v>
      </c>
      <c r="KJ35" s="52">
        <v>11.5928</v>
      </c>
      <c r="KK35" s="52">
        <v>11.5928</v>
      </c>
      <c r="KL35" s="52">
        <v>11.5928</v>
      </c>
      <c r="KM35" s="52">
        <v>11.5928</v>
      </c>
      <c r="KN35" s="52">
        <v>11.5928</v>
      </c>
      <c r="KO35" s="52">
        <v>11.5928</v>
      </c>
      <c r="KP35" s="52">
        <v>11.5928</v>
      </c>
      <c r="KQ35" s="52">
        <v>11.5928</v>
      </c>
      <c r="KR35" s="52">
        <v>11.5928</v>
      </c>
      <c r="KS35" s="52">
        <v>11.5928</v>
      </c>
      <c r="KT35" s="52">
        <v>11.5928</v>
      </c>
      <c r="KU35" s="52">
        <v>11.5928</v>
      </c>
      <c r="KV35" s="52">
        <v>11.5928</v>
      </c>
      <c r="KW35" s="52">
        <v>11.5928</v>
      </c>
      <c r="KX35" s="52">
        <v>11.5928</v>
      </c>
      <c r="KY35" s="52">
        <v>11.5928</v>
      </c>
      <c r="KZ35" s="52">
        <v>11.5928</v>
      </c>
      <c r="LA35" s="52">
        <v>11.5928</v>
      </c>
      <c r="LB35" s="52">
        <v>11.5928</v>
      </c>
      <c r="LC35" s="52">
        <v>11.5928</v>
      </c>
      <c r="LD35" s="52">
        <v>11.5928</v>
      </c>
      <c r="LE35" s="52">
        <v>11.5928</v>
      </c>
      <c r="LF35" s="52">
        <v>11.5928</v>
      </c>
      <c r="LG35" s="52">
        <v>11.5928</v>
      </c>
      <c r="LH35" s="52">
        <v>11.5928</v>
      </c>
      <c r="LI35" s="52">
        <v>11.5928</v>
      </c>
      <c r="LJ35" s="52">
        <v>11.5928</v>
      </c>
      <c r="LK35" s="52">
        <v>11.5928</v>
      </c>
      <c r="LL35" s="52">
        <v>11.5928</v>
      </c>
      <c r="LM35" s="52">
        <v>11.5928</v>
      </c>
      <c r="LN35" s="52">
        <v>11.5928</v>
      </c>
      <c r="LO35" s="52">
        <v>11.5928</v>
      </c>
      <c r="LP35" s="52">
        <v>11.5928</v>
      </c>
      <c r="LQ35" s="52">
        <v>11.5928</v>
      </c>
      <c r="LR35" s="52">
        <v>11.5928</v>
      </c>
      <c r="LS35" s="52">
        <v>11.5928</v>
      </c>
      <c r="LT35" s="52">
        <v>11.5928</v>
      </c>
      <c r="LU35" s="52">
        <v>11.5928</v>
      </c>
      <c r="LV35" s="52">
        <v>11.5928</v>
      </c>
      <c r="LW35" s="52">
        <v>11.5928</v>
      </c>
      <c r="LX35" s="52">
        <v>11.5928</v>
      </c>
      <c r="LY35" s="52">
        <v>11.5928</v>
      </c>
      <c r="LZ35" s="52">
        <v>11.5928</v>
      </c>
      <c r="MA35" s="52">
        <v>11.5928</v>
      </c>
      <c r="MB35" s="52">
        <v>11.5928</v>
      </c>
      <c r="MC35" s="52">
        <v>11.5928</v>
      </c>
      <c r="MD35" s="52">
        <v>11.5928</v>
      </c>
      <c r="ME35" s="52">
        <v>11.5928</v>
      </c>
      <c r="MF35" s="52">
        <v>11.5928</v>
      </c>
      <c r="MG35" s="52">
        <v>11.5928</v>
      </c>
      <c r="MH35" s="52">
        <v>11.5928</v>
      </c>
      <c r="MI35" s="52">
        <v>11.5928</v>
      </c>
      <c r="MJ35" s="52">
        <v>11.5928</v>
      </c>
      <c r="MK35" s="52">
        <v>11.5928</v>
      </c>
      <c r="ML35" s="52">
        <v>11.5928</v>
      </c>
      <c r="MM35" s="52">
        <v>11.5928</v>
      </c>
      <c r="MN35" s="52">
        <v>11.5928</v>
      </c>
      <c r="MO35" s="52">
        <v>11.5928</v>
      </c>
      <c r="MP35" s="52">
        <v>11.5928</v>
      </c>
      <c r="MQ35" s="52">
        <v>11.5928</v>
      </c>
      <c r="MR35" s="52">
        <v>11.5928</v>
      </c>
      <c r="MS35" s="52">
        <v>11.5928</v>
      </c>
      <c r="MT35" s="52">
        <v>11.5928</v>
      </c>
      <c r="MU35" s="52">
        <v>11.5928</v>
      </c>
      <c r="MV35" s="52">
        <v>11.5928</v>
      </c>
      <c r="MW35" s="52">
        <v>11.5928</v>
      </c>
      <c r="MX35" s="52">
        <v>11.5928</v>
      </c>
      <c r="MY35" s="52">
        <v>11.5928</v>
      </c>
      <c r="MZ35" s="52">
        <v>11.5928</v>
      </c>
      <c r="NA35" s="52">
        <v>11.5928</v>
      </c>
      <c r="NB35" s="52">
        <v>11.5928</v>
      </c>
      <c r="NC35" s="52">
        <v>11.5928</v>
      </c>
      <c r="ND35" s="52">
        <v>11.5928</v>
      </c>
      <c r="NE35" s="52">
        <v>11.5928</v>
      </c>
      <c r="NF35" s="37">
        <v>11.5928</v>
      </c>
      <c r="NG35" s="37">
        <v>11.5928</v>
      </c>
      <c r="NH35" s="37">
        <v>11.5928</v>
      </c>
      <c r="NI35" s="37">
        <v>11.5928</v>
      </c>
      <c r="NJ35" s="37">
        <v>11.5928</v>
      </c>
      <c r="NK35" s="37">
        <v>11.5928</v>
      </c>
      <c r="NL35" s="37">
        <v>11.5928</v>
      </c>
      <c r="NM35" s="37">
        <v>11.5928</v>
      </c>
      <c r="NN35" s="37">
        <v>11.5928</v>
      </c>
      <c r="NO35" s="37">
        <v>11.5928</v>
      </c>
      <c r="NP35" s="37">
        <v>11.5928</v>
      </c>
      <c r="NQ35" s="37">
        <v>11.5928</v>
      </c>
      <c r="NR35" s="37">
        <v>11.5928</v>
      </c>
      <c r="NS35" s="37">
        <v>11.5928</v>
      </c>
      <c r="NT35" s="37">
        <v>11.5928</v>
      </c>
      <c r="NU35" s="37">
        <v>11.5928</v>
      </c>
      <c r="NV35" s="37">
        <v>11.5928</v>
      </c>
      <c r="NW35" s="37">
        <v>11.5928</v>
      </c>
      <c r="NX35" s="37">
        <v>11.5928</v>
      </c>
      <c r="NY35" s="37">
        <v>11.5928</v>
      </c>
      <c r="NZ35" s="37">
        <v>11.5928</v>
      </c>
      <c r="OA35" s="37">
        <v>11.5928</v>
      </c>
      <c r="OB35" s="37">
        <v>11.5928</v>
      </c>
      <c r="OC35" s="37">
        <v>11.5928</v>
      </c>
      <c r="OD35" s="37">
        <v>11.5928</v>
      </c>
      <c r="OE35" s="37">
        <v>11.5928</v>
      </c>
      <c r="OF35" s="37">
        <v>11.5928</v>
      </c>
      <c r="OG35" s="37">
        <v>11.5928</v>
      </c>
      <c r="OH35" s="37">
        <v>11.5928</v>
      </c>
      <c r="OI35" s="37">
        <v>11.5928</v>
      </c>
      <c r="OJ35" s="37">
        <v>11.5928</v>
      </c>
      <c r="OK35" s="37">
        <v>11.5928</v>
      </c>
      <c r="OL35" s="37">
        <v>11.5928</v>
      </c>
      <c r="OM35" s="37">
        <v>11.5928</v>
      </c>
      <c r="ON35" s="37">
        <v>11.5928</v>
      </c>
      <c r="OO35" s="37">
        <v>11.5928</v>
      </c>
      <c r="OP35" s="37">
        <v>11.5928</v>
      </c>
      <c r="OQ35" s="37">
        <v>11.5928</v>
      </c>
      <c r="OR35" s="37">
        <v>11.5928</v>
      </c>
      <c r="OS35" s="37">
        <v>11.5928</v>
      </c>
      <c r="OT35" s="37">
        <v>11.5928</v>
      </c>
      <c r="OU35" s="37">
        <v>11.5928</v>
      </c>
      <c r="OV35" s="37">
        <v>11.5928</v>
      </c>
      <c r="OW35" s="37">
        <v>11.5928</v>
      </c>
      <c r="OX35" s="37">
        <v>11.5928</v>
      </c>
      <c r="OY35" s="37">
        <v>11.5928</v>
      </c>
      <c r="OZ35" s="37">
        <v>11.5928</v>
      </c>
      <c r="PA35" s="37">
        <v>11.5928</v>
      </c>
      <c r="PB35" s="37">
        <v>11.5928</v>
      </c>
      <c r="PC35" s="37">
        <v>11.5928</v>
      </c>
      <c r="PD35" s="37">
        <v>11.5928</v>
      </c>
      <c r="PE35" s="37">
        <v>11.5928</v>
      </c>
      <c r="PF35" s="37">
        <v>11.5928</v>
      </c>
      <c r="PG35" s="37">
        <v>11.5928</v>
      </c>
      <c r="PH35" s="37">
        <v>11.5928</v>
      </c>
      <c r="PI35" s="37">
        <v>11.5928</v>
      </c>
      <c r="PJ35" s="37">
        <v>11.5928</v>
      </c>
      <c r="PK35" s="37">
        <v>11.5928</v>
      </c>
      <c r="PL35" s="37">
        <v>11.5928</v>
      </c>
      <c r="PM35" s="37">
        <v>11.5928</v>
      </c>
      <c r="PN35" s="37">
        <v>11.5928</v>
      </c>
      <c r="PO35" s="37">
        <v>11.5928</v>
      </c>
      <c r="PP35" s="37">
        <v>11.5928</v>
      </c>
      <c r="PQ35" s="37">
        <v>11.5928</v>
      </c>
      <c r="PR35" s="37">
        <v>11.5928</v>
      </c>
      <c r="PS35" s="15">
        <v>11.5928</v>
      </c>
      <c r="PT35" s="15">
        <v>11.5928</v>
      </c>
      <c r="PU35" s="15">
        <v>11.5928</v>
      </c>
      <c r="PV35" s="15">
        <v>11.5928</v>
      </c>
      <c r="PW35" s="15">
        <v>11.5928</v>
      </c>
      <c r="PX35" s="15">
        <v>11.5928</v>
      </c>
      <c r="PY35" s="15">
        <v>11.5928</v>
      </c>
      <c r="PZ35" s="15">
        <v>11.5928</v>
      </c>
      <c r="QA35" s="15">
        <v>11.5928</v>
      </c>
      <c r="QB35" s="15">
        <v>11.5928</v>
      </c>
      <c r="QC35" s="15">
        <v>11.5928</v>
      </c>
      <c r="QD35" s="15">
        <v>11.5928</v>
      </c>
      <c r="QE35" s="15">
        <v>11.5928</v>
      </c>
      <c r="QF35" s="15">
        <v>11.5928</v>
      </c>
      <c r="QG35" s="15">
        <v>11.5928</v>
      </c>
      <c r="QH35" s="15">
        <v>11.5928</v>
      </c>
      <c r="QI35" s="15">
        <v>11.5928</v>
      </c>
      <c r="QJ35" s="15">
        <v>11.5928</v>
      </c>
      <c r="QK35" s="15">
        <v>11.5928</v>
      </c>
      <c r="QL35" s="15">
        <v>11.5928</v>
      </c>
      <c r="QM35" s="15">
        <v>11.5928</v>
      </c>
      <c r="QN35" s="15">
        <v>11.5928</v>
      </c>
      <c r="QO35" s="15">
        <v>11.5928</v>
      </c>
      <c r="QP35" s="15">
        <v>11.5928</v>
      </c>
      <c r="QQ35" s="15">
        <v>11.5928</v>
      </c>
      <c r="QR35" s="15">
        <v>11.5928</v>
      </c>
      <c r="QS35" s="15">
        <v>11.5928</v>
      </c>
      <c r="QT35" s="15">
        <v>11.5928</v>
      </c>
      <c r="QU35" s="15">
        <v>11.5928</v>
      </c>
      <c r="QV35" s="15">
        <v>11.5928</v>
      </c>
      <c r="QW35" s="15">
        <v>11.5928</v>
      </c>
      <c r="QX35" s="15">
        <v>11.5928</v>
      </c>
      <c r="QY35" s="15">
        <v>11.5928</v>
      </c>
      <c r="QZ35" s="15">
        <v>11.5928</v>
      </c>
      <c r="RA35" s="15">
        <v>11.5928</v>
      </c>
      <c r="RB35" s="15">
        <v>11.5928</v>
      </c>
      <c r="RC35" s="15">
        <v>11.5928</v>
      </c>
      <c r="RD35" s="15">
        <v>11.5928</v>
      </c>
      <c r="RE35" s="15">
        <v>11.5928</v>
      </c>
      <c r="RF35" s="15">
        <v>11.5928</v>
      </c>
      <c r="RG35" s="15">
        <v>11.5928</v>
      </c>
      <c r="RH35" s="15">
        <v>11.5928</v>
      </c>
      <c r="RI35" s="15">
        <v>11.5928</v>
      </c>
      <c r="RJ35" s="15">
        <v>11.5928</v>
      </c>
      <c r="RK35" s="15">
        <v>11.5928</v>
      </c>
      <c r="RL35" s="15">
        <v>11.5928</v>
      </c>
      <c r="RM35" s="15">
        <v>11.5928</v>
      </c>
      <c r="RN35" s="15">
        <v>11.5928</v>
      </c>
      <c r="RO35" s="15">
        <v>11.5928</v>
      </c>
      <c r="RP35" s="15">
        <v>11.5928</v>
      </c>
      <c r="RQ35" s="15">
        <v>11.5928</v>
      </c>
      <c r="RR35" s="15">
        <v>11.5928</v>
      </c>
      <c r="RS35" s="15">
        <v>11.5928</v>
      </c>
      <c r="RT35" s="15">
        <v>11.5928</v>
      </c>
      <c r="RU35" s="15">
        <v>11.5928</v>
      </c>
      <c r="RV35" s="15">
        <v>11.5928</v>
      </c>
      <c r="RW35" s="15">
        <v>11.5928</v>
      </c>
      <c r="RX35" s="15">
        <v>11.5928</v>
      </c>
      <c r="RY35" s="15">
        <v>11.5928</v>
      </c>
      <c r="RZ35" s="15">
        <v>11.5928</v>
      </c>
      <c r="SA35" s="15">
        <v>11.5928</v>
      </c>
      <c r="SB35" s="15">
        <v>11.5928</v>
      </c>
      <c r="SC35" s="15">
        <v>11.5928</v>
      </c>
      <c r="SD35" s="15">
        <v>11.5928</v>
      </c>
      <c r="SE35" s="15">
        <v>11.5928</v>
      </c>
      <c r="SF35" s="15">
        <v>11.5928</v>
      </c>
      <c r="SG35" s="15">
        <v>11.5928</v>
      </c>
      <c r="SH35" s="15">
        <v>11.5928</v>
      </c>
      <c r="SI35" s="15">
        <v>11.5928</v>
      </c>
      <c r="SJ35" s="15">
        <v>11.5928</v>
      </c>
      <c r="SK35" s="15">
        <v>10.4361</v>
      </c>
      <c r="SL35" s="15" t="s">
        <v>668</v>
      </c>
    </row>
    <row r="36" spans="1:507" x14ac:dyDescent="0.2">
      <c r="A36" s="37">
        <v>34</v>
      </c>
      <c r="B36" s="15" t="s">
        <v>632</v>
      </c>
      <c r="C36" s="17">
        <f>+'Detalle Compras'!D36</f>
        <v>202506130039</v>
      </c>
      <c r="D36" s="55">
        <f t="shared" si="13"/>
        <v>8.8706499999999995</v>
      </c>
      <c r="E36" s="14">
        <f>+IF(B36="","",'Detalle Compras'!S36+0)</f>
        <v>45879</v>
      </c>
      <c r="F36" s="14">
        <f>+IF(B36="","",EOMONTH('Detalle Compras'!S36,G36)+10)</f>
        <v>60520</v>
      </c>
      <c r="G36" s="50">
        <f t="shared" si="14"/>
        <v>480</v>
      </c>
      <c r="H36" s="50">
        <f t="shared" si="15"/>
        <v>474</v>
      </c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  <c r="Y36" s="52"/>
      <c r="Z36" s="52">
        <v>8.8706499999999995</v>
      </c>
      <c r="AA36" s="52">
        <v>8.8706499999999995</v>
      </c>
      <c r="AB36" s="52">
        <v>8.8706499999999995</v>
      </c>
      <c r="AC36" s="52">
        <v>8.8706499999999995</v>
      </c>
      <c r="AD36" s="52">
        <v>8.8706499999999995</v>
      </c>
      <c r="AE36" s="52">
        <v>8.8706499999999995</v>
      </c>
      <c r="AF36" s="52">
        <v>8.8706499999999995</v>
      </c>
      <c r="AG36" s="52">
        <v>8.8706499999999995</v>
      </c>
      <c r="AH36" s="52">
        <v>8.8706499999999995</v>
      </c>
      <c r="AI36" s="52">
        <v>8.8706499999999995</v>
      </c>
      <c r="AJ36" s="52">
        <v>8.8706499999999995</v>
      </c>
      <c r="AK36" s="52">
        <v>8.8706499999999995</v>
      </c>
      <c r="AL36" s="52">
        <v>8.8706499999999995</v>
      </c>
      <c r="AM36" s="52">
        <v>8.8706499999999995</v>
      </c>
      <c r="AN36" s="52">
        <v>8.8706499999999995</v>
      </c>
      <c r="AO36" s="52">
        <v>8.8706499999999995</v>
      </c>
      <c r="AP36" s="52">
        <v>8.8706499999999995</v>
      </c>
      <c r="AQ36" s="52">
        <v>8.8706499999999995</v>
      </c>
      <c r="AR36" s="52">
        <v>8.8706499999999995</v>
      </c>
      <c r="AS36" s="52">
        <v>8.8706499999999995</v>
      </c>
      <c r="AT36" s="52">
        <v>8.8706499999999995</v>
      </c>
      <c r="AU36" s="52">
        <v>8.8706499999999995</v>
      </c>
      <c r="AV36" s="52">
        <v>8.8706499999999995</v>
      </c>
      <c r="AW36" s="52">
        <v>8.8706499999999995</v>
      </c>
      <c r="AX36" s="52">
        <v>8.8706499999999995</v>
      </c>
      <c r="AY36" s="52">
        <v>8.8706499999999995</v>
      </c>
      <c r="AZ36" s="52">
        <v>8.8706499999999995</v>
      </c>
      <c r="BA36" s="52">
        <v>8.8706499999999995</v>
      </c>
      <c r="BB36" s="52">
        <v>8.8706499999999995</v>
      </c>
      <c r="BC36" s="52">
        <v>8.8706499999999995</v>
      </c>
      <c r="BD36" s="52">
        <v>8.8706499999999995</v>
      </c>
      <c r="BE36" s="52">
        <v>8.8706499999999995</v>
      </c>
      <c r="BF36" s="52">
        <v>8.8706499999999995</v>
      </c>
      <c r="BG36" s="52">
        <v>8.8706499999999995</v>
      </c>
      <c r="BH36" s="52">
        <v>8.8706499999999995</v>
      </c>
      <c r="BI36" s="52">
        <v>8.8706499999999995</v>
      </c>
      <c r="BJ36" s="52">
        <v>8.8706499999999995</v>
      </c>
      <c r="BK36" s="52">
        <v>8.8706499999999995</v>
      </c>
      <c r="BL36" s="52">
        <v>8.8706499999999995</v>
      </c>
      <c r="BM36" s="52">
        <v>8.8706499999999995</v>
      </c>
      <c r="BN36" s="52">
        <v>8.8706499999999995</v>
      </c>
      <c r="BO36" s="52">
        <v>8.8706499999999995</v>
      </c>
      <c r="BP36" s="52">
        <v>8.8706499999999995</v>
      </c>
      <c r="BQ36" s="52">
        <v>8.8706499999999995</v>
      </c>
      <c r="BR36" s="52">
        <v>8.8706499999999995</v>
      </c>
      <c r="BS36" s="52">
        <v>8.8706499999999995</v>
      </c>
      <c r="BT36" s="52">
        <v>8.8706499999999995</v>
      </c>
      <c r="BU36" s="52">
        <v>8.8706499999999995</v>
      </c>
      <c r="BV36" s="52">
        <v>8.8706499999999995</v>
      </c>
      <c r="BW36" s="52">
        <v>8.8706499999999995</v>
      </c>
      <c r="BX36" s="52">
        <v>8.8706499999999995</v>
      </c>
      <c r="BY36" s="52">
        <v>8.8706499999999995</v>
      </c>
      <c r="BZ36" s="52">
        <v>8.8706499999999995</v>
      </c>
      <c r="CA36" s="52">
        <v>8.8706499999999995</v>
      </c>
      <c r="CB36" s="52">
        <v>8.8706499999999995</v>
      </c>
      <c r="CC36" s="52">
        <v>8.8706499999999995</v>
      </c>
      <c r="CD36" s="52">
        <v>8.8706499999999995</v>
      </c>
      <c r="CE36" s="52">
        <v>8.8706499999999995</v>
      </c>
      <c r="CF36" s="52">
        <v>8.8706499999999995</v>
      </c>
      <c r="CG36" s="52">
        <v>8.8706499999999995</v>
      </c>
      <c r="CH36" s="52">
        <v>8.8706499999999995</v>
      </c>
      <c r="CI36" s="52">
        <v>8.8706499999999995</v>
      </c>
      <c r="CJ36" s="52">
        <v>8.8706499999999995</v>
      </c>
      <c r="CK36" s="52">
        <v>8.8706499999999995</v>
      </c>
      <c r="CL36" s="52">
        <v>8.8706499999999995</v>
      </c>
      <c r="CM36" s="52">
        <v>8.8706499999999995</v>
      </c>
      <c r="CN36" s="52">
        <v>8.8706499999999995</v>
      </c>
      <c r="CO36" s="52">
        <v>8.8706499999999995</v>
      </c>
      <c r="CP36" s="52">
        <v>8.8706499999999995</v>
      </c>
      <c r="CQ36" s="52">
        <v>8.8706499999999995</v>
      </c>
      <c r="CR36" s="52">
        <v>8.8706499999999995</v>
      </c>
      <c r="CS36" s="52">
        <v>8.8706499999999995</v>
      </c>
      <c r="CT36" s="52">
        <v>8.8706499999999995</v>
      </c>
      <c r="CU36" s="52">
        <v>8.8706499999999995</v>
      </c>
      <c r="CV36" s="52">
        <v>8.8706499999999995</v>
      </c>
      <c r="CW36" s="52">
        <v>8.8706499999999995</v>
      </c>
      <c r="CX36" s="52">
        <v>8.8706499999999995</v>
      </c>
      <c r="CY36" s="52">
        <v>8.8706499999999995</v>
      </c>
      <c r="CZ36" s="52">
        <v>8.8706499999999995</v>
      </c>
      <c r="DA36" s="52">
        <v>8.8706499999999995</v>
      </c>
      <c r="DB36" s="52">
        <v>8.8706499999999995</v>
      </c>
      <c r="DC36" s="52">
        <v>8.8706499999999995</v>
      </c>
      <c r="DD36" s="52">
        <v>8.8706499999999995</v>
      </c>
      <c r="DE36" s="52">
        <v>8.8706499999999995</v>
      </c>
      <c r="DF36" s="52">
        <v>8.8706499999999995</v>
      </c>
      <c r="DG36" s="52">
        <v>8.8706499999999995</v>
      </c>
      <c r="DH36" s="52">
        <v>8.8706499999999995</v>
      </c>
      <c r="DI36" s="52">
        <v>8.8706499999999995</v>
      </c>
      <c r="DJ36" s="52">
        <v>8.8706499999999995</v>
      </c>
      <c r="DK36" s="52">
        <v>8.8706499999999995</v>
      </c>
      <c r="DL36" s="52">
        <v>8.8706499999999995</v>
      </c>
      <c r="DM36" s="52">
        <v>8.8706499999999995</v>
      </c>
      <c r="DN36" s="52">
        <v>8.8706499999999995</v>
      </c>
      <c r="DO36" s="52">
        <v>8.8706499999999995</v>
      </c>
      <c r="DP36" s="52">
        <v>8.8706499999999995</v>
      </c>
      <c r="DQ36" s="52">
        <v>8.8706499999999995</v>
      </c>
      <c r="DR36" s="52">
        <v>8.8706499999999995</v>
      </c>
      <c r="DS36" s="52">
        <v>8.8706499999999995</v>
      </c>
      <c r="DT36" s="52">
        <v>8.8706499999999995</v>
      </c>
      <c r="DU36" s="52">
        <v>8.8706499999999995</v>
      </c>
      <c r="DV36" s="52">
        <v>8.8706499999999995</v>
      </c>
      <c r="DW36" s="52">
        <v>8.8706499999999995</v>
      </c>
      <c r="DX36" s="52">
        <v>8.8706499999999995</v>
      </c>
      <c r="DY36" s="52">
        <v>8.8706499999999995</v>
      </c>
      <c r="DZ36" s="52">
        <v>8.8706499999999995</v>
      </c>
      <c r="EA36" s="52">
        <v>8.8706499999999995</v>
      </c>
      <c r="EB36" s="52">
        <v>8.8706499999999995</v>
      </c>
      <c r="EC36" s="52">
        <v>8.8706499999999995</v>
      </c>
      <c r="ED36" s="52">
        <v>8.8706499999999995</v>
      </c>
      <c r="EE36" s="52">
        <v>8.8706499999999995</v>
      </c>
      <c r="EF36" s="52">
        <v>8.8706499999999995</v>
      </c>
      <c r="EG36" s="52">
        <v>8.8706499999999995</v>
      </c>
      <c r="EH36" s="52">
        <v>8.8706499999999995</v>
      </c>
      <c r="EI36" s="52">
        <v>8.8706499999999995</v>
      </c>
      <c r="EJ36" s="52">
        <v>8.8706499999999995</v>
      </c>
      <c r="EK36" s="52">
        <v>8.8706499999999995</v>
      </c>
      <c r="EL36" s="52">
        <v>8.8706499999999995</v>
      </c>
      <c r="EM36" s="52">
        <v>8.8706499999999995</v>
      </c>
      <c r="EN36" s="52">
        <v>8.8706499999999995</v>
      </c>
      <c r="EO36" s="52">
        <v>8.8706499999999995</v>
      </c>
      <c r="EP36" s="52">
        <v>8.8706499999999995</v>
      </c>
      <c r="EQ36" s="52">
        <v>8.8706499999999995</v>
      </c>
      <c r="ER36" s="52">
        <v>8.8706499999999995</v>
      </c>
      <c r="ES36" s="52">
        <v>8.8706499999999995</v>
      </c>
      <c r="ET36" s="52">
        <v>8.8706499999999995</v>
      </c>
      <c r="EU36" s="52">
        <v>8.8706499999999995</v>
      </c>
      <c r="EV36" s="52">
        <v>8.8706499999999995</v>
      </c>
      <c r="EW36" s="52">
        <v>8.8706499999999995</v>
      </c>
      <c r="EX36" s="52">
        <v>8.8706499999999995</v>
      </c>
      <c r="EY36" s="52">
        <v>8.8706499999999995</v>
      </c>
      <c r="EZ36" s="52">
        <v>8.8706499999999995</v>
      </c>
      <c r="FA36" s="52">
        <v>8.8706499999999995</v>
      </c>
      <c r="FB36" s="52">
        <v>8.8706499999999995</v>
      </c>
      <c r="FC36" s="52">
        <v>8.8706499999999995</v>
      </c>
      <c r="FD36" s="52">
        <v>8.8706499999999995</v>
      </c>
      <c r="FE36" s="52">
        <v>8.8706499999999995</v>
      </c>
      <c r="FF36" s="52">
        <v>8.8706499999999995</v>
      </c>
      <c r="FG36" s="52">
        <v>8.8706499999999995</v>
      </c>
      <c r="FH36" s="52">
        <v>8.8706499999999995</v>
      </c>
      <c r="FI36" s="52">
        <v>8.8706499999999995</v>
      </c>
      <c r="FJ36" s="52">
        <v>8.8706499999999995</v>
      </c>
      <c r="FK36" s="52">
        <v>8.8706499999999995</v>
      </c>
      <c r="FL36" s="52">
        <v>8.8706499999999995</v>
      </c>
      <c r="FM36" s="52">
        <v>8.8706499999999995</v>
      </c>
      <c r="FN36" s="52">
        <v>8.8706499999999995</v>
      </c>
      <c r="FO36" s="52">
        <v>8.8706499999999995</v>
      </c>
      <c r="FP36" s="52">
        <v>8.8706499999999995</v>
      </c>
      <c r="FQ36" s="52">
        <v>8.8706499999999995</v>
      </c>
      <c r="FR36" s="52">
        <v>8.8706499999999995</v>
      </c>
      <c r="FS36" s="52">
        <v>8.8706499999999995</v>
      </c>
      <c r="FT36" s="52">
        <v>8.8706499999999995</v>
      </c>
      <c r="FU36" s="52">
        <v>8.8706499999999995</v>
      </c>
      <c r="FV36" s="52">
        <v>8.8706499999999995</v>
      </c>
      <c r="FW36" s="52">
        <v>8.8706499999999995</v>
      </c>
      <c r="FX36" s="52">
        <v>8.8706499999999995</v>
      </c>
      <c r="FY36" s="52">
        <v>8.8706499999999995</v>
      </c>
      <c r="FZ36" s="52">
        <v>8.8706499999999995</v>
      </c>
      <c r="GA36" s="52">
        <v>8.8706499999999995</v>
      </c>
      <c r="GB36" s="52">
        <v>8.8706499999999995</v>
      </c>
      <c r="GC36" s="52">
        <v>8.8706499999999995</v>
      </c>
      <c r="GD36" s="52">
        <v>8.8706499999999995</v>
      </c>
      <c r="GE36" s="52">
        <v>8.8706499999999995</v>
      </c>
      <c r="GF36" s="52">
        <v>8.8706499999999995</v>
      </c>
      <c r="GG36" s="52">
        <v>8.8706499999999995</v>
      </c>
      <c r="GH36" s="52">
        <v>8.8706499999999995</v>
      </c>
      <c r="GI36" s="52">
        <v>8.8706499999999995</v>
      </c>
      <c r="GJ36" s="52">
        <v>8.8706499999999995</v>
      </c>
      <c r="GK36" s="52">
        <v>8.8706499999999995</v>
      </c>
      <c r="GL36" s="52">
        <v>8.8706499999999995</v>
      </c>
      <c r="GM36" s="52">
        <v>8.8706499999999995</v>
      </c>
      <c r="GN36" s="52">
        <v>8.8706499999999995</v>
      </c>
      <c r="GO36" s="52">
        <v>8.8706499999999995</v>
      </c>
      <c r="GP36" s="52">
        <v>8.8706499999999995</v>
      </c>
      <c r="GQ36" s="52">
        <v>8.8706499999999995</v>
      </c>
      <c r="GR36" s="52">
        <v>8.8706499999999995</v>
      </c>
      <c r="GS36" s="52">
        <v>8.8706499999999995</v>
      </c>
      <c r="GT36" s="52">
        <v>8.8706499999999995</v>
      </c>
      <c r="GU36" s="52">
        <v>8.8706499999999995</v>
      </c>
      <c r="GV36" s="52">
        <v>8.8706499999999995</v>
      </c>
      <c r="GW36" s="52">
        <v>8.8706499999999995</v>
      </c>
      <c r="GX36" s="52">
        <v>8.8706499999999995</v>
      </c>
      <c r="GY36" s="52">
        <v>8.8706499999999995</v>
      </c>
      <c r="GZ36" s="52">
        <v>8.8706499999999995</v>
      </c>
      <c r="HA36" s="52">
        <v>8.8706499999999995</v>
      </c>
      <c r="HB36" s="52">
        <v>8.8706499999999995</v>
      </c>
      <c r="HC36" s="52">
        <v>8.8706499999999995</v>
      </c>
      <c r="HD36" s="52">
        <v>8.8706499999999995</v>
      </c>
      <c r="HE36" s="52">
        <v>8.8706499999999995</v>
      </c>
      <c r="HF36" s="52">
        <v>8.8706499999999995</v>
      </c>
      <c r="HG36" s="52">
        <v>8.8706499999999995</v>
      </c>
      <c r="HH36" s="52">
        <v>8.8706499999999995</v>
      </c>
      <c r="HI36" s="52">
        <v>8.8706499999999995</v>
      </c>
      <c r="HJ36" s="52">
        <v>8.8706499999999995</v>
      </c>
      <c r="HK36" s="52">
        <v>8.8706499999999995</v>
      </c>
      <c r="HL36" s="52">
        <v>8.8706499999999995</v>
      </c>
      <c r="HM36" s="52">
        <v>8.8706499999999995</v>
      </c>
      <c r="HN36" s="52">
        <v>8.8706499999999995</v>
      </c>
      <c r="HO36" s="52">
        <v>8.8706499999999995</v>
      </c>
      <c r="HP36" s="52">
        <v>8.8706499999999995</v>
      </c>
      <c r="HQ36" s="52">
        <v>8.8706499999999995</v>
      </c>
      <c r="HR36" s="52">
        <v>8.8706499999999995</v>
      </c>
      <c r="HS36" s="52">
        <v>8.8706499999999995</v>
      </c>
      <c r="HT36" s="52">
        <v>8.8706499999999995</v>
      </c>
      <c r="HU36" s="52">
        <v>8.8706499999999995</v>
      </c>
      <c r="HV36" s="52">
        <v>8.8706499999999995</v>
      </c>
      <c r="HW36" s="52">
        <v>8.8706499999999995</v>
      </c>
      <c r="HX36" s="52">
        <v>8.8706499999999995</v>
      </c>
      <c r="HY36" s="52">
        <v>8.8706499999999995</v>
      </c>
      <c r="HZ36" s="52">
        <v>8.8706499999999995</v>
      </c>
      <c r="IA36" s="52">
        <v>8.8706499999999995</v>
      </c>
      <c r="IB36" s="52">
        <v>8.8706499999999995</v>
      </c>
      <c r="IC36" s="52">
        <v>8.8706499999999995</v>
      </c>
      <c r="ID36" s="52">
        <v>8.8706499999999995</v>
      </c>
      <c r="IE36" s="52">
        <v>8.8706499999999995</v>
      </c>
      <c r="IF36" s="52">
        <v>8.8706499999999995</v>
      </c>
      <c r="IG36" s="52">
        <v>8.8706499999999995</v>
      </c>
      <c r="IH36" s="52">
        <v>8.8706499999999995</v>
      </c>
      <c r="II36" s="52">
        <v>8.8706499999999995</v>
      </c>
      <c r="IJ36" s="52">
        <v>8.8706499999999995</v>
      </c>
      <c r="IK36" s="52">
        <v>8.8706499999999995</v>
      </c>
      <c r="IL36" s="52">
        <v>8.8706499999999995</v>
      </c>
      <c r="IM36" s="52">
        <v>8.8706499999999995</v>
      </c>
      <c r="IN36" s="52">
        <v>8.8706499999999995</v>
      </c>
      <c r="IO36" s="52">
        <v>8.8706499999999995</v>
      </c>
      <c r="IP36" s="52">
        <v>8.8706499999999995</v>
      </c>
      <c r="IQ36" s="52">
        <v>8.8706499999999995</v>
      </c>
      <c r="IR36" s="52">
        <v>8.8706499999999995</v>
      </c>
      <c r="IS36" s="52">
        <v>8.8706499999999995</v>
      </c>
      <c r="IT36" s="52">
        <v>8.8706499999999995</v>
      </c>
      <c r="IU36" s="52">
        <v>8.8706499999999995</v>
      </c>
      <c r="IV36" s="52">
        <v>8.8706499999999995</v>
      </c>
      <c r="IW36" s="52">
        <v>8.8706499999999995</v>
      </c>
      <c r="IX36" s="52">
        <v>8.8706499999999995</v>
      </c>
      <c r="IY36" s="52">
        <v>8.8706499999999995</v>
      </c>
      <c r="IZ36" s="52">
        <v>8.8706499999999995</v>
      </c>
      <c r="JA36" s="52">
        <v>8.8706499999999995</v>
      </c>
      <c r="JB36" s="52">
        <v>8.8706499999999995</v>
      </c>
      <c r="JC36" s="52">
        <v>8.8706499999999995</v>
      </c>
      <c r="JD36" s="52">
        <v>8.8706499999999995</v>
      </c>
      <c r="JE36" s="52">
        <v>8.8706499999999995</v>
      </c>
      <c r="JF36" s="52">
        <v>8.8706499999999995</v>
      </c>
      <c r="JG36" s="52">
        <v>8.8706499999999995</v>
      </c>
      <c r="JH36" s="52">
        <v>8.8706499999999995</v>
      </c>
      <c r="JI36" s="52">
        <v>8.8706499999999995</v>
      </c>
      <c r="JJ36" s="52">
        <v>8.8706499999999995</v>
      </c>
      <c r="JK36" s="52">
        <v>8.8706499999999995</v>
      </c>
      <c r="JL36" s="52">
        <v>8.8706499999999995</v>
      </c>
      <c r="JM36" s="52">
        <v>8.8706499999999995</v>
      </c>
      <c r="JN36" s="52">
        <v>8.8706499999999995</v>
      </c>
      <c r="JO36" s="52">
        <v>8.8706499999999995</v>
      </c>
      <c r="JP36" s="52">
        <v>8.8706499999999995</v>
      </c>
      <c r="JQ36" s="52">
        <v>8.8706499999999995</v>
      </c>
      <c r="JR36" s="52">
        <v>8.8706499999999995</v>
      </c>
      <c r="JS36" s="52">
        <v>8.8706499999999995</v>
      </c>
      <c r="JT36" s="52">
        <v>8.8706499999999995</v>
      </c>
      <c r="JU36" s="52">
        <v>8.8706499999999995</v>
      </c>
      <c r="JV36" s="52">
        <v>8.8706499999999995</v>
      </c>
      <c r="JW36" s="52">
        <v>8.8706499999999995</v>
      </c>
      <c r="JX36" s="52">
        <v>8.8706499999999995</v>
      </c>
      <c r="JY36" s="52">
        <v>8.8706499999999995</v>
      </c>
      <c r="JZ36" s="52">
        <v>8.8706499999999995</v>
      </c>
      <c r="KA36" s="52">
        <v>8.8706499999999995</v>
      </c>
      <c r="KB36" s="52">
        <v>8.8706499999999995</v>
      </c>
      <c r="KC36" s="52">
        <v>8.8706499999999995</v>
      </c>
      <c r="KD36" s="52">
        <v>8.8706499999999995</v>
      </c>
      <c r="KE36" s="52">
        <v>8.8706499999999995</v>
      </c>
      <c r="KF36" s="52">
        <v>8.8706499999999995</v>
      </c>
      <c r="KG36" s="52">
        <v>8.8706499999999995</v>
      </c>
      <c r="KH36" s="52">
        <v>8.8706499999999995</v>
      </c>
      <c r="KI36" s="52">
        <v>8.8706499999999995</v>
      </c>
      <c r="KJ36" s="52">
        <v>8.8706499999999995</v>
      </c>
      <c r="KK36" s="52">
        <v>8.8706499999999995</v>
      </c>
      <c r="KL36" s="52">
        <v>8.8706499999999995</v>
      </c>
      <c r="KM36" s="52">
        <v>8.8706499999999995</v>
      </c>
      <c r="KN36" s="52">
        <v>8.8706499999999995</v>
      </c>
      <c r="KO36" s="52">
        <v>8.8706499999999995</v>
      </c>
      <c r="KP36" s="52">
        <v>8.8706499999999995</v>
      </c>
      <c r="KQ36" s="52">
        <v>8.8706499999999995</v>
      </c>
      <c r="KR36" s="52">
        <v>8.8706499999999995</v>
      </c>
      <c r="KS36" s="52">
        <v>8.8706499999999995</v>
      </c>
      <c r="KT36" s="52">
        <v>8.8706499999999995</v>
      </c>
      <c r="KU36" s="52">
        <v>8.8706499999999995</v>
      </c>
      <c r="KV36" s="52">
        <v>8.8706499999999995</v>
      </c>
      <c r="KW36" s="52">
        <v>8.8706499999999995</v>
      </c>
      <c r="KX36" s="52">
        <v>8.8706499999999995</v>
      </c>
      <c r="KY36" s="52">
        <v>8.8706499999999995</v>
      </c>
      <c r="KZ36" s="52">
        <v>8.8706499999999995</v>
      </c>
      <c r="LA36" s="52">
        <v>8.8706499999999995</v>
      </c>
      <c r="LB36" s="52">
        <v>8.8706499999999995</v>
      </c>
      <c r="LC36" s="52">
        <v>8.8706499999999995</v>
      </c>
      <c r="LD36" s="52">
        <v>8.8706499999999995</v>
      </c>
      <c r="LE36" s="52">
        <v>8.8706499999999995</v>
      </c>
      <c r="LF36" s="52">
        <v>8.8706499999999995</v>
      </c>
      <c r="LG36" s="52">
        <v>8.8706499999999995</v>
      </c>
      <c r="LH36" s="52">
        <v>8.8706499999999995</v>
      </c>
      <c r="LI36" s="52">
        <v>8.8706499999999995</v>
      </c>
      <c r="LJ36" s="52">
        <v>8.8706499999999995</v>
      </c>
      <c r="LK36" s="52">
        <v>8.8706499999999995</v>
      </c>
      <c r="LL36" s="52">
        <v>8.8706499999999995</v>
      </c>
      <c r="LM36" s="52">
        <v>8.8706499999999995</v>
      </c>
      <c r="LN36" s="52">
        <v>8.8706499999999995</v>
      </c>
      <c r="LO36" s="52">
        <v>8.8706499999999995</v>
      </c>
      <c r="LP36" s="52">
        <v>8.8706499999999995</v>
      </c>
      <c r="LQ36" s="52">
        <v>8.8706499999999995</v>
      </c>
      <c r="LR36" s="52">
        <v>8.8706499999999995</v>
      </c>
      <c r="LS36" s="52">
        <v>8.8706499999999995</v>
      </c>
      <c r="LT36" s="52">
        <v>8.8706499999999995</v>
      </c>
      <c r="LU36" s="52">
        <v>8.8706499999999995</v>
      </c>
      <c r="LV36" s="52">
        <v>8.8706499999999995</v>
      </c>
      <c r="LW36" s="52">
        <v>8.8706499999999995</v>
      </c>
      <c r="LX36" s="52">
        <v>8.8706499999999995</v>
      </c>
      <c r="LY36" s="52">
        <v>8.8706499999999995</v>
      </c>
      <c r="LZ36" s="52">
        <v>8.8706499999999995</v>
      </c>
      <c r="MA36" s="52">
        <v>8.8706499999999995</v>
      </c>
      <c r="MB36" s="52">
        <v>8.8706499999999995</v>
      </c>
      <c r="MC36" s="52">
        <v>8.8706499999999995</v>
      </c>
      <c r="MD36" s="52">
        <v>8.8706499999999995</v>
      </c>
      <c r="ME36" s="52">
        <v>8.8706499999999995</v>
      </c>
      <c r="MF36" s="52">
        <v>8.8706499999999995</v>
      </c>
      <c r="MG36" s="52">
        <v>8.8706499999999995</v>
      </c>
      <c r="MH36" s="52">
        <v>8.8706499999999995</v>
      </c>
      <c r="MI36" s="52">
        <v>8.8706499999999995</v>
      </c>
      <c r="MJ36" s="52">
        <v>8.8706499999999995</v>
      </c>
      <c r="MK36" s="52">
        <v>8.8706499999999995</v>
      </c>
      <c r="ML36" s="52">
        <v>8.8706499999999995</v>
      </c>
      <c r="MM36" s="52">
        <v>8.8706499999999995</v>
      </c>
      <c r="MN36" s="52">
        <v>8.8706499999999995</v>
      </c>
      <c r="MO36" s="52">
        <v>8.8706499999999995</v>
      </c>
      <c r="MP36" s="52">
        <v>8.8706499999999995</v>
      </c>
      <c r="MQ36" s="52">
        <v>8.8706499999999995</v>
      </c>
      <c r="MR36" s="52">
        <v>8.8706499999999995</v>
      </c>
      <c r="MS36" s="52">
        <v>8.8706499999999995</v>
      </c>
      <c r="MT36" s="52">
        <v>8.8706499999999995</v>
      </c>
      <c r="MU36" s="52">
        <v>8.8706499999999995</v>
      </c>
      <c r="MV36" s="52">
        <v>8.8706499999999995</v>
      </c>
      <c r="MW36" s="52">
        <v>8.8706499999999995</v>
      </c>
      <c r="MX36" s="52">
        <v>8.8706499999999995</v>
      </c>
      <c r="MY36" s="52">
        <v>8.8706499999999995</v>
      </c>
      <c r="MZ36" s="52">
        <v>8.8706499999999995</v>
      </c>
      <c r="NA36" s="52">
        <v>8.8706499999999995</v>
      </c>
      <c r="NB36" s="52">
        <v>8.8706499999999995</v>
      </c>
      <c r="NC36" s="52">
        <v>8.8706499999999995</v>
      </c>
      <c r="ND36" s="52">
        <v>8.8706499999999995</v>
      </c>
      <c r="NE36" s="52">
        <v>8.8706499999999995</v>
      </c>
      <c r="NF36" s="37">
        <v>8.8706499999999995</v>
      </c>
      <c r="NG36" s="37">
        <v>8.8706499999999995</v>
      </c>
      <c r="NH36" s="37">
        <v>8.8706499999999995</v>
      </c>
      <c r="NI36" s="37">
        <v>8.8706499999999995</v>
      </c>
      <c r="NJ36" s="37">
        <v>8.8706499999999995</v>
      </c>
      <c r="NK36" s="37">
        <v>8.8706499999999995</v>
      </c>
      <c r="NL36" s="37">
        <v>8.8706499999999995</v>
      </c>
      <c r="NM36" s="37">
        <v>8.8706499999999995</v>
      </c>
      <c r="NN36" s="37">
        <v>8.8706499999999995</v>
      </c>
      <c r="NO36" s="37">
        <v>8.8706499999999995</v>
      </c>
      <c r="NP36" s="37">
        <v>8.8706499999999995</v>
      </c>
      <c r="NQ36" s="37">
        <v>8.8706499999999995</v>
      </c>
      <c r="NR36" s="37">
        <v>8.8706499999999995</v>
      </c>
      <c r="NS36" s="37">
        <v>8.8706499999999995</v>
      </c>
      <c r="NT36" s="37">
        <v>8.8706499999999995</v>
      </c>
      <c r="NU36" s="37">
        <v>8.8706499999999995</v>
      </c>
      <c r="NV36" s="37">
        <v>8.8706499999999995</v>
      </c>
      <c r="NW36" s="37">
        <v>8.8706499999999995</v>
      </c>
      <c r="NX36" s="37">
        <v>8.8706499999999995</v>
      </c>
      <c r="NY36" s="37">
        <v>8.8706499999999995</v>
      </c>
      <c r="NZ36" s="37">
        <v>8.8706499999999995</v>
      </c>
      <c r="OA36" s="37">
        <v>8.8706499999999995</v>
      </c>
      <c r="OB36" s="37">
        <v>8.8706499999999995</v>
      </c>
      <c r="OC36" s="37">
        <v>8.8706499999999995</v>
      </c>
      <c r="OD36" s="37">
        <v>8.8706499999999995</v>
      </c>
      <c r="OE36" s="37">
        <v>8.8706499999999995</v>
      </c>
      <c r="OF36" s="37">
        <v>8.8706499999999995</v>
      </c>
      <c r="OG36" s="37">
        <v>8.8706499999999995</v>
      </c>
      <c r="OH36" s="37">
        <v>8.8706499999999995</v>
      </c>
      <c r="OI36" s="37">
        <v>8.8706499999999995</v>
      </c>
      <c r="OJ36" s="37">
        <v>8.8706499999999995</v>
      </c>
      <c r="OK36" s="37">
        <v>8.8706499999999995</v>
      </c>
      <c r="OL36" s="37">
        <v>8.8706499999999995</v>
      </c>
      <c r="OM36" s="37">
        <v>8.8706499999999995</v>
      </c>
      <c r="ON36" s="37">
        <v>8.8706499999999995</v>
      </c>
      <c r="OO36" s="37">
        <v>8.8706499999999995</v>
      </c>
      <c r="OP36" s="37">
        <v>8.8706499999999995</v>
      </c>
      <c r="OQ36" s="37">
        <v>8.8706499999999995</v>
      </c>
      <c r="OR36" s="37">
        <v>8.8706499999999995</v>
      </c>
      <c r="OS36" s="37">
        <v>8.8706499999999995</v>
      </c>
      <c r="OT36" s="37">
        <v>8.8706499999999995</v>
      </c>
      <c r="OU36" s="37">
        <v>8.8706499999999995</v>
      </c>
      <c r="OV36" s="37">
        <v>8.8706499999999995</v>
      </c>
      <c r="OW36" s="37">
        <v>8.8706499999999995</v>
      </c>
      <c r="OX36" s="37">
        <v>8.8706499999999995</v>
      </c>
      <c r="OY36" s="37">
        <v>8.8706499999999995</v>
      </c>
      <c r="OZ36" s="37">
        <v>8.8706499999999995</v>
      </c>
      <c r="PA36" s="37">
        <v>8.8706499999999995</v>
      </c>
      <c r="PB36" s="37">
        <v>8.8706499999999995</v>
      </c>
      <c r="PC36" s="37">
        <v>8.8706499999999995</v>
      </c>
      <c r="PD36" s="37">
        <v>8.8706499999999995</v>
      </c>
      <c r="PE36" s="37">
        <v>8.8706499999999995</v>
      </c>
      <c r="PF36" s="37">
        <v>8.8706499999999995</v>
      </c>
      <c r="PG36" s="37">
        <v>8.8706499999999995</v>
      </c>
      <c r="PH36" s="37">
        <v>8.8706499999999995</v>
      </c>
      <c r="PI36" s="37">
        <v>8.8706499999999995</v>
      </c>
      <c r="PJ36" s="37">
        <v>8.8706499999999995</v>
      </c>
      <c r="PK36" s="37">
        <v>8.8706499999999995</v>
      </c>
      <c r="PL36" s="37">
        <v>8.8706499999999995</v>
      </c>
      <c r="PM36" s="37">
        <v>8.8706499999999995</v>
      </c>
      <c r="PN36" s="37">
        <v>8.8706499999999995</v>
      </c>
      <c r="PO36" s="37">
        <v>8.8706499999999995</v>
      </c>
      <c r="PP36" s="37">
        <v>8.8706499999999995</v>
      </c>
      <c r="PQ36" s="37">
        <v>8.8706499999999995</v>
      </c>
      <c r="PR36" s="37">
        <v>8.8706499999999995</v>
      </c>
      <c r="PS36" s="15">
        <v>8.8706499999999995</v>
      </c>
      <c r="PT36" s="15">
        <v>8.8706499999999995</v>
      </c>
      <c r="PU36" s="15">
        <v>8.8706499999999995</v>
      </c>
      <c r="PV36" s="15">
        <v>8.8706499999999995</v>
      </c>
      <c r="PW36" s="15">
        <v>8.8706499999999995</v>
      </c>
      <c r="PX36" s="15">
        <v>8.8706499999999995</v>
      </c>
      <c r="PY36" s="15">
        <v>8.8706499999999995</v>
      </c>
      <c r="PZ36" s="15">
        <v>8.8706499999999995</v>
      </c>
      <c r="QA36" s="15">
        <v>8.8706499999999995</v>
      </c>
      <c r="QB36" s="15">
        <v>8.8706499999999995</v>
      </c>
      <c r="QC36" s="15">
        <v>8.8706499999999995</v>
      </c>
      <c r="QD36" s="15">
        <v>8.8706499999999995</v>
      </c>
      <c r="QE36" s="15">
        <v>8.8706499999999995</v>
      </c>
      <c r="QF36" s="15">
        <v>8.8706499999999995</v>
      </c>
      <c r="QG36" s="15">
        <v>8.8706499999999995</v>
      </c>
      <c r="QH36" s="15">
        <v>8.8706499999999995</v>
      </c>
      <c r="QI36" s="15">
        <v>8.8706499999999995</v>
      </c>
      <c r="QJ36" s="15">
        <v>8.8706499999999995</v>
      </c>
      <c r="QK36" s="15">
        <v>8.8706499999999995</v>
      </c>
      <c r="QL36" s="15">
        <v>8.8706499999999995</v>
      </c>
      <c r="QM36" s="15">
        <v>8.8706499999999995</v>
      </c>
      <c r="QN36" s="15">
        <v>8.8706499999999995</v>
      </c>
      <c r="QO36" s="15">
        <v>8.8706499999999995</v>
      </c>
      <c r="QP36" s="15">
        <v>8.8706499999999995</v>
      </c>
      <c r="QQ36" s="15">
        <v>8.8706499999999995</v>
      </c>
      <c r="QR36" s="15">
        <v>8.8706499999999995</v>
      </c>
      <c r="QS36" s="15">
        <v>8.8706499999999995</v>
      </c>
      <c r="QT36" s="15">
        <v>8.8706499999999995</v>
      </c>
      <c r="QU36" s="15">
        <v>8.8706499999999995</v>
      </c>
      <c r="QV36" s="15">
        <v>8.8706499999999995</v>
      </c>
      <c r="QW36" s="15">
        <v>8.8706499999999995</v>
      </c>
      <c r="QX36" s="15">
        <v>8.8706499999999995</v>
      </c>
      <c r="QY36" s="15">
        <v>8.8706499999999995</v>
      </c>
      <c r="QZ36" s="15">
        <v>8.8706499999999995</v>
      </c>
      <c r="RA36" s="15">
        <v>8.8706499999999995</v>
      </c>
      <c r="RB36" s="15">
        <v>8.8706499999999995</v>
      </c>
      <c r="RC36" s="15">
        <v>8.8706499999999995</v>
      </c>
      <c r="RD36" s="15">
        <v>8.8706499999999995</v>
      </c>
      <c r="RE36" s="15">
        <v>8.8706499999999995</v>
      </c>
      <c r="RF36" s="15">
        <v>8.8706499999999995</v>
      </c>
      <c r="RG36" s="15">
        <v>8.8706499999999995</v>
      </c>
      <c r="RH36" s="15">
        <v>8.8706499999999995</v>
      </c>
      <c r="RI36" s="15">
        <v>8.8706499999999995</v>
      </c>
      <c r="RJ36" s="15">
        <v>8.8706499999999995</v>
      </c>
      <c r="RK36" s="15">
        <v>8.8706499999999995</v>
      </c>
      <c r="RL36" s="15">
        <v>8.8706499999999995</v>
      </c>
      <c r="RM36" s="15">
        <v>8.8706499999999995</v>
      </c>
      <c r="RN36" s="15">
        <v>8.8706499999999995</v>
      </c>
      <c r="RO36" s="15">
        <v>8.8706499999999995</v>
      </c>
      <c r="RP36" s="15">
        <v>8.8706499999999995</v>
      </c>
      <c r="RQ36" s="15">
        <v>8.8706499999999995</v>
      </c>
      <c r="RR36" s="15">
        <v>8.8706499999999995</v>
      </c>
      <c r="RS36" s="15">
        <v>8.8706499999999995</v>
      </c>
      <c r="RT36" s="15">
        <v>8.8706499999999995</v>
      </c>
      <c r="RU36" s="15">
        <v>8.8706499999999995</v>
      </c>
      <c r="RV36" s="15">
        <v>8.8706499999999995</v>
      </c>
      <c r="RW36" s="15">
        <v>8.8706499999999995</v>
      </c>
      <c r="RX36" s="15">
        <v>8.8706499999999995</v>
      </c>
      <c r="RY36" s="15">
        <v>8.8706499999999995</v>
      </c>
      <c r="RZ36" s="15">
        <v>8.8706499999999995</v>
      </c>
      <c r="SA36" s="15">
        <v>8.8706499999999995</v>
      </c>
      <c r="SB36" s="15">
        <v>8.8706499999999995</v>
      </c>
      <c r="SC36" s="15">
        <v>8.8706499999999995</v>
      </c>
      <c r="SD36" s="15">
        <v>8.8706499999999995</v>
      </c>
      <c r="SE36" s="15">
        <v>8.8706499999999995</v>
      </c>
      <c r="SF36" s="15">
        <v>8.8706499999999995</v>
      </c>
      <c r="SG36" s="15">
        <v>8.8706499999999995</v>
      </c>
      <c r="SH36" s="15">
        <v>8.8706499999999995</v>
      </c>
      <c r="SI36" s="15">
        <v>8.8706499999999995</v>
      </c>
      <c r="SJ36" s="15">
        <v>8.8706499999999995</v>
      </c>
      <c r="SK36" s="15">
        <v>7.4787499999999998</v>
      </c>
      <c r="SL36" s="15" t="s">
        <v>668</v>
      </c>
    </row>
    <row r="37" spans="1:507" x14ac:dyDescent="0.2">
      <c r="A37" s="37">
        <v>35</v>
      </c>
      <c r="B37" s="15" t="s">
        <v>633</v>
      </c>
      <c r="C37" s="17">
        <f>+'Detalle Compras'!D37</f>
        <v>202506130031</v>
      </c>
      <c r="D37" s="55">
        <f t="shared" si="13"/>
        <v>11.5928</v>
      </c>
      <c r="E37" s="14">
        <f>+IF(B37="","",'Detalle Compras'!S37+0)</f>
        <v>45879</v>
      </c>
      <c r="F37" s="14">
        <f>+IF(B37="","",EOMONTH('Detalle Compras'!S37,G37)+10)</f>
        <v>60520</v>
      </c>
      <c r="G37" s="50">
        <f t="shared" si="14"/>
        <v>480</v>
      </c>
      <c r="H37" s="50">
        <f t="shared" si="15"/>
        <v>474</v>
      </c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  <c r="Y37" s="52"/>
      <c r="Z37" s="52">
        <v>11.5928</v>
      </c>
      <c r="AA37" s="52">
        <v>11.5928</v>
      </c>
      <c r="AB37" s="52">
        <v>11.5928</v>
      </c>
      <c r="AC37" s="52">
        <v>11.5928</v>
      </c>
      <c r="AD37" s="52">
        <v>11.5928</v>
      </c>
      <c r="AE37" s="52">
        <v>11.5928</v>
      </c>
      <c r="AF37" s="52">
        <v>11.5928</v>
      </c>
      <c r="AG37" s="52">
        <v>11.5928</v>
      </c>
      <c r="AH37" s="52">
        <v>11.5928</v>
      </c>
      <c r="AI37" s="52">
        <v>11.5928</v>
      </c>
      <c r="AJ37" s="52">
        <v>11.5928</v>
      </c>
      <c r="AK37" s="52">
        <v>11.5928</v>
      </c>
      <c r="AL37" s="52">
        <v>11.5928</v>
      </c>
      <c r="AM37" s="52">
        <v>11.5928</v>
      </c>
      <c r="AN37" s="52">
        <v>11.5928</v>
      </c>
      <c r="AO37" s="52">
        <v>11.5928</v>
      </c>
      <c r="AP37" s="52">
        <v>11.5928</v>
      </c>
      <c r="AQ37" s="52">
        <v>11.5928</v>
      </c>
      <c r="AR37" s="52">
        <v>11.5928</v>
      </c>
      <c r="AS37" s="52">
        <v>11.5928</v>
      </c>
      <c r="AT37" s="52">
        <v>11.5928</v>
      </c>
      <c r="AU37" s="52">
        <v>11.5928</v>
      </c>
      <c r="AV37" s="52">
        <v>11.5928</v>
      </c>
      <c r="AW37" s="52">
        <v>11.5928</v>
      </c>
      <c r="AX37" s="52">
        <v>11.5928</v>
      </c>
      <c r="AY37" s="52">
        <v>11.5928</v>
      </c>
      <c r="AZ37" s="52">
        <v>11.5928</v>
      </c>
      <c r="BA37" s="52">
        <v>11.5928</v>
      </c>
      <c r="BB37" s="52">
        <v>11.5928</v>
      </c>
      <c r="BC37" s="52">
        <v>11.5928</v>
      </c>
      <c r="BD37" s="52">
        <v>11.5928</v>
      </c>
      <c r="BE37" s="52">
        <v>11.5928</v>
      </c>
      <c r="BF37" s="52">
        <v>11.5928</v>
      </c>
      <c r="BG37" s="52">
        <v>11.5928</v>
      </c>
      <c r="BH37" s="52">
        <v>11.5928</v>
      </c>
      <c r="BI37" s="52">
        <v>11.5928</v>
      </c>
      <c r="BJ37" s="52">
        <v>11.5928</v>
      </c>
      <c r="BK37" s="52">
        <v>11.5928</v>
      </c>
      <c r="BL37" s="52">
        <v>11.5928</v>
      </c>
      <c r="BM37" s="52">
        <v>11.5928</v>
      </c>
      <c r="BN37" s="52">
        <v>11.5928</v>
      </c>
      <c r="BO37" s="52">
        <v>11.5928</v>
      </c>
      <c r="BP37" s="52">
        <v>11.5928</v>
      </c>
      <c r="BQ37" s="52">
        <v>11.5928</v>
      </c>
      <c r="BR37" s="52">
        <v>11.5928</v>
      </c>
      <c r="BS37" s="52">
        <v>11.5928</v>
      </c>
      <c r="BT37" s="52">
        <v>11.5928</v>
      </c>
      <c r="BU37" s="52">
        <v>11.5928</v>
      </c>
      <c r="BV37" s="52">
        <v>11.5928</v>
      </c>
      <c r="BW37" s="52">
        <v>11.5928</v>
      </c>
      <c r="BX37" s="52">
        <v>11.5928</v>
      </c>
      <c r="BY37" s="52">
        <v>11.5928</v>
      </c>
      <c r="BZ37" s="52">
        <v>11.5928</v>
      </c>
      <c r="CA37" s="52">
        <v>11.5928</v>
      </c>
      <c r="CB37" s="52">
        <v>11.5928</v>
      </c>
      <c r="CC37" s="52">
        <v>11.5928</v>
      </c>
      <c r="CD37" s="52">
        <v>11.5928</v>
      </c>
      <c r="CE37" s="52">
        <v>11.5928</v>
      </c>
      <c r="CF37" s="52">
        <v>11.5928</v>
      </c>
      <c r="CG37" s="52">
        <v>11.5928</v>
      </c>
      <c r="CH37" s="52">
        <v>11.5928</v>
      </c>
      <c r="CI37" s="52">
        <v>11.5928</v>
      </c>
      <c r="CJ37" s="52">
        <v>11.5928</v>
      </c>
      <c r="CK37" s="52">
        <v>11.5928</v>
      </c>
      <c r="CL37" s="52">
        <v>11.5928</v>
      </c>
      <c r="CM37" s="52">
        <v>11.5928</v>
      </c>
      <c r="CN37" s="52">
        <v>11.5928</v>
      </c>
      <c r="CO37" s="52">
        <v>11.5928</v>
      </c>
      <c r="CP37" s="52">
        <v>11.5928</v>
      </c>
      <c r="CQ37" s="52">
        <v>11.5928</v>
      </c>
      <c r="CR37" s="52">
        <v>11.5928</v>
      </c>
      <c r="CS37" s="52">
        <v>11.5928</v>
      </c>
      <c r="CT37" s="52">
        <v>11.5928</v>
      </c>
      <c r="CU37" s="52">
        <v>11.5928</v>
      </c>
      <c r="CV37" s="52">
        <v>11.5928</v>
      </c>
      <c r="CW37" s="52">
        <v>11.5928</v>
      </c>
      <c r="CX37" s="52">
        <v>11.5928</v>
      </c>
      <c r="CY37" s="52">
        <v>11.5928</v>
      </c>
      <c r="CZ37" s="52">
        <v>11.5928</v>
      </c>
      <c r="DA37" s="52">
        <v>11.5928</v>
      </c>
      <c r="DB37" s="52">
        <v>11.5928</v>
      </c>
      <c r="DC37" s="52">
        <v>11.5928</v>
      </c>
      <c r="DD37" s="52">
        <v>11.5928</v>
      </c>
      <c r="DE37" s="52">
        <v>11.5928</v>
      </c>
      <c r="DF37" s="52">
        <v>11.5928</v>
      </c>
      <c r="DG37" s="52">
        <v>11.5928</v>
      </c>
      <c r="DH37" s="52">
        <v>11.5928</v>
      </c>
      <c r="DI37" s="52">
        <v>11.5928</v>
      </c>
      <c r="DJ37" s="52">
        <v>11.5928</v>
      </c>
      <c r="DK37" s="52">
        <v>11.5928</v>
      </c>
      <c r="DL37" s="52">
        <v>11.5928</v>
      </c>
      <c r="DM37" s="52">
        <v>11.5928</v>
      </c>
      <c r="DN37" s="52">
        <v>11.5928</v>
      </c>
      <c r="DO37" s="52">
        <v>11.5928</v>
      </c>
      <c r="DP37" s="52">
        <v>11.5928</v>
      </c>
      <c r="DQ37" s="52">
        <v>11.5928</v>
      </c>
      <c r="DR37" s="52">
        <v>11.5928</v>
      </c>
      <c r="DS37" s="52">
        <v>11.5928</v>
      </c>
      <c r="DT37" s="52">
        <v>11.5928</v>
      </c>
      <c r="DU37" s="52">
        <v>11.5928</v>
      </c>
      <c r="DV37" s="52">
        <v>11.5928</v>
      </c>
      <c r="DW37" s="52">
        <v>11.5928</v>
      </c>
      <c r="DX37" s="52">
        <v>11.5928</v>
      </c>
      <c r="DY37" s="52">
        <v>11.5928</v>
      </c>
      <c r="DZ37" s="52">
        <v>11.5928</v>
      </c>
      <c r="EA37" s="52">
        <v>11.5928</v>
      </c>
      <c r="EB37" s="52">
        <v>11.5928</v>
      </c>
      <c r="EC37" s="52">
        <v>11.5928</v>
      </c>
      <c r="ED37" s="52">
        <v>11.5928</v>
      </c>
      <c r="EE37" s="52">
        <v>11.5928</v>
      </c>
      <c r="EF37" s="52">
        <v>11.5928</v>
      </c>
      <c r="EG37" s="52">
        <v>11.5928</v>
      </c>
      <c r="EH37" s="52">
        <v>11.5928</v>
      </c>
      <c r="EI37" s="52">
        <v>11.5928</v>
      </c>
      <c r="EJ37" s="52">
        <v>11.5928</v>
      </c>
      <c r="EK37" s="52">
        <v>11.5928</v>
      </c>
      <c r="EL37" s="52">
        <v>11.5928</v>
      </c>
      <c r="EM37" s="52">
        <v>11.5928</v>
      </c>
      <c r="EN37" s="52">
        <v>11.5928</v>
      </c>
      <c r="EO37" s="52">
        <v>11.5928</v>
      </c>
      <c r="EP37" s="52">
        <v>11.5928</v>
      </c>
      <c r="EQ37" s="52">
        <v>11.5928</v>
      </c>
      <c r="ER37" s="52">
        <v>11.5928</v>
      </c>
      <c r="ES37" s="52">
        <v>11.5928</v>
      </c>
      <c r="ET37" s="52">
        <v>11.5928</v>
      </c>
      <c r="EU37" s="52">
        <v>11.5928</v>
      </c>
      <c r="EV37" s="52">
        <v>11.5928</v>
      </c>
      <c r="EW37" s="52">
        <v>11.5928</v>
      </c>
      <c r="EX37" s="52">
        <v>11.5928</v>
      </c>
      <c r="EY37" s="52">
        <v>11.5928</v>
      </c>
      <c r="EZ37" s="52">
        <v>11.5928</v>
      </c>
      <c r="FA37" s="52">
        <v>11.5928</v>
      </c>
      <c r="FB37" s="52">
        <v>11.5928</v>
      </c>
      <c r="FC37" s="52">
        <v>11.5928</v>
      </c>
      <c r="FD37" s="52">
        <v>11.5928</v>
      </c>
      <c r="FE37" s="52">
        <v>11.5928</v>
      </c>
      <c r="FF37" s="52">
        <v>11.5928</v>
      </c>
      <c r="FG37" s="52">
        <v>11.5928</v>
      </c>
      <c r="FH37" s="52">
        <v>11.5928</v>
      </c>
      <c r="FI37" s="52">
        <v>11.5928</v>
      </c>
      <c r="FJ37" s="52">
        <v>11.5928</v>
      </c>
      <c r="FK37" s="52">
        <v>11.5928</v>
      </c>
      <c r="FL37" s="52">
        <v>11.5928</v>
      </c>
      <c r="FM37" s="52">
        <v>11.5928</v>
      </c>
      <c r="FN37" s="52">
        <v>11.5928</v>
      </c>
      <c r="FO37" s="52">
        <v>11.5928</v>
      </c>
      <c r="FP37" s="52">
        <v>11.5928</v>
      </c>
      <c r="FQ37" s="52">
        <v>11.5928</v>
      </c>
      <c r="FR37" s="52">
        <v>11.5928</v>
      </c>
      <c r="FS37" s="52">
        <v>11.5928</v>
      </c>
      <c r="FT37" s="52">
        <v>11.5928</v>
      </c>
      <c r="FU37" s="52">
        <v>11.5928</v>
      </c>
      <c r="FV37" s="52">
        <v>11.5928</v>
      </c>
      <c r="FW37" s="52">
        <v>11.5928</v>
      </c>
      <c r="FX37" s="52">
        <v>11.5928</v>
      </c>
      <c r="FY37" s="52">
        <v>11.5928</v>
      </c>
      <c r="FZ37" s="52">
        <v>11.5928</v>
      </c>
      <c r="GA37" s="52">
        <v>11.5928</v>
      </c>
      <c r="GB37" s="52">
        <v>11.5928</v>
      </c>
      <c r="GC37" s="52">
        <v>11.5928</v>
      </c>
      <c r="GD37" s="52">
        <v>11.5928</v>
      </c>
      <c r="GE37" s="52">
        <v>11.5928</v>
      </c>
      <c r="GF37" s="52">
        <v>11.5928</v>
      </c>
      <c r="GG37" s="52">
        <v>11.5928</v>
      </c>
      <c r="GH37" s="52">
        <v>11.5928</v>
      </c>
      <c r="GI37" s="52">
        <v>11.5928</v>
      </c>
      <c r="GJ37" s="52">
        <v>11.5928</v>
      </c>
      <c r="GK37" s="52">
        <v>11.5928</v>
      </c>
      <c r="GL37" s="52">
        <v>11.5928</v>
      </c>
      <c r="GM37" s="52">
        <v>11.5928</v>
      </c>
      <c r="GN37" s="52">
        <v>11.5928</v>
      </c>
      <c r="GO37" s="52">
        <v>11.5928</v>
      </c>
      <c r="GP37" s="52">
        <v>11.5928</v>
      </c>
      <c r="GQ37" s="52">
        <v>11.5928</v>
      </c>
      <c r="GR37" s="52">
        <v>11.5928</v>
      </c>
      <c r="GS37" s="52">
        <v>11.5928</v>
      </c>
      <c r="GT37" s="52">
        <v>11.5928</v>
      </c>
      <c r="GU37" s="52">
        <v>11.5928</v>
      </c>
      <c r="GV37" s="52">
        <v>11.5928</v>
      </c>
      <c r="GW37" s="52">
        <v>11.5928</v>
      </c>
      <c r="GX37" s="52">
        <v>11.5928</v>
      </c>
      <c r="GY37" s="52">
        <v>11.5928</v>
      </c>
      <c r="GZ37" s="52">
        <v>11.5928</v>
      </c>
      <c r="HA37" s="52">
        <v>11.5928</v>
      </c>
      <c r="HB37" s="52">
        <v>11.5928</v>
      </c>
      <c r="HC37" s="52">
        <v>11.5928</v>
      </c>
      <c r="HD37" s="52">
        <v>11.5928</v>
      </c>
      <c r="HE37" s="52">
        <v>11.5928</v>
      </c>
      <c r="HF37" s="52">
        <v>11.5928</v>
      </c>
      <c r="HG37" s="52">
        <v>11.5928</v>
      </c>
      <c r="HH37" s="52">
        <v>11.5928</v>
      </c>
      <c r="HI37" s="52">
        <v>11.5928</v>
      </c>
      <c r="HJ37" s="52">
        <v>11.5928</v>
      </c>
      <c r="HK37" s="52">
        <v>11.5928</v>
      </c>
      <c r="HL37" s="52">
        <v>11.5928</v>
      </c>
      <c r="HM37" s="52">
        <v>11.5928</v>
      </c>
      <c r="HN37" s="52">
        <v>11.5928</v>
      </c>
      <c r="HO37" s="52">
        <v>11.5928</v>
      </c>
      <c r="HP37" s="52">
        <v>11.5928</v>
      </c>
      <c r="HQ37" s="52">
        <v>11.5928</v>
      </c>
      <c r="HR37" s="52">
        <v>11.5928</v>
      </c>
      <c r="HS37" s="52">
        <v>11.5928</v>
      </c>
      <c r="HT37" s="52">
        <v>11.5928</v>
      </c>
      <c r="HU37" s="52">
        <v>11.5928</v>
      </c>
      <c r="HV37" s="52">
        <v>11.5928</v>
      </c>
      <c r="HW37" s="52">
        <v>11.5928</v>
      </c>
      <c r="HX37" s="52">
        <v>11.5928</v>
      </c>
      <c r="HY37" s="52">
        <v>11.5928</v>
      </c>
      <c r="HZ37" s="52">
        <v>11.5928</v>
      </c>
      <c r="IA37" s="52">
        <v>11.5928</v>
      </c>
      <c r="IB37" s="52">
        <v>11.5928</v>
      </c>
      <c r="IC37" s="52">
        <v>11.5928</v>
      </c>
      <c r="ID37" s="52">
        <v>11.5928</v>
      </c>
      <c r="IE37" s="52">
        <v>11.5928</v>
      </c>
      <c r="IF37" s="52">
        <v>11.5928</v>
      </c>
      <c r="IG37" s="52">
        <v>11.5928</v>
      </c>
      <c r="IH37" s="52">
        <v>11.5928</v>
      </c>
      <c r="II37" s="52">
        <v>11.5928</v>
      </c>
      <c r="IJ37" s="52">
        <v>11.5928</v>
      </c>
      <c r="IK37" s="52">
        <v>11.5928</v>
      </c>
      <c r="IL37" s="52">
        <v>11.5928</v>
      </c>
      <c r="IM37" s="52">
        <v>11.5928</v>
      </c>
      <c r="IN37" s="52">
        <v>11.5928</v>
      </c>
      <c r="IO37" s="52">
        <v>11.5928</v>
      </c>
      <c r="IP37" s="52">
        <v>11.5928</v>
      </c>
      <c r="IQ37" s="52">
        <v>11.5928</v>
      </c>
      <c r="IR37" s="52">
        <v>11.5928</v>
      </c>
      <c r="IS37" s="52">
        <v>11.5928</v>
      </c>
      <c r="IT37" s="52">
        <v>11.5928</v>
      </c>
      <c r="IU37" s="52">
        <v>11.5928</v>
      </c>
      <c r="IV37" s="52">
        <v>11.5928</v>
      </c>
      <c r="IW37" s="52">
        <v>11.5928</v>
      </c>
      <c r="IX37" s="52">
        <v>11.5928</v>
      </c>
      <c r="IY37" s="52">
        <v>11.5928</v>
      </c>
      <c r="IZ37" s="52">
        <v>11.5928</v>
      </c>
      <c r="JA37" s="52">
        <v>11.5928</v>
      </c>
      <c r="JB37" s="52">
        <v>11.5928</v>
      </c>
      <c r="JC37" s="52">
        <v>11.5928</v>
      </c>
      <c r="JD37" s="52">
        <v>11.5928</v>
      </c>
      <c r="JE37" s="52">
        <v>11.5928</v>
      </c>
      <c r="JF37" s="52">
        <v>11.5928</v>
      </c>
      <c r="JG37" s="52">
        <v>11.5928</v>
      </c>
      <c r="JH37" s="52">
        <v>11.5928</v>
      </c>
      <c r="JI37" s="52">
        <v>11.5928</v>
      </c>
      <c r="JJ37" s="52">
        <v>11.5928</v>
      </c>
      <c r="JK37" s="52">
        <v>11.5928</v>
      </c>
      <c r="JL37" s="52">
        <v>11.5928</v>
      </c>
      <c r="JM37" s="52">
        <v>11.5928</v>
      </c>
      <c r="JN37" s="52">
        <v>11.5928</v>
      </c>
      <c r="JO37" s="52">
        <v>11.5928</v>
      </c>
      <c r="JP37" s="52">
        <v>11.5928</v>
      </c>
      <c r="JQ37" s="52">
        <v>11.5928</v>
      </c>
      <c r="JR37" s="52">
        <v>11.5928</v>
      </c>
      <c r="JS37" s="52">
        <v>11.5928</v>
      </c>
      <c r="JT37" s="52">
        <v>11.5928</v>
      </c>
      <c r="JU37" s="52">
        <v>11.5928</v>
      </c>
      <c r="JV37" s="52">
        <v>11.5928</v>
      </c>
      <c r="JW37" s="52">
        <v>11.5928</v>
      </c>
      <c r="JX37" s="52">
        <v>11.5928</v>
      </c>
      <c r="JY37" s="52">
        <v>11.5928</v>
      </c>
      <c r="JZ37" s="52">
        <v>11.5928</v>
      </c>
      <c r="KA37" s="52">
        <v>11.5928</v>
      </c>
      <c r="KB37" s="52">
        <v>11.5928</v>
      </c>
      <c r="KC37" s="52">
        <v>11.5928</v>
      </c>
      <c r="KD37" s="52">
        <v>11.5928</v>
      </c>
      <c r="KE37" s="52">
        <v>11.5928</v>
      </c>
      <c r="KF37" s="52">
        <v>11.5928</v>
      </c>
      <c r="KG37" s="52">
        <v>11.5928</v>
      </c>
      <c r="KH37" s="52">
        <v>11.5928</v>
      </c>
      <c r="KI37" s="52">
        <v>11.5928</v>
      </c>
      <c r="KJ37" s="52">
        <v>11.5928</v>
      </c>
      <c r="KK37" s="52">
        <v>11.5928</v>
      </c>
      <c r="KL37" s="52">
        <v>11.5928</v>
      </c>
      <c r="KM37" s="52">
        <v>11.5928</v>
      </c>
      <c r="KN37" s="52">
        <v>11.5928</v>
      </c>
      <c r="KO37" s="52">
        <v>11.5928</v>
      </c>
      <c r="KP37" s="52">
        <v>11.5928</v>
      </c>
      <c r="KQ37" s="52">
        <v>11.5928</v>
      </c>
      <c r="KR37" s="52">
        <v>11.5928</v>
      </c>
      <c r="KS37" s="52">
        <v>11.5928</v>
      </c>
      <c r="KT37" s="52">
        <v>11.5928</v>
      </c>
      <c r="KU37" s="52">
        <v>11.5928</v>
      </c>
      <c r="KV37" s="52">
        <v>11.5928</v>
      </c>
      <c r="KW37" s="52">
        <v>11.5928</v>
      </c>
      <c r="KX37" s="52">
        <v>11.5928</v>
      </c>
      <c r="KY37" s="52">
        <v>11.5928</v>
      </c>
      <c r="KZ37" s="52">
        <v>11.5928</v>
      </c>
      <c r="LA37" s="52">
        <v>11.5928</v>
      </c>
      <c r="LB37" s="52">
        <v>11.5928</v>
      </c>
      <c r="LC37" s="52">
        <v>11.5928</v>
      </c>
      <c r="LD37" s="52">
        <v>11.5928</v>
      </c>
      <c r="LE37" s="52">
        <v>11.5928</v>
      </c>
      <c r="LF37" s="52">
        <v>11.5928</v>
      </c>
      <c r="LG37" s="52">
        <v>11.5928</v>
      </c>
      <c r="LH37" s="52">
        <v>11.5928</v>
      </c>
      <c r="LI37" s="52">
        <v>11.5928</v>
      </c>
      <c r="LJ37" s="52">
        <v>11.5928</v>
      </c>
      <c r="LK37" s="52">
        <v>11.5928</v>
      </c>
      <c r="LL37" s="52">
        <v>11.5928</v>
      </c>
      <c r="LM37" s="52">
        <v>11.5928</v>
      </c>
      <c r="LN37" s="52">
        <v>11.5928</v>
      </c>
      <c r="LO37" s="52">
        <v>11.5928</v>
      </c>
      <c r="LP37" s="52">
        <v>11.5928</v>
      </c>
      <c r="LQ37" s="52">
        <v>11.5928</v>
      </c>
      <c r="LR37" s="52">
        <v>11.5928</v>
      </c>
      <c r="LS37" s="52">
        <v>11.5928</v>
      </c>
      <c r="LT37" s="52">
        <v>11.5928</v>
      </c>
      <c r="LU37" s="52">
        <v>11.5928</v>
      </c>
      <c r="LV37" s="52">
        <v>11.5928</v>
      </c>
      <c r="LW37" s="52">
        <v>11.5928</v>
      </c>
      <c r="LX37" s="52">
        <v>11.5928</v>
      </c>
      <c r="LY37" s="52">
        <v>11.5928</v>
      </c>
      <c r="LZ37" s="52">
        <v>11.5928</v>
      </c>
      <c r="MA37" s="52">
        <v>11.5928</v>
      </c>
      <c r="MB37" s="52">
        <v>11.5928</v>
      </c>
      <c r="MC37" s="52">
        <v>11.5928</v>
      </c>
      <c r="MD37" s="52">
        <v>11.5928</v>
      </c>
      <c r="ME37" s="52">
        <v>11.5928</v>
      </c>
      <c r="MF37" s="52">
        <v>11.5928</v>
      </c>
      <c r="MG37" s="52">
        <v>11.5928</v>
      </c>
      <c r="MH37" s="52">
        <v>11.5928</v>
      </c>
      <c r="MI37" s="52">
        <v>11.5928</v>
      </c>
      <c r="MJ37" s="52">
        <v>11.5928</v>
      </c>
      <c r="MK37" s="52">
        <v>11.5928</v>
      </c>
      <c r="ML37" s="52">
        <v>11.5928</v>
      </c>
      <c r="MM37" s="52">
        <v>11.5928</v>
      </c>
      <c r="MN37" s="52">
        <v>11.5928</v>
      </c>
      <c r="MO37" s="52">
        <v>11.5928</v>
      </c>
      <c r="MP37" s="52">
        <v>11.5928</v>
      </c>
      <c r="MQ37" s="52">
        <v>11.5928</v>
      </c>
      <c r="MR37" s="52">
        <v>11.5928</v>
      </c>
      <c r="MS37" s="52">
        <v>11.5928</v>
      </c>
      <c r="MT37" s="52">
        <v>11.5928</v>
      </c>
      <c r="MU37" s="52">
        <v>11.5928</v>
      </c>
      <c r="MV37" s="52">
        <v>11.5928</v>
      </c>
      <c r="MW37" s="52">
        <v>11.5928</v>
      </c>
      <c r="MX37" s="52">
        <v>11.5928</v>
      </c>
      <c r="MY37" s="52">
        <v>11.5928</v>
      </c>
      <c r="MZ37" s="52">
        <v>11.5928</v>
      </c>
      <c r="NA37" s="52">
        <v>11.5928</v>
      </c>
      <c r="NB37" s="52">
        <v>11.5928</v>
      </c>
      <c r="NC37" s="52">
        <v>11.5928</v>
      </c>
      <c r="ND37" s="52">
        <v>11.5928</v>
      </c>
      <c r="NE37" s="52">
        <v>11.5928</v>
      </c>
      <c r="NF37" s="37">
        <v>11.5928</v>
      </c>
      <c r="NG37" s="37">
        <v>11.5928</v>
      </c>
      <c r="NH37" s="37">
        <v>11.5928</v>
      </c>
      <c r="NI37" s="37">
        <v>11.5928</v>
      </c>
      <c r="NJ37" s="37">
        <v>11.5928</v>
      </c>
      <c r="NK37" s="37">
        <v>11.5928</v>
      </c>
      <c r="NL37" s="37">
        <v>11.5928</v>
      </c>
      <c r="NM37" s="37">
        <v>11.5928</v>
      </c>
      <c r="NN37" s="37">
        <v>11.5928</v>
      </c>
      <c r="NO37" s="37">
        <v>11.5928</v>
      </c>
      <c r="NP37" s="37">
        <v>11.5928</v>
      </c>
      <c r="NQ37" s="37">
        <v>11.5928</v>
      </c>
      <c r="NR37" s="37">
        <v>11.5928</v>
      </c>
      <c r="NS37" s="37">
        <v>11.5928</v>
      </c>
      <c r="NT37" s="37">
        <v>11.5928</v>
      </c>
      <c r="NU37" s="37">
        <v>11.5928</v>
      </c>
      <c r="NV37" s="37">
        <v>11.5928</v>
      </c>
      <c r="NW37" s="37">
        <v>11.5928</v>
      </c>
      <c r="NX37" s="37">
        <v>11.5928</v>
      </c>
      <c r="NY37" s="37">
        <v>11.5928</v>
      </c>
      <c r="NZ37" s="37">
        <v>11.5928</v>
      </c>
      <c r="OA37" s="37">
        <v>11.5928</v>
      </c>
      <c r="OB37" s="37">
        <v>11.5928</v>
      </c>
      <c r="OC37" s="37">
        <v>11.5928</v>
      </c>
      <c r="OD37" s="37">
        <v>11.5928</v>
      </c>
      <c r="OE37" s="37">
        <v>11.5928</v>
      </c>
      <c r="OF37" s="37">
        <v>11.5928</v>
      </c>
      <c r="OG37" s="37">
        <v>11.5928</v>
      </c>
      <c r="OH37" s="37">
        <v>11.5928</v>
      </c>
      <c r="OI37" s="37">
        <v>11.5928</v>
      </c>
      <c r="OJ37" s="37">
        <v>11.5928</v>
      </c>
      <c r="OK37" s="37">
        <v>11.5928</v>
      </c>
      <c r="OL37" s="37">
        <v>11.5928</v>
      </c>
      <c r="OM37" s="37">
        <v>11.5928</v>
      </c>
      <c r="ON37" s="37">
        <v>11.5928</v>
      </c>
      <c r="OO37" s="37">
        <v>11.5928</v>
      </c>
      <c r="OP37" s="37">
        <v>11.5928</v>
      </c>
      <c r="OQ37" s="37">
        <v>11.5928</v>
      </c>
      <c r="OR37" s="37">
        <v>11.5928</v>
      </c>
      <c r="OS37" s="37">
        <v>11.5928</v>
      </c>
      <c r="OT37" s="37">
        <v>11.5928</v>
      </c>
      <c r="OU37" s="37">
        <v>11.5928</v>
      </c>
      <c r="OV37" s="37">
        <v>11.5928</v>
      </c>
      <c r="OW37" s="37">
        <v>11.5928</v>
      </c>
      <c r="OX37" s="37">
        <v>11.5928</v>
      </c>
      <c r="OY37" s="37">
        <v>11.5928</v>
      </c>
      <c r="OZ37" s="37">
        <v>11.5928</v>
      </c>
      <c r="PA37" s="37">
        <v>11.5928</v>
      </c>
      <c r="PB37" s="37">
        <v>11.5928</v>
      </c>
      <c r="PC37" s="37">
        <v>11.5928</v>
      </c>
      <c r="PD37" s="37">
        <v>11.5928</v>
      </c>
      <c r="PE37" s="37">
        <v>11.5928</v>
      </c>
      <c r="PF37" s="37">
        <v>11.5928</v>
      </c>
      <c r="PG37" s="37">
        <v>11.5928</v>
      </c>
      <c r="PH37" s="37">
        <v>11.5928</v>
      </c>
      <c r="PI37" s="37">
        <v>11.5928</v>
      </c>
      <c r="PJ37" s="37">
        <v>11.5928</v>
      </c>
      <c r="PK37" s="37">
        <v>11.5928</v>
      </c>
      <c r="PL37" s="37">
        <v>11.5928</v>
      </c>
      <c r="PM37" s="37">
        <v>11.5928</v>
      </c>
      <c r="PN37" s="37">
        <v>11.5928</v>
      </c>
      <c r="PO37" s="37">
        <v>11.5928</v>
      </c>
      <c r="PP37" s="37">
        <v>11.5928</v>
      </c>
      <c r="PQ37" s="37">
        <v>11.5928</v>
      </c>
      <c r="PR37" s="37">
        <v>11.5928</v>
      </c>
      <c r="PS37" s="15">
        <v>11.5928</v>
      </c>
      <c r="PT37" s="15">
        <v>11.5928</v>
      </c>
      <c r="PU37" s="15">
        <v>11.5928</v>
      </c>
      <c r="PV37" s="15">
        <v>11.5928</v>
      </c>
      <c r="PW37" s="15">
        <v>11.5928</v>
      </c>
      <c r="PX37" s="15">
        <v>11.5928</v>
      </c>
      <c r="PY37" s="15">
        <v>11.5928</v>
      </c>
      <c r="PZ37" s="15">
        <v>11.5928</v>
      </c>
      <c r="QA37" s="15">
        <v>11.5928</v>
      </c>
      <c r="QB37" s="15">
        <v>11.5928</v>
      </c>
      <c r="QC37" s="15">
        <v>11.5928</v>
      </c>
      <c r="QD37" s="15">
        <v>11.5928</v>
      </c>
      <c r="QE37" s="15">
        <v>11.5928</v>
      </c>
      <c r="QF37" s="15">
        <v>11.5928</v>
      </c>
      <c r="QG37" s="15">
        <v>11.5928</v>
      </c>
      <c r="QH37" s="15">
        <v>11.5928</v>
      </c>
      <c r="QI37" s="15">
        <v>11.5928</v>
      </c>
      <c r="QJ37" s="15">
        <v>11.5928</v>
      </c>
      <c r="QK37" s="15">
        <v>11.5928</v>
      </c>
      <c r="QL37" s="15">
        <v>11.5928</v>
      </c>
      <c r="QM37" s="15">
        <v>11.5928</v>
      </c>
      <c r="QN37" s="15">
        <v>11.5928</v>
      </c>
      <c r="QO37" s="15">
        <v>11.5928</v>
      </c>
      <c r="QP37" s="15">
        <v>11.5928</v>
      </c>
      <c r="QQ37" s="15">
        <v>11.5928</v>
      </c>
      <c r="QR37" s="15">
        <v>11.5928</v>
      </c>
      <c r="QS37" s="15">
        <v>11.5928</v>
      </c>
      <c r="QT37" s="15">
        <v>11.5928</v>
      </c>
      <c r="QU37" s="15">
        <v>11.5928</v>
      </c>
      <c r="QV37" s="15">
        <v>11.5928</v>
      </c>
      <c r="QW37" s="15">
        <v>11.5928</v>
      </c>
      <c r="QX37" s="15">
        <v>11.5928</v>
      </c>
      <c r="QY37" s="15">
        <v>11.5928</v>
      </c>
      <c r="QZ37" s="15">
        <v>11.5928</v>
      </c>
      <c r="RA37" s="15">
        <v>11.5928</v>
      </c>
      <c r="RB37" s="15">
        <v>11.5928</v>
      </c>
      <c r="RC37" s="15">
        <v>11.5928</v>
      </c>
      <c r="RD37" s="15">
        <v>11.5928</v>
      </c>
      <c r="RE37" s="15">
        <v>11.5928</v>
      </c>
      <c r="RF37" s="15">
        <v>11.5928</v>
      </c>
      <c r="RG37" s="15">
        <v>11.5928</v>
      </c>
      <c r="RH37" s="15">
        <v>11.5928</v>
      </c>
      <c r="RI37" s="15">
        <v>11.5928</v>
      </c>
      <c r="RJ37" s="15">
        <v>11.5928</v>
      </c>
      <c r="RK37" s="15">
        <v>11.5928</v>
      </c>
      <c r="RL37" s="15">
        <v>11.5928</v>
      </c>
      <c r="RM37" s="15">
        <v>11.5928</v>
      </c>
      <c r="RN37" s="15">
        <v>11.5928</v>
      </c>
      <c r="RO37" s="15">
        <v>11.5928</v>
      </c>
      <c r="RP37" s="15">
        <v>11.5928</v>
      </c>
      <c r="RQ37" s="15">
        <v>11.5928</v>
      </c>
      <c r="RR37" s="15">
        <v>11.5928</v>
      </c>
      <c r="RS37" s="15">
        <v>11.5928</v>
      </c>
      <c r="RT37" s="15">
        <v>11.5928</v>
      </c>
      <c r="RU37" s="15">
        <v>11.5928</v>
      </c>
      <c r="RV37" s="15">
        <v>11.5928</v>
      </c>
      <c r="RW37" s="15">
        <v>11.5928</v>
      </c>
      <c r="RX37" s="15">
        <v>11.5928</v>
      </c>
      <c r="RY37" s="15">
        <v>11.5928</v>
      </c>
      <c r="RZ37" s="15">
        <v>11.5928</v>
      </c>
      <c r="SA37" s="15">
        <v>11.5928</v>
      </c>
      <c r="SB37" s="15">
        <v>11.5928</v>
      </c>
      <c r="SC37" s="15">
        <v>11.5928</v>
      </c>
      <c r="SD37" s="15">
        <v>11.5928</v>
      </c>
      <c r="SE37" s="15">
        <v>11.5928</v>
      </c>
      <c r="SF37" s="15">
        <v>11.5928</v>
      </c>
      <c r="SG37" s="15">
        <v>11.5928</v>
      </c>
      <c r="SH37" s="15">
        <v>11.5928</v>
      </c>
      <c r="SI37" s="15">
        <v>11.5928</v>
      </c>
      <c r="SJ37" s="15">
        <v>11.5928</v>
      </c>
      <c r="SK37" s="15">
        <v>10.4361</v>
      </c>
      <c r="SL37" s="15" t="s">
        <v>668</v>
      </c>
    </row>
    <row r="38" spans="1:507" x14ac:dyDescent="0.2">
      <c r="A38" s="37">
        <v>36</v>
      </c>
      <c r="B38" s="15" t="s">
        <v>634</v>
      </c>
      <c r="C38" s="17">
        <f>+'Detalle Compras'!D38</f>
        <v>202506180038</v>
      </c>
      <c r="D38" s="55">
        <f t="shared" si="13"/>
        <v>13.009650000000001</v>
      </c>
      <c r="E38" s="14">
        <f>+IF(B38="","",'Detalle Compras'!S38+0)</f>
        <v>45879</v>
      </c>
      <c r="F38" s="14">
        <f>+IF(B38="","",EOMONTH('Detalle Compras'!S38,G38)+10)</f>
        <v>56137</v>
      </c>
      <c r="G38" s="50">
        <f t="shared" si="14"/>
        <v>336</v>
      </c>
      <c r="H38" s="50">
        <f t="shared" si="15"/>
        <v>330</v>
      </c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52"/>
      <c r="V38" s="52"/>
      <c r="W38" s="52"/>
      <c r="X38" s="52"/>
      <c r="Y38" s="52"/>
      <c r="Z38" s="52">
        <v>13.009650000000001</v>
      </c>
      <c r="AA38" s="52">
        <v>13.009650000000001</v>
      </c>
      <c r="AB38" s="52">
        <v>13.009650000000001</v>
      </c>
      <c r="AC38" s="52">
        <v>13.009650000000001</v>
      </c>
      <c r="AD38" s="52">
        <v>13.009650000000001</v>
      </c>
      <c r="AE38" s="52">
        <v>13.009650000000001</v>
      </c>
      <c r="AF38" s="52">
        <v>13.009650000000001</v>
      </c>
      <c r="AG38" s="52">
        <v>13.009650000000001</v>
      </c>
      <c r="AH38" s="52">
        <v>13.009650000000001</v>
      </c>
      <c r="AI38" s="52">
        <v>13.009650000000001</v>
      </c>
      <c r="AJ38" s="52">
        <v>13.009650000000001</v>
      </c>
      <c r="AK38" s="52">
        <v>13.009650000000001</v>
      </c>
      <c r="AL38" s="52">
        <v>13.009650000000001</v>
      </c>
      <c r="AM38" s="52">
        <v>13.009650000000001</v>
      </c>
      <c r="AN38" s="52">
        <v>13.009650000000001</v>
      </c>
      <c r="AO38" s="52">
        <v>13.009650000000001</v>
      </c>
      <c r="AP38" s="52">
        <v>13.009650000000001</v>
      </c>
      <c r="AQ38" s="52">
        <v>13.009650000000001</v>
      </c>
      <c r="AR38" s="52">
        <v>13.009650000000001</v>
      </c>
      <c r="AS38" s="52">
        <v>13.009650000000001</v>
      </c>
      <c r="AT38" s="52">
        <v>13.009650000000001</v>
      </c>
      <c r="AU38" s="52">
        <v>13.009650000000001</v>
      </c>
      <c r="AV38" s="52">
        <v>13.009650000000001</v>
      </c>
      <c r="AW38" s="52">
        <v>13.009650000000001</v>
      </c>
      <c r="AX38" s="52">
        <v>13.009650000000001</v>
      </c>
      <c r="AY38" s="52">
        <v>13.009650000000001</v>
      </c>
      <c r="AZ38" s="52">
        <v>13.009650000000001</v>
      </c>
      <c r="BA38" s="52">
        <v>13.009650000000001</v>
      </c>
      <c r="BB38" s="52">
        <v>13.009650000000001</v>
      </c>
      <c r="BC38" s="52">
        <v>13.009650000000001</v>
      </c>
      <c r="BD38" s="52">
        <v>13.009650000000001</v>
      </c>
      <c r="BE38" s="52">
        <v>13.009650000000001</v>
      </c>
      <c r="BF38" s="52">
        <v>13.009650000000001</v>
      </c>
      <c r="BG38" s="52">
        <v>13.009650000000001</v>
      </c>
      <c r="BH38" s="52">
        <v>13.009650000000001</v>
      </c>
      <c r="BI38" s="52">
        <v>13.009650000000001</v>
      </c>
      <c r="BJ38" s="52">
        <v>13.009650000000001</v>
      </c>
      <c r="BK38" s="52">
        <v>13.009650000000001</v>
      </c>
      <c r="BL38" s="52">
        <v>13.009650000000001</v>
      </c>
      <c r="BM38" s="52">
        <v>13.009650000000001</v>
      </c>
      <c r="BN38" s="52">
        <v>13.009650000000001</v>
      </c>
      <c r="BO38" s="52">
        <v>13.009650000000001</v>
      </c>
      <c r="BP38" s="52">
        <v>13.009650000000001</v>
      </c>
      <c r="BQ38" s="52">
        <v>13.009650000000001</v>
      </c>
      <c r="BR38" s="52">
        <v>13.009650000000001</v>
      </c>
      <c r="BS38" s="52">
        <v>13.009650000000001</v>
      </c>
      <c r="BT38" s="52">
        <v>13.009650000000001</v>
      </c>
      <c r="BU38" s="52">
        <v>13.009650000000001</v>
      </c>
      <c r="BV38" s="52">
        <v>13.009650000000001</v>
      </c>
      <c r="BW38" s="52">
        <v>13.009650000000001</v>
      </c>
      <c r="BX38" s="52">
        <v>13.009650000000001</v>
      </c>
      <c r="BY38" s="52">
        <v>13.009650000000001</v>
      </c>
      <c r="BZ38" s="52">
        <v>13.009650000000001</v>
      </c>
      <c r="CA38" s="52">
        <v>13.009650000000001</v>
      </c>
      <c r="CB38" s="52">
        <v>13.009650000000001</v>
      </c>
      <c r="CC38" s="52">
        <v>13.009650000000001</v>
      </c>
      <c r="CD38" s="52">
        <v>13.009650000000001</v>
      </c>
      <c r="CE38" s="52">
        <v>13.009650000000001</v>
      </c>
      <c r="CF38" s="52">
        <v>13.009650000000001</v>
      </c>
      <c r="CG38" s="52">
        <v>13.009650000000001</v>
      </c>
      <c r="CH38" s="52">
        <v>13.009650000000001</v>
      </c>
      <c r="CI38" s="52">
        <v>13.009650000000001</v>
      </c>
      <c r="CJ38" s="52">
        <v>13.009650000000001</v>
      </c>
      <c r="CK38" s="52">
        <v>13.009650000000001</v>
      </c>
      <c r="CL38" s="52">
        <v>13.009650000000001</v>
      </c>
      <c r="CM38" s="52">
        <v>13.009650000000001</v>
      </c>
      <c r="CN38" s="52">
        <v>13.009650000000001</v>
      </c>
      <c r="CO38" s="52">
        <v>13.009650000000001</v>
      </c>
      <c r="CP38" s="52">
        <v>13.009650000000001</v>
      </c>
      <c r="CQ38" s="52">
        <v>13.009650000000001</v>
      </c>
      <c r="CR38" s="52">
        <v>13.009650000000001</v>
      </c>
      <c r="CS38" s="52">
        <v>13.009650000000001</v>
      </c>
      <c r="CT38" s="52">
        <v>13.009650000000001</v>
      </c>
      <c r="CU38" s="52">
        <v>13.009650000000001</v>
      </c>
      <c r="CV38" s="52">
        <v>13.009650000000001</v>
      </c>
      <c r="CW38" s="52">
        <v>13.009650000000001</v>
      </c>
      <c r="CX38" s="52">
        <v>13.009650000000001</v>
      </c>
      <c r="CY38" s="52">
        <v>13.009650000000001</v>
      </c>
      <c r="CZ38" s="52">
        <v>13.009650000000001</v>
      </c>
      <c r="DA38" s="52">
        <v>13.009650000000001</v>
      </c>
      <c r="DB38" s="52">
        <v>13.009650000000001</v>
      </c>
      <c r="DC38" s="52">
        <v>13.009650000000001</v>
      </c>
      <c r="DD38" s="52">
        <v>13.009650000000001</v>
      </c>
      <c r="DE38" s="52">
        <v>13.009650000000001</v>
      </c>
      <c r="DF38" s="52">
        <v>13.009650000000001</v>
      </c>
      <c r="DG38" s="52">
        <v>13.009650000000001</v>
      </c>
      <c r="DH38" s="52">
        <v>13.009650000000001</v>
      </c>
      <c r="DI38" s="52">
        <v>13.009650000000001</v>
      </c>
      <c r="DJ38" s="52">
        <v>13.009650000000001</v>
      </c>
      <c r="DK38" s="52">
        <v>13.009650000000001</v>
      </c>
      <c r="DL38" s="52">
        <v>13.009650000000001</v>
      </c>
      <c r="DM38" s="52">
        <v>13.009650000000001</v>
      </c>
      <c r="DN38" s="52">
        <v>13.009650000000001</v>
      </c>
      <c r="DO38" s="52">
        <v>13.009650000000001</v>
      </c>
      <c r="DP38" s="52">
        <v>13.009650000000001</v>
      </c>
      <c r="DQ38" s="52">
        <v>13.009650000000001</v>
      </c>
      <c r="DR38" s="52">
        <v>13.009650000000001</v>
      </c>
      <c r="DS38" s="52">
        <v>13.009650000000001</v>
      </c>
      <c r="DT38" s="52">
        <v>13.009650000000001</v>
      </c>
      <c r="DU38" s="52">
        <v>13.009650000000001</v>
      </c>
      <c r="DV38" s="52">
        <v>13.009650000000001</v>
      </c>
      <c r="DW38" s="52">
        <v>13.009650000000001</v>
      </c>
      <c r="DX38" s="52">
        <v>13.009650000000001</v>
      </c>
      <c r="DY38" s="52">
        <v>13.009650000000001</v>
      </c>
      <c r="DZ38" s="52">
        <v>13.009650000000001</v>
      </c>
      <c r="EA38" s="52">
        <v>13.009650000000001</v>
      </c>
      <c r="EB38" s="52">
        <v>13.009650000000001</v>
      </c>
      <c r="EC38" s="52">
        <v>13.009650000000001</v>
      </c>
      <c r="ED38" s="52">
        <v>13.009650000000001</v>
      </c>
      <c r="EE38" s="52">
        <v>13.009650000000001</v>
      </c>
      <c r="EF38" s="52">
        <v>13.009650000000001</v>
      </c>
      <c r="EG38" s="52">
        <v>13.009650000000001</v>
      </c>
      <c r="EH38" s="52">
        <v>13.009650000000001</v>
      </c>
      <c r="EI38" s="52">
        <v>13.009650000000001</v>
      </c>
      <c r="EJ38" s="52">
        <v>13.009650000000001</v>
      </c>
      <c r="EK38" s="52">
        <v>13.009650000000001</v>
      </c>
      <c r="EL38" s="52">
        <v>13.009650000000001</v>
      </c>
      <c r="EM38" s="52">
        <v>13.009650000000001</v>
      </c>
      <c r="EN38" s="52">
        <v>13.009650000000001</v>
      </c>
      <c r="EO38" s="52">
        <v>13.009650000000001</v>
      </c>
      <c r="EP38" s="52">
        <v>13.009650000000001</v>
      </c>
      <c r="EQ38" s="52">
        <v>13.009650000000001</v>
      </c>
      <c r="ER38" s="52">
        <v>13.009650000000001</v>
      </c>
      <c r="ES38" s="52">
        <v>13.009650000000001</v>
      </c>
      <c r="ET38" s="52">
        <v>13.009650000000001</v>
      </c>
      <c r="EU38" s="52">
        <v>13.009650000000001</v>
      </c>
      <c r="EV38" s="52">
        <v>13.009650000000001</v>
      </c>
      <c r="EW38" s="52">
        <v>13.009650000000001</v>
      </c>
      <c r="EX38" s="52">
        <v>13.009650000000001</v>
      </c>
      <c r="EY38" s="52">
        <v>13.009650000000001</v>
      </c>
      <c r="EZ38" s="52">
        <v>13.009650000000001</v>
      </c>
      <c r="FA38" s="52">
        <v>13.009650000000001</v>
      </c>
      <c r="FB38" s="52">
        <v>13.009650000000001</v>
      </c>
      <c r="FC38" s="52">
        <v>13.009650000000001</v>
      </c>
      <c r="FD38" s="52">
        <v>13.009650000000001</v>
      </c>
      <c r="FE38" s="52">
        <v>13.009650000000001</v>
      </c>
      <c r="FF38" s="52">
        <v>13.009650000000001</v>
      </c>
      <c r="FG38" s="52">
        <v>13.009650000000001</v>
      </c>
      <c r="FH38" s="52">
        <v>13.009650000000001</v>
      </c>
      <c r="FI38" s="52">
        <v>13.009650000000001</v>
      </c>
      <c r="FJ38" s="52">
        <v>13.009650000000001</v>
      </c>
      <c r="FK38" s="52">
        <v>13.009650000000001</v>
      </c>
      <c r="FL38" s="52">
        <v>13.009650000000001</v>
      </c>
      <c r="FM38" s="52">
        <v>13.009650000000001</v>
      </c>
      <c r="FN38" s="52">
        <v>13.009650000000001</v>
      </c>
      <c r="FO38" s="52">
        <v>13.009650000000001</v>
      </c>
      <c r="FP38" s="52">
        <v>13.009650000000001</v>
      </c>
      <c r="FQ38" s="52">
        <v>13.009650000000001</v>
      </c>
      <c r="FR38" s="52">
        <v>13.009650000000001</v>
      </c>
      <c r="FS38" s="52">
        <v>13.009650000000001</v>
      </c>
      <c r="FT38" s="52">
        <v>13.009650000000001</v>
      </c>
      <c r="FU38" s="52">
        <v>13.009650000000001</v>
      </c>
      <c r="FV38" s="52">
        <v>13.009650000000001</v>
      </c>
      <c r="FW38" s="52">
        <v>13.009650000000001</v>
      </c>
      <c r="FX38" s="52">
        <v>13.009650000000001</v>
      </c>
      <c r="FY38" s="52">
        <v>13.009650000000001</v>
      </c>
      <c r="FZ38" s="52">
        <v>13.009650000000001</v>
      </c>
      <c r="GA38" s="52">
        <v>13.009650000000001</v>
      </c>
      <c r="GB38" s="52">
        <v>13.009650000000001</v>
      </c>
      <c r="GC38" s="52">
        <v>13.009650000000001</v>
      </c>
      <c r="GD38" s="52">
        <v>13.009650000000001</v>
      </c>
      <c r="GE38" s="52">
        <v>13.009650000000001</v>
      </c>
      <c r="GF38" s="52">
        <v>13.009650000000001</v>
      </c>
      <c r="GG38" s="52">
        <v>13.009650000000001</v>
      </c>
      <c r="GH38" s="52">
        <v>13.009650000000001</v>
      </c>
      <c r="GI38" s="52">
        <v>13.009650000000001</v>
      </c>
      <c r="GJ38" s="52">
        <v>13.009650000000001</v>
      </c>
      <c r="GK38" s="52">
        <v>13.009650000000001</v>
      </c>
      <c r="GL38" s="52">
        <v>13.009650000000001</v>
      </c>
      <c r="GM38" s="52">
        <v>13.009650000000001</v>
      </c>
      <c r="GN38" s="52">
        <v>13.009650000000001</v>
      </c>
      <c r="GO38" s="52">
        <v>13.009650000000001</v>
      </c>
      <c r="GP38" s="52">
        <v>13.009650000000001</v>
      </c>
      <c r="GQ38" s="52">
        <v>13.009650000000001</v>
      </c>
      <c r="GR38" s="52">
        <v>13.009650000000001</v>
      </c>
      <c r="GS38" s="52">
        <v>13.009650000000001</v>
      </c>
      <c r="GT38" s="52">
        <v>13.009650000000001</v>
      </c>
      <c r="GU38" s="52">
        <v>13.009650000000001</v>
      </c>
      <c r="GV38" s="52">
        <v>13.009650000000001</v>
      </c>
      <c r="GW38" s="52">
        <v>13.009650000000001</v>
      </c>
      <c r="GX38" s="52">
        <v>13.009650000000001</v>
      </c>
      <c r="GY38" s="52">
        <v>13.009650000000001</v>
      </c>
      <c r="GZ38" s="52">
        <v>13.009650000000001</v>
      </c>
      <c r="HA38" s="52">
        <v>13.009650000000001</v>
      </c>
      <c r="HB38" s="52">
        <v>13.009650000000001</v>
      </c>
      <c r="HC38" s="52">
        <v>13.009650000000001</v>
      </c>
      <c r="HD38" s="52">
        <v>13.009650000000001</v>
      </c>
      <c r="HE38" s="52">
        <v>13.009650000000001</v>
      </c>
      <c r="HF38" s="52">
        <v>13.009650000000001</v>
      </c>
      <c r="HG38" s="52">
        <v>13.009650000000001</v>
      </c>
      <c r="HH38" s="52">
        <v>13.009650000000001</v>
      </c>
      <c r="HI38" s="52">
        <v>13.009650000000001</v>
      </c>
      <c r="HJ38" s="52">
        <v>13.009650000000001</v>
      </c>
      <c r="HK38" s="52">
        <v>13.009650000000001</v>
      </c>
      <c r="HL38" s="52">
        <v>13.009650000000001</v>
      </c>
      <c r="HM38" s="52">
        <v>13.009650000000001</v>
      </c>
      <c r="HN38" s="52">
        <v>13.009650000000001</v>
      </c>
      <c r="HO38" s="52">
        <v>13.009650000000001</v>
      </c>
      <c r="HP38" s="52">
        <v>13.009650000000001</v>
      </c>
      <c r="HQ38" s="52">
        <v>13.009650000000001</v>
      </c>
      <c r="HR38" s="52">
        <v>13.009650000000001</v>
      </c>
      <c r="HS38" s="52">
        <v>13.009650000000001</v>
      </c>
      <c r="HT38" s="52">
        <v>13.009650000000001</v>
      </c>
      <c r="HU38" s="52">
        <v>13.009650000000001</v>
      </c>
      <c r="HV38" s="52">
        <v>13.009650000000001</v>
      </c>
      <c r="HW38" s="52">
        <v>13.009650000000001</v>
      </c>
      <c r="HX38" s="52">
        <v>13.009650000000001</v>
      </c>
      <c r="HY38" s="52">
        <v>13.009650000000001</v>
      </c>
      <c r="HZ38" s="52">
        <v>13.009650000000001</v>
      </c>
      <c r="IA38" s="52">
        <v>13.009650000000001</v>
      </c>
      <c r="IB38" s="52">
        <v>13.009650000000001</v>
      </c>
      <c r="IC38" s="52">
        <v>13.009650000000001</v>
      </c>
      <c r="ID38" s="52">
        <v>13.009650000000001</v>
      </c>
      <c r="IE38" s="52">
        <v>13.009650000000001</v>
      </c>
      <c r="IF38" s="52">
        <v>13.009650000000001</v>
      </c>
      <c r="IG38" s="52">
        <v>13.009650000000001</v>
      </c>
      <c r="IH38" s="52">
        <v>13.009650000000001</v>
      </c>
      <c r="II38" s="52">
        <v>13.009650000000001</v>
      </c>
      <c r="IJ38" s="52">
        <v>13.009650000000001</v>
      </c>
      <c r="IK38" s="52">
        <v>13.009650000000001</v>
      </c>
      <c r="IL38" s="52">
        <v>13.009650000000001</v>
      </c>
      <c r="IM38" s="52">
        <v>13.009650000000001</v>
      </c>
      <c r="IN38" s="52">
        <v>13.009650000000001</v>
      </c>
      <c r="IO38" s="52">
        <v>13.009650000000001</v>
      </c>
      <c r="IP38" s="52">
        <v>13.009650000000001</v>
      </c>
      <c r="IQ38" s="52">
        <v>13.009650000000001</v>
      </c>
      <c r="IR38" s="52">
        <v>13.009650000000001</v>
      </c>
      <c r="IS38" s="52">
        <v>13.009650000000001</v>
      </c>
      <c r="IT38" s="52">
        <v>13.009650000000001</v>
      </c>
      <c r="IU38" s="52">
        <v>13.009650000000001</v>
      </c>
      <c r="IV38" s="52">
        <v>13.009650000000001</v>
      </c>
      <c r="IW38" s="52">
        <v>13.009650000000001</v>
      </c>
      <c r="IX38" s="52">
        <v>13.009650000000001</v>
      </c>
      <c r="IY38" s="52">
        <v>13.009650000000001</v>
      </c>
      <c r="IZ38" s="52">
        <v>13.009650000000001</v>
      </c>
      <c r="JA38" s="52">
        <v>13.009650000000001</v>
      </c>
      <c r="JB38" s="52">
        <v>13.009650000000001</v>
      </c>
      <c r="JC38" s="52">
        <v>13.009650000000001</v>
      </c>
      <c r="JD38" s="52">
        <v>13.009650000000001</v>
      </c>
      <c r="JE38" s="52">
        <v>13.009650000000001</v>
      </c>
      <c r="JF38" s="52">
        <v>13.009650000000001</v>
      </c>
      <c r="JG38" s="52">
        <v>13.009650000000001</v>
      </c>
      <c r="JH38" s="52">
        <v>13.009650000000001</v>
      </c>
      <c r="JI38" s="52">
        <v>13.009650000000001</v>
      </c>
      <c r="JJ38" s="52">
        <v>13.009650000000001</v>
      </c>
      <c r="JK38" s="52">
        <v>13.009650000000001</v>
      </c>
      <c r="JL38" s="52">
        <v>13.009650000000001</v>
      </c>
      <c r="JM38" s="52">
        <v>13.009650000000001</v>
      </c>
      <c r="JN38" s="52">
        <v>13.009650000000001</v>
      </c>
      <c r="JO38" s="52">
        <v>13.009650000000001</v>
      </c>
      <c r="JP38" s="52">
        <v>13.009650000000001</v>
      </c>
      <c r="JQ38" s="52">
        <v>13.009650000000001</v>
      </c>
      <c r="JR38" s="52">
        <v>13.009650000000001</v>
      </c>
      <c r="JS38" s="52">
        <v>13.009650000000001</v>
      </c>
      <c r="JT38" s="52">
        <v>13.009650000000001</v>
      </c>
      <c r="JU38" s="52">
        <v>13.009650000000001</v>
      </c>
      <c r="JV38" s="52">
        <v>13.009650000000001</v>
      </c>
      <c r="JW38" s="52">
        <v>13.009650000000001</v>
      </c>
      <c r="JX38" s="52">
        <v>13.009650000000001</v>
      </c>
      <c r="JY38" s="52">
        <v>13.009650000000001</v>
      </c>
      <c r="JZ38" s="52">
        <v>13.009650000000001</v>
      </c>
      <c r="KA38" s="52">
        <v>13.009650000000001</v>
      </c>
      <c r="KB38" s="52">
        <v>13.009650000000001</v>
      </c>
      <c r="KC38" s="52">
        <v>13.009650000000001</v>
      </c>
      <c r="KD38" s="52">
        <v>13.009650000000001</v>
      </c>
      <c r="KE38" s="52">
        <v>13.009650000000001</v>
      </c>
      <c r="KF38" s="52">
        <v>13.009650000000001</v>
      </c>
      <c r="KG38" s="52">
        <v>13.009650000000001</v>
      </c>
      <c r="KH38" s="52">
        <v>13.009650000000001</v>
      </c>
      <c r="KI38" s="52">
        <v>13.009650000000001</v>
      </c>
      <c r="KJ38" s="52">
        <v>13.009650000000001</v>
      </c>
      <c r="KK38" s="52">
        <v>13.009650000000001</v>
      </c>
      <c r="KL38" s="52">
        <v>13.009650000000001</v>
      </c>
      <c r="KM38" s="52">
        <v>13.009650000000001</v>
      </c>
      <c r="KN38" s="52">
        <v>13.009650000000001</v>
      </c>
      <c r="KO38" s="52">
        <v>13.009650000000001</v>
      </c>
      <c r="KP38" s="52">
        <v>13.009650000000001</v>
      </c>
      <c r="KQ38" s="52">
        <v>13.009650000000001</v>
      </c>
      <c r="KR38" s="52">
        <v>13.009650000000001</v>
      </c>
      <c r="KS38" s="52">
        <v>13.009650000000001</v>
      </c>
      <c r="KT38" s="52">
        <v>13.009650000000001</v>
      </c>
      <c r="KU38" s="52">
        <v>13.009650000000001</v>
      </c>
      <c r="KV38" s="52">
        <v>13.009650000000001</v>
      </c>
      <c r="KW38" s="52">
        <v>13.009650000000001</v>
      </c>
      <c r="KX38" s="52">
        <v>13.009650000000001</v>
      </c>
      <c r="KY38" s="52">
        <v>13.009650000000001</v>
      </c>
      <c r="KZ38" s="52">
        <v>13.009650000000001</v>
      </c>
      <c r="LA38" s="52">
        <v>13.009650000000001</v>
      </c>
      <c r="LB38" s="52">
        <v>13.009650000000001</v>
      </c>
      <c r="LC38" s="52">
        <v>13.009650000000001</v>
      </c>
      <c r="LD38" s="52">
        <v>13.009650000000001</v>
      </c>
      <c r="LE38" s="52">
        <v>13.009650000000001</v>
      </c>
      <c r="LF38" s="52">
        <v>13.009650000000001</v>
      </c>
      <c r="LG38" s="52">
        <v>13.009650000000001</v>
      </c>
      <c r="LH38" s="52">
        <v>13.009650000000001</v>
      </c>
      <c r="LI38" s="52">
        <v>13.009650000000001</v>
      </c>
      <c r="LJ38" s="52">
        <v>13.009650000000001</v>
      </c>
      <c r="LK38" s="52">
        <v>13.009650000000001</v>
      </c>
      <c r="LL38" s="52">
        <v>13.009650000000001</v>
      </c>
      <c r="LM38" s="52">
        <v>13.009650000000001</v>
      </c>
      <c r="LN38" s="52">
        <v>13.009650000000001</v>
      </c>
      <c r="LO38" s="52">
        <v>13.009650000000001</v>
      </c>
      <c r="LP38" s="52">
        <v>13.009650000000001</v>
      </c>
      <c r="LQ38" s="52">
        <v>13.009650000000001</v>
      </c>
      <c r="LR38" s="52">
        <v>13.009650000000001</v>
      </c>
      <c r="LS38" s="52">
        <v>13.009650000000001</v>
      </c>
      <c r="LT38" s="52">
        <v>13.009650000000001</v>
      </c>
      <c r="LU38" s="52">
        <v>13.009650000000001</v>
      </c>
      <c r="LV38" s="52">
        <v>13.009650000000001</v>
      </c>
      <c r="LW38" s="52">
        <v>13.009650000000001</v>
      </c>
      <c r="LX38" s="52">
        <v>13.009650000000001</v>
      </c>
      <c r="LY38" s="52">
        <v>13.009650000000001</v>
      </c>
      <c r="LZ38" s="52">
        <v>13.009650000000001</v>
      </c>
      <c r="MA38" s="52">
        <v>13.009650000000001</v>
      </c>
      <c r="MB38" s="52">
        <v>13.009650000000001</v>
      </c>
      <c r="MC38" s="52">
        <v>13.009650000000001</v>
      </c>
      <c r="MD38" s="52">
        <v>13.009650000000001</v>
      </c>
      <c r="ME38" s="52">
        <v>13.009650000000001</v>
      </c>
      <c r="MF38" s="52">
        <v>13.009650000000001</v>
      </c>
      <c r="MG38" s="52">
        <v>13.009650000000001</v>
      </c>
      <c r="MH38" s="52">
        <v>13.009650000000001</v>
      </c>
      <c r="MI38" s="52">
        <v>13.009650000000001</v>
      </c>
      <c r="MJ38" s="52">
        <v>13.009650000000001</v>
      </c>
      <c r="MK38" s="52">
        <v>13.009650000000001</v>
      </c>
      <c r="ML38" s="52">
        <v>13.009650000000001</v>
      </c>
      <c r="MM38" s="52">
        <v>13.009650000000001</v>
      </c>
      <c r="MN38" s="52">
        <v>13.009650000000001</v>
      </c>
      <c r="MO38" s="52">
        <v>13.009650000000001</v>
      </c>
      <c r="MP38" s="52">
        <v>13.009650000000001</v>
      </c>
      <c r="MQ38" s="52">
        <v>13.009650000000001</v>
      </c>
      <c r="MR38" s="52">
        <v>13.009650000000001</v>
      </c>
      <c r="MS38" s="52">
        <v>13.009650000000001</v>
      </c>
      <c r="MT38" s="52">
        <v>13.009650000000001</v>
      </c>
      <c r="MU38" s="52">
        <v>13.009650000000001</v>
      </c>
      <c r="MV38" s="52">
        <v>13.009650000000001</v>
      </c>
      <c r="MW38" s="52">
        <v>13.742800000000001</v>
      </c>
      <c r="MX38" s="52" t="s">
        <v>668</v>
      </c>
      <c r="MY38" s="52" t="s">
        <v>668</v>
      </c>
      <c r="MZ38" s="52" t="s">
        <v>668</v>
      </c>
      <c r="NA38" s="52" t="s">
        <v>668</v>
      </c>
      <c r="NB38" s="52" t="s">
        <v>668</v>
      </c>
      <c r="NC38" s="52" t="s">
        <v>668</v>
      </c>
      <c r="ND38" s="52" t="s">
        <v>668</v>
      </c>
      <c r="NE38" s="37" t="s">
        <v>668</v>
      </c>
      <c r="NF38" s="37" t="s">
        <v>668</v>
      </c>
      <c r="NG38" s="37" t="s">
        <v>668</v>
      </c>
      <c r="NH38" s="37" t="s">
        <v>668</v>
      </c>
      <c r="NI38" s="37" t="s">
        <v>668</v>
      </c>
      <c r="NJ38" s="37" t="s">
        <v>668</v>
      </c>
      <c r="NK38" s="37" t="s">
        <v>668</v>
      </c>
      <c r="NL38" s="37" t="s">
        <v>668</v>
      </c>
      <c r="NM38" s="37" t="s">
        <v>668</v>
      </c>
      <c r="NN38" s="37" t="s">
        <v>668</v>
      </c>
      <c r="NO38" s="37" t="s">
        <v>668</v>
      </c>
      <c r="NP38" s="37" t="s">
        <v>668</v>
      </c>
      <c r="NQ38" s="37" t="s">
        <v>668</v>
      </c>
      <c r="NR38" s="37" t="s">
        <v>668</v>
      </c>
      <c r="NS38" s="37" t="s">
        <v>668</v>
      </c>
      <c r="NT38" s="37" t="s">
        <v>668</v>
      </c>
      <c r="NU38" s="37" t="s">
        <v>668</v>
      </c>
      <c r="NV38" s="37" t="s">
        <v>668</v>
      </c>
      <c r="NW38" s="37" t="s">
        <v>668</v>
      </c>
      <c r="NX38" s="37" t="s">
        <v>668</v>
      </c>
      <c r="NY38" s="37" t="s">
        <v>668</v>
      </c>
      <c r="NZ38" s="37" t="s">
        <v>668</v>
      </c>
      <c r="OA38" s="37" t="s">
        <v>668</v>
      </c>
      <c r="OB38" s="37" t="s">
        <v>668</v>
      </c>
      <c r="OC38" s="37" t="s">
        <v>668</v>
      </c>
      <c r="OD38" s="37" t="s">
        <v>668</v>
      </c>
      <c r="OE38" s="37" t="s">
        <v>668</v>
      </c>
      <c r="OF38" s="37" t="s">
        <v>668</v>
      </c>
      <c r="OG38" s="37" t="s">
        <v>668</v>
      </c>
      <c r="OH38" s="37" t="s">
        <v>668</v>
      </c>
      <c r="OI38" s="37" t="s">
        <v>668</v>
      </c>
      <c r="OJ38" s="37" t="s">
        <v>668</v>
      </c>
      <c r="OK38" s="37" t="s">
        <v>668</v>
      </c>
      <c r="OL38" s="37" t="s">
        <v>668</v>
      </c>
      <c r="OM38" s="37" t="s">
        <v>668</v>
      </c>
      <c r="ON38" s="37" t="s">
        <v>668</v>
      </c>
      <c r="OO38" s="37" t="s">
        <v>668</v>
      </c>
      <c r="OP38" s="37" t="s">
        <v>668</v>
      </c>
      <c r="OQ38" s="37" t="s">
        <v>668</v>
      </c>
      <c r="OR38" s="37" t="s">
        <v>668</v>
      </c>
      <c r="OS38" s="37" t="s">
        <v>668</v>
      </c>
      <c r="OT38" s="37" t="s">
        <v>668</v>
      </c>
      <c r="OU38" s="37" t="s">
        <v>668</v>
      </c>
      <c r="OV38" s="37" t="s">
        <v>668</v>
      </c>
      <c r="OW38" s="37" t="s">
        <v>668</v>
      </c>
      <c r="OX38" s="37" t="s">
        <v>668</v>
      </c>
      <c r="OY38" s="37" t="s">
        <v>668</v>
      </c>
      <c r="OZ38" s="37" t="s">
        <v>668</v>
      </c>
      <c r="PA38" s="37" t="s">
        <v>668</v>
      </c>
      <c r="PB38" s="37" t="s">
        <v>668</v>
      </c>
      <c r="PC38" s="37" t="s">
        <v>668</v>
      </c>
      <c r="PD38" s="37" t="s">
        <v>668</v>
      </c>
      <c r="PE38" s="37" t="s">
        <v>668</v>
      </c>
      <c r="PF38" s="37" t="s">
        <v>668</v>
      </c>
      <c r="PG38" s="37" t="s">
        <v>668</v>
      </c>
      <c r="PH38" s="37" t="s">
        <v>668</v>
      </c>
      <c r="PI38" s="37" t="s">
        <v>668</v>
      </c>
      <c r="PJ38" s="37" t="s">
        <v>668</v>
      </c>
      <c r="PK38" s="37" t="s">
        <v>668</v>
      </c>
      <c r="PL38" s="37" t="s">
        <v>668</v>
      </c>
      <c r="PM38" s="37" t="s">
        <v>668</v>
      </c>
      <c r="PN38" s="37" t="s">
        <v>668</v>
      </c>
      <c r="PO38" s="37" t="s">
        <v>668</v>
      </c>
      <c r="PP38" s="37" t="s">
        <v>668</v>
      </c>
      <c r="PQ38" s="37" t="s">
        <v>668</v>
      </c>
      <c r="PR38" s="37" t="s">
        <v>668</v>
      </c>
      <c r="PS38" s="15" t="s">
        <v>668</v>
      </c>
      <c r="PT38" s="15" t="s">
        <v>668</v>
      </c>
      <c r="PU38" s="15" t="s">
        <v>668</v>
      </c>
      <c r="PV38" s="15" t="s">
        <v>668</v>
      </c>
      <c r="PW38" s="15" t="s">
        <v>668</v>
      </c>
      <c r="PX38" s="15" t="s">
        <v>668</v>
      </c>
      <c r="PY38" s="15" t="s">
        <v>668</v>
      </c>
      <c r="PZ38" s="15" t="s">
        <v>668</v>
      </c>
      <c r="QA38" s="15" t="s">
        <v>668</v>
      </c>
      <c r="QB38" s="15" t="s">
        <v>668</v>
      </c>
      <c r="QC38" s="15" t="s">
        <v>668</v>
      </c>
      <c r="QD38" s="15" t="s">
        <v>668</v>
      </c>
      <c r="QE38" s="15" t="s">
        <v>668</v>
      </c>
      <c r="QF38" s="15" t="s">
        <v>668</v>
      </c>
      <c r="QG38" s="15" t="s">
        <v>668</v>
      </c>
      <c r="QH38" s="15" t="s">
        <v>668</v>
      </c>
      <c r="QI38" s="15" t="s">
        <v>668</v>
      </c>
      <c r="QJ38" s="15" t="s">
        <v>668</v>
      </c>
      <c r="QK38" s="15" t="s">
        <v>668</v>
      </c>
      <c r="QL38" s="15" t="s">
        <v>668</v>
      </c>
      <c r="QM38" s="15" t="s">
        <v>668</v>
      </c>
      <c r="QN38" s="15" t="s">
        <v>668</v>
      </c>
      <c r="QO38" s="15" t="s">
        <v>668</v>
      </c>
      <c r="QP38" s="15" t="s">
        <v>668</v>
      </c>
      <c r="QQ38" s="15" t="s">
        <v>668</v>
      </c>
      <c r="QR38" s="15" t="s">
        <v>668</v>
      </c>
      <c r="QS38" s="15" t="s">
        <v>668</v>
      </c>
      <c r="QT38" s="15" t="s">
        <v>668</v>
      </c>
      <c r="QU38" s="15" t="s">
        <v>668</v>
      </c>
      <c r="QV38" s="15" t="s">
        <v>668</v>
      </c>
      <c r="QW38" s="15" t="s">
        <v>668</v>
      </c>
      <c r="QX38" s="15" t="s">
        <v>668</v>
      </c>
      <c r="QY38" s="15" t="s">
        <v>668</v>
      </c>
      <c r="QZ38" s="15" t="s">
        <v>668</v>
      </c>
      <c r="RA38" s="15" t="s">
        <v>668</v>
      </c>
      <c r="RB38" s="15" t="s">
        <v>668</v>
      </c>
      <c r="RC38" s="15" t="s">
        <v>668</v>
      </c>
      <c r="RD38" s="15" t="s">
        <v>668</v>
      </c>
      <c r="RE38" s="15" t="s">
        <v>668</v>
      </c>
      <c r="RF38" s="15" t="s">
        <v>668</v>
      </c>
      <c r="RG38" s="15" t="s">
        <v>668</v>
      </c>
      <c r="RH38" s="15" t="s">
        <v>668</v>
      </c>
      <c r="RI38" s="15" t="s">
        <v>668</v>
      </c>
      <c r="RJ38" s="15" t="s">
        <v>668</v>
      </c>
      <c r="RK38" s="15" t="s">
        <v>668</v>
      </c>
      <c r="RL38" s="15" t="s">
        <v>668</v>
      </c>
      <c r="RM38" s="15" t="s">
        <v>668</v>
      </c>
      <c r="RN38" s="15" t="s">
        <v>668</v>
      </c>
      <c r="RO38" s="15" t="s">
        <v>668</v>
      </c>
      <c r="RP38" s="15" t="s">
        <v>668</v>
      </c>
      <c r="RQ38" s="15" t="s">
        <v>668</v>
      </c>
      <c r="RR38" s="15" t="s">
        <v>668</v>
      </c>
      <c r="RS38" s="15" t="s">
        <v>668</v>
      </c>
      <c r="RT38" s="15" t="s">
        <v>668</v>
      </c>
      <c r="RU38" s="15" t="s">
        <v>668</v>
      </c>
      <c r="RV38" s="15" t="s">
        <v>668</v>
      </c>
      <c r="RW38" s="15" t="s">
        <v>668</v>
      </c>
      <c r="RX38" s="15" t="s">
        <v>668</v>
      </c>
      <c r="RY38" s="15" t="s">
        <v>668</v>
      </c>
      <c r="RZ38" s="15" t="s">
        <v>668</v>
      </c>
      <c r="SA38" s="15" t="s">
        <v>668</v>
      </c>
      <c r="SB38" s="15" t="s">
        <v>668</v>
      </c>
      <c r="SC38" s="15" t="s">
        <v>668</v>
      </c>
      <c r="SD38" s="15" t="s">
        <v>668</v>
      </c>
      <c r="SE38" s="15" t="s">
        <v>668</v>
      </c>
      <c r="SF38" s="15" t="s">
        <v>668</v>
      </c>
      <c r="SG38" s="15" t="s">
        <v>668</v>
      </c>
      <c r="SH38" s="15" t="s">
        <v>668</v>
      </c>
      <c r="SI38" s="15" t="s">
        <v>668</v>
      </c>
      <c r="SJ38" s="15" t="s">
        <v>668</v>
      </c>
      <c r="SK38" s="15" t="s">
        <v>668</v>
      </c>
      <c r="SL38" s="15" t="s">
        <v>668</v>
      </c>
    </row>
    <row r="39" spans="1:507" x14ac:dyDescent="0.2">
      <c r="A39" s="37">
        <v>37</v>
      </c>
      <c r="B39" s="15" t="s">
        <v>635</v>
      </c>
      <c r="C39" s="17">
        <f>+'Detalle Compras'!D39</f>
        <v>202506230043</v>
      </c>
      <c r="D39" s="55">
        <f t="shared" si="13"/>
        <v>13.009650000000001</v>
      </c>
      <c r="E39" s="14">
        <f>+IF(B39="","",'Detalle Compras'!S39+0)</f>
        <v>45879</v>
      </c>
      <c r="F39" s="14">
        <f>+IF(B39="","",EOMONTH('Detalle Compras'!S39,G39)+10)</f>
        <v>56137</v>
      </c>
      <c r="G39" s="50">
        <f t="shared" si="14"/>
        <v>336</v>
      </c>
      <c r="H39" s="50">
        <f t="shared" si="15"/>
        <v>330</v>
      </c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  <c r="Y39" s="52"/>
      <c r="Z39" s="52">
        <v>13.009650000000001</v>
      </c>
      <c r="AA39" s="52">
        <v>13.009650000000001</v>
      </c>
      <c r="AB39" s="52">
        <v>13.009650000000001</v>
      </c>
      <c r="AC39" s="52">
        <v>13.009650000000001</v>
      </c>
      <c r="AD39" s="52">
        <v>13.009650000000001</v>
      </c>
      <c r="AE39" s="52">
        <v>13.009650000000001</v>
      </c>
      <c r="AF39" s="52">
        <v>13.009650000000001</v>
      </c>
      <c r="AG39" s="52">
        <v>13.009650000000001</v>
      </c>
      <c r="AH39" s="52">
        <v>13.009650000000001</v>
      </c>
      <c r="AI39" s="52">
        <v>13.009650000000001</v>
      </c>
      <c r="AJ39" s="52">
        <v>13.009650000000001</v>
      </c>
      <c r="AK39" s="52">
        <v>13.009650000000001</v>
      </c>
      <c r="AL39" s="52">
        <v>13.009650000000001</v>
      </c>
      <c r="AM39" s="52">
        <v>13.009650000000001</v>
      </c>
      <c r="AN39" s="52">
        <v>13.009650000000001</v>
      </c>
      <c r="AO39" s="52">
        <v>13.009650000000001</v>
      </c>
      <c r="AP39" s="52">
        <v>13.009650000000001</v>
      </c>
      <c r="AQ39" s="52">
        <v>13.009650000000001</v>
      </c>
      <c r="AR39" s="52">
        <v>13.009650000000001</v>
      </c>
      <c r="AS39" s="52">
        <v>13.009650000000001</v>
      </c>
      <c r="AT39" s="52">
        <v>13.009650000000001</v>
      </c>
      <c r="AU39" s="52">
        <v>13.009650000000001</v>
      </c>
      <c r="AV39" s="52">
        <v>13.009650000000001</v>
      </c>
      <c r="AW39" s="52">
        <v>13.009650000000001</v>
      </c>
      <c r="AX39" s="52">
        <v>13.009650000000001</v>
      </c>
      <c r="AY39" s="52">
        <v>13.009650000000001</v>
      </c>
      <c r="AZ39" s="52">
        <v>13.009650000000001</v>
      </c>
      <c r="BA39" s="52">
        <v>13.009650000000001</v>
      </c>
      <c r="BB39" s="52">
        <v>13.009650000000001</v>
      </c>
      <c r="BC39" s="52">
        <v>13.009650000000001</v>
      </c>
      <c r="BD39" s="52">
        <v>13.009650000000001</v>
      </c>
      <c r="BE39" s="52">
        <v>13.009650000000001</v>
      </c>
      <c r="BF39" s="52">
        <v>13.009650000000001</v>
      </c>
      <c r="BG39" s="52">
        <v>13.009650000000001</v>
      </c>
      <c r="BH39" s="52">
        <v>13.009650000000001</v>
      </c>
      <c r="BI39" s="52">
        <v>13.009650000000001</v>
      </c>
      <c r="BJ39" s="52">
        <v>13.009650000000001</v>
      </c>
      <c r="BK39" s="52">
        <v>13.009650000000001</v>
      </c>
      <c r="BL39" s="52">
        <v>13.009650000000001</v>
      </c>
      <c r="BM39" s="52">
        <v>13.009650000000001</v>
      </c>
      <c r="BN39" s="52">
        <v>13.009650000000001</v>
      </c>
      <c r="BO39" s="52">
        <v>13.009650000000001</v>
      </c>
      <c r="BP39" s="52">
        <v>13.009650000000001</v>
      </c>
      <c r="BQ39" s="52">
        <v>13.009650000000001</v>
      </c>
      <c r="BR39" s="52">
        <v>13.009650000000001</v>
      </c>
      <c r="BS39" s="52">
        <v>13.009650000000001</v>
      </c>
      <c r="BT39" s="52">
        <v>13.009650000000001</v>
      </c>
      <c r="BU39" s="52">
        <v>13.009650000000001</v>
      </c>
      <c r="BV39" s="52">
        <v>13.009650000000001</v>
      </c>
      <c r="BW39" s="52">
        <v>13.009650000000001</v>
      </c>
      <c r="BX39" s="52">
        <v>13.009650000000001</v>
      </c>
      <c r="BY39" s="52">
        <v>13.009650000000001</v>
      </c>
      <c r="BZ39" s="52">
        <v>13.009650000000001</v>
      </c>
      <c r="CA39" s="52">
        <v>13.009650000000001</v>
      </c>
      <c r="CB39" s="52">
        <v>13.009650000000001</v>
      </c>
      <c r="CC39" s="52">
        <v>13.009650000000001</v>
      </c>
      <c r="CD39" s="52">
        <v>13.009650000000001</v>
      </c>
      <c r="CE39" s="52">
        <v>13.009650000000001</v>
      </c>
      <c r="CF39" s="52">
        <v>13.009650000000001</v>
      </c>
      <c r="CG39" s="52">
        <v>13.009650000000001</v>
      </c>
      <c r="CH39" s="52">
        <v>13.009650000000001</v>
      </c>
      <c r="CI39" s="52">
        <v>13.009650000000001</v>
      </c>
      <c r="CJ39" s="52">
        <v>13.009650000000001</v>
      </c>
      <c r="CK39" s="52">
        <v>13.009650000000001</v>
      </c>
      <c r="CL39" s="52">
        <v>13.009650000000001</v>
      </c>
      <c r="CM39" s="52">
        <v>13.009650000000001</v>
      </c>
      <c r="CN39" s="52">
        <v>13.009650000000001</v>
      </c>
      <c r="CO39" s="52">
        <v>13.009650000000001</v>
      </c>
      <c r="CP39" s="52">
        <v>13.009650000000001</v>
      </c>
      <c r="CQ39" s="52">
        <v>13.009650000000001</v>
      </c>
      <c r="CR39" s="52">
        <v>13.009650000000001</v>
      </c>
      <c r="CS39" s="52">
        <v>13.009650000000001</v>
      </c>
      <c r="CT39" s="52">
        <v>13.009650000000001</v>
      </c>
      <c r="CU39" s="52">
        <v>13.009650000000001</v>
      </c>
      <c r="CV39" s="52">
        <v>13.009650000000001</v>
      </c>
      <c r="CW39" s="52">
        <v>13.009650000000001</v>
      </c>
      <c r="CX39" s="52">
        <v>13.009650000000001</v>
      </c>
      <c r="CY39" s="52">
        <v>13.009650000000001</v>
      </c>
      <c r="CZ39" s="52">
        <v>13.009650000000001</v>
      </c>
      <c r="DA39" s="52">
        <v>13.009650000000001</v>
      </c>
      <c r="DB39" s="52">
        <v>13.009650000000001</v>
      </c>
      <c r="DC39" s="52">
        <v>13.009650000000001</v>
      </c>
      <c r="DD39" s="52">
        <v>13.009650000000001</v>
      </c>
      <c r="DE39" s="52">
        <v>13.009650000000001</v>
      </c>
      <c r="DF39" s="52">
        <v>13.009650000000001</v>
      </c>
      <c r="DG39" s="52">
        <v>13.009650000000001</v>
      </c>
      <c r="DH39" s="52">
        <v>13.009650000000001</v>
      </c>
      <c r="DI39" s="52">
        <v>13.009650000000001</v>
      </c>
      <c r="DJ39" s="52">
        <v>13.009650000000001</v>
      </c>
      <c r="DK39" s="52">
        <v>13.009650000000001</v>
      </c>
      <c r="DL39" s="52">
        <v>13.009650000000001</v>
      </c>
      <c r="DM39" s="52">
        <v>13.009650000000001</v>
      </c>
      <c r="DN39" s="52">
        <v>13.009650000000001</v>
      </c>
      <c r="DO39" s="52">
        <v>13.009650000000001</v>
      </c>
      <c r="DP39" s="52">
        <v>13.009650000000001</v>
      </c>
      <c r="DQ39" s="52">
        <v>13.009650000000001</v>
      </c>
      <c r="DR39" s="52">
        <v>13.009650000000001</v>
      </c>
      <c r="DS39" s="52">
        <v>13.009650000000001</v>
      </c>
      <c r="DT39" s="52">
        <v>13.009650000000001</v>
      </c>
      <c r="DU39" s="52">
        <v>13.009650000000001</v>
      </c>
      <c r="DV39" s="52">
        <v>13.009650000000001</v>
      </c>
      <c r="DW39" s="52">
        <v>13.009650000000001</v>
      </c>
      <c r="DX39" s="52">
        <v>13.009650000000001</v>
      </c>
      <c r="DY39" s="52">
        <v>13.009650000000001</v>
      </c>
      <c r="DZ39" s="52">
        <v>13.009650000000001</v>
      </c>
      <c r="EA39" s="52">
        <v>13.009650000000001</v>
      </c>
      <c r="EB39" s="52">
        <v>13.009650000000001</v>
      </c>
      <c r="EC39" s="52">
        <v>13.009650000000001</v>
      </c>
      <c r="ED39" s="52">
        <v>13.009650000000001</v>
      </c>
      <c r="EE39" s="52">
        <v>13.009650000000001</v>
      </c>
      <c r="EF39" s="52">
        <v>13.009650000000001</v>
      </c>
      <c r="EG39" s="52">
        <v>13.009650000000001</v>
      </c>
      <c r="EH39" s="52">
        <v>13.009650000000001</v>
      </c>
      <c r="EI39" s="52">
        <v>13.009650000000001</v>
      </c>
      <c r="EJ39" s="52">
        <v>13.009650000000001</v>
      </c>
      <c r="EK39" s="52">
        <v>13.009650000000001</v>
      </c>
      <c r="EL39" s="52">
        <v>13.009650000000001</v>
      </c>
      <c r="EM39" s="52">
        <v>13.009650000000001</v>
      </c>
      <c r="EN39" s="52">
        <v>13.009650000000001</v>
      </c>
      <c r="EO39" s="52">
        <v>13.009650000000001</v>
      </c>
      <c r="EP39" s="52">
        <v>13.009650000000001</v>
      </c>
      <c r="EQ39" s="52">
        <v>13.009650000000001</v>
      </c>
      <c r="ER39" s="52">
        <v>13.009650000000001</v>
      </c>
      <c r="ES39" s="52">
        <v>13.009650000000001</v>
      </c>
      <c r="ET39" s="52">
        <v>13.009650000000001</v>
      </c>
      <c r="EU39" s="52">
        <v>13.009650000000001</v>
      </c>
      <c r="EV39" s="52">
        <v>13.009650000000001</v>
      </c>
      <c r="EW39" s="52">
        <v>13.009650000000001</v>
      </c>
      <c r="EX39" s="52">
        <v>13.009650000000001</v>
      </c>
      <c r="EY39" s="52">
        <v>13.009650000000001</v>
      </c>
      <c r="EZ39" s="52">
        <v>13.009650000000001</v>
      </c>
      <c r="FA39" s="52">
        <v>13.009650000000001</v>
      </c>
      <c r="FB39" s="52">
        <v>13.009650000000001</v>
      </c>
      <c r="FC39" s="52">
        <v>13.009650000000001</v>
      </c>
      <c r="FD39" s="52">
        <v>13.009650000000001</v>
      </c>
      <c r="FE39" s="52">
        <v>13.009650000000001</v>
      </c>
      <c r="FF39" s="52">
        <v>13.009650000000001</v>
      </c>
      <c r="FG39" s="52">
        <v>13.009650000000001</v>
      </c>
      <c r="FH39" s="52">
        <v>13.009650000000001</v>
      </c>
      <c r="FI39" s="52">
        <v>13.009650000000001</v>
      </c>
      <c r="FJ39" s="52">
        <v>13.009650000000001</v>
      </c>
      <c r="FK39" s="52">
        <v>13.009650000000001</v>
      </c>
      <c r="FL39" s="52">
        <v>13.009650000000001</v>
      </c>
      <c r="FM39" s="52">
        <v>13.009650000000001</v>
      </c>
      <c r="FN39" s="52">
        <v>13.009650000000001</v>
      </c>
      <c r="FO39" s="52">
        <v>13.009650000000001</v>
      </c>
      <c r="FP39" s="52">
        <v>13.009650000000001</v>
      </c>
      <c r="FQ39" s="52">
        <v>13.009650000000001</v>
      </c>
      <c r="FR39" s="52">
        <v>13.009650000000001</v>
      </c>
      <c r="FS39" s="52">
        <v>13.009650000000001</v>
      </c>
      <c r="FT39" s="52">
        <v>13.009650000000001</v>
      </c>
      <c r="FU39" s="52">
        <v>13.009650000000001</v>
      </c>
      <c r="FV39" s="52">
        <v>13.009650000000001</v>
      </c>
      <c r="FW39" s="52">
        <v>13.009650000000001</v>
      </c>
      <c r="FX39" s="52">
        <v>13.009650000000001</v>
      </c>
      <c r="FY39" s="52">
        <v>13.009650000000001</v>
      </c>
      <c r="FZ39" s="52">
        <v>13.009650000000001</v>
      </c>
      <c r="GA39" s="52">
        <v>13.009650000000001</v>
      </c>
      <c r="GB39" s="52">
        <v>13.009650000000001</v>
      </c>
      <c r="GC39" s="52">
        <v>13.009650000000001</v>
      </c>
      <c r="GD39" s="52">
        <v>13.009650000000001</v>
      </c>
      <c r="GE39" s="52">
        <v>13.009650000000001</v>
      </c>
      <c r="GF39" s="52">
        <v>13.009650000000001</v>
      </c>
      <c r="GG39" s="52">
        <v>13.009650000000001</v>
      </c>
      <c r="GH39" s="52">
        <v>13.009650000000001</v>
      </c>
      <c r="GI39" s="52">
        <v>13.009650000000001</v>
      </c>
      <c r="GJ39" s="52">
        <v>13.009650000000001</v>
      </c>
      <c r="GK39" s="52">
        <v>13.009650000000001</v>
      </c>
      <c r="GL39" s="52">
        <v>13.009650000000001</v>
      </c>
      <c r="GM39" s="52">
        <v>13.009650000000001</v>
      </c>
      <c r="GN39" s="52">
        <v>13.009650000000001</v>
      </c>
      <c r="GO39" s="52">
        <v>13.009650000000001</v>
      </c>
      <c r="GP39" s="52">
        <v>13.009650000000001</v>
      </c>
      <c r="GQ39" s="52">
        <v>13.009650000000001</v>
      </c>
      <c r="GR39" s="52">
        <v>13.009650000000001</v>
      </c>
      <c r="GS39" s="52">
        <v>13.009650000000001</v>
      </c>
      <c r="GT39" s="52">
        <v>13.009650000000001</v>
      </c>
      <c r="GU39" s="52">
        <v>13.009650000000001</v>
      </c>
      <c r="GV39" s="52">
        <v>13.009650000000001</v>
      </c>
      <c r="GW39" s="52">
        <v>13.009650000000001</v>
      </c>
      <c r="GX39" s="52">
        <v>13.009650000000001</v>
      </c>
      <c r="GY39" s="52">
        <v>13.009650000000001</v>
      </c>
      <c r="GZ39" s="52">
        <v>13.009650000000001</v>
      </c>
      <c r="HA39" s="52">
        <v>13.009650000000001</v>
      </c>
      <c r="HB39" s="52">
        <v>13.009650000000001</v>
      </c>
      <c r="HC39" s="52">
        <v>13.009650000000001</v>
      </c>
      <c r="HD39" s="52">
        <v>13.009650000000001</v>
      </c>
      <c r="HE39" s="52">
        <v>13.009650000000001</v>
      </c>
      <c r="HF39" s="52">
        <v>13.009650000000001</v>
      </c>
      <c r="HG39" s="52">
        <v>13.009650000000001</v>
      </c>
      <c r="HH39" s="52">
        <v>13.009650000000001</v>
      </c>
      <c r="HI39" s="52">
        <v>13.009650000000001</v>
      </c>
      <c r="HJ39" s="52">
        <v>13.009650000000001</v>
      </c>
      <c r="HK39" s="52">
        <v>13.009650000000001</v>
      </c>
      <c r="HL39" s="52">
        <v>13.009650000000001</v>
      </c>
      <c r="HM39" s="52">
        <v>13.009650000000001</v>
      </c>
      <c r="HN39" s="52">
        <v>13.009650000000001</v>
      </c>
      <c r="HO39" s="52">
        <v>13.009650000000001</v>
      </c>
      <c r="HP39" s="52">
        <v>13.009650000000001</v>
      </c>
      <c r="HQ39" s="52">
        <v>13.009650000000001</v>
      </c>
      <c r="HR39" s="52">
        <v>13.009650000000001</v>
      </c>
      <c r="HS39" s="52">
        <v>13.009650000000001</v>
      </c>
      <c r="HT39" s="52">
        <v>13.009650000000001</v>
      </c>
      <c r="HU39" s="52">
        <v>13.009650000000001</v>
      </c>
      <c r="HV39" s="52">
        <v>13.009650000000001</v>
      </c>
      <c r="HW39" s="52">
        <v>13.009650000000001</v>
      </c>
      <c r="HX39" s="52">
        <v>13.009650000000001</v>
      </c>
      <c r="HY39" s="52">
        <v>13.009650000000001</v>
      </c>
      <c r="HZ39" s="52">
        <v>13.009650000000001</v>
      </c>
      <c r="IA39" s="52">
        <v>13.009650000000001</v>
      </c>
      <c r="IB39" s="52">
        <v>13.009650000000001</v>
      </c>
      <c r="IC39" s="52">
        <v>13.009650000000001</v>
      </c>
      <c r="ID39" s="52">
        <v>13.009650000000001</v>
      </c>
      <c r="IE39" s="52">
        <v>13.009650000000001</v>
      </c>
      <c r="IF39" s="52">
        <v>13.009650000000001</v>
      </c>
      <c r="IG39" s="52">
        <v>13.009650000000001</v>
      </c>
      <c r="IH39" s="52">
        <v>13.009650000000001</v>
      </c>
      <c r="II39" s="52">
        <v>13.009650000000001</v>
      </c>
      <c r="IJ39" s="52">
        <v>13.009650000000001</v>
      </c>
      <c r="IK39" s="52">
        <v>13.009650000000001</v>
      </c>
      <c r="IL39" s="52">
        <v>13.009650000000001</v>
      </c>
      <c r="IM39" s="52">
        <v>13.009650000000001</v>
      </c>
      <c r="IN39" s="52">
        <v>13.009650000000001</v>
      </c>
      <c r="IO39" s="52">
        <v>13.009650000000001</v>
      </c>
      <c r="IP39" s="52">
        <v>13.009650000000001</v>
      </c>
      <c r="IQ39" s="52">
        <v>13.009650000000001</v>
      </c>
      <c r="IR39" s="52">
        <v>13.009650000000001</v>
      </c>
      <c r="IS39" s="52">
        <v>13.009650000000001</v>
      </c>
      <c r="IT39" s="52">
        <v>13.009650000000001</v>
      </c>
      <c r="IU39" s="52">
        <v>13.009650000000001</v>
      </c>
      <c r="IV39" s="52">
        <v>13.009650000000001</v>
      </c>
      <c r="IW39" s="52">
        <v>13.009650000000001</v>
      </c>
      <c r="IX39" s="52">
        <v>13.009650000000001</v>
      </c>
      <c r="IY39" s="52">
        <v>13.009650000000001</v>
      </c>
      <c r="IZ39" s="52">
        <v>13.009650000000001</v>
      </c>
      <c r="JA39" s="52">
        <v>13.009650000000001</v>
      </c>
      <c r="JB39" s="52">
        <v>13.009650000000001</v>
      </c>
      <c r="JC39" s="52">
        <v>13.009650000000001</v>
      </c>
      <c r="JD39" s="52">
        <v>13.009650000000001</v>
      </c>
      <c r="JE39" s="52">
        <v>13.009650000000001</v>
      </c>
      <c r="JF39" s="52">
        <v>13.009650000000001</v>
      </c>
      <c r="JG39" s="52">
        <v>13.009650000000001</v>
      </c>
      <c r="JH39" s="52">
        <v>13.009650000000001</v>
      </c>
      <c r="JI39" s="52">
        <v>13.009650000000001</v>
      </c>
      <c r="JJ39" s="52">
        <v>13.009650000000001</v>
      </c>
      <c r="JK39" s="52">
        <v>13.009650000000001</v>
      </c>
      <c r="JL39" s="52">
        <v>13.009650000000001</v>
      </c>
      <c r="JM39" s="52">
        <v>13.009650000000001</v>
      </c>
      <c r="JN39" s="52">
        <v>13.009650000000001</v>
      </c>
      <c r="JO39" s="52">
        <v>13.009650000000001</v>
      </c>
      <c r="JP39" s="52">
        <v>13.009650000000001</v>
      </c>
      <c r="JQ39" s="52">
        <v>13.009650000000001</v>
      </c>
      <c r="JR39" s="52">
        <v>13.009650000000001</v>
      </c>
      <c r="JS39" s="52">
        <v>13.009650000000001</v>
      </c>
      <c r="JT39" s="52">
        <v>13.009650000000001</v>
      </c>
      <c r="JU39" s="52">
        <v>13.009650000000001</v>
      </c>
      <c r="JV39" s="52">
        <v>13.009650000000001</v>
      </c>
      <c r="JW39" s="52">
        <v>13.009650000000001</v>
      </c>
      <c r="JX39" s="52">
        <v>13.009650000000001</v>
      </c>
      <c r="JY39" s="52">
        <v>13.009650000000001</v>
      </c>
      <c r="JZ39" s="52">
        <v>13.009650000000001</v>
      </c>
      <c r="KA39" s="52">
        <v>13.009650000000001</v>
      </c>
      <c r="KB39" s="52">
        <v>13.009650000000001</v>
      </c>
      <c r="KC39" s="52">
        <v>13.009650000000001</v>
      </c>
      <c r="KD39" s="52">
        <v>13.009650000000001</v>
      </c>
      <c r="KE39" s="52">
        <v>13.009650000000001</v>
      </c>
      <c r="KF39" s="52">
        <v>13.009650000000001</v>
      </c>
      <c r="KG39" s="52">
        <v>13.009650000000001</v>
      </c>
      <c r="KH39" s="52">
        <v>13.009650000000001</v>
      </c>
      <c r="KI39" s="52">
        <v>13.009650000000001</v>
      </c>
      <c r="KJ39" s="52">
        <v>13.009650000000001</v>
      </c>
      <c r="KK39" s="52">
        <v>13.009650000000001</v>
      </c>
      <c r="KL39" s="52">
        <v>13.009650000000001</v>
      </c>
      <c r="KM39" s="52">
        <v>13.009650000000001</v>
      </c>
      <c r="KN39" s="52">
        <v>13.009650000000001</v>
      </c>
      <c r="KO39" s="52">
        <v>13.009650000000001</v>
      </c>
      <c r="KP39" s="52">
        <v>13.009650000000001</v>
      </c>
      <c r="KQ39" s="52">
        <v>13.009650000000001</v>
      </c>
      <c r="KR39" s="52">
        <v>13.009650000000001</v>
      </c>
      <c r="KS39" s="52">
        <v>13.009650000000001</v>
      </c>
      <c r="KT39" s="52">
        <v>13.009650000000001</v>
      </c>
      <c r="KU39" s="52">
        <v>13.009650000000001</v>
      </c>
      <c r="KV39" s="52">
        <v>13.009650000000001</v>
      </c>
      <c r="KW39" s="52">
        <v>13.009650000000001</v>
      </c>
      <c r="KX39" s="52">
        <v>13.009650000000001</v>
      </c>
      <c r="KY39" s="52">
        <v>13.009650000000001</v>
      </c>
      <c r="KZ39" s="52">
        <v>13.009650000000001</v>
      </c>
      <c r="LA39" s="52">
        <v>13.009650000000001</v>
      </c>
      <c r="LB39" s="52">
        <v>13.009650000000001</v>
      </c>
      <c r="LC39" s="52">
        <v>13.009650000000001</v>
      </c>
      <c r="LD39" s="52">
        <v>13.009650000000001</v>
      </c>
      <c r="LE39" s="52">
        <v>13.009650000000001</v>
      </c>
      <c r="LF39" s="52">
        <v>13.009650000000001</v>
      </c>
      <c r="LG39" s="52">
        <v>13.009650000000001</v>
      </c>
      <c r="LH39" s="52">
        <v>13.009650000000001</v>
      </c>
      <c r="LI39" s="52">
        <v>13.009650000000001</v>
      </c>
      <c r="LJ39" s="52">
        <v>13.009650000000001</v>
      </c>
      <c r="LK39" s="52">
        <v>13.009650000000001</v>
      </c>
      <c r="LL39" s="52">
        <v>13.009650000000001</v>
      </c>
      <c r="LM39" s="52">
        <v>13.009650000000001</v>
      </c>
      <c r="LN39" s="52">
        <v>13.009650000000001</v>
      </c>
      <c r="LO39" s="52">
        <v>13.009650000000001</v>
      </c>
      <c r="LP39" s="52">
        <v>13.009650000000001</v>
      </c>
      <c r="LQ39" s="52">
        <v>13.009650000000001</v>
      </c>
      <c r="LR39" s="52">
        <v>13.009650000000001</v>
      </c>
      <c r="LS39" s="52">
        <v>13.009650000000001</v>
      </c>
      <c r="LT39" s="52">
        <v>13.009650000000001</v>
      </c>
      <c r="LU39" s="52">
        <v>13.009650000000001</v>
      </c>
      <c r="LV39" s="52">
        <v>13.009650000000001</v>
      </c>
      <c r="LW39" s="52">
        <v>13.009650000000001</v>
      </c>
      <c r="LX39" s="52">
        <v>13.009650000000001</v>
      </c>
      <c r="LY39" s="52">
        <v>13.009650000000001</v>
      </c>
      <c r="LZ39" s="52">
        <v>13.009650000000001</v>
      </c>
      <c r="MA39" s="52">
        <v>13.009650000000001</v>
      </c>
      <c r="MB39" s="52">
        <v>13.009650000000001</v>
      </c>
      <c r="MC39" s="52">
        <v>13.009650000000001</v>
      </c>
      <c r="MD39" s="52">
        <v>13.009650000000001</v>
      </c>
      <c r="ME39" s="52">
        <v>13.009650000000001</v>
      </c>
      <c r="MF39" s="52">
        <v>13.009650000000001</v>
      </c>
      <c r="MG39" s="52">
        <v>13.009650000000001</v>
      </c>
      <c r="MH39" s="52">
        <v>13.009650000000001</v>
      </c>
      <c r="MI39" s="52">
        <v>13.009650000000001</v>
      </c>
      <c r="MJ39" s="52">
        <v>13.009650000000001</v>
      </c>
      <c r="MK39" s="52">
        <v>13.009650000000001</v>
      </c>
      <c r="ML39" s="52">
        <v>13.009650000000001</v>
      </c>
      <c r="MM39" s="52">
        <v>13.009650000000001</v>
      </c>
      <c r="MN39" s="52">
        <v>13.009650000000001</v>
      </c>
      <c r="MO39" s="52">
        <v>13.009650000000001</v>
      </c>
      <c r="MP39" s="52">
        <v>13.009650000000001</v>
      </c>
      <c r="MQ39" s="52">
        <v>13.009650000000001</v>
      </c>
      <c r="MR39" s="52">
        <v>13.009650000000001</v>
      </c>
      <c r="MS39" s="52">
        <v>13.009650000000001</v>
      </c>
      <c r="MT39" s="52">
        <v>13.009650000000001</v>
      </c>
      <c r="MU39" s="52">
        <v>13.009650000000001</v>
      </c>
      <c r="MV39" s="52">
        <v>13.009650000000001</v>
      </c>
      <c r="MW39" s="52">
        <v>13.742800000000001</v>
      </c>
      <c r="MX39" s="52" t="s">
        <v>668</v>
      </c>
      <c r="MY39" s="52" t="s">
        <v>668</v>
      </c>
      <c r="MZ39" s="52" t="s">
        <v>668</v>
      </c>
      <c r="NA39" s="52" t="s">
        <v>668</v>
      </c>
      <c r="NB39" s="52" t="s">
        <v>668</v>
      </c>
      <c r="NC39" s="52" t="s">
        <v>668</v>
      </c>
      <c r="ND39" s="52" t="s">
        <v>668</v>
      </c>
      <c r="NE39" s="52" t="s">
        <v>668</v>
      </c>
      <c r="NF39" s="37" t="s">
        <v>668</v>
      </c>
      <c r="NG39" s="37" t="s">
        <v>668</v>
      </c>
      <c r="NH39" s="37" t="s">
        <v>668</v>
      </c>
      <c r="NI39" s="37" t="s">
        <v>668</v>
      </c>
      <c r="NJ39" s="37" t="s">
        <v>668</v>
      </c>
      <c r="NK39" s="37" t="s">
        <v>668</v>
      </c>
      <c r="NL39" s="37" t="s">
        <v>668</v>
      </c>
      <c r="NM39" s="37" t="s">
        <v>668</v>
      </c>
      <c r="NN39" s="37" t="s">
        <v>668</v>
      </c>
      <c r="NO39" s="37" t="s">
        <v>668</v>
      </c>
      <c r="NP39" s="37" t="s">
        <v>668</v>
      </c>
      <c r="NQ39" s="37" t="s">
        <v>668</v>
      </c>
      <c r="NR39" s="37" t="s">
        <v>668</v>
      </c>
      <c r="NS39" s="37" t="s">
        <v>668</v>
      </c>
      <c r="NT39" s="37" t="s">
        <v>668</v>
      </c>
      <c r="NU39" s="37" t="s">
        <v>668</v>
      </c>
      <c r="NV39" s="37" t="s">
        <v>668</v>
      </c>
      <c r="NW39" s="37" t="s">
        <v>668</v>
      </c>
      <c r="NX39" s="37" t="s">
        <v>668</v>
      </c>
      <c r="NY39" s="37" t="s">
        <v>668</v>
      </c>
      <c r="NZ39" s="37" t="s">
        <v>668</v>
      </c>
      <c r="OA39" s="37" t="s">
        <v>668</v>
      </c>
      <c r="OB39" s="37" t="s">
        <v>668</v>
      </c>
      <c r="OC39" s="37" t="s">
        <v>668</v>
      </c>
      <c r="OD39" s="37" t="s">
        <v>668</v>
      </c>
      <c r="OE39" s="37" t="s">
        <v>668</v>
      </c>
      <c r="OF39" s="37" t="s">
        <v>668</v>
      </c>
      <c r="OG39" s="37" t="s">
        <v>668</v>
      </c>
      <c r="OH39" s="37" t="s">
        <v>668</v>
      </c>
      <c r="OI39" s="37" t="s">
        <v>668</v>
      </c>
      <c r="OJ39" s="37" t="s">
        <v>668</v>
      </c>
      <c r="OK39" s="37" t="s">
        <v>668</v>
      </c>
      <c r="OL39" s="37" t="s">
        <v>668</v>
      </c>
      <c r="OM39" s="37" t="s">
        <v>668</v>
      </c>
      <c r="ON39" s="37" t="s">
        <v>668</v>
      </c>
      <c r="OO39" s="37" t="s">
        <v>668</v>
      </c>
      <c r="OP39" s="37" t="s">
        <v>668</v>
      </c>
      <c r="OQ39" s="37" t="s">
        <v>668</v>
      </c>
      <c r="OR39" s="37" t="s">
        <v>668</v>
      </c>
      <c r="OS39" s="37" t="s">
        <v>668</v>
      </c>
      <c r="OT39" s="37" t="s">
        <v>668</v>
      </c>
      <c r="OU39" s="37" t="s">
        <v>668</v>
      </c>
      <c r="OV39" s="37" t="s">
        <v>668</v>
      </c>
      <c r="OW39" s="37" t="s">
        <v>668</v>
      </c>
      <c r="OX39" s="37" t="s">
        <v>668</v>
      </c>
      <c r="OY39" s="37" t="s">
        <v>668</v>
      </c>
      <c r="OZ39" s="37" t="s">
        <v>668</v>
      </c>
      <c r="PA39" s="37" t="s">
        <v>668</v>
      </c>
      <c r="PB39" s="37" t="s">
        <v>668</v>
      </c>
      <c r="PC39" s="37" t="s">
        <v>668</v>
      </c>
      <c r="PD39" s="37" t="s">
        <v>668</v>
      </c>
      <c r="PE39" s="37" t="s">
        <v>668</v>
      </c>
      <c r="PF39" s="37" t="s">
        <v>668</v>
      </c>
      <c r="PG39" s="37" t="s">
        <v>668</v>
      </c>
      <c r="PH39" s="37" t="s">
        <v>668</v>
      </c>
      <c r="PI39" s="37" t="s">
        <v>668</v>
      </c>
      <c r="PJ39" s="37" t="s">
        <v>668</v>
      </c>
      <c r="PK39" s="37" t="s">
        <v>668</v>
      </c>
      <c r="PL39" s="37" t="s">
        <v>668</v>
      </c>
      <c r="PM39" s="37" t="s">
        <v>668</v>
      </c>
      <c r="PN39" s="37" t="s">
        <v>668</v>
      </c>
      <c r="PO39" s="37" t="s">
        <v>668</v>
      </c>
      <c r="PP39" s="37" t="s">
        <v>668</v>
      </c>
      <c r="PQ39" s="37" t="s">
        <v>668</v>
      </c>
      <c r="PR39" s="37" t="s">
        <v>668</v>
      </c>
      <c r="PS39" s="15" t="s">
        <v>668</v>
      </c>
      <c r="PT39" s="15" t="s">
        <v>668</v>
      </c>
      <c r="PU39" s="15" t="s">
        <v>668</v>
      </c>
      <c r="PV39" s="15" t="s">
        <v>668</v>
      </c>
      <c r="PW39" s="15" t="s">
        <v>668</v>
      </c>
      <c r="PX39" s="15" t="s">
        <v>668</v>
      </c>
      <c r="PY39" s="15" t="s">
        <v>668</v>
      </c>
      <c r="PZ39" s="15" t="s">
        <v>668</v>
      </c>
      <c r="QA39" s="15" t="s">
        <v>668</v>
      </c>
      <c r="QB39" s="15" t="s">
        <v>668</v>
      </c>
      <c r="QC39" s="15" t="s">
        <v>668</v>
      </c>
      <c r="QD39" s="15" t="s">
        <v>668</v>
      </c>
      <c r="QE39" s="15" t="s">
        <v>668</v>
      </c>
      <c r="QF39" s="15" t="s">
        <v>668</v>
      </c>
      <c r="QG39" s="15" t="s">
        <v>668</v>
      </c>
      <c r="QH39" s="15" t="s">
        <v>668</v>
      </c>
      <c r="QI39" s="15" t="s">
        <v>668</v>
      </c>
      <c r="QJ39" s="15" t="s">
        <v>668</v>
      </c>
      <c r="QK39" s="15" t="s">
        <v>668</v>
      </c>
      <c r="QL39" s="15" t="s">
        <v>668</v>
      </c>
      <c r="QM39" s="15" t="s">
        <v>668</v>
      </c>
      <c r="QN39" s="15" t="s">
        <v>668</v>
      </c>
      <c r="QO39" s="15" t="s">
        <v>668</v>
      </c>
      <c r="QP39" s="15" t="s">
        <v>668</v>
      </c>
      <c r="QQ39" s="15" t="s">
        <v>668</v>
      </c>
      <c r="QR39" s="15" t="s">
        <v>668</v>
      </c>
      <c r="QS39" s="15" t="s">
        <v>668</v>
      </c>
      <c r="QT39" s="15" t="s">
        <v>668</v>
      </c>
      <c r="QU39" s="15" t="s">
        <v>668</v>
      </c>
      <c r="QV39" s="15" t="s">
        <v>668</v>
      </c>
      <c r="QW39" s="15" t="s">
        <v>668</v>
      </c>
      <c r="QX39" s="15" t="s">
        <v>668</v>
      </c>
      <c r="QY39" s="15" t="s">
        <v>668</v>
      </c>
      <c r="QZ39" s="15" t="s">
        <v>668</v>
      </c>
      <c r="RA39" s="15" t="s">
        <v>668</v>
      </c>
      <c r="RB39" s="15" t="s">
        <v>668</v>
      </c>
      <c r="RC39" s="15" t="s">
        <v>668</v>
      </c>
      <c r="RD39" s="15" t="s">
        <v>668</v>
      </c>
      <c r="RE39" s="15" t="s">
        <v>668</v>
      </c>
      <c r="RF39" s="15" t="s">
        <v>668</v>
      </c>
      <c r="RG39" s="15" t="s">
        <v>668</v>
      </c>
      <c r="RH39" s="15" t="s">
        <v>668</v>
      </c>
      <c r="RI39" s="15" t="s">
        <v>668</v>
      </c>
      <c r="RJ39" s="15" t="s">
        <v>668</v>
      </c>
      <c r="RK39" s="15" t="s">
        <v>668</v>
      </c>
      <c r="RL39" s="15" t="s">
        <v>668</v>
      </c>
      <c r="RM39" s="15" t="s">
        <v>668</v>
      </c>
      <c r="RN39" s="15" t="s">
        <v>668</v>
      </c>
      <c r="RO39" s="15" t="s">
        <v>668</v>
      </c>
      <c r="RP39" s="15" t="s">
        <v>668</v>
      </c>
      <c r="RQ39" s="15" t="s">
        <v>668</v>
      </c>
      <c r="RR39" s="15" t="s">
        <v>668</v>
      </c>
      <c r="RS39" s="15" t="s">
        <v>668</v>
      </c>
      <c r="RT39" s="15" t="s">
        <v>668</v>
      </c>
      <c r="RU39" s="15" t="s">
        <v>668</v>
      </c>
      <c r="RV39" s="15" t="s">
        <v>668</v>
      </c>
      <c r="RW39" s="15" t="s">
        <v>668</v>
      </c>
      <c r="RX39" s="15" t="s">
        <v>668</v>
      </c>
      <c r="RY39" s="15" t="s">
        <v>668</v>
      </c>
      <c r="RZ39" s="15" t="s">
        <v>668</v>
      </c>
      <c r="SA39" s="15" t="s">
        <v>668</v>
      </c>
      <c r="SB39" s="15" t="s">
        <v>668</v>
      </c>
      <c r="SC39" s="15" t="s">
        <v>668</v>
      </c>
      <c r="SD39" s="15" t="s">
        <v>668</v>
      </c>
      <c r="SE39" s="15" t="s">
        <v>668</v>
      </c>
      <c r="SF39" s="15" t="s">
        <v>668</v>
      </c>
      <c r="SG39" s="15" t="s">
        <v>668</v>
      </c>
      <c r="SH39" s="15" t="s">
        <v>668</v>
      </c>
      <c r="SI39" s="15" t="s">
        <v>668</v>
      </c>
      <c r="SJ39" s="15" t="s">
        <v>668</v>
      </c>
      <c r="SK39" s="15" t="s">
        <v>668</v>
      </c>
      <c r="SL39" s="15" t="s">
        <v>668</v>
      </c>
    </row>
    <row r="40" spans="1:507" x14ac:dyDescent="0.2">
      <c r="A40" s="37">
        <v>38</v>
      </c>
      <c r="B40" s="15" t="s">
        <v>636</v>
      </c>
      <c r="C40" s="17">
        <f>+'Detalle Compras'!D40</f>
        <v>202506240044</v>
      </c>
      <c r="D40" s="55">
        <f t="shared" si="13"/>
        <v>12.6721</v>
      </c>
      <c r="E40" s="14">
        <f>+IF(B40="","",'Detalle Compras'!S40+0)</f>
        <v>45879</v>
      </c>
      <c r="F40" s="14">
        <f>+IF(B40="","",EOMONTH('Detalle Compras'!S40,G40)+10)</f>
        <v>56867</v>
      </c>
      <c r="G40" s="50">
        <f t="shared" si="14"/>
        <v>360</v>
      </c>
      <c r="H40" s="50">
        <f t="shared" si="15"/>
        <v>354</v>
      </c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52"/>
      <c r="Y40" s="52"/>
      <c r="Z40" s="52">
        <v>12.6721</v>
      </c>
      <c r="AA40" s="52">
        <v>12.6721</v>
      </c>
      <c r="AB40" s="52">
        <v>12.6721</v>
      </c>
      <c r="AC40" s="52">
        <v>12.6721</v>
      </c>
      <c r="AD40" s="52">
        <v>12.6721</v>
      </c>
      <c r="AE40" s="52">
        <v>12.6721</v>
      </c>
      <c r="AF40" s="52">
        <v>12.6721</v>
      </c>
      <c r="AG40" s="52">
        <v>12.6721</v>
      </c>
      <c r="AH40" s="52">
        <v>12.6721</v>
      </c>
      <c r="AI40" s="52">
        <v>12.6721</v>
      </c>
      <c r="AJ40" s="52">
        <v>12.6721</v>
      </c>
      <c r="AK40" s="52">
        <v>12.6721</v>
      </c>
      <c r="AL40" s="52">
        <v>12.6721</v>
      </c>
      <c r="AM40" s="52">
        <v>12.6721</v>
      </c>
      <c r="AN40" s="52">
        <v>12.6721</v>
      </c>
      <c r="AO40" s="52">
        <v>12.6721</v>
      </c>
      <c r="AP40" s="52">
        <v>12.6721</v>
      </c>
      <c r="AQ40" s="52">
        <v>12.6721</v>
      </c>
      <c r="AR40" s="52">
        <v>12.6721</v>
      </c>
      <c r="AS40" s="52">
        <v>12.6721</v>
      </c>
      <c r="AT40" s="52">
        <v>12.6721</v>
      </c>
      <c r="AU40" s="52">
        <v>12.6721</v>
      </c>
      <c r="AV40" s="52">
        <v>12.6721</v>
      </c>
      <c r="AW40" s="52">
        <v>12.6721</v>
      </c>
      <c r="AX40" s="52">
        <v>12.6721</v>
      </c>
      <c r="AY40" s="52">
        <v>12.6721</v>
      </c>
      <c r="AZ40" s="52">
        <v>12.6721</v>
      </c>
      <c r="BA40" s="52">
        <v>12.6721</v>
      </c>
      <c r="BB40" s="52">
        <v>12.6721</v>
      </c>
      <c r="BC40" s="52">
        <v>12.6721</v>
      </c>
      <c r="BD40" s="52">
        <v>12.6721</v>
      </c>
      <c r="BE40" s="52">
        <v>12.6721</v>
      </c>
      <c r="BF40" s="52">
        <v>12.6721</v>
      </c>
      <c r="BG40" s="52">
        <v>12.6721</v>
      </c>
      <c r="BH40" s="52">
        <v>12.6721</v>
      </c>
      <c r="BI40" s="52">
        <v>12.6721</v>
      </c>
      <c r="BJ40" s="52">
        <v>12.6721</v>
      </c>
      <c r="BK40" s="52">
        <v>12.6721</v>
      </c>
      <c r="BL40" s="52">
        <v>12.6721</v>
      </c>
      <c r="BM40" s="52">
        <v>12.6721</v>
      </c>
      <c r="BN40" s="52">
        <v>12.6721</v>
      </c>
      <c r="BO40" s="52">
        <v>12.6721</v>
      </c>
      <c r="BP40" s="52">
        <v>12.6721</v>
      </c>
      <c r="BQ40" s="52">
        <v>12.6721</v>
      </c>
      <c r="BR40" s="52">
        <v>12.6721</v>
      </c>
      <c r="BS40" s="52">
        <v>12.6721</v>
      </c>
      <c r="BT40" s="52">
        <v>12.6721</v>
      </c>
      <c r="BU40" s="52">
        <v>12.6721</v>
      </c>
      <c r="BV40" s="52">
        <v>12.6721</v>
      </c>
      <c r="BW40" s="52">
        <v>12.6721</v>
      </c>
      <c r="BX40" s="52">
        <v>12.6721</v>
      </c>
      <c r="BY40" s="52">
        <v>12.6721</v>
      </c>
      <c r="BZ40" s="52">
        <v>12.6721</v>
      </c>
      <c r="CA40" s="52">
        <v>12.6721</v>
      </c>
      <c r="CB40" s="52">
        <v>12.6721</v>
      </c>
      <c r="CC40" s="52">
        <v>12.6721</v>
      </c>
      <c r="CD40" s="52">
        <v>12.6721</v>
      </c>
      <c r="CE40" s="52">
        <v>12.6721</v>
      </c>
      <c r="CF40" s="52">
        <v>12.6721</v>
      </c>
      <c r="CG40" s="52">
        <v>12.6721</v>
      </c>
      <c r="CH40" s="52">
        <v>12.6721</v>
      </c>
      <c r="CI40" s="52">
        <v>12.6721</v>
      </c>
      <c r="CJ40" s="52">
        <v>12.6721</v>
      </c>
      <c r="CK40" s="52">
        <v>12.6721</v>
      </c>
      <c r="CL40" s="52">
        <v>12.6721</v>
      </c>
      <c r="CM40" s="52">
        <v>12.6721</v>
      </c>
      <c r="CN40" s="52">
        <v>12.6721</v>
      </c>
      <c r="CO40" s="52">
        <v>12.6721</v>
      </c>
      <c r="CP40" s="52">
        <v>12.6721</v>
      </c>
      <c r="CQ40" s="52">
        <v>12.6721</v>
      </c>
      <c r="CR40" s="52">
        <v>12.6721</v>
      </c>
      <c r="CS40" s="52">
        <v>12.6721</v>
      </c>
      <c r="CT40" s="52">
        <v>12.6721</v>
      </c>
      <c r="CU40" s="52">
        <v>12.6721</v>
      </c>
      <c r="CV40" s="52">
        <v>12.6721</v>
      </c>
      <c r="CW40" s="52">
        <v>12.6721</v>
      </c>
      <c r="CX40" s="52">
        <v>12.6721</v>
      </c>
      <c r="CY40" s="52">
        <v>12.6721</v>
      </c>
      <c r="CZ40" s="52">
        <v>12.6721</v>
      </c>
      <c r="DA40" s="52">
        <v>12.6721</v>
      </c>
      <c r="DB40" s="52">
        <v>12.6721</v>
      </c>
      <c r="DC40" s="52">
        <v>12.6721</v>
      </c>
      <c r="DD40" s="52">
        <v>12.6721</v>
      </c>
      <c r="DE40" s="52">
        <v>12.6721</v>
      </c>
      <c r="DF40" s="52">
        <v>12.6721</v>
      </c>
      <c r="DG40" s="52">
        <v>12.6721</v>
      </c>
      <c r="DH40" s="52">
        <v>12.6721</v>
      </c>
      <c r="DI40" s="52">
        <v>12.6721</v>
      </c>
      <c r="DJ40" s="52">
        <v>12.6721</v>
      </c>
      <c r="DK40" s="52">
        <v>12.6721</v>
      </c>
      <c r="DL40" s="52">
        <v>12.6721</v>
      </c>
      <c r="DM40" s="52">
        <v>12.6721</v>
      </c>
      <c r="DN40" s="52">
        <v>12.6721</v>
      </c>
      <c r="DO40" s="52">
        <v>12.6721</v>
      </c>
      <c r="DP40" s="52">
        <v>12.6721</v>
      </c>
      <c r="DQ40" s="52">
        <v>12.6721</v>
      </c>
      <c r="DR40" s="52">
        <v>12.6721</v>
      </c>
      <c r="DS40" s="52">
        <v>12.6721</v>
      </c>
      <c r="DT40" s="52">
        <v>12.6721</v>
      </c>
      <c r="DU40" s="52">
        <v>12.6721</v>
      </c>
      <c r="DV40" s="52">
        <v>12.6721</v>
      </c>
      <c r="DW40" s="52">
        <v>12.6721</v>
      </c>
      <c r="DX40" s="52">
        <v>12.6721</v>
      </c>
      <c r="DY40" s="52">
        <v>12.6721</v>
      </c>
      <c r="DZ40" s="52">
        <v>12.6721</v>
      </c>
      <c r="EA40" s="52">
        <v>12.6721</v>
      </c>
      <c r="EB40" s="52">
        <v>12.6721</v>
      </c>
      <c r="EC40" s="52">
        <v>12.6721</v>
      </c>
      <c r="ED40" s="52">
        <v>12.6721</v>
      </c>
      <c r="EE40" s="52">
        <v>12.6721</v>
      </c>
      <c r="EF40" s="52">
        <v>12.6721</v>
      </c>
      <c r="EG40" s="52">
        <v>12.6721</v>
      </c>
      <c r="EH40" s="52">
        <v>12.6721</v>
      </c>
      <c r="EI40" s="52">
        <v>12.6721</v>
      </c>
      <c r="EJ40" s="52">
        <v>12.6721</v>
      </c>
      <c r="EK40" s="52">
        <v>12.6721</v>
      </c>
      <c r="EL40" s="52">
        <v>12.6721</v>
      </c>
      <c r="EM40" s="52">
        <v>12.6721</v>
      </c>
      <c r="EN40" s="52">
        <v>12.6721</v>
      </c>
      <c r="EO40" s="52">
        <v>12.6721</v>
      </c>
      <c r="EP40" s="52">
        <v>12.6721</v>
      </c>
      <c r="EQ40" s="52">
        <v>12.6721</v>
      </c>
      <c r="ER40" s="52">
        <v>12.6721</v>
      </c>
      <c r="ES40" s="52">
        <v>12.6721</v>
      </c>
      <c r="ET40" s="52">
        <v>12.6721</v>
      </c>
      <c r="EU40" s="52">
        <v>12.6721</v>
      </c>
      <c r="EV40" s="52">
        <v>12.6721</v>
      </c>
      <c r="EW40" s="52">
        <v>12.6721</v>
      </c>
      <c r="EX40" s="52">
        <v>12.6721</v>
      </c>
      <c r="EY40" s="52">
        <v>12.6721</v>
      </c>
      <c r="EZ40" s="52">
        <v>12.6721</v>
      </c>
      <c r="FA40" s="52">
        <v>12.6721</v>
      </c>
      <c r="FB40" s="52">
        <v>12.6721</v>
      </c>
      <c r="FC40" s="52">
        <v>12.6721</v>
      </c>
      <c r="FD40" s="52">
        <v>12.6721</v>
      </c>
      <c r="FE40" s="52">
        <v>12.6721</v>
      </c>
      <c r="FF40" s="52">
        <v>12.6721</v>
      </c>
      <c r="FG40" s="52">
        <v>12.6721</v>
      </c>
      <c r="FH40" s="52">
        <v>12.6721</v>
      </c>
      <c r="FI40" s="52">
        <v>12.6721</v>
      </c>
      <c r="FJ40" s="52">
        <v>12.6721</v>
      </c>
      <c r="FK40" s="52">
        <v>12.6721</v>
      </c>
      <c r="FL40" s="52">
        <v>12.6721</v>
      </c>
      <c r="FM40" s="52">
        <v>12.6721</v>
      </c>
      <c r="FN40" s="52">
        <v>12.6721</v>
      </c>
      <c r="FO40" s="52">
        <v>12.6721</v>
      </c>
      <c r="FP40" s="52">
        <v>12.6721</v>
      </c>
      <c r="FQ40" s="52">
        <v>12.6721</v>
      </c>
      <c r="FR40" s="52">
        <v>12.6721</v>
      </c>
      <c r="FS40" s="52">
        <v>12.6721</v>
      </c>
      <c r="FT40" s="52">
        <v>12.6721</v>
      </c>
      <c r="FU40" s="52">
        <v>12.6721</v>
      </c>
      <c r="FV40" s="52">
        <v>12.6721</v>
      </c>
      <c r="FW40" s="52">
        <v>12.6721</v>
      </c>
      <c r="FX40" s="52">
        <v>12.6721</v>
      </c>
      <c r="FY40" s="52">
        <v>12.6721</v>
      </c>
      <c r="FZ40" s="52">
        <v>12.6721</v>
      </c>
      <c r="GA40" s="52">
        <v>12.6721</v>
      </c>
      <c r="GB40" s="52">
        <v>12.6721</v>
      </c>
      <c r="GC40" s="52">
        <v>12.6721</v>
      </c>
      <c r="GD40" s="52">
        <v>12.6721</v>
      </c>
      <c r="GE40" s="52">
        <v>12.6721</v>
      </c>
      <c r="GF40" s="52">
        <v>12.6721</v>
      </c>
      <c r="GG40" s="52">
        <v>12.6721</v>
      </c>
      <c r="GH40" s="52">
        <v>12.6721</v>
      </c>
      <c r="GI40" s="52">
        <v>12.6721</v>
      </c>
      <c r="GJ40" s="52">
        <v>12.6721</v>
      </c>
      <c r="GK40" s="52">
        <v>12.6721</v>
      </c>
      <c r="GL40" s="52">
        <v>12.6721</v>
      </c>
      <c r="GM40" s="52">
        <v>12.6721</v>
      </c>
      <c r="GN40" s="52">
        <v>12.6721</v>
      </c>
      <c r="GO40" s="52">
        <v>12.6721</v>
      </c>
      <c r="GP40" s="52">
        <v>12.6721</v>
      </c>
      <c r="GQ40" s="52">
        <v>12.6721</v>
      </c>
      <c r="GR40" s="52">
        <v>12.6721</v>
      </c>
      <c r="GS40" s="52">
        <v>12.6721</v>
      </c>
      <c r="GT40" s="52">
        <v>12.6721</v>
      </c>
      <c r="GU40" s="52">
        <v>12.6721</v>
      </c>
      <c r="GV40" s="52">
        <v>12.6721</v>
      </c>
      <c r="GW40" s="52">
        <v>12.6721</v>
      </c>
      <c r="GX40" s="52">
        <v>12.6721</v>
      </c>
      <c r="GY40" s="52">
        <v>12.6721</v>
      </c>
      <c r="GZ40" s="52">
        <v>12.6721</v>
      </c>
      <c r="HA40" s="52">
        <v>12.6721</v>
      </c>
      <c r="HB40" s="52">
        <v>12.6721</v>
      </c>
      <c r="HC40" s="52">
        <v>12.6721</v>
      </c>
      <c r="HD40" s="52">
        <v>12.6721</v>
      </c>
      <c r="HE40" s="52">
        <v>12.6721</v>
      </c>
      <c r="HF40" s="52">
        <v>12.6721</v>
      </c>
      <c r="HG40" s="52">
        <v>12.6721</v>
      </c>
      <c r="HH40" s="52">
        <v>12.6721</v>
      </c>
      <c r="HI40" s="52">
        <v>12.6721</v>
      </c>
      <c r="HJ40" s="52">
        <v>12.6721</v>
      </c>
      <c r="HK40" s="52">
        <v>12.6721</v>
      </c>
      <c r="HL40" s="52">
        <v>12.6721</v>
      </c>
      <c r="HM40" s="52">
        <v>12.6721</v>
      </c>
      <c r="HN40" s="52">
        <v>12.6721</v>
      </c>
      <c r="HO40" s="52">
        <v>12.6721</v>
      </c>
      <c r="HP40" s="52">
        <v>12.6721</v>
      </c>
      <c r="HQ40" s="52">
        <v>12.6721</v>
      </c>
      <c r="HR40" s="52">
        <v>12.6721</v>
      </c>
      <c r="HS40" s="52">
        <v>12.6721</v>
      </c>
      <c r="HT40" s="52">
        <v>12.6721</v>
      </c>
      <c r="HU40" s="52">
        <v>12.6721</v>
      </c>
      <c r="HV40" s="52">
        <v>12.6721</v>
      </c>
      <c r="HW40" s="52">
        <v>12.6721</v>
      </c>
      <c r="HX40" s="52">
        <v>12.6721</v>
      </c>
      <c r="HY40" s="52">
        <v>12.6721</v>
      </c>
      <c r="HZ40" s="52">
        <v>12.6721</v>
      </c>
      <c r="IA40" s="52">
        <v>12.6721</v>
      </c>
      <c r="IB40" s="52">
        <v>12.6721</v>
      </c>
      <c r="IC40" s="52">
        <v>12.6721</v>
      </c>
      <c r="ID40" s="52">
        <v>12.6721</v>
      </c>
      <c r="IE40" s="52">
        <v>12.6721</v>
      </c>
      <c r="IF40" s="52">
        <v>12.6721</v>
      </c>
      <c r="IG40" s="52">
        <v>12.6721</v>
      </c>
      <c r="IH40" s="52">
        <v>12.6721</v>
      </c>
      <c r="II40" s="52">
        <v>12.6721</v>
      </c>
      <c r="IJ40" s="52">
        <v>12.6721</v>
      </c>
      <c r="IK40" s="52">
        <v>12.6721</v>
      </c>
      <c r="IL40" s="52">
        <v>12.6721</v>
      </c>
      <c r="IM40" s="52">
        <v>12.6721</v>
      </c>
      <c r="IN40" s="52">
        <v>12.6721</v>
      </c>
      <c r="IO40" s="52">
        <v>12.6721</v>
      </c>
      <c r="IP40" s="52">
        <v>12.6721</v>
      </c>
      <c r="IQ40" s="52">
        <v>12.6721</v>
      </c>
      <c r="IR40" s="52">
        <v>12.6721</v>
      </c>
      <c r="IS40" s="52">
        <v>12.6721</v>
      </c>
      <c r="IT40" s="52">
        <v>12.6721</v>
      </c>
      <c r="IU40" s="52">
        <v>12.6721</v>
      </c>
      <c r="IV40" s="52">
        <v>12.6721</v>
      </c>
      <c r="IW40" s="52">
        <v>12.6721</v>
      </c>
      <c r="IX40" s="52">
        <v>12.6721</v>
      </c>
      <c r="IY40" s="52">
        <v>12.6721</v>
      </c>
      <c r="IZ40" s="52">
        <v>12.6721</v>
      </c>
      <c r="JA40" s="52">
        <v>12.6721</v>
      </c>
      <c r="JB40" s="52">
        <v>12.6721</v>
      </c>
      <c r="JC40" s="52">
        <v>12.6721</v>
      </c>
      <c r="JD40" s="52">
        <v>12.6721</v>
      </c>
      <c r="JE40" s="52">
        <v>12.6721</v>
      </c>
      <c r="JF40" s="52">
        <v>12.6721</v>
      </c>
      <c r="JG40" s="52">
        <v>12.6721</v>
      </c>
      <c r="JH40" s="52">
        <v>12.6721</v>
      </c>
      <c r="JI40" s="52">
        <v>12.6721</v>
      </c>
      <c r="JJ40" s="52">
        <v>12.6721</v>
      </c>
      <c r="JK40" s="52">
        <v>12.6721</v>
      </c>
      <c r="JL40" s="52">
        <v>12.6721</v>
      </c>
      <c r="JM40" s="52">
        <v>12.6721</v>
      </c>
      <c r="JN40" s="52">
        <v>12.6721</v>
      </c>
      <c r="JO40" s="52">
        <v>12.6721</v>
      </c>
      <c r="JP40" s="52">
        <v>12.6721</v>
      </c>
      <c r="JQ40" s="52">
        <v>12.6721</v>
      </c>
      <c r="JR40" s="52">
        <v>12.6721</v>
      </c>
      <c r="JS40" s="52">
        <v>12.6721</v>
      </c>
      <c r="JT40" s="52">
        <v>12.6721</v>
      </c>
      <c r="JU40" s="52">
        <v>12.6721</v>
      </c>
      <c r="JV40" s="52">
        <v>12.6721</v>
      </c>
      <c r="JW40" s="52">
        <v>12.6721</v>
      </c>
      <c r="JX40" s="52">
        <v>12.6721</v>
      </c>
      <c r="JY40" s="52">
        <v>12.6721</v>
      </c>
      <c r="JZ40" s="52">
        <v>12.6721</v>
      </c>
      <c r="KA40" s="52">
        <v>12.6721</v>
      </c>
      <c r="KB40" s="52">
        <v>12.6721</v>
      </c>
      <c r="KC40" s="52">
        <v>12.6721</v>
      </c>
      <c r="KD40" s="52">
        <v>12.6721</v>
      </c>
      <c r="KE40" s="52">
        <v>12.6721</v>
      </c>
      <c r="KF40" s="52">
        <v>12.6721</v>
      </c>
      <c r="KG40" s="52">
        <v>12.6721</v>
      </c>
      <c r="KH40" s="52">
        <v>12.6721</v>
      </c>
      <c r="KI40" s="52">
        <v>12.6721</v>
      </c>
      <c r="KJ40" s="52">
        <v>12.6721</v>
      </c>
      <c r="KK40" s="52">
        <v>12.6721</v>
      </c>
      <c r="KL40" s="52">
        <v>12.6721</v>
      </c>
      <c r="KM40" s="52">
        <v>12.6721</v>
      </c>
      <c r="KN40" s="52">
        <v>12.6721</v>
      </c>
      <c r="KO40" s="52">
        <v>12.6721</v>
      </c>
      <c r="KP40" s="52">
        <v>12.6721</v>
      </c>
      <c r="KQ40" s="52">
        <v>12.6721</v>
      </c>
      <c r="KR40" s="52">
        <v>12.6721</v>
      </c>
      <c r="KS40" s="52">
        <v>12.6721</v>
      </c>
      <c r="KT40" s="52">
        <v>12.6721</v>
      </c>
      <c r="KU40" s="52">
        <v>12.6721</v>
      </c>
      <c r="KV40" s="52">
        <v>12.6721</v>
      </c>
      <c r="KW40" s="52">
        <v>12.6721</v>
      </c>
      <c r="KX40" s="52">
        <v>12.6721</v>
      </c>
      <c r="KY40" s="52">
        <v>12.6721</v>
      </c>
      <c r="KZ40" s="52">
        <v>12.6721</v>
      </c>
      <c r="LA40" s="52">
        <v>12.6721</v>
      </c>
      <c r="LB40" s="52">
        <v>12.6721</v>
      </c>
      <c r="LC40" s="52">
        <v>12.6721</v>
      </c>
      <c r="LD40" s="52">
        <v>12.6721</v>
      </c>
      <c r="LE40" s="52">
        <v>12.6721</v>
      </c>
      <c r="LF40" s="52">
        <v>12.6721</v>
      </c>
      <c r="LG40" s="52">
        <v>12.6721</v>
      </c>
      <c r="LH40" s="52">
        <v>12.6721</v>
      </c>
      <c r="LI40" s="52">
        <v>12.6721</v>
      </c>
      <c r="LJ40" s="52">
        <v>12.6721</v>
      </c>
      <c r="LK40" s="52">
        <v>12.6721</v>
      </c>
      <c r="LL40" s="52">
        <v>12.6721</v>
      </c>
      <c r="LM40" s="52">
        <v>12.6721</v>
      </c>
      <c r="LN40" s="52">
        <v>12.6721</v>
      </c>
      <c r="LO40" s="52">
        <v>12.6721</v>
      </c>
      <c r="LP40" s="52">
        <v>12.6721</v>
      </c>
      <c r="LQ40" s="52">
        <v>12.6721</v>
      </c>
      <c r="LR40" s="52">
        <v>12.6721</v>
      </c>
      <c r="LS40" s="52">
        <v>12.6721</v>
      </c>
      <c r="LT40" s="52">
        <v>12.6721</v>
      </c>
      <c r="LU40" s="52">
        <v>12.6721</v>
      </c>
      <c r="LV40" s="52">
        <v>12.6721</v>
      </c>
      <c r="LW40" s="52">
        <v>12.6721</v>
      </c>
      <c r="LX40" s="52">
        <v>12.6721</v>
      </c>
      <c r="LY40" s="52">
        <v>12.6721</v>
      </c>
      <c r="LZ40" s="52">
        <v>12.6721</v>
      </c>
      <c r="MA40" s="52">
        <v>12.6721</v>
      </c>
      <c r="MB40" s="52">
        <v>12.6721</v>
      </c>
      <c r="MC40" s="52">
        <v>12.6721</v>
      </c>
      <c r="MD40" s="52">
        <v>12.6721</v>
      </c>
      <c r="ME40" s="52">
        <v>12.6721</v>
      </c>
      <c r="MF40" s="52">
        <v>12.6721</v>
      </c>
      <c r="MG40" s="52">
        <v>12.6721</v>
      </c>
      <c r="MH40" s="52">
        <v>12.6721</v>
      </c>
      <c r="MI40" s="52">
        <v>12.6721</v>
      </c>
      <c r="MJ40" s="52">
        <v>12.6721</v>
      </c>
      <c r="MK40" s="52">
        <v>12.6721</v>
      </c>
      <c r="ML40" s="52">
        <v>12.6721</v>
      </c>
      <c r="MM40" s="52">
        <v>12.6721</v>
      </c>
      <c r="MN40" s="52">
        <v>12.6721</v>
      </c>
      <c r="MO40" s="52">
        <v>12.6721</v>
      </c>
      <c r="MP40" s="52">
        <v>12.6721</v>
      </c>
      <c r="MQ40" s="52">
        <v>12.6721</v>
      </c>
      <c r="MR40" s="52">
        <v>12.6721</v>
      </c>
      <c r="MS40" s="52">
        <v>12.6721</v>
      </c>
      <c r="MT40" s="52">
        <v>12.6721</v>
      </c>
      <c r="MU40" s="52">
        <v>12.6721</v>
      </c>
      <c r="MV40" s="52">
        <v>12.6721</v>
      </c>
      <c r="MW40" s="52">
        <v>12.6721</v>
      </c>
      <c r="MX40" s="52">
        <v>12.6721</v>
      </c>
      <c r="MY40" s="52">
        <v>12.6721</v>
      </c>
      <c r="MZ40" s="52">
        <v>12.6721</v>
      </c>
      <c r="NA40" s="52">
        <v>12.6721</v>
      </c>
      <c r="NB40" s="52">
        <v>12.6721</v>
      </c>
      <c r="NC40" s="52">
        <v>12.6721</v>
      </c>
      <c r="ND40" s="52">
        <v>12.6721</v>
      </c>
      <c r="NE40" s="52">
        <v>12.6721</v>
      </c>
      <c r="NF40" s="37">
        <v>12.6721</v>
      </c>
      <c r="NG40" s="37">
        <v>12.6721</v>
      </c>
      <c r="NH40" s="37">
        <v>12.6721</v>
      </c>
      <c r="NI40" s="37">
        <v>12.6721</v>
      </c>
      <c r="NJ40" s="37">
        <v>12.6721</v>
      </c>
      <c r="NK40" s="37">
        <v>12.6721</v>
      </c>
      <c r="NL40" s="37">
        <v>12.6721</v>
      </c>
      <c r="NM40" s="37">
        <v>12.6721</v>
      </c>
      <c r="NN40" s="37">
        <v>12.6721</v>
      </c>
      <c r="NO40" s="37">
        <v>12.6721</v>
      </c>
      <c r="NP40" s="37">
        <v>12.6721</v>
      </c>
      <c r="NQ40" s="37">
        <v>12.6721</v>
      </c>
      <c r="NR40" s="37">
        <v>12.6721</v>
      </c>
      <c r="NS40" s="37">
        <v>12.6721</v>
      </c>
      <c r="NT40" s="37">
        <v>12.6721</v>
      </c>
      <c r="NU40" s="37">
        <v>12.052899999999999</v>
      </c>
      <c r="NV40" s="37" t="s">
        <v>668</v>
      </c>
      <c r="NW40" s="37" t="s">
        <v>668</v>
      </c>
      <c r="NX40" s="37" t="s">
        <v>668</v>
      </c>
      <c r="NY40" s="37" t="s">
        <v>668</v>
      </c>
      <c r="NZ40" s="37" t="s">
        <v>668</v>
      </c>
      <c r="OA40" s="37" t="s">
        <v>668</v>
      </c>
      <c r="OB40" s="37" t="s">
        <v>668</v>
      </c>
      <c r="OC40" s="37" t="s">
        <v>668</v>
      </c>
      <c r="OD40" s="37" t="s">
        <v>668</v>
      </c>
      <c r="OE40" s="37" t="s">
        <v>668</v>
      </c>
      <c r="OF40" s="37" t="s">
        <v>668</v>
      </c>
      <c r="OG40" s="37" t="s">
        <v>668</v>
      </c>
      <c r="OH40" s="37" t="s">
        <v>668</v>
      </c>
      <c r="OI40" s="37" t="s">
        <v>668</v>
      </c>
      <c r="OJ40" s="37" t="s">
        <v>668</v>
      </c>
      <c r="OK40" s="37" t="s">
        <v>668</v>
      </c>
      <c r="OL40" s="37" t="s">
        <v>668</v>
      </c>
      <c r="OM40" s="37" t="s">
        <v>668</v>
      </c>
      <c r="ON40" s="37" t="s">
        <v>668</v>
      </c>
      <c r="OO40" s="37" t="s">
        <v>668</v>
      </c>
      <c r="OP40" s="37" t="s">
        <v>668</v>
      </c>
      <c r="OQ40" s="37" t="s">
        <v>668</v>
      </c>
      <c r="OR40" s="37" t="s">
        <v>668</v>
      </c>
      <c r="OS40" s="37" t="s">
        <v>668</v>
      </c>
      <c r="OT40" s="37" t="s">
        <v>668</v>
      </c>
      <c r="OU40" s="37" t="s">
        <v>668</v>
      </c>
      <c r="OV40" s="37" t="s">
        <v>668</v>
      </c>
      <c r="OW40" s="37" t="s">
        <v>668</v>
      </c>
      <c r="OX40" s="37" t="s">
        <v>668</v>
      </c>
      <c r="OY40" s="37" t="s">
        <v>668</v>
      </c>
      <c r="OZ40" s="37" t="s">
        <v>668</v>
      </c>
      <c r="PA40" s="37" t="s">
        <v>668</v>
      </c>
      <c r="PB40" s="37" t="s">
        <v>668</v>
      </c>
      <c r="PC40" s="37" t="s">
        <v>668</v>
      </c>
      <c r="PD40" s="37" t="s">
        <v>668</v>
      </c>
      <c r="PE40" s="37" t="s">
        <v>668</v>
      </c>
      <c r="PF40" s="37" t="s">
        <v>668</v>
      </c>
      <c r="PG40" s="37" t="s">
        <v>668</v>
      </c>
      <c r="PH40" s="37" t="s">
        <v>668</v>
      </c>
      <c r="PI40" s="37" t="s">
        <v>668</v>
      </c>
      <c r="PJ40" s="37" t="s">
        <v>668</v>
      </c>
      <c r="PK40" s="37" t="s">
        <v>668</v>
      </c>
      <c r="PL40" s="37" t="s">
        <v>668</v>
      </c>
      <c r="PM40" s="37" t="s">
        <v>668</v>
      </c>
      <c r="PN40" s="37" t="s">
        <v>668</v>
      </c>
      <c r="PO40" s="37" t="s">
        <v>668</v>
      </c>
      <c r="PP40" s="37" t="s">
        <v>668</v>
      </c>
      <c r="PQ40" s="37" t="s">
        <v>668</v>
      </c>
      <c r="PR40" s="37" t="s">
        <v>668</v>
      </c>
      <c r="PS40" s="15" t="s">
        <v>668</v>
      </c>
      <c r="PT40" s="15" t="s">
        <v>668</v>
      </c>
      <c r="PU40" s="15" t="s">
        <v>668</v>
      </c>
      <c r="PV40" s="15" t="s">
        <v>668</v>
      </c>
      <c r="PW40" s="15" t="s">
        <v>668</v>
      </c>
      <c r="PX40" s="15" t="s">
        <v>668</v>
      </c>
      <c r="PY40" s="15" t="s">
        <v>668</v>
      </c>
      <c r="PZ40" s="15" t="s">
        <v>668</v>
      </c>
      <c r="QA40" s="15" t="s">
        <v>668</v>
      </c>
      <c r="QB40" s="15" t="s">
        <v>668</v>
      </c>
      <c r="QC40" s="15" t="s">
        <v>668</v>
      </c>
      <c r="QD40" s="15" t="s">
        <v>668</v>
      </c>
      <c r="QE40" s="15" t="s">
        <v>668</v>
      </c>
      <c r="QF40" s="15" t="s">
        <v>668</v>
      </c>
      <c r="QG40" s="15" t="s">
        <v>668</v>
      </c>
      <c r="QH40" s="15" t="s">
        <v>668</v>
      </c>
      <c r="QI40" s="15" t="s">
        <v>668</v>
      </c>
      <c r="QJ40" s="15" t="s">
        <v>668</v>
      </c>
      <c r="QK40" s="15" t="s">
        <v>668</v>
      </c>
      <c r="QL40" s="15" t="s">
        <v>668</v>
      </c>
      <c r="QM40" s="15" t="s">
        <v>668</v>
      </c>
      <c r="QN40" s="15" t="s">
        <v>668</v>
      </c>
      <c r="QO40" s="15" t="s">
        <v>668</v>
      </c>
      <c r="QP40" s="15" t="s">
        <v>668</v>
      </c>
      <c r="QQ40" s="15" t="s">
        <v>668</v>
      </c>
      <c r="QR40" s="15" t="s">
        <v>668</v>
      </c>
      <c r="QS40" s="15" t="s">
        <v>668</v>
      </c>
      <c r="QT40" s="15" t="s">
        <v>668</v>
      </c>
      <c r="QU40" s="15" t="s">
        <v>668</v>
      </c>
      <c r="QV40" s="15" t="s">
        <v>668</v>
      </c>
      <c r="QW40" s="15" t="s">
        <v>668</v>
      </c>
      <c r="QX40" s="15" t="s">
        <v>668</v>
      </c>
      <c r="QY40" s="15" t="s">
        <v>668</v>
      </c>
      <c r="QZ40" s="15" t="s">
        <v>668</v>
      </c>
      <c r="RA40" s="15" t="s">
        <v>668</v>
      </c>
      <c r="RB40" s="15" t="s">
        <v>668</v>
      </c>
      <c r="RC40" s="15" t="s">
        <v>668</v>
      </c>
      <c r="RD40" s="15" t="s">
        <v>668</v>
      </c>
      <c r="RE40" s="15" t="s">
        <v>668</v>
      </c>
      <c r="RF40" s="15" t="s">
        <v>668</v>
      </c>
      <c r="RG40" s="15" t="s">
        <v>668</v>
      </c>
      <c r="RH40" s="15" t="s">
        <v>668</v>
      </c>
      <c r="RI40" s="15" t="s">
        <v>668</v>
      </c>
      <c r="RJ40" s="15" t="s">
        <v>668</v>
      </c>
      <c r="RK40" s="15" t="s">
        <v>668</v>
      </c>
      <c r="RL40" s="15" t="s">
        <v>668</v>
      </c>
      <c r="RM40" s="15" t="s">
        <v>668</v>
      </c>
      <c r="RN40" s="15" t="s">
        <v>668</v>
      </c>
      <c r="RO40" s="15" t="s">
        <v>668</v>
      </c>
      <c r="RP40" s="15" t="s">
        <v>668</v>
      </c>
      <c r="RQ40" s="15" t="s">
        <v>668</v>
      </c>
      <c r="RR40" s="15" t="s">
        <v>668</v>
      </c>
      <c r="RS40" s="15" t="s">
        <v>668</v>
      </c>
      <c r="RT40" s="15" t="s">
        <v>668</v>
      </c>
      <c r="RU40" s="15" t="s">
        <v>668</v>
      </c>
      <c r="RV40" s="15" t="s">
        <v>668</v>
      </c>
      <c r="RW40" s="15" t="s">
        <v>668</v>
      </c>
      <c r="RX40" s="15" t="s">
        <v>668</v>
      </c>
      <c r="RY40" s="15" t="s">
        <v>668</v>
      </c>
      <c r="RZ40" s="15" t="s">
        <v>668</v>
      </c>
      <c r="SA40" s="15" t="s">
        <v>668</v>
      </c>
      <c r="SB40" s="15" t="s">
        <v>668</v>
      </c>
      <c r="SC40" s="15" t="s">
        <v>668</v>
      </c>
      <c r="SD40" s="15" t="s">
        <v>668</v>
      </c>
      <c r="SE40" s="15" t="s">
        <v>668</v>
      </c>
      <c r="SF40" s="15" t="s">
        <v>668</v>
      </c>
      <c r="SG40" s="15" t="s">
        <v>668</v>
      </c>
      <c r="SH40" s="15" t="s">
        <v>668</v>
      </c>
      <c r="SI40" s="15" t="s">
        <v>668</v>
      </c>
      <c r="SJ40" s="15" t="s">
        <v>668</v>
      </c>
      <c r="SK40" s="15" t="s">
        <v>668</v>
      </c>
      <c r="SL40" s="15" t="s">
        <v>668</v>
      </c>
    </row>
    <row r="41" spans="1:507" x14ac:dyDescent="0.2">
      <c r="A41" s="37">
        <v>39</v>
      </c>
      <c r="B41" s="15" t="s">
        <v>637</v>
      </c>
      <c r="C41" s="17">
        <f>+'Detalle Compras'!D41</f>
        <v>202506240045</v>
      </c>
      <c r="D41" s="55">
        <f t="shared" si="13"/>
        <v>10.24653</v>
      </c>
      <c r="E41" s="14">
        <f>+IF(B41="","",'Detalle Compras'!S41+0)</f>
        <v>45879</v>
      </c>
      <c r="F41" s="14">
        <f>+IF(B41="","",EOMONTH('Detalle Compras'!S41,G41)+10)</f>
        <v>60520</v>
      </c>
      <c r="G41" s="50">
        <f t="shared" si="14"/>
        <v>480</v>
      </c>
      <c r="H41" s="50">
        <f t="shared" si="15"/>
        <v>474</v>
      </c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2"/>
      <c r="X41" s="52"/>
      <c r="Y41" s="52"/>
      <c r="Z41" s="52">
        <v>10.24653</v>
      </c>
      <c r="AA41" s="52">
        <v>10.24653</v>
      </c>
      <c r="AB41" s="52">
        <v>10.24653</v>
      </c>
      <c r="AC41" s="52">
        <v>10.24653</v>
      </c>
      <c r="AD41" s="52">
        <v>10.24653</v>
      </c>
      <c r="AE41" s="52">
        <v>10.24653</v>
      </c>
      <c r="AF41" s="52">
        <v>10.24653</v>
      </c>
      <c r="AG41" s="52">
        <v>10.24653</v>
      </c>
      <c r="AH41" s="52">
        <v>10.24653</v>
      </c>
      <c r="AI41" s="52">
        <v>10.24653</v>
      </c>
      <c r="AJ41" s="52">
        <v>10.24653</v>
      </c>
      <c r="AK41" s="52">
        <v>10.24653</v>
      </c>
      <c r="AL41" s="52">
        <v>10.24653</v>
      </c>
      <c r="AM41" s="52">
        <v>10.24653</v>
      </c>
      <c r="AN41" s="52">
        <v>10.24653</v>
      </c>
      <c r="AO41" s="52">
        <v>10.24653</v>
      </c>
      <c r="AP41" s="52">
        <v>10.24653</v>
      </c>
      <c r="AQ41" s="52">
        <v>10.24653</v>
      </c>
      <c r="AR41" s="52">
        <v>10.24653</v>
      </c>
      <c r="AS41" s="52">
        <v>10.24653</v>
      </c>
      <c r="AT41" s="52">
        <v>10.24653</v>
      </c>
      <c r="AU41" s="52">
        <v>10.24653</v>
      </c>
      <c r="AV41" s="52">
        <v>10.24653</v>
      </c>
      <c r="AW41" s="52">
        <v>10.24653</v>
      </c>
      <c r="AX41" s="52">
        <v>10.24653</v>
      </c>
      <c r="AY41" s="52">
        <v>10.24653</v>
      </c>
      <c r="AZ41" s="52">
        <v>10.24653</v>
      </c>
      <c r="BA41" s="52">
        <v>10.24653</v>
      </c>
      <c r="BB41" s="52">
        <v>10.24653</v>
      </c>
      <c r="BC41" s="52">
        <v>10.24653</v>
      </c>
      <c r="BD41" s="52">
        <v>10.24653</v>
      </c>
      <c r="BE41" s="52">
        <v>10.24653</v>
      </c>
      <c r="BF41" s="52">
        <v>10.24653</v>
      </c>
      <c r="BG41" s="52">
        <v>10.24653</v>
      </c>
      <c r="BH41" s="52">
        <v>10.24653</v>
      </c>
      <c r="BI41" s="52">
        <v>10.24653</v>
      </c>
      <c r="BJ41" s="52">
        <v>10.24653</v>
      </c>
      <c r="BK41" s="52">
        <v>10.24653</v>
      </c>
      <c r="BL41" s="52">
        <v>10.24653</v>
      </c>
      <c r="BM41" s="52">
        <v>10.24653</v>
      </c>
      <c r="BN41" s="52">
        <v>10.24653</v>
      </c>
      <c r="BO41" s="52">
        <v>10.24653</v>
      </c>
      <c r="BP41" s="52">
        <v>10.24653</v>
      </c>
      <c r="BQ41" s="52">
        <v>10.24653</v>
      </c>
      <c r="BR41" s="52">
        <v>10.24653</v>
      </c>
      <c r="BS41" s="52">
        <v>10.24653</v>
      </c>
      <c r="BT41" s="52">
        <v>10.24653</v>
      </c>
      <c r="BU41" s="52">
        <v>10.24653</v>
      </c>
      <c r="BV41" s="52">
        <v>10.24653</v>
      </c>
      <c r="BW41" s="52">
        <v>10.24653</v>
      </c>
      <c r="BX41" s="52">
        <v>10.24653</v>
      </c>
      <c r="BY41" s="52">
        <v>10.24653</v>
      </c>
      <c r="BZ41" s="52">
        <v>10.24653</v>
      </c>
      <c r="CA41" s="52">
        <v>10.24653</v>
      </c>
      <c r="CB41" s="52">
        <v>10.24653</v>
      </c>
      <c r="CC41" s="52">
        <v>10.24653</v>
      </c>
      <c r="CD41" s="52">
        <v>10.24653</v>
      </c>
      <c r="CE41" s="52">
        <v>10.24653</v>
      </c>
      <c r="CF41" s="52">
        <v>10.24653</v>
      </c>
      <c r="CG41" s="52">
        <v>10.24653</v>
      </c>
      <c r="CH41" s="52">
        <v>10.24653</v>
      </c>
      <c r="CI41" s="52">
        <v>10.24653</v>
      </c>
      <c r="CJ41" s="52">
        <v>10.24653</v>
      </c>
      <c r="CK41" s="52">
        <v>10.24653</v>
      </c>
      <c r="CL41" s="52">
        <v>10.24653</v>
      </c>
      <c r="CM41" s="52">
        <v>10.24653</v>
      </c>
      <c r="CN41" s="52">
        <v>10.24653</v>
      </c>
      <c r="CO41" s="52">
        <v>10.24653</v>
      </c>
      <c r="CP41" s="52">
        <v>10.24653</v>
      </c>
      <c r="CQ41" s="52">
        <v>10.24653</v>
      </c>
      <c r="CR41" s="52">
        <v>10.24653</v>
      </c>
      <c r="CS41" s="52">
        <v>10.24653</v>
      </c>
      <c r="CT41" s="52">
        <v>10.24653</v>
      </c>
      <c r="CU41" s="52">
        <v>10.24653</v>
      </c>
      <c r="CV41" s="52">
        <v>10.24653</v>
      </c>
      <c r="CW41" s="52">
        <v>10.24653</v>
      </c>
      <c r="CX41" s="52">
        <v>10.24653</v>
      </c>
      <c r="CY41" s="52">
        <v>10.24653</v>
      </c>
      <c r="CZ41" s="52">
        <v>10.24653</v>
      </c>
      <c r="DA41" s="52">
        <v>10.24653</v>
      </c>
      <c r="DB41" s="52">
        <v>10.24653</v>
      </c>
      <c r="DC41" s="52">
        <v>10.24653</v>
      </c>
      <c r="DD41" s="52">
        <v>10.24653</v>
      </c>
      <c r="DE41" s="52">
        <v>10.24653</v>
      </c>
      <c r="DF41" s="52">
        <v>10.24653</v>
      </c>
      <c r="DG41" s="52">
        <v>10.24653</v>
      </c>
      <c r="DH41" s="52">
        <v>10.24653</v>
      </c>
      <c r="DI41" s="52">
        <v>10.24653</v>
      </c>
      <c r="DJ41" s="52">
        <v>10.24653</v>
      </c>
      <c r="DK41" s="52">
        <v>10.24653</v>
      </c>
      <c r="DL41" s="52">
        <v>10.24653</v>
      </c>
      <c r="DM41" s="52">
        <v>10.24653</v>
      </c>
      <c r="DN41" s="52">
        <v>10.24653</v>
      </c>
      <c r="DO41" s="52">
        <v>10.24653</v>
      </c>
      <c r="DP41" s="52">
        <v>10.24653</v>
      </c>
      <c r="DQ41" s="52">
        <v>10.24653</v>
      </c>
      <c r="DR41" s="52">
        <v>10.24653</v>
      </c>
      <c r="DS41" s="52">
        <v>10.24653</v>
      </c>
      <c r="DT41" s="52">
        <v>10.24653</v>
      </c>
      <c r="DU41" s="52">
        <v>10.24653</v>
      </c>
      <c r="DV41" s="52">
        <v>10.24653</v>
      </c>
      <c r="DW41" s="52">
        <v>10.24653</v>
      </c>
      <c r="DX41" s="52">
        <v>10.24653</v>
      </c>
      <c r="DY41" s="52">
        <v>10.24653</v>
      </c>
      <c r="DZ41" s="52">
        <v>10.24653</v>
      </c>
      <c r="EA41" s="52">
        <v>10.24653</v>
      </c>
      <c r="EB41" s="52">
        <v>10.24653</v>
      </c>
      <c r="EC41" s="52">
        <v>10.24653</v>
      </c>
      <c r="ED41" s="52">
        <v>10.24653</v>
      </c>
      <c r="EE41" s="52">
        <v>10.24653</v>
      </c>
      <c r="EF41" s="52">
        <v>10.24653</v>
      </c>
      <c r="EG41" s="52">
        <v>10.24653</v>
      </c>
      <c r="EH41" s="52">
        <v>10.24653</v>
      </c>
      <c r="EI41" s="52">
        <v>10.24653</v>
      </c>
      <c r="EJ41" s="52">
        <v>10.24653</v>
      </c>
      <c r="EK41" s="52">
        <v>10.24653</v>
      </c>
      <c r="EL41" s="52">
        <v>10.24653</v>
      </c>
      <c r="EM41" s="52">
        <v>10.24653</v>
      </c>
      <c r="EN41" s="52">
        <v>10.24653</v>
      </c>
      <c r="EO41" s="52">
        <v>10.24653</v>
      </c>
      <c r="EP41" s="52">
        <v>10.24653</v>
      </c>
      <c r="EQ41" s="52">
        <v>10.24653</v>
      </c>
      <c r="ER41" s="52">
        <v>10.24653</v>
      </c>
      <c r="ES41" s="52">
        <v>10.24653</v>
      </c>
      <c r="ET41" s="52">
        <v>10.24653</v>
      </c>
      <c r="EU41" s="52">
        <v>10.24653</v>
      </c>
      <c r="EV41" s="52">
        <v>10.24653</v>
      </c>
      <c r="EW41" s="52">
        <v>10.24653</v>
      </c>
      <c r="EX41" s="52">
        <v>10.24653</v>
      </c>
      <c r="EY41" s="52">
        <v>10.24653</v>
      </c>
      <c r="EZ41" s="52">
        <v>10.24653</v>
      </c>
      <c r="FA41" s="52">
        <v>10.24653</v>
      </c>
      <c r="FB41" s="52">
        <v>10.24653</v>
      </c>
      <c r="FC41" s="52">
        <v>10.24653</v>
      </c>
      <c r="FD41" s="52">
        <v>10.24653</v>
      </c>
      <c r="FE41" s="52">
        <v>10.24653</v>
      </c>
      <c r="FF41" s="52">
        <v>10.24653</v>
      </c>
      <c r="FG41" s="52">
        <v>10.24653</v>
      </c>
      <c r="FH41" s="52">
        <v>10.24653</v>
      </c>
      <c r="FI41" s="52">
        <v>10.24653</v>
      </c>
      <c r="FJ41" s="52">
        <v>10.24653</v>
      </c>
      <c r="FK41" s="52">
        <v>10.24653</v>
      </c>
      <c r="FL41" s="52">
        <v>10.24653</v>
      </c>
      <c r="FM41" s="52">
        <v>10.24653</v>
      </c>
      <c r="FN41" s="52">
        <v>10.24653</v>
      </c>
      <c r="FO41" s="52">
        <v>10.24653</v>
      </c>
      <c r="FP41" s="52">
        <v>10.24653</v>
      </c>
      <c r="FQ41" s="52">
        <v>10.24653</v>
      </c>
      <c r="FR41" s="52">
        <v>10.24653</v>
      </c>
      <c r="FS41" s="52">
        <v>10.24653</v>
      </c>
      <c r="FT41" s="52">
        <v>10.24653</v>
      </c>
      <c r="FU41" s="52">
        <v>10.24653</v>
      </c>
      <c r="FV41" s="52">
        <v>10.24653</v>
      </c>
      <c r="FW41" s="52">
        <v>10.24653</v>
      </c>
      <c r="FX41" s="52">
        <v>10.24653</v>
      </c>
      <c r="FY41" s="52">
        <v>10.24653</v>
      </c>
      <c r="FZ41" s="52">
        <v>10.24653</v>
      </c>
      <c r="GA41" s="52">
        <v>10.24653</v>
      </c>
      <c r="GB41" s="52">
        <v>10.24653</v>
      </c>
      <c r="GC41" s="52">
        <v>10.24653</v>
      </c>
      <c r="GD41" s="52">
        <v>10.24653</v>
      </c>
      <c r="GE41" s="52">
        <v>10.24653</v>
      </c>
      <c r="GF41" s="52">
        <v>10.24653</v>
      </c>
      <c r="GG41" s="52">
        <v>10.24653</v>
      </c>
      <c r="GH41" s="52">
        <v>10.24653</v>
      </c>
      <c r="GI41" s="52">
        <v>10.24653</v>
      </c>
      <c r="GJ41" s="52">
        <v>10.24653</v>
      </c>
      <c r="GK41" s="52">
        <v>10.24653</v>
      </c>
      <c r="GL41" s="52">
        <v>10.24653</v>
      </c>
      <c r="GM41" s="52">
        <v>10.24653</v>
      </c>
      <c r="GN41" s="52">
        <v>10.24653</v>
      </c>
      <c r="GO41" s="52">
        <v>10.24653</v>
      </c>
      <c r="GP41" s="52">
        <v>10.24653</v>
      </c>
      <c r="GQ41" s="52">
        <v>10.24653</v>
      </c>
      <c r="GR41" s="52">
        <v>10.24653</v>
      </c>
      <c r="GS41" s="52">
        <v>10.24653</v>
      </c>
      <c r="GT41" s="52">
        <v>10.24653</v>
      </c>
      <c r="GU41" s="52">
        <v>10.24653</v>
      </c>
      <c r="GV41" s="52">
        <v>10.24653</v>
      </c>
      <c r="GW41" s="52">
        <v>10.24653</v>
      </c>
      <c r="GX41" s="52">
        <v>10.24653</v>
      </c>
      <c r="GY41" s="52">
        <v>10.24653</v>
      </c>
      <c r="GZ41" s="52">
        <v>10.24653</v>
      </c>
      <c r="HA41" s="52">
        <v>10.24653</v>
      </c>
      <c r="HB41" s="52">
        <v>10.24653</v>
      </c>
      <c r="HC41" s="52">
        <v>10.24653</v>
      </c>
      <c r="HD41" s="52">
        <v>10.24653</v>
      </c>
      <c r="HE41" s="52">
        <v>10.24653</v>
      </c>
      <c r="HF41" s="52">
        <v>10.24653</v>
      </c>
      <c r="HG41" s="52">
        <v>10.24653</v>
      </c>
      <c r="HH41" s="52">
        <v>10.24653</v>
      </c>
      <c r="HI41" s="52">
        <v>10.24653</v>
      </c>
      <c r="HJ41" s="52">
        <v>10.24653</v>
      </c>
      <c r="HK41" s="52">
        <v>10.24653</v>
      </c>
      <c r="HL41" s="52">
        <v>10.24653</v>
      </c>
      <c r="HM41" s="52">
        <v>10.24653</v>
      </c>
      <c r="HN41" s="52">
        <v>10.24653</v>
      </c>
      <c r="HO41" s="52">
        <v>10.24653</v>
      </c>
      <c r="HP41" s="52">
        <v>10.24653</v>
      </c>
      <c r="HQ41" s="52">
        <v>10.24653</v>
      </c>
      <c r="HR41" s="52">
        <v>10.24653</v>
      </c>
      <c r="HS41" s="52">
        <v>10.24653</v>
      </c>
      <c r="HT41" s="52">
        <v>10.24653</v>
      </c>
      <c r="HU41" s="52">
        <v>10.24653</v>
      </c>
      <c r="HV41" s="52">
        <v>10.24653</v>
      </c>
      <c r="HW41" s="52">
        <v>10.24653</v>
      </c>
      <c r="HX41" s="52">
        <v>10.24653</v>
      </c>
      <c r="HY41" s="52">
        <v>10.24653</v>
      </c>
      <c r="HZ41" s="52">
        <v>10.24653</v>
      </c>
      <c r="IA41" s="52">
        <v>10.24653</v>
      </c>
      <c r="IB41" s="52">
        <v>10.24653</v>
      </c>
      <c r="IC41" s="52">
        <v>10.24653</v>
      </c>
      <c r="ID41" s="52">
        <v>10.24653</v>
      </c>
      <c r="IE41" s="52">
        <v>10.24653</v>
      </c>
      <c r="IF41" s="52">
        <v>10.24653</v>
      </c>
      <c r="IG41" s="52">
        <v>10.24653</v>
      </c>
      <c r="IH41" s="52">
        <v>10.24653</v>
      </c>
      <c r="II41" s="52">
        <v>10.24653</v>
      </c>
      <c r="IJ41" s="52">
        <v>10.24653</v>
      </c>
      <c r="IK41" s="52">
        <v>10.24653</v>
      </c>
      <c r="IL41" s="52">
        <v>10.24653</v>
      </c>
      <c r="IM41" s="52">
        <v>10.24653</v>
      </c>
      <c r="IN41" s="52">
        <v>10.24653</v>
      </c>
      <c r="IO41" s="52">
        <v>10.24653</v>
      </c>
      <c r="IP41" s="37">
        <v>10.24653</v>
      </c>
      <c r="IQ41" s="37">
        <v>10.24653</v>
      </c>
      <c r="IR41" s="37">
        <v>10.24653</v>
      </c>
      <c r="IS41" s="37">
        <v>10.24653</v>
      </c>
      <c r="IT41" s="37">
        <v>10.24653</v>
      </c>
      <c r="IU41" s="37">
        <v>10.24653</v>
      </c>
      <c r="IV41" s="37">
        <v>10.24653</v>
      </c>
      <c r="IW41" s="37">
        <v>10.24653</v>
      </c>
      <c r="IX41" s="37">
        <v>10.24653</v>
      </c>
      <c r="IY41" s="37">
        <v>10.24653</v>
      </c>
      <c r="IZ41" s="37">
        <v>10.24653</v>
      </c>
      <c r="JA41" s="37">
        <v>10.24653</v>
      </c>
      <c r="JB41" s="37">
        <v>10.24653</v>
      </c>
      <c r="JC41" s="37">
        <v>10.24653</v>
      </c>
      <c r="JD41" s="37">
        <v>10.24653</v>
      </c>
      <c r="JE41" s="37">
        <v>10.24653</v>
      </c>
      <c r="JF41" s="37">
        <v>10.24653</v>
      </c>
      <c r="JG41" s="37">
        <v>10.24653</v>
      </c>
      <c r="JH41" s="37">
        <v>10.24653</v>
      </c>
      <c r="JI41" s="37">
        <v>10.24653</v>
      </c>
      <c r="JJ41" s="37">
        <v>10.24653</v>
      </c>
      <c r="JK41" s="37">
        <v>10.24653</v>
      </c>
      <c r="JL41" s="37">
        <v>10.24653</v>
      </c>
      <c r="JM41" s="37">
        <v>10.24653</v>
      </c>
      <c r="JN41" s="37">
        <v>10.24653</v>
      </c>
      <c r="JO41" s="37">
        <v>10.24653</v>
      </c>
      <c r="JP41" s="37">
        <v>10.24653</v>
      </c>
      <c r="JQ41" s="37">
        <v>10.24653</v>
      </c>
      <c r="JR41" s="37">
        <v>10.24653</v>
      </c>
      <c r="JS41" s="37">
        <v>10.24653</v>
      </c>
      <c r="JT41" s="37">
        <v>10.24653</v>
      </c>
      <c r="JU41" s="37">
        <v>10.24653</v>
      </c>
      <c r="JV41" s="37">
        <v>10.24653</v>
      </c>
      <c r="JW41" s="37">
        <v>10.24653</v>
      </c>
      <c r="JX41" s="37">
        <v>10.24653</v>
      </c>
      <c r="JY41" s="37">
        <v>10.24653</v>
      </c>
      <c r="JZ41" s="37">
        <v>10.24653</v>
      </c>
      <c r="KA41" s="37">
        <v>10.24653</v>
      </c>
      <c r="KB41" s="37">
        <v>10.24653</v>
      </c>
      <c r="KC41" s="37">
        <v>10.24653</v>
      </c>
      <c r="KD41" s="37">
        <v>10.24653</v>
      </c>
      <c r="KE41" s="37">
        <v>10.24653</v>
      </c>
      <c r="KF41" s="37">
        <v>10.24653</v>
      </c>
      <c r="KG41" s="37">
        <v>10.24653</v>
      </c>
      <c r="KH41" s="37">
        <v>10.24653</v>
      </c>
      <c r="KI41" s="37">
        <v>10.24653</v>
      </c>
      <c r="KJ41" s="37">
        <v>10.24653</v>
      </c>
      <c r="KK41" s="37">
        <v>10.24653</v>
      </c>
      <c r="KL41" s="37">
        <v>10.24653</v>
      </c>
      <c r="KM41" s="37">
        <v>10.24653</v>
      </c>
      <c r="KN41" s="37">
        <v>10.24653</v>
      </c>
      <c r="KO41" s="37">
        <v>10.24653</v>
      </c>
      <c r="KP41" s="37">
        <v>10.24653</v>
      </c>
      <c r="KQ41" s="37">
        <v>10.24653</v>
      </c>
      <c r="KR41" s="37">
        <v>10.24653</v>
      </c>
      <c r="KS41" s="37">
        <v>10.24653</v>
      </c>
      <c r="KT41" s="37">
        <v>10.24653</v>
      </c>
      <c r="KU41" s="37">
        <v>10.24653</v>
      </c>
      <c r="KV41" s="37">
        <v>10.24653</v>
      </c>
      <c r="KW41" s="37">
        <v>10.24653</v>
      </c>
      <c r="KX41" s="37">
        <v>10.24653</v>
      </c>
      <c r="KY41" s="37">
        <v>10.24653</v>
      </c>
      <c r="KZ41" s="37">
        <v>10.24653</v>
      </c>
      <c r="LA41" s="37">
        <v>10.24653</v>
      </c>
      <c r="LB41" s="37">
        <v>10.24653</v>
      </c>
      <c r="LC41" s="37">
        <v>10.24653</v>
      </c>
      <c r="LD41" s="37">
        <v>10.24653</v>
      </c>
      <c r="LE41" s="37">
        <v>10.24653</v>
      </c>
      <c r="LF41" s="37">
        <v>10.24653</v>
      </c>
      <c r="LG41" s="37">
        <v>10.24653</v>
      </c>
      <c r="LH41" s="37">
        <v>10.24653</v>
      </c>
      <c r="LI41" s="37">
        <v>10.24653</v>
      </c>
      <c r="LJ41" s="37">
        <v>10.24653</v>
      </c>
      <c r="LK41" s="37">
        <v>10.24653</v>
      </c>
      <c r="LL41" s="37">
        <v>10.24653</v>
      </c>
      <c r="LM41" s="37">
        <v>10.24653</v>
      </c>
      <c r="LN41" s="37">
        <v>10.24653</v>
      </c>
      <c r="LO41" s="37">
        <v>10.24653</v>
      </c>
      <c r="LP41" s="37">
        <v>10.24653</v>
      </c>
      <c r="LQ41" s="37">
        <v>10.24653</v>
      </c>
      <c r="LR41" s="37">
        <v>10.24653</v>
      </c>
      <c r="LS41" s="37">
        <v>10.24653</v>
      </c>
      <c r="LT41" s="37">
        <v>10.24653</v>
      </c>
      <c r="LU41" s="37">
        <v>10.24653</v>
      </c>
      <c r="LV41" s="37">
        <v>10.24653</v>
      </c>
      <c r="LW41" s="37">
        <v>10.24653</v>
      </c>
      <c r="LX41" s="37">
        <v>10.24653</v>
      </c>
      <c r="LY41" s="37">
        <v>10.24653</v>
      </c>
      <c r="LZ41" s="37">
        <v>10.24653</v>
      </c>
      <c r="MA41" s="37">
        <v>10.24653</v>
      </c>
      <c r="MB41" s="37">
        <v>10.24653</v>
      </c>
      <c r="MC41" s="37">
        <v>10.24653</v>
      </c>
      <c r="MD41" s="37">
        <v>10.24653</v>
      </c>
      <c r="ME41" s="37">
        <v>10.24653</v>
      </c>
      <c r="MF41" s="37">
        <v>10.24653</v>
      </c>
      <c r="MG41" s="37">
        <v>10.24653</v>
      </c>
      <c r="MH41" s="37">
        <v>10.24653</v>
      </c>
      <c r="MI41" s="37">
        <v>10.24653</v>
      </c>
      <c r="MJ41" s="37">
        <v>10.24653</v>
      </c>
      <c r="MK41" s="37">
        <v>10.24653</v>
      </c>
      <c r="ML41" s="37">
        <v>10.24653</v>
      </c>
      <c r="MM41" s="37">
        <v>10.24653</v>
      </c>
      <c r="MN41" s="37">
        <v>10.24653</v>
      </c>
      <c r="MO41" s="37">
        <v>10.24653</v>
      </c>
      <c r="MP41" s="37">
        <v>10.24653</v>
      </c>
      <c r="MQ41" s="37">
        <v>10.24653</v>
      </c>
      <c r="MR41" s="37">
        <v>10.24653</v>
      </c>
      <c r="MS41" s="37">
        <v>10.24653</v>
      </c>
      <c r="MT41" s="37">
        <v>10.24653</v>
      </c>
      <c r="MU41" s="37">
        <v>10.24653</v>
      </c>
      <c r="MV41" s="37">
        <v>10.24653</v>
      </c>
      <c r="MW41" s="37">
        <v>10.24653</v>
      </c>
      <c r="MX41" s="37">
        <v>10.24653</v>
      </c>
      <c r="MY41" s="37">
        <v>10.24653</v>
      </c>
      <c r="MZ41" s="37">
        <v>10.24653</v>
      </c>
      <c r="NA41" s="37">
        <v>10.24653</v>
      </c>
      <c r="NB41" s="37">
        <v>10.24653</v>
      </c>
      <c r="NC41" s="37">
        <v>10.24653</v>
      </c>
      <c r="ND41" s="37">
        <v>10.24653</v>
      </c>
      <c r="NE41" s="37">
        <v>10.24653</v>
      </c>
      <c r="NF41" s="37">
        <v>10.24653</v>
      </c>
      <c r="NG41" s="37">
        <v>10.24653</v>
      </c>
      <c r="NH41" s="37">
        <v>10.24653</v>
      </c>
      <c r="NI41" s="37">
        <v>10.24653</v>
      </c>
      <c r="NJ41" s="37">
        <v>10.24653</v>
      </c>
      <c r="NK41" s="37">
        <v>10.24653</v>
      </c>
      <c r="NL41" s="37">
        <v>10.24653</v>
      </c>
      <c r="NM41" s="37">
        <v>10.24653</v>
      </c>
      <c r="NN41" s="37">
        <v>10.24653</v>
      </c>
      <c r="NO41" s="37">
        <v>10.24653</v>
      </c>
      <c r="NP41" s="37">
        <v>10.24653</v>
      </c>
      <c r="NQ41" s="37">
        <v>10.24653</v>
      </c>
      <c r="NR41" s="37">
        <v>10.24653</v>
      </c>
      <c r="NS41" s="37">
        <v>10.24653</v>
      </c>
      <c r="NT41" s="37">
        <v>10.24653</v>
      </c>
      <c r="NU41" s="37">
        <v>10.24653</v>
      </c>
      <c r="NV41" s="37">
        <v>10.24653</v>
      </c>
      <c r="NW41" s="37">
        <v>10.24653</v>
      </c>
      <c r="NX41" s="37">
        <v>10.24653</v>
      </c>
      <c r="NY41" s="37">
        <v>10.24653</v>
      </c>
      <c r="NZ41" s="37">
        <v>10.24653</v>
      </c>
      <c r="OA41" s="37">
        <v>10.24653</v>
      </c>
      <c r="OB41" s="37">
        <v>10.24653</v>
      </c>
      <c r="OC41" s="37">
        <v>10.24653</v>
      </c>
      <c r="OD41" s="37">
        <v>10.24653</v>
      </c>
      <c r="OE41" s="37">
        <v>10.24653</v>
      </c>
      <c r="OF41" s="37">
        <v>10.24653</v>
      </c>
      <c r="OG41" s="37">
        <v>10.24653</v>
      </c>
      <c r="OH41" s="37">
        <v>10.24653</v>
      </c>
      <c r="OI41" s="37">
        <v>10.24653</v>
      </c>
      <c r="OJ41" s="37">
        <v>10.24653</v>
      </c>
      <c r="OK41" s="37">
        <v>10.24653</v>
      </c>
      <c r="OL41" s="37">
        <v>10.24653</v>
      </c>
      <c r="OM41" s="37">
        <v>10.24653</v>
      </c>
      <c r="ON41" s="37">
        <v>10.24653</v>
      </c>
      <c r="OO41" s="37">
        <v>10.24653</v>
      </c>
      <c r="OP41" s="37">
        <v>10.24653</v>
      </c>
      <c r="OQ41" s="37">
        <v>10.24653</v>
      </c>
      <c r="OR41" s="37">
        <v>10.24653</v>
      </c>
      <c r="OS41" s="37">
        <v>10.24653</v>
      </c>
      <c r="OT41" s="37">
        <v>10.24653</v>
      </c>
      <c r="OU41" s="37">
        <v>10.24653</v>
      </c>
      <c r="OV41" s="37">
        <v>10.24653</v>
      </c>
      <c r="OW41" s="37">
        <v>10.24653</v>
      </c>
      <c r="OX41" s="37">
        <v>10.24653</v>
      </c>
      <c r="OY41" s="37">
        <v>10.24653</v>
      </c>
      <c r="OZ41" s="37">
        <v>10.24653</v>
      </c>
      <c r="PA41" s="37">
        <v>10.24653</v>
      </c>
      <c r="PB41" s="37">
        <v>10.24653</v>
      </c>
      <c r="PC41" s="37">
        <v>10.24653</v>
      </c>
      <c r="PD41" s="37">
        <v>10.24653</v>
      </c>
      <c r="PE41" s="37">
        <v>10.24653</v>
      </c>
      <c r="PF41" s="37">
        <v>10.24653</v>
      </c>
      <c r="PG41" s="37">
        <v>10.24653</v>
      </c>
      <c r="PH41" s="37">
        <v>10.24653</v>
      </c>
      <c r="PI41" s="37">
        <v>10.24653</v>
      </c>
      <c r="PJ41" s="37">
        <v>10.24653</v>
      </c>
      <c r="PK41" s="37">
        <v>10.24653</v>
      </c>
      <c r="PL41" s="37">
        <v>10.24653</v>
      </c>
      <c r="PM41" s="37">
        <v>10.24653</v>
      </c>
      <c r="PN41" s="37">
        <v>10.24653</v>
      </c>
      <c r="PO41" s="37">
        <v>10.24653</v>
      </c>
      <c r="PP41" s="37">
        <v>10.24653</v>
      </c>
      <c r="PQ41" s="37">
        <v>10.24653</v>
      </c>
      <c r="PR41" s="37">
        <v>10.24653</v>
      </c>
      <c r="PS41" s="15">
        <v>10.24653</v>
      </c>
      <c r="PT41" s="15">
        <v>10.24653</v>
      </c>
      <c r="PU41" s="15">
        <v>10.24653</v>
      </c>
      <c r="PV41" s="15">
        <v>10.24653</v>
      </c>
      <c r="PW41" s="15">
        <v>10.24653</v>
      </c>
      <c r="PX41" s="15">
        <v>10.24653</v>
      </c>
      <c r="PY41" s="15">
        <v>10.24653</v>
      </c>
      <c r="PZ41" s="15">
        <v>10.24653</v>
      </c>
      <c r="QA41" s="15">
        <v>10.24653</v>
      </c>
      <c r="QB41" s="15">
        <v>10.24653</v>
      </c>
      <c r="QC41" s="15">
        <v>10.24653</v>
      </c>
      <c r="QD41" s="15">
        <v>10.24653</v>
      </c>
      <c r="QE41" s="15">
        <v>10.24653</v>
      </c>
      <c r="QF41" s="15">
        <v>10.24653</v>
      </c>
      <c r="QG41" s="15">
        <v>10.24653</v>
      </c>
      <c r="QH41" s="15">
        <v>10.24653</v>
      </c>
      <c r="QI41" s="15">
        <v>10.24653</v>
      </c>
      <c r="QJ41" s="15">
        <v>10.24653</v>
      </c>
      <c r="QK41" s="15">
        <v>10.24653</v>
      </c>
      <c r="QL41" s="15">
        <v>10.24653</v>
      </c>
      <c r="QM41" s="15">
        <v>10.24653</v>
      </c>
      <c r="QN41" s="15">
        <v>10.24653</v>
      </c>
      <c r="QO41" s="15">
        <v>10.24653</v>
      </c>
      <c r="QP41" s="15">
        <v>10.24653</v>
      </c>
      <c r="QQ41" s="15">
        <v>10.24653</v>
      </c>
      <c r="QR41" s="15">
        <v>10.24653</v>
      </c>
      <c r="QS41" s="15">
        <v>10.24653</v>
      </c>
      <c r="QT41" s="15">
        <v>10.24653</v>
      </c>
      <c r="QU41" s="15">
        <v>10.24653</v>
      </c>
      <c r="QV41" s="15">
        <v>10.24653</v>
      </c>
      <c r="QW41" s="15">
        <v>10.24653</v>
      </c>
      <c r="QX41" s="15">
        <v>10.24653</v>
      </c>
      <c r="QY41" s="15">
        <v>10.24653</v>
      </c>
      <c r="QZ41" s="15">
        <v>10.24653</v>
      </c>
      <c r="RA41" s="15">
        <v>10.24653</v>
      </c>
      <c r="RB41" s="15">
        <v>10.24653</v>
      </c>
      <c r="RC41" s="15">
        <v>10.24653</v>
      </c>
      <c r="RD41" s="15">
        <v>10.24653</v>
      </c>
      <c r="RE41" s="15">
        <v>10.24653</v>
      </c>
      <c r="RF41" s="15">
        <v>10.24653</v>
      </c>
      <c r="RG41" s="15">
        <v>10.24653</v>
      </c>
      <c r="RH41" s="15">
        <v>10.24653</v>
      </c>
      <c r="RI41" s="15">
        <v>10.24653</v>
      </c>
      <c r="RJ41" s="15">
        <v>10.24653</v>
      </c>
      <c r="RK41" s="15">
        <v>10.24653</v>
      </c>
      <c r="RL41" s="15">
        <v>10.24653</v>
      </c>
      <c r="RM41" s="15">
        <v>10.24653</v>
      </c>
      <c r="RN41" s="15">
        <v>10.24653</v>
      </c>
      <c r="RO41" s="15">
        <v>10.24653</v>
      </c>
      <c r="RP41" s="15">
        <v>10.24653</v>
      </c>
      <c r="RQ41" s="15">
        <v>10.24653</v>
      </c>
      <c r="RR41" s="15">
        <v>10.24653</v>
      </c>
      <c r="RS41" s="15">
        <v>10.24653</v>
      </c>
      <c r="RT41" s="15">
        <v>10.24653</v>
      </c>
      <c r="RU41" s="15">
        <v>10.24653</v>
      </c>
      <c r="RV41" s="15">
        <v>10.24653</v>
      </c>
      <c r="RW41" s="15">
        <v>10.24653</v>
      </c>
      <c r="RX41" s="15">
        <v>10.24653</v>
      </c>
      <c r="RY41" s="15">
        <v>10.24653</v>
      </c>
      <c r="RZ41" s="15">
        <v>10.24653</v>
      </c>
      <c r="SA41" s="15">
        <v>10.24653</v>
      </c>
      <c r="SB41" s="15">
        <v>10.24653</v>
      </c>
      <c r="SC41" s="15">
        <v>10.24653</v>
      </c>
      <c r="SD41" s="15">
        <v>10.24653</v>
      </c>
      <c r="SE41" s="15">
        <v>10.24653</v>
      </c>
      <c r="SF41" s="15">
        <v>10.24653</v>
      </c>
      <c r="SG41" s="15">
        <v>10.24653</v>
      </c>
      <c r="SH41" s="15">
        <v>10.24653</v>
      </c>
      <c r="SI41" s="15">
        <v>10.24653</v>
      </c>
      <c r="SJ41" s="15">
        <v>10.24653</v>
      </c>
      <c r="SK41" s="15">
        <v>12.016529999999999</v>
      </c>
      <c r="SL41" s="15" t="s">
        <v>668</v>
      </c>
    </row>
    <row r="42" spans="1:507" x14ac:dyDescent="0.2">
      <c r="A42" s="37">
        <v>40</v>
      </c>
      <c r="B42" s="37" t="s">
        <v>669</v>
      </c>
      <c r="C42" s="17">
        <f>+'Detalle Compras'!D42</f>
        <v>202506300050</v>
      </c>
      <c r="D42" s="55">
        <f t="shared" si="13"/>
        <v>12.0185</v>
      </c>
      <c r="E42" s="14">
        <f>+IF(B42="","",'Detalle Compras'!S42+0)</f>
        <v>45879</v>
      </c>
      <c r="F42" s="14">
        <f>+IF(B42="","",EOMONTH('Detalle Compras'!S42,G42)+10)</f>
        <v>60520</v>
      </c>
      <c r="G42" s="50">
        <f t="shared" si="14"/>
        <v>480</v>
      </c>
      <c r="H42" s="50">
        <f t="shared" si="15"/>
        <v>474</v>
      </c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  <c r="Y42" s="52"/>
      <c r="Z42" s="52">
        <v>12.0185</v>
      </c>
      <c r="AA42" s="52">
        <v>12.0185</v>
      </c>
      <c r="AB42" s="52">
        <v>12.0185</v>
      </c>
      <c r="AC42" s="52">
        <v>12.0185</v>
      </c>
      <c r="AD42" s="52">
        <v>12.0185</v>
      </c>
      <c r="AE42" s="52">
        <v>12.0185</v>
      </c>
      <c r="AF42" s="52">
        <v>12.0185</v>
      </c>
      <c r="AG42" s="52">
        <v>12.0185</v>
      </c>
      <c r="AH42" s="52">
        <v>12.0185</v>
      </c>
      <c r="AI42" s="52">
        <v>12.0185</v>
      </c>
      <c r="AJ42" s="52">
        <v>12.0185</v>
      </c>
      <c r="AK42" s="52">
        <v>12.0185</v>
      </c>
      <c r="AL42" s="52">
        <v>12.0185</v>
      </c>
      <c r="AM42" s="52">
        <v>12.0185</v>
      </c>
      <c r="AN42" s="52">
        <v>12.0185</v>
      </c>
      <c r="AO42" s="52">
        <v>12.0185</v>
      </c>
      <c r="AP42" s="52">
        <v>12.0185</v>
      </c>
      <c r="AQ42" s="52">
        <v>12.0185</v>
      </c>
      <c r="AR42" s="52">
        <v>12.0185</v>
      </c>
      <c r="AS42" s="52">
        <v>12.0185</v>
      </c>
      <c r="AT42" s="52">
        <v>12.0185</v>
      </c>
      <c r="AU42" s="52">
        <v>12.0185</v>
      </c>
      <c r="AV42" s="52">
        <v>12.0185</v>
      </c>
      <c r="AW42" s="52">
        <v>12.0185</v>
      </c>
      <c r="AX42" s="52">
        <v>12.0185</v>
      </c>
      <c r="AY42" s="52">
        <v>12.0185</v>
      </c>
      <c r="AZ42" s="52">
        <v>12.0185</v>
      </c>
      <c r="BA42" s="52">
        <v>12.0185</v>
      </c>
      <c r="BB42" s="52">
        <v>12.0185</v>
      </c>
      <c r="BC42" s="52">
        <v>12.0185</v>
      </c>
      <c r="BD42" s="52">
        <v>12.0185</v>
      </c>
      <c r="BE42" s="52">
        <v>12.0185</v>
      </c>
      <c r="BF42" s="52">
        <v>12.0185</v>
      </c>
      <c r="BG42" s="52">
        <v>12.0185</v>
      </c>
      <c r="BH42" s="52">
        <v>12.0185</v>
      </c>
      <c r="BI42" s="52">
        <v>12.0185</v>
      </c>
      <c r="BJ42" s="52">
        <v>12.0185</v>
      </c>
      <c r="BK42" s="52">
        <v>12.0185</v>
      </c>
      <c r="BL42" s="52">
        <v>12.0185</v>
      </c>
      <c r="BM42" s="52">
        <v>12.0185</v>
      </c>
      <c r="BN42" s="52">
        <v>12.0185</v>
      </c>
      <c r="BO42" s="52">
        <v>12.0185</v>
      </c>
      <c r="BP42" s="52">
        <v>12.0185</v>
      </c>
      <c r="BQ42" s="52">
        <v>12.0185</v>
      </c>
      <c r="BR42" s="52">
        <v>12.0185</v>
      </c>
      <c r="BS42" s="52">
        <v>12.0185</v>
      </c>
      <c r="BT42" s="52">
        <v>12.0185</v>
      </c>
      <c r="BU42" s="52">
        <v>12.0185</v>
      </c>
      <c r="BV42" s="52">
        <v>12.0185</v>
      </c>
      <c r="BW42" s="52">
        <v>12.0185</v>
      </c>
      <c r="BX42" s="52">
        <v>12.0185</v>
      </c>
      <c r="BY42" s="52">
        <v>12.0185</v>
      </c>
      <c r="BZ42" s="52">
        <v>12.0185</v>
      </c>
      <c r="CA42" s="52">
        <v>12.0185</v>
      </c>
      <c r="CB42" s="52">
        <v>12.0185</v>
      </c>
      <c r="CC42" s="52">
        <v>12.0185</v>
      </c>
      <c r="CD42" s="52">
        <v>12.0185</v>
      </c>
      <c r="CE42" s="52">
        <v>12.0185</v>
      </c>
      <c r="CF42" s="52">
        <v>12.0185</v>
      </c>
      <c r="CG42" s="52">
        <v>12.0185</v>
      </c>
      <c r="CH42" s="52">
        <v>12.0185</v>
      </c>
      <c r="CI42" s="52">
        <v>12.0185</v>
      </c>
      <c r="CJ42" s="52">
        <v>12.0185</v>
      </c>
      <c r="CK42" s="52">
        <v>12.0185</v>
      </c>
      <c r="CL42" s="52">
        <v>12.0185</v>
      </c>
      <c r="CM42" s="52">
        <v>12.0185</v>
      </c>
      <c r="CN42" s="52">
        <v>12.0185</v>
      </c>
      <c r="CO42" s="52">
        <v>12.0185</v>
      </c>
      <c r="CP42" s="52">
        <v>12.0185</v>
      </c>
      <c r="CQ42" s="52">
        <v>12.0185</v>
      </c>
      <c r="CR42" s="52">
        <v>12.0185</v>
      </c>
      <c r="CS42" s="52">
        <v>12.0185</v>
      </c>
      <c r="CT42" s="52">
        <v>12.0185</v>
      </c>
      <c r="CU42" s="52">
        <v>12.0185</v>
      </c>
      <c r="CV42" s="52">
        <v>12.0185</v>
      </c>
      <c r="CW42" s="52">
        <v>12.0185</v>
      </c>
      <c r="CX42" s="52">
        <v>12.0185</v>
      </c>
      <c r="CY42" s="52">
        <v>12.0185</v>
      </c>
      <c r="CZ42" s="52">
        <v>12.0185</v>
      </c>
      <c r="DA42" s="52">
        <v>12.0185</v>
      </c>
      <c r="DB42" s="52">
        <v>12.0185</v>
      </c>
      <c r="DC42" s="52">
        <v>12.0185</v>
      </c>
      <c r="DD42" s="52">
        <v>12.0185</v>
      </c>
      <c r="DE42" s="52">
        <v>12.0185</v>
      </c>
      <c r="DF42" s="52">
        <v>12.0185</v>
      </c>
      <c r="DG42" s="52">
        <v>12.0185</v>
      </c>
      <c r="DH42" s="52">
        <v>12.0185</v>
      </c>
      <c r="DI42" s="52">
        <v>12.0185</v>
      </c>
      <c r="DJ42" s="52">
        <v>12.0185</v>
      </c>
      <c r="DK42" s="52">
        <v>12.0185</v>
      </c>
      <c r="DL42" s="52">
        <v>12.0185</v>
      </c>
      <c r="DM42" s="52">
        <v>12.0185</v>
      </c>
      <c r="DN42" s="52">
        <v>12.0185</v>
      </c>
      <c r="DO42" s="52">
        <v>12.0185</v>
      </c>
      <c r="DP42" s="52">
        <v>12.0185</v>
      </c>
      <c r="DQ42" s="52">
        <v>12.0185</v>
      </c>
      <c r="DR42" s="52">
        <v>12.0185</v>
      </c>
      <c r="DS42" s="52">
        <v>12.0185</v>
      </c>
      <c r="DT42" s="52">
        <v>12.0185</v>
      </c>
      <c r="DU42" s="52">
        <v>12.0185</v>
      </c>
      <c r="DV42" s="52">
        <v>12.0185</v>
      </c>
      <c r="DW42" s="52">
        <v>12.0185</v>
      </c>
      <c r="DX42" s="52">
        <v>12.0185</v>
      </c>
      <c r="DY42" s="52">
        <v>12.0185</v>
      </c>
      <c r="DZ42" s="52">
        <v>12.0185</v>
      </c>
      <c r="EA42" s="52">
        <v>12.0185</v>
      </c>
      <c r="EB42" s="52">
        <v>12.0185</v>
      </c>
      <c r="EC42" s="52">
        <v>12.0185</v>
      </c>
      <c r="ED42" s="52">
        <v>12.0185</v>
      </c>
      <c r="EE42" s="52">
        <v>12.0185</v>
      </c>
      <c r="EF42" s="52">
        <v>12.0185</v>
      </c>
      <c r="EG42" s="52">
        <v>12.0185</v>
      </c>
      <c r="EH42" s="52">
        <v>12.0185</v>
      </c>
      <c r="EI42" s="52">
        <v>12.0185</v>
      </c>
      <c r="EJ42" s="52">
        <v>12.0185</v>
      </c>
      <c r="EK42" s="52">
        <v>12.0185</v>
      </c>
      <c r="EL42" s="52">
        <v>12.0185</v>
      </c>
      <c r="EM42" s="52">
        <v>12.0185</v>
      </c>
      <c r="EN42" s="52">
        <v>12.0185</v>
      </c>
      <c r="EO42" s="52">
        <v>12.0185</v>
      </c>
      <c r="EP42" s="52">
        <v>12.0185</v>
      </c>
      <c r="EQ42" s="52">
        <v>12.0185</v>
      </c>
      <c r="ER42" s="52">
        <v>12.0185</v>
      </c>
      <c r="ES42" s="52">
        <v>12.0185</v>
      </c>
      <c r="ET42" s="52">
        <v>12.0185</v>
      </c>
      <c r="EU42" s="52">
        <v>12.0185</v>
      </c>
      <c r="EV42" s="52">
        <v>12.0185</v>
      </c>
      <c r="EW42" s="52">
        <v>12.0185</v>
      </c>
      <c r="EX42" s="52">
        <v>12.0185</v>
      </c>
      <c r="EY42" s="52">
        <v>12.0185</v>
      </c>
      <c r="EZ42" s="52">
        <v>12.0185</v>
      </c>
      <c r="FA42" s="52">
        <v>12.0185</v>
      </c>
      <c r="FB42" s="52">
        <v>12.0185</v>
      </c>
      <c r="FC42" s="52">
        <v>12.0185</v>
      </c>
      <c r="FD42" s="52">
        <v>12.0185</v>
      </c>
      <c r="FE42" s="52">
        <v>12.0185</v>
      </c>
      <c r="FF42" s="52">
        <v>12.0185</v>
      </c>
      <c r="FG42" s="52">
        <v>12.0185</v>
      </c>
      <c r="FH42" s="52">
        <v>12.0185</v>
      </c>
      <c r="FI42" s="52">
        <v>12.0185</v>
      </c>
      <c r="FJ42" s="52">
        <v>12.0185</v>
      </c>
      <c r="FK42" s="52">
        <v>12.0185</v>
      </c>
      <c r="FL42" s="52">
        <v>12.0185</v>
      </c>
      <c r="FM42" s="52">
        <v>12.0185</v>
      </c>
      <c r="FN42" s="52">
        <v>12.0185</v>
      </c>
      <c r="FO42" s="52">
        <v>12.0185</v>
      </c>
      <c r="FP42" s="52">
        <v>12.0185</v>
      </c>
      <c r="FQ42" s="52">
        <v>12.0185</v>
      </c>
      <c r="FR42" s="52">
        <v>12.0185</v>
      </c>
      <c r="FS42" s="52">
        <v>12.0185</v>
      </c>
      <c r="FT42" s="52">
        <v>12.0185</v>
      </c>
      <c r="FU42" s="52">
        <v>12.0185</v>
      </c>
      <c r="FV42" s="52">
        <v>12.0185</v>
      </c>
      <c r="FW42" s="52">
        <v>12.0185</v>
      </c>
      <c r="FX42" s="52">
        <v>12.0185</v>
      </c>
      <c r="FY42" s="52">
        <v>12.0185</v>
      </c>
      <c r="FZ42" s="52">
        <v>12.0185</v>
      </c>
      <c r="GA42" s="52">
        <v>12.0185</v>
      </c>
      <c r="GB42" s="52">
        <v>12.0185</v>
      </c>
      <c r="GC42" s="52">
        <v>12.0185</v>
      </c>
      <c r="GD42" s="52">
        <v>12.0185</v>
      </c>
      <c r="GE42" s="52">
        <v>12.0185</v>
      </c>
      <c r="GF42" s="52">
        <v>12.0185</v>
      </c>
      <c r="GG42" s="52">
        <v>12.0185</v>
      </c>
      <c r="GH42" s="52">
        <v>12.0185</v>
      </c>
      <c r="GI42" s="52">
        <v>12.0185</v>
      </c>
      <c r="GJ42" s="52">
        <v>12.0185</v>
      </c>
      <c r="GK42" s="52">
        <v>12.0185</v>
      </c>
      <c r="GL42" s="52">
        <v>12.0185</v>
      </c>
      <c r="GM42" s="52">
        <v>12.0185</v>
      </c>
      <c r="GN42" s="52">
        <v>12.0185</v>
      </c>
      <c r="GO42" s="52">
        <v>12.0185</v>
      </c>
      <c r="GP42" s="52">
        <v>12.0185</v>
      </c>
      <c r="GQ42" s="52">
        <v>12.0185</v>
      </c>
      <c r="GR42" s="52">
        <v>12.0185</v>
      </c>
      <c r="GS42" s="52">
        <v>12.0185</v>
      </c>
      <c r="GT42" s="52">
        <v>12.0185</v>
      </c>
      <c r="GU42" s="52">
        <v>12.0185</v>
      </c>
      <c r="GV42" s="52">
        <v>12.0185</v>
      </c>
      <c r="GW42" s="52">
        <v>12.0185</v>
      </c>
      <c r="GX42" s="52">
        <v>12.0185</v>
      </c>
      <c r="GY42" s="52">
        <v>12.0185</v>
      </c>
      <c r="GZ42" s="52">
        <v>12.0185</v>
      </c>
      <c r="HA42" s="52">
        <v>12.0185</v>
      </c>
      <c r="HB42" s="52">
        <v>12.0185</v>
      </c>
      <c r="HC42" s="52">
        <v>12.0185</v>
      </c>
      <c r="HD42" s="52">
        <v>12.0185</v>
      </c>
      <c r="HE42" s="52">
        <v>12.0185</v>
      </c>
      <c r="HF42" s="52">
        <v>12.0185</v>
      </c>
      <c r="HG42" s="52">
        <v>12.0185</v>
      </c>
      <c r="HH42" s="52">
        <v>12.0185</v>
      </c>
      <c r="HI42" s="52">
        <v>12.0185</v>
      </c>
      <c r="HJ42" s="52">
        <v>12.0185</v>
      </c>
      <c r="HK42" s="52">
        <v>12.0185</v>
      </c>
      <c r="HL42" s="52">
        <v>12.0185</v>
      </c>
      <c r="HM42" s="52">
        <v>12.0185</v>
      </c>
      <c r="HN42" s="52">
        <v>12.0185</v>
      </c>
      <c r="HO42" s="52">
        <v>12.0185</v>
      </c>
      <c r="HP42" s="52">
        <v>12.0185</v>
      </c>
      <c r="HQ42" s="52">
        <v>12.0185</v>
      </c>
      <c r="HR42" s="52">
        <v>12.0185</v>
      </c>
      <c r="HS42" s="52">
        <v>12.0185</v>
      </c>
      <c r="HT42" s="52">
        <v>12.0185</v>
      </c>
      <c r="HU42" s="52">
        <v>12.0185</v>
      </c>
      <c r="HV42" s="52">
        <v>12.0185</v>
      </c>
      <c r="HW42" s="52">
        <v>12.0185</v>
      </c>
      <c r="HX42" s="52">
        <v>12.0185</v>
      </c>
      <c r="HY42" s="52">
        <v>12.0185</v>
      </c>
      <c r="HZ42" s="52">
        <v>12.0185</v>
      </c>
      <c r="IA42" s="52">
        <v>12.0185</v>
      </c>
      <c r="IB42" s="52">
        <v>12.0185</v>
      </c>
      <c r="IC42" s="52">
        <v>12.0185</v>
      </c>
      <c r="ID42" s="52">
        <v>12.0185</v>
      </c>
      <c r="IE42" s="52">
        <v>12.0185</v>
      </c>
      <c r="IF42" s="52">
        <v>12.0185</v>
      </c>
      <c r="IG42" s="52">
        <v>12.0185</v>
      </c>
      <c r="IH42" s="52">
        <v>12.0185</v>
      </c>
      <c r="II42" s="52">
        <v>12.0185</v>
      </c>
      <c r="IJ42" s="52">
        <v>12.0185</v>
      </c>
      <c r="IK42" s="52">
        <v>12.0185</v>
      </c>
      <c r="IL42" s="52">
        <v>12.0185</v>
      </c>
      <c r="IM42" s="52">
        <v>12.0185</v>
      </c>
      <c r="IN42" s="52">
        <v>12.0185</v>
      </c>
      <c r="IO42" s="52">
        <v>12.0185</v>
      </c>
      <c r="IP42" s="52">
        <v>12.0185</v>
      </c>
      <c r="IQ42" s="52">
        <v>12.0185</v>
      </c>
      <c r="IR42" s="52">
        <v>12.0185</v>
      </c>
      <c r="IS42" s="52">
        <v>12.0185</v>
      </c>
      <c r="IT42" s="52">
        <v>12.0185</v>
      </c>
      <c r="IU42" s="52">
        <v>12.0185</v>
      </c>
      <c r="IV42" s="52">
        <v>12.0185</v>
      </c>
      <c r="IW42" s="52">
        <v>12.0185</v>
      </c>
      <c r="IX42" s="52">
        <v>12.0185</v>
      </c>
      <c r="IY42" s="52">
        <v>12.0185</v>
      </c>
      <c r="IZ42" s="52">
        <v>12.0185</v>
      </c>
      <c r="JA42" s="52">
        <v>12.0185</v>
      </c>
      <c r="JB42" s="52">
        <v>12.0185</v>
      </c>
      <c r="JC42" s="52">
        <v>12.0185</v>
      </c>
      <c r="JD42" s="52">
        <v>12.0185</v>
      </c>
      <c r="JE42" s="52">
        <v>12.0185</v>
      </c>
      <c r="JF42" s="52">
        <v>12.0185</v>
      </c>
      <c r="JG42" s="52">
        <v>12.0185</v>
      </c>
      <c r="JH42" s="52">
        <v>12.0185</v>
      </c>
      <c r="JI42" s="52">
        <v>12.0185</v>
      </c>
      <c r="JJ42" s="52">
        <v>12.0185</v>
      </c>
      <c r="JK42" s="52">
        <v>12.0185</v>
      </c>
      <c r="JL42" s="52">
        <v>12.0185</v>
      </c>
      <c r="JM42" s="52">
        <v>12.0185</v>
      </c>
      <c r="JN42" s="52">
        <v>12.0185</v>
      </c>
      <c r="JO42" s="52">
        <v>12.0185</v>
      </c>
      <c r="JP42" s="52">
        <v>12.0185</v>
      </c>
      <c r="JQ42" s="52">
        <v>12.0185</v>
      </c>
      <c r="JR42" s="52">
        <v>12.0185</v>
      </c>
      <c r="JS42" s="52">
        <v>12.0185</v>
      </c>
      <c r="JT42" s="52">
        <v>12.0185</v>
      </c>
      <c r="JU42" s="52">
        <v>12.0185</v>
      </c>
      <c r="JV42" s="52">
        <v>12.0185</v>
      </c>
      <c r="JW42" s="52">
        <v>12.0185</v>
      </c>
      <c r="JX42" s="52">
        <v>12.0185</v>
      </c>
      <c r="JY42" s="52">
        <v>12.0185</v>
      </c>
      <c r="JZ42" s="52">
        <v>12.0185</v>
      </c>
      <c r="KA42" s="52">
        <v>12.0185</v>
      </c>
      <c r="KB42" s="52">
        <v>12.0185</v>
      </c>
      <c r="KC42" s="52">
        <v>12.0185</v>
      </c>
      <c r="KD42" s="52">
        <v>12.0185</v>
      </c>
      <c r="KE42" s="52">
        <v>12.0185</v>
      </c>
      <c r="KF42" s="52">
        <v>12.0185</v>
      </c>
      <c r="KG42" s="52">
        <v>12.0185</v>
      </c>
      <c r="KH42" s="52">
        <v>12.0185</v>
      </c>
      <c r="KI42" s="52">
        <v>12.0185</v>
      </c>
      <c r="KJ42" s="52">
        <v>12.0185</v>
      </c>
      <c r="KK42" s="52">
        <v>12.0185</v>
      </c>
      <c r="KL42" s="52">
        <v>12.0185</v>
      </c>
      <c r="KM42" s="52">
        <v>12.0185</v>
      </c>
      <c r="KN42" s="52">
        <v>12.0185</v>
      </c>
      <c r="KO42" s="52">
        <v>12.0185</v>
      </c>
      <c r="KP42" s="52">
        <v>12.0185</v>
      </c>
      <c r="KQ42" s="52">
        <v>12.0185</v>
      </c>
      <c r="KR42" s="52">
        <v>12.0185</v>
      </c>
      <c r="KS42" s="52">
        <v>12.0185</v>
      </c>
      <c r="KT42" s="52">
        <v>12.0185</v>
      </c>
      <c r="KU42" s="52">
        <v>12.0185</v>
      </c>
      <c r="KV42" s="52">
        <v>12.0185</v>
      </c>
      <c r="KW42" s="52">
        <v>12.0185</v>
      </c>
      <c r="KX42" s="52">
        <v>12.0185</v>
      </c>
      <c r="KY42" s="52">
        <v>12.0185</v>
      </c>
      <c r="KZ42" s="52">
        <v>12.0185</v>
      </c>
      <c r="LA42" s="52">
        <v>12.0185</v>
      </c>
      <c r="LB42" s="52">
        <v>12.0185</v>
      </c>
      <c r="LC42" s="52">
        <v>12.0185</v>
      </c>
      <c r="LD42" s="52">
        <v>12.0185</v>
      </c>
      <c r="LE42" s="52">
        <v>12.0185</v>
      </c>
      <c r="LF42" s="52">
        <v>12.0185</v>
      </c>
      <c r="LG42" s="52">
        <v>12.0185</v>
      </c>
      <c r="LH42" s="52">
        <v>12.0185</v>
      </c>
      <c r="LI42" s="52">
        <v>12.0185</v>
      </c>
      <c r="LJ42" s="52">
        <v>12.0185</v>
      </c>
      <c r="LK42" s="52">
        <v>12.0185</v>
      </c>
      <c r="LL42" s="52">
        <v>12.0185</v>
      </c>
      <c r="LM42" s="52">
        <v>12.0185</v>
      </c>
      <c r="LN42" s="52">
        <v>12.0185</v>
      </c>
      <c r="LO42" s="52">
        <v>12.0185</v>
      </c>
      <c r="LP42" s="52">
        <v>12.0185</v>
      </c>
      <c r="LQ42" s="52">
        <v>12.0185</v>
      </c>
      <c r="LR42" s="52">
        <v>12.0185</v>
      </c>
      <c r="LS42" s="52">
        <v>12.0185</v>
      </c>
      <c r="LT42" s="52">
        <v>12.0185</v>
      </c>
      <c r="LU42" s="52">
        <v>12.0185</v>
      </c>
      <c r="LV42" s="52">
        <v>12.0185</v>
      </c>
      <c r="LW42" s="52">
        <v>12.0185</v>
      </c>
      <c r="LX42" s="52">
        <v>12.0185</v>
      </c>
      <c r="LY42" s="52">
        <v>12.0185</v>
      </c>
      <c r="LZ42" s="52">
        <v>12.0185</v>
      </c>
      <c r="MA42" s="52">
        <v>12.0185</v>
      </c>
      <c r="MB42" s="52">
        <v>12.0185</v>
      </c>
      <c r="MC42" s="52">
        <v>12.0185</v>
      </c>
      <c r="MD42" s="52">
        <v>12.0185</v>
      </c>
      <c r="ME42" s="52">
        <v>12.0185</v>
      </c>
      <c r="MF42" s="52">
        <v>12.0185</v>
      </c>
      <c r="MG42" s="52">
        <v>12.0185</v>
      </c>
      <c r="MH42" s="52">
        <v>12.0185</v>
      </c>
      <c r="MI42" s="52">
        <v>12.0185</v>
      </c>
      <c r="MJ42" s="52">
        <v>12.0185</v>
      </c>
      <c r="MK42" s="52">
        <v>12.0185</v>
      </c>
      <c r="ML42" s="52">
        <v>12.0185</v>
      </c>
      <c r="MM42" s="52">
        <v>12.0185</v>
      </c>
      <c r="MN42" s="52">
        <v>12.0185</v>
      </c>
      <c r="MO42" s="52">
        <v>12.0185</v>
      </c>
      <c r="MP42" s="52">
        <v>12.0185</v>
      </c>
      <c r="MQ42" s="52">
        <v>12.0185</v>
      </c>
      <c r="MR42" s="52">
        <v>12.0185</v>
      </c>
      <c r="MS42" s="52">
        <v>12.0185</v>
      </c>
      <c r="MT42" s="52">
        <v>12.0185</v>
      </c>
      <c r="MU42" s="52">
        <v>12.0185</v>
      </c>
      <c r="MV42" s="52">
        <v>12.0185</v>
      </c>
      <c r="MW42" s="52">
        <v>12.0185</v>
      </c>
      <c r="MX42" s="52">
        <v>12.0185</v>
      </c>
      <c r="MY42" s="52">
        <v>12.0185</v>
      </c>
      <c r="MZ42" s="52">
        <v>12.0185</v>
      </c>
      <c r="NA42" s="52">
        <v>12.0185</v>
      </c>
      <c r="NB42" s="52">
        <v>12.0185</v>
      </c>
      <c r="NC42" s="52">
        <v>12.0185</v>
      </c>
      <c r="ND42" s="52">
        <v>12.0185</v>
      </c>
      <c r="NE42" s="52">
        <v>12.0185</v>
      </c>
      <c r="NF42" s="37">
        <v>12.0185</v>
      </c>
      <c r="NG42" s="37">
        <v>12.0185</v>
      </c>
      <c r="NH42" s="37">
        <v>12.0185</v>
      </c>
      <c r="NI42" s="37">
        <v>12.0185</v>
      </c>
      <c r="NJ42" s="37">
        <v>12.0185</v>
      </c>
      <c r="NK42" s="37">
        <v>12.0185</v>
      </c>
      <c r="NL42" s="37">
        <v>12.0185</v>
      </c>
      <c r="NM42" s="37">
        <v>12.0185</v>
      </c>
      <c r="NN42" s="37">
        <v>12.0185</v>
      </c>
      <c r="NO42" s="37">
        <v>12.0185</v>
      </c>
      <c r="NP42" s="37">
        <v>12.0185</v>
      </c>
      <c r="NQ42" s="37">
        <v>12.0185</v>
      </c>
      <c r="NR42" s="37">
        <v>12.0185</v>
      </c>
      <c r="NS42" s="37">
        <v>12.0185</v>
      </c>
      <c r="NT42" s="37">
        <v>12.0185</v>
      </c>
      <c r="NU42" s="37">
        <v>12.0185</v>
      </c>
      <c r="NV42" s="37">
        <v>12.0185</v>
      </c>
      <c r="NW42" s="37">
        <v>12.0185</v>
      </c>
      <c r="NX42" s="37">
        <v>12.0185</v>
      </c>
      <c r="NY42" s="37">
        <v>12.0185</v>
      </c>
      <c r="NZ42" s="37">
        <v>12.0185</v>
      </c>
      <c r="OA42" s="37">
        <v>12.0185</v>
      </c>
      <c r="OB42" s="37">
        <v>12.0185</v>
      </c>
      <c r="OC42" s="37">
        <v>12.0185</v>
      </c>
      <c r="OD42" s="37">
        <v>12.0185</v>
      </c>
      <c r="OE42" s="37">
        <v>12.0185</v>
      </c>
      <c r="OF42" s="37">
        <v>12.0185</v>
      </c>
      <c r="OG42" s="37">
        <v>12.0185</v>
      </c>
      <c r="OH42" s="37">
        <v>12.0185</v>
      </c>
      <c r="OI42" s="37">
        <v>12.0185</v>
      </c>
      <c r="OJ42" s="37">
        <v>12.0185</v>
      </c>
      <c r="OK42" s="37">
        <v>12.0185</v>
      </c>
      <c r="OL42" s="37">
        <v>12.0185</v>
      </c>
      <c r="OM42" s="37">
        <v>12.0185</v>
      </c>
      <c r="ON42" s="37">
        <v>12.0185</v>
      </c>
      <c r="OO42" s="37">
        <v>12.0185</v>
      </c>
      <c r="OP42" s="37">
        <v>12.0185</v>
      </c>
      <c r="OQ42" s="37">
        <v>12.0185</v>
      </c>
      <c r="OR42" s="37">
        <v>12.0185</v>
      </c>
      <c r="OS42" s="37">
        <v>12.0185</v>
      </c>
      <c r="OT42" s="37">
        <v>12.0185</v>
      </c>
      <c r="OU42" s="37">
        <v>12.0185</v>
      </c>
      <c r="OV42" s="37">
        <v>12.0185</v>
      </c>
      <c r="OW42" s="37">
        <v>12.0185</v>
      </c>
      <c r="OX42" s="37">
        <v>12.0185</v>
      </c>
      <c r="OY42" s="37">
        <v>12.0185</v>
      </c>
      <c r="OZ42" s="37">
        <v>12.0185</v>
      </c>
      <c r="PA42" s="37">
        <v>12.0185</v>
      </c>
      <c r="PB42" s="37">
        <v>12.0185</v>
      </c>
      <c r="PC42" s="37">
        <v>12.0185</v>
      </c>
      <c r="PD42" s="37">
        <v>12.0185</v>
      </c>
      <c r="PE42" s="37">
        <v>12.0185</v>
      </c>
      <c r="PF42" s="37">
        <v>12.0185</v>
      </c>
      <c r="PG42" s="37">
        <v>12.0185</v>
      </c>
      <c r="PH42" s="37">
        <v>12.0185</v>
      </c>
      <c r="PI42" s="37">
        <v>12.0185</v>
      </c>
      <c r="PJ42" s="37">
        <v>12.0185</v>
      </c>
      <c r="PK42" s="37">
        <v>12.0185</v>
      </c>
      <c r="PL42" s="37">
        <v>12.0185</v>
      </c>
      <c r="PM42" s="37">
        <v>12.0185</v>
      </c>
      <c r="PN42" s="37">
        <v>12.0185</v>
      </c>
      <c r="PO42" s="37">
        <v>12.0185</v>
      </c>
      <c r="PP42" s="37">
        <v>12.0185</v>
      </c>
      <c r="PQ42" s="37">
        <v>12.0185</v>
      </c>
      <c r="PR42" s="37">
        <v>12.0185</v>
      </c>
      <c r="PS42" s="15">
        <v>12.0185</v>
      </c>
      <c r="PT42" s="15">
        <v>12.0185</v>
      </c>
      <c r="PU42" s="15">
        <v>12.0185</v>
      </c>
      <c r="PV42" s="15">
        <v>12.0185</v>
      </c>
      <c r="PW42" s="15">
        <v>12.0185</v>
      </c>
      <c r="PX42" s="15">
        <v>12.0185</v>
      </c>
      <c r="PY42" s="15">
        <v>12.0185</v>
      </c>
      <c r="PZ42" s="15">
        <v>12.0185</v>
      </c>
      <c r="QA42" s="15">
        <v>12.0185</v>
      </c>
      <c r="QB42" s="15">
        <v>12.0185</v>
      </c>
      <c r="QC42" s="15">
        <v>12.0185</v>
      </c>
      <c r="QD42" s="15">
        <v>12.0185</v>
      </c>
      <c r="QE42" s="15">
        <v>12.0185</v>
      </c>
      <c r="QF42" s="15">
        <v>12.0185</v>
      </c>
      <c r="QG42" s="15">
        <v>12.0185</v>
      </c>
      <c r="QH42" s="15">
        <v>12.0185</v>
      </c>
      <c r="QI42" s="15">
        <v>12.0185</v>
      </c>
      <c r="QJ42" s="15">
        <v>12.0185</v>
      </c>
      <c r="QK42" s="15">
        <v>12.0185</v>
      </c>
      <c r="QL42" s="15">
        <v>12.0185</v>
      </c>
      <c r="QM42" s="15">
        <v>12.0185</v>
      </c>
      <c r="QN42" s="15">
        <v>12.0185</v>
      </c>
      <c r="QO42" s="15">
        <v>12.0185</v>
      </c>
      <c r="QP42" s="15">
        <v>12.0185</v>
      </c>
      <c r="QQ42" s="15">
        <v>12.0185</v>
      </c>
      <c r="QR42" s="15">
        <v>12.0185</v>
      </c>
      <c r="QS42" s="15">
        <v>12.0185</v>
      </c>
      <c r="QT42" s="15">
        <v>12.0185</v>
      </c>
      <c r="QU42" s="15">
        <v>12.0185</v>
      </c>
      <c r="QV42" s="15">
        <v>12.0185</v>
      </c>
      <c r="QW42" s="15">
        <v>12.0185</v>
      </c>
      <c r="QX42" s="15">
        <v>12.0185</v>
      </c>
      <c r="QY42" s="15">
        <v>12.0185</v>
      </c>
      <c r="QZ42" s="15">
        <v>12.0185</v>
      </c>
      <c r="RA42" s="15">
        <v>12.0185</v>
      </c>
      <c r="RB42" s="15">
        <v>12.0185</v>
      </c>
      <c r="RC42" s="15">
        <v>12.0185</v>
      </c>
      <c r="RD42" s="15">
        <v>12.0185</v>
      </c>
      <c r="RE42" s="15">
        <v>12.0185</v>
      </c>
      <c r="RF42" s="15">
        <v>12.0185</v>
      </c>
      <c r="RG42" s="15">
        <v>12.0185</v>
      </c>
      <c r="RH42" s="15">
        <v>12.0185</v>
      </c>
      <c r="RI42" s="15">
        <v>12.0185</v>
      </c>
      <c r="RJ42" s="15">
        <v>12.0185</v>
      </c>
      <c r="RK42" s="15">
        <v>12.0185</v>
      </c>
      <c r="RL42" s="15">
        <v>12.0185</v>
      </c>
      <c r="RM42" s="15">
        <v>12.0185</v>
      </c>
      <c r="RN42" s="15">
        <v>12.0185</v>
      </c>
      <c r="RO42" s="15">
        <v>12.0185</v>
      </c>
      <c r="RP42" s="15">
        <v>12.0185</v>
      </c>
      <c r="RQ42" s="15">
        <v>12.0185</v>
      </c>
      <c r="RR42" s="15">
        <v>12.0185</v>
      </c>
      <c r="RS42" s="15">
        <v>12.0185</v>
      </c>
      <c r="RT42" s="15">
        <v>12.0185</v>
      </c>
      <c r="RU42" s="15">
        <v>12.0185</v>
      </c>
      <c r="RV42" s="15">
        <v>12.0185</v>
      </c>
      <c r="RW42" s="15">
        <v>12.0185</v>
      </c>
      <c r="RX42" s="15">
        <v>12.0185</v>
      </c>
      <c r="RY42" s="15">
        <v>12.0185</v>
      </c>
      <c r="RZ42" s="15">
        <v>12.0185</v>
      </c>
      <c r="SA42" s="15">
        <v>12.0185</v>
      </c>
      <c r="SB42" s="15">
        <v>12.0185</v>
      </c>
      <c r="SC42" s="15">
        <v>12.0185</v>
      </c>
      <c r="SD42" s="15">
        <v>12.0185</v>
      </c>
      <c r="SE42" s="15">
        <v>12.0185</v>
      </c>
      <c r="SF42" s="15">
        <v>12.0185</v>
      </c>
      <c r="SG42" s="15">
        <v>12.0185</v>
      </c>
      <c r="SH42" s="15">
        <v>12.0185</v>
      </c>
      <c r="SI42" s="15">
        <v>12.0185</v>
      </c>
      <c r="SJ42" s="15">
        <v>12.0185</v>
      </c>
      <c r="SK42" s="15">
        <v>10.1738</v>
      </c>
      <c r="SL42" s="15" t="s">
        <v>668</v>
      </c>
      <c r="SM42" s="15" t="s">
        <v>668</v>
      </c>
    </row>
    <row r="43" spans="1:507" x14ac:dyDescent="0.2">
      <c r="A43" s="37">
        <v>41</v>
      </c>
      <c r="B43" s="37" t="s">
        <v>670</v>
      </c>
      <c r="C43" s="17">
        <f>+'Detalle Compras'!D43</f>
        <v>202506300054</v>
      </c>
      <c r="D43" s="55">
        <f t="shared" si="13"/>
        <v>11.876265</v>
      </c>
      <c r="E43" s="14">
        <f>+IF(B43="","",'Detalle Compras'!S43+0)</f>
        <v>45879</v>
      </c>
      <c r="F43" s="14">
        <f>+IF(B43="","",EOMONTH('Detalle Compras'!S43,G43)+10)</f>
        <v>55772</v>
      </c>
      <c r="G43" s="50">
        <f t="shared" si="14"/>
        <v>324</v>
      </c>
      <c r="H43" s="50">
        <f t="shared" si="15"/>
        <v>318</v>
      </c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52"/>
      <c r="Y43" s="52"/>
      <c r="Z43" s="52">
        <v>11.876265</v>
      </c>
      <c r="AA43" s="52">
        <v>11.876265</v>
      </c>
      <c r="AB43" s="52">
        <v>11.876265</v>
      </c>
      <c r="AC43" s="52">
        <v>11.876265</v>
      </c>
      <c r="AD43" s="52">
        <v>11.876265</v>
      </c>
      <c r="AE43" s="52">
        <v>11.876265</v>
      </c>
      <c r="AF43" s="52">
        <v>11.876265</v>
      </c>
      <c r="AG43" s="52">
        <v>11.876265</v>
      </c>
      <c r="AH43" s="52">
        <v>11.876265</v>
      </c>
      <c r="AI43" s="52">
        <v>11.876265</v>
      </c>
      <c r="AJ43" s="52">
        <v>11.876265</v>
      </c>
      <c r="AK43" s="52">
        <v>11.876265</v>
      </c>
      <c r="AL43" s="52">
        <v>11.876265</v>
      </c>
      <c r="AM43" s="52">
        <v>11.876265</v>
      </c>
      <c r="AN43" s="52">
        <v>11.876265</v>
      </c>
      <c r="AO43" s="52">
        <v>11.876265</v>
      </c>
      <c r="AP43" s="52">
        <v>11.876265</v>
      </c>
      <c r="AQ43" s="52">
        <v>11.876265</v>
      </c>
      <c r="AR43" s="52">
        <v>11.876265</v>
      </c>
      <c r="AS43" s="52">
        <v>11.876265</v>
      </c>
      <c r="AT43" s="52">
        <v>11.876265</v>
      </c>
      <c r="AU43" s="52">
        <v>11.876265</v>
      </c>
      <c r="AV43" s="52">
        <v>11.876265</v>
      </c>
      <c r="AW43" s="52">
        <v>11.876265</v>
      </c>
      <c r="AX43" s="52">
        <v>11.876265</v>
      </c>
      <c r="AY43" s="52">
        <v>11.876265</v>
      </c>
      <c r="AZ43" s="52">
        <v>11.876265</v>
      </c>
      <c r="BA43" s="52">
        <v>11.876265</v>
      </c>
      <c r="BB43" s="52">
        <v>11.876265</v>
      </c>
      <c r="BC43" s="52">
        <v>11.876265</v>
      </c>
      <c r="BD43" s="52">
        <v>11.876265</v>
      </c>
      <c r="BE43" s="52">
        <v>11.876265</v>
      </c>
      <c r="BF43" s="52">
        <v>11.876265</v>
      </c>
      <c r="BG43" s="52">
        <v>11.876265</v>
      </c>
      <c r="BH43" s="52">
        <v>11.876265</v>
      </c>
      <c r="BI43" s="52">
        <v>11.876265</v>
      </c>
      <c r="BJ43" s="52">
        <v>11.876265</v>
      </c>
      <c r="BK43" s="52">
        <v>11.876265</v>
      </c>
      <c r="BL43" s="52">
        <v>11.876265</v>
      </c>
      <c r="BM43" s="52">
        <v>11.876265</v>
      </c>
      <c r="BN43" s="52">
        <v>11.876265</v>
      </c>
      <c r="BO43" s="52">
        <v>11.876265</v>
      </c>
      <c r="BP43" s="52">
        <v>11.876265</v>
      </c>
      <c r="BQ43" s="52">
        <v>11.876265</v>
      </c>
      <c r="BR43" s="52">
        <v>11.876265</v>
      </c>
      <c r="BS43" s="52">
        <v>11.876265</v>
      </c>
      <c r="BT43" s="52">
        <v>11.876265</v>
      </c>
      <c r="BU43" s="52">
        <v>11.876265</v>
      </c>
      <c r="BV43" s="52">
        <v>11.876265</v>
      </c>
      <c r="BW43" s="52">
        <v>11.876265</v>
      </c>
      <c r="BX43" s="52">
        <v>11.876265</v>
      </c>
      <c r="BY43" s="52">
        <v>11.876265</v>
      </c>
      <c r="BZ43" s="52">
        <v>11.876265</v>
      </c>
      <c r="CA43" s="52">
        <v>11.876265</v>
      </c>
      <c r="CB43" s="52">
        <v>11.876265</v>
      </c>
      <c r="CC43" s="52">
        <v>11.876265</v>
      </c>
      <c r="CD43" s="52">
        <v>11.876265</v>
      </c>
      <c r="CE43" s="52">
        <v>11.876265</v>
      </c>
      <c r="CF43" s="52">
        <v>11.876265</v>
      </c>
      <c r="CG43" s="52">
        <v>11.876265</v>
      </c>
      <c r="CH43" s="52">
        <v>11.876265</v>
      </c>
      <c r="CI43" s="52">
        <v>11.876265</v>
      </c>
      <c r="CJ43" s="52">
        <v>11.876265</v>
      </c>
      <c r="CK43" s="52">
        <v>11.876265</v>
      </c>
      <c r="CL43" s="52">
        <v>11.876265</v>
      </c>
      <c r="CM43" s="52">
        <v>11.876265</v>
      </c>
      <c r="CN43" s="52">
        <v>11.876265</v>
      </c>
      <c r="CO43" s="52">
        <v>11.876265</v>
      </c>
      <c r="CP43" s="52">
        <v>11.876265</v>
      </c>
      <c r="CQ43" s="52">
        <v>11.876265</v>
      </c>
      <c r="CR43" s="52">
        <v>11.876265</v>
      </c>
      <c r="CS43" s="52">
        <v>11.876265</v>
      </c>
      <c r="CT43" s="52">
        <v>11.876265</v>
      </c>
      <c r="CU43" s="52">
        <v>11.876265</v>
      </c>
      <c r="CV43" s="52">
        <v>11.876265</v>
      </c>
      <c r="CW43" s="52">
        <v>11.876265</v>
      </c>
      <c r="CX43" s="52">
        <v>11.876265</v>
      </c>
      <c r="CY43" s="52">
        <v>11.876265</v>
      </c>
      <c r="CZ43" s="52">
        <v>11.876265</v>
      </c>
      <c r="DA43" s="52">
        <v>11.876265</v>
      </c>
      <c r="DB43" s="52">
        <v>11.876265</v>
      </c>
      <c r="DC43" s="52">
        <v>11.876265</v>
      </c>
      <c r="DD43" s="52">
        <v>11.876265</v>
      </c>
      <c r="DE43" s="52">
        <v>11.876265</v>
      </c>
      <c r="DF43" s="52">
        <v>11.876265</v>
      </c>
      <c r="DG43" s="52">
        <v>11.876265</v>
      </c>
      <c r="DH43" s="52">
        <v>11.876265</v>
      </c>
      <c r="DI43" s="52">
        <v>11.876265</v>
      </c>
      <c r="DJ43" s="52">
        <v>11.876265</v>
      </c>
      <c r="DK43" s="52">
        <v>11.876265</v>
      </c>
      <c r="DL43" s="52">
        <v>11.876265</v>
      </c>
      <c r="DM43" s="52">
        <v>11.876265</v>
      </c>
      <c r="DN43" s="52">
        <v>11.876265</v>
      </c>
      <c r="DO43" s="52">
        <v>11.876265</v>
      </c>
      <c r="DP43" s="52">
        <v>11.876265</v>
      </c>
      <c r="DQ43" s="52">
        <v>11.876265</v>
      </c>
      <c r="DR43" s="52">
        <v>11.876265</v>
      </c>
      <c r="DS43" s="52">
        <v>11.876265</v>
      </c>
      <c r="DT43" s="52">
        <v>11.876265</v>
      </c>
      <c r="DU43" s="52">
        <v>11.876265</v>
      </c>
      <c r="DV43" s="52">
        <v>11.876265</v>
      </c>
      <c r="DW43" s="52">
        <v>11.876265</v>
      </c>
      <c r="DX43" s="52">
        <v>11.876265</v>
      </c>
      <c r="DY43" s="52">
        <v>11.876265</v>
      </c>
      <c r="DZ43" s="52">
        <v>11.876265</v>
      </c>
      <c r="EA43" s="52">
        <v>11.876265</v>
      </c>
      <c r="EB43" s="52">
        <v>11.876265</v>
      </c>
      <c r="EC43" s="52">
        <v>11.876265</v>
      </c>
      <c r="ED43" s="52">
        <v>11.876265</v>
      </c>
      <c r="EE43" s="52">
        <v>11.876265</v>
      </c>
      <c r="EF43" s="52">
        <v>11.876265</v>
      </c>
      <c r="EG43" s="52">
        <v>11.876265</v>
      </c>
      <c r="EH43" s="52">
        <v>11.876265</v>
      </c>
      <c r="EI43" s="52">
        <v>11.876265</v>
      </c>
      <c r="EJ43" s="52">
        <v>11.876265</v>
      </c>
      <c r="EK43" s="52">
        <v>11.876265</v>
      </c>
      <c r="EL43" s="52">
        <v>11.876265</v>
      </c>
      <c r="EM43" s="52">
        <v>11.876265</v>
      </c>
      <c r="EN43" s="52">
        <v>11.876265</v>
      </c>
      <c r="EO43" s="52">
        <v>11.876265</v>
      </c>
      <c r="EP43" s="52">
        <v>11.876265</v>
      </c>
      <c r="EQ43" s="52">
        <v>11.876265</v>
      </c>
      <c r="ER43" s="52">
        <v>11.876265</v>
      </c>
      <c r="ES43" s="52">
        <v>11.876265</v>
      </c>
      <c r="ET43" s="52">
        <v>11.876265</v>
      </c>
      <c r="EU43" s="52">
        <v>11.876265</v>
      </c>
      <c r="EV43" s="52">
        <v>11.876265</v>
      </c>
      <c r="EW43" s="52">
        <v>11.876265</v>
      </c>
      <c r="EX43" s="52">
        <v>11.876265</v>
      </c>
      <c r="EY43" s="52">
        <v>11.876265</v>
      </c>
      <c r="EZ43" s="52">
        <v>11.876265</v>
      </c>
      <c r="FA43" s="52">
        <v>11.876265</v>
      </c>
      <c r="FB43" s="52">
        <v>11.876265</v>
      </c>
      <c r="FC43" s="52">
        <v>11.876265</v>
      </c>
      <c r="FD43" s="52">
        <v>11.876265</v>
      </c>
      <c r="FE43" s="52">
        <v>11.876265</v>
      </c>
      <c r="FF43" s="52">
        <v>11.876265</v>
      </c>
      <c r="FG43" s="52">
        <v>11.876265</v>
      </c>
      <c r="FH43" s="52">
        <v>11.876265</v>
      </c>
      <c r="FI43" s="52">
        <v>11.876265</v>
      </c>
      <c r="FJ43" s="52">
        <v>11.876265</v>
      </c>
      <c r="FK43" s="52">
        <v>11.876265</v>
      </c>
      <c r="FL43" s="52">
        <v>11.876265</v>
      </c>
      <c r="FM43" s="52">
        <v>11.876265</v>
      </c>
      <c r="FN43" s="52">
        <v>11.876265</v>
      </c>
      <c r="FO43" s="52">
        <v>11.876265</v>
      </c>
      <c r="FP43" s="52">
        <v>11.876265</v>
      </c>
      <c r="FQ43" s="52">
        <v>11.876265</v>
      </c>
      <c r="FR43" s="52">
        <v>11.876265</v>
      </c>
      <c r="FS43" s="52">
        <v>11.876265</v>
      </c>
      <c r="FT43" s="52">
        <v>11.876265</v>
      </c>
      <c r="FU43" s="52">
        <v>11.876265</v>
      </c>
      <c r="FV43" s="52">
        <v>11.876265</v>
      </c>
      <c r="FW43" s="52">
        <v>11.876265</v>
      </c>
      <c r="FX43" s="52">
        <v>11.876265</v>
      </c>
      <c r="FY43" s="52">
        <v>11.876265</v>
      </c>
      <c r="FZ43" s="52">
        <v>11.876265</v>
      </c>
      <c r="GA43" s="52">
        <v>11.876265</v>
      </c>
      <c r="GB43" s="52">
        <v>11.876265</v>
      </c>
      <c r="GC43" s="52">
        <v>11.876265</v>
      </c>
      <c r="GD43" s="52">
        <v>11.876265</v>
      </c>
      <c r="GE43" s="52">
        <v>11.876265</v>
      </c>
      <c r="GF43" s="52">
        <v>11.876265</v>
      </c>
      <c r="GG43" s="52">
        <v>11.876265</v>
      </c>
      <c r="GH43" s="52">
        <v>11.876265</v>
      </c>
      <c r="GI43" s="52">
        <v>11.876265</v>
      </c>
      <c r="GJ43" s="52">
        <v>11.876265</v>
      </c>
      <c r="GK43" s="52">
        <v>11.876265</v>
      </c>
      <c r="GL43" s="52">
        <v>11.876265</v>
      </c>
      <c r="GM43" s="52">
        <v>11.876265</v>
      </c>
      <c r="GN43" s="52">
        <v>11.876265</v>
      </c>
      <c r="GO43" s="52">
        <v>11.876265</v>
      </c>
      <c r="GP43" s="52">
        <v>11.876265</v>
      </c>
      <c r="GQ43" s="52">
        <v>11.876265</v>
      </c>
      <c r="GR43" s="52">
        <v>11.876265</v>
      </c>
      <c r="GS43" s="52">
        <v>11.876265</v>
      </c>
      <c r="GT43" s="52">
        <v>11.876265</v>
      </c>
      <c r="GU43" s="52">
        <v>11.876265</v>
      </c>
      <c r="GV43" s="52">
        <v>11.876265</v>
      </c>
      <c r="GW43" s="52">
        <v>11.876265</v>
      </c>
      <c r="GX43" s="52">
        <v>11.876265</v>
      </c>
      <c r="GY43" s="52">
        <v>11.876265</v>
      </c>
      <c r="GZ43" s="52">
        <v>11.876265</v>
      </c>
      <c r="HA43" s="52">
        <v>11.876265</v>
      </c>
      <c r="HB43" s="52">
        <v>11.876265</v>
      </c>
      <c r="HC43" s="52">
        <v>11.876265</v>
      </c>
      <c r="HD43" s="52">
        <v>11.876265</v>
      </c>
      <c r="HE43" s="52">
        <v>11.876265</v>
      </c>
      <c r="HF43" s="52">
        <v>11.876265</v>
      </c>
      <c r="HG43" s="52">
        <v>11.876265</v>
      </c>
      <c r="HH43" s="52">
        <v>11.876265</v>
      </c>
      <c r="HI43" s="52">
        <v>11.876265</v>
      </c>
      <c r="HJ43" s="52">
        <v>11.876265</v>
      </c>
      <c r="HK43" s="52">
        <v>11.876265</v>
      </c>
      <c r="HL43" s="52">
        <v>11.876265</v>
      </c>
      <c r="HM43" s="52">
        <v>11.876265</v>
      </c>
      <c r="HN43" s="52">
        <v>11.876265</v>
      </c>
      <c r="HO43" s="52">
        <v>11.876265</v>
      </c>
      <c r="HP43" s="52">
        <v>11.876265</v>
      </c>
      <c r="HQ43" s="52">
        <v>11.876265</v>
      </c>
      <c r="HR43" s="52">
        <v>11.876265</v>
      </c>
      <c r="HS43" s="52">
        <v>11.876265</v>
      </c>
      <c r="HT43" s="52">
        <v>11.876265</v>
      </c>
      <c r="HU43" s="52">
        <v>11.876265</v>
      </c>
      <c r="HV43" s="52">
        <v>11.876265</v>
      </c>
      <c r="HW43" s="52">
        <v>11.876265</v>
      </c>
      <c r="HX43" s="52">
        <v>11.876265</v>
      </c>
      <c r="HY43" s="52">
        <v>11.876265</v>
      </c>
      <c r="HZ43" s="52">
        <v>11.876265</v>
      </c>
      <c r="IA43" s="52">
        <v>11.876265</v>
      </c>
      <c r="IB43" s="52">
        <v>11.876265</v>
      </c>
      <c r="IC43" s="52">
        <v>11.876265</v>
      </c>
      <c r="ID43" s="52">
        <v>11.876265</v>
      </c>
      <c r="IE43" s="52">
        <v>11.876265</v>
      </c>
      <c r="IF43" s="52">
        <v>11.876265</v>
      </c>
      <c r="IG43" s="52">
        <v>11.876265</v>
      </c>
      <c r="IH43" s="52">
        <v>11.876265</v>
      </c>
      <c r="II43" s="52">
        <v>11.876265</v>
      </c>
      <c r="IJ43" s="52">
        <v>11.876265</v>
      </c>
      <c r="IK43" s="52">
        <v>11.876265</v>
      </c>
      <c r="IL43" s="52">
        <v>11.876265</v>
      </c>
      <c r="IM43" s="52">
        <v>11.876265</v>
      </c>
      <c r="IN43" s="52">
        <v>11.876265</v>
      </c>
      <c r="IO43" s="52">
        <v>11.876265</v>
      </c>
      <c r="IP43" s="52">
        <v>11.876265</v>
      </c>
      <c r="IQ43" s="52">
        <v>11.876265</v>
      </c>
      <c r="IR43" s="52">
        <v>11.876265</v>
      </c>
      <c r="IS43" s="52">
        <v>11.876265</v>
      </c>
      <c r="IT43" s="52">
        <v>11.876265</v>
      </c>
      <c r="IU43" s="52">
        <v>11.876265</v>
      </c>
      <c r="IV43" s="52">
        <v>11.876265</v>
      </c>
      <c r="IW43" s="52">
        <v>11.876265</v>
      </c>
      <c r="IX43" s="52">
        <v>11.876265</v>
      </c>
      <c r="IY43" s="52">
        <v>11.876265</v>
      </c>
      <c r="IZ43" s="52">
        <v>11.876265</v>
      </c>
      <c r="JA43" s="52">
        <v>11.876265</v>
      </c>
      <c r="JB43" s="52">
        <v>11.876265</v>
      </c>
      <c r="JC43" s="52">
        <v>11.876265</v>
      </c>
      <c r="JD43" s="52">
        <v>11.876265</v>
      </c>
      <c r="JE43" s="52">
        <v>11.876265</v>
      </c>
      <c r="JF43" s="52">
        <v>11.876265</v>
      </c>
      <c r="JG43" s="52">
        <v>11.876265</v>
      </c>
      <c r="JH43" s="52">
        <v>11.876265</v>
      </c>
      <c r="JI43" s="52">
        <v>11.876265</v>
      </c>
      <c r="JJ43" s="52">
        <v>11.876265</v>
      </c>
      <c r="JK43" s="52">
        <v>11.876265</v>
      </c>
      <c r="JL43" s="52">
        <v>11.876265</v>
      </c>
      <c r="JM43" s="52">
        <v>11.876265</v>
      </c>
      <c r="JN43" s="52">
        <v>11.876265</v>
      </c>
      <c r="JO43" s="52">
        <v>11.876265</v>
      </c>
      <c r="JP43" s="52">
        <v>11.876265</v>
      </c>
      <c r="JQ43" s="52">
        <v>11.876265</v>
      </c>
      <c r="JR43" s="52">
        <v>11.876265</v>
      </c>
      <c r="JS43" s="52">
        <v>11.876265</v>
      </c>
      <c r="JT43" s="52">
        <v>11.876265</v>
      </c>
      <c r="JU43" s="52">
        <v>11.876265</v>
      </c>
      <c r="JV43" s="52">
        <v>11.876265</v>
      </c>
      <c r="JW43" s="52">
        <v>11.876265</v>
      </c>
      <c r="JX43" s="52">
        <v>11.876265</v>
      </c>
      <c r="JY43" s="52">
        <v>11.876265</v>
      </c>
      <c r="JZ43" s="52">
        <v>11.876265</v>
      </c>
      <c r="KA43" s="52">
        <v>11.876265</v>
      </c>
      <c r="KB43" s="52">
        <v>11.876265</v>
      </c>
      <c r="KC43" s="52">
        <v>11.876265</v>
      </c>
      <c r="KD43" s="52">
        <v>11.876265</v>
      </c>
      <c r="KE43" s="52">
        <v>11.876265</v>
      </c>
      <c r="KF43" s="52">
        <v>11.876265</v>
      </c>
      <c r="KG43" s="52">
        <v>11.876265</v>
      </c>
      <c r="KH43" s="52">
        <v>11.876265</v>
      </c>
      <c r="KI43" s="52">
        <v>11.876265</v>
      </c>
      <c r="KJ43" s="52">
        <v>11.876265</v>
      </c>
      <c r="KK43" s="52">
        <v>11.876265</v>
      </c>
      <c r="KL43" s="52">
        <v>11.876265</v>
      </c>
      <c r="KM43" s="52">
        <v>11.876265</v>
      </c>
      <c r="KN43" s="52">
        <v>11.876265</v>
      </c>
      <c r="KO43" s="52">
        <v>11.876265</v>
      </c>
      <c r="KP43" s="52">
        <v>11.876265</v>
      </c>
      <c r="KQ43" s="52">
        <v>11.876265</v>
      </c>
      <c r="KR43" s="52">
        <v>11.876265</v>
      </c>
      <c r="KS43" s="52">
        <v>11.876265</v>
      </c>
      <c r="KT43" s="52">
        <v>11.876265</v>
      </c>
      <c r="KU43" s="52">
        <v>11.876265</v>
      </c>
      <c r="KV43" s="52">
        <v>11.876265</v>
      </c>
      <c r="KW43" s="52">
        <v>11.876265</v>
      </c>
      <c r="KX43" s="52">
        <v>11.876265</v>
      </c>
      <c r="KY43" s="52">
        <v>11.876265</v>
      </c>
      <c r="KZ43" s="52">
        <v>11.876265</v>
      </c>
      <c r="LA43" s="52">
        <v>11.876265</v>
      </c>
      <c r="LB43" s="52">
        <v>11.876265</v>
      </c>
      <c r="LC43" s="52">
        <v>11.876265</v>
      </c>
      <c r="LD43" s="52">
        <v>11.876265</v>
      </c>
      <c r="LE43" s="52">
        <v>11.876265</v>
      </c>
      <c r="LF43" s="52">
        <v>11.876265</v>
      </c>
      <c r="LG43" s="52">
        <v>11.876265</v>
      </c>
      <c r="LH43" s="52">
        <v>11.876265</v>
      </c>
      <c r="LI43" s="52">
        <v>11.876265</v>
      </c>
      <c r="LJ43" s="52">
        <v>11.876265</v>
      </c>
      <c r="LK43" s="52">
        <v>11.876265</v>
      </c>
      <c r="LL43" s="52">
        <v>11.876265</v>
      </c>
      <c r="LM43" s="52">
        <v>11.876265</v>
      </c>
      <c r="LN43" s="52">
        <v>11.876265</v>
      </c>
      <c r="LO43" s="52">
        <v>11.876265</v>
      </c>
      <c r="LP43" s="52">
        <v>11.876265</v>
      </c>
      <c r="LQ43" s="52">
        <v>11.876265</v>
      </c>
      <c r="LR43" s="52">
        <v>11.876265</v>
      </c>
      <c r="LS43" s="52">
        <v>11.876265</v>
      </c>
      <c r="LT43" s="52">
        <v>11.876265</v>
      </c>
      <c r="LU43" s="52">
        <v>11.876265</v>
      </c>
      <c r="LV43" s="52">
        <v>11.876265</v>
      </c>
      <c r="LW43" s="52">
        <v>11.876265</v>
      </c>
      <c r="LX43" s="52">
        <v>11.876265</v>
      </c>
      <c r="LY43" s="52">
        <v>11.876265</v>
      </c>
      <c r="LZ43" s="52">
        <v>11.876265</v>
      </c>
      <c r="MA43" s="52">
        <v>11.876265</v>
      </c>
      <c r="MB43" s="52">
        <v>11.876265</v>
      </c>
      <c r="MC43" s="52">
        <v>11.876265</v>
      </c>
      <c r="MD43" s="52">
        <v>11.876265</v>
      </c>
      <c r="ME43" s="52">
        <v>11.876265</v>
      </c>
      <c r="MF43" s="52">
        <v>11.876265</v>
      </c>
      <c r="MG43" s="52">
        <v>11.876265</v>
      </c>
      <c r="MH43" s="52">
        <v>11.876265</v>
      </c>
      <c r="MI43" s="52">
        <v>11.876265</v>
      </c>
      <c r="MJ43" s="52">
        <v>11.876265</v>
      </c>
      <c r="MK43" s="52">
        <v>12.385484999999999</v>
      </c>
      <c r="ML43" s="52" t="s">
        <v>668</v>
      </c>
      <c r="MM43" s="52" t="s">
        <v>668</v>
      </c>
      <c r="MN43" s="52" t="s">
        <v>668</v>
      </c>
      <c r="MO43" s="52" t="s">
        <v>668</v>
      </c>
      <c r="MP43" s="52" t="s">
        <v>668</v>
      </c>
      <c r="MQ43" s="52" t="s">
        <v>668</v>
      </c>
      <c r="MR43" s="52" t="s">
        <v>668</v>
      </c>
      <c r="MS43" s="52" t="s">
        <v>668</v>
      </c>
      <c r="MT43" s="52" t="s">
        <v>668</v>
      </c>
      <c r="MU43" s="52" t="s">
        <v>668</v>
      </c>
      <c r="MV43" s="52" t="s">
        <v>668</v>
      </c>
      <c r="MW43" s="52" t="s">
        <v>668</v>
      </c>
      <c r="MX43" s="52" t="s">
        <v>668</v>
      </c>
      <c r="MY43" s="52" t="s">
        <v>668</v>
      </c>
      <c r="MZ43" s="52" t="s">
        <v>668</v>
      </c>
      <c r="NA43" s="52" t="s">
        <v>668</v>
      </c>
      <c r="NB43" s="52" t="s">
        <v>668</v>
      </c>
      <c r="NC43" s="52" t="s">
        <v>668</v>
      </c>
      <c r="ND43" s="52" t="s">
        <v>668</v>
      </c>
      <c r="NE43" s="52" t="s">
        <v>668</v>
      </c>
      <c r="NF43" s="37" t="s">
        <v>668</v>
      </c>
      <c r="NG43" s="37" t="s">
        <v>668</v>
      </c>
      <c r="NH43" s="37" t="s">
        <v>668</v>
      </c>
      <c r="NI43" s="37" t="s">
        <v>668</v>
      </c>
      <c r="NJ43" s="37" t="s">
        <v>668</v>
      </c>
      <c r="NK43" s="37" t="s">
        <v>668</v>
      </c>
      <c r="NL43" s="37" t="s">
        <v>668</v>
      </c>
      <c r="NM43" s="37" t="s">
        <v>668</v>
      </c>
      <c r="NN43" s="37" t="s">
        <v>668</v>
      </c>
      <c r="NO43" s="37" t="s">
        <v>668</v>
      </c>
      <c r="NP43" s="37" t="s">
        <v>668</v>
      </c>
      <c r="NQ43" s="37" t="s">
        <v>668</v>
      </c>
      <c r="NR43" s="37" t="s">
        <v>668</v>
      </c>
      <c r="NS43" s="37" t="s">
        <v>668</v>
      </c>
      <c r="NT43" s="37" t="s">
        <v>668</v>
      </c>
      <c r="NU43" s="37" t="s">
        <v>668</v>
      </c>
      <c r="NV43" s="37" t="s">
        <v>668</v>
      </c>
      <c r="NW43" s="37" t="s">
        <v>668</v>
      </c>
      <c r="NX43" s="37" t="s">
        <v>668</v>
      </c>
      <c r="NY43" s="37" t="s">
        <v>668</v>
      </c>
      <c r="NZ43" s="37" t="s">
        <v>668</v>
      </c>
      <c r="OA43" s="37" t="s">
        <v>668</v>
      </c>
      <c r="OB43" s="37" t="s">
        <v>668</v>
      </c>
      <c r="OC43" s="37" t="s">
        <v>668</v>
      </c>
      <c r="OD43" s="37" t="s">
        <v>668</v>
      </c>
      <c r="OE43" s="37" t="s">
        <v>668</v>
      </c>
      <c r="OF43" s="37" t="s">
        <v>668</v>
      </c>
      <c r="OG43" s="37" t="s">
        <v>668</v>
      </c>
      <c r="OH43" s="37" t="s">
        <v>668</v>
      </c>
      <c r="OI43" s="37" t="s">
        <v>668</v>
      </c>
      <c r="OJ43" s="37" t="s">
        <v>668</v>
      </c>
      <c r="OK43" s="37" t="s">
        <v>668</v>
      </c>
      <c r="OL43" s="37" t="s">
        <v>668</v>
      </c>
      <c r="OM43" s="37" t="s">
        <v>668</v>
      </c>
      <c r="ON43" s="37" t="s">
        <v>668</v>
      </c>
      <c r="OO43" s="37" t="s">
        <v>668</v>
      </c>
      <c r="OP43" s="37" t="s">
        <v>668</v>
      </c>
      <c r="OQ43" s="37" t="s">
        <v>668</v>
      </c>
      <c r="OR43" s="37" t="s">
        <v>668</v>
      </c>
      <c r="OS43" s="37" t="s">
        <v>668</v>
      </c>
      <c r="OT43" s="37" t="s">
        <v>668</v>
      </c>
      <c r="OU43" s="37" t="s">
        <v>668</v>
      </c>
      <c r="OV43" s="37" t="s">
        <v>668</v>
      </c>
      <c r="OW43" s="37" t="s">
        <v>668</v>
      </c>
      <c r="OX43" s="37" t="s">
        <v>668</v>
      </c>
      <c r="OY43" s="37" t="s">
        <v>668</v>
      </c>
      <c r="OZ43" s="37" t="s">
        <v>668</v>
      </c>
      <c r="PA43" s="37" t="s">
        <v>668</v>
      </c>
      <c r="PB43" s="37" t="s">
        <v>668</v>
      </c>
      <c r="PC43" s="37" t="s">
        <v>668</v>
      </c>
      <c r="PD43" s="37" t="s">
        <v>668</v>
      </c>
      <c r="PE43" s="37" t="s">
        <v>668</v>
      </c>
      <c r="PF43" s="37" t="s">
        <v>668</v>
      </c>
      <c r="PG43" s="37" t="s">
        <v>668</v>
      </c>
      <c r="PH43" s="37" t="s">
        <v>668</v>
      </c>
      <c r="PI43" s="37" t="s">
        <v>668</v>
      </c>
      <c r="PJ43" s="37" t="s">
        <v>668</v>
      </c>
      <c r="PK43" s="37" t="s">
        <v>668</v>
      </c>
      <c r="PL43" s="37" t="s">
        <v>668</v>
      </c>
      <c r="PM43" s="37" t="s">
        <v>668</v>
      </c>
      <c r="PN43" s="37" t="s">
        <v>668</v>
      </c>
      <c r="PO43" s="37" t="s">
        <v>668</v>
      </c>
      <c r="PP43" s="37" t="s">
        <v>668</v>
      </c>
      <c r="PQ43" s="37" t="s">
        <v>668</v>
      </c>
      <c r="PR43" s="37" t="s">
        <v>668</v>
      </c>
      <c r="PS43" s="15" t="s">
        <v>668</v>
      </c>
      <c r="PT43" s="15" t="s">
        <v>668</v>
      </c>
      <c r="PU43" s="15" t="s">
        <v>668</v>
      </c>
      <c r="PV43" s="15" t="s">
        <v>668</v>
      </c>
      <c r="PW43" s="15" t="s">
        <v>668</v>
      </c>
      <c r="PX43" s="15" t="s">
        <v>668</v>
      </c>
      <c r="PY43" s="15" t="s">
        <v>668</v>
      </c>
      <c r="PZ43" s="15" t="s">
        <v>668</v>
      </c>
      <c r="QA43" s="15" t="s">
        <v>668</v>
      </c>
      <c r="QB43" s="15" t="s">
        <v>668</v>
      </c>
      <c r="QC43" s="15" t="s">
        <v>668</v>
      </c>
      <c r="QD43" s="15" t="s">
        <v>668</v>
      </c>
      <c r="QE43" s="15" t="s">
        <v>668</v>
      </c>
      <c r="QF43" s="15" t="s">
        <v>668</v>
      </c>
      <c r="QG43" s="15" t="s">
        <v>668</v>
      </c>
      <c r="QH43" s="15" t="s">
        <v>668</v>
      </c>
      <c r="QI43" s="15" t="s">
        <v>668</v>
      </c>
      <c r="QJ43" s="15" t="s">
        <v>668</v>
      </c>
      <c r="QK43" s="15" t="s">
        <v>668</v>
      </c>
      <c r="QL43" s="15" t="s">
        <v>668</v>
      </c>
      <c r="QM43" s="15" t="s">
        <v>668</v>
      </c>
      <c r="QN43" s="15" t="s">
        <v>668</v>
      </c>
      <c r="QO43" s="15" t="s">
        <v>668</v>
      </c>
      <c r="QP43" s="15" t="s">
        <v>668</v>
      </c>
      <c r="QQ43" s="15" t="s">
        <v>668</v>
      </c>
      <c r="QR43" s="15" t="s">
        <v>668</v>
      </c>
      <c r="QS43" s="15" t="s">
        <v>668</v>
      </c>
      <c r="QT43" s="15" t="s">
        <v>668</v>
      </c>
      <c r="QU43" s="15" t="s">
        <v>668</v>
      </c>
      <c r="QV43" s="15" t="s">
        <v>668</v>
      </c>
      <c r="QW43" s="15" t="s">
        <v>668</v>
      </c>
      <c r="QX43" s="15" t="s">
        <v>668</v>
      </c>
      <c r="QY43" s="15" t="s">
        <v>668</v>
      </c>
      <c r="QZ43" s="15" t="s">
        <v>668</v>
      </c>
      <c r="RA43" s="15" t="s">
        <v>668</v>
      </c>
      <c r="RB43" s="15" t="s">
        <v>668</v>
      </c>
      <c r="RC43" s="15" t="s">
        <v>668</v>
      </c>
      <c r="RD43" s="15" t="s">
        <v>668</v>
      </c>
      <c r="RE43" s="15" t="s">
        <v>668</v>
      </c>
      <c r="RF43" s="15" t="s">
        <v>668</v>
      </c>
      <c r="RG43" s="15" t="s">
        <v>668</v>
      </c>
      <c r="RH43" s="15" t="s">
        <v>668</v>
      </c>
      <c r="RI43" s="15" t="s">
        <v>668</v>
      </c>
      <c r="RJ43" s="15" t="s">
        <v>668</v>
      </c>
      <c r="RK43" s="15" t="s">
        <v>668</v>
      </c>
      <c r="RL43" s="15" t="s">
        <v>668</v>
      </c>
      <c r="RM43" s="15" t="s">
        <v>668</v>
      </c>
      <c r="RN43" s="15" t="s">
        <v>668</v>
      </c>
      <c r="RO43" s="15" t="s">
        <v>668</v>
      </c>
      <c r="RP43" s="15" t="s">
        <v>668</v>
      </c>
      <c r="RQ43" s="15" t="s">
        <v>668</v>
      </c>
      <c r="RR43" s="15" t="s">
        <v>668</v>
      </c>
      <c r="RS43" s="15" t="s">
        <v>668</v>
      </c>
      <c r="RT43" s="15" t="s">
        <v>668</v>
      </c>
      <c r="RU43" s="15" t="s">
        <v>668</v>
      </c>
      <c r="RV43" s="15" t="s">
        <v>668</v>
      </c>
      <c r="RW43" s="15" t="s">
        <v>668</v>
      </c>
      <c r="RX43" s="15" t="s">
        <v>668</v>
      </c>
      <c r="RY43" s="15" t="s">
        <v>668</v>
      </c>
      <c r="RZ43" s="15" t="s">
        <v>668</v>
      </c>
      <c r="SA43" s="15" t="s">
        <v>668</v>
      </c>
      <c r="SB43" s="15" t="s">
        <v>668</v>
      </c>
      <c r="SC43" s="15" t="s">
        <v>668</v>
      </c>
      <c r="SD43" s="15" t="s">
        <v>668</v>
      </c>
      <c r="SE43" s="15" t="s">
        <v>668</v>
      </c>
      <c r="SF43" s="15" t="s">
        <v>668</v>
      </c>
      <c r="SG43" s="15" t="s">
        <v>668</v>
      </c>
      <c r="SH43" s="15" t="s">
        <v>668</v>
      </c>
      <c r="SI43" s="15" t="s">
        <v>668</v>
      </c>
      <c r="SJ43" s="15" t="s">
        <v>668</v>
      </c>
      <c r="SK43" s="15" t="s">
        <v>668</v>
      </c>
      <c r="SL43" s="15" t="s">
        <v>668</v>
      </c>
      <c r="SM43" s="15" t="s">
        <v>668</v>
      </c>
    </row>
    <row r="44" spans="1:507" x14ac:dyDescent="0.2">
      <c r="A44" s="37">
        <v>42</v>
      </c>
      <c r="B44" s="48" t="s">
        <v>671</v>
      </c>
      <c r="C44" s="17">
        <f>+'Detalle Compras'!D44</f>
        <v>202506300055</v>
      </c>
      <c r="D44" s="55">
        <f t="shared" si="13"/>
        <v>7.0334620000000001</v>
      </c>
      <c r="E44" s="14">
        <f>+IF(B44="","",'Detalle Compras'!S44+0)</f>
        <v>45879</v>
      </c>
      <c r="F44" s="14">
        <f>+IF(B44="","",EOMONTH('Detalle Compras'!S44,G44)+10)</f>
        <v>55041</v>
      </c>
      <c r="G44" s="50">
        <f t="shared" si="14"/>
        <v>300</v>
      </c>
      <c r="H44" s="50">
        <f t="shared" si="15"/>
        <v>294</v>
      </c>
      <c r="Z44" s="37">
        <v>7.0334620000000001</v>
      </c>
      <c r="AA44" s="37">
        <v>7.0334620000000001</v>
      </c>
      <c r="AB44" s="37">
        <v>7.0334620000000001</v>
      </c>
      <c r="AC44" s="37">
        <v>7.0334620000000001</v>
      </c>
      <c r="AD44" s="37">
        <v>7.0334620000000001</v>
      </c>
      <c r="AE44" s="37">
        <v>7.0334620000000001</v>
      </c>
      <c r="AF44" s="37">
        <v>7.0334620000000001</v>
      </c>
      <c r="AG44" s="37">
        <v>7.0334620000000001</v>
      </c>
      <c r="AH44" s="37">
        <v>7.0334620000000001</v>
      </c>
      <c r="AI44" s="37">
        <v>7.0334620000000001</v>
      </c>
      <c r="AJ44" s="37">
        <v>7.0334620000000001</v>
      </c>
      <c r="AK44" s="37">
        <v>7.0334620000000001</v>
      </c>
      <c r="AL44" s="37">
        <v>7.0334620000000001</v>
      </c>
      <c r="AM44" s="37">
        <v>7.0334620000000001</v>
      </c>
      <c r="AN44" s="37">
        <v>7.0334620000000001</v>
      </c>
      <c r="AO44" s="37">
        <v>7.0334620000000001</v>
      </c>
      <c r="AP44" s="37">
        <v>7.0334620000000001</v>
      </c>
      <c r="AQ44" s="37">
        <v>7.0334620000000001</v>
      </c>
      <c r="AR44" s="37">
        <v>7.0334620000000001</v>
      </c>
      <c r="AS44" s="37">
        <v>7.0334620000000001</v>
      </c>
      <c r="AT44" s="37">
        <v>7.0334620000000001</v>
      </c>
      <c r="AU44" s="37">
        <v>7.0334620000000001</v>
      </c>
      <c r="AV44" s="37">
        <v>7.0334620000000001</v>
      </c>
      <c r="AW44" s="37">
        <v>7.0334620000000001</v>
      </c>
      <c r="AX44" s="37">
        <v>7.0334620000000001</v>
      </c>
      <c r="AY44" s="37">
        <v>7.0334620000000001</v>
      </c>
      <c r="AZ44" s="37">
        <v>7.0334620000000001</v>
      </c>
      <c r="BA44" s="37">
        <v>7.0334620000000001</v>
      </c>
      <c r="BB44" s="37">
        <v>7.0334620000000001</v>
      </c>
      <c r="BC44" s="37">
        <v>7.0334620000000001</v>
      </c>
      <c r="BD44" s="37">
        <v>7.0334620000000001</v>
      </c>
      <c r="BE44" s="37">
        <v>7.0334620000000001</v>
      </c>
      <c r="BF44" s="37">
        <v>7.0334620000000001</v>
      </c>
      <c r="BG44" s="37">
        <v>7.0334620000000001</v>
      </c>
      <c r="BH44" s="37">
        <v>7.0334620000000001</v>
      </c>
      <c r="BI44" s="37">
        <v>7.0334620000000001</v>
      </c>
      <c r="BJ44" s="37">
        <v>7.0334620000000001</v>
      </c>
      <c r="BK44" s="37">
        <v>7.0334620000000001</v>
      </c>
      <c r="BL44" s="37">
        <v>7.0334620000000001</v>
      </c>
      <c r="BM44" s="37">
        <v>7.0334620000000001</v>
      </c>
      <c r="BN44" s="37">
        <v>7.0334620000000001</v>
      </c>
      <c r="BO44" s="37">
        <v>7.0334620000000001</v>
      </c>
      <c r="BP44" s="37">
        <v>7.0334620000000001</v>
      </c>
      <c r="BQ44" s="37">
        <v>7.0334620000000001</v>
      </c>
      <c r="BR44" s="37">
        <v>7.0334620000000001</v>
      </c>
      <c r="BS44" s="37">
        <v>7.0334620000000001</v>
      </c>
      <c r="BT44" s="37">
        <v>7.0334620000000001</v>
      </c>
      <c r="BU44" s="37">
        <v>7.0334620000000001</v>
      </c>
      <c r="BV44" s="37">
        <v>7.0334620000000001</v>
      </c>
      <c r="BW44" s="37">
        <v>7.0334620000000001</v>
      </c>
      <c r="BX44" s="37">
        <v>7.0334620000000001</v>
      </c>
      <c r="BY44" s="37">
        <v>7.0334620000000001</v>
      </c>
      <c r="BZ44" s="37">
        <v>7.0334620000000001</v>
      </c>
      <c r="CA44" s="37">
        <v>7.0334620000000001</v>
      </c>
      <c r="CB44" s="37">
        <v>7.0334620000000001</v>
      </c>
      <c r="CC44" s="37">
        <v>7.0334620000000001</v>
      </c>
      <c r="CD44" s="37">
        <v>7.0334620000000001</v>
      </c>
      <c r="CE44" s="37">
        <v>7.0334620000000001</v>
      </c>
      <c r="CF44" s="37">
        <v>7.0334620000000001</v>
      </c>
      <c r="CG44" s="37">
        <v>7.0334620000000001</v>
      </c>
      <c r="CH44" s="37">
        <v>7.0334620000000001</v>
      </c>
      <c r="CI44" s="37">
        <v>7.0334620000000001</v>
      </c>
      <c r="CJ44" s="37">
        <v>7.0334620000000001</v>
      </c>
      <c r="CK44" s="37">
        <v>7.0334620000000001</v>
      </c>
      <c r="CL44" s="37">
        <v>7.0334620000000001</v>
      </c>
      <c r="CM44" s="37">
        <v>7.0334620000000001</v>
      </c>
      <c r="CN44" s="37">
        <v>7.0334620000000001</v>
      </c>
      <c r="CO44" s="37">
        <v>7.0334620000000001</v>
      </c>
      <c r="CP44" s="37">
        <v>7.0334620000000001</v>
      </c>
      <c r="CQ44" s="37">
        <v>7.0334620000000001</v>
      </c>
      <c r="CR44" s="37">
        <v>7.0334620000000001</v>
      </c>
      <c r="CS44" s="37">
        <v>7.0334620000000001</v>
      </c>
      <c r="CT44" s="37">
        <v>7.0334620000000001</v>
      </c>
      <c r="CU44" s="37">
        <v>7.0334620000000001</v>
      </c>
      <c r="CV44" s="37">
        <v>7.0334620000000001</v>
      </c>
      <c r="CW44" s="37">
        <v>7.0334620000000001</v>
      </c>
      <c r="CX44" s="37">
        <v>7.0334620000000001</v>
      </c>
      <c r="CY44" s="37">
        <v>7.0334620000000001</v>
      </c>
      <c r="CZ44" s="37">
        <v>7.0334620000000001</v>
      </c>
      <c r="DA44" s="37">
        <v>7.0334620000000001</v>
      </c>
      <c r="DB44" s="37">
        <v>7.0334620000000001</v>
      </c>
      <c r="DC44" s="37">
        <v>7.0334620000000001</v>
      </c>
      <c r="DD44" s="37">
        <v>7.0334620000000001</v>
      </c>
      <c r="DE44" s="37">
        <v>7.0334620000000001</v>
      </c>
      <c r="DF44" s="37">
        <v>7.0334620000000001</v>
      </c>
      <c r="DG44" s="37">
        <v>7.0334620000000001</v>
      </c>
      <c r="DH44" s="37">
        <v>7.0334620000000001</v>
      </c>
      <c r="DI44" s="37">
        <v>7.0334620000000001</v>
      </c>
      <c r="DJ44" s="37">
        <v>7.0334620000000001</v>
      </c>
      <c r="DK44" s="37">
        <v>7.0334620000000001</v>
      </c>
      <c r="DL44" s="37">
        <v>7.0334620000000001</v>
      </c>
      <c r="DM44" s="37">
        <v>7.0334620000000001</v>
      </c>
      <c r="DN44" s="37">
        <v>7.0334620000000001</v>
      </c>
      <c r="DO44" s="37">
        <v>7.0334620000000001</v>
      </c>
      <c r="DP44" s="37">
        <v>7.0334620000000001</v>
      </c>
      <c r="DQ44" s="37">
        <v>7.0334620000000001</v>
      </c>
      <c r="DR44" s="37">
        <v>7.0334620000000001</v>
      </c>
      <c r="DS44" s="37">
        <v>7.0334620000000001</v>
      </c>
      <c r="DT44" s="37">
        <v>7.0334620000000001</v>
      </c>
      <c r="DU44" s="37">
        <v>7.0334620000000001</v>
      </c>
      <c r="DV44" s="37">
        <v>7.0334620000000001</v>
      </c>
      <c r="DW44" s="37">
        <v>7.0334620000000001</v>
      </c>
      <c r="DX44" s="37">
        <v>7.0334620000000001</v>
      </c>
      <c r="DY44" s="37">
        <v>7.0334620000000001</v>
      </c>
      <c r="DZ44" s="37">
        <v>7.0334620000000001</v>
      </c>
      <c r="EA44" s="37">
        <v>7.0334620000000001</v>
      </c>
      <c r="EB44" s="37">
        <v>7.0334620000000001</v>
      </c>
      <c r="EC44" s="37">
        <v>7.0334620000000001</v>
      </c>
      <c r="ED44" s="37">
        <v>7.0334620000000001</v>
      </c>
      <c r="EE44" s="37">
        <v>7.0334620000000001</v>
      </c>
      <c r="EF44" s="37">
        <v>7.0334620000000001</v>
      </c>
      <c r="EG44" s="37">
        <v>7.0334620000000001</v>
      </c>
      <c r="EH44" s="37">
        <v>7.0334620000000001</v>
      </c>
      <c r="EI44" s="37">
        <v>7.0334620000000001</v>
      </c>
      <c r="EJ44" s="37">
        <v>7.0334620000000001</v>
      </c>
      <c r="EK44" s="37">
        <v>7.0334620000000001</v>
      </c>
      <c r="EL44" s="37">
        <v>7.0334620000000001</v>
      </c>
      <c r="EM44" s="37">
        <v>7.0334620000000001</v>
      </c>
      <c r="EN44" s="37">
        <v>7.0334620000000001</v>
      </c>
      <c r="EO44" s="37">
        <v>7.0334620000000001</v>
      </c>
      <c r="EP44" s="37">
        <v>7.0334620000000001</v>
      </c>
      <c r="EQ44" s="37">
        <v>7.0334620000000001</v>
      </c>
      <c r="ER44" s="37">
        <v>7.0334620000000001</v>
      </c>
      <c r="ES44" s="37">
        <v>7.0334620000000001</v>
      </c>
      <c r="ET44" s="37">
        <v>7.0334620000000001</v>
      </c>
      <c r="EU44" s="37">
        <v>7.0334620000000001</v>
      </c>
      <c r="EV44" s="37">
        <v>7.0334620000000001</v>
      </c>
      <c r="EW44" s="37">
        <v>7.0334620000000001</v>
      </c>
      <c r="EX44" s="37">
        <v>7.0334620000000001</v>
      </c>
      <c r="EY44" s="37">
        <v>7.0334620000000001</v>
      </c>
      <c r="EZ44" s="37">
        <v>7.0334620000000001</v>
      </c>
      <c r="FA44" s="37">
        <v>7.0334620000000001</v>
      </c>
      <c r="FB44" s="37">
        <v>7.0334620000000001</v>
      </c>
      <c r="FC44" s="37">
        <v>7.0334620000000001</v>
      </c>
      <c r="FD44" s="37">
        <v>7.0334620000000001</v>
      </c>
      <c r="FE44" s="37">
        <v>7.0334620000000001</v>
      </c>
      <c r="FF44" s="37">
        <v>7.0334620000000001</v>
      </c>
      <c r="FG44" s="37">
        <v>7.0334620000000001</v>
      </c>
      <c r="FH44" s="37">
        <v>7.0334620000000001</v>
      </c>
      <c r="FI44" s="37">
        <v>7.0334620000000001</v>
      </c>
      <c r="FJ44" s="37">
        <v>7.0334620000000001</v>
      </c>
      <c r="FK44" s="37">
        <v>7.0334620000000001</v>
      </c>
      <c r="FL44" s="37">
        <v>7.0334620000000001</v>
      </c>
      <c r="FM44" s="37">
        <v>7.0334620000000001</v>
      </c>
      <c r="FN44" s="37">
        <v>7.0334620000000001</v>
      </c>
      <c r="FO44" s="37">
        <v>7.0334620000000001</v>
      </c>
      <c r="FP44" s="37">
        <v>7.0334620000000001</v>
      </c>
      <c r="FQ44" s="37">
        <v>7.0334620000000001</v>
      </c>
      <c r="FR44" s="37">
        <v>7.0334620000000001</v>
      </c>
      <c r="FS44" s="37">
        <v>7.0334620000000001</v>
      </c>
      <c r="FT44" s="37">
        <v>7.0334620000000001</v>
      </c>
      <c r="FU44" s="37">
        <v>7.0334620000000001</v>
      </c>
      <c r="FV44" s="37">
        <v>7.0334620000000001</v>
      </c>
      <c r="FW44" s="37">
        <v>7.0334620000000001</v>
      </c>
      <c r="FX44" s="37">
        <v>7.0334620000000001</v>
      </c>
      <c r="FY44" s="37">
        <v>7.0334620000000001</v>
      </c>
      <c r="FZ44" s="37">
        <v>7.0334620000000001</v>
      </c>
      <c r="GA44" s="37">
        <v>7.0334620000000001</v>
      </c>
      <c r="GB44" s="37">
        <v>7.0334620000000001</v>
      </c>
      <c r="GC44" s="37">
        <v>7.0334620000000001</v>
      </c>
      <c r="GD44" s="37">
        <v>7.0334620000000001</v>
      </c>
      <c r="GE44" s="37">
        <v>7.0334620000000001</v>
      </c>
      <c r="GF44" s="37">
        <v>7.0334620000000001</v>
      </c>
      <c r="GG44" s="37">
        <v>7.0334620000000001</v>
      </c>
      <c r="GH44" s="37">
        <v>7.0334620000000001</v>
      </c>
      <c r="GI44" s="37">
        <v>7.0334620000000001</v>
      </c>
      <c r="GJ44" s="37">
        <v>7.0334620000000001</v>
      </c>
      <c r="GK44" s="37">
        <v>7.0334620000000001</v>
      </c>
      <c r="GL44" s="37">
        <v>7.0334620000000001</v>
      </c>
      <c r="GM44" s="37">
        <v>7.0334620000000001</v>
      </c>
      <c r="GN44" s="37">
        <v>7.0334620000000001</v>
      </c>
      <c r="GO44" s="37">
        <v>7.0334620000000001</v>
      </c>
      <c r="GP44" s="37">
        <v>7.0334620000000001</v>
      </c>
      <c r="GQ44" s="37">
        <v>7.0334620000000001</v>
      </c>
      <c r="GR44" s="37">
        <v>7.0334620000000001</v>
      </c>
      <c r="GS44" s="37">
        <v>7.0334620000000001</v>
      </c>
      <c r="GT44" s="37">
        <v>7.0334620000000001</v>
      </c>
      <c r="GU44" s="37">
        <v>7.0334620000000001</v>
      </c>
      <c r="GV44" s="37">
        <v>7.0334620000000001</v>
      </c>
      <c r="GW44" s="37">
        <v>7.0334620000000001</v>
      </c>
      <c r="GX44" s="37">
        <v>7.0334620000000001</v>
      </c>
      <c r="GY44" s="37">
        <v>7.0334620000000001</v>
      </c>
      <c r="GZ44" s="37">
        <v>7.0334620000000001</v>
      </c>
      <c r="HA44" s="37">
        <v>7.0334620000000001</v>
      </c>
      <c r="HB44" s="37">
        <v>7.0334620000000001</v>
      </c>
      <c r="HC44" s="37">
        <v>7.0334620000000001</v>
      </c>
      <c r="HD44" s="37">
        <v>7.0334620000000001</v>
      </c>
      <c r="HE44" s="37">
        <v>7.0334620000000001</v>
      </c>
      <c r="HF44" s="37">
        <v>7.0334620000000001</v>
      </c>
      <c r="HG44" s="37">
        <v>7.0334620000000001</v>
      </c>
      <c r="HH44" s="37">
        <v>7.0334620000000001</v>
      </c>
      <c r="HI44" s="37">
        <v>7.0334620000000001</v>
      </c>
      <c r="HJ44" s="37">
        <v>7.0334620000000001</v>
      </c>
      <c r="HK44" s="37">
        <v>7.0334620000000001</v>
      </c>
      <c r="HL44" s="37">
        <v>7.0334620000000001</v>
      </c>
      <c r="HM44" s="37">
        <v>7.0334620000000001</v>
      </c>
      <c r="HN44" s="37">
        <v>7.0334620000000001</v>
      </c>
      <c r="HO44" s="37">
        <v>7.0334620000000001</v>
      </c>
      <c r="HP44" s="37">
        <v>7.0334620000000001</v>
      </c>
      <c r="HQ44" s="37">
        <v>7.0334620000000001</v>
      </c>
      <c r="HR44" s="37">
        <v>7.0334620000000001</v>
      </c>
      <c r="HS44" s="37">
        <v>7.0334620000000001</v>
      </c>
      <c r="HT44" s="37">
        <v>7.0334620000000001</v>
      </c>
      <c r="HU44" s="37">
        <v>7.0334620000000001</v>
      </c>
      <c r="HV44" s="37">
        <v>7.0334620000000001</v>
      </c>
      <c r="HW44" s="37">
        <v>7.0334620000000001</v>
      </c>
      <c r="HX44" s="37">
        <v>7.0334620000000001</v>
      </c>
      <c r="HY44" s="37">
        <v>7.0334620000000001</v>
      </c>
      <c r="HZ44" s="37">
        <v>7.0334620000000001</v>
      </c>
      <c r="IA44" s="37">
        <v>7.0334620000000001</v>
      </c>
      <c r="IB44" s="37">
        <v>7.0334620000000001</v>
      </c>
      <c r="IC44" s="37">
        <v>7.0334620000000001</v>
      </c>
      <c r="ID44" s="37">
        <v>7.0334620000000001</v>
      </c>
      <c r="IE44" s="37">
        <v>7.0334620000000001</v>
      </c>
      <c r="IF44" s="37">
        <v>7.0334620000000001</v>
      </c>
      <c r="IG44" s="37">
        <v>7.0334620000000001</v>
      </c>
      <c r="IH44" s="37">
        <v>7.0334620000000001</v>
      </c>
      <c r="II44" s="37">
        <v>7.0334620000000001</v>
      </c>
      <c r="IJ44" s="37">
        <v>7.0334620000000001</v>
      </c>
      <c r="IK44" s="37">
        <v>7.0334620000000001</v>
      </c>
      <c r="IL44" s="37">
        <v>7.0334620000000001</v>
      </c>
      <c r="IM44" s="37">
        <v>7.0334620000000001</v>
      </c>
      <c r="IN44" s="37">
        <v>7.0334620000000001</v>
      </c>
      <c r="IO44" s="37">
        <v>7.0334620000000001</v>
      </c>
      <c r="IP44" s="37">
        <v>7.0334620000000001</v>
      </c>
      <c r="IQ44" s="37">
        <v>7.0334620000000001</v>
      </c>
      <c r="IR44" s="37">
        <v>7.0334620000000001</v>
      </c>
      <c r="IS44" s="37">
        <v>7.0334620000000001</v>
      </c>
      <c r="IT44" s="37">
        <v>7.0334620000000001</v>
      </c>
      <c r="IU44" s="37">
        <v>7.0334620000000001</v>
      </c>
      <c r="IV44" s="37">
        <v>7.0334620000000001</v>
      </c>
      <c r="IW44" s="37">
        <v>7.0334620000000001</v>
      </c>
      <c r="IX44" s="37">
        <v>7.0334620000000001</v>
      </c>
      <c r="IY44" s="37">
        <v>7.0334620000000001</v>
      </c>
      <c r="IZ44" s="37">
        <v>7.0334620000000001</v>
      </c>
      <c r="JA44" s="37">
        <v>7.0334620000000001</v>
      </c>
      <c r="JB44" s="37">
        <v>7.0334620000000001</v>
      </c>
      <c r="JC44" s="37">
        <v>7.0334620000000001</v>
      </c>
      <c r="JD44" s="37">
        <v>7.0334620000000001</v>
      </c>
      <c r="JE44" s="37">
        <v>7.0334620000000001</v>
      </c>
      <c r="JF44" s="37">
        <v>7.0334620000000001</v>
      </c>
      <c r="JG44" s="37">
        <v>7.0334620000000001</v>
      </c>
      <c r="JH44" s="37">
        <v>7.0334620000000001</v>
      </c>
      <c r="JI44" s="37">
        <v>7.0334620000000001</v>
      </c>
      <c r="JJ44" s="37">
        <v>7.0334620000000001</v>
      </c>
      <c r="JK44" s="37">
        <v>7.0334620000000001</v>
      </c>
      <c r="JL44" s="37">
        <v>7.0334620000000001</v>
      </c>
      <c r="JM44" s="37">
        <v>7.0334620000000001</v>
      </c>
      <c r="JN44" s="37">
        <v>7.0334620000000001</v>
      </c>
      <c r="JO44" s="37">
        <v>7.0334620000000001</v>
      </c>
      <c r="JP44" s="37">
        <v>7.0334620000000001</v>
      </c>
      <c r="JQ44" s="37">
        <v>7.0334620000000001</v>
      </c>
      <c r="JR44" s="37">
        <v>7.0334620000000001</v>
      </c>
      <c r="JS44" s="37">
        <v>7.0334620000000001</v>
      </c>
      <c r="JT44" s="37">
        <v>7.0334620000000001</v>
      </c>
      <c r="JU44" s="37">
        <v>7.0334620000000001</v>
      </c>
      <c r="JV44" s="37">
        <v>7.0334620000000001</v>
      </c>
      <c r="JW44" s="37">
        <v>7.0334620000000001</v>
      </c>
      <c r="JX44" s="37">
        <v>7.0334620000000001</v>
      </c>
      <c r="JY44" s="37">
        <v>7.0334620000000001</v>
      </c>
      <c r="JZ44" s="37">
        <v>7.0334620000000001</v>
      </c>
      <c r="KA44" s="37">
        <v>7.0334620000000001</v>
      </c>
      <c r="KB44" s="37">
        <v>7.0334620000000001</v>
      </c>
      <c r="KC44" s="37">
        <v>7.0334620000000001</v>
      </c>
      <c r="KD44" s="37">
        <v>7.0334620000000001</v>
      </c>
      <c r="KE44" s="37">
        <v>7.0334620000000001</v>
      </c>
      <c r="KF44" s="37">
        <v>7.0334620000000001</v>
      </c>
      <c r="KG44" s="37">
        <v>7.0334620000000001</v>
      </c>
      <c r="KH44" s="37">
        <v>7.0334620000000001</v>
      </c>
      <c r="KI44" s="37">
        <v>7.0334620000000001</v>
      </c>
      <c r="KJ44" s="37">
        <v>7.0334620000000001</v>
      </c>
      <c r="KK44" s="37">
        <v>7.0334620000000001</v>
      </c>
      <c r="KL44" s="37">
        <v>7.0334620000000001</v>
      </c>
      <c r="KM44" s="37">
        <v>7.0334620000000001</v>
      </c>
      <c r="KN44" s="37">
        <v>7.0334620000000001</v>
      </c>
      <c r="KO44" s="37">
        <v>7.0334620000000001</v>
      </c>
      <c r="KP44" s="37">
        <v>7.0334620000000001</v>
      </c>
      <c r="KQ44" s="37">
        <v>7.0334620000000001</v>
      </c>
      <c r="KR44" s="37">
        <v>7.0334620000000001</v>
      </c>
      <c r="KS44" s="37">
        <v>7.0334620000000001</v>
      </c>
      <c r="KT44" s="37">
        <v>7.0334620000000001</v>
      </c>
      <c r="KU44" s="37">
        <v>7.0334620000000001</v>
      </c>
      <c r="KV44" s="37">
        <v>7.0334620000000001</v>
      </c>
      <c r="KW44" s="37">
        <v>7.0334620000000001</v>
      </c>
      <c r="KX44" s="37">
        <v>7.0334620000000001</v>
      </c>
      <c r="KY44" s="37">
        <v>7.0334620000000001</v>
      </c>
      <c r="KZ44" s="37">
        <v>7.0334620000000001</v>
      </c>
      <c r="LA44" s="37">
        <v>7.0334620000000001</v>
      </c>
      <c r="LB44" s="37">
        <v>7.0334620000000001</v>
      </c>
      <c r="LC44" s="37">
        <v>7.0334620000000001</v>
      </c>
      <c r="LD44" s="37">
        <v>7.0334620000000001</v>
      </c>
      <c r="LE44" s="37">
        <v>7.0334620000000001</v>
      </c>
      <c r="LF44" s="37">
        <v>7.0334620000000001</v>
      </c>
      <c r="LG44" s="37">
        <v>7.0334620000000001</v>
      </c>
      <c r="LH44" s="37">
        <v>7.0334620000000001</v>
      </c>
      <c r="LI44" s="37">
        <v>7.0334620000000001</v>
      </c>
      <c r="LJ44" s="37">
        <v>7.0334620000000001</v>
      </c>
      <c r="LK44" s="37">
        <v>7.0334620000000001</v>
      </c>
      <c r="LL44" s="37">
        <v>7.0334620000000001</v>
      </c>
      <c r="LM44" s="37">
        <v>7.1753280000000004</v>
      </c>
      <c r="LN44" s="37" t="s">
        <v>668</v>
      </c>
      <c r="LO44" s="37" t="s">
        <v>668</v>
      </c>
      <c r="LP44" s="37" t="s">
        <v>668</v>
      </c>
      <c r="LQ44" s="37" t="s">
        <v>668</v>
      </c>
      <c r="LR44" s="37" t="s">
        <v>668</v>
      </c>
      <c r="LS44" s="37" t="s">
        <v>668</v>
      </c>
      <c r="LT44" s="37" t="s">
        <v>668</v>
      </c>
      <c r="LU44" s="37" t="s">
        <v>668</v>
      </c>
      <c r="LV44" s="37" t="s">
        <v>668</v>
      </c>
      <c r="LW44" s="37" t="s">
        <v>668</v>
      </c>
      <c r="LX44" s="37" t="s">
        <v>668</v>
      </c>
      <c r="LY44" s="37" t="s">
        <v>668</v>
      </c>
      <c r="LZ44" s="37" t="s">
        <v>668</v>
      </c>
      <c r="MA44" s="37" t="s">
        <v>668</v>
      </c>
      <c r="MB44" s="37" t="s">
        <v>668</v>
      </c>
      <c r="MC44" s="37" t="s">
        <v>668</v>
      </c>
      <c r="MD44" s="37" t="s">
        <v>668</v>
      </c>
      <c r="ME44" s="37" t="s">
        <v>668</v>
      </c>
      <c r="MF44" s="37" t="s">
        <v>668</v>
      </c>
      <c r="MG44" s="37" t="s">
        <v>668</v>
      </c>
      <c r="MH44" s="37" t="s">
        <v>668</v>
      </c>
      <c r="MI44" s="37" t="s">
        <v>668</v>
      </c>
      <c r="MJ44" s="37" t="s">
        <v>668</v>
      </c>
      <c r="MK44" s="37" t="s">
        <v>668</v>
      </c>
      <c r="ML44" s="37" t="s">
        <v>668</v>
      </c>
      <c r="MM44" s="37" t="s">
        <v>668</v>
      </c>
      <c r="MN44" s="37" t="s">
        <v>668</v>
      </c>
      <c r="MO44" s="37" t="s">
        <v>668</v>
      </c>
      <c r="MP44" s="37" t="s">
        <v>668</v>
      </c>
      <c r="MQ44" s="37" t="s">
        <v>668</v>
      </c>
      <c r="MR44" s="37" t="s">
        <v>668</v>
      </c>
      <c r="MS44" s="37" t="s">
        <v>668</v>
      </c>
      <c r="MT44" s="37" t="s">
        <v>668</v>
      </c>
      <c r="MU44" s="37" t="s">
        <v>668</v>
      </c>
      <c r="MV44" s="37" t="s">
        <v>668</v>
      </c>
      <c r="MW44" s="37" t="s">
        <v>668</v>
      </c>
      <c r="MX44" s="37" t="s">
        <v>668</v>
      </c>
      <c r="MY44" s="37" t="s">
        <v>668</v>
      </c>
      <c r="MZ44" s="37" t="s">
        <v>668</v>
      </c>
      <c r="NA44" s="37" t="s">
        <v>668</v>
      </c>
      <c r="NB44" s="37" t="s">
        <v>668</v>
      </c>
      <c r="NC44" s="37" t="s">
        <v>668</v>
      </c>
      <c r="ND44" s="37" t="s">
        <v>668</v>
      </c>
      <c r="NE44" s="37" t="s">
        <v>668</v>
      </c>
      <c r="NF44" s="37" t="s">
        <v>668</v>
      </c>
      <c r="NG44" s="37" t="s">
        <v>668</v>
      </c>
      <c r="NH44" s="37" t="s">
        <v>668</v>
      </c>
      <c r="NI44" s="37" t="s">
        <v>668</v>
      </c>
      <c r="NJ44" s="37" t="s">
        <v>668</v>
      </c>
      <c r="NK44" s="37" t="s">
        <v>668</v>
      </c>
      <c r="NL44" s="37" t="s">
        <v>668</v>
      </c>
      <c r="NM44" s="37" t="s">
        <v>668</v>
      </c>
      <c r="NN44" s="37" t="s">
        <v>668</v>
      </c>
      <c r="NO44" s="37" t="s">
        <v>668</v>
      </c>
      <c r="NP44" s="37" t="s">
        <v>668</v>
      </c>
      <c r="NQ44" s="37" t="s">
        <v>668</v>
      </c>
      <c r="NR44" s="37" t="s">
        <v>668</v>
      </c>
      <c r="NS44" s="37" t="s">
        <v>668</v>
      </c>
      <c r="NT44" s="37" t="s">
        <v>668</v>
      </c>
      <c r="NU44" s="37" t="s">
        <v>668</v>
      </c>
      <c r="NV44" s="37" t="s">
        <v>668</v>
      </c>
      <c r="NW44" s="37" t="s">
        <v>668</v>
      </c>
      <c r="NX44" s="37" t="s">
        <v>668</v>
      </c>
      <c r="NY44" s="37" t="s">
        <v>668</v>
      </c>
      <c r="NZ44" s="37" t="s">
        <v>668</v>
      </c>
      <c r="OA44" s="37" t="s">
        <v>668</v>
      </c>
      <c r="OB44" s="37" t="s">
        <v>668</v>
      </c>
      <c r="OC44" s="37" t="s">
        <v>668</v>
      </c>
      <c r="OD44" s="37" t="s">
        <v>668</v>
      </c>
      <c r="OE44" s="37" t="s">
        <v>668</v>
      </c>
      <c r="OF44" s="37" t="s">
        <v>668</v>
      </c>
      <c r="OG44" s="37" t="s">
        <v>668</v>
      </c>
      <c r="OH44" s="37" t="s">
        <v>668</v>
      </c>
      <c r="OI44" s="37" t="s">
        <v>668</v>
      </c>
      <c r="OJ44" s="37" t="s">
        <v>668</v>
      </c>
      <c r="OK44" s="37" t="s">
        <v>668</v>
      </c>
      <c r="OL44" s="37" t="s">
        <v>668</v>
      </c>
      <c r="OM44" s="37" t="s">
        <v>668</v>
      </c>
      <c r="ON44" s="37" t="s">
        <v>668</v>
      </c>
      <c r="OO44" s="37" t="s">
        <v>668</v>
      </c>
      <c r="OP44" s="37" t="s">
        <v>668</v>
      </c>
      <c r="OQ44" s="37" t="s">
        <v>668</v>
      </c>
      <c r="OR44" s="37" t="s">
        <v>668</v>
      </c>
      <c r="OS44" s="37" t="s">
        <v>668</v>
      </c>
      <c r="OT44" s="37" t="s">
        <v>668</v>
      </c>
      <c r="OU44" s="37" t="s">
        <v>668</v>
      </c>
      <c r="OV44" s="37" t="s">
        <v>668</v>
      </c>
      <c r="OW44" s="37" t="s">
        <v>668</v>
      </c>
      <c r="OX44" s="37" t="s">
        <v>668</v>
      </c>
      <c r="OY44" s="37" t="s">
        <v>668</v>
      </c>
      <c r="OZ44" s="37" t="s">
        <v>668</v>
      </c>
      <c r="PA44" s="37" t="s">
        <v>668</v>
      </c>
      <c r="PB44" s="37" t="s">
        <v>668</v>
      </c>
      <c r="PC44" s="37" t="s">
        <v>668</v>
      </c>
      <c r="PD44" s="37" t="s">
        <v>668</v>
      </c>
      <c r="PE44" s="37" t="s">
        <v>668</v>
      </c>
      <c r="PF44" s="37" t="s">
        <v>668</v>
      </c>
      <c r="PG44" s="37" t="s">
        <v>668</v>
      </c>
      <c r="PH44" s="37" t="s">
        <v>668</v>
      </c>
      <c r="PI44" s="37" t="s">
        <v>668</v>
      </c>
      <c r="PJ44" s="37" t="s">
        <v>668</v>
      </c>
      <c r="PK44" s="37" t="s">
        <v>668</v>
      </c>
      <c r="PL44" s="37" t="s">
        <v>668</v>
      </c>
      <c r="PM44" s="37" t="s">
        <v>668</v>
      </c>
      <c r="PN44" s="37" t="s">
        <v>668</v>
      </c>
      <c r="PO44" s="37" t="s">
        <v>668</v>
      </c>
      <c r="PP44" s="37" t="s">
        <v>668</v>
      </c>
      <c r="PQ44" s="37" t="s">
        <v>668</v>
      </c>
      <c r="PR44" s="37" t="s">
        <v>668</v>
      </c>
      <c r="PS44" s="15" t="s">
        <v>668</v>
      </c>
      <c r="PT44" s="15" t="s">
        <v>668</v>
      </c>
      <c r="PU44" s="15" t="s">
        <v>668</v>
      </c>
      <c r="PV44" s="15" t="s">
        <v>668</v>
      </c>
      <c r="PW44" s="15" t="s">
        <v>668</v>
      </c>
      <c r="PX44" s="15" t="s">
        <v>668</v>
      </c>
      <c r="PY44" s="15" t="s">
        <v>668</v>
      </c>
      <c r="PZ44" s="15" t="s">
        <v>668</v>
      </c>
      <c r="QA44" s="15" t="s">
        <v>668</v>
      </c>
      <c r="QB44" s="15" t="s">
        <v>668</v>
      </c>
      <c r="QC44" s="15" t="s">
        <v>668</v>
      </c>
      <c r="QD44" s="15" t="s">
        <v>668</v>
      </c>
      <c r="QE44" s="15" t="s">
        <v>668</v>
      </c>
      <c r="QF44" s="15" t="s">
        <v>668</v>
      </c>
      <c r="QG44" s="15" t="s">
        <v>668</v>
      </c>
      <c r="QH44" s="15" t="s">
        <v>668</v>
      </c>
      <c r="QI44" s="15" t="s">
        <v>668</v>
      </c>
      <c r="QJ44" s="15" t="s">
        <v>668</v>
      </c>
      <c r="QK44" s="15" t="s">
        <v>668</v>
      </c>
      <c r="QL44" s="15" t="s">
        <v>668</v>
      </c>
      <c r="QM44" s="15" t="s">
        <v>668</v>
      </c>
      <c r="QN44" s="15" t="s">
        <v>668</v>
      </c>
      <c r="QO44" s="15" t="s">
        <v>668</v>
      </c>
      <c r="QP44" s="15" t="s">
        <v>668</v>
      </c>
      <c r="QQ44" s="15" t="s">
        <v>668</v>
      </c>
      <c r="QR44" s="15" t="s">
        <v>668</v>
      </c>
      <c r="QS44" s="15" t="s">
        <v>668</v>
      </c>
      <c r="QT44" s="15" t="s">
        <v>668</v>
      </c>
      <c r="QU44" s="15" t="s">
        <v>668</v>
      </c>
      <c r="QV44" s="15" t="s">
        <v>668</v>
      </c>
      <c r="QW44" s="15" t="s">
        <v>668</v>
      </c>
      <c r="QX44" s="15" t="s">
        <v>668</v>
      </c>
      <c r="QY44" s="15" t="s">
        <v>668</v>
      </c>
      <c r="QZ44" s="15" t="s">
        <v>668</v>
      </c>
      <c r="RA44" s="15" t="s">
        <v>668</v>
      </c>
      <c r="RB44" s="15" t="s">
        <v>668</v>
      </c>
      <c r="RC44" s="15" t="s">
        <v>668</v>
      </c>
      <c r="RD44" s="15" t="s">
        <v>668</v>
      </c>
      <c r="RE44" s="15" t="s">
        <v>668</v>
      </c>
      <c r="RF44" s="15" t="s">
        <v>668</v>
      </c>
      <c r="RG44" s="15" t="s">
        <v>668</v>
      </c>
      <c r="RH44" s="15" t="s">
        <v>668</v>
      </c>
      <c r="RI44" s="15" t="s">
        <v>668</v>
      </c>
      <c r="RJ44" s="15" t="s">
        <v>668</v>
      </c>
      <c r="RK44" s="15" t="s">
        <v>668</v>
      </c>
      <c r="RL44" s="15" t="s">
        <v>668</v>
      </c>
      <c r="RM44" s="15" t="s">
        <v>668</v>
      </c>
      <c r="RN44" s="15" t="s">
        <v>668</v>
      </c>
      <c r="RO44" s="15" t="s">
        <v>668</v>
      </c>
      <c r="RP44" s="15" t="s">
        <v>668</v>
      </c>
      <c r="RQ44" s="15" t="s">
        <v>668</v>
      </c>
      <c r="RR44" s="15" t="s">
        <v>668</v>
      </c>
      <c r="RS44" s="15" t="s">
        <v>668</v>
      </c>
      <c r="RT44" s="15" t="s">
        <v>668</v>
      </c>
      <c r="RU44" s="15" t="s">
        <v>668</v>
      </c>
      <c r="RV44" s="15" t="s">
        <v>668</v>
      </c>
      <c r="RW44" s="15" t="s">
        <v>668</v>
      </c>
      <c r="RX44" s="15" t="s">
        <v>668</v>
      </c>
      <c r="RY44" s="15" t="s">
        <v>668</v>
      </c>
      <c r="RZ44" s="15" t="s">
        <v>668</v>
      </c>
      <c r="SA44" s="15" t="s">
        <v>668</v>
      </c>
      <c r="SB44" s="15" t="s">
        <v>668</v>
      </c>
      <c r="SC44" s="15" t="s">
        <v>668</v>
      </c>
      <c r="SD44" s="15" t="s">
        <v>668</v>
      </c>
      <c r="SE44" s="15" t="s">
        <v>668</v>
      </c>
      <c r="SF44" s="15" t="s">
        <v>668</v>
      </c>
      <c r="SG44" s="15" t="s">
        <v>668</v>
      </c>
      <c r="SH44" s="15" t="s">
        <v>668</v>
      </c>
      <c r="SI44" s="15" t="s">
        <v>668</v>
      </c>
      <c r="SJ44" s="15" t="s">
        <v>668</v>
      </c>
      <c r="SK44" s="15" t="s">
        <v>668</v>
      </c>
      <c r="SL44" s="15" t="s">
        <v>668</v>
      </c>
      <c r="SM44" s="15" t="s">
        <v>668</v>
      </c>
    </row>
    <row r="45" spans="1:507" x14ac:dyDescent="0.2">
      <c r="A45" s="37">
        <v>43</v>
      </c>
      <c r="B45" s="48" t="s">
        <v>672</v>
      </c>
      <c r="C45" s="17">
        <f>+'Detalle Compras'!D45</f>
        <v>202507100059</v>
      </c>
      <c r="D45" s="55">
        <f t="shared" si="13"/>
        <v>7.8443420000000001</v>
      </c>
      <c r="E45" s="14">
        <f>+IF(B45="","",'Detalle Compras'!S45+0)</f>
        <v>45910</v>
      </c>
      <c r="F45" s="14">
        <f>+IF(B45="","",EOMONTH('Detalle Compras'!S45,G45)+10)</f>
        <v>60550</v>
      </c>
      <c r="G45" s="50">
        <f t="shared" si="14"/>
        <v>480</v>
      </c>
      <c r="H45" s="50">
        <f t="shared" si="15"/>
        <v>475</v>
      </c>
      <c r="AA45" s="37">
        <v>7.8443420000000001</v>
      </c>
      <c r="AB45" s="37">
        <v>7.8443420000000001</v>
      </c>
      <c r="AC45" s="37">
        <v>7.8443420000000001</v>
      </c>
      <c r="AD45" s="37">
        <v>7.8443420000000001</v>
      </c>
      <c r="AE45" s="37">
        <v>7.8443420000000001</v>
      </c>
      <c r="AF45" s="37">
        <v>7.8443420000000001</v>
      </c>
      <c r="AG45" s="37">
        <v>7.8443420000000001</v>
      </c>
      <c r="AH45" s="37">
        <v>7.8443420000000001</v>
      </c>
      <c r="AI45" s="37">
        <v>7.8443420000000001</v>
      </c>
      <c r="AJ45" s="37">
        <v>7.8443420000000001</v>
      </c>
      <c r="AK45" s="37">
        <v>7.8443420000000001</v>
      </c>
      <c r="AL45" s="37">
        <v>7.8443420000000001</v>
      </c>
      <c r="AM45" s="37">
        <v>7.8443420000000001</v>
      </c>
      <c r="AN45" s="37">
        <v>7.8443420000000001</v>
      </c>
      <c r="AO45" s="37">
        <v>7.8443420000000001</v>
      </c>
      <c r="AP45" s="37">
        <v>7.8443420000000001</v>
      </c>
      <c r="AQ45" s="37">
        <v>7.8443420000000001</v>
      </c>
      <c r="AR45" s="37">
        <v>7.8443420000000001</v>
      </c>
      <c r="AS45" s="37">
        <v>7.8443420000000001</v>
      </c>
      <c r="AT45" s="37">
        <v>7.8443420000000001</v>
      </c>
      <c r="AU45" s="37">
        <v>7.8443420000000001</v>
      </c>
      <c r="AV45" s="37">
        <v>7.8443420000000001</v>
      </c>
      <c r="AW45" s="37">
        <v>7.8443420000000001</v>
      </c>
      <c r="AX45" s="37">
        <v>7.8443420000000001</v>
      </c>
      <c r="AY45" s="37">
        <v>7.8443420000000001</v>
      </c>
      <c r="AZ45" s="37">
        <v>7.8443420000000001</v>
      </c>
      <c r="BA45" s="37">
        <v>7.8443420000000001</v>
      </c>
      <c r="BB45" s="37">
        <v>7.8443420000000001</v>
      </c>
      <c r="BC45" s="37">
        <v>7.8443420000000001</v>
      </c>
      <c r="BD45" s="37">
        <v>7.8443420000000001</v>
      </c>
      <c r="BE45" s="37">
        <v>7.8443420000000001</v>
      </c>
      <c r="BF45" s="37">
        <v>7.8443420000000001</v>
      </c>
      <c r="BG45" s="37">
        <v>7.8443420000000001</v>
      </c>
      <c r="BH45" s="37">
        <v>7.8443420000000001</v>
      </c>
      <c r="BI45" s="37">
        <v>7.8443420000000001</v>
      </c>
      <c r="BJ45" s="37">
        <v>7.8443420000000001</v>
      </c>
      <c r="BK45" s="37">
        <v>7.8443420000000001</v>
      </c>
      <c r="BL45" s="37">
        <v>7.8443420000000001</v>
      </c>
      <c r="BM45" s="37">
        <v>7.8443420000000001</v>
      </c>
      <c r="BN45" s="37">
        <v>7.8443420000000001</v>
      </c>
      <c r="BO45" s="37">
        <v>7.8443420000000001</v>
      </c>
      <c r="BP45" s="37">
        <v>7.8443420000000001</v>
      </c>
      <c r="BQ45" s="37">
        <v>7.8443420000000001</v>
      </c>
      <c r="BR45" s="37">
        <v>7.8443420000000001</v>
      </c>
      <c r="BS45" s="37">
        <v>7.8443420000000001</v>
      </c>
      <c r="BT45" s="37">
        <v>7.8443420000000001</v>
      </c>
      <c r="BU45" s="37">
        <v>7.8443420000000001</v>
      </c>
      <c r="BV45" s="37">
        <v>7.8443420000000001</v>
      </c>
      <c r="BW45" s="37">
        <v>7.8443420000000001</v>
      </c>
      <c r="BX45" s="37">
        <v>7.8443420000000001</v>
      </c>
      <c r="BY45" s="37">
        <v>7.8443420000000001</v>
      </c>
      <c r="BZ45" s="37">
        <v>7.8443420000000001</v>
      </c>
      <c r="CA45" s="37">
        <v>7.8443420000000001</v>
      </c>
      <c r="CB45" s="37">
        <v>7.8443420000000001</v>
      </c>
      <c r="CC45" s="37">
        <v>7.8443420000000001</v>
      </c>
      <c r="CD45" s="37">
        <v>7.8443420000000001</v>
      </c>
      <c r="CE45" s="37">
        <v>7.8443420000000001</v>
      </c>
      <c r="CF45" s="37">
        <v>7.8443420000000001</v>
      </c>
      <c r="CG45" s="37">
        <v>7.8443420000000001</v>
      </c>
      <c r="CH45" s="37">
        <v>7.8443420000000001</v>
      </c>
      <c r="CI45" s="37">
        <v>7.8443420000000001</v>
      </c>
      <c r="CJ45" s="37">
        <v>7.8443420000000001</v>
      </c>
      <c r="CK45" s="37">
        <v>7.8443420000000001</v>
      </c>
      <c r="CL45" s="37">
        <v>7.8443420000000001</v>
      </c>
      <c r="CM45" s="37">
        <v>7.8443420000000001</v>
      </c>
      <c r="CN45" s="37">
        <v>7.8443420000000001</v>
      </c>
      <c r="CO45" s="37">
        <v>7.8443420000000001</v>
      </c>
      <c r="CP45" s="37">
        <v>7.8443420000000001</v>
      </c>
      <c r="CQ45" s="37">
        <v>7.8443420000000001</v>
      </c>
      <c r="CR45" s="37">
        <v>7.8443420000000001</v>
      </c>
      <c r="CS45" s="37">
        <v>7.8443420000000001</v>
      </c>
      <c r="CT45" s="37">
        <v>7.8443420000000001</v>
      </c>
      <c r="CU45" s="37">
        <v>7.8443420000000001</v>
      </c>
      <c r="CV45" s="37">
        <v>7.8443420000000001</v>
      </c>
      <c r="CW45" s="37">
        <v>7.8443420000000001</v>
      </c>
      <c r="CX45" s="37">
        <v>7.8443420000000001</v>
      </c>
      <c r="CY45" s="37">
        <v>7.8443420000000001</v>
      </c>
      <c r="CZ45" s="37">
        <v>7.8443420000000001</v>
      </c>
      <c r="DA45" s="37">
        <v>7.8443420000000001</v>
      </c>
      <c r="DB45" s="37">
        <v>7.8443420000000001</v>
      </c>
      <c r="DC45" s="37">
        <v>7.8443420000000001</v>
      </c>
      <c r="DD45" s="37">
        <v>7.8443420000000001</v>
      </c>
      <c r="DE45" s="37">
        <v>7.8443420000000001</v>
      </c>
      <c r="DF45" s="37">
        <v>7.8443420000000001</v>
      </c>
      <c r="DG45" s="37">
        <v>7.8443420000000001</v>
      </c>
      <c r="DH45" s="37">
        <v>7.8443420000000001</v>
      </c>
      <c r="DI45" s="37">
        <v>7.8443420000000001</v>
      </c>
      <c r="DJ45" s="37">
        <v>7.8443420000000001</v>
      </c>
      <c r="DK45" s="37">
        <v>7.8443420000000001</v>
      </c>
      <c r="DL45" s="37">
        <v>7.8443420000000001</v>
      </c>
      <c r="DM45" s="37">
        <v>7.8443420000000001</v>
      </c>
      <c r="DN45" s="37">
        <v>7.8443420000000001</v>
      </c>
      <c r="DO45" s="37">
        <v>7.8443420000000001</v>
      </c>
      <c r="DP45" s="37">
        <v>7.8443420000000001</v>
      </c>
      <c r="DQ45" s="37">
        <v>7.8443420000000001</v>
      </c>
      <c r="DR45" s="37">
        <v>7.8443420000000001</v>
      </c>
      <c r="DS45" s="37">
        <v>7.8443420000000001</v>
      </c>
      <c r="DT45" s="37">
        <v>7.8443420000000001</v>
      </c>
      <c r="DU45" s="37">
        <v>7.8443420000000001</v>
      </c>
      <c r="DV45" s="37">
        <v>7.8443420000000001</v>
      </c>
      <c r="DW45" s="37">
        <v>7.8443420000000001</v>
      </c>
      <c r="DX45" s="37">
        <v>7.8443420000000001</v>
      </c>
      <c r="DY45" s="37">
        <v>7.8443420000000001</v>
      </c>
      <c r="DZ45" s="37">
        <v>7.8443420000000001</v>
      </c>
      <c r="EA45" s="37">
        <v>7.8443420000000001</v>
      </c>
      <c r="EB45" s="37">
        <v>7.8443420000000001</v>
      </c>
      <c r="EC45" s="37">
        <v>7.8443420000000001</v>
      </c>
      <c r="ED45" s="37">
        <v>7.8443420000000001</v>
      </c>
      <c r="EE45" s="37">
        <v>7.8443420000000001</v>
      </c>
      <c r="EF45" s="37">
        <v>7.8443420000000001</v>
      </c>
      <c r="EG45" s="37">
        <v>7.8443420000000001</v>
      </c>
      <c r="EH45" s="37">
        <v>7.8443420000000001</v>
      </c>
      <c r="EI45" s="37">
        <v>7.8443420000000001</v>
      </c>
      <c r="EJ45" s="37">
        <v>7.8443420000000001</v>
      </c>
      <c r="EK45" s="37">
        <v>7.8443420000000001</v>
      </c>
      <c r="EL45" s="37">
        <v>7.8443420000000001</v>
      </c>
      <c r="EM45" s="37">
        <v>7.8443420000000001</v>
      </c>
      <c r="EN45" s="37">
        <v>7.8443420000000001</v>
      </c>
      <c r="EO45" s="37">
        <v>7.8443420000000001</v>
      </c>
      <c r="EP45" s="37">
        <v>7.8443420000000001</v>
      </c>
      <c r="EQ45" s="37">
        <v>7.8443420000000001</v>
      </c>
      <c r="ER45" s="37">
        <v>7.8443420000000001</v>
      </c>
      <c r="ES45" s="37">
        <v>7.8443420000000001</v>
      </c>
      <c r="ET45" s="37">
        <v>7.8443420000000001</v>
      </c>
      <c r="EU45" s="37">
        <v>7.8443420000000001</v>
      </c>
      <c r="EV45" s="37">
        <v>7.8443420000000001</v>
      </c>
      <c r="EW45" s="37">
        <v>7.8443420000000001</v>
      </c>
      <c r="EX45" s="37">
        <v>7.8443420000000001</v>
      </c>
      <c r="EY45" s="37">
        <v>7.8443420000000001</v>
      </c>
      <c r="EZ45" s="37">
        <v>7.8443420000000001</v>
      </c>
      <c r="FA45" s="37">
        <v>7.8443420000000001</v>
      </c>
      <c r="FB45" s="37">
        <v>7.8443420000000001</v>
      </c>
      <c r="FC45" s="37">
        <v>7.8443420000000001</v>
      </c>
      <c r="FD45" s="37">
        <v>7.8443420000000001</v>
      </c>
      <c r="FE45" s="37">
        <v>7.8443420000000001</v>
      </c>
      <c r="FF45" s="37">
        <v>7.8443420000000001</v>
      </c>
      <c r="FG45" s="37">
        <v>7.8443420000000001</v>
      </c>
      <c r="FH45" s="37">
        <v>7.8443420000000001</v>
      </c>
      <c r="FI45" s="37">
        <v>7.8443420000000001</v>
      </c>
      <c r="FJ45" s="37">
        <v>7.8443420000000001</v>
      </c>
      <c r="FK45" s="37">
        <v>7.8443420000000001</v>
      </c>
      <c r="FL45" s="37">
        <v>7.8443420000000001</v>
      </c>
      <c r="FM45" s="37">
        <v>7.8443420000000001</v>
      </c>
      <c r="FN45" s="37">
        <v>7.8443420000000001</v>
      </c>
      <c r="FO45" s="37">
        <v>7.8443420000000001</v>
      </c>
      <c r="FP45" s="37">
        <v>7.8443420000000001</v>
      </c>
      <c r="FQ45" s="37">
        <v>7.8443420000000001</v>
      </c>
      <c r="FR45" s="37">
        <v>7.8443420000000001</v>
      </c>
      <c r="FS45" s="37">
        <v>7.8443420000000001</v>
      </c>
      <c r="FT45" s="37">
        <v>7.8443420000000001</v>
      </c>
      <c r="FU45" s="37">
        <v>7.8443420000000001</v>
      </c>
      <c r="FV45" s="37">
        <v>7.8443420000000001</v>
      </c>
      <c r="FW45" s="37">
        <v>7.8443420000000001</v>
      </c>
      <c r="FX45" s="37">
        <v>7.8443420000000001</v>
      </c>
      <c r="FY45" s="37">
        <v>7.8443420000000001</v>
      </c>
      <c r="FZ45" s="37">
        <v>7.8443420000000001</v>
      </c>
      <c r="GA45" s="37">
        <v>7.8443420000000001</v>
      </c>
      <c r="GB45" s="37">
        <v>7.8443420000000001</v>
      </c>
      <c r="GC45" s="37">
        <v>7.8443420000000001</v>
      </c>
      <c r="GD45" s="37">
        <v>7.8443420000000001</v>
      </c>
      <c r="GE45" s="37">
        <v>7.8443420000000001</v>
      </c>
      <c r="GF45" s="37">
        <v>7.8443420000000001</v>
      </c>
      <c r="GG45" s="37">
        <v>7.8443420000000001</v>
      </c>
      <c r="GH45" s="37">
        <v>7.8443420000000001</v>
      </c>
      <c r="GI45" s="37">
        <v>7.8443420000000001</v>
      </c>
      <c r="GJ45" s="37">
        <v>7.8443420000000001</v>
      </c>
      <c r="GK45" s="37">
        <v>7.8443420000000001</v>
      </c>
      <c r="GL45" s="37">
        <v>7.8443420000000001</v>
      </c>
      <c r="GM45" s="37">
        <v>7.8443420000000001</v>
      </c>
      <c r="GN45" s="37">
        <v>7.8443420000000001</v>
      </c>
      <c r="GO45" s="37">
        <v>7.8443420000000001</v>
      </c>
      <c r="GP45" s="37">
        <v>7.8443420000000001</v>
      </c>
      <c r="GQ45" s="37">
        <v>7.8443420000000001</v>
      </c>
      <c r="GR45" s="37">
        <v>7.8443420000000001</v>
      </c>
      <c r="GS45" s="37">
        <v>7.8443420000000001</v>
      </c>
      <c r="GT45" s="37">
        <v>7.8443420000000001</v>
      </c>
      <c r="GU45" s="37">
        <v>7.8443420000000001</v>
      </c>
      <c r="GV45" s="37">
        <v>7.8443420000000001</v>
      </c>
      <c r="GW45" s="37">
        <v>7.8443420000000001</v>
      </c>
      <c r="GX45" s="37">
        <v>7.8443420000000001</v>
      </c>
      <c r="GY45" s="37">
        <v>7.8443420000000001</v>
      </c>
      <c r="GZ45" s="37">
        <v>7.8443420000000001</v>
      </c>
      <c r="HA45" s="37">
        <v>7.8443420000000001</v>
      </c>
      <c r="HB45" s="37">
        <v>7.8443420000000001</v>
      </c>
      <c r="HC45" s="37">
        <v>7.8443420000000001</v>
      </c>
      <c r="HD45" s="37">
        <v>7.8443420000000001</v>
      </c>
      <c r="HE45" s="37">
        <v>7.8443420000000001</v>
      </c>
      <c r="HF45" s="37">
        <v>7.8443420000000001</v>
      </c>
      <c r="HG45" s="37">
        <v>7.8443420000000001</v>
      </c>
      <c r="HH45" s="37">
        <v>7.8443420000000001</v>
      </c>
      <c r="HI45" s="37">
        <v>7.8443420000000001</v>
      </c>
      <c r="HJ45" s="37">
        <v>7.8443420000000001</v>
      </c>
      <c r="HK45" s="37">
        <v>7.8443420000000001</v>
      </c>
      <c r="HL45" s="37">
        <v>7.8443420000000001</v>
      </c>
      <c r="HM45" s="37">
        <v>7.8443420000000001</v>
      </c>
      <c r="HN45" s="37">
        <v>7.8443420000000001</v>
      </c>
      <c r="HO45" s="37">
        <v>7.8443420000000001</v>
      </c>
      <c r="HP45" s="37">
        <v>7.8443420000000001</v>
      </c>
      <c r="HQ45" s="37">
        <v>7.8443420000000001</v>
      </c>
      <c r="HR45" s="37">
        <v>7.8443420000000001</v>
      </c>
      <c r="HS45" s="37">
        <v>7.8443420000000001</v>
      </c>
      <c r="HT45" s="37">
        <v>7.8443420000000001</v>
      </c>
      <c r="HU45" s="37">
        <v>7.8443420000000001</v>
      </c>
      <c r="HV45" s="37">
        <v>7.8443420000000001</v>
      </c>
      <c r="HW45" s="37">
        <v>7.8443420000000001</v>
      </c>
      <c r="HX45" s="37">
        <v>7.8443420000000001</v>
      </c>
      <c r="HY45" s="37">
        <v>7.8443420000000001</v>
      </c>
      <c r="HZ45" s="37">
        <v>7.8443420000000001</v>
      </c>
      <c r="IA45" s="37">
        <v>7.8443420000000001</v>
      </c>
      <c r="IB45" s="37">
        <v>7.8443420000000001</v>
      </c>
      <c r="IC45" s="37">
        <v>7.8443420000000001</v>
      </c>
      <c r="ID45" s="37">
        <v>7.8443420000000001</v>
      </c>
      <c r="IE45" s="37">
        <v>7.8443420000000001</v>
      </c>
      <c r="IF45" s="37">
        <v>7.8443420000000001</v>
      </c>
      <c r="IG45" s="37">
        <v>7.8443420000000001</v>
      </c>
      <c r="IH45" s="37">
        <v>7.8443420000000001</v>
      </c>
      <c r="II45" s="37">
        <v>7.8443420000000001</v>
      </c>
      <c r="IJ45" s="37">
        <v>7.8443420000000001</v>
      </c>
      <c r="IK45" s="37">
        <v>7.8443420000000001</v>
      </c>
      <c r="IL45" s="37">
        <v>7.8443420000000001</v>
      </c>
      <c r="IM45" s="37">
        <v>7.8443420000000001</v>
      </c>
      <c r="IN45" s="37">
        <v>7.8443420000000001</v>
      </c>
      <c r="IO45" s="37">
        <v>7.8443420000000001</v>
      </c>
      <c r="IP45" s="37">
        <v>7.8443420000000001</v>
      </c>
      <c r="IQ45" s="37">
        <v>7.8443420000000001</v>
      </c>
      <c r="IR45" s="37">
        <v>7.8443420000000001</v>
      </c>
      <c r="IS45" s="37">
        <v>7.8443420000000001</v>
      </c>
      <c r="IT45" s="37">
        <v>7.8443420000000001</v>
      </c>
      <c r="IU45" s="37">
        <v>7.8443420000000001</v>
      </c>
      <c r="IV45" s="37">
        <v>7.8443420000000001</v>
      </c>
      <c r="IW45" s="37">
        <v>7.8443420000000001</v>
      </c>
      <c r="IX45" s="37">
        <v>7.8443420000000001</v>
      </c>
      <c r="IY45" s="37">
        <v>7.8443420000000001</v>
      </c>
      <c r="IZ45" s="37">
        <v>7.8443420000000001</v>
      </c>
      <c r="JA45" s="37">
        <v>7.8443420000000001</v>
      </c>
      <c r="JB45" s="37">
        <v>7.8443420000000001</v>
      </c>
      <c r="JC45" s="37">
        <v>7.8443420000000001</v>
      </c>
      <c r="JD45" s="37">
        <v>7.8443420000000001</v>
      </c>
      <c r="JE45" s="37">
        <v>7.8443420000000001</v>
      </c>
      <c r="JF45" s="37">
        <v>7.8443420000000001</v>
      </c>
      <c r="JG45" s="37">
        <v>7.8443420000000001</v>
      </c>
      <c r="JH45" s="37">
        <v>7.8443420000000001</v>
      </c>
      <c r="JI45" s="37">
        <v>7.8443420000000001</v>
      </c>
      <c r="JJ45" s="37">
        <v>7.8443420000000001</v>
      </c>
      <c r="JK45" s="37">
        <v>7.8443420000000001</v>
      </c>
      <c r="JL45" s="37">
        <v>7.8443420000000001</v>
      </c>
      <c r="JM45" s="37">
        <v>7.8443420000000001</v>
      </c>
      <c r="JN45" s="37">
        <v>7.8443420000000001</v>
      </c>
      <c r="JO45" s="37">
        <v>7.8443420000000001</v>
      </c>
      <c r="JP45" s="37">
        <v>7.8443420000000001</v>
      </c>
      <c r="JQ45" s="37">
        <v>7.8443420000000001</v>
      </c>
      <c r="JR45" s="37">
        <v>7.8443420000000001</v>
      </c>
      <c r="JS45" s="37">
        <v>7.8443420000000001</v>
      </c>
      <c r="JT45" s="37">
        <v>7.8443420000000001</v>
      </c>
      <c r="JU45" s="37">
        <v>7.8443420000000001</v>
      </c>
      <c r="JV45" s="37">
        <v>7.8443420000000001</v>
      </c>
      <c r="JW45" s="37">
        <v>7.8443420000000001</v>
      </c>
      <c r="JX45" s="37">
        <v>7.8443420000000001</v>
      </c>
      <c r="JY45" s="37">
        <v>7.8443420000000001</v>
      </c>
      <c r="JZ45" s="37">
        <v>7.8443420000000001</v>
      </c>
      <c r="KA45" s="37">
        <v>7.8443420000000001</v>
      </c>
      <c r="KB45" s="37">
        <v>7.8443420000000001</v>
      </c>
      <c r="KC45" s="37">
        <v>7.8443420000000001</v>
      </c>
      <c r="KD45" s="37">
        <v>7.8443420000000001</v>
      </c>
      <c r="KE45" s="37">
        <v>7.8443420000000001</v>
      </c>
      <c r="KF45" s="37">
        <v>7.8443420000000001</v>
      </c>
      <c r="KG45" s="37">
        <v>7.8443420000000001</v>
      </c>
      <c r="KH45" s="37">
        <v>7.8443420000000001</v>
      </c>
      <c r="KI45" s="37">
        <v>7.8443420000000001</v>
      </c>
      <c r="KJ45" s="37">
        <v>7.8443420000000001</v>
      </c>
      <c r="KK45" s="37">
        <v>7.8443420000000001</v>
      </c>
      <c r="KL45" s="37">
        <v>7.8443420000000001</v>
      </c>
      <c r="KM45" s="37">
        <v>7.8443420000000001</v>
      </c>
      <c r="KN45" s="37">
        <v>7.8443420000000001</v>
      </c>
      <c r="KO45" s="37">
        <v>7.8443420000000001</v>
      </c>
      <c r="KP45" s="37">
        <v>7.8443420000000001</v>
      </c>
      <c r="KQ45" s="37">
        <v>7.8443420000000001</v>
      </c>
      <c r="KR45" s="37">
        <v>7.8443420000000001</v>
      </c>
      <c r="KS45" s="37">
        <v>7.8443420000000001</v>
      </c>
      <c r="KT45" s="37">
        <v>7.8443420000000001</v>
      </c>
      <c r="KU45" s="37">
        <v>7.8443420000000001</v>
      </c>
      <c r="KV45" s="37">
        <v>7.8443420000000001</v>
      </c>
      <c r="KW45" s="37">
        <v>7.8443420000000001</v>
      </c>
      <c r="KX45" s="37">
        <v>7.8443420000000001</v>
      </c>
      <c r="KY45" s="37">
        <v>7.8443420000000001</v>
      </c>
      <c r="KZ45" s="37">
        <v>7.8443420000000001</v>
      </c>
      <c r="LA45" s="37">
        <v>7.8443420000000001</v>
      </c>
      <c r="LB45" s="37">
        <v>7.8443420000000001</v>
      </c>
      <c r="LC45" s="37">
        <v>7.8443420000000001</v>
      </c>
      <c r="LD45" s="37">
        <v>7.8443420000000001</v>
      </c>
      <c r="LE45" s="37">
        <v>7.8443420000000001</v>
      </c>
      <c r="LF45" s="37">
        <v>7.8443420000000001</v>
      </c>
      <c r="LG45" s="37">
        <v>7.8443420000000001</v>
      </c>
      <c r="LH45" s="37">
        <v>7.8443420000000001</v>
      </c>
      <c r="LI45" s="37">
        <v>7.8443420000000001</v>
      </c>
      <c r="LJ45" s="37">
        <v>7.8443420000000001</v>
      </c>
      <c r="LK45" s="37">
        <v>7.8443420000000001</v>
      </c>
      <c r="LL45" s="37">
        <v>7.8443420000000001</v>
      </c>
      <c r="LM45" s="37">
        <v>7.8443420000000001</v>
      </c>
      <c r="LN45" s="37">
        <v>7.8443420000000001</v>
      </c>
      <c r="LO45" s="37">
        <v>7.8443420000000001</v>
      </c>
      <c r="LP45" s="37">
        <v>7.8443420000000001</v>
      </c>
      <c r="LQ45" s="37">
        <v>7.8443420000000001</v>
      </c>
      <c r="LR45" s="37">
        <v>7.8443420000000001</v>
      </c>
      <c r="LS45" s="37">
        <v>7.8443420000000001</v>
      </c>
      <c r="LT45" s="37">
        <v>7.8443420000000001</v>
      </c>
      <c r="LU45" s="37">
        <v>7.8443420000000001</v>
      </c>
      <c r="LV45" s="37">
        <v>7.8443420000000001</v>
      </c>
      <c r="LW45" s="37">
        <v>7.8443420000000001</v>
      </c>
      <c r="LX45" s="37">
        <v>7.8443420000000001</v>
      </c>
      <c r="LY45" s="37">
        <v>7.8443420000000001</v>
      </c>
      <c r="LZ45" s="37">
        <v>7.8443420000000001</v>
      </c>
      <c r="MA45" s="37">
        <v>7.8443420000000001</v>
      </c>
      <c r="MB45" s="37">
        <v>7.8443420000000001</v>
      </c>
      <c r="MC45" s="37">
        <v>7.8443420000000001</v>
      </c>
      <c r="MD45" s="37">
        <v>7.8443420000000001</v>
      </c>
      <c r="ME45" s="37">
        <v>7.8443420000000001</v>
      </c>
      <c r="MF45" s="37">
        <v>7.8443420000000001</v>
      </c>
      <c r="MG45" s="37">
        <v>7.8443420000000001</v>
      </c>
      <c r="MH45" s="37">
        <v>7.8443420000000001</v>
      </c>
      <c r="MI45" s="37">
        <v>7.8443420000000001</v>
      </c>
      <c r="MJ45" s="37">
        <v>7.8443420000000001</v>
      </c>
      <c r="MK45" s="37">
        <v>7.8443420000000001</v>
      </c>
      <c r="ML45" s="37">
        <v>7.8443420000000001</v>
      </c>
      <c r="MM45" s="37">
        <v>7.8443420000000001</v>
      </c>
      <c r="MN45" s="37">
        <v>7.8443420000000001</v>
      </c>
      <c r="MO45" s="37">
        <v>7.8443420000000001</v>
      </c>
      <c r="MP45" s="37">
        <v>7.8443420000000001</v>
      </c>
      <c r="MQ45" s="37">
        <v>7.8443420000000001</v>
      </c>
      <c r="MR45" s="37">
        <v>7.8443420000000001</v>
      </c>
      <c r="MS45" s="37">
        <v>7.8443420000000001</v>
      </c>
      <c r="MT45" s="37">
        <v>7.8443420000000001</v>
      </c>
      <c r="MU45" s="37">
        <v>7.8443420000000001</v>
      </c>
      <c r="MV45" s="37">
        <v>7.8443420000000001</v>
      </c>
      <c r="MW45" s="37">
        <v>7.8443420000000001</v>
      </c>
      <c r="MX45" s="37">
        <v>7.8443420000000001</v>
      </c>
      <c r="MY45" s="37">
        <v>7.8443420000000001</v>
      </c>
      <c r="MZ45" s="37">
        <v>7.8443420000000001</v>
      </c>
      <c r="NA45" s="37">
        <v>7.8443420000000001</v>
      </c>
      <c r="NB45" s="37">
        <v>7.8443420000000001</v>
      </c>
      <c r="NC45" s="37">
        <v>7.8443420000000001</v>
      </c>
      <c r="ND45" s="37">
        <v>7.8443420000000001</v>
      </c>
      <c r="NE45" s="37">
        <v>7.8443420000000001</v>
      </c>
      <c r="NF45" s="37">
        <v>7.8443420000000001</v>
      </c>
      <c r="NG45" s="37">
        <v>7.8443420000000001</v>
      </c>
      <c r="NH45" s="37">
        <v>7.8443420000000001</v>
      </c>
      <c r="NI45" s="37">
        <v>7.8443420000000001</v>
      </c>
      <c r="NJ45" s="37">
        <v>7.8443420000000001</v>
      </c>
      <c r="NK45" s="37">
        <v>7.8443420000000001</v>
      </c>
      <c r="NL45" s="37">
        <v>7.8443420000000001</v>
      </c>
      <c r="NM45" s="37">
        <v>7.8443420000000001</v>
      </c>
      <c r="NN45" s="37">
        <v>7.8443420000000001</v>
      </c>
      <c r="NO45" s="37">
        <v>7.8443420000000001</v>
      </c>
      <c r="NP45" s="37">
        <v>7.8443420000000001</v>
      </c>
      <c r="NQ45" s="37">
        <v>7.8443420000000001</v>
      </c>
      <c r="NR45" s="37">
        <v>7.8443420000000001</v>
      </c>
      <c r="NS45" s="37">
        <v>7.8443420000000001</v>
      </c>
      <c r="NT45" s="37">
        <v>7.8443420000000001</v>
      </c>
      <c r="NU45" s="37">
        <v>7.8443420000000001</v>
      </c>
      <c r="NV45" s="37">
        <v>7.8443420000000001</v>
      </c>
      <c r="NW45" s="37">
        <v>7.8443420000000001</v>
      </c>
      <c r="NX45" s="37">
        <v>7.8443420000000001</v>
      </c>
      <c r="NY45" s="37">
        <v>7.8443420000000001</v>
      </c>
      <c r="NZ45" s="37">
        <v>7.8443420000000001</v>
      </c>
      <c r="OA45" s="37">
        <v>7.8443420000000001</v>
      </c>
      <c r="OB45" s="37">
        <v>7.8443420000000001</v>
      </c>
      <c r="OC45" s="37">
        <v>7.8443420000000001</v>
      </c>
      <c r="OD45" s="37">
        <v>7.8443420000000001</v>
      </c>
      <c r="OE45" s="37">
        <v>7.8443420000000001</v>
      </c>
      <c r="OF45" s="37">
        <v>7.8443420000000001</v>
      </c>
      <c r="OG45" s="37">
        <v>7.8443420000000001</v>
      </c>
      <c r="OH45" s="37">
        <v>7.8443420000000001</v>
      </c>
      <c r="OI45" s="37">
        <v>7.8443420000000001</v>
      </c>
      <c r="OJ45" s="37">
        <v>7.8443420000000001</v>
      </c>
      <c r="OK45" s="37">
        <v>7.8443420000000001</v>
      </c>
      <c r="OL45" s="37">
        <v>7.8443420000000001</v>
      </c>
      <c r="OM45" s="37">
        <v>7.8443420000000001</v>
      </c>
      <c r="ON45" s="37">
        <v>7.8443420000000001</v>
      </c>
      <c r="OO45" s="37">
        <v>7.8443420000000001</v>
      </c>
      <c r="OP45" s="37">
        <v>7.8443420000000001</v>
      </c>
      <c r="OQ45" s="37">
        <v>7.8443420000000001</v>
      </c>
      <c r="OR45" s="37">
        <v>7.8443420000000001</v>
      </c>
      <c r="OS45" s="37">
        <v>7.8443420000000001</v>
      </c>
      <c r="OT45" s="37">
        <v>7.8443420000000001</v>
      </c>
      <c r="OU45" s="37">
        <v>7.8443420000000001</v>
      </c>
      <c r="OV45" s="37">
        <v>7.8443420000000001</v>
      </c>
      <c r="OW45" s="37">
        <v>7.8443420000000001</v>
      </c>
      <c r="OX45" s="37">
        <v>7.8443420000000001</v>
      </c>
      <c r="OY45" s="37">
        <v>7.8443420000000001</v>
      </c>
      <c r="OZ45" s="37">
        <v>7.8443420000000001</v>
      </c>
      <c r="PA45" s="37">
        <v>7.8443420000000001</v>
      </c>
      <c r="PB45" s="37">
        <v>7.8443420000000001</v>
      </c>
      <c r="PC45" s="37">
        <v>7.8443420000000001</v>
      </c>
      <c r="PD45" s="37">
        <v>7.8443420000000001</v>
      </c>
      <c r="PE45" s="37">
        <v>7.8443420000000001</v>
      </c>
      <c r="PF45" s="37">
        <v>7.8443420000000001</v>
      </c>
      <c r="PG45" s="37">
        <v>7.8443420000000001</v>
      </c>
      <c r="PH45" s="37">
        <v>7.8443420000000001</v>
      </c>
      <c r="PI45" s="37">
        <v>7.8443420000000001</v>
      </c>
      <c r="PJ45" s="37">
        <v>7.8443420000000001</v>
      </c>
      <c r="PK45" s="37">
        <v>7.8443420000000001</v>
      </c>
      <c r="PL45" s="37">
        <v>7.8443420000000001</v>
      </c>
      <c r="PM45" s="37">
        <v>7.8443420000000001</v>
      </c>
      <c r="PN45" s="37">
        <v>7.8443420000000001</v>
      </c>
      <c r="PO45" s="37">
        <v>7.8443420000000001</v>
      </c>
      <c r="PP45" s="37">
        <v>7.8443420000000001</v>
      </c>
      <c r="PQ45" s="37">
        <v>7.8443420000000001</v>
      </c>
      <c r="PR45" s="37">
        <v>7.8443420000000001</v>
      </c>
      <c r="PS45" s="15">
        <v>7.8443420000000001</v>
      </c>
      <c r="PT45" s="15">
        <v>7.8443420000000001</v>
      </c>
      <c r="PU45" s="15">
        <v>7.8443420000000001</v>
      </c>
      <c r="PV45" s="15">
        <v>7.8443420000000001</v>
      </c>
      <c r="PW45" s="15">
        <v>7.8443420000000001</v>
      </c>
      <c r="PX45" s="15">
        <v>7.8443420000000001</v>
      </c>
      <c r="PY45" s="15">
        <v>7.8443420000000001</v>
      </c>
      <c r="PZ45" s="15">
        <v>7.8443420000000001</v>
      </c>
      <c r="QA45" s="15">
        <v>7.8443420000000001</v>
      </c>
      <c r="QB45" s="15">
        <v>7.8443420000000001</v>
      </c>
      <c r="QC45" s="15">
        <v>7.8443420000000001</v>
      </c>
      <c r="QD45" s="15">
        <v>7.8443420000000001</v>
      </c>
      <c r="QE45" s="15">
        <v>7.8443420000000001</v>
      </c>
      <c r="QF45" s="15">
        <v>7.8443420000000001</v>
      </c>
      <c r="QG45" s="15">
        <v>7.8443420000000001</v>
      </c>
      <c r="QH45" s="15">
        <v>7.8443420000000001</v>
      </c>
      <c r="QI45" s="15">
        <v>7.8443420000000001</v>
      </c>
      <c r="QJ45" s="15">
        <v>7.8443420000000001</v>
      </c>
      <c r="QK45" s="15">
        <v>7.8443420000000001</v>
      </c>
      <c r="QL45" s="15">
        <v>7.8443420000000001</v>
      </c>
      <c r="QM45" s="15">
        <v>7.8443420000000001</v>
      </c>
      <c r="QN45" s="15">
        <v>7.8443420000000001</v>
      </c>
      <c r="QO45" s="15">
        <v>7.8443420000000001</v>
      </c>
      <c r="QP45" s="15">
        <v>7.8443420000000001</v>
      </c>
      <c r="QQ45" s="15">
        <v>7.8443420000000001</v>
      </c>
      <c r="QR45" s="15">
        <v>7.8443420000000001</v>
      </c>
      <c r="QS45" s="15">
        <v>7.8443420000000001</v>
      </c>
      <c r="QT45" s="15">
        <v>7.8443420000000001</v>
      </c>
      <c r="QU45" s="15">
        <v>7.8443420000000001</v>
      </c>
      <c r="QV45" s="15">
        <v>7.8443420000000001</v>
      </c>
      <c r="QW45" s="15">
        <v>7.8443420000000001</v>
      </c>
      <c r="QX45" s="15">
        <v>7.8443420000000001</v>
      </c>
      <c r="QY45" s="15">
        <v>7.8443420000000001</v>
      </c>
      <c r="QZ45" s="15">
        <v>7.8443420000000001</v>
      </c>
      <c r="RA45" s="15">
        <v>7.8443420000000001</v>
      </c>
      <c r="RB45" s="15">
        <v>7.8443420000000001</v>
      </c>
      <c r="RC45" s="15">
        <v>7.8443420000000001</v>
      </c>
      <c r="RD45" s="15">
        <v>7.8443420000000001</v>
      </c>
      <c r="RE45" s="15">
        <v>7.8443420000000001</v>
      </c>
      <c r="RF45" s="15">
        <v>7.8443420000000001</v>
      </c>
      <c r="RG45" s="15">
        <v>7.8443420000000001</v>
      </c>
      <c r="RH45" s="15">
        <v>7.8443420000000001</v>
      </c>
      <c r="RI45" s="15">
        <v>7.8443420000000001</v>
      </c>
      <c r="RJ45" s="15">
        <v>7.8443420000000001</v>
      </c>
      <c r="RK45" s="15">
        <v>7.8443420000000001</v>
      </c>
      <c r="RL45" s="15">
        <v>7.8443420000000001</v>
      </c>
      <c r="RM45" s="15">
        <v>7.8443420000000001</v>
      </c>
      <c r="RN45" s="15">
        <v>7.8443420000000001</v>
      </c>
      <c r="RO45" s="15">
        <v>7.8443420000000001</v>
      </c>
      <c r="RP45" s="15">
        <v>7.8443420000000001</v>
      </c>
      <c r="RQ45" s="15">
        <v>7.8443420000000001</v>
      </c>
      <c r="RR45" s="15">
        <v>7.8443420000000001</v>
      </c>
      <c r="RS45" s="15">
        <v>7.8443420000000001</v>
      </c>
      <c r="RT45" s="15">
        <v>7.8443420000000001</v>
      </c>
      <c r="RU45" s="15">
        <v>7.8443420000000001</v>
      </c>
      <c r="RV45" s="15">
        <v>7.8443420000000001</v>
      </c>
      <c r="RW45" s="15">
        <v>7.8443420000000001</v>
      </c>
      <c r="RX45" s="15">
        <v>7.8443420000000001</v>
      </c>
      <c r="RY45" s="15">
        <v>7.8443420000000001</v>
      </c>
      <c r="RZ45" s="15">
        <v>7.8443420000000001</v>
      </c>
      <c r="SA45" s="15">
        <v>7.8443420000000001</v>
      </c>
      <c r="SB45" s="15">
        <v>7.8443420000000001</v>
      </c>
      <c r="SC45" s="15">
        <v>7.8443420000000001</v>
      </c>
      <c r="SD45" s="15">
        <v>7.8443420000000001</v>
      </c>
      <c r="SE45" s="15">
        <v>7.8443420000000001</v>
      </c>
      <c r="SF45" s="15">
        <v>7.8443420000000001</v>
      </c>
      <c r="SG45" s="15">
        <v>7.8443420000000001</v>
      </c>
      <c r="SH45" s="15">
        <v>7.8443420000000001</v>
      </c>
      <c r="SI45" s="15">
        <v>7.8443420000000001</v>
      </c>
      <c r="SJ45" s="15">
        <v>7.8443420000000001</v>
      </c>
      <c r="SK45" s="15">
        <v>7.8443420000000001</v>
      </c>
      <c r="SL45" s="15">
        <v>6.6430559999999996</v>
      </c>
      <c r="SM45" s="15" t="s">
        <v>668</v>
      </c>
    </row>
    <row r="46" spans="1:507" x14ac:dyDescent="0.2">
      <c r="A46" s="37">
        <v>44</v>
      </c>
      <c r="B46" s="48" t="s">
        <v>695</v>
      </c>
      <c r="C46" s="17">
        <f>+'Detalle Compras'!D46</f>
        <v>202507210063</v>
      </c>
      <c r="D46" s="55">
        <f t="shared" si="13"/>
        <v>9.9849300000000003</v>
      </c>
      <c r="E46" s="14">
        <f>+IF(B46="","",'Detalle Compras'!S46+0)</f>
        <v>45910</v>
      </c>
      <c r="F46" s="14">
        <f>+IF(B46="","",EOMONTH('Detalle Compras'!S46,G46)+10)</f>
        <v>58724</v>
      </c>
      <c r="G46" s="50">
        <f t="shared" si="14"/>
        <v>420</v>
      </c>
      <c r="H46" s="50">
        <f t="shared" si="15"/>
        <v>415</v>
      </c>
      <c r="AA46" s="37">
        <v>9.9849300000000003</v>
      </c>
      <c r="AB46" s="37">
        <v>9.9849300000000003</v>
      </c>
      <c r="AC46" s="37">
        <v>9.9849300000000003</v>
      </c>
      <c r="AD46" s="37">
        <v>9.9849300000000003</v>
      </c>
      <c r="AE46" s="37">
        <v>9.9849300000000003</v>
      </c>
      <c r="AF46" s="37">
        <v>9.9849300000000003</v>
      </c>
      <c r="AG46" s="37">
        <v>9.9849300000000003</v>
      </c>
      <c r="AH46" s="37">
        <v>9.9849300000000003</v>
      </c>
      <c r="AI46" s="37">
        <v>9.9849300000000003</v>
      </c>
      <c r="AJ46" s="37">
        <v>9.9849300000000003</v>
      </c>
      <c r="AK46" s="37">
        <v>9.9849300000000003</v>
      </c>
      <c r="AL46" s="37">
        <v>9.9849300000000003</v>
      </c>
      <c r="AM46" s="37">
        <v>9.9849300000000003</v>
      </c>
      <c r="AN46" s="37">
        <v>9.9849300000000003</v>
      </c>
      <c r="AO46" s="37">
        <v>9.9849300000000003</v>
      </c>
      <c r="AP46" s="37">
        <v>9.9849300000000003</v>
      </c>
      <c r="AQ46" s="37">
        <v>9.9849300000000003</v>
      </c>
      <c r="AR46" s="37">
        <v>9.9849300000000003</v>
      </c>
      <c r="AS46" s="37">
        <v>9.9849300000000003</v>
      </c>
      <c r="AT46" s="37">
        <v>9.9849300000000003</v>
      </c>
      <c r="AU46" s="37">
        <v>9.9849300000000003</v>
      </c>
      <c r="AV46" s="37">
        <v>9.9849300000000003</v>
      </c>
      <c r="AW46" s="37">
        <v>9.9849300000000003</v>
      </c>
      <c r="AX46" s="37">
        <v>9.9849300000000003</v>
      </c>
      <c r="AY46" s="37">
        <v>9.9849300000000003</v>
      </c>
      <c r="AZ46" s="37">
        <v>9.9849300000000003</v>
      </c>
      <c r="BA46" s="37">
        <v>9.9849300000000003</v>
      </c>
      <c r="BB46" s="37">
        <v>9.9849300000000003</v>
      </c>
      <c r="BC46" s="37">
        <v>9.9849300000000003</v>
      </c>
      <c r="BD46" s="37">
        <v>9.9849300000000003</v>
      </c>
      <c r="BE46" s="37">
        <v>9.9849300000000003</v>
      </c>
      <c r="BF46" s="37">
        <v>9.9849300000000003</v>
      </c>
      <c r="BG46" s="37">
        <v>9.9849300000000003</v>
      </c>
      <c r="BH46" s="37">
        <v>9.9849300000000003</v>
      </c>
      <c r="BI46" s="37">
        <v>9.9849300000000003</v>
      </c>
      <c r="BJ46" s="37">
        <v>9.9849300000000003</v>
      </c>
      <c r="BK46" s="37">
        <v>9.9849300000000003</v>
      </c>
      <c r="BL46" s="37">
        <v>9.9849300000000003</v>
      </c>
      <c r="BM46" s="37">
        <v>9.9849300000000003</v>
      </c>
      <c r="BN46" s="37">
        <v>9.9849300000000003</v>
      </c>
      <c r="BO46" s="37">
        <v>9.9849300000000003</v>
      </c>
      <c r="BP46" s="37">
        <v>9.9849300000000003</v>
      </c>
      <c r="BQ46" s="37">
        <v>9.9849300000000003</v>
      </c>
      <c r="BR46" s="37">
        <v>9.9849300000000003</v>
      </c>
      <c r="BS46" s="37">
        <v>9.9849300000000003</v>
      </c>
      <c r="BT46" s="37">
        <v>9.9849300000000003</v>
      </c>
      <c r="BU46" s="37">
        <v>9.9849300000000003</v>
      </c>
      <c r="BV46" s="37">
        <v>9.9849300000000003</v>
      </c>
      <c r="BW46" s="37">
        <v>9.9849300000000003</v>
      </c>
      <c r="BX46" s="37">
        <v>9.9849300000000003</v>
      </c>
      <c r="BY46" s="37">
        <v>9.9849300000000003</v>
      </c>
      <c r="BZ46" s="37">
        <v>9.9849300000000003</v>
      </c>
      <c r="CA46" s="37">
        <v>9.9849300000000003</v>
      </c>
      <c r="CB46" s="37">
        <v>9.9849300000000003</v>
      </c>
      <c r="CC46" s="37">
        <v>9.9849300000000003</v>
      </c>
      <c r="CD46" s="37">
        <v>9.9849300000000003</v>
      </c>
      <c r="CE46" s="37">
        <v>9.9849300000000003</v>
      </c>
      <c r="CF46" s="37">
        <v>9.9849300000000003</v>
      </c>
      <c r="CG46" s="37">
        <v>9.9849300000000003</v>
      </c>
      <c r="CH46" s="37">
        <v>9.9849300000000003</v>
      </c>
      <c r="CI46" s="37">
        <v>9.9849300000000003</v>
      </c>
      <c r="CJ46" s="37">
        <v>9.9849300000000003</v>
      </c>
      <c r="CK46" s="37">
        <v>9.9849300000000003</v>
      </c>
      <c r="CL46" s="37">
        <v>9.9849300000000003</v>
      </c>
      <c r="CM46" s="37">
        <v>9.9849300000000003</v>
      </c>
      <c r="CN46" s="37">
        <v>9.9849300000000003</v>
      </c>
      <c r="CO46" s="37">
        <v>9.9849300000000003</v>
      </c>
      <c r="CP46" s="37">
        <v>9.9849300000000003</v>
      </c>
      <c r="CQ46" s="37">
        <v>9.9849300000000003</v>
      </c>
      <c r="CR46" s="37">
        <v>9.9849300000000003</v>
      </c>
      <c r="CS46" s="37">
        <v>9.9849300000000003</v>
      </c>
      <c r="CT46" s="37">
        <v>9.9849300000000003</v>
      </c>
      <c r="CU46" s="37">
        <v>9.9849300000000003</v>
      </c>
      <c r="CV46" s="37">
        <v>9.9849300000000003</v>
      </c>
      <c r="CW46" s="37">
        <v>9.9849300000000003</v>
      </c>
      <c r="CX46" s="37">
        <v>9.9849300000000003</v>
      </c>
      <c r="CY46" s="37">
        <v>9.9849300000000003</v>
      </c>
      <c r="CZ46" s="37">
        <v>9.9849300000000003</v>
      </c>
      <c r="DA46" s="37">
        <v>9.9849300000000003</v>
      </c>
      <c r="DB46" s="37">
        <v>9.9849300000000003</v>
      </c>
      <c r="DC46" s="37">
        <v>9.9849300000000003</v>
      </c>
      <c r="DD46" s="37">
        <v>9.9849300000000003</v>
      </c>
      <c r="DE46" s="37">
        <v>9.9849300000000003</v>
      </c>
      <c r="DF46" s="37">
        <v>9.9849300000000003</v>
      </c>
      <c r="DG46" s="37">
        <v>9.9849300000000003</v>
      </c>
      <c r="DH46" s="37">
        <v>9.9849300000000003</v>
      </c>
      <c r="DI46" s="37">
        <v>9.9849300000000003</v>
      </c>
      <c r="DJ46" s="37">
        <v>9.9849300000000003</v>
      </c>
      <c r="DK46" s="37">
        <v>9.9849300000000003</v>
      </c>
      <c r="DL46" s="37">
        <v>9.9849300000000003</v>
      </c>
      <c r="DM46" s="37">
        <v>9.9849300000000003</v>
      </c>
      <c r="DN46" s="37">
        <v>9.9849300000000003</v>
      </c>
      <c r="DO46" s="37">
        <v>9.9849300000000003</v>
      </c>
      <c r="DP46" s="37">
        <v>9.9849300000000003</v>
      </c>
      <c r="DQ46" s="37">
        <v>9.9849300000000003</v>
      </c>
      <c r="DR46" s="37">
        <v>9.9849300000000003</v>
      </c>
      <c r="DS46" s="37">
        <v>9.9849300000000003</v>
      </c>
      <c r="DT46" s="37">
        <v>9.9849300000000003</v>
      </c>
      <c r="DU46" s="37">
        <v>9.9849300000000003</v>
      </c>
      <c r="DV46" s="37">
        <v>9.9849300000000003</v>
      </c>
      <c r="DW46" s="37">
        <v>9.9849300000000003</v>
      </c>
      <c r="DX46" s="37">
        <v>9.9849300000000003</v>
      </c>
      <c r="DY46" s="37">
        <v>9.9849300000000003</v>
      </c>
      <c r="DZ46" s="37">
        <v>9.9849300000000003</v>
      </c>
      <c r="EA46" s="37">
        <v>9.9849300000000003</v>
      </c>
      <c r="EB46" s="37">
        <v>9.9849300000000003</v>
      </c>
      <c r="EC46" s="37">
        <v>9.9849300000000003</v>
      </c>
      <c r="ED46" s="37">
        <v>9.9849300000000003</v>
      </c>
      <c r="EE46" s="37">
        <v>9.9849300000000003</v>
      </c>
      <c r="EF46" s="37">
        <v>9.9849300000000003</v>
      </c>
      <c r="EG46" s="37">
        <v>9.9849300000000003</v>
      </c>
      <c r="EH46" s="37">
        <v>9.9849300000000003</v>
      </c>
      <c r="EI46" s="37">
        <v>9.9849300000000003</v>
      </c>
      <c r="EJ46" s="37">
        <v>9.9849300000000003</v>
      </c>
      <c r="EK46" s="37">
        <v>9.9849300000000003</v>
      </c>
      <c r="EL46" s="37">
        <v>9.9849300000000003</v>
      </c>
      <c r="EM46" s="37">
        <v>9.9849300000000003</v>
      </c>
      <c r="EN46" s="37">
        <v>9.9849300000000003</v>
      </c>
      <c r="EO46" s="37">
        <v>9.9849300000000003</v>
      </c>
      <c r="EP46" s="37">
        <v>9.9849300000000003</v>
      </c>
      <c r="EQ46" s="37">
        <v>9.9849300000000003</v>
      </c>
      <c r="ER46" s="37">
        <v>9.9849300000000003</v>
      </c>
      <c r="ES46" s="37">
        <v>9.9849300000000003</v>
      </c>
      <c r="ET46" s="37">
        <v>9.9849300000000003</v>
      </c>
      <c r="EU46" s="37">
        <v>9.9849300000000003</v>
      </c>
      <c r="EV46" s="37">
        <v>9.9849300000000003</v>
      </c>
      <c r="EW46" s="37">
        <v>9.9849300000000003</v>
      </c>
      <c r="EX46" s="37">
        <v>9.9849300000000003</v>
      </c>
      <c r="EY46" s="37">
        <v>9.9849300000000003</v>
      </c>
      <c r="EZ46" s="37">
        <v>9.9849300000000003</v>
      </c>
      <c r="FA46" s="37">
        <v>9.9849300000000003</v>
      </c>
      <c r="FB46" s="37">
        <v>9.9849300000000003</v>
      </c>
      <c r="FC46" s="37">
        <v>9.9849300000000003</v>
      </c>
      <c r="FD46" s="37">
        <v>9.9849300000000003</v>
      </c>
      <c r="FE46" s="37">
        <v>9.9849300000000003</v>
      </c>
      <c r="FF46" s="37">
        <v>9.9849300000000003</v>
      </c>
      <c r="FG46" s="37">
        <v>9.9849300000000003</v>
      </c>
      <c r="FH46" s="37">
        <v>9.9849300000000003</v>
      </c>
      <c r="FI46" s="37">
        <v>9.9849300000000003</v>
      </c>
      <c r="FJ46" s="37">
        <v>9.9849300000000003</v>
      </c>
      <c r="FK46" s="37">
        <v>9.9849300000000003</v>
      </c>
      <c r="FL46" s="37">
        <v>9.9849300000000003</v>
      </c>
      <c r="FM46" s="37">
        <v>9.9849300000000003</v>
      </c>
      <c r="FN46" s="37">
        <v>9.9849300000000003</v>
      </c>
      <c r="FO46" s="37">
        <v>9.9849300000000003</v>
      </c>
      <c r="FP46" s="37">
        <v>9.9849300000000003</v>
      </c>
      <c r="FQ46" s="37">
        <v>9.9849300000000003</v>
      </c>
      <c r="FR46" s="37">
        <v>9.9849300000000003</v>
      </c>
      <c r="FS46" s="37">
        <v>9.9849300000000003</v>
      </c>
      <c r="FT46" s="37">
        <v>9.9849300000000003</v>
      </c>
      <c r="FU46" s="37">
        <v>9.9849300000000003</v>
      </c>
      <c r="FV46" s="37">
        <v>9.9849300000000003</v>
      </c>
      <c r="FW46" s="37">
        <v>9.9849300000000003</v>
      </c>
      <c r="FX46" s="37">
        <v>9.9849300000000003</v>
      </c>
      <c r="FY46" s="37">
        <v>9.9849300000000003</v>
      </c>
      <c r="FZ46" s="37">
        <v>9.9849300000000003</v>
      </c>
      <c r="GA46" s="37">
        <v>9.9849300000000003</v>
      </c>
      <c r="GB46" s="37">
        <v>9.9849300000000003</v>
      </c>
      <c r="GC46" s="37">
        <v>9.9849300000000003</v>
      </c>
      <c r="GD46" s="37">
        <v>9.9849300000000003</v>
      </c>
      <c r="GE46" s="37">
        <v>9.9849300000000003</v>
      </c>
      <c r="GF46" s="37">
        <v>9.9849300000000003</v>
      </c>
      <c r="GG46" s="37">
        <v>9.9849300000000003</v>
      </c>
      <c r="GH46" s="37">
        <v>9.9849300000000003</v>
      </c>
      <c r="GI46" s="37">
        <v>9.9849300000000003</v>
      </c>
      <c r="GJ46" s="37">
        <v>9.9849300000000003</v>
      </c>
      <c r="GK46" s="37">
        <v>9.9849300000000003</v>
      </c>
      <c r="GL46" s="37">
        <v>9.9849300000000003</v>
      </c>
      <c r="GM46" s="37">
        <v>9.9849300000000003</v>
      </c>
      <c r="GN46" s="37">
        <v>9.9849300000000003</v>
      </c>
      <c r="GO46" s="37">
        <v>9.9849300000000003</v>
      </c>
      <c r="GP46" s="37">
        <v>9.9849300000000003</v>
      </c>
      <c r="GQ46" s="37">
        <v>9.9849300000000003</v>
      </c>
      <c r="GR46" s="37">
        <v>9.9849300000000003</v>
      </c>
      <c r="GS46" s="37">
        <v>9.9849300000000003</v>
      </c>
      <c r="GT46" s="37">
        <v>9.9849300000000003</v>
      </c>
      <c r="GU46" s="37">
        <v>9.9849300000000003</v>
      </c>
      <c r="GV46" s="37">
        <v>9.9849300000000003</v>
      </c>
      <c r="GW46" s="37">
        <v>9.9849300000000003</v>
      </c>
      <c r="GX46" s="37">
        <v>9.9849300000000003</v>
      </c>
      <c r="GY46" s="37">
        <v>9.9849300000000003</v>
      </c>
      <c r="GZ46" s="37">
        <v>9.9849300000000003</v>
      </c>
      <c r="HA46" s="37">
        <v>9.9849300000000003</v>
      </c>
      <c r="HB46" s="37">
        <v>9.9849300000000003</v>
      </c>
      <c r="HC46" s="37">
        <v>9.9849300000000003</v>
      </c>
      <c r="HD46" s="37">
        <v>9.9849300000000003</v>
      </c>
      <c r="HE46" s="37">
        <v>9.9849300000000003</v>
      </c>
      <c r="HF46" s="37">
        <v>9.9849300000000003</v>
      </c>
      <c r="HG46" s="37">
        <v>9.9849300000000003</v>
      </c>
      <c r="HH46" s="37">
        <v>9.9849300000000003</v>
      </c>
      <c r="HI46" s="37">
        <v>9.9849300000000003</v>
      </c>
      <c r="HJ46" s="37">
        <v>9.9849300000000003</v>
      </c>
      <c r="HK46" s="37">
        <v>9.9849300000000003</v>
      </c>
      <c r="HL46" s="37">
        <v>9.9849300000000003</v>
      </c>
      <c r="HM46" s="37">
        <v>9.9849300000000003</v>
      </c>
      <c r="HN46" s="37">
        <v>9.9849300000000003</v>
      </c>
      <c r="HO46" s="37">
        <v>9.9849300000000003</v>
      </c>
      <c r="HP46" s="37">
        <v>9.9849300000000003</v>
      </c>
      <c r="HQ46" s="37">
        <v>9.9849300000000003</v>
      </c>
      <c r="HR46" s="37">
        <v>9.9849300000000003</v>
      </c>
      <c r="HS46" s="37">
        <v>9.9849300000000003</v>
      </c>
      <c r="HT46" s="37">
        <v>9.9849300000000003</v>
      </c>
      <c r="HU46" s="37">
        <v>9.9849300000000003</v>
      </c>
      <c r="HV46" s="37">
        <v>9.9849300000000003</v>
      </c>
      <c r="HW46" s="37">
        <v>9.9849300000000003</v>
      </c>
      <c r="HX46" s="37">
        <v>9.9849300000000003</v>
      </c>
      <c r="HY46" s="37">
        <v>9.9849300000000003</v>
      </c>
      <c r="HZ46" s="37">
        <v>9.9849300000000003</v>
      </c>
      <c r="IA46" s="37">
        <v>9.9849300000000003</v>
      </c>
      <c r="IB46" s="37">
        <v>9.9849300000000003</v>
      </c>
      <c r="IC46" s="37">
        <v>9.9849300000000003</v>
      </c>
      <c r="ID46" s="37">
        <v>9.9849300000000003</v>
      </c>
      <c r="IE46" s="37">
        <v>9.9849300000000003</v>
      </c>
      <c r="IF46" s="37">
        <v>9.9849300000000003</v>
      </c>
      <c r="IG46" s="37">
        <v>9.9849300000000003</v>
      </c>
      <c r="IH46" s="37">
        <v>9.9849300000000003</v>
      </c>
      <c r="II46" s="37">
        <v>9.9849300000000003</v>
      </c>
      <c r="IJ46" s="37">
        <v>9.9849300000000003</v>
      </c>
      <c r="IK46" s="37">
        <v>9.9849300000000003</v>
      </c>
      <c r="IL46" s="37">
        <v>9.9849300000000003</v>
      </c>
      <c r="IM46" s="37">
        <v>9.9849300000000003</v>
      </c>
      <c r="IN46" s="37">
        <v>9.9849300000000003</v>
      </c>
      <c r="IO46" s="37">
        <v>9.9849300000000003</v>
      </c>
      <c r="IP46" s="37">
        <v>9.9849300000000003</v>
      </c>
      <c r="IQ46" s="37">
        <v>9.9849300000000003</v>
      </c>
      <c r="IR46" s="37">
        <v>9.9849300000000003</v>
      </c>
      <c r="IS46" s="37">
        <v>9.9849300000000003</v>
      </c>
      <c r="IT46" s="37">
        <v>9.9849300000000003</v>
      </c>
      <c r="IU46" s="37">
        <v>9.9849300000000003</v>
      </c>
      <c r="IV46" s="37">
        <v>9.9849300000000003</v>
      </c>
      <c r="IW46" s="37">
        <v>9.9849300000000003</v>
      </c>
      <c r="IX46" s="37">
        <v>9.9849300000000003</v>
      </c>
      <c r="IY46" s="37">
        <v>9.9849300000000003</v>
      </c>
      <c r="IZ46" s="37">
        <v>9.9849300000000003</v>
      </c>
      <c r="JA46" s="37">
        <v>9.9849300000000003</v>
      </c>
      <c r="JB46" s="37">
        <v>9.9849300000000003</v>
      </c>
      <c r="JC46" s="37">
        <v>9.9849300000000003</v>
      </c>
      <c r="JD46" s="37">
        <v>9.9849300000000003</v>
      </c>
      <c r="JE46" s="37">
        <v>9.9849300000000003</v>
      </c>
      <c r="JF46" s="37">
        <v>9.9849300000000003</v>
      </c>
      <c r="JG46" s="37">
        <v>9.9849300000000003</v>
      </c>
      <c r="JH46" s="37">
        <v>9.9849300000000003</v>
      </c>
      <c r="JI46" s="37">
        <v>9.9849300000000003</v>
      </c>
      <c r="JJ46" s="37">
        <v>9.9849300000000003</v>
      </c>
      <c r="JK46" s="37">
        <v>9.9849300000000003</v>
      </c>
      <c r="JL46" s="37">
        <v>9.9849300000000003</v>
      </c>
      <c r="JM46" s="37">
        <v>9.9849300000000003</v>
      </c>
      <c r="JN46" s="37">
        <v>9.9849300000000003</v>
      </c>
      <c r="JO46" s="37">
        <v>9.9849300000000003</v>
      </c>
      <c r="JP46" s="37">
        <v>9.9849300000000003</v>
      </c>
      <c r="JQ46" s="37">
        <v>9.9849300000000003</v>
      </c>
      <c r="JR46" s="37">
        <v>9.9849300000000003</v>
      </c>
      <c r="JS46" s="37">
        <v>9.9849300000000003</v>
      </c>
      <c r="JT46" s="37">
        <v>9.9849300000000003</v>
      </c>
      <c r="JU46" s="37">
        <v>9.9849300000000003</v>
      </c>
      <c r="JV46" s="37">
        <v>9.9849300000000003</v>
      </c>
      <c r="JW46" s="37">
        <v>9.9849300000000003</v>
      </c>
      <c r="JX46" s="37">
        <v>9.9849300000000003</v>
      </c>
      <c r="JY46" s="37">
        <v>9.9849300000000003</v>
      </c>
      <c r="JZ46" s="37">
        <v>9.9849300000000003</v>
      </c>
      <c r="KA46" s="37">
        <v>9.9849300000000003</v>
      </c>
      <c r="KB46" s="37">
        <v>9.9849300000000003</v>
      </c>
      <c r="KC46" s="37">
        <v>9.9849300000000003</v>
      </c>
      <c r="KD46" s="37">
        <v>9.9849300000000003</v>
      </c>
      <c r="KE46" s="37">
        <v>9.9849300000000003</v>
      </c>
      <c r="KF46" s="37">
        <v>9.9849300000000003</v>
      </c>
      <c r="KG46" s="37">
        <v>9.9849300000000003</v>
      </c>
      <c r="KH46" s="37">
        <v>9.9849300000000003</v>
      </c>
      <c r="KI46" s="37">
        <v>9.9849300000000003</v>
      </c>
      <c r="KJ46" s="37">
        <v>9.9849300000000003</v>
      </c>
      <c r="KK46" s="37">
        <v>9.9849300000000003</v>
      </c>
      <c r="KL46" s="37">
        <v>9.9849300000000003</v>
      </c>
      <c r="KM46" s="37">
        <v>9.9849300000000003</v>
      </c>
      <c r="KN46" s="37">
        <v>9.9849300000000003</v>
      </c>
      <c r="KO46" s="37">
        <v>9.9849300000000003</v>
      </c>
      <c r="KP46" s="37">
        <v>9.9849300000000003</v>
      </c>
      <c r="KQ46" s="37">
        <v>9.9849300000000003</v>
      </c>
      <c r="KR46" s="37">
        <v>9.9849300000000003</v>
      </c>
      <c r="KS46" s="37">
        <v>9.9849300000000003</v>
      </c>
      <c r="KT46" s="37">
        <v>9.9849300000000003</v>
      </c>
      <c r="KU46" s="37">
        <v>9.9849300000000003</v>
      </c>
      <c r="KV46" s="37">
        <v>9.9849300000000003</v>
      </c>
      <c r="KW46" s="37">
        <v>9.9849300000000003</v>
      </c>
      <c r="KX46" s="37">
        <v>9.9849300000000003</v>
      </c>
      <c r="KY46" s="37">
        <v>9.9849300000000003</v>
      </c>
      <c r="KZ46" s="37">
        <v>9.9849300000000003</v>
      </c>
      <c r="LA46" s="37">
        <v>9.9849300000000003</v>
      </c>
      <c r="LB46" s="37">
        <v>9.9849300000000003</v>
      </c>
      <c r="LC46" s="37">
        <v>9.9849300000000003</v>
      </c>
      <c r="LD46" s="37">
        <v>9.9849300000000003</v>
      </c>
      <c r="LE46" s="37">
        <v>9.9849300000000003</v>
      </c>
      <c r="LF46" s="37">
        <v>9.9849300000000003</v>
      </c>
      <c r="LG46" s="37">
        <v>9.9849300000000003</v>
      </c>
      <c r="LH46" s="37">
        <v>9.9849300000000003</v>
      </c>
      <c r="LI46" s="37">
        <v>9.9849300000000003</v>
      </c>
      <c r="LJ46" s="37">
        <v>9.9849300000000003</v>
      </c>
      <c r="LK46" s="37">
        <v>9.9849300000000003</v>
      </c>
      <c r="LL46" s="37">
        <v>9.9849300000000003</v>
      </c>
      <c r="LM46" s="37">
        <v>9.9849300000000003</v>
      </c>
      <c r="LN46" s="37">
        <v>9.9849300000000003</v>
      </c>
      <c r="LO46" s="37">
        <v>9.9849300000000003</v>
      </c>
      <c r="LP46" s="37">
        <v>9.9849300000000003</v>
      </c>
      <c r="LQ46" s="37">
        <v>9.9849300000000003</v>
      </c>
      <c r="LR46" s="37">
        <v>9.9849300000000003</v>
      </c>
      <c r="LS46" s="37">
        <v>9.9849300000000003</v>
      </c>
      <c r="LT46" s="37">
        <v>9.9849300000000003</v>
      </c>
      <c r="LU46" s="37">
        <v>9.9849300000000003</v>
      </c>
      <c r="LV46" s="37">
        <v>9.9849300000000003</v>
      </c>
      <c r="LW46" s="37">
        <v>9.9849300000000003</v>
      </c>
      <c r="LX46" s="37">
        <v>9.9849300000000003</v>
      </c>
      <c r="LY46" s="37">
        <v>9.9849300000000003</v>
      </c>
      <c r="LZ46" s="37">
        <v>9.9849300000000003</v>
      </c>
      <c r="MA46" s="37">
        <v>9.9849300000000003</v>
      </c>
      <c r="MB46" s="37">
        <v>9.9849300000000003</v>
      </c>
      <c r="MC46" s="37">
        <v>9.9849300000000003</v>
      </c>
      <c r="MD46" s="37">
        <v>9.9849300000000003</v>
      </c>
      <c r="ME46" s="37">
        <v>9.9849300000000003</v>
      </c>
      <c r="MF46" s="37">
        <v>9.9849300000000003</v>
      </c>
      <c r="MG46" s="37">
        <v>9.9849300000000003</v>
      </c>
      <c r="MH46" s="37">
        <v>9.9849300000000003</v>
      </c>
      <c r="MI46" s="37">
        <v>9.9849300000000003</v>
      </c>
      <c r="MJ46" s="37">
        <v>9.9849300000000003</v>
      </c>
      <c r="MK46" s="37">
        <v>9.9849300000000003</v>
      </c>
      <c r="ML46" s="37">
        <v>9.9849300000000003</v>
      </c>
      <c r="MM46" s="37">
        <v>9.9849300000000003</v>
      </c>
      <c r="MN46" s="37">
        <v>9.9849300000000003</v>
      </c>
      <c r="MO46" s="37">
        <v>9.9849300000000003</v>
      </c>
      <c r="MP46" s="37">
        <v>9.9849300000000003</v>
      </c>
      <c r="MQ46" s="37">
        <v>9.9849300000000003</v>
      </c>
      <c r="MR46" s="37">
        <v>9.9849300000000003</v>
      </c>
      <c r="MS46" s="37">
        <v>9.9849300000000003</v>
      </c>
      <c r="MT46" s="37">
        <v>9.9849300000000003</v>
      </c>
      <c r="MU46" s="37">
        <v>9.9849300000000003</v>
      </c>
      <c r="MV46" s="37">
        <v>9.9849300000000003</v>
      </c>
      <c r="MW46" s="37">
        <v>9.9849300000000003</v>
      </c>
      <c r="MX46" s="37">
        <v>9.9849300000000003</v>
      </c>
      <c r="MY46" s="37">
        <v>9.9849300000000003</v>
      </c>
      <c r="MZ46" s="37">
        <v>9.9849300000000003</v>
      </c>
      <c r="NA46" s="37">
        <v>9.9849300000000003</v>
      </c>
      <c r="NB46" s="37">
        <v>9.9849300000000003</v>
      </c>
      <c r="NC46" s="37">
        <v>9.9849300000000003</v>
      </c>
      <c r="ND46" s="37">
        <v>9.9849300000000003</v>
      </c>
      <c r="NE46" s="37">
        <v>9.9849300000000003</v>
      </c>
      <c r="NF46" s="37">
        <v>9.9849300000000003</v>
      </c>
      <c r="NG46" s="37">
        <v>9.9849300000000003</v>
      </c>
      <c r="NH46" s="37">
        <v>9.9849300000000003</v>
      </c>
      <c r="NI46" s="37">
        <v>9.9849300000000003</v>
      </c>
      <c r="NJ46" s="37">
        <v>9.9849300000000003</v>
      </c>
      <c r="NK46" s="37">
        <v>9.9849300000000003</v>
      </c>
      <c r="NL46" s="37">
        <v>9.9849300000000003</v>
      </c>
      <c r="NM46" s="37">
        <v>9.9849300000000003</v>
      </c>
      <c r="NN46" s="37">
        <v>9.9849300000000003</v>
      </c>
      <c r="NO46" s="37">
        <v>9.9849300000000003</v>
      </c>
      <c r="NP46" s="37">
        <v>9.9849300000000003</v>
      </c>
      <c r="NQ46" s="37">
        <v>9.9849300000000003</v>
      </c>
      <c r="NR46" s="37">
        <v>9.9849300000000003</v>
      </c>
      <c r="NS46" s="37">
        <v>9.9849300000000003</v>
      </c>
      <c r="NT46" s="37">
        <v>9.9849300000000003</v>
      </c>
      <c r="NU46" s="37">
        <v>9.9849300000000003</v>
      </c>
      <c r="NV46" s="37">
        <v>9.9849300000000003</v>
      </c>
      <c r="NW46" s="37">
        <v>9.9849300000000003</v>
      </c>
      <c r="NX46" s="37">
        <v>9.9849300000000003</v>
      </c>
      <c r="NY46" s="37">
        <v>9.9849300000000003</v>
      </c>
      <c r="NZ46" s="37">
        <v>9.9849300000000003</v>
      </c>
      <c r="OA46" s="37">
        <v>9.9849300000000003</v>
      </c>
      <c r="OB46" s="37">
        <v>9.9849300000000003</v>
      </c>
      <c r="OC46" s="37">
        <v>9.9849300000000003</v>
      </c>
      <c r="OD46" s="37">
        <v>9.9849300000000003</v>
      </c>
      <c r="OE46" s="37">
        <v>9.9849300000000003</v>
      </c>
      <c r="OF46" s="37">
        <v>9.9849300000000003</v>
      </c>
      <c r="OG46" s="37">
        <v>9.9849300000000003</v>
      </c>
      <c r="OH46" s="37">
        <v>9.9849300000000003</v>
      </c>
      <c r="OI46" s="37">
        <v>9.9849300000000003</v>
      </c>
      <c r="OJ46" s="37">
        <v>9.9849300000000003</v>
      </c>
      <c r="OK46" s="37">
        <v>9.9849300000000003</v>
      </c>
      <c r="OL46" s="37">
        <v>9.9849300000000003</v>
      </c>
      <c r="OM46" s="37">
        <v>9.9849300000000003</v>
      </c>
      <c r="ON46" s="37">
        <v>9.9849300000000003</v>
      </c>
      <c r="OO46" s="37">
        <v>9.9849300000000003</v>
      </c>
      <c r="OP46" s="37">
        <v>9.9849300000000003</v>
      </c>
      <c r="OQ46" s="37">
        <v>9.9849300000000003</v>
      </c>
      <c r="OR46" s="37">
        <v>9.9849300000000003</v>
      </c>
      <c r="OS46" s="37">
        <v>9.9849300000000003</v>
      </c>
      <c r="OT46" s="37">
        <v>9.9849300000000003</v>
      </c>
      <c r="OU46" s="37">
        <v>9.9849300000000003</v>
      </c>
      <c r="OV46" s="37">
        <v>9.9849300000000003</v>
      </c>
      <c r="OW46" s="37">
        <v>9.9849300000000003</v>
      </c>
      <c r="OX46" s="37">
        <v>9.9849300000000003</v>
      </c>
      <c r="OY46" s="37">
        <v>9.9849300000000003</v>
      </c>
      <c r="OZ46" s="37">
        <v>9.9849300000000003</v>
      </c>
      <c r="PA46" s="37">
        <v>9.9849300000000003</v>
      </c>
      <c r="PB46" s="37">
        <v>9.9849300000000003</v>
      </c>
      <c r="PC46" s="37">
        <v>9.9849300000000003</v>
      </c>
      <c r="PD46" s="37">
        <v>9.9849300000000003</v>
      </c>
      <c r="PE46" s="37">
        <v>9.9849300000000003</v>
      </c>
      <c r="PF46" s="37">
        <v>9.9849300000000003</v>
      </c>
      <c r="PG46" s="37">
        <v>9.9849300000000003</v>
      </c>
      <c r="PH46" s="37">
        <v>9.9849300000000003</v>
      </c>
      <c r="PI46" s="37">
        <v>9.9849300000000003</v>
      </c>
      <c r="PJ46" s="37">
        <v>9.9849300000000003</v>
      </c>
      <c r="PK46" s="37">
        <v>9.9849300000000003</v>
      </c>
      <c r="PL46" s="37">
        <v>9.9849300000000003</v>
      </c>
      <c r="PM46" s="37">
        <v>9.9849300000000003</v>
      </c>
      <c r="PN46" s="37">
        <v>9.9849300000000003</v>
      </c>
      <c r="PO46" s="37">
        <v>9.9849300000000003</v>
      </c>
      <c r="PP46" s="37">
        <v>9.9849300000000003</v>
      </c>
      <c r="PQ46" s="37">
        <v>9.9849300000000003</v>
      </c>
      <c r="PR46" s="37">
        <v>9.9849300000000003</v>
      </c>
      <c r="PS46" s="15">
        <v>9.9849300000000003</v>
      </c>
      <c r="PT46" s="15">
        <v>9.9849300000000003</v>
      </c>
      <c r="PU46" s="15">
        <v>9.9849300000000003</v>
      </c>
      <c r="PV46" s="15">
        <v>9.9849300000000003</v>
      </c>
      <c r="PW46" s="15">
        <v>9.9849300000000003</v>
      </c>
      <c r="PX46" s="15">
        <v>9.9849300000000003</v>
      </c>
      <c r="PY46" s="15">
        <v>9.9849300000000003</v>
      </c>
      <c r="PZ46" s="15">
        <v>9.9849300000000003</v>
      </c>
      <c r="QA46" s="15">
        <v>9.9849300000000003</v>
      </c>
      <c r="QB46" s="15">
        <v>9.9849300000000003</v>
      </c>
      <c r="QC46" s="15">
        <v>9.9849300000000003</v>
      </c>
      <c r="QD46" s="15">
        <v>9.3536699999999993</v>
      </c>
      <c r="QE46" s="15" t="s">
        <v>668</v>
      </c>
      <c r="QF46" s="15" t="s">
        <v>668</v>
      </c>
      <c r="QG46" s="15" t="s">
        <v>668</v>
      </c>
      <c r="QH46" s="15" t="s">
        <v>668</v>
      </c>
      <c r="QI46" s="15" t="s">
        <v>668</v>
      </c>
      <c r="QJ46" s="15" t="s">
        <v>668</v>
      </c>
      <c r="QK46" s="15" t="s">
        <v>668</v>
      </c>
      <c r="QL46" s="15" t="s">
        <v>668</v>
      </c>
      <c r="QM46" s="15" t="s">
        <v>668</v>
      </c>
      <c r="QN46" s="15" t="s">
        <v>668</v>
      </c>
      <c r="QO46" s="15" t="s">
        <v>668</v>
      </c>
      <c r="QP46" s="15" t="s">
        <v>668</v>
      </c>
      <c r="QQ46" s="15" t="s">
        <v>668</v>
      </c>
      <c r="QR46" s="15" t="s">
        <v>668</v>
      </c>
      <c r="QS46" s="15" t="s">
        <v>668</v>
      </c>
      <c r="QT46" s="15" t="s">
        <v>668</v>
      </c>
      <c r="QU46" s="15" t="s">
        <v>668</v>
      </c>
      <c r="QV46" s="15" t="s">
        <v>668</v>
      </c>
      <c r="QW46" s="15" t="s">
        <v>668</v>
      </c>
      <c r="QX46" s="15" t="s">
        <v>668</v>
      </c>
      <c r="QY46" s="15" t="s">
        <v>668</v>
      </c>
      <c r="QZ46" s="15" t="s">
        <v>668</v>
      </c>
      <c r="RA46" s="15" t="s">
        <v>668</v>
      </c>
      <c r="RB46" s="15" t="s">
        <v>668</v>
      </c>
      <c r="RC46" s="15" t="s">
        <v>668</v>
      </c>
      <c r="RD46" s="15" t="s">
        <v>668</v>
      </c>
      <c r="RE46" s="15" t="s">
        <v>668</v>
      </c>
      <c r="RF46" s="15" t="s">
        <v>668</v>
      </c>
      <c r="RG46" s="15" t="s">
        <v>668</v>
      </c>
      <c r="RH46" s="15" t="s">
        <v>668</v>
      </c>
      <c r="RI46" s="15" t="s">
        <v>668</v>
      </c>
      <c r="RJ46" s="15" t="s">
        <v>668</v>
      </c>
      <c r="RK46" s="15" t="s">
        <v>668</v>
      </c>
      <c r="RL46" s="15" t="s">
        <v>668</v>
      </c>
      <c r="RM46" s="15" t="s">
        <v>668</v>
      </c>
      <c r="RN46" s="15" t="s">
        <v>668</v>
      </c>
      <c r="RO46" s="15" t="s">
        <v>668</v>
      </c>
      <c r="RP46" s="15" t="s">
        <v>668</v>
      </c>
      <c r="RQ46" s="15" t="s">
        <v>668</v>
      </c>
      <c r="RR46" s="15" t="s">
        <v>668</v>
      </c>
      <c r="RS46" s="15" t="s">
        <v>668</v>
      </c>
      <c r="RT46" s="15" t="s">
        <v>668</v>
      </c>
      <c r="RU46" s="15" t="s">
        <v>668</v>
      </c>
      <c r="RV46" s="15" t="s">
        <v>668</v>
      </c>
      <c r="RW46" s="15" t="s">
        <v>668</v>
      </c>
      <c r="RX46" s="15" t="s">
        <v>668</v>
      </c>
      <c r="RY46" s="15" t="s">
        <v>668</v>
      </c>
      <c r="RZ46" s="15" t="s">
        <v>668</v>
      </c>
      <c r="SA46" s="15" t="s">
        <v>668</v>
      </c>
      <c r="SB46" s="15" t="s">
        <v>668</v>
      </c>
      <c r="SC46" s="15" t="s">
        <v>668</v>
      </c>
      <c r="SD46" s="15" t="s">
        <v>668</v>
      </c>
      <c r="SE46" s="15" t="s">
        <v>668</v>
      </c>
      <c r="SF46" s="15" t="s">
        <v>668</v>
      </c>
      <c r="SG46" s="15" t="s">
        <v>668</v>
      </c>
      <c r="SH46" s="15" t="s">
        <v>668</v>
      </c>
      <c r="SI46" s="15" t="s">
        <v>668</v>
      </c>
      <c r="SJ46" s="15" t="s">
        <v>668</v>
      </c>
      <c r="SK46" s="15" t="s">
        <v>668</v>
      </c>
      <c r="SL46" s="15" t="s">
        <v>668</v>
      </c>
      <c r="SM46" s="15" t="s">
        <v>668</v>
      </c>
    </row>
    <row r="47" spans="1:507" x14ac:dyDescent="0.2">
      <c r="A47" s="37">
        <v>45</v>
      </c>
      <c r="B47" s="48" t="s">
        <v>696</v>
      </c>
      <c r="C47" s="17">
        <f>+'Detalle Compras'!D47</f>
        <v>202507210066</v>
      </c>
      <c r="D47" s="55">
        <f t="shared" si="13"/>
        <v>13.0634</v>
      </c>
      <c r="E47" s="14">
        <f>+IF(B47="","",'Detalle Compras'!S47+0)</f>
        <v>45910</v>
      </c>
      <c r="F47" s="14">
        <f>+IF(B47="","",EOMONTH('Detalle Compras'!S47,G47)+10)</f>
        <v>56897</v>
      </c>
      <c r="G47" s="50">
        <f t="shared" si="14"/>
        <v>360</v>
      </c>
      <c r="H47" s="50">
        <f t="shared" si="15"/>
        <v>355</v>
      </c>
      <c r="AA47" s="37">
        <v>13.0634</v>
      </c>
      <c r="AB47" s="37">
        <v>13.0634</v>
      </c>
      <c r="AC47" s="37">
        <v>13.0634</v>
      </c>
      <c r="AD47" s="37">
        <v>13.0634</v>
      </c>
      <c r="AE47" s="37">
        <v>13.0634</v>
      </c>
      <c r="AF47" s="37">
        <v>13.0634</v>
      </c>
      <c r="AG47" s="37">
        <v>13.0634</v>
      </c>
      <c r="AH47" s="37">
        <v>13.0634</v>
      </c>
      <c r="AI47" s="37">
        <v>13.0634</v>
      </c>
      <c r="AJ47" s="37">
        <v>13.0634</v>
      </c>
      <c r="AK47" s="37">
        <v>13.0634</v>
      </c>
      <c r="AL47" s="37">
        <v>13.0634</v>
      </c>
      <c r="AM47" s="37">
        <v>13.0634</v>
      </c>
      <c r="AN47" s="37">
        <v>13.0634</v>
      </c>
      <c r="AO47" s="37">
        <v>13.0634</v>
      </c>
      <c r="AP47" s="37">
        <v>13.0634</v>
      </c>
      <c r="AQ47" s="37">
        <v>13.0634</v>
      </c>
      <c r="AR47" s="37">
        <v>13.0634</v>
      </c>
      <c r="AS47" s="37">
        <v>13.0634</v>
      </c>
      <c r="AT47" s="37">
        <v>13.0634</v>
      </c>
      <c r="AU47" s="37">
        <v>13.0634</v>
      </c>
      <c r="AV47" s="37">
        <v>13.0634</v>
      </c>
      <c r="AW47" s="37">
        <v>13.0634</v>
      </c>
      <c r="AX47" s="37">
        <v>13.0634</v>
      </c>
      <c r="AY47" s="37">
        <v>13.0634</v>
      </c>
      <c r="AZ47" s="37">
        <v>13.0634</v>
      </c>
      <c r="BA47" s="37">
        <v>13.0634</v>
      </c>
      <c r="BB47" s="37">
        <v>13.0634</v>
      </c>
      <c r="BC47" s="37">
        <v>13.0634</v>
      </c>
      <c r="BD47" s="37">
        <v>13.0634</v>
      </c>
      <c r="BE47" s="37">
        <v>13.0634</v>
      </c>
      <c r="BF47" s="37">
        <v>13.0634</v>
      </c>
      <c r="BG47" s="37">
        <v>13.0634</v>
      </c>
      <c r="BH47" s="37">
        <v>13.0634</v>
      </c>
      <c r="BI47" s="37">
        <v>13.0634</v>
      </c>
      <c r="BJ47" s="37">
        <v>13.0634</v>
      </c>
      <c r="BK47" s="37">
        <v>13.0634</v>
      </c>
      <c r="BL47" s="37">
        <v>13.0634</v>
      </c>
      <c r="BM47" s="37">
        <v>13.0634</v>
      </c>
      <c r="BN47" s="37">
        <v>13.0634</v>
      </c>
      <c r="BO47" s="37">
        <v>13.0634</v>
      </c>
      <c r="BP47" s="37">
        <v>13.0634</v>
      </c>
      <c r="BQ47" s="37">
        <v>13.0634</v>
      </c>
      <c r="BR47" s="37">
        <v>13.0634</v>
      </c>
      <c r="BS47" s="37">
        <v>13.0634</v>
      </c>
      <c r="BT47" s="37">
        <v>13.0634</v>
      </c>
      <c r="BU47" s="37">
        <v>13.0634</v>
      </c>
      <c r="BV47" s="37">
        <v>13.0634</v>
      </c>
      <c r="BW47" s="37">
        <v>13.0634</v>
      </c>
      <c r="BX47" s="37">
        <v>13.0634</v>
      </c>
      <c r="BY47" s="37">
        <v>13.0634</v>
      </c>
      <c r="BZ47" s="37">
        <v>13.0634</v>
      </c>
      <c r="CA47" s="37">
        <v>13.0634</v>
      </c>
      <c r="CB47" s="37">
        <v>13.0634</v>
      </c>
      <c r="CC47" s="37">
        <v>13.0634</v>
      </c>
      <c r="CD47" s="37">
        <v>13.0634</v>
      </c>
      <c r="CE47" s="37">
        <v>13.0634</v>
      </c>
      <c r="CF47" s="37">
        <v>13.0634</v>
      </c>
      <c r="CG47" s="37">
        <v>13.0634</v>
      </c>
      <c r="CH47" s="37">
        <v>13.0634</v>
      </c>
      <c r="CI47" s="37">
        <v>13.0634</v>
      </c>
      <c r="CJ47" s="37">
        <v>13.0634</v>
      </c>
      <c r="CK47" s="37">
        <v>13.0634</v>
      </c>
      <c r="CL47" s="37">
        <v>13.0634</v>
      </c>
      <c r="CM47" s="37">
        <v>13.0634</v>
      </c>
      <c r="CN47" s="37">
        <v>13.0634</v>
      </c>
      <c r="CO47" s="37">
        <v>13.0634</v>
      </c>
      <c r="CP47" s="37">
        <v>13.0634</v>
      </c>
      <c r="CQ47" s="37">
        <v>13.0634</v>
      </c>
      <c r="CR47" s="37">
        <v>13.0634</v>
      </c>
      <c r="CS47" s="37">
        <v>13.0634</v>
      </c>
      <c r="CT47" s="37">
        <v>13.0634</v>
      </c>
      <c r="CU47" s="37">
        <v>13.0634</v>
      </c>
      <c r="CV47" s="37">
        <v>13.0634</v>
      </c>
      <c r="CW47" s="37">
        <v>13.0634</v>
      </c>
      <c r="CX47" s="37">
        <v>13.0634</v>
      </c>
      <c r="CY47" s="37">
        <v>13.0634</v>
      </c>
      <c r="CZ47" s="37">
        <v>13.0634</v>
      </c>
      <c r="DA47" s="37">
        <v>13.0634</v>
      </c>
      <c r="DB47" s="37">
        <v>13.0634</v>
      </c>
      <c r="DC47" s="37">
        <v>13.0634</v>
      </c>
      <c r="DD47" s="37">
        <v>13.0634</v>
      </c>
      <c r="DE47" s="37">
        <v>13.0634</v>
      </c>
      <c r="DF47" s="37">
        <v>13.0634</v>
      </c>
      <c r="DG47" s="37">
        <v>13.0634</v>
      </c>
      <c r="DH47" s="37">
        <v>13.0634</v>
      </c>
      <c r="DI47" s="37">
        <v>13.0634</v>
      </c>
      <c r="DJ47" s="37">
        <v>13.0634</v>
      </c>
      <c r="DK47" s="37">
        <v>13.0634</v>
      </c>
      <c r="DL47" s="37">
        <v>13.0634</v>
      </c>
      <c r="DM47" s="37">
        <v>13.0634</v>
      </c>
      <c r="DN47" s="37">
        <v>13.0634</v>
      </c>
      <c r="DO47" s="37">
        <v>13.0634</v>
      </c>
      <c r="DP47" s="37">
        <v>13.0634</v>
      </c>
      <c r="DQ47" s="37">
        <v>13.0634</v>
      </c>
      <c r="DR47" s="37">
        <v>13.0634</v>
      </c>
      <c r="DS47" s="37">
        <v>13.0634</v>
      </c>
      <c r="DT47" s="37">
        <v>13.0634</v>
      </c>
      <c r="DU47" s="37">
        <v>13.0634</v>
      </c>
      <c r="DV47" s="37">
        <v>13.0634</v>
      </c>
      <c r="DW47" s="37">
        <v>13.0634</v>
      </c>
      <c r="DX47" s="37">
        <v>13.0634</v>
      </c>
      <c r="DY47" s="37">
        <v>13.0634</v>
      </c>
      <c r="DZ47" s="37">
        <v>13.0634</v>
      </c>
      <c r="EA47" s="37">
        <v>13.0634</v>
      </c>
      <c r="EB47" s="37">
        <v>13.0634</v>
      </c>
      <c r="EC47" s="37">
        <v>13.0634</v>
      </c>
      <c r="ED47" s="37">
        <v>13.0634</v>
      </c>
      <c r="EE47" s="37">
        <v>13.0634</v>
      </c>
      <c r="EF47" s="37">
        <v>13.0634</v>
      </c>
      <c r="EG47" s="37">
        <v>13.0634</v>
      </c>
      <c r="EH47" s="37">
        <v>13.0634</v>
      </c>
      <c r="EI47" s="37">
        <v>13.0634</v>
      </c>
      <c r="EJ47" s="37">
        <v>13.0634</v>
      </c>
      <c r="EK47" s="37">
        <v>13.0634</v>
      </c>
      <c r="EL47" s="37">
        <v>13.0634</v>
      </c>
      <c r="EM47" s="37">
        <v>13.0634</v>
      </c>
      <c r="EN47" s="37">
        <v>13.0634</v>
      </c>
      <c r="EO47" s="37">
        <v>13.0634</v>
      </c>
      <c r="EP47" s="37">
        <v>13.0634</v>
      </c>
      <c r="EQ47" s="37">
        <v>13.0634</v>
      </c>
      <c r="ER47" s="37">
        <v>13.0634</v>
      </c>
      <c r="ES47" s="37">
        <v>13.0634</v>
      </c>
      <c r="ET47" s="37">
        <v>13.0634</v>
      </c>
      <c r="EU47" s="37">
        <v>13.0634</v>
      </c>
      <c r="EV47" s="37">
        <v>13.0634</v>
      </c>
      <c r="EW47" s="37">
        <v>13.0634</v>
      </c>
      <c r="EX47" s="37">
        <v>13.0634</v>
      </c>
      <c r="EY47" s="37">
        <v>13.0634</v>
      </c>
      <c r="EZ47" s="37">
        <v>13.0634</v>
      </c>
      <c r="FA47" s="37">
        <v>13.0634</v>
      </c>
      <c r="FB47" s="37">
        <v>13.0634</v>
      </c>
      <c r="FC47" s="37">
        <v>13.0634</v>
      </c>
      <c r="FD47" s="37">
        <v>13.0634</v>
      </c>
      <c r="FE47" s="37">
        <v>13.0634</v>
      </c>
      <c r="FF47" s="37">
        <v>13.0634</v>
      </c>
      <c r="FG47" s="37">
        <v>13.0634</v>
      </c>
      <c r="FH47" s="37">
        <v>13.0634</v>
      </c>
      <c r="FI47" s="37">
        <v>13.0634</v>
      </c>
      <c r="FJ47" s="37">
        <v>13.0634</v>
      </c>
      <c r="FK47" s="37">
        <v>13.0634</v>
      </c>
      <c r="FL47" s="37">
        <v>13.0634</v>
      </c>
      <c r="FM47" s="37">
        <v>13.0634</v>
      </c>
      <c r="FN47" s="37">
        <v>13.0634</v>
      </c>
      <c r="FO47" s="37">
        <v>13.0634</v>
      </c>
      <c r="FP47" s="37">
        <v>13.0634</v>
      </c>
      <c r="FQ47" s="37">
        <v>13.0634</v>
      </c>
      <c r="FR47" s="37">
        <v>13.0634</v>
      </c>
      <c r="FS47" s="37">
        <v>13.0634</v>
      </c>
      <c r="FT47" s="37">
        <v>13.0634</v>
      </c>
      <c r="FU47" s="37">
        <v>13.0634</v>
      </c>
      <c r="FV47" s="37">
        <v>13.0634</v>
      </c>
      <c r="FW47" s="37">
        <v>13.0634</v>
      </c>
      <c r="FX47" s="37">
        <v>13.0634</v>
      </c>
      <c r="FY47" s="37">
        <v>13.0634</v>
      </c>
      <c r="FZ47" s="37">
        <v>13.0634</v>
      </c>
      <c r="GA47" s="37">
        <v>13.0634</v>
      </c>
      <c r="GB47" s="37">
        <v>13.0634</v>
      </c>
      <c r="GC47" s="37">
        <v>13.0634</v>
      </c>
      <c r="GD47" s="37">
        <v>13.0634</v>
      </c>
      <c r="GE47" s="37">
        <v>13.0634</v>
      </c>
      <c r="GF47" s="37">
        <v>13.0634</v>
      </c>
      <c r="GG47" s="37">
        <v>13.0634</v>
      </c>
      <c r="GH47" s="37">
        <v>13.0634</v>
      </c>
      <c r="GI47" s="37">
        <v>13.0634</v>
      </c>
      <c r="GJ47" s="37">
        <v>13.0634</v>
      </c>
      <c r="GK47" s="37">
        <v>13.0634</v>
      </c>
      <c r="GL47" s="37">
        <v>13.0634</v>
      </c>
      <c r="GM47" s="37">
        <v>13.0634</v>
      </c>
      <c r="GN47" s="37">
        <v>13.0634</v>
      </c>
      <c r="GO47" s="37">
        <v>13.0634</v>
      </c>
      <c r="GP47" s="37">
        <v>13.0634</v>
      </c>
      <c r="GQ47" s="37">
        <v>13.0634</v>
      </c>
      <c r="GR47" s="37">
        <v>13.0634</v>
      </c>
      <c r="GS47" s="37">
        <v>13.0634</v>
      </c>
      <c r="GT47" s="37">
        <v>13.0634</v>
      </c>
      <c r="GU47" s="37">
        <v>13.0634</v>
      </c>
      <c r="GV47" s="37">
        <v>13.0634</v>
      </c>
      <c r="GW47" s="37">
        <v>13.0634</v>
      </c>
      <c r="GX47" s="37">
        <v>13.0634</v>
      </c>
      <c r="GY47" s="37">
        <v>13.0634</v>
      </c>
      <c r="GZ47" s="37">
        <v>13.0634</v>
      </c>
      <c r="HA47" s="37">
        <v>13.0634</v>
      </c>
      <c r="HB47" s="37">
        <v>13.0634</v>
      </c>
      <c r="HC47" s="37">
        <v>13.0634</v>
      </c>
      <c r="HD47" s="37">
        <v>13.0634</v>
      </c>
      <c r="HE47" s="37">
        <v>13.0634</v>
      </c>
      <c r="HF47" s="37">
        <v>13.0634</v>
      </c>
      <c r="HG47" s="37">
        <v>13.0634</v>
      </c>
      <c r="HH47" s="37">
        <v>13.0634</v>
      </c>
      <c r="HI47" s="37">
        <v>13.0634</v>
      </c>
      <c r="HJ47" s="37">
        <v>13.0634</v>
      </c>
      <c r="HK47" s="37">
        <v>13.0634</v>
      </c>
      <c r="HL47" s="37">
        <v>13.0634</v>
      </c>
      <c r="HM47" s="37">
        <v>13.0634</v>
      </c>
      <c r="HN47" s="37">
        <v>13.0634</v>
      </c>
      <c r="HO47" s="37">
        <v>13.0634</v>
      </c>
      <c r="HP47" s="37">
        <v>13.0634</v>
      </c>
      <c r="HQ47" s="37">
        <v>13.0634</v>
      </c>
      <c r="HR47" s="37">
        <v>13.0634</v>
      </c>
      <c r="HS47" s="37">
        <v>13.0634</v>
      </c>
      <c r="HT47" s="37">
        <v>13.0634</v>
      </c>
      <c r="HU47" s="37">
        <v>13.0634</v>
      </c>
      <c r="HV47" s="37">
        <v>13.0634</v>
      </c>
      <c r="HW47" s="37">
        <v>13.0634</v>
      </c>
      <c r="HX47" s="37">
        <v>13.0634</v>
      </c>
      <c r="HY47" s="37">
        <v>13.0634</v>
      </c>
      <c r="HZ47" s="37">
        <v>13.0634</v>
      </c>
      <c r="IA47" s="37">
        <v>13.0634</v>
      </c>
      <c r="IB47" s="37">
        <v>13.0634</v>
      </c>
      <c r="IC47" s="37">
        <v>13.0634</v>
      </c>
      <c r="ID47" s="37">
        <v>13.0634</v>
      </c>
      <c r="IE47" s="37">
        <v>13.0634</v>
      </c>
      <c r="IF47" s="37">
        <v>13.0634</v>
      </c>
      <c r="IG47" s="37">
        <v>13.0634</v>
      </c>
      <c r="IH47" s="37">
        <v>13.0634</v>
      </c>
      <c r="II47" s="37">
        <v>13.0634</v>
      </c>
      <c r="IJ47" s="37">
        <v>13.0634</v>
      </c>
      <c r="IK47" s="37">
        <v>13.0634</v>
      </c>
      <c r="IL47" s="37">
        <v>13.0634</v>
      </c>
      <c r="IM47" s="37">
        <v>13.0634</v>
      </c>
      <c r="IN47" s="37">
        <v>13.0634</v>
      </c>
      <c r="IO47" s="37">
        <v>13.0634</v>
      </c>
      <c r="IP47" s="37">
        <v>13.0634</v>
      </c>
      <c r="IQ47" s="37">
        <v>13.0634</v>
      </c>
      <c r="IR47" s="37">
        <v>13.0634</v>
      </c>
      <c r="IS47" s="37">
        <v>13.0634</v>
      </c>
      <c r="IT47" s="37">
        <v>13.0634</v>
      </c>
      <c r="IU47" s="37">
        <v>13.0634</v>
      </c>
      <c r="IV47" s="37">
        <v>13.0634</v>
      </c>
      <c r="IW47" s="37">
        <v>13.0634</v>
      </c>
      <c r="IX47" s="37">
        <v>13.0634</v>
      </c>
      <c r="IY47" s="37">
        <v>13.0634</v>
      </c>
      <c r="IZ47" s="37">
        <v>13.0634</v>
      </c>
      <c r="JA47" s="37">
        <v>13.0634</v>
      </c>
      <c r="JB47" s="37">
        <v>13.0634</v>
      </c>
      <c r="JC47" s="37">
        <v>13.0634</v>
      </c>
      <c r="JD47" s="37">
        <v>13.0634</v>
      </c>
      <c r="JE47" s="37">
        <v>13.0634</v>
      </c>
      <c r="JF47" s="37">
        <v>13.0634</v>
      </c>
      <c r="JG47" s="37">
        <v>13.0634</v>
      </c>
      <c r="JH47" s="37">
        <v>13.0634</v>
      </c>
      <c r="JI47" s="37">
        <v>13.0634</v>
      </c>
      <c r="JJ47" s="37">
        <v>13.0634</v>
      </c>
      <c r="JK47" s="37">
        <v>13.0634</v>
      </c>
      <c r="JL47" s="37">
        <v>13.0634</v>
      </c>
      <c r="JM47" s="37">
        <v>13.0634</v>
      </c>
      <c r="JN47" s="37">
        <v>13.0634</v>
      </c>
      <c r="JO47" s="37">
        <v>13.0634</v>
      </c>
      <c r="JP47" s="37">
        <v>13.0634</v>
      </c>
      <c r="JQ47" s="37">
        <v>13.0634</v>
      </c>
      <c r="JR47" s="37">
        <v>13.0634</v>
      </c>
      <c r="JS47" s="37">
        <v>13.0634</v>
      </c>
      <c r="JT47" s="37">
        <v>13.0634</v>
      </c>
      <c r="JU47" s="37">
        <v>13.0634</v>
      </c>
      <c r="JV47" s="37">
        <v>13.0634</v>
      </c>
      <c r="JW47" s="37">
        <v>13.0634</v>
      </c>
      <c r="JX47" s="37">
        <v>13.0634</v>
      </c>
      <c r="JY47" s="37">
        <v>13.0634</v>
      </c>
      <c r="JZ47" s="37">
        <v>13.0634</v>
      </c>
      <c r="KA47" s="37">
        <v>13.0634</v>
      </c>
      <c r="KB47" s="37">
        <v>13.0634</v>
      </c>
      <c r="KC47" s="37">
        <v>13.0634</v>
      </c>
      <c r="KD47" s="37">
        <v>13.0634</v>
      </c>
      <c r="KE47" s="37">
        <v>13.0634</v>
      </c>
      <c r="KF47" s="37">
        <v>13.0634</v>
      </c>
      <c r="KG47" s="37">
        <v>13.0634</v>
      </c>
      <c r="KH47" s="37">
        <v>13.0634</v>
      </c>
      <c r="KI47" s="37">
        <v>13.0634</v>
      </c>
      <c r="KJ47" s="37">
        <v>13.0634</v>
      </c>
      <c r="KK47" s="37">
        <v>13.0634</v>
      </c>
      <c r="KL47" s="37">
        <v>13.0634</v>
      </c>
      <c r="KM47" s="37">
        <v>13.0634</v>
      </c>
      <c r="KN47" s="37">
        <v>13.0634</v>
      </c>
      <c r="KO47" s="37">
        <v>13.0634</v>
      </c>
      <c r="KP47" s="37">
        <v>13.0634</v>
      </c>
      <c r="KQ47" s="37">
        <v>13.0634</v>
      </c>
      <c r="KR47" s="37">
        <v>13.0634</v>
      </c>
      <c r="KS47" s="37">
        <v>13.0634</v>
      </c>
      <c r="KT47" s="37">
        <v>13.0634</v>
      </c>
      <c r="KU47" s="37">
        <v>13.0634</v>
      </c>
      <c r="KV47" s="37">
        <v>13.0634</v>
      </c>
      <c r="KW47" s="37">
        <v>13.0634</v>
      </c>
      <c r="KX47" s="37">
        <v>13.0634</v>
      </c>
      <c r="KY47" s="37">
        <v>13.0634</v>
      </c>
      <c r="KZ47" s="37">
        <v>13.0634</v>
      </c>
      <c r="LA47" s="37">
        <v>13.0634</v>
      </c>
      <c r="LB47" s="37">
        <v>13.0634</v>
      </c>
      <c r="LC47" s="37">
        <v>13.0634</v>
      </c>
      <c r="LD47" s="37">
        <v>13.0634</v>
      </c>
      <c r="LE47" s="37">
        <v>13.0634</v>
      </c>
      <c r="LF47" s="37">
        <v>13.0634</v>
      </c>
      <c r="LG47" s="37">
        <v>13.0634</v>
      </c>
      <c r="LH47" s="37">
        <v>13.0634</v>
      </c>
      <c r="LI47" s="37">
        <v>13.0634</v>
      </c>
      <c r="LJ47" s="37">
        <v>13.0634</v>
      </c>
      <c r="LK47" s="37">
        <v>13.0634</v>
      </c>
      <c r="LL47" s="37">
        <v>13.0634</v>
      </c>
      <c r="LM47" s="37">
        <v>13.0634</v>
      </c>
      <c r="LN47" s="37">
        <v>13.0634</v>
      </c>
      <c r="LO47" s="37">
        <v>13.0634</v>
      </c>
      <c r="LP47" s="37">
        <v>13.0634</v>
      </c>
      <c r="LQ47" s="37">
        <v>13.0634</v>
      </c>
      <c r="LR47" s="37">
        <v>13.0634</v>
      </c>
      <c r="LS47" s="37">
        <v>13.0634</v>
      </c>
      <c r="LT47" s="37">
        <v>13.0634</v>
      </c>
      <c r="LU47" s="37">
        <v>13.0634</v>
      </c>
      <c r="LV47" s="37">
        <v>13.0634</v>
      </c>
      <c r="LW47" s="37">
        <v>13.0634</v>
      </c>
      <c r="LX47" s="37">
        <v>13.0634</v>
      </c>
      <c r="LY47" s="37">
        <v>13.0634</v>
      </c>
      <c r="LZ47" s="37">
        <v>13.0634</v>
      </c>
      <c r="MA47" s="37">
        <v>13.0634</v>
      </c>
      <c r="MB47" s="37">
        <v>13.0634</v>
      </c>
      <c r="MC47" s="37">
        <v>13.0634</v>
      </c>
      <c r="MD47" s="37">
        <v>13.0634</v>
      </c>
      <c r="ME47" s="37">
        <v>13.0634</v>
      </c>
      <c r="MF47" s="37">
        <v>13.0634</v>
      </c>
      <c r="MG47" s="37">
        <v>13.0634</v>
      </c>
      <c r="MH47" s="37">
        <v>13.0634</v>
      </c>
      <c r="MI47" s="37">
        <v>13.0634</v>
      </c>
      <c r="MJ47" s="37">
        <v>13.0634</v>
      </c>
      <c r="MK47" s="37">
        <v>13.0634</v>
      </c>
      <c r="ML47" s="37">
        <v>13.0634</v>
      </c>
      <c r="MM47" s="37">
        <v>13.0634</v>
      </c>
      <c r="MN47" s="37">
        <v>13.0634</v>
      </c>
      <c r="MO47" s="37">
        <v>13.0634</v>
      </c>
      <c r="MP47" s="37">
        <v>13.0634</v>
      </c>
      <c r="MQ47" s="37">
        <v>13.0634</v>
      </c>
      <c r="MR47" s="37">
        <v>13.0634</v>
      </c>
      <c r="MS47" s="37">
        <v>13.0634</v>
      </c>
      <c r="MT47" s="37">
        <v>13.0634</v>
      </c>
      <c r="MU47" s="37">
        <v>13.0634</v>
      </c>
      <c r="MV47" s="37">
        <v>13.0634</v>
      </c>
      <c r="MW47" s="37">
        <v>13.0634</v>
      </c>
      <c r="MX47" s="37">
        <v>13.0634</v>
      </c>
      <c r="MY47" s="37">
        <v>13.0634</v>
      </c>
      <c r="MZ47" s="37">
        <v>13.0634</v>
      </c>
      <c r="NA47" s="37">
        <v>13.0634</v>
      </c>
      <c r="NB47" s="37">
        <v>13.0634</v>
      </c>
      <c r="NC47" s="37">
        <v>13.0634</v>
      </c>
      <c r="ND47" s="37">
        <v>13.0634</v>
      </c>
      <c r="NE47" s="37">
        <v>13.0634</v>
      </c>
      <c r="NF47" s="37">
        <v>13.0634</v>
      </c>
      <c r="NG47" s="37">
        <v>13.0634</v>
      </c>
      <c r="NH47" s="37">
        <v>13.0634</v>
      </c>
      <c r="NI47" s="37">
        <v>13.0634</v>
      </c>
      <c r="NJ47" s="37">
        <v>13.0634</v>
      </c>
      <c r="NK47" s="37">
        <v>13.0634</v>
      </c>
      <c r="NL47" s="37">
        <v>13.0634</v>
      </c>
      <c r="NM47" s="37">
        <v>13.0634</v>
      </c>
      <c r="NN47" s="37">
        <v>13.0634</v>
      </c>
      <c r="NO47" s="37">
        <v>13.0634</v>
      </c>
      <c r="NP47" s="37">
        <v>13.0634</v>
      </c>
      <c r="NQ47" s="37">
        <v>13.0634</v>
      </c>
      <c r="NR47" s="37">
        <v>13.0634</v>
      </c>
      <c r="NS47" s="37">
        <v>13.0634</v>
      </c>
      <c r="NT47" s="37">
        <v>13.0634</v>
      </c>
      <c r="NU47" s="37">
        <v>13.0634</v>
      </c>
      <c r="NV47" s="37">
        <v>13.42245</v>
      </c>
      <c r="NW47" s="37" t="s">
        <v>668</v>
      </c>
      <c r="NX47" s="37" t="s">
        <v>668</v>
      </c>
      <c r="NY47" s="37" t="s">
        <v>668</v>
      </c>
      <c r="NZ47" s="37" t="s">
        <v>668</v>
      </c>
      <c r="OA47" s="37" t="s">
        <v>668</v>
      </c>
      <c r="OB47" s="37" t="s">
        <v>668</v>
      </c>
      <c r="OC47" s="37" t="s">
        <v>668</v>
      </c>
      <c r="OD47" s="37" t="s">
        <v>668</v>
      </c>
      <c r="OE47" s="37" t="s">
        <v>668</v>
      </c>
      <c r="OF47" s="37" t="s">
        <v>668</v>
      </c>
      <c r="OG47" s="37" t="s">
        <v>668</v>
      </c>
      <c r="OH47" s="37" t="s">
        <v>668</v>
      </c>
      <c r="OI47" s="37" t="s">
        <v>668</v>
      </c>
      <c r="OJ47" s="37" t="s">
        <v>668</v>
      </c>
      <c r="OK47" s="37" t="s">
        <v>668</v>
      </c>
      <c r="OL47" s="37" t="s">
        <v>668</v>
      </c>
      <c r="OM47" s="37" t="s">
        <v>668</v>
      </c>
      <c r="ON47" s="37" t="s">
        <v>668</v>
      </c>
      <c r="OO47" s="37" t="s">
        <v>668</v>
      </c>
      <c r="OP47" s="37" t="s">
        <v>668</v>
      </c>
      <c r="OQ47" s="37" t="s">
        <v>668</v>
      </c>
      <c r="OR47" s="37" t="s">
        <v>668</v>
      </c>
      <c r="OS47" s="37" t="s">
        <v>668</v>
      </c>
      <c r="OT47" s="37" t="s">
        <v>668</v>
      </c>
      <c r="OU47" s="37" t="s">
        <v>668</v>
      </c>
      <c r="OV47" s="37" t="s">
        <v>668</v>
      </c>
      <c r="OW47" s="37" t="s">
        <v>668</v>
      </c>
      <c r="OX47" s="37" t="s">
        <v>668</v>
      </c>
      <c r="OY47" s="37" t="s">
        <v>668</v>
      </c>
      <c r="OZ47" s="37" t="s">
        <v>668</v>
      </c>
      <c r="PA47" s="37" t="s">
        <v>668</v>
      </c>
      <c r="PB47" s="37" t="s">
        <v>668</v>
      </c>
      <c r="PC47" s="37" t="s">
        <v>668</v>
      </c>
      <c r="PD47" s="37" t="s">
        <v>668</v>
      </c>
      <c r="PE47" s="37" t="s">
        <v>668</v>
      </c>
      <c r="PF47" s="37" t="s">
        <v>668</v>
      </c>
      <c r="PG47" s="37" t="s">
        <v>668</v>
      </c>
      <c r="PH47" s="37" t="s">
        <v>668</v>
      </c>
      <c r="PI47" s="37" t="s">
        <v>668</v>
      </c>
      <c r="PJ47" s="37" t="s">
        <v>668</v>
      </c>
      <c r="PK47" s="37" t="s">
        <v>668</v>
      </c>
      <c r="PL47" s="37" t="s">
        <v>668</v>
      </c>
      <c r="PM47" s="37" t="s">
        <v>668</v>
      </c>
      <c r="PN47" s="37" t="s">
        <v>668</v>
      </c>
      <c r="PO47" s="37" t="s">
        <v>668</v>
      </c>
      <c r="PP47" s="37" t="s">
        <v>668</v>
      </c>
      <c r="PQ47" s="37" t="s">
        <v>668</v>
      </c>
      <c r="PR47" s="37" t="s">
        <v>668</v>
      </c>
      <c r="PS47" s="15" t="s">
        <v>668</v>
      </c>
      <c r="PT47" s="15" t="s">
        <v>668</v>
      </c>
      <c r="PU47" s="15" t="s">
        <v>668</v>
      </c>
      <c r="PV47" s="15" t="s">
        <v>668</v>
      </c>
      <c r="PW47" s="15" t="s">
        <v>668</v>
      </c>
      <c r="PX47" s="15" t="s">
        <v>668</v>
      </c>
      <c r="PY47" s="15" t="s">
        <v>668</v>
      </c>
      <c r="PZ47" s="15" t="s">
        <v>668</v>
      </c>
      <c r="QA47" s="15" t="s">
        <v>668</v>
      </c>
      <c r="QB47" s="15" t="s">
        <v>668</v>
      </c>
      <c r="QC47" s="15" t="s">
        <v>668</v>
      </c>
      <c r="QD47" s="15" t="s">
        <v>668</v>
      </c>
      <c r="QE47" s="15" t="s">
        <v>668</v>
      </c>
      <c r="QF47" s="15" t="s">
        <v>668</v>
      </c>
      <c r="QG47" s="15" t="s">
        <v>668</v>
      </c>
      <c r="QH47" s="15" t="s">
        <v>668</v>
      </c>
      <c r="QI47" s="15" t="s">
        <v>668</v>
      </c>
      <c r="QJ47" s="15" t="s">
        <v>668</v>
      </c>
      <c r="QK47" s="15" t="s">
        <v>668</v>
      </c>
      <c r="QL47" s="15" t="s">
        <v>668</v>
      </c>
      <c r="QM47" s="15" t="s">
        <v>668</v>
      </c>
      <c r="QN47" s="15" t="s">
        <v>668</v>
      </c>
      <c r="QO47" s="15" t="s">
        <v>668</v>
      </c>
      <c r="QP47" s="15" t="s">
        <v>668</v>
      </c>
      <c r="QQ47" s="15" t="s">
        <v>668</v>
      </c>
      <c r="QR47" s="15" t="s">
        <v>668</v>
      </c>
      <c r="QS47" s="15" t="s">
        <v>668</v>
      </c>
      <c r="QT47" s="15" t="s">
        <v>668</v>
      </c>
      <c r="QU47" s="15" t="s">
        <v>668</v>
      </c>
      <c r="QV47" s="15" t="s">
        <v>668</v>
      </c>
      <c r="QW47" s="15" t="s">
        <v>668</v>
      </c>
      <c r="QX47" s="15" t="s">
        <v>668</v>
      </c>
      <c r="QY47" s="15" t="s">
        <v>668</v>
      </c>
      <c r="QZ47" s="15" t="s">
        <v>668</v>
      </c>
      <c r="RA47" s="15" t="s">
        <v>668</v>
      </c>
      <c r="RB47" s="15" t="s">
        <v>668</v>
      </c>
      <c r="RC47" s="15" t="s">
        <v>668</v>
      </c>
      <c r="RD47" s="15" t="s">
        <v>668</v>
      </c>
      <c r="RE47" s="15" t="s">
        <v>668</v>
      </c>
      <c r="RF47" s="15" t="s">
        <v>668</v>
      </c>
      <c r="RG47" s="15" t="s">
        <v>668</v>
      </c>
      <c r="RH47" s="15" t="s">
        <v>668</v>
      </c>
      <c r="RI47" s="15" t="s">
        <v>668</v>
      </c>
      <c r="RJ47" s="15" t="s">
        <v>668</v>
      </c>
      <c r="RK47" s="15" t="s">
        <v>668</v>
      </c>
      <c r="RL47" s="15" t="s">
        <v>668</v>
      </c>
      <c r="RM47" s="15" t="s">
        <v>668</v>
      </c>
      <c r="RN47" s="15" t="s">
        <v>668</v>
      </c>
      <c r="RO47" s="15" t="s">
        <v>668</v>
      </c>
      <c r="RP47" s="15" t="s">
        <v>668</v>
      </c>
      <c r="RQ47" s="15" t="s">
        <v>668</v>
      </c>
      <c r="RR47" s="15" t="s">
        <v>668</v>
      </c>
      <c r="RS47" s="15" t="s">
        <v>668</v>
      </c>
      <c r="RT47" s="15" t="s">
        <v>668</v>
      </c>
      <c r="RU47" s="15" t="s">
        <v>668</v>
      </c>
      <c r="RV47" s="15" t="s">
        <v>668</v>
      </c>
      <c r="RW47" s="15" t="s">
        <v>668</v>
      </c>
      <c r="RX47" s="15" t="s">
        <v>668</v>
      </c>
      <c r="RY47" s="15" t="s">
        <v>668</v>
      </c>
      <c r="RZ47" s="15" t="s">
        <v>668</v>
      </c>
      <c r="SA47" s="15" t="s">
        <v>668</v>
      </c>
      <c r="SB47" s="15" t="s">
        <v>668</v>
      </c>
      <c r="SC47" s="15" t="s">
        <v>668</v>
      </c>
      <c r="SD47" s="15" t="s">
        <v>668</v>
      </c>
      <c r="SE47" s="15" t="s">
        <v>668</v>
      </c>
      <c r="SF47" s="15" t="s">
        <v>668</v>
      </c>
      <c r="SG47" s="15" t="s">
        <v>668</v>
      </c>
      <c r="SH47" s="15" t="s">
        <v>668</v>
      </c>
      <c r="SI47" s="15" t="s">
        <v>668</v>
      </c>
      <c r="SJ47" s="15" t="s">
        <v>668</v>
      </c>
      <c r="SK47" s="15" t="s">
        <v>668</v>
      </c>
      <c r="SL47" s="15" t="s">
        <v>668</v>
      </c>
      <c r="SM47" s="15" t="s">
        <v>668</v>
      </c>
    </row>
    <row r="48" spans="1:507" x14ac:dyDescent="0.2">
      <c r="A48" s="37">
        <v>46</v>
      </c>
      <c r="B48" s="48" t="s">
        <v>697</v>
      </c>
      <c r="C48" s="17">
        <f>+'Detalle Compras'!D48</f>
        <v>202507110060</v>
      </c>
      <c r="D48" s="55">
        <f t="shared" si="13"/>
        <v>13.2471</v>
      </c>
      <c r="E48" s="14">
        <f>+IF(B48="","",'Detalle Compras'!S48+0)</f>
        <v>45910</v>
      </c>
      <c r="F48" s="14">
        <f>+IF(B48="","",EOMONTH('Detalle Compras'!S48,G48)+10)</f>
        <v>55071</v>
      </c>
      <c r="G48" s="50">
        <f t="shared" si="14"/>
        <v>300</v>
      </c>
      <c r="H48" s="50">
        <f t="shared" si="15"/>
        <v>295</v>
      </c>
      <c r="AA48" s="37">
        <v>13.2471</v>
      </c>
      <c r="AB48" s="37">
        <v>13.2471</v>
      </c>
      <c r="AC48" s="37">
        <v>13.2471</v>
      </c>
      <c r="AD48" s="37">
        <v>13.2471</v>
      </c>
      <c r="AE48" s="37">
        <v>13.2471</v>
      </c>
      <c r="AF48" s="37">
        <v>13.2471</v>
      </c>
      <c r="AG48" s="37">
        <v>13.2471</v>
      </c>
      <c r="AH48" s="37">
        <v>13.2471</v>
      </c>
      <c r="AI48" s="37">
        <v>13.2471</v>
      </c>
      <c r="AJ48" s="37">
        <v>13.2471</v>
      </c>
      <c r="AK48" s="37">
        <v>13.2471</v>
      </c>
      <c r="AL48" s="37">
        <v>13.2471</v>
      </c>
      <c r="AM48" s="37">
        <v>13.2471</v>
      </c>
      <c r="AN48" s="37">
        <v>13.2471</v>
      </c>
      <c r="AO48" s="37">
        <v>13.2471</v>
      </c>
      <c r="AP48" s="37">
        <v>13.2471</v>
      </c>
      <c r="AQ48" s="37">
        <v>13.2471</v>
      </c>
      <c r="AR48" s="37">
        <v>13.2471</v>
      </c>
      <c r="AS48" s="37">
        <v>13.2471</v>
      </c>
      <c r="AT48" s="37">
        <v>13.2471</v>
      </c>
      <c r="AU48" s="37">
        <v>13.2471</v>
      </c>
      <c r="AV48" s="37">
        <v>13.2471</v>
      </c>
      <c r="AW48" s="37">
        <v>13.2471</v>
      </c>
      <c r="AX48" s="37">
        <v>13.2471</v>
      </c>
      <c r="AY48" s="37">
        <v>13.2471</v>
      </c>
      <c r="AZ48" s="37">
        <v>13.2471</v>
      </c>
      <c r="BA48" s="37">
        <v>13.2471</v>
      </c>
      <c r="BB48" s="37">
        <v>13.2471</v>
      </c>
      <c r="BC48" s="37">
        <v>13.2471</v>
      </c>
      <c r="BD48" s="37">
        <v>13.2471</v>
      </c>
      <c r="BE48" s="37">
        <v>13.2471</v>
      </c>
      <c r="BF48" s="37">
        <v>13.2471</v>
      </c>
      <c r="BG48" s="37">
        <v>13.2471</v>
      </c>
      <c r="BH48" s="37">
        <v>13.2471</v>
      </c>
      <c r="BI48" s="37">
        <v>13.2471</v>
      </c>
      <c r="BJ48" s="37">
        <v>13.2471</v>
      </c>
      <c r="BK48" s="37">
        <v>13.2471</v>
      </c>
      <c r="BL48" s="37">
        <v>13.2471</v>
      </c>
      <c r="BM48" s="37">
        <v>13.2471</v>
      </c>
      <c r="BN48" s="37">
        <v>13.2471</v>
      </c>
      <c r="BO48" s="37">
        <v>13.2471</v>
      </c>
      <c r="BP48" s="37">
        <v>13.2471</v>
      </c>
      <c r="BQ48" s="37">
        <v>13.2471</v>
      </c>
      <c r="BR48" s="37">
        <v>13.2471</v>
      </c>
      <c r="BS48" s="37">
        <v>13.2471</v>
      </c>
      <c r="BT48" s="37">
        <v>13.2471</v>
      </c>
      <c r="BU48" s="37">
        <v>13.2471</v>
      </c>
      <c r="BV48" s="37">
        <v>13.2471</v>
      </c>
      <c r="BW48" s="37">
        <v>13.2471</v>
      </c>
      <c r="BX48" s="37">
        <v>13.2471</v>
      </c>
      <c r="BY48" s="37">
        <v>13.2471</v>
      </c>
      <c r="BZ48" s="37">
        <v>13.2471</v>
      </c>
      <c r="CA48" s="37">
        <v>13.2471</v>
      </c>
      <c r="CB48" s="37">
        <v>13.2471</v>
      </c>
      <c r="CC48" s="37">
        <v>13.2471</v>
      </c>
      <c r="CD48" s="37">
        <v>13.2471</v>
      </c>
      <c r="CE48" s="37">
        <v>13.2471</v>
      </c>
      <c r="CF48" s="37">
        <v>13.2471</v>
      </c>
      <c r="CG48" s="37">
        <v>13.2471</v>
      </c>
      <c r="CH48" s="37">
        <v>13.2471</v>
      </c>
      <c r="CI48" s="37">
        <v>13.2471</v>
      </c>
      <c r="CJ48" s="37">
        <v>13.2471</v>
      </c>
      <c r="CK48" s="37">
        <v>13.2471</v>
      </c>
      <c r="CL48" s="37">
        <v>13.2471</v>
      </c>
      <c r="CM48" s="37">
        <v>13.2471</v>
      </c>
      <c r="CN48" s="37">
        <v>13.2471</v>
      </c>
      <c r="CO48" s="37">
        <v>13.2471</v>
      </c>
      <c r="CP48" s="37">
        <v>13.2471</v>
      </c>
      <c r="CQ48" s="37">
        <v>13.2471</v>
      </c>
      <c r="CR48" s="37">
        <v>13.2471</v>
      </c>
      <c r="CS48" s="37">
        <v>13.2471</v>
      </c>
      <c r="CT48" s="37">
        <v>13.2471</v>
      </c>
      <c r="CU48" s="37">
        <v>13.2471</v>
      </c>
      <c r="CV48" s="37">
        <v>13.2471</v>
      </c>
      <c r="CW48" s="37">
        <v>13.2471</v>
      </c>
      <c r="CX48" s="37">
        <v>13.2471</v>
      </c>
      <c r="CY48" s="37">
        <v>13.2471</v>
      </c>
      <c r="CZ48" s="37">
        <v>13.2471</v>
      </c>
      <c r="DA48" s="37">
        <v>13.2471</v>
      </c>
      <c r="DB48" s="37">
        <v>13.2471</v>
      </c>
      <c r="DC48" s="37">
        <v>13.2471</v>
      </c>
      <c r="DD48" s="37">
        <v>13.2471</v>
      </c>
      <c r="DE48" s="37">
        <v>13.2471</v>
      </c>
      <c r="DF48" s="37">
        <v>13.2471</v>
      </c>
      <c r="DG48" s="37">
        <v>13.2471</v>
      </c>
      <c r="DH48" s="37">
        <v>13.2471</v>
      </c>
      <c r="DI48" s="37">
        <v>13.2471</v>
      </c>
      <c r="DJ48" s="37">
        <v>13.2471</v>
      </c>
      <c r="DK48" s="37">
        <v>13.2471</v>
      </c>
      <c r="DL48" s="37">
        <v>13.2471</v>
      </c>
      <c r="DM48" s="37">
        <v>13.2471</v>
      </c>
      <c r="DN48" s="37">
        <v>13.2471</v>
      </c>
      <c r="DO48" s="37">
        <v>13.2471</v>
      </c>
      <c r="DP48" s="37">
        <v>13.2471</v>
      </c>
      <c r="DQ48" s="37">
        <v>13.2471</v>
      </c>
      <c r="DR48" s="37">
        <v>13.2471</v>
      </c>
      <c r="DS48" s="37">
        <v>13.2471</v>
      </c>
      <c r="DT48" s="37">
        <v>13.2471</v>
      </c>
      <c r="DU48" s="37">
        <v>13.2471</v>
      </c>
      <c r="DV48" s="37">
        <v>13.2471</v>
      </c>
      <c r="DW48" s="37">
        <v>13.2471</v>
      </c>
      <c r="DX48" s="37">
        <v>13.2471</v>
      </c>
      <c r="DY48" s="37">
        <v>13.2471</v>
      </c>
      <c r="DZ48" s="37">
        <v>13.2471</v>
      </c>
      <c r="EA48" s="37">
        <v>13.2471</v>
      </c>
      <c r="EB48" s="37">
        <v>13.2471</v>
      </c>
      <c r="EC48" s="37">
        <v>13.2471</v>
      </c>
      <c r="ED48" s="37">
        <v>13.2471</v>
      </c>
      <c r="EE48" s="37">
        <v>13.2471</v>
      </c>
      <c r="EF48" s="37">
        <v>13.2471</v>
      </c>
      <c r="EG48" s="37">
        <v>13.2471</v>
      </c>
      <c r="EH48" s="37">
        <v>13.2471</v>
      </c>
      <c r="EI48" s="37">
        <v>13.2471</v>
      </c>
      <c r="EJ48" s="37">
        <v>13.2471</v>
      </c>
      <c r="EK48" s="37">
        <v>13.2471</v>
      </c>
      <c r="EL48" s="37">
        <v>13.2471</v>
      </c>
      <c r="EM48" s="37">
        <v>13.2471</v>
      </c>
      <c r="EN48" s="37">
        <v>13.2471</v>
      </c>
      <c r="EO48" s="37">
        <v>13.2471</v>
      </c>
      <c r="EP48" s="37">
        <v>13.2471</v>
      </c>
      <c r="EQ48" s="37">
        <v>13.2471</v>
      </c>
      <c r="ER48" s="37">
        <v>13.2471</v>
      </c>
      <c r="ES48" s="37">
        <v>13.2471</v>
      </c>
      <c r="ET48" s="37">
        <v>13.2471</v>
      </c>
      <c r="EU48" s="37">
        <v>13.2471</v>
      </c>
      <c r="EV48" s="37">
        <v>13.2471</v>
      </c>
      <c r="EW48" s="37">
        <v>13.2471</v>
      </c>
      <c r="EX48" s="37">
        <v>13.2471</v>
      </c>
      <c r="EY48" s="37">
        <v>13.2471</v>
      </c>
      <c r="EZ48" s="37">
        <v>13.2471</v>
      </c>
      <c r="FA48" s="37">
        <v>13.2471</v>
      </c>
      <c r="FB48" s="37">
        <v>13.2471</v>
      </c>
      <c r="FC48" s="37">
        <v>13.2471</v>
      </c>
      <c r="FD48" s="37">
        <v>13.2471</v>
      </c>
      <c r="FE48" s="37">
        <v>13.2471</v>
      </c>
      <c r="FF48" s="37">
        <v>13.2471</v>
      </c>
      <c r="FG48" s="37">
        <v>13.2471</v>
      </c>
      <c r="FH48" s="37">
        <v>13.2471</v>
      </c>
      <c r="FI48" s="37">
        <v>13.2471</v>
      </c>
      <c r="FJ48" s="37">
        <v>13.2471</v>
      </c>
      <c r="FK48" s="37">
        <v>13.2471</v>
      </c>
      <c r="FL48" s="37">
        <v>13.2471</v>
      </c>
      <c r="FM48" s="37">
        <v>13.2471</v>
      </c>
      <c r="FN48" s="37">
        <v>13.2471</v>
      </c>
      <c r="FO48" s="37">
        <v>13.2471</v>
      </c>
      <c r="FP48" s="37">
        <v>13.2471</v>
      </c>
      <c r="FQ48" s="37">
        <v>13.2471</v>
      </c>
      <c r="FR48" s="37">
        <v>13.2471</v>
      </c>
      <c r="FS48" s="37">
        <v>13.2471</v>
      </c>
      <c r="FT48" s="37">
        <v>13.2471</v>
      </c>
      <c r="FU48" s="37">
        <v>13.2471</v>
      </c>
      <c r="FV48" s="37">
        <v>13.2471</v>
      </c>
      <c r="FW48" s="37">
        <v>13.2471</v>
      </c>
      <c r="FX48" s="37">
        <v>13.2471</v>
      </c>
      <c r="FY48" s="37">
        <v>13.2471</v>
      </c>
      <c r="FZ48" s="37">
        <v>13.2471</v>
      </c>
      <c r="GA48" s="37">
        <v>13.2471</v>
      </c>
      <c r="GB48" s="37">
        <v>13.2471</v>
      </c>
      <c r="GC48" s="37">
        <v>13.2471</v>
      </c>
      <c r="GD48" s="37">
        <v>13.2471</v>
      </c>
      <c r="GE48" s="37">
        <v>13.2471</v>
      </c>
      <c r="GF48" s="37">
        <v>13.2471</v>
      </c>
      <c r="GG48" s="37">
        <v>13.2471</v>
      </c>
      <c r="GH48" s="37">
        <v>13.2471</v>
      </c>
      <c r="GI48" s="37">
        <v>13.2471</v>
      </c>
      <c r="GJ48" s="37">
        <v>13.2471</v>
      </c>
      <c r="GK48" s="37">
        <v>13.2471</v>
      </c>
      <c r="GL48" s="37">
        <v>13.2471</v>
      </c>
      <c r="GM48" s="37">
        <v>13.2471</v>
      </c>
      <c r="GN48" s="37">
        <v>13.2471</v>
      </c>
      <c r="GO48" s="37">
        <v>13.2471</v>
      </c>
      <c r="GP48" s="37">
        <v>13.2471</v>
      </c>
      <c r="GQ48" s="37">
        <v>13.2471</v>
      </c>
      <c r="GR48" s="37">
        <v>13.2471</v>
      </c>
      <c r="GS48" s="37">
        <v>13.2471</v>
      </c>
      <c r="GT48" s="37">
        <v>13.2471</v>
      </c>
      <c r="GU48" s="37">
        <v>13.2471</v>
      </c>
      <c r="GV48" s="37">
        <v>13.2471</v>
      </c>
      <c r="GW48" s="37">
        <v>13.2471</v>
      </c>
      <c r="GX48" s="37">
        <v>13.2471</v>
      </c>
      <c r="GY48" s="37">
        <v>13.2471</v>
      </c>
      <c r="GZ48" s="37">
        <v>13.2471</v>
      </c>
      <c r="HA48" s="37">
        <v>13.2471</v>
      </c>
      <c r="HB48" s="37">
        <v>13.2471</v>
      </c>
      <c r="HC48" s="37">
        <v>13.2471</v>
      </c>
      <c r="HD48" s="37">
        <v>13.2471</v>
      </c>
      <c r="HE48" s="37">
        <v>13.2471</v>
      </c>
      <c r="HF48" s="37">
        <v>13.2471</v>
      </c>
      <c r="HG48" s="37">
        <v>13.2471</v>
      </c>
      <c r="HH48" s="37">
        <v>13.2471</v>
      </c>
      <c r="HI48" s="37">
        <v>13.2471</v>
      </c>
      <c r="HJ48" s="37">
        <v>13.2471</v>
      </c>
      <c r="HK48" s="37">
        <v>13.2471</v>
      </c>
      <c r="HL48" s="37">
        <v>13.2471</v>
      </c>
      <c r="HM48" s="37">
        <v>13.2471</v>
      </c>
      <c r="HN48" s="37">
        <v>13.2471</v>
      </c>
      <c r="HO48" s="37">
        <v>13.2471</v>
      </c>
      <c r="HP48" s="37">
        <v>13.2471</v>
      </c>
      <c r="HQ48" s="37">
        <v>13.2471</v>
      </c>
      <c r="HR48" s="37">
        <v>13.2471</v>
      </c>
      <c r="HS48" s="37">
        <v>13.2471</v>
      </c>
      <c r="HT48" s="37">
        <v>13.2471</v>
      </c>
      <c r="HU48" s="37">
        <v>13.2471</v>
      </c>
      <c r="HV48" s="37">
        <v>13.2471</v>
      </c>
      <c r="HW48" s="37">
        <v>13.2471</v>
      </c>
      <c r="HX48" s="37">
        <v>13.2471</v>
      </c>
      <c r="HY48" s="37">
        <v>13.2471</v>
      </c>
      <c r="HZ48" s="37">
        <v>13.2471</v>
      </c>
      <c r="IA48" s="37">
        <v>13.2471</v>
      </c>
      <c r="IB48" s="37">
        <v>13.2471</v>
      </c>
      <c r="IC48" s="37">
        <v>13.2471</v>
      </c>
      <c r="ID48" s="37">
        <v>13.2471</v>
      </c>
      <c r="IE48" s="37">
        <v>13.2471</v>
      </c>
      <c r="IF48" s="37">
        <v>13.2471</v>
      </c>
      <c r="IG48" s="37">
        <v>13.2471</v>
      </c>
      <c r="IH48" s="37">
        <v>13.2471</v>
      </c>
      <c r="II48" s="37">
        <v>13.2471</v>
      </c>
      <c r="IJ48" s="37">
        <v>13.2471</v>
      </c>
      <c r="IK48" s="37">
        <v>13.2471</v>
      </c>
      <c r="IL48" s="37">
        <v>13.2471</v>
      </c>
      <c r="IM48" s="37">
        <v>13.2471</v>
      </c>
      <c r="IN48" s="37">
        <v>13.2471</v>
      </c>
      <c r="IO48" s="37">
        <v>13.2471</v>
      </c>
      <c r="IP48" s="37">
        <v>13.2471</v>
      </c>
      <c r="IQ48" s="37">
        <v>13.2471</v>
      </c>
      <c r="IR48" s="37">
        <v>13.2471</v>
      </c>
      <c r="IS48" s="37">
        <v>13.2471</v>
      </c>
      <c r="IT48" s="37">
        <v>13.2471</v>
      </c>
      <c r="IU48" s="37">
        <v>13.2471</v>
      </c>
      <c r="IV48" s="37">
        <v>13.2471</v>
      </c>
      <c r="IW48" s="37">
        <v>13.2471</v>
      </c>
      <c r="IX48" s="37">
        <v>13.2471</v>
      </c>
      <c r="IY48" s="37">
        <v>13.2471</v>
      </c>
      <c r="IZ48" s="37">
        <v>13.2471</v>
      </c>
      <c r="JA48" s="37">
        <v>13.2471</v>
      </c>
      <c r="JB48" s="37">
        <v>13.2471</v>
      </c>
      <c r="JC48" s="37">
        <v>13.2471</v>
      </c>
      <c r="JD48" s="37">
        <v>13.2471</v>
      </c>
      <c r="JE48" s="37">
        <v>13.2471</v>
      </c>
      <c r="JF48" s="37">
        <v>13.2471</v>
      </c>
      <c r="JG48" s="37">
        <v>13.2471</v>
      </c>
      <c r="JH48" s="37">
        <v>13.2471</v>
      </c>
      <c r="JI48" s="37">
        <v>13.2471</v>
      </c>
      <c r="JJ48" s="37">
        <v>13.2471</v>
      </c>
      <c r="JK48" s="37">
        <v>13.2471</v>
      </c>
      <c r="JL48" s="37">
        <v>13.2471</v>
      </c>
      <c r="JM48" s="37">
        <v>13.2471</v>
      </c>
      <c r="JN48" s="37">
        <v>13.2471</v>
      </c>
      <c r="JO48" s="37">
        <v>13.2471</v>
      </c>
      <c r="JP48" s="37">
        <v>13.2471</v>
      </c>
      <c r="JQ48" s="37">
        <v>13.2471</v>
      </c>
      <c r="JR48" s="37">
        <v>13.2471</v>
      </c>
      <c r="JS48" s="37">
        <v>13.2471</v>
      </c>
      <c r="JT48" s="37">
        <v>13.2471</v>
      </c>
      <c r="JU48" s="37">
        <v>13.2471</v>
      </c>
      <c r="JV48" s="37">
        <v>13.2471</v>
      </c>
      <c r="JW48" s="37">
        <v>13.2471</v>
      </c>
      <c r="JX48" s="37">
        <v>13.2471</v>
      </c>
      <c r="JY48" s="37">
        <v>13.2471</v>
      </c>
      <c r="JZ48" s="37">
        <v>13.2471</v>
      </c>
      <c r="KA48" s="37">
        <v>13.2471</v>
      </c>
      <c r="KB48" s="37">
        <v>13.2471</v>
      </c>
      <c r="KC48" s="37">
        <v>13.2471</v>
      </c>
      <c r="KD48" s="37">
        <v>13.2471</v>
      </c>
      <c r="KE48" s="37">
        <v>13.2471</v>
      </c>
      <c r="KF48" s="37">
        <v>13.2471</v>
      </c>
      <c r="KG48" s="37">
        <v>13.2471</v>
      </c>
      <c r="KH48" s="37">
        <v>13.2471</v>
      </c>
      <c r="KI48" s="37">
        <v>13.2471</v>
      </c>
      <c r="KJ48" s="37">
        <v>13.2471</v>
      </c>
      <c r="KK48" s="37">
        <v>13.2471</v>
      </c>
      <c r="KL48" s="37">
        <v>13.2471</v>
      </c>
      <c r="KM48" s="37">
        <v>13.2471</v>
      </c>
      <c r="KN48" s="37">
        <v>13.2471</v>
      </c>
      <c r="KO48" s="37">
        <v>13.2471</v>
      </c>
      <c r="KP48" s="37">
        <v>13.2471</v>
      </c>
      <c r="KQ48" s="37">
        <v>13.2471</v>
      </c>
      <c r="KR48" s="37">
        <v>13.2471</v>
      </c>
      <c r="KS48" s="37">
        <v>13.2471</v>
      </c>
      <c r="KT48" s="37">
        <v>13.2471</v>
      </c>
      <c r="KU48" s="37">
        <v>13.2471</v>
      </c>
      <c r="KV48" s="37">
        <v>13.2471</v>
      </c>
      <c r="KW48" s="51">
        <v>13.2471</v>
      </c>
      <c r="KX48" s="51">
        <v>13.2471</v>
      </c>
      <c r="KY48" s="51">
        <v>13.2471</v>
      </c>
      <c r="KZ48" s="51">
        <v>13.2471</v>
      </c>
      <c r="LA48" s="51">
        <v>13.2471</v>
      </c>
      <c r="LB48" s="51">
        <v>13.2471</v>
      </c>
      <c r="LC48" s="51">
        <v>13.2471</v>
      </c>
      <c r="LD48" s="51">
        <v>13.2471</v>
      </c>
      <c r="LE48" s="51">
        <v>13.2471</v>
      </c>
      <c r="LF48" s="51">
        <v>13.2471</v>
      </c>
      <c r="LG48" s="51">
        <v>13.2471</v>
      </c>
      <c r="LH48" s="51">
        <v>13.2471</v>
      </c>
      <c r="LI48" s="51">
        <v>13.2471</v>
      </c>
      <c r="LJ48" s="51">
        <v>13.2471</v>
      </c>
      <c r="LK48" s="51">
        <v>13.2471</v>
      </c>
      <c r="LL48" s="51">
        <v>13.2471</v>
      </c>
      <c r="LM48" s="51">
        <v>13.2471</v>
      </c>
      <c r="LN48" s="51">
        <v>12.781750000000001</v>
      </c>
      <c r="LO48" s="51" t="s">
        <v>668</v>
      </c>
      <c r="LP48" s="51" t="s">
        <v>668</v>
      </c>
      <c r="LQ48" s="51" t="s">
        <v>668</v>
      </c>
      <c r="LR48" s="51" t="s">
        <v>668</v>
      </c>
      <c r="LS48" s="51" t="s">
        <v>668</v>
      </c>
      <c r="LT48" s="51" t="s">
        <v>668</v>
      </c>
      <c r="LU48" s="51" t="s">
        <v>668</v>
      </c>
      <c r="LV48" s="51" t="s">
        <v>668</v>
      </c>
      <c r="LW48" s="51" t="s">
        <v>668</v>
      </c>
      <c r="LX48" s="51" t="s">
        <v>668</v>
      </c>
      <c r="LY48" s="51" t="s">
        <v>668</v>
      </c>
      <c r="LZ48" s="51" t="s">
        <v>668</v>
      </c>
      <c r="MA48" s="51" t="s">
        <v>668</v>
      </c>
      <c r="MB48" s="51" t="s">
        <v>668</v>
      </c>
      <c r="MC48" s="51" t="s">
        <v>668</v>
      </c>
      <c r="MD48" s="51" t="s">
        <v>668</v>
      </c>
      <c r="ME48" s="51" t="s">
        <v>668</v>
      </c>
      <c r="MF48" s="51" t="s">
        <v>668</v>
      </c>
      <c r="MG48" s="51" t="s">
        <v>668</v>
      </c>
      <c r="MH48" s="51" t="s">
        <v>668</v>
      </c>
      <c r="MI48" s="51" t="s">
        <v>668</v>
      </c>
      <c r="MJ48" s="51" t="s">
        <v>668</v>
      </c>
      <c r="MK48" s="51" t="s">
        <v>668</v>
      </c>
      <c r="ML48" s="51" t="s">
        <v>668</v>
      </c>
      <c r="MM48" s="51" t="s">
        <v>668</v>
      </c>
      <c r="MN48" s="51" t="s">
        <v>668</v>
      </c>
      <c r="MO48" s="51" t="s">
        <v>668</v>
      </c>
      <c r="MP48" s="51" t="s">
        <v>668</v>
      </c>
      <c r="MQ48" s="51" t="s">
        <v>668</v>
      </c>
      <c r="MR48" s="51" t="s">
        <v>668</v>
      </c>
      <c r="MS48" s="51" t="s">
        <v>668</v>
      </c>
      <c r="MT48" s="51" t="s">
        <v>668</v>
      </c>
      <c r="MU48" s="51" t="s">
        <v>668</v>
      </c>
      <c r="MV48" s="51" t="s">
        <v>668</v>
      </c>
      <c r="MW48" s="51" t="s">
        <v>668</v>
      </c>
      <c r="MX48" s="51" t="s">
        <v>668</v>
      </c>
      <c r="MY48" s="51" t="s">
        <v>668</v>
      </c>
      <c r="MZ48" s="51" t="s">
        <v>668</v>
      </c>
      <c r="NA48" s="51" t="s">
        <v>668</v>
      </c>
      <c r="NB48" s="51" t="s">
        <v>668</v>
      </c>
      <c r="NC48" s="51" t="s">
        <v>668</v>
      </c>
      <c r="ND48" s="51" t="s">
        <v>668</v>
      </c>
      <c r="NE48" s="37" t="s">
        <v>668</v>
      </c>
      <c r="NF48" s="37" t="s">
        <v>668</v>
      </c>
      <c r="NG48" s="37" t="s">
        <v>668</v>
      </c>
      <c r="NH48" s="37" t="s">
        <v>668</v>
      </c>
      <c r="NI48" s="37" t="s">
        <v>668</v>
      </c>
      <c r="NJ48" s="37" t="s">
        <v>668</v>
      </c>
      <c r="NK48" s="37" t="s">
        <v>668</v>
      </c>
      <c r="NL48" s="37" t="s">
        <v>668</v>
      </c>
      <c r="NM48" s="37" t="s">
        <v>668</v>
      </c>
      <c r="NN48" s="37" t="s">
        <v>668</v>
      </c>
      <c r="NO48" s="37" t="s">
        <v>668</v>
      </c>
      <c r="NP48" s="37" t="s">
        <v>668</v>
      </c>
      <c r="NQ48" s="37" t="s">
        <v>668</v>
      </c>
      <c r="NR48" s="37" t="s">
        <v>668</v>
      </c>
      <c r="NS48" s="37" t="s">
        <v>668</v>
      </c>
      <c r="NT48" s="37" t="s">
        <v>668</v>
      </c>
      <c r="NU48" s="37" t="s">
        <v>668</v>
      </c>
      <c r="NV48" s="37" t="s">
        <v>668</v>
      </c>
      <c r="NW48" s="37" t="s">
        <v>668</v>
      </c>
      <c r="NX48" s="37" t="s">
        <v>668</v>
      </c>
      <c r="NY48" s="37" t="s">
        <v>668</v>
      </c>
      <c r="NZ48" s="37" t="s">
        <v>668</v>
      </c>
      <c r="OA48" s="37" t="s">
        <v>668</v>
      </c>
      <c r="OB48" s="37" t="s">
        <v>668</v>
      </c>
      <c r="OC48" s="37" t="s">
        <v>668</v>
      </c>
      <c r="OD48" s="37" t="s">
        <v>668</v>
      </c>
      <c r="OE48" s="37" t="s">
        <v>668</v>
      </c>
      <c r="OF48" s="37" t="s">
        <v>668</v>
      </c>
      <c r="OG48" s="37" t="s">
        <v>668</v>
      </c>
      <c r="OH48" s="37" t="s">
        <v>668</v>
      </c>
      <c r="OI48" s="37" t="s">
        <v>668</v>
      </c>
      <c r="OJ48" s="37" t="s">
        <v>668</v>
      </c>
      <c r="OK48" s="37" t="s">
        <v>668</v>
      </c>
      <c r="OL48" s="37" t="s">
        <v>668</v>
      </c>
      <c r="OM48" s="37" t="s">
        <v>668</v>
      </c>
      <c r="ON48" s="37" t="s">
        <v>668</v>
      </c>
      <c r="OO48" s="37" t="s">
        <v>668</v>
      </c>
      <c r="OP48" s="37" t="s">
        <v>668</v>
      </c>
      <c r="OQ48" s="37" t="s">
        <v>668</v>
      </c>
      <c r="OR48" s="37" t="s">
        <v>668</v>
      </c>
      <c r="OS48" s="37" t="s">
        <v>668</v>
      </c>
      <c r="OT48" s="37" t="s">
        <v>668</v>
      </c>
      <c r="OU48" s="37" t="s">
        <v>668</v>
      </c>
      <c r="OV48" s="37" t="s">
        <v>668</v>
      </c>
      <c r="OW48" s="37" t="s">
        <v>668</v>
      </c>
      <c r="OX48" s="37" t="s">
        <v>668</v>
      </c>
      <c r="OY48" s="37" t="s">
        <v>668</v>
      </c>
      <c r="OZ48" s="37" t="s">
        <v>668</v>
      </c>
      <c r="PA48" s="37" t="s">
        <v>668</v>
      </c>
      <c r="PB48" s="37" t="s">
        <v>668</v>
      </c>
      <c r="PC48" s="37" t="s">
        <v>668</v>
      </c>
      <c r="PD48" s="37" t="s">
        <v>668</v>
      </c>
      <c r="PE48" s="37" t="s">
        <v>668</v>
      </c>
      <c r="PF48" s="37" t="s">
        <v>668</v>
      </c>
      <c r="PG48" s="37" t="s">
        <v>668</v>
      </c>
      <c r="PH48" s="37" t="s">
        <v>668</v>
      </c>
      <c r="PI48" s="37" t="s">
        <v>668</v>
      </c>
      <c r="PJ48" s="37" t="s">
        <v>668</v>
      </c>
      <c r="PK48" s="37" t="s">
        <v>668</v>
      </c>
      <c r="PL48" s="37" t="s">
        <v>668</v>
      </c>
      <c r="PM48" s="37" t="s">
        <v>668</v>
      </c>
      <c r="PN48" s="37" t="s">
        <v>668</v>
      </c>
      <c r="PO48" s="37" t="s">
        <v>668</v>
      </c>
      <c r="PP48" s="37" t="s">
        <v>668</v>
      </c>
      <c r="PQ48" s="37" t="s">
        <v>668</v>
      </c>
      <c r="PR48" s="37" t="s">
        <v>668</v>
      </c>
      <c r="PS48" s="15" t="s">
        <v>668</v>
      </c>
      <c r="PT48" s="15" t="s">
        <v>668</v>
      </c>
      <c r="PU48" s="15" t="s">
        <v>668</v>
      </c>
      <c r="PV48" s="15" t="s">
        <v>668</v>
      </c>
      <c r="PW48" s="15" t="s">
        <v>668</v>
      </c>
      <c r="PX48" s="15" t="s">
        <v>668</v>
      </c>
      <c r="PY48" s="15" t="s">
        <v>668</v>
      </c>
      <c r="PZ48" s="15" t="s">
        <v>668</v>
      </c>
      <c r="QA48" s="15" t="s">
        <v>668</v>
      </c>
      <c r="QB48" s="15" t="s">
        <v>668</v>
      </c>
      <c r="QC48" s="15" t="s">
        <v>668</v>
      </c>
      <c r="QD48" s="15" t="s">
        <v>668</v>
      </c>
      <c r="QE48" s="15" t="s">
        <v>668</v>
      </c>
      <c r="QF48" s="15" t="s">
        <v>668</v>
      </c>
      <c r="QG48" s="15" t="s">
        <v>668</v>
      </c>
      <c r="QH48" s="15" t="s">
        <v>668</v>
      </c>
      <c r="QI48" s="15" t="s">
        <v>668</v>
      </c>
      <c r="QJ48" s="15" t="s">
        <v>668</v>
      </c>
      <c r="QK48" s="15" t="s">
        <v>668</v>
      </c>
      <c r="QL48" s="15" t="s">
        <v>668</v>
      </c>
      <c r="QM48" s="15" t="s">
        <v>668</v>
      </c>
      <c r="QN48" s="15" t="s">
        <v>668</v>
      </c>
      <c r="QO48" s="15" t="s">
        <v>668</v>
      </c>
      <c r="QP48" s="15" t="s">
        <v>668</v>
      </c>
      <c r="QQ48" s="15" t="s">
        <v>668</v>
      </c>
      <c r="QR48" s="15" t="s">
        <v>668</v>
      </c>
      <c r="QS48" s="15" t="s">
        <v>668</v>
      </c>
      <c r="QT48" s="15" t="s">
        <v>668</v>
      </c>
      <c r="QU48" s="15" t="s">
        <v>668</v>
      </c>
      <c r="QV48" s="15" t="s">
        <v>668</v>
      </c>
      <c r="QW48" s="15" t="s">
        <v>668</v>
      </c>
      <c r="QX48" s="15" t="s">
        <v>668</v>
      </c>
      <c r="QY48" s="15" t="s">
        <v>668</v>
      </c>
      <c r="QZ48" s="15" t="s">
        <v>668</v>
      </c>
      <c r="RA48" s="15" t="s">
        <v>668</v>
      </c>
      <c r="RB48" s="15" t="s">
        <v>668</v>
      </c>
      <c r="RC48" s="15" t="s">
        <v>668</v>
      </c>
      <c r="RD48" s="15" t="s">
        <v>668</v>
      </c>
      <c r="RE48" s="15" t="s">
        <v>668</v>
      </c>
      <c r="RF48" s="15" t="s">
        <v>668</v>
      </c>
      <c r="RG48" s="15" t="s">
        <v>668</v>
      </c>
      <c r="RH48" s="15" t="s">
        <v>668</v>
      </c>
      <c r="RI48" s="15" t="s">
        <v>668</v>
      </c>
      <c r="RJ48" s="15" t="s">
        <v>668</v>
      </c>
      <c r="RK48" s="15" t="s">
        <v>668</v>
      </c>
      <c r="RL48" s="15" t="s">
        <v>668</v>
      </c>
      <c r="RM48" s="15" t="s">
        <v>668</v>
      </c>
      <c r="RN48" s="15" t="s">
        <v>668</v>
      </c>
      <c r="RO48" s="15" t="s">
        <v>668</v>
      </c>
      <c r="RP48" s="15" t="s">
        <v>668</v>
      </c>
      <c r="RQ48" s="15" t="s">
        <v>668</v>
      </c>
      <c r="RR48" s="15" t="s">
        <v>668</v>
      </c>
      <c r="RS48" s="15" t="s">
        <v>668</v>
      </c>
      <c r="RT48" s="15" t="s">
        <v>668</v>
      </c>
      <c r="RU48" s="15" t="s">
        <v>668</v>
      </c>
      <c r="RV48" s="15" t="s">
        <v>668</v>
      </c>
      <c r="RW48" s="15" t="s">
        <v>668</v>
      </c>
      <c r="RX48" s="15" t="s">
        <v>668</v>
      </c>
      <c r="RY48" s="15" t="s">
        <v>668</v>
      </c>
      <c r="RZ48" s="15" t="s">
        <v>668</v>
      </c>
      <c r="SA48" s="15" t="s">
        <v>668</v>
      </c>
      <c r="SB48" s="15" t="s">
        <v>668</v>
      </c>
      <c r="SC48" s="15" t="s">
        <v>668</v>
      </c>
      <c r="SD48" s="15" t="s">
        <v>668</v>
      </c>
      <c r="SE48" s="15" t="s">
        <v>668</v>
      </c>
      <c r="SF48" s="15" t="s">
        <v>668</v>
      </c>
      <c r="SG48" s="15" t="s">
        <v>668</v>
      </c>
      <c r="SH48" s="15" t="s">
        <v>668</v>
      </c>
      <c r="SI48" s="15" t="s">
        <v>668</v>
      </c>
      <c r="SJ48" s="15" t="s">
        <v>668</v>
      </c>
      <c r="SK48" s="15" t="s">
        <v>668</v>
      </c>
      <c r="SL48" s="15" t="s">
        <v>668</v>
      </c>
      <c r="SM48" s="15" t="s">
        <v>668</v>
      </c>
    </row>
    <row r="49" spans="1:508" x14ac:dyDescent="0.2">
      <c r="A49" s="37">
        <v>47</v>
      </c>
      <c r="B49" s="48" t="s">
        <v>698</v>
      </c>
      <c r="C49" s="17">
        <f>+'Detalle Compras'!D49</f>
        <v>202507180062</v>
      </c>
      <c r="D49" s="55">
        <f t="shared" si="13"/>
        <v>13.0634</v>
      </c>
      <c r="E49" s="14">
        <f>+IF(B49="","",'Detalle Compras'!S49+0)</f>
        <v>45910</v>
      </c>
      <c r="F49" s="14">
        <f>+IF(B49="","",EOMONTH('Detalle Compras'!S49,G49)+10)</f>
        <v>56897</v>
      </c>
      <c r="G49" s="50">
        <f t="shared" si="14"/>
        <v>360</v>
      </c>
      <c r="H49" s="50">
        <f t="shared" si="15"/>
        <v>355</v>
      </c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  <c r="Y49" s="52"/>
      <c r="Z49" s="52"/>
      <c r="AA49" s="52">
        <v>13.0634</v>
      </c>
      <c r="AB49" s="52">
        <v>13.0634</v>
      </c>
      <c r="AC49" s="52">
        <v>13.0634</v>
      </c>
      <c r="AD49" s="52">
        <v>13.0634</v>
      </c>
      <c r="AE49" s="52">
        <v>13.0634</v>
      </c>
      <c r="AF49" s="52">
        <v>13.0634</v>
      </c>
      <c r="AG49" s="52">
        <v>13.0634</v>
      </c>
      <c r="AH49" s="52">
        <v>13.0634</v>
      </c>
      <c r="AI49" s="52">
        <v>13.0634</v>
      </c>
      <c r="AJ49" s="52">
        <v>13.0634</v>
      </c>
      <c r="AK49" s="52">
        <v>13.0634</v>
      </c>
      <c r="AL49" s="52">
        <v>13.0634</v>
      </c>
      <c r="AM49" s="52">
        <v>13.0634</v>
      </c>
      <c r="AN49" s="52">
        <v>13.0634</v>
      </c>
      <c r="AO49" s="52">
        <v>13.0634</v>
      </c>
      <c r="AP49" s="52">
        <v>13.0634</v>
      </c>
      <c r="AQ49" s="52">
        <v>13.0634</v>
      </c>
      <c r="AR49" s="52">
        <v>13.0634</v>
      </c>
      <c r="AS49" s="52">
        <v>13.0634</v>
      </c>
      <c r="AT49" s="52">
        <v>13.0634</v>
      </c>
      <c r="AU49" s="52">
        <v>13.0634</v>
      </c>
      <c r="AV49" s="52">
        <v>13.0634</v>
      </c>
      <c r="AW49" s="52">
        <v>13.0634</v>
      </c>
      <c r="AX49" s="52">
        <v>13.0634</v>
      </c>
      <c r="AY49" s="52">
        <v>13.0634</v>
      </c>
      <c r="AZ49" s="52">
        <v>13.0634</v>
      </c>
      <c r="BA49" s="52">
        <v>13.0634</v>
      </c>
      <c r="BB49" s="52">
        <v>13.0634</v>
      </c>
      <c r="BC49" s="52">
        <v>13.0634</v>
      </c>
      <c r="BD49" s="52">
        <v>13.0634</v>
      </c>
      <c r="BE49" s="52">
        <v>13.0634</v>
      </c>
      <c r="BF49" s="52">
        <v>13.0634</v>
      </c>
      <c r="BG49" s="52">
        <v>13.0634</v>
      </c>
      <c r="BH49" s="52">
        <v>13.0634</v>
      </c>
      <c r="BI49" s="52">
        <v>13.0634</v>
      </c>
      <c r="BJ49" s="52">
        <v>13.0634</v>
      </c>
      <c r="BK49" s="52">
        <v>13.0634</v>
      </c>
      <c r="BL49" s="52">
        <v>13.0634</v>
      </c>
      <c r="BM49" s="52">
        <v>13.0634</v>
      </c>
      <c r="BN49" s="52">
        <v>13.0634</v>
      </c>
      <c r="BO49" s="52">
        <v>13.0634</v>
      </c>
      <c r="BP49" s="52">
        <v>13.0634</v>
      </c>
      <c r="BQ49" s="52">
        <v>13.0634</v>
      </c>
      <c r="BR49" s="52">
        <v>13.0634</v>
      </c>
      <c r="BS49" s="52">
        <v>13.0634</v>
      </c>
      <c r="BT49" s="52">
        <v>13.0634</v>
      </c>
      <c r="BU49" s="52">
        <v>13.0634</v>
      </c>
      <c r="BV49" s="52">
        <v>13.0634</v>
      </c>
      <c r="BW49" s="52">
        <v>13.0634</v>
      </c>
      <c r="BX49" s="52">
        <v>13.0634</v>
      </c>
      <c r="BY49" s="52">
        <v>13.0634</v>
      </c>
      <c r="BZ49" s="52">
        <v>13.0634</v>
      </c>
      <c r="CA49" s="52">
        <v>13.0634</v>
      </c>
      <c r="CB49" s="52">
        <v>13.0634</v>
      </c>
      <c r="CC49" s="52">
        <v>13.0634</v>
      </c>
      <c r="CD49" s="52">
        <v>13.0634</v>
      </c>
      <c r="CE49" s="52">
        <v>13.0634</v>
      </c>
      <c r="CF49" s="52">
        <v>13.0634</v>
      </c>
      <c r="CG49" s="52">
        <v>13.0634</v>
      </c>
      <c r="CH49" s="52">
        <v>13.0634</v>
      </c>
      <c r="CI49" s="52">
        <v>13.0634</v>
      </c>
      <c r="CJ49" s="52">
        <v>13.0634</v>
      </c>
      <c r="CK49" s="52">
        <v>13.0634</v>
      </c>
      <c r="CL49" s="52">
        <v>13.0634</v>
      </c>
      <c r="CM49" s="52">
        <v>13.0634</v>
      </c>
      <c r="CN49" s="52">
        <v>13.0634</v>
      </c>
      <c r="CO49" s="52">
        <v>13.0634</v>
      </c>
      <c r="CP49" s="52">
        <v>13.0634</v>
      </c>
      <c r="CQ49" s="52">
        <v>13.0634</v>
      </c>
      <c r="CR49" s="52">
        <v>13.0634</v>
      </c>
      <c r="CS49" s="52">
        <v>13.0634</v>
      </c>
      <c r="CT49" s="52">
        <v>13.0634</v>
      </c>
      <c r="CU49" s="52">
        <v>13.0634</v>
      </c>
      <c r="CV49" s="52">
        <v>13.0634</v>
      </c>
      <c r="CW49" s="52">
        <v>13.0634</v>
      </c>
      <c r="CX49" s="52">
        <v>13.0634</v>
      </c>
      <c r="CY49" s="52">
        <v>13.0634</v>
      </c>
      <c r="CZ49" s="52">
        <v>13.0634</v>
      </c>
      <c r="DA49" s="52">
        <v>13.0634</v>
      </c>
      <c r="DB49" s="52">
        <v>13.0634</v>
      </c>
      <c r="DC49" s="52">
        <v>13.0634</v>
      </c>
      <c r="DD49" s="52">
        <v>13.0634</v>
      </c>
      <c r="DE49" s="52">
        <v>13.0634</v>
      </c>
      <c r="DF49" s="52">
        <v>13.0634</v>
      </c>
      <c r="DG49" s="52">
        <v>13.0634</v>
      </c>
      <c r="DH49" s="52">
        <v>13.0634</v>
      </c>
      <c r="DI49" s="52">
        <v>13.0634</v>
      </c>
      <c r="DJ49" s="52">
        <v>13.0634</v>
      </c>
      <c r="DK49" s="52">
        <v>13.0634</v>
      </c>
      <c r="DL49" s="52">
        <v>13.0634</v>
      </c>
      <c r="DM49" s="52">
        <v>13.0634</v>
      </c>
      <c r="DN49" s="52">
        <v>13.0634</v>
      </c>
      <c r="DO49" s="52">
        <v>13.0634</v>
      </c>
      <c r="DP49" s="52">
        <v>13.0634</v>
      </c>
      <c r="DQ49" s="52">
        <v>13.0634</v>
      </c>
      <c r="DR49" s="52">
        <v>13.0634</v>
      </c>
      <c r="DS49" s="52">
        <v>13.0634</v>
      </c>
      <c r="DT49" s="52">
        <v>13.0634</v>
      </c>
      <c r="DU49" s="52">
        <v>13.0634</v>
      </c>
      <c r="DV49" s="52">
        <v>13.0634</v>
      </c>
      <c r="DW49" s="52">
        <v>13.0634</v>
      </c>
      <c r="DX49" s="52">
        <v>13.0634</v>
      </c>
      <c r="DY49" s="52">
        <v>13.0634</v>
      </c>
      <c r="DZ49" s="52">
        <v>13.0634</v>
      </c>
      <c r="EA49" s="52">
        <v>13.0634</v>
      </c>
      <c r="EB49" s="52">
        <v>13.0634</v>
      </c>
      <c r="EC49" s="52">
        <v>13.0634</v>
      </c>
      <c r="ED49" s="52">
        <v>13.0634</v>
      </c>
      <c r="EE49" s="52">
        <v>13.0634</v>
      </c>
      <c r="EF49" s="52">
        <v>13.0634</v>
      </c>
      <c r="EG49" s="52">
        <v>13.0634</v>
      </c>
      <c r="EH49" s="52">
        <v>13.0634</v>
      </c>
      <c r="EI49" s="52">
        <v>13.0634</v>
      </c>
      <c r="EJ49" s="52">
        <v>13.0634</v>
      </c>
      <c r="EK49" s="52">
        <v>13.0634</v>
      </c>
      <c r="EL49" s="52">
        <v>13.0634</v>
      </c>
      <c r="EM49" s="52">
        <v>13.0634</v>
      </c>
      <c r="EN49" s="52">
        <v>13.0634</v>
      </c>
      <c r="EO49" s="52">
        <v>13.0634</v>
      </c>
      <c r="EP49" s="52">
        <v>13.0634</v>
      </c>
      <c r="EQ49" s="52">
        <v>13.0634</v>
      </c>
      <c r="ER49" s="52">
        <v>13.0634</v>
      </c>
      <c r="ES49" s="52">
        <v>13.0634</v>
      </c>
      <c r="ET49" s="52">
        <v>13.0634</v>
      </c>
      <c r="EU49" s="52">
        <v>13.0634</v>
      </c>
      <c r="EV49" s="52">
        <v>13.0634</v>
      </c>
      <c r="EW49" s="52">
        <v>13.0634</v>
      </c>
      <c r="EX49" s="52">
        <v>13.0634</v>
      </c>
      <c r="EY49" s="52">
        <v>13.0634</v>
      </c>
      <c r="EZ49" s="52">
        <v>13.0634</v>
      </c>
      <c r="FA49" s="52">
        <v>13.0634</v>
      </c>
      <c r="FB49" s="52">
        <v>13.0634</v>
      </c>
      <c r="FC49" s="52">
        <v>13.0634</v>
      </c>
      <c r="FD49" s="52">
        <v>13.0634</v>
      </c>
      <c r="FE49" s="52">
        <v>13.0634</v>
      </c>
      <c r="FF49" s="52">
        <v>13.0634</v>
      </c>
      <c r="FG49" s="52">
        <v>13.0634</v>
      </c>
      <c r="FH49" s="52">
        <v>13.0634</v>
      </c>
      <c r="FI49" s="52">
        <v>13.0634</v>
      </c>
      <c r="FJ49" s="52">
        <v>13.0634</v>
      </c>
      <c r="FK49" s="52">
        <v>13.0634</v>
      </c>
      <c r="FL49" s="52">
        <v>13.0634</v>
      </c>
      <c r="FM49" s="52">
        <v>13.0634</v>
      </c>
      <c r="FN49" s="52">
        <v>13.0634</v>
      </c>
      <c r="FO49" s="52">
        <v>13.0634</v>
      </c>
      <c r="FP49" s="52">
        <v>13.0634</v>
      </c>
      <c r="FQ49" s="52">
        <v>13.0634</v>
      </c>
      <c r="FR49" s="52">
        <v>13.0634</v>
      </c>
      <c r="FS49" s="52">
        <v>13.0634</v>
      </c>
      <c r="FT49" s="52">
        <v>13.0634</v>
      </c>
      <c r="FU49" s="52">
        <v>13.0634</v>
      </c>
      <c r="FV49" s="52">
        <v>13.0634</v>
      </c>
      <c r="FW49" s="52">
        <v>13.0634</v>
      </c>
      <c r="FX49" s="52">
        <v>13.0634</v>
      </c>
      <c r="FY49" s="52">
        <v>13.0634</v>
      </c>
      <c r="FZ49" s="52">
        <v>13.0634</v>
      </c>
      <c r="GA49" s="52">
        <v>13.0634</v>
      </c>
      <c r="GB49" s="52">
        <v>13.0634</v>
      </c>
      <c r="GC49" s="52">
        <v>13.0634</v>
      </c>
      <c r="GD49" s="52">
        <v>13.0634</v>
      </c>
      <c r="GE49" s="52">
        <v>13.0634</v>
      </c>
      <c r="GF49" s="52">
        <v>13.0634</v>
      </c>
      <c r="GG49" s="52">
        <v>13.0634</v>
      </c>
      <c r="GH49" s="52">
        <v>13.0634</v>
      </c>
      <c r="GI49" s="52">
        <v>13.0634</v>
      </c>
      <c r="GJ49" s="52">
        <v>13.0634</v>
      </c>
      <c r="GK49" s="52">
        <v>13.0634</v>
      </c>
      <c r="GL49" s="52">
        <v>13.0634</v>
      </c>
      <c r="GM49" s="52">
        <v>13.0634</v>
      </c>
      <c r="GN49" s="52">
        <v>13.0634</v>
      </c>
      <c r="GO49" s="52">
        <v>13.0634</v>
      </c>
      <c r="GP49" s="52">
        <v>13.0634</v>
      </c>
      <c r="GQ49" s="52">
        <v>13.0634</v>
      </c>
      <c r="GR49" s="52">
        <v>13.0634</v>
      </c>
      <c r="GS49" s="52">
        <v>13.0634</v>
      </c>
      <c r="GT49" s="52">
        <v>13.0634</v>
      </c>
      <c r="GU49" s="52">
        <v>13.0634</v>
      </c>
      <c r="GV49" s="52">
        <v>13.0634</v>
      </c>
      <c r="GW49" s="52">
        <v>13.0634</v>
      </c>
      <c r="GX49" s="52">
        <v>13.0634</v>
      </c>
      <c r="GY49" s="52">
        <v>13.0634</v>
      </c>
      <c r="GZ49" s="52">
        <v>13.0634</v>
      </c>
      <c r="HA49" s="52">
        <v>13.0634</v>
      </c>
      <c r="HB49" s="52">
        <v>13.0634</v>
      </c>
      <c r="HC49" s="52">
        <v>13.0634</v>
      </c>
      <c r="HD49" s="52">
        <v>13.0634</v>
      </c>
      <c r="HE49" s="52">
        <v>13.0634</v>
      </c>
      <c r="HF49" s="52">
        <v>13.0634</v>
      </c>
      <c r="HG49" s="52">
        <v>13.0634</v>
      </c>
      <c r="HH49" s="52">
        <v>13.0634</v>
      </c>
      <c r="HI49" s="52">
        <v>13.0634</v>
      </c>
      <c r="HJ49" s="52">
        <v>13.0634</v>
      </c>
      <c r="HK49" s="52">
        <v>13.0634</v>
      </c>
      <c r="HL49" s="52">
        <v>13.0634</v>
      </c>
      <c r="HM49" s="52">
        <v>13.0634</v>
      </c>
      <c r="HN49" s="52">
        <v>13.0634</v>
      </c>
      <c r="HO49" s="52">
        <v>13.0634</v>
      </c>
      <c r="HP49" s="52">
        <v>13.0634</v>
      </c>
      <c r="HQ49" s="52">
        <v>13.0634</v>
      </c>
      <c r="HR49" s="52">
        <v>13.0634</v>
      </c>
      <c r="HS49" s="52">
        <v>13.0634</v>
      </c>
      <c r="HT49" s="52">
        <v>13.0634</v>
      </c>
      <c r="HU49" s="52">
        <v>13.0634</v>
      </c>
      <c r="HV49" s="52">
        <v>13.0634</v>
      </c>
      <c r="HW49" s="52">
        <v>13.0634</v>
      </c>
      <c r="HX49" s="52">
        <v>13.0634</v>
      </c>
      <c r="HY49" s="52">
        <v>13.0634</v>
      </c>
      <c r="HZ49" s="52">
        <v>13.0634</v>
      </c>
      <c r="IA49" s="52">
        <v>13.0634</v>
      </c>
      <c r="IB49" s="52">
        <v>13.0634</v>
      </c>
      <c r="IC49" s="52">
        <v>13.0634</v>
      </c>
      <c r="ID49" s="52">
        <v>13.0634</v>
      </c>
      <c r="IE49" s="52">
        <v>13.0634</v>
      </c>
      <c r="IF49" s="52">
        <v>13.0634</v>
      </c>
      <c r="IG49" s="52">
        <v>13.0634</v>
      </c>
      <c r="IH49" s="52">
        <v>13.0634</v>
      </c>
      <c r="II49" s="52">
        <v>13.0634</v>
      </c>
      <c r="IJ49" s="52">
        <v>13.0634</v>
      </c>
      <c r="IK49" s="52">
        <v>13.0634</v>
      </c>
      <c r="IL49" s="52">
        <v>13.0634</v>
      </c>
      <c r="IM49" s="52">
        <v>13.0634</v>
      </c>
      <c r="IN49" s="52">
        <v>13.0634</v>
      </c>
      <c r="IO49" s="52">
        <v>13.0634</v>
      </c>
      <c r="IP49" s="52">
        <v>13.0634</v>
      </c>
      <c r="IQ49" s="52">
        <v>13.0634</v>
      </c>
      <c r="IR49" s="52">
        <v>13.0634</v>
      </c>
      <c r="IS49" s="52">
        <v>13.0634</v>
      </c>
      <c r="IT49" s="52">
        <v>13.0634</v>
      </c>
      <c r="IU49" s="52">
        <v>13.0634</v>
      </c>
      <c r="IV49" s="52">
        <v>13.0634</v>
      </c>
      <c r="IW49" s="52">
        <v>13.0634</v>
      </c>
      <c r="IX49" s="52">
        <v>13.0634</v>
      </c>
      <c r="IY49" s="52">
        <v>13.0634</v>
      </c>
      <c r="IZ49" s="52">
        <v>13.0634</v>
      </c>
      <c r="JA49" s="52">
        <v>13.0634</v>
      </c>
      <c r="JB49" s="52">
        <v>13.0634</v>
      </c>
      <c r="JC49" s="52">
        <v>13.0634</v>
      </c>
      <c r="JD49" s="52">
        <v>13.0634</v>
      </c>
      <c r="JE49" s="52">
        <v>13.0634</v>
      </c>
      <c r="JF49" s="52">
        <v>13.0634</v>
      </c>
      <c r="JG49" s="52">
        <v>13.0634</v>
      </c>
      <c r="JH49" s="52">
        <v>13.0634</v>
      </c>
      <c r="JI49" s="52">
        <v>13.0634</v>
      </c>
      <c r="JJ49" s="52">
        <v>13.0634</v>
      </c>
      <c r="JK49" s="52">
        <v>13.0634</v>
      </c>
      <c r="JL49" s="52">
        <v>13.0634</v>
      </c>
      <c r="JM49" s="52">
        <v>13.0634</v>
      </c>
      <c r="JN49" s="52">
        <v>13.0634</v>
      </c>
      <c r="JO49" s="52">
        <v>13.0634</v>
      </c>
      <c r="JP49" s="52">
        <v>13.0634</v>
      </c>
      <c r="JQ49" s="52">
        <v>13.0634</v>
      </c>
      <c r="JR49" s="52">
        <v>13.0634</v>
      </c>
      <c r="JS49" s="52">
        <v>13.0634</v>
      </c>
      <c r="JT49" s="52">
        <v>13.0634</v>
      </c>
      <c r="JU49" s="52">
        <v>13.0634</v>
      </c>
      <c r="JV49" s="52">
        <v>13.0634</v>
      </c>
      <c r="JW49" s="52">
        <v>13.0634</v>
      </c>
      <c r="JX49" s="52">
        <v>13.0634</v>
      </c>
      <c r="JY49" s="52">
        <v>13.0634</v>
      </c>
      <c r="JZ49" s="52">
        <v>13.0634</v>
      </c>
      <c r="KA49" s="52">
        <v>13.0634</v>
      </c>
      <c r="KB49" s="52">
        <v>13.0634</v>
      </c>
      <c r="KC49" s="52">
        <v>13.0634</v>
      </c>
      <c r="KD49" s="52">
        <v>13.0634</v>
      </c>
      <c r="KE49" s="52">
        <v>13.0634</v>
      </c>
      <c r="KF49" s="52">
        <v>13.0634</v>
      </c>
      <c r="KG49" s="52">
        <v>13.0634</v>
      </c>
      <c r="KH49" s="52">
        <v>13.0634</v>
      </c>
      <c r="KI49" s="52">
        <v>13.0634</v>
      </c>
      <c r="KJ49" s="52">
        <v>13.0634</v>
      </c>
      <c r="KK49" s="52">
        <v>13.0634</v>
      </c>
      <c r="KL49" s="52">
        <v>13.0634</v>
      </c>
      <c r="KM49" s="52">
        <v>13.0634</v>
      </c>
      <c r="KN49" s="52">
        <v>13.0634</v>
      </c>
      <c r="KO49" s="52">
        <v>13.0634</v>
      </c>
      <c r="KP49" s="52">
        <v>13.0634</v>
      </c>
      <c r="KQ49" s="52">
        <v>13.0634</v>
      </c>
      <c r="KR49" s="52">
        <v>13.0634</v>
      </c>
      <c r="KS49" s="52">
        <v>13.0634</v>
      </c>
      <c r="KT49" s="52">
        <v>13.0634</v>
      </c>
      <c r="KU49" s="52">
        <v>13.0634</v>
      </c>
      <c r="KV49" s="52">
        <v>13.0634</v>
      </c>
      <c r="KW49" s="52">
        <v>13.0634</v>
      </c>
      <c r="KX49" s="52">
        <v>13.0634</v>
      </c>
      <c r="KY49" s="52">
        <v>13.0634</v>
      </c>
      <c r="KZ49" s="52">
        <v>13.0634</v>
      </c>
      <c r="LA49" s="52">
        <v>13.0634</v>
      </c>
      <c r="LB49" s="52">
        <v>13.0634</v>
      </c>
      <c r="LC49" s="52">
        <v>13.0634</v>
      </c>
      <c r="LD49" s="52">
        <v>13.0634</v>
      </c>
      <c r="LE49" s="52">
        <v>13.0634</v>
      </c>
      <c r="LF49" s="52">
        <v>13.0634</v>
      </c>
      <c r="LG49" s="52">
        <v>13.0634</v>
      </c>
      <c r="LH49" s="52">
        <v>13.0634</v>
      </c>
      <c r="LI49" s="52">
        <v>13.0634</v>
      </c>
      <c r="LJ49" s="52">
        <v>13.0634</v>
      </c>
      <c r="LK49" s="52">
        <v>13.0634</v>
      </c>
      <c r="LL49" s="52">
        <v>13.0634</v>
      </c>
      <c r="LM49" s="52">
        <v>13.0634</v>
      </c>
      <c r="LN49" s="52">
        <v>13.0634</v>
      </c>
      <c r="LO49" s="52">
        <v>13.0634</v>
      </c>
      <c r="LP49" s="52">
        <v>13.0634</v>
      </c>
      <c r="LQ49" s="52">
        <v>13.0634</v>
      </c>
      <c r="LR49" s="52">
        <v>13.0634</v>
      </c>
      <c r="LS49" s="52">
        <v>13.0634</v>
      </c>
      <c r="LT49" s="52">
        <v>13.0634</v>
      </c>
      <c r="LU49" s="52">
        <v>13.0634</v>
      </c>
      <c r="LV49" s="52">
        <v>13.0634</v>
      </c>
      <c r="LW49" s="52">
        <v>13.0634</v>
      </c>
      <c r="LX49" s="52">
        <v>13.0634</v>
      </c>
      <c r="LY49" s="52">
        <v>13.0634</v>
      </c>
      <c r="LZ49" s="52">
        <v>13.0634</v>
      </c>
      <c r="MA49" s="52">
        <v>13.0634</v>
      </c>
      <c r="MB49" s="52">
        <v>13.0634</v>
      </c>
      <c r="MC49" s="52">
        <v>13.0634</v>
      </c>
      <c r="MD49" s="52">
        <v>13.0634</v>
      </c>
      <c r="ME49" s="52">
        <v>13.0634</v>
      </c>
      <c r="MF49" s="52">
        <v>13.0634</v>
      </c>
      <c r="MG49" s="52">
        <v>13.0634</v>
      </c>
      <c r="MH49" s="52">
        <v>13.0634</v>
      </c>
      <c r="MI49" s="52">
        <v>13.0634</v>
      </c>
      <c r="MJ49" s="52">
        <v>13.0634</v>
      </c>
      <c r="MK49" s="52">
        <v>13.0634</v>
      </c>
      <c r="ML49" s="52">
        <v>13.0634</v>
      </c>
      <c r="MM49" s="52">
        <v>13.0634</v>
      </c>
      <c r="MN49" s="52">
        <v>13.0634</v>
      </c>
      <c r="MO49" s="52">
        <v>13.0634</v>
      </c>
      <c r="MP49" s="52">
        <v>13.0634</v>
      </c>
      <c r="MQ49" s="52">
        <v>13.0634</v>
      </c>
      <c r="MR49" s="52">
        <v>13.0634</v>
      </c>
      <c r="MS49" s="52">
        <v>13.0634</v>
      </c>
      <c r="MT49" s="52">
        <v>13.0634</v>
      </c>
      <c r="MU49" s="52">
        <v>13.0634</v>
      </c>
      <c r="MV49" s="52">
        <v>13.0634</v>
      </c>
      <c r="MW49" s="52">
        <v>13.0634</v>
      </c>
      <c r="MX49" s="52">
        <v>13.0634</v>
      </c>
      <c r="MY49" s="52">
        <v>13.0634</v>
      </c>
      <c r="MZ49" s="52">
        <v>13.0634</v>
      </c>
      <c r="NA49" s="52">
        <v>13.0634</v>
      </c>
      <c r="NB49" s="52">
        <v>13.0634</v>
      </c>
      <c r="NC49" s="52">
        <v>13.0634</v>
      </c>
      <c r="ND49" s="52">
        <v>13.0634</v>
      </c>
      <c r="NE49" s="37">
        <v>13.0634</v>
      </c>
      <c r="NF49" s="37">
        <v>13.0634</v>
      </c>
      <c r="NG49" s="37">
        <v>13.0634</v>
      </c>
      <c r="NH49" s="37">
        <v>13.0634</v>
      </c>
      <c r="NI49" s="37">
        <v>13.0634</v>
      </c>
      <c r="NJ49" s="37">
        <v>13.0634</v>
      </c>
      <c r="NK49" s="37">
        <v>13.0634</v>
      </c>
      <c r="NL49" s="37">
        <v>13.0634</v>
      </c>
      <c r="NM49" s="37">
        <v>13.0634</v>
      </c>
      <c r="NN49" s="37">
        <v>13.0634</v>
      </c>
      <c r="NO49" s="37">
        <v>13.0634</v>
      </c>
      <c r="NP49" s="37">
        <v>13.0634</v>
      </c>
      <c r="NQ49" s="37">
        <v>13.0634</v>
      </c>
      <c r="NR49" s="37">
        <v>13.0634</v>
      </c>
      <c r="NS49" s="37">
        <v>13.0634</v>
      </c>
      <c r="NT49" s="37">
        <v>13.0634</v>
      </c>
      <c r="NU49" s="37">
        <v>13.0634</v>
      </c>
      <c r="NV49" s="37">
        <v>13.42245</v>
      </c>
      <c r="NW49" s="37" t="s">
        <v>668</v>
      </c>
      <c r="NX49" s="37" t="s">
        <v>668</v>
      </c>
      <c r="NY49" s="37" t="s">
        <v>668</v>
      </c>
      <c r="NZ49" s="37" t="s">
        <v>668</v>
      </c>
      <c r="OA49" s="37" t="s">
        <v>668</v>
      </c>
      <c r="OB49" s="37" t="s">
        <v>668</v>
      </c>
      <c r="OC49" s="37" t="s">
        <v>668</v>
      </c>
      <c r="OD49" s="37" t="s">
        <v>668</v>
      </c>
      <c r="OE49" s="37" t="s">
        <v>668</v>
      </c>
      <c r="OF49" s="37" t="s">
        <v>668</v>
      </c>
      <c r="OG49" s="37" t="s">
        <v>668</v>
      </c>
      <c r="OH49" s="37" t="s">
        <v>668</v>
      </c>
      <c r="OI49" s="37" t="s">
        <v>668</v>
      </c>
      <c r="OJ49" s="37" t="s">
        <v>668</v>
      </c>
      <c r="OK49" s="37" t="s">
        <v>668</v>
      </c>
      <c r="OL49" s="37" t="s">
        <v>668</v>
      </c>
      <c r="OM49" s="37" t="s">
        <v>668</v>
      </c>
      <c r="ON49" s="37" t="s">
        <v>668</v>
      </c>
      <c r="OO49" s="37" t="s">
        <v>668</v>
      </c>
      <c r="OP49" s="37" t="s">
        <v>668</v>
      </c>
      <c r="OQ49" s="37" t="s">
        <v>668</v>
      </c>
      <c r="OR49" s="37" t="s">
        <v>668</v>
      </c>
      <c r="OS49" s="37" t="s">
        <v>668</v>
      </c>
      <c r="OT49" s="37" t="s">
        <v>668</v>
      </c>
      <c r="OU49" s="37" t="s">
        <v>668</v>
      </c>
      <c r="OV49" s="37" t="s">
        <v>668</v>
      </c>
      <c r="OW49" s="37" t="s">
        <v>668</v>
      </c>
      <c r="OX49" s="37" t="s">
        <v>668</v>
      </c>
      <c r="OY49" s="37" t="s">
        <v>668</v>
      </c>
      <c r="OZ49" s="37" t="s">
        <v>668</v>
      </c>
      <c r="PA49" s="37" t="s">
        <v>668</v>
      </c>
      <c r="PB49" s="37" t="s">
        <v>668</v>
      </c>
      <c r="PC49" s="37" t="s">
        <v>668</v>
      </c>
      <c r="PD49" s="37" t="s">
        <v>668</v>
      </c>
      <c r="PE49" s="37" t="s">
        <v>668</v>
      </c>
      <c r="PF49" s="37" t="s">
        <v>668</v>
      </c>
      <c r="PG49" s="37" t="s">
        <v>668</v>
      </c>
      <c r="PH49" s="37" t="s">
        <v>668</v>
      </c>
      <c r="PI49" s="37" t="s">
        <v>668</v>
      </c>
      <c r="PJ49" s="37" t="s">
        <v>668</v>
      </c>
      <c r="PK49" s="37" t="s">
        <v>668</v>
      </c>
      <c r="PL49" s="37" t="s">
        <v>668</v>
      </c>
      <c r="PM49" s="37" t="s">
        <v>668</v>
      </c>
      <c r="PN49" s="37" t="s">
        <v>668</v>
      </c>
      <c r="PO49" s="37" t="s">
        <v>668</v>
      </c>
      <c r="PP49" s="37" t="s">
        <v>668</v>
      </c>
      <c r="PQ49" s="37" t="s">
        <v>668</v>
      </c>
      <c r="PR49" s="37" t="s">
        <v>668</v>
      </c>
      <c r="PS49" s="15" t="s">
        <v>668</v>
      </c>
      <c r="PT49" s="15" t="s">
        <v>668</v>
      </c>
      <c r="PU49" s="15" t="s">
        <v>668</v>
      </c>
      <c r="PV49" s="15" t="s">
        <v>668</v>
      </c>
      <c r="PW49" s="15" t="s">
        <v>668</v>
      </c>
      <c r="PX49" s="15" t="s">
        <v>668</v>
      </c>
      <c r="PY49" s="15" t="s">
        <v>668</v>
      </c>
      <c r="PZ49" s="15" t="s">
        <v>668</v>
      </c>
      <c r="QA49" s="15" t="s">
        <v>668</v>
      </c>
      <c r="QB49" s="15" t="s">
        <v>668</v>
      </c>
      <c r="QC49" s="15" t="s">
        <v>668</v>
      </c>
      <c r="QD49" s="15" t="s">
        <v>668</v>
      </c>
      <c r="QE49" s="15" t="s">
        <v>668</v>
      </c>
      <c r="QF49" s="15" t="s">
        <v>668</v>
      </c>
      <c r="QG49" s="15" t="s">
        <v>668</v>
      </c>
      <c r="QH49" s="15" t="s">
        <v>668</v>
      </c>
      <c r="QI49" s="15" t="s">
        <v>668</v>
      </c>
      <c r="QJ49" s="15" t="s">
        <v>668</v>
      </c>
      <c r="QK49" s="15" t="s">
        <v>668</v>
      </c>
      <c r="QL49" s="15" t="s">
        <v>668</v>
      </c>
      <c r="QM49" s="15" t="s">
        <v>668</v>
      </c>
      <c r="QN49" s="15" t="s">
        <v>668</v>
      </c>
      <c r="QO49" s="15" t="s">
        <v>668</v>
      </c>
      <c r="QP49" s="15" t="s">
        <v>668</v>
      </c>
      <c r="QQ49" s="15" t="s">
        <v>668</v>
      </c>
      <c r="QR49" s="15" t="s">
        <v>668</v>
      </c>
      <c r="QS49" s="15" t="s">
        <v>668</v>
      </c>
      <c r="QT49" s="15" t="s">
        <v>668</v>
      </c>
      <c r="QU49" s="15" t="s">
        <v>668</v>
      </c>
      <c r="QV49" s="15" t="s">
        <v>668</v>
      </c>
      <c r="QW49" s="15" t="s">
        <v>668</v>
      </c>
      <c r="QX49" s="15" t="s">
        <v>668</v>
      </c>
      <c r="QY49" s="15" t="s">
        <v>668</v>
      </c>
      <c r="QZ49" s="15" t="s">
        <v>668</v>
      </c>
      <c r="RA49" s="15" t="s">
        <v>668</v>
      </c>
      <c r="RB49" s="15" t="s">
        <v>668</v>
      </c>
      <c r="RC49" s="15" t="s">
        <v>668</v>
      </c>
      <c r="RD49" s="15" t="s">
        <v>668</v>
      </c>
      <c r="RE49" s="15" t="s">
        <v>668</v>
      </c>
      <c r="RF49" s="15" t="s">
        <v>668</v>
      </c>
      <c r="RG49" s="15" t="s">
        <v>668</v>
      </c>
      <c r="RH49" s="15" t="s">
        <v>668</v>
      </c>
      <c r="RI49" s="15" t="s">
        <v>668</v>
      </c>
      <c r="RJ49" s="15" t="s">
        <v>668</v>
      </c>
      <c r="RK49" s="15" t="s">
        <v>668</v>
      </c>
      <c r="RL49" s="15" t="s">
        <v>668</v>
      </c>
      <c r="RM49" s="15" t="s">
        <v>668</v>
      </c>
      <c r="RN49" s="15" t="s">
        <v>668</v>
      </c>
      <c r="RO49" s="15" t="s">
        <v>668</v>
      </c>
      <c r="RP49" s="15" t="s">
        <v>668</v>
      </c>
      <c r="RQ49" s="15" t="s">
        <v>668</v>
      </c>
      <c r="RR49" s="15" t="s">
        <v>668</v>
      </c>
      <c r="RS49" s="15" t="s">
        <v>668</v>
      </c>
      <c r="RT49" s="15" t="s">
        <v>668</v>
      </c>
      <c r="RU49" s="15" t="s">
        <v>668</v>
      </c>
      <c r="RV49" s="15" t="s">
        <v>668</v>
      </c>
      <c r="RW49" s="15" t="s">
        <v>668</v>
      </c>
      <c r="RX49" s="15" t="s">
        <v>668</v>
      </c>
      <c r="RY49" s="15" t="s">
        <v>668</v>
      </c>
      <c r="RZ49" s="15" t="s">
        <v>668</v>
      </c>
      <c r="SA49" s="15" t="s">
        <v>668</v>
      </c>
      <c r="SB49" s="15" t="s">
        <v>668</v>
      </c>
      <c r="SC49" s="15" t="s">
        <v>668</v>
      </c>
      <c r="SD49" s="15" t="s">
        <v>668</v>
      </c>
      <c r="SE49" s="15" t="s">
        <v>668</v>
      </c>
      <c r="SF49" s="15" t="s">
        <v>668</v>
      </c>
      <c r="SG49" s="15" t="s">
        <v>668</v>
      </c>
      <c r="SH49" s="15" t="s">
        <v>668</v>
      </c>
      <c r="SI49" s="15" t="s">
        <v>668</v>
      </c>
      <c r="SJ49" s="15" t="s">
        <v>668</v>
      </c>
      <c r="SK49" s="15" t="s">
        <v>668</v>
      </c>
      <c r="SL49" s="15" t="s">
        <v>668</v>
      </c>
      <c r="SM49" s="15" t="s">
        <v>668</v>
      </c>
    </row>
    <row r="50" spans="1:508" x14ac:dyDescent="0.2">
      <c r="A50" s="37">
        <v>48</v>
      </c>
      <c r="B50" s="48" t="s">
        <v>699</v>
      </c>
      <c r="C50" s="17">
        <f>+'Detalle Compras'!D50</f>
        <v>202507180065</v>
      </c>
      <c r="D50" s="55">
        <f t="shared" si="13"/>
        <v>10.918054</v>
      </c>
      <c r="E50" s="14">
        <f>+IF(B50="","",'Detalle Compras'!S50+0)</f>
        <v>45910</v>
      </c>
      <c r="F50" s="14">
        <f>+IF(B50="","",EOMONTH('Detalle Compras'!S50,G50)+10)</f>
        <v>60550</v>
      </c>
      <c r="G50" s="50">
        <f t="shared" si="14"/>
        <v>480</v>
      </c>
      <c r="H50" s="50">
        <f t="shared" si="15"/>
        <v>475</v>
      </c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  <c r="Y50" s="52"/>
      <c r="Z50" s="52"/>
      <c r="AA50" s="52">
        <v>10.918054</v>
      </c>
      <c r="AB50" s="52">
        <v>10.918054</v>
      </c>
      <c r="AC50" s="52">
        <v>10.918054</v>
      </c>
      <c r="AD50" s="52">
        <v>10.918054</v>
      </c>
      <c r="AE50" s="52">
        <v>10.918054</v>
      </c>
      <c r="AF50" s="52">
        <v>10.918054</v>
      </c>
      <c r="AG50" s="52">
        <v>10.918054</v>
      </c>
      <c r="AH50" s="52">
        <v>10.918054</v>
      </c>
      <c r="AI50" s="52">
        <v>10.918054</v>
      </c>
      <c r="AJ50" s="52">
        <v>10.918054</v>
      </c>
      <c r="AK50" s="52">
        <v>10.918054</v>
      </c>
      <c r="AL50" s="52">
        <v>10.918054</v>
      </c>
      <c r="AM50" s="52">
        <v>10.918054</v>
      </c>
      <c r="AN50" s="52">
        <v>10.918054</v>
      </c>
      <c r="AO50" s="52">
        <v>10.918054</v>
      </c>
      <c r="AP50" s="52">
        <v>10.918054</v>
      </c>
      <c r="AQ50" s="52">
        <v>10.918054</v>
      </c>
      <c r="AR50" s="52">
        <v>10.918054</v>
      </c>
      <c r="AS50" s="52">
        <v>10.918054</v>
      </c>
      <c r="AT50" s="52">
        <v>10.918054</v>
      </c>
      <c r="AU50" s="52">
        <v>10.918054</v>
      </c>
      <c r="AV50" s="52">
        <v>10.918054</v>
      </c>
      <c r="AW50" s="52">
        <v>10.918054</v>
      </c>
      <c r="AX50" s="52">
        <v>10.918054</v>
      </c>
      <c r="AY50" s="52">
        <v>10.918054</v>
      </c>
      <c r="AZ50" s="52">
        <v>10.918054</v>
      </c>
      <c r="BA50" s="52">
        <v>10.918054</v>
      </c>
      <c r="BB50" s="52">
        <v>10.918054</v>
      </c>
      <c r="BC50" s="52">
        <v>10.918054</v>
      </c>
      <c r="BD50" s="52">
        <v>10.918054</v>
      </c>
      <c r="BE50" s="52">
        <v>10.918054</v>
      </c>
      <c r="BF50" s="52">
        <v>10.918054</v>
      </c>
      <c r="BG50" s="52">
        <v>10.918054</v>
      </c>
      <c r="BH50" s="52">
        <v>10.918054</v>
      </c>
      <c r="BI50" s="52">
        <v>10.918054</v>
      </c>
      <c r="BJ50" s="52">
        <v>10.918054</v>
      </c>
      <c r="BK50" s="52">
        <v>10.918054</v>
      </c>
      <c r="BL50" s="52">
        <v>10.918054</v>
      </c>
      <c r="BM50" s="52">
        <v>10.918054</v>
      </c>
      <c r="BN50" s="52">
        <v>10.918054</v>
      </c>
      <c r="BO50" s="52">
        <v>10.918054</v>
      </c>
      <c r="BP50" s="52">
        <v>10.918054</v>
      </c>
      <c r="BQ50" s="52">
        <v>10.918054</v>
      </c>
      <c r="BR50" s="52">
        <v>10.918054</v>
      </c>
      <c r="BS50" s="52">
        <v>10.918054</v>
      </c>
      <c r="BT50" s="52">
        <v>10.918054</v>
      </c>
      <c r="BU50" s="52">
        <v>10.918054</v>
      </c>
      <c r="BV50" s="52">
        <v>10.918054</v>
      </c>
      <c r="BW50" s="52">
        <v>10.918054</v>
      </c>
      <c r="BX50" s="52">
        <v>10.918054</v>
      </c>
      <c r="BY50" s="52">
        <v>10.918054</v>
      </c>
      <c r="BZ50" s="52">
        <v>10.918054</v>
      </c>
      <c r="CA50" s="52">
        <v>10.918054</v>
      </c>
      <c r="CB50" s="52">
        <v>10.918054</v>
      </c>
      <c r="CC50" s="52">
        <v>10.918054</v>
      </c>
      <c r="CD50" s="52">
        <v>10.918054</v>
      </c>
      <c r="CE50" s="52">
        <v>10.918054</v>
      </c>
      <c r="CF50" s="52">
        <v>10.918054</v>
      </c>
      <c r="CG50" s="52">
        <v>10.918054</v>
      </c>
      <c r="CH50" s="52">
        <v>10.918054</v>
      </c>
      <c r="CI50" s="52">
        <v>10.918054</v>
      </c>
      <c r="CJ50" s="52">
        <v>10.918054</v>
      </c>
      <c r="CK50" s="52">
        <v>10.918054</v>
      </c>
      <c r="CL50" s="52">
        <v>10.918054</v>
      </c>
      <c r="CM50" s="52">
        <v>10.918054</v>
      </c>
      <c r="CN50" s="52">
        <v>10.918054</v>
      </c>
      <c r="CO50" s="52">
        <v>10.918054</v>
      </c>
      <c r="CP50" s="52">
        <v>10.918054</v>
      </c>
      <c r="CQ50" s="52">
        <v>10.918054</v>
      </c>
      <c r="CR50" s="52">
        <v>10.918054</v>
      </c>
      <c r="CS50" s="52">
        <v>10.918054</v>
      </c>
      <c r="CT50" s="52">
        <v>10.918054</v>
      </c>
      <c r="CU50" s="52">
        <v>10.918054</v>
      </c>
      <c r="CV50" s="52">
        <v>10.918054</v>
      </c>
      <c r="CW50" s="52">
        <v>10.918054</v>
      </c>
      <c r="CX50" s="52">
        <v>10.918054</v>
      </c>
      <c r="CY50" s="52">
        <v>10.918054</v>
      </c>
      <c r="CZ50" s="52">
        <v>10.918054</v>
      </c>
      <c r="DA50" s="52">
        <v>10.918054</v>
      </c>
      <c r="DB50" s="52">
        <v>10.918054</v>
      </c>
      <c r="DC50" s="52">
        <v>10.918054</v>
      </c>
      <c r="DD50" s="52">
        <v>10.918054</v>
      </c>
      <c r="DE50" s="52">
        <v>10.918054</v>
      </c>
      <c r="DF50" s="52">
        <v>10.918054</v>
      </c>
      <c r="DG50" s="52">
        <v>10.918054</v>
      </c>
      <c r="DH50" s="52">
        <v>10.918054</v>
      </c>
      <c r="DI50" s="52">
        <v>10.918054</v>
      </c>
      <c r="DJ50" s="52">
        <v>10.918054</v>
      </c>
      <c r="DK50" s="52">
        <v>10.918054</v>
      </c>
      <c r="DL50" s="52">
        <v>10.918054</v>
      </c>
      <c r="DM50" s="52">
        <v>10.918054</v>
      </c>
      <c r="DN50" s="52">
        <v>10.918054</v>
      </c>
      <c r="DO50" s="52">
        <v>10.918054</v>
      </c>
      <c r="DP50" s="52">
        <v>10.918054</v>
      </c>
      <c r="DQ50" s="52">
        <v>10.918054</v>
      </c>
      <c r="DR50" s="52">
        <v>10.918054</v>
      </c>
      <c r="DS50" s="52">
        <v>10.918054</v>
      </c>
      <c r="DT50" s="52">
        <v>10.918054</v>
      </c>
      <c r="DU50" s="52">
        <v>10.918054</v>
      </c>
      <c r="DV50" s="52">
        <v>10.918054</v>
      </c>
      <c r="DW50" s="52">
        <v>10.918054</v>
      </c>
      <c r="DX50" s="52">
        <v>10.918054</v>
      </c>
      <c r="DY50" s="52">
        <v>10.918054</v>
      </c>
      <c r="DZ50" s="52">
        <v>10.918054</v>
      </c>
      <c r="EA50" s="52">
        <v>10.918054</v>
      </c>
      <c r="EB50" s="52">
        <v>10.918054</v>
      </c>
      <c r="EC50" s="52">
        <v>10.918054</v>
      </c>
      <c r="ED50" s="52">
        <v>10.918054</v>
      </c>
      <c r="EE50" s="52">
        <v>10.918054</v>
      </c>
      <c r="EF50" s="52">
        <v>10.918054</v>
      </c>
      <c r="EG50" s="52">
        <v>10.918054</v>
      </c>
      <c r="EH50" s="52">
        <v>10.918054</v>
      </c>
      <c r="EI50" s="52">
        <v>10.918054</v>
      </c>
      <c r="EJ50" s="52">
        <v>10.918054</v>
      </c>
      <c r="EK50" s="52">
        <v>10.918054</v>
      </c>
      <c r="EL50" s="52">
        <v>10.918054</v>
      </c>
      <c r="EM50" s="52">
        <v>10.918054</v>
      </c>
      <c r="EN50" s="52">
        <v>10.918054</v>
      </c>
      <c r="EO50" s="52">
        <v>10.918054</v>
      </c>
      <c r="EP50" s="52">
        <v>10.918054</v>
      </c>
      <c r="EQ50" s="52">
        <v>10.918054</v>
      </c>
      <c r="ER50" s="52">
        <v>10.918054</v>
      </c>
      <c r="ES50" s="52">
        <v>10.918054</v>
      </c>
      <c r="ET50" s="52">
        <v>10.918054</v>
      </c>
      <c r="EU50" s="52">
        <v>10.918054</v>
      </c>
      <c r="EV50" s="52">
        <v>10.918054</v>
      </c>
      <c r="EW50" s="52">
        <v>10.918054</v>
      </c>
      <c r="EX50" s="52">
        <v>10.918054</v>
      </c>
      <c r="EY50" s="52">
        <v>10.918054</v>
      </c>
      <c r="EZ50" s="52">
        <v>10.918054</v>
      </c>
      <c r="FA50" s="52">
        <v>10.918054</v>
      </c>
      <c r="FB50" s="52">
        <v>10.918054</v>
      </c>
      <c r="FC50" s="52">
        <v>10.918054</v>
      </c>
      <c r="FD50" s="52">
        <v>10.918054</v>
      </c>
      <c r="FE50" s="52">
        <v>10.918054</v>
      </c>
      <c r="FF50" s="52">
        <v>10.918054</v>
      </c>
      <c r="FG50" s="52">
        <v>10.918054</v>
      </c>
      <c r="FH50" s="52">
        <v>10.918054</v>
      </c>
      <c r="FI50" s="52">
        <v>10.918054</v>
      </c>
      <c r="FJ50" s="52">
        <v>10.918054</v>
      </c>
      <c r="FK50" s="52">
        <v>10.918054</v>
      </c>
      <c r="FL50" s="52">
        <v>10.918054</v>
      </c>
      <c r="FM50" s="52">
        <v>10.918054</v>
      </c>
      <c r="FN50" s="52">
        <v>10.918054</v>
      </c>
      <c r="FO50" s="52">
        <v>10.918054</v>
      </c>
      <c r="FP50" s="52">
        <v>10.918054</v>
      </c>
      <c r="FQ50" s="52">
        <v>10.918054</v>
      </c>
      <c r="FR50" s="52">
        <v>10.918054</v>
      </c>
      <c r="FS50" s="52">
        <v>10.918054</v>
      </c>
      <c r="FT50" s="52">
        <v>10.918054</v>
      </c>
      <c r="FU50" s="52">
        <v>10.918054</v>
      </c>
      <c r="FV50" s="52">
        <v>10.918054</v>
      </c>
      <c r="FW50" s="52">
        <v>10.918054</v>
      </c>
      <c r="FX50" s="52">
        <v>10.918054</v>
      </c>
      <c r="FY50" s="52">
        <v>10.918054</v>
      </c>
      <c r="FZ50" s="52">
        <v>10.918054</v>
      </c>
      <c r="GA50" s="52">
        <v>10.918054</v>
      </c>
      <c r="GB50" s="52">
        <v>10.918054</v>
      </c>
      <c r="GC50" s="52">
        <v>10.918054</v>
      </c>
      <c r="GD50" s="52">
        <v>10.918054</v>
      </c>
      <c r="GE50" s="52">
        <v>10.918054</v>
      </c>
      <c r="GF50" s="52">
        <v>10.918054</v>
      </c>
      <c r="GG50" s="52">
        <v>10.918054</v>
      </c>
      <c r="GH50" s="52">
        <v>10.918054</v>
      </c>
      <c r="GI50" s="52">
        <v>10.918054</v>
      </c>
      <c r="GJ50" s="52">
        <v>10.918054</v>
      </c>
      <c r="GK50" s="52">
        <v>10.918054</v>
      </c>
      <c r="GL50" s="52">
        <v>10.918054</v>
      </c>
      <c r="GM50" s="52">
        <v>10.918054</v>
      </c>
      <c r="GN50" s="52">
        <v>10.918054</v>
      </c>
      <c r="GO50" s="52">
        <v>10.918054</v>
      </c>
      <c r="GP50" s="52">
        <v>10.918054</v>
      </c>
      <c r="GQ50" s="52">
        <v>10.918054</v>
      </c>
      <c r="GR50" s="52">
        <v>10.918054</v>
      </c>
      <c r="GS50" s="52">
        <v>10.918054</v>
      </c>
      <c r="GT50" s="52">
        <v>10.918054</v>
      </c>
      <c r="GU50" s="52">
        <v>10.918054</v>
      </c>
      <c r="GV50" s="52">
        <v>10.918054</v>
      </c>
      <c r="GW50" s="52">
        <v>10.918054</v>
      </c>
      <c r="GX50" s="52">
        <v>10.918054</v>
      </c>
      <c r="GY50" s="52">
        <v>10.918054</v>
      </c>
      <c r="GZ50" s="52">
        <v>10.918054</v>
      </c>
      <c r="HA50" s="52">
        <v>10.918054</v>
      </c>
      <c r="HB50" s="52">
        <v>10.918054</v>
      </c>
      <c r="HC50" s="52">
        <v>10.918054</v>
      </c>
      <c r="HD50" s="52">
        <v>10.918054</v>
      </c>
      <c r="HE50" s="52">
        <v>10.918054</v>
      </c>
      <c r="HF50" s="52">
        <v>10.918054</v>
      </c>
      <c r="HG50" s="52">
        <v>10.918054</v>
      </c>
      <c r="HH50" s="52">
        <v>10.918054</v>
      </c>
      <c r="HI50" s="52">
        <v>10.918054</v>
      </c>
      <c r="HJ50" s="52">
        <v>10.918054</v>
      </c>
      <c r="HK50" s="52">
        <v>10.918054</v>
      </c>
      <c r="HL50" s="52">
        <v>10.918054</v>
      </c>
      <c r="HM50" s="52">
        <v>10.918054</v>
      </c>
      <c r="HN50" s="52">
        <v>10.918054</v>
      </c>
      <c r="HO50" s="52">
        <v>10.918054</v>
      </c>
      <c r="HP50" s="52">
        <v>10.918054</v>
      </c>
      <c r="HQ50" s="52">
        <v>10.918054</v>
      </c>
      <c r="HR50" s="52">
        <v>10.918054</v>
      </c>
      <c r="HS50" s="52">
        <v>10.918054</v>
      </c>
      <c r="HT50" s="52">
        <v>10.918054</v>
      </c>
      <c r="HU50" s="52">
        <v>10.918054</v>
      </c>
      <c r="HV50" s="52">
        <v>10.918054</v>
      </c>
      <c r="HW50" s="52">
        <v>10.918054</v>
      </c>
      <c r="HX50" s="52">
        <v>10.918054</v>
      </c>
      <c r="HY50" s="52">
        <v>10.918054</v>
      </c>
      <c r="HZ50" s="52">
        <v>10.918054</v>
      </c>
      <c r="IA50" s="52">
        <v>10.918054</v>
      </c>
      <c r="IB50" s="52">
        <v>10.918054</v>
      </c>
      <c r="IC50" s="52">
        <v>10.918054</v>
      </c>
      <c r="ID50" s="52">
        <v>10.918054</v>
      </c>
      <c r="IE50" s="52">
        <v>10.918054</v>
      </c>
      <c r="IF50" s="52">
        <v>10.918054</v>
      </c>
      <c r="IG50" s="52">
        <v>10.918054</v>
      </c>
      <c r="IH50" s="52">
        <v>10.918054</v>
      </c>
      <c r="II50" s="52">
        <v>10.918054</v>
      </c>
      <c r="IJ50" s="52">
        <v>10.918054</v>
      </c>
      <c r="IK50" s="52">
        <v>10.918054</v>
      </c>
      <c r="IL50" s="52">
        <v>10.918054</v>
      </c>
      <c r="IM50" s="52">
        <v>10.918054</v>
      </c>
      <c r="IN50" s="52">
        <v>10.918054</v>
      </c>
      <c r="IO50" s="52">
        <v>10.918054</v>
      </c>
      <c r="IP50" s="52">
        <v>10.918054</v>
      </c>
      <c r="IQ50" s="52">
        <v>10.918054</v>
      </c>
      <c r="IR50" s="52">
        <v>10.918054</v>
      </c>
      <c r="IS50" s="52">
        <v>10.918054</v>
      </c>
      <c r="IT50" s="52">
        <v>10.918054</v>
      </c>
      <c r="IU50" s="52">
        <v>10.918054</v>
      </c>
      <c r="IV50" s="52">
        <v>10.918054</v>
      </c>
      <c r="IW50" s="52">
        <v>10.918054</v>
      </c>
      <c r="IX50" s="52">
        <v>10.918054</v>
      </c>
      <c r="IY50" s="52">
        <v>10.918054</v>
      </c>
      <c r="IZ50" s="52">
        <v>10.918054</v>
      </c>
      <c r="JA50" s="52">
        <v>10.918054</v>
      </c>
      <c r="JB50" s="52">
        <v>10.918054</v>
      </c>
      <c r="JC50" s="52">
        <v>10.918054</v>
      </c>
      <c r="JD50" s="52">
        <v>10.918054</v>
      </c>
      <c r="JE50" s="52">
        <v>10.918054</v>
      </c>
      <c r="JF50" s="52">
        <v>10.918054</v>
      </c>
      <c r="JG50" s="52">
        <v>10.918054</v>
      </c>
      <c r="JH50" s="52">
        <v>10.918054</v>
      </c>
      <c r="JI50" s="52">
        <v>10.918054</v>
      </c>
      <c r="JJ50" s="52">
        <v>10.918054</v>
      </c>
      <c r="JK50" s="52">
        <v>10.918054</v>
      </c>
      <c r="JL50" s="52">
        <v>10.918054</v>
      </c>
      <c r="JM50" s="52">
        <v>10.918054</v>
      </c>
      <c r="JN50" s="52">
        <v>10.918054</v>
      </c>
      <c r="JO50" s="52">
        <v>10.918054</v>
      </c>
      <c r="JP50" s="52">
        <v>10.918054</v>
      </c>
      <c r="JQ50" s="52">
        <v>10.918054</v>
      </c>
      <c r="JR50" s="52">
        <v>10.918054</v>
      </c>
      <c r="JS50" s="52">
        <v>10.918054</v>
      </c>
      <c r="JT50" s="52">
        <v>10.918054</v>
      </c>
      <c r="JU50" s="52">
        <v>10.918054</v>
      </c>
      <c r="JV50" s="52">
        <v>10.918054</v>
      </c>
      <c r="JW50" s="52">
        <v>10.918054</v>
      </c>
      <c r="JX50" s="52">
        <v>10.918054</v>
      </c>
      <c r="JY50" s="52">
        <v>10.918054</v>
      </c>
      <c r="JZ50" s="52">
        <v>10.918054</v>
      </c>
      <c r="KA50" s="52">
        <v>10.918054</v>
      </c>
      <c r="KB50" s="52">
        <v>10.918054</v>
      </c>
      <c r="KC50" s="52">
        <v>10.918054</v>
      </c>
      <c r="KD50" s="52">
        <v>10.918054</v>
      </c>
      <c r="KE50" s="52">
        <v>10.918054</v>
      </c>
      <c r="KF50" s="52">
        <v>10.918054</v>
      </c>
      <c r="KG50" s="52">
        <v>10.918054</v>
      </c>
      <c r="KH50" s="52">
        <v>10.918054</v>
      </c>
      <c r="KI50" s="52">
        <v>10.918054</v>
      </c>
      <c r="KJ50" s="52">
        <v>10.918054</v>
      </c>
      <c r="KK50" s="52">
        <v>10.918054</v>
      </c>
      <c r="KL50" s="52">
        <v>10.918054</v>
      </c>
      <c r="KM50" s="52">
        <v>10.918054</v>
      </c>
      <c r="KN50" s="52">
        <v>10.918054</v>
      </c>
      <c r="KO50" s="52">
        <v>10.918054</v>
      </c>
      <c r="KP50" s="52">
        <v>10.918054</v>
      </c>
      <c r="KQ50" s="52">
        <v>10.918054</v>
      </c>
      <c r="KR50" s="52">
        <v>10.918054</v>
      </c>
      <c r="KS50" s="52">
        <v>10.918054</v>
      </c>
      <c r="KT50" s="52">
        <v>10.918054</v>
      </c>
      <c r="KU50" s="52">
        <v>10.918054</v>
      </c>
      <c r="KV50" s="52">
        <v>10.918054</v>
      </c>
      <c r="KW50" s="52">
        <v>10.918054</v>
      </c>
      <c r="KX50" s="52">
        <v>10.918054</v>
      </c>
      <c r="KY50" s="52">
        <v>10.918054</v>
      </c>
      <c r="KZ50" s="52">
        <v>10.918054</v>
      </c>
      <c r="LA50" s="52">
        <v>10.918054</v>
      </c>
      <c r="LB50" s="52">
        <v>10.918054</v>
      </c>
      <c r="LC50" s="52">
        <v>10.918054</v>
      </c>
      <c r="LD50" s="52">
        <v>10.918054</v>
      </c>
      <c r="LE50" s="52">
        <v>10.918054</v>
      </c>
      <c r="LF50" s="52">
        <v>10.918054</v>
      </c>
      <c r="LG50" s="52">
        <v>10.918054</v>
      </c>
      <c r="LH50" s="52">
        <v>10.918054</v>
      </c>
      <c r="LI50" s="52">
        <v>10.918054</v>
      </c>
      <c r="LJ50" s="52">
        <v>10.918054</v>
      </c>
      <c r="LK50" s="52">
        <v>10.918054</v>
      </c>
      <c r="LL50" s="52">
        <v>10.918054</v>
      </c>
      <c r="LM50" s="52">
        <v>10.918054</v>
      </c>
      <c r="LN50" s="52">
        <v>10.918054</v>
      </c>
      <c r="LO50" s="52">
        <v>10.918054</v>
      </c>
      <c r="LP50" s="52">
        <v>10.918054</v>
      </c>
      <c r="LQ50" s="52">
        <v>10.918054</v>
      </c>
      <c r="LR50" s="52">
        <v>10.918054</v>
      </c>
      <c r="LS50" s="52">
        <v>10.918054</v>
      </c>
      <c r="LT50" s="52">
        <v>10.918054</v>
      </c>
      <c r="LU50" s="52">
        <v>10.918054</v>
      </c>
      <c r="LV50" s="52">
        <v>10.918054</v>
      </c>
      <c r="LW50" s="52">
        <v>10.918054</v>
      </c>
      <c r="LX50" s="52">
        <v>10.918054</v>
      </c>
      <c r="LY50" s="52">
        <v>10.918054</v>
      </c>
      <c r="LZ50" s="52">
        <v>10.918054</v>
      </c>
      <c r="MA50" s="52">
        <v>10.918054</v>
      </c>
      <c r="MB50" s="52">
        <v>10.918054</v>
      </c>
      <c r="MC50" s="52">
        <v>10.918054</v>
      </c>
      <c r="MD50" s="52">
        <v>10.918054</v>
      </c>
      <c r="ME50" s="52">
        <v>10.918054</v>
      </c>
      <c r="MF50" s="52">
        <v>10.918054</v>
      </c>
      <c r="MG50" s="52">
        <v>10.918054</v>
      </c>
      <c r="MH50" s="52">
        <v>10.918054</v>
      </c>
      <c r="MI50" s="52">
        <v>10.918054</v>
      </c>
      <c r="MJ50" s="52">
        <v>10.918054</v>
      </c>
      <c r="MK50" s="52">
        <v>10.918054</v>
      </c>
      <c r="ML50" s="52">
        <v>10.918054</v>
      </c>
      <c r="MM50" s="52">
        <v>10.918054</v>
      </c>
      <c r="MN50" s="52">
        <v>10.918054</v>
      </c>
      <c r="MO50" s="52">
        <v>10.918054</v>
      </c>
      <c r="MP50" s="52">
        <v>10.918054</v>
      </c>
      <c r="MQ50" s="52">
        <v>10.918054</v>
      </c>
      <c r="MR50" s="52">
        <v>10.918054</v>
      </c>
      <c r="MS50" s="52">
        <v>10.918054</v>
      </c>
      <c r="MT50" s="52">
        <v>10.918054</v>
      </c>
      <c r="MU50" s="52">
        <v>10.918054</v>
      </c>
      <c r="MV50" s="52">
        <v>10.918054</v>
      </c>
      <c r="MW50" s="52">
        <v>10.918054</v>
      </c>
      <c r="MX50" s="52">
        <v>10.918054</v>
      </c>
      <c r="MY50" s="52">
        <v>10.918054</v>
      </c>
      <c r="MZ50" s="52">
        <v>10.918054</v>
      </c>
      <c r="NA50" s="52">
        <v>10.918054</v>
      </c>
      <c r="NB50" s="52">
        <v>10.918054</v>
      </c>
      <c r="NC50" s="52">
        <v>10.918054</v>
      </c>
      <c r="ND50" s="52">
        <v>10.918054</v>
      </c>
      <c r="NE50" s="37">
        <v>10.918054</v>
      </c>
      <c r="NF50" s="37">
        <v>10.918054</v>
      </c>
      <c r="NG50" s="37">
        <v>10.918054</v>
      </c>
      <c r="NH50" s="37">
        <v>10.918054</v>
      </c>
      <c r="NI50" s="37">
        <v>10.918054</v>
      </c>
      <c r="NJ50" s="37">
        <v>10.918054</v>
      </c>
      <c r="NK50" s="37">
        <v>10.918054</v>
      </c>
      <c r="NL50" s="37">
        <v>10.918054</v>
      </c>
      <c r="NM50" s="37">
        <v>10.918054</v>
      </c>
      <c r="NN50" s="37">
        <v>10.918054</v>
      </c>
      <c r="NO50" s="37">
        <v>10.918054</v>
      </c>
      <c r="NP50" s="37">
        <v>10.918054</v>
      </c>
      <c r="NQ50" s="37">
        <v>10.918054</v>
      </c>
      <c r="NR50" s="37">
        <v>10.918054</v>
      </c>
      <c r="NS50" s="37">
        <v>10.918054</v>
      </c>
      <c r="NT50" s="37">
        <v>10.918054</v>
      </c>
      <c r="NU50" s="37">
        <v>10.918054</v>
      </c>
      <c r="NV50" s="37">
        <v>10.918054</v>
      </c>
      <c r="NW50" s="37">
        <v>10.918054</v>
      </c>
      <c r="NX50" s="37">
        <v>10.918054</v>
      </c>
      <c r="NY50" s="37">
        <v>10.918054</v>
      </c>
      <c r="NZ50" s="37">
        <v>10.918054</v>
      </c>
      <c r="OA50" s="37">
        <v>10.918054</v>
      </c>
      <c r="OB50" s="37">
        <v>10.918054</v>
      </c>
      <c r="OC50" s="37">
        <v>10.918054</v>
      </c>
      <c r="OD50" s="37">
        <v>10.918054</v>
      </c>
      <c r="OE50" s="37">
        <v>10.918054</v>
      </c>
      <c r="OF50" s="37">
        <v>10.918054</v>
      </c>
      <c r="OG50" s="37">
        <v>10.918054</v>
      </c>
      <c r="OH50" s="37">
        <v>10.918054</v>
      </c>
      <c r="OI50" s="37">
        <v>10.918054</v>
      </c>
      <c r="OJ50" s="37">
        <v>10.918054</v>
      </c>
      <c r="OK50" s="37">
        <v>10.918054</v>
      </c>
      <c r="OL50" s="37">
        <v>10.918054</v>
      </c>
      <c r="OM50" s="37">
        <v>10.918054</v>
      </c>
      <c r="ON50" s="37">
        <v>10.918054</v>
      </c>
      <c r="OO50" s="37">
        <v>10.918054</v>
      </c>
      <c r="OP50" s="37">
        <v>10.918054</v>
      </c>
      <c r="OQ50" s="37">
        <v>10.918054</v>
      </c>
      <c r="OR50" s="37">
        <v>10.918054</v>
      </c>
      <c r="OS50" s="37">
        <v>10.918054</v>
      </c>
      <c r="OT50" s="37">
        <v>10.918054</v>
      </c>
      <c r="OU50" s="37">
        <v>10.918054</v>
      </c>
      <c r="OV50" s="37">
        <v>10.918054</v>
      </c>
      <c r="OW50" s="37">
        <v>10.918054</v>
      </c>
      <c r="OX50" s="37">
        <v>10.918054</v>
      </c>
      <c r="OY50" s="37">
        <v>10.918054</v>
      </c>
      <c r="OZ50" s="37">
        <v>10.918054</v>
      </c>
      <c r="PA50" s="37">
        <v>10.918054</v>
      </c>
      <c r="PB50" s="37">
        <v>10.918054</v>
      </c>
      <c r="PC50" s="37">
        <v>10.918054</v>
      </c>
      <c r="PD50" s="37">
        <v>10.918054</v>
      </c>
      <c r="PE50" s="37">
        <v>10.918054</v>
      </c>
      <c r="PF50" s="37">
        <v>10.918054</v>
      </c>
      <c r="PG50" s="37">
        <v>10.918054</v>
      </c>
      <c r="PH50" s="37">
        <v>10.918054</v>
      </c>
      <c r="PI50" s="37">
        <v>10.918054</v>
      </c>
      <c r="PJ50" s="37">
        <v>10.918054</v>
      </c>
      <c r="PK50" s="37">
        <v>10.918054</v>
      </c>
      <c r="PL50" s="37">
        <v>10.918054</v>
      </c>
      <c r="PM50" s="37">
        <v>10.918054</v>
      </c>
      <c r="PN50" s="37">
        <v>10.918054</v>
      </c>
      <c r="PO50" s="37">
        <v>10.918054</v>
      </c>
      <c r="PP50" s="37">
        <v>10.918054</v>
      </c>
      <c r="PQ50" s="37">
        <v>10.918054</v>
      </c>
      <c r="PR50" s="37">
        <v>10.918054</v>
      </c>
      <c r="PS50" s="15">
        <v>10.918054</v>
      </c>
      <c r="PT50" s="15">
        <v>10.918054</v>
      </c>
      <c r="PU50" s="15">
        <v>10.918054</v>
      </c>
      <c r="PV50" s="15">
        <v>10.918054</v>
      </c>
      <c r="PW50" s="15">
        <v>10.918054</v>
      </c>
      <c r="PX50" s="15">
        <v>10.918054</v>
      </c>
      <c r="PY50" s="15">
        <v>10.918054</v>
      </c>
      <c r="PZ50" s="15">
        <v>10.918054</v>
      </c>
      <c r="QA50" s="15">
        <v>10.918054</v>
      </c>
      <c r="QB50" s="15">
        <v>10.918054</v>
      </c>
      <c r="QC50" s="15">
        <v>10.918054</v>
      </c>
      <c r="QD50" s="15">
        <v>10.918054</v>
      </c>
      <c r="QE50" s="15">
        <v>10.918054</v>
      </c>
      <c r="QF50" s="15">
        <v>10.918054</v>
      </c>
      <c r="QG50" s="15">
        <v>10.918054</v>
      </c>
      <c r="QH50" s="15">
        <v>10.918054</v>
      </c>
      <c r="QI50" s="15">
        <v>10.918054</v>
      </c>
      <c r="QJ50" s="15">
        <v>10.918054</v>
      </c>
      <c r="QK50" s="15">
        <v>10.918054</v>
      </c>
      <c r="QL50" s="15">
        <v>10.918054</v>
      </c>
      <c r="QM50" s="15">
        <v>10.918054</v>
      </c>
      <c r="QN50" s="15">
        <v>10.918054</v>
      </c>
      <c r="QO50" s="15">
        <v>10.918054</v>
      </c>
      <c r="QP50" s="15">
        <v>10.918054</v>
      </c>
      <c r="QQ50" s="15">
        <v>10.918054</v>
      </c>
      <c r="QR50" s="15">
        <v>10.918054</v>
      </c>
      <c r="QS50" s="15">
        <v>10.918054</v>
      </c>
      <c r="QT50" s="15">
        <v>10.918054</v>
      </c>
      <c r="QU50" s="15">
        <v>10.918054</v>
      </c>
      <c r="QV50" s="15">
        <v>10.918054</v>
      </c>
      <c r="QW50" s="15">
        <v>10.918054</v>
      </c>
      <c r="QX50" s="15">
        <v>10.918054</v>
      </c>
      <c r="QY50" s="15">
        <v>10.918054</v>
      </c>
      <c r="QZ50" s="15">
        <v>10.918054</v>
      </c>
      <c r="RA50" s="15">
        <v>10.918054</v>
      </c>
      <c r="RB50" s="15">
        <v>10.918054</v>
      </c>
      <c r="RC50" s="15">
        <v>10.918054</v>
      </c>
      <c r="RD50" s="15">
        <v>10.918054</v>
      </c>
      <c r="RE50" s="15">
        <v>10.918054</v>
      </c>
      <c r="RF50" s="15">
        <v>10.918054</v>
      </c>
      <c r="RG50" s="15">
        <v>10.918054</v>
      </c>
      <c r="RH50" s="15">
        <v>10.918054</v>
      </c>
      <c r="RI50" s="15">
        <v>10.918054</v>
      </c>
      <c r="RJ50" s="15">
        <v>10.918054</v>
      </c>
      <c r="RK50" s="15">
        <v>10.918054</v>
      </c>
      <c r="RL50" s="15">
        <v>10.918054</v>
      </c>
      <c r="RM50" s="15">
        <v>10.918054</v>
      </c>
      <c r="RN50" s="15">
        <v>10.918054</v>
      </c>
      <c r="RO50" s="15">
        <v>10.918054</v>
      </c>
      <c r="RP50" s="15">
        <v>10.918054</v>
      </c>
      <c r="RQ50" s="15">
        <v>10.918054</v>
      </c>
      <c r="RR50" s="15">
        <v>10.918054</v>
      </c>
      <c r="RS50" s="15">
        <v>10.918054</v>
      </c>
      <c r="RT50" s="15">
        <v>10.918054</v>
      </c>
      <c r="RU50" s="15">
        <v>10.918054</v>
      </c>
      <c r="RV50" s="15">
        <v>10.918054</v>
      </c>
      <c r="RW50" s="15">
        <v>10.918054</v>
      </c>
      <c r="RX50" s="15">
        <v>10.918054</v>
      </c>
      <c r="RY50" s="15">
        <v>10.918054</v>
      </c>
      <c r="RZ50" s="15">
        <v>10.918054</v>
      </c>
      <c r="SA50" s="15">
        <v>10.918054</v>
      </c>
      <c r="SB50" s="15">
        <v>10.918054</v>
      </c>
      <c r="SC50" s="15">
        <v>10.918054</v>
      </c>
      <c r="SD50" s="15">
        <v>10.918054</v>
      </c>
      <c r="SE50" s="15">
        <v>10.918054</v>
      </c>
      <c r="SF50" s="15">
        <v>10.918054</v>
      </c>
      <c r="SG50" s="15">
        <v>10.918054</v>
      </c>
      <c r="SH50" s="15">
        <v>10.918054</v>
      </c>
      <c r="SI50" s="15">
        <v>10.918054</v>
      </c>
      <c r="SJ50" s="15">
        <v>10.918054</v>
      </c>
      <c r="SK50" s="15">
        <v>10.918054</v>
      </c>
      <c r="SL50" s="15">
        <v>12.804054000000001</v>
      </c>
      <c r="SM50" s="15" t="s">
        <v>668</v>
      </c>
    </row>
    <row r="51" spans="1:508" x14ac:dyDescent="0.2">
      <c r="A51" s="37">
        <v>49</v>
      </c>
      <c r="B51" s="48" t="s">
        <v>700</v>
      </c>
      <c r="C51" s="17">
        <f>+'Detalle Compras'!D51</f>
        <v>202507210064</v>
      </c>
      <c r="D51" s="55">
        <f t="shared" si="13"/>
        <v>8.7653189999999999</v>
      </c>
      <c r="E51" s="14">
        <f>+IF(B51="","",'Detalle Compras'!S51+0)</f>
        <v>45910</v>
      </c>
      <c r="F51" s="14">
        <f>+IF(B51="","",EOMONTH('Detalle Compras'!S51,G51)+10)</f>
        <v>60550</v>
      </c>
      <c r="G51" s="50">
        <f t="shared" si="14"/>
        <v>480</v>
      </c>
      <c r="H51" s="50">
        <f t="shared" si="15"/>
        <v>475</v>
      </c>
      <c r="J51" s="52"/>
      <c r="K51" s="52"/>
      <c r="L51" s="52"/>
      <c r="M51" s="52"/>
      <c r="N51" s="52"/>
      <c r="O51" s="52"/>
      <c r="P51" s="52"/>
      <c r="Q51" s="52"/>
      <c r="R51" s="52"/>
      <c r="S51" s="52"/>
      <c r="T51" s="52"/>
      <c r="U51" s="52"/>
      <c r="V51" s="52"/>
      <c r="W51" s="52"/>
      <c r="X51" s="52"/>
      <c r="Y51" s="52"/>
      <c r="Z51" s="52"/>
      <c r="AA51" s="52">
        <v>8.7653189999999999</v>
      </c>
      <c r="AB51" s="52">
        <v>8.7653189999999999</v>
      </c>
      <c r="AC51" s="52">
        <v>8.7653189999999999</v>
      </c>
      <c r="AD51" s="52">
        <v>8.7653189999999999</v>
      </c>
      <c r="AE51" s="52">
        <v>8.7653189999999999</v>
      </c>
      <c r="AF51" s="52">
        <v>8.7653189999999999</v>
      </c>
      <c r="AG51" s="52">
        <v>8.7653189999999999</v>
      </c>
      <c r="AH51" s="52">
        <v>8.7653189999999999</v>
      </c>
      <c r="AI51" s="52">
        <v>8.7653189999999999</v>
      </c>
      <c r="AJ51" s="52">
        <v>8.7653189999999999</v>
      </c>
      <c r="AK51" s="52">
        <v>8.7653189999999999</v>
      </c>
      <c r="AL51" s="52">
        <v>8.7653189999999999</v>
      </c>
      <c r="AM51" s="52">
        <v>8.7653189999999999</v>
      </c>
      <c r="AN51" s="52">
        <v>8.7653189999999999</v>
      </c>
      <c r="AO51" s="52">
        <v>8.7653189999999999</v>
      </c>
      <c r="AP51" s="52">
        <v>8.7653189999999999</v>
      </c>
      <c r="AQ51" s="52">
        <v>8.7653189999999999</v>
      </c>
      <c r="AR51" s="52">
        <v>8.7653189999999999</v>
      </c>
      <c r="AS51" s="52">
        <v>8.7653189999999999</v>
      </c>
      <c r="AT51" s="52">
        <v>8.7653189999999999</v>
      </c>
      <c r="AU51" s="52">
        <v>8.7653189999999999</v>
      </c>
      <c r="AV51" s="52">
        <v>8.7653189999999999</v>
      </c>
      <c r="AW51" s="52">
        <v>8.7653189999999999</v>
      </c>
      <c r="AX51" s="52">
        <v>8.7653189999999999</v>
      </c>
      <c r="AY51" s="52">
        <v>8.7653189999999999</v>
      </c>
      <c r="AZ51" s="52">
        <v>8.7653189999999999</v>
      </c>
      <c r="BA51" s="52">
        <v>8.7653189999999999</v>
      </c>
      <c r="BB51" s="52">
        <v>8.7653189999999999</v>
      </c>
      <c r="BC51" s="52">
        <v>8.7653189999999999</v>
      </c>
      <c r="BD51" s="52">
        <v>8.7653189999999999</v>
      </c>
      <c r="BE51" s="52">
        <v>8.7653189999999999</v>
      </c>
      <c r="BF51" s="52">
        <v>8.7653189999999999</v>
      </c>
      <c r="BG51" s="52">
        <v>8.7653189999999999</v>
      </c>
      <c r="BH51" s="52">
        <v>8.7653189999999999</v>
      </c>
      <c r="BI51" s="52">
        <v>8.7653189999999999</v>
      </c>
      <c r="BJ51" s="52">
        <v>8.7653189999999999</v>
      </c>
      <c r="BK51" s="52">
        <v>8.7653189999999999</v>
      </c>
      <c r="BL51" s="52">
        <v>8.7653189999999999</v>
      </c>
      <c r="BM51" s="52">
        <v>8.7653189999999999</v>
      </c>
      <c r="BN51" s="52">
        <v>8.7653189999999999</v>
      </c>
      <c r="BO51" s="52">
        <v>8.7653189999999999</v>
      </c>
      <c r="BP51" s="52">
        <v>8.7653189999999999</v>
      </c>
      <c r="BQ51" s="52">
        <v>8.7653189999999999</v>
      </c>
      <c r="BR51" s="52">
        <v>8.7653189999999999</v>
      </c>
      <c r="BS51" s="52">
        <v>8.7653189999999999</v>
      </c>
      <c r="BT51" s="52">
        <v>8.7653189999999999</v>
      </c>
      <c r="BU51" s="52">
        <v>8.7653189999999999</v>
      </c>
      <c r="BV51" s="52">
        <v>8.7653189999999999</v>
      </c>
      <c r="BW51" s="52">
        <v>8.7653189999999999</v>
      </c>
      <c r="BX51" s="52">
        <v>8.7653189999999999</v>
      </c>
      <c r="BY51" s="52">
        <v>8.7653189999999999</v>
      </c>
      <c r="BZ51" s="52">
        <v>8.7653189999999999</v>
      </c>
      <c r="CA51" s="52">
        <v>8.7653189999999999</v>
      </c>
      <c r="CB51" s="52">
        <v>8.7653189999999999</v>
      </c>
      <c r="CC51" s="52">
        <v>8.7653189999999999</v>
      </c>
      <c r="CD51" s="52">
        <v>8.7653189999999999</v>
      </c>
      <c r="CE51" s="52">
        <v>8.7653189999999999</v>
      </c>
      <c r="CF51" s="52">
        <v>8.7653189999999999</v>
      </c>
      <c r="CG51" s="52">
        <v>8.7653189999999999</v>
      </c>
      <c r="CH51" s="52">
        <v>8.7653189999999999</v>
      </c>
      <c r="CI51" s="52">
        <v>8.7653189999999999</v>
      </c>
      <c r="CJ51" s="52">
        <v>8.7653189999999999</v>
      </c>
      <c r="CK51" s="52">
        <v>8.7653189999999999</v>
      </c>
      <c r="CL51" s="52">
        <v>8.7653189999999999</v>
      </c>
      <c r="CM51" s="52">
        <v>8.7653189999999999</v>
      </c>
      <c r="CN51" s="52">
        <v>8.7653189999999999</v>
      </c>
      <c r="CO51" s="52">
        <v>8.7653189999999999</v>
      </c>
      <c r="CP51" s="52">
        <v>8.7653189999999999</v>
      </c>
      <c r="CQ51" s="52">
        <v>8.7653189999999999</v>
      </c>
      <c r="CR51" s="52">
        <v>8.7653189999999999</v>
      </c>
      <c r="CS51" s="52">
        <v>8.7653189999999999</v>
      </c>
      <c r="CT51" s="52">
        <v>8.7653189999999999</v>
      </c>
      <c r="CU51" s="52">
        <v>8.7653189999999999</v>
      </c>
      <c r="CV51" s="52">
        <v>8.7653189999999999</v>
      </c>
      <c r="CW51" s="52">
        <v>8.7653189999999999</v>
      </c>
      <c r="CX51" s="52">
        <v>8.7653189999999999</v>
      </c>
      <c r="CY51" s="52">
        <v>8.7653189999999999</v>
      </c>
      <c r="CZ51" s="52">
        <v>8.7653189999999999</v>
      </c>
      <c r="DA51" s="52">
        <v>8.7653189999999999</v>
      </c>
      <c r="DB51" s="52">
        <v>8.7653189999999999</v>
      </c>
      <c r="DC51" s="52">
        <v>8.7653189999999999</v>
      </c>
      <c r="DD51" s="52">
        <v>8.7653189999999999</v>
      </c>
      <c r="DE51" s="52">
        <v>8.7653189999999999</v>
      </c>
      <c r="DF51" s="52">
        <v>8.7653189999999999</v>
      </c>
      <c r="DG51" s="52">
        <v>8.7653189999999999</v>
      </c>
      <c r="DH51" s="52">
        <v>8.7653189999999999</v>
      </c>
      <c r="DI51" s="52">
        <v>8.7653189999999999</v>
      </c>
      <c r="DJ51" s="52">
        <v>8.7653189999999999</v>
      </c>
      <c r="DK51" s="52">
        <v>8.7653189999999999</v>
      </c>
      <c r="DL51" s="52">
        <v>8.7653189999999999</v>
      </c>
      <c r="DM51" s="52">
        <v>8.7653189999999999</v>
      </c>
      <c r="DN51" s="52">
        <v>8.7653189999999999</v>
      </c>
      <c r="DO51" s="52">
        <v>8.7653189999999999</v>
      </c>
      <c r="DP51" s="52">
        <v>8.7653189999999999</v>
      </c>
      <c r="DQ51" s="52">
        <v>8.7653189999999999</v>
      </c>
      <c r="DR51" s="52">
        <v>8.7653189999999999</v>
      </c>
      <c r="DS51" s="52">
        <v>8.7653189999999999</v>
      </c>
      <c r="DT51" s="52">
        <v>8.7653189999999999</v>
      </c>
      <c r="DU51" s="52">
        <v>8.7653189999999999</v>
      </c>
      <c r="DV51" s="52">
        <v>8.7653189999999999</v>
      </c>
      <c r="DW51" s="52">
        <v>8.7653189999999999</v>
      </c>
      <c r="DX51" s="52">
        <v>8.7653189999999999</v>
      </c>
      <c r="DY51" s="52">
        <v>8.7653189999999999</v>
      </c>
      <c r="DZ51" s="52">
        <v>8.7653189999999999</v>
      </c>
      <c r="EA51" s="52">
        <v>8.7653189999999999</v>
      </c>
      <c r="EB51" s="52">
        <v>8.7653189999999999</v>
      </c>
      <c r="EC51" s="52">
        <v>8.7653189999999999</v>
      </c>
      <c r="ED51" s="52">
        <v>8.7653189999999999</v>
      </c>
      <c r="EE51" s="52">
        <v>8.7653189999999999</v>
      </c>
      <c r="EF51" s="52">
        <v>8.7653189999999999</v>
      </c>
      <c r="EG51" s="52">
        <v>8.7653189999999999</v>
      </c>
      <c r="EH51" s="52">
        <v>8.7653189999999999</v>
      </c>
      <c r="EI51" s="52">
        <v>8.7653189999999999</v>
      </c>
      <c r="EJ51" s="52">
        <v>8.7653189999999999</v>
      </c>
      <c r="EK51" s="52">
        <v>8.7653189999999999</v>
      </c>
      <c r="EL51" s="52">
        <v>8.7653189999999999</v>
      </c>
      <c r="EM51" s="52">
        <v>8.7653189999999999</v>
      </c>
      <c r="EN51" s="52">
        <v>8.7653189999999999</v>
      </c>
      <c r="EO51" s="52">
        <v>8.7653189999999999</v>
      </c>
      <c r="EP51" s="52">
        <v>8.7653189999999999</v>
      </c>
      <c r="EQ51" s="52">
        <v>8.7653189999999999</v>
      </c>
      <c r="ER51" s="52">
        <v>8.7653189999999999</v>
      </c>
      <c r="ES51" s="52">
        <v>8.7653189999999999</v>
      </c>
      <c r="ET51" s="52">
        <v>8.7653189999999999</v>
      </c>
      <c r="EU51" s="52">
        <v>8.7653189999999999</v>
      </c>
      <c r="EV51" s="52">
        <v>8.7653189999999999</v>
      </c>
      <c r="EW51" s="52">
        <v>8.7653189999999999</v>
      </c>
      <c r="EX51" s="52">
        <v>8.7653189999999999</v>
      </c>
      <c r="EY51" s="52">
        <v>8.7653189999999999</v>
      </c>
      <c r="EZ51" s="52">
        <v>8.7653189999999999</v>
      </c>
      <c r="FA51" s="52">
        <v>8.7653189999999999</v>
      </c>
      <c r="FB51" s="52">
        <v>8.7653189999999999</v>
      </c>
      <c r="FC51" s="52">
        <v>8.7653189999999999</v>
      </c>
      <c r="FD51" s="52">
        <v>8.7653189999999999</v>
      </c>
      <c r="FE51" s="52">
        <v>8.7653189999999999</v>
      </c>
      <c r="FF51" s="52">
        <v>8.7653189999999999</v>
      </c>
      <c r="FG51" s="52">
        <v>8.7653189999999999</v>
      </c>
      <c r="FH51" s="52">
        <v>8.7653189999999999</v>
      </c>
      <c r="FI51" s="52">
        <v>8.7653189999999999</v>
      </c>
      <c r="FJ51" s="52">
        <v>8.7653189999999999</v>
      </c>
      <c r="FK51" s="52">
        <v>8.7653189999999999</v>
      </c>
      <c r="FL51" s="52">
        <v>8.7653189999999999</v>
      </c>
      <c r="FM51" s="52">
        <v>8.7653189999999999</v>
      </c>
      <c r="FN51" s="52">
        <v>8.7653189999999999</v>
      </c>
      <c r="FO51" s="52">
        <v>8.7653189999999999</v>
      </c>
      <c r="FP51" s="52">
        <v>8.7653189999999999</v>
      </c>
      <c r="FQ51" s="52">
        <v>8.7653189999999999</v>
      </c>
      <c r="FR51" s="52">
        <v>8.7653189999999999</v>
      </c>
      <c r="FS51" s="52">
        <v>8.7653189999999999</v>
      </c>
      <c r="FT51" s="52">
        <v>8.7653189999999999</v>
      </c>
      <c r="FU51" s="52">
        <v>8.7653189999999999</v>
      </c>
      <c r="FV51" s="52">
        <v>8.7653189999999999</v>
      </c>
      <c r="FW51" s="52">
        <v>8.7653189999999999</v>
      </c>
      <c r="FX51" s="52">
        <v>8.7653189999999999</v>
      </c>
      <c r="FY51" s="52">
        <v>8.7653189999999999</v>
      </c>
      <c r="FZ51" s="52">
        <v>8.7653189999999999</v>
      </c>
      <c r="GA51" s="52">
        <v>8.7653189999999999</v>
      </c>
      <c r="GB51" s="52">
        <v>8.7653189999999999</v>
      </c>
      <c r="GC51" s="52">
        <v>8.7653189999999999</v>
      </c>
      <c r="GD51" s="52">
        <v>8.7653189999999999</v>
      </c>
      <c r="GE51" s="52">
        <v>8.7653189999999999</v>
      </c>
      <c r="GF51" s="52">
        <v>8.7653189999999999</v>
      </c>
      <c r="GG51" s="52">
        <v>8.7653189999999999</v>
      </c>
      <c r="GH51" s="52">
        <v>8.7653189999999999</v>
      </c>
      <c r="GI51" s="52">
        <v>8.7653189999999999</v>
      </c>
      <c r="GJ51" s="52">
        <v>8.7653189999999999</v>
      </c>
      <c r="GK51" s="52">
        <v>8.7653189999999999</v>
      </c>
      <c r="GL51" s="52">
        <v>8.7653189999999999</v>
      </c>
      <c r="GM51" s="52">
        <v>8.7653189999999999</v>
      </c>
      <c r="GN51" s="52">
        <v>8.7653189999999999</v>
      </c>
      <c r="GO51" s="52">
        <v>8.7653189999999999</v>
      </c>
      <c r="GP51" s="52">
        <v>8.7653189999999999</v>
      </c>
      <c r="GQ51" s="52">
        <v>8.7653189999999999</v>
      </c>
      <c r="GR51" s="52">
        <v>8.7653189999999999</v>
      </c>
      <c r="GS51" s="52">
        <v>8.7653189999999999</v>
      </c>
      <c r="GT51" s="52">
        <v>8.7653189999999999</v>
      </c>
      <c r="GU51" s="52">
        <v>8.7653189999999999</v>
      </c>
      <c r="GV51" s="52">
        <v>8.7653189999999999</v>
      </c>
      <c r="GW51" s="52">
        <v>8.7653189999999999</v>
      </c>
      <c r="GX51" s="52">
        <v>8.7653189999999999</v>
      </c>
      <c r="GY51" s="52">
        <v>8.7653189999999999</v>
      </c>
      <c r="GZ51" s="52">
        <v>8.7653189999999999</v>
      </c>
      <c r="HA51" s="52">
        <v>8.7653189999999999</v>
      </c>
      <c r="HB51" s="52">
        <v>8.7653189999999999</v>
      </c>
      <c r="HC51" s="52">
        <v>8.7653189999999999</v>
      </c>
      <c r="HD51" s="52">
        <v>8.7653189999999999</v>
      </c>
      <c r="HE51" s="52">
        <v>8.7653189999999999</v>
      </c>
      <c r="HF51" s="52">
        <v>8.7653189999999999</v>
      </c>
      <c r="HG51" s="52">
        <v>8.7653189999999999</v>
      </c>
      <c r="HH51" s="52">
        <v>8.7653189999999999</v>
      </c>
      <c r="HI51" s="52">
        <v>8.7653189999999999</v>
      </c>
      <c r="HJ51" s="52">
        <v>8.7653189999999999</v>
      </c>
      <c r="HK51" s="52">
        <v>8.7653189999999999</v>
      </c>
      <c r="HL51" s="52">
        <v>8.7653189999999999</v>
      </c>
      <c r="HM51" s="52">
        <v>8.7653189999999999</v>
      </c>
      <c r="HN51" s="52">
        <v>8.7653189999999999</v>
      </c>
      <c r="HO51" s="52">
        <v>8.7653189999999999</v>
      </c>
      <c r="HP51" s="52">
        <v>8.7653189999999999</v>
      </c>
      <c r="HQ51" s="52">
        <v>8.7653189999999999</v>
      </c>
      <c r="HR51" s="52">
        <v>8.7653189999999999</v>
      </c>
      <c r="HS51" s="52">
        <v>8.7653189999999999</v>
      </c>
      <c r="HT51" s="52">
        <v>8.7653189999999999</v>
      </c>
      <c r="HU51" s="52">
        <v>8.7653189999999999</v>
      </c>
      <c r="HV51" s="52">
        <v>8.7653189999999999</v>
      </c>
      <c r="HW51" s="52">
        <v>8.7653189999999999</v>
      </c>
      <c r="HX51" s="52">
        <v>8.7653189999999999</v>
      </c>
      <c r="HY51" s="52">
        <v>8.7653189999999999</v>
      </c>
      <c r="HZ51" s="52">
        <v>8.7653189999999999</v>
      </c>
      <c r="IA51" s="52">
        <v>8.7653189999999999</v>
      </c>
      <c r="IB51" s="52">
        <v>8.7653189999999999</v>
      </c>
      <c r="IC51" s="52">
        <v>8.7653189999999999</v>
      </c>
      <c r="ID51" s="52">
        <v>8.7653189999999999</v>
      </c>
      <c r="IE51" s="52">
        <v>8.7653189999999999</v>
      </c>
      <c r="IF51" s="52">
        <v>8.7653189999999999</v>
      </c>
      <c r="IG51" s="52">
        <v>8.7653189999999999</v>
      </c>
      <c r="IH51" s="52">
        <v>8.7653189999999999</v>
      </c>
      <c r="II51" s="52">
        <v>8.7653189999999999</v>
      </c>
      <c r="IJ51" s="52">
        <v>8.7653189999999999</v>
      </c>
      <c r="IK51" s="52">
        <v>8.7653189999999999</v>
      </c>
      <c r="IL51" s="52">
        <v>8.7653189999999999</v>
      </c>
      <c r="IM51" s="52">
        <v>8.7653189999999999</v>
      </c>
      <c r="IN51" s="52">
        <v>8.7653189999999999</v>
      </c>
      <c r="IO51" s="52">
        <v>8.7653189999999999</v>
      </c>
      <c r="IP51" s="52">
        <v>8.7653189999999999</v>
      </c>
      <c r="IQ51" s="52">
        <v>8.7653189999999999</v>
      </c>
      <c r="IR51" s="52">
        <v>8.7653189999999999</v>
      </c>
      <c r="IS51" s="52">
        <v>8.7653189999999999</v>
      </c>
      <c r="IT51" s="52">
        <v>8.7653189999999999</v>
      </c>
      <c r="IU51" s="52">
        <v>8.7653189999999999</v>
      </c>
      <c r="IV51" s="52">
        <v>8.7653189999999999</v>
      </c>
      <c r="IW51" s="52">
        <v>8.7653189999999999</v>
      </c>
      <c r="IX51" s="52">
        <v>8.7653189999999999</v>
      </c>
      <c r="IY51" s="52">
        <v>8.7653189999999999</v>
      </c>
      <c r="IZ51" s="52">
        <v>8.7653189999999999</v>
      </c>
      <c r="JA51" s="52">
        <v>8.7653189999999999</v>
      </c>
      <c r="JB51" s="52">
        <v>8.7653189999999999</v>
      </c>
      <c r="JC51" s="52">
        <v>8.7653189999999999</v>
      </c>
      <c r="JD51" s="52">
        <v>8.7653189999999999</v>
      </c>
      <c r="JE51" s="52">
        <v>8.7653189999999999</v>
      </c>
      <c r="JF51" s="52">
        <v>8.7653189999999999</v>
      </c>
      <c r="JG51" s="52">
        <v>8.7653189999999999</v>
      </c>
      <c r="JH51" s="52">
        <v>8.7653189999999999</v>
      </c>
      <c r="JI51" s="52">
        <v>8.7653189999999999</v>
      </c>
      <c r="JJ51" s="52">
        <v>8.7653189999999999</v>
      </c>
      <c r="JK51" s="52">
        <v>8.7653189999999999</v>
      </c>
      <c r="JL51" s="52">
        <v>8.7653189999999999</v>
      </c>
      <c r="JM51" s="52">
        <v>8.7653189999999999</v>
      </c>
      <c r="JN51" s="52">
        <v>8.7653189999999999</v>
      </c>
      <c r="JO51" s="52">
        <v>8.7653189999999999</v>
      </c>
      <c r="JP51" s="52">
        <v>8.7653189999999999</v>
      </c>
      <c r="JQ51" s="52">
        <v>8.7653189999999999</v>
      </c>
      <c r="JR51" s="52">
        <v>8.7653189999999999</v>
      </c>
      <c r="JS51" s="52">
        <v>8.7653189999999999</v>
      </c>
      <c r="JT51" s="52">
        <v>8.7653189999999999</v>
      </c>
      <c r="JU51" s="52">
        <v>8.7653189999999999</v>
      </c>
      <c r="JV51" s="52">
        <v>8.7653189999999999</v>
      </c>
      <c r="JW51" s="52">
        <v>8.7653189999999999</v>
      </c>
      <c r="JX51" s="52">
        <v>8.7653189999999999</v>
      </c>
      <c r="JY51" s="52">
        <v>8.7653189999999999</v>
      </c>
      <c r="JZ51" s="52">
        <v>8.7653189999999999</v>
      </c>
      <c r="KA51" s="52">
        <v>8.7653189999999999</v>
      </c>
      <c r="KB51" s="52">
        <v>8.7653189999999999</v>
      </c>
      <c r="KC51" s="52">
        <v>8.7653189999999999</v>
      </c>
      <c r="KD51" s="52">
        <v>8.7653189999999999</v>
      </c>
      <c r="KE51" s="52">
        <v>8.7653189999999999</v>
      </c>
      <c r="KF51" s="52">
        <v>8.7653189999999999</v>
      </c>
      <c r="KG51" s="52">
        <v>8.7653189999999999</v>
      </c>
      <c r="KH51" s="52">
        <v>8.7653189999999999</v>
      </c>
      <c r="KI51" s="52">
        <v>8.7653189999999999</v>
      </c>
      <c r="KJ51" s="52">
        <v>8.7653189999999999</v>
      </c>
      <c r="KK51" s="52">
        <v>8.7653189999999999</v>
      </c>
      <c r="KL51" s="52">
        <v>8.7653189999999999</v>
      </c>
      <c r="KM51" s="52">
        <v>8.7653189999999999</v>
      </c>
      <c r="KN51" s="52">
        <v>8.7653189999999999</v>
      </c>
      <c r="KO51" s="52">
        <v>8.7653189999999999</v>
      </c>
      <c r="KP51" s="52">
        <v>8.7653189999999999</v>
      </c>
      <c r="KQ51" s="52">
        <v>8.7653189999999999</v>
      </c>
      <c r="KR51" s="52">
        <v>8.7653189999999999</v>
      </c>
      <c r="KS51" s="52">
        <v>8.7653189999999999</v>
      </c>
      <c r="KT51" s="52">
        <v>8.7653189999999999</v>
      </c>
      <c r="KU51" s="52">
        <v>8.7653189999999999</v>
      </c>
      <c r="KV51" s="52">
        <v>8.7653189999999999</v>
      </c>
      <c r="KW51" s="52">
        <v>8.7653189999999999</v>
      </c>
      <c r="KX51" s="52">
        <v>8.7653189999999999</v>
      </c>
      <c r="KY51" s="52">
        <v>8.7653189999999999</v>
      </c>
      <c r="KZ51" s="52">
        <v>8.7653189999999999</v>
      </c>
      <c r="LA51" s="52">
        <v>8.7653189999999999</v>
      </c>
      <c r="LB51" s="52">
        <v>8.7653189999999999</v>
      </c>
      <c r="LC51" s="52">
        <v>8.7653189999999999</v>
      </c>
      <c r="LD51" s="52">
        <v>8.7653189999999999</v>
      </c>
      <c r="LE51" s="52">
        <v>8.7653189999999999</v>
      </c>
      <c r="LF51" s="52">
        <v>8.7653189999999999</v>
      </c>
      <c r="LG51" s="52">
        <v>8.7653189999999999</v>
      </c>
      <c r="LH51" s="52">
        <v>8.7653189999999999</v>
      </c>
      <c r="LI51" s="52">
        <v>8.7653189999999999</v>
      </c>
      <c r="LJ51" s="52">
        <v>8.7653189999999999</v>
      </c>
      <c r="LK51" s="52">
        <v>8.7653189999999999</v>
      </c>
      <c r="LL51" s="52">
        <v>8.7653189999999999</v>
      </c>
      <c r="LM51" s="52">
        <v>8.7653189999999999</v>
      </c>
      <c r="LN51" s="52">
        <v>8.7653189999999999</v>
      </c>
      <c r="LO51" s="52">
        <v>8.7653189999999999</v>
      </c>
      <c r="LP51" s="52">
        <v>8.7653189999999999</v>
      </c>
      <c r="LQ51" s="52">
        <v>8.7653189999999999</v>
      </c>
      <c r="LR51" s="52">
        <v>8.7653189999999999</v>
      </c>
      <c r="LS51" s="52">
        <v>8.7653189999999999</v>
      </c>
      <c r="LT51" s="52">
        <v>8.7653189999999999</v>
      </c>
      <c r="LU51" s="52">
        <v>8.7653189999999999</v>
      </c>
      <c r="LV51" s="52">
        <v>8.7653189999999999</v>
      </c>
      <c r="LW51" s="52">
        <v>8.7653189999999999</v>
      </c>
      <c r="LX51" s="52">
        <v>8.7653189999999999</v>
      </c>
      <c r="LY51" s="52">
        <v>8.7653189999999999</v>
      </c>
      <c r="LZ51" s="52">
        <v>8.7653189999999999</v>
      </c>
      <c r="MA51" s="52">
        <v>8.7653189999999999</v>
      </c>
      <c r="MB51" s="52">
        <v>8.7653189999999999</v>
      </c>
      <c r="MC51" s="52">
        <v>8.7653189999999999</v>
      </c>
      <c r="MD51" s="52">
        <v>8.7653189999999999</v>
      </c>
      <c r="ME51" s="52">
        <v>8.7653189999999999</v>
      </c>
      <c r="MF51" s="52">
        <v>8.7653189999999999</v>
      </c>
      <c r="MG51" s="52">
        <v>8.7653189999999999</v>
      </c>
      <c r="MH51" s="52">
        <v>8.7653189999999999</v>
      </c>
      <c r="MI51" s="52">
        <v>8.7653189999999999</v>
      </c>
      <c r="MJ51" s="52">
        <v>8.7653189999999999</v>
      </c>
      <c r="MK51" s="52">
        <v>8.7653189999999999</v>
      </c>
      <c r="ML51" s="52">
        <v>8.7653189999999999</v>
      </c>
      <c r="MM51" s="52">
        <v>8.7653189999999999</v>
      </c>
      <c r="MN51" s="52">
        <v>8.7653189999999999</v>
      </c>
      <c r="MO51" s="52">
        <v>8.7653189999999999</v>
      </c>
      <c r="MP51" s="52">
        <v>8.7653189999999999</v>
      </c>
      <c r="MQ51" s="52">
        <v>8.7653189999999999</v>
      </c>
      <c r="MR51" s="52">
        <v>8.7653189999999999</v>
      </c>
      <c r="MS51" s="52">
        <v>8.7653189999999999</v>
      </c>
      <c r="MT51" s="52">
        <v>8.7653189999999999</v>
      </c>
      <c r="MU51" s="52">
        <v>8.7653189999999999</v>
      </c>
      <c r="MV51" s="52">
        <v>8.7653189999999999</v>
      </c>
      <c r="MW51" s="52">
        <v>8.7653189999999999</v>
      </c>
      <c r="MX51" s="52">
        <v>8.7653189999999999</v>
      </c>
      <c r="MY51" s="52">
        <v>8.7653189999999999</v>
      </c>
      <c r="MZ51" s="52">
        <v>8.7653189999999999</v>
      </c>
      <c r="NA51" s="52">
        <v>8.7653189999999999</v>
      </c>
      <c r="NB51" s="52">
        <v>8.7653189999999999</v>
      </c>
      <c r="NC51" s="52">
        <v>8.7653189999999999</v>
      </c>
      <c r="ND51" s="52">
        <v>8.7653189999999999</v>
      </c>
      <c r="NE51" s="37">
        <v>8.7653189999999999</v>
      </c>
      <c r="NF51" s="37">
        <v>8.7653189999999999</v>
      </c>
      <c r="NG51" s="37">
        <v>8.7653189999999999</v>
      </c>
      <c r="NH51" s="37">
        <v>8.7653189999999999</v>
      </c>
      <c r="NI51" s="37">
        <v>8.7653189999999999</v>
      </c>
      <c r="NJ51" s="37">
        <v>8.7653189999999999</v>
      </c>
      <c r="NK51" s="37">
        <v>8.7653189999999999</v>
      </c>
      <c r="NL51" s="37">
        <v>8.7653189999999999</v>
      </c>
      <c r="NM51" s="37">
        <v>8.7653189999999999</v>
      </c>
      <c r="NN51" s="37">
        <v>8.7653189999999999</v>
      </c>
      <c r="NO51" s="37">
        <v>8.7653189999999999</v>
      </c>
      <c r="NP51" s="37">
        <v>8.7653189999999999</v>
      </c>
      <c r="NQ51" s="37">
        <v>8.7653189999999999</v>
      </c>
      <c r="NR51" s="37">
        <v>8.7653189999999999</v>
      </c>
      <c r="NS51" s="37">
        <v>8.7653189999999999</v>
      </c>
      <c r="NT51" s="37">
        <v>8.7653189999999999</v>
      </c>
      <c r="NU51" s="37">
        <v>8.7653189999999999</v>
      </c>
      <c r="NV51" s="37">
        <v>8.7653189999999999</v>
      </c>
      <c r="NW51" s="37">
        <v>8.7653189999999999</v>
      </c>
      <c r="NX51" s="37">
        <v>8.7653189999999999</v>
      </c>
      <c r="NY51" s="37">
        <v>8.7653189999999999</v>
      </c>
      <c r="NZ51" s="37">
        <v>8.7653189999999999</v>
      </c>
      <c r="OA51" s="37">
        <v>8.7653189999999999</v>
      </c>
      <c r="OB51" s="37">
        <v>8.7653189999999999</v>
      </c>
      <c r="OC51" s="37">
        <v>8.7653189999999999</v>
      </c>
      <c r="OD51" s="37">
        <v>8.7653189999999999</v>
      </c>
      <c r="OE51" s="37">
        <v>8.7653189999999999</v>
      </c>
      <c r="OF51" s="37">
        <v>8.7653189999999999</v>
      </c>
      <c r="OG51" s="37">
        <v>8.7653189999999999</v>
      </c>
      <c r="OH51" s="37">
        <v>8.7653189999999999</v>
      </c>
      <c r="OI51" s="37">
        <v>8.7653189999999999</v>
      </c>
      <c r="OJ51" s="37">
        <v>8.7653189999999999</v>
      </c>
      <c r="OK51" s="37">
        <v>8.7653189999999999</v>
      </c>
      <c r="OL51" s="37">
        <v>8.7653189999999999</v>
      </c>
      <c r="OM51" s="37">
        <v>8.7653189999999999</v>
      </c>
      <c r="ON51" s="37">
        <v>8.7653189999999999</v>
      </c>
      <c r="OO51" s="37">
        <v>8.7653189999999999</v>
      </c>
      <c r="OP51" s="37">
        <v>8.7653189999999999</v>
      </c>
      <c r="OQ51" s="37">
        <v>8.7653189999999999</v>
      </c>
      <c r="OR51" s="37">
        <v>8.7653189999999999</v>
      </c>
      <c r="OS51" s="37">
        <v>8.7653189999999999</v>
      </c>
      <c r="OT51" s="37">
        <v>8.7653189999999999</v>
      </c>
      <c r="OU51" s="37">
        <v>8.7653189999999999</v>
      </c>
      <c r="OV51" s="37">
        <v>8.7653189999999999</v>
      </c>
      <c r="OW51" s="37">
        <v>8.7653189999999999</v>
      </c>
      <c r="OX51" s="37">
        <v>8.7653189999999999</v>
      </c>
      <c r="OY51" s="37">
        <v>8.7653189999999999</v>
      </c>
      <c r="OZ51" s="37">
        <v>8.7653189999999999</v>
      </c>
      <c r="PA51" s="37">
        <v>8.7653189999999999</v>
      </c>
      <c r="PB51" s="37">
        <v>8.7653189999999999</v>
      </c>
      <c r="PC51" s="37">
        <v>8.7653189999999999</v>
      </c>
      <c r="PD51" s="37">
        <v>8.7653189999999999</v>
      </c>
      <c r="PE51" s="37">
        <v>8.7653189999999999</v>
      </c>
      <c r="PF51" s="37">
        <v>8.7653189999999999</v>
      </c>
      <c r="PG51" s="37">
        <v>8.7653189999999999</v>
      </c>
      <c r="PH51" s="37">
        <v>8.7653189999999999</v>
      </c>
      <c r="PI51" s="37">
        <v>8.7653189999999999</v>
      </c>
      <c r="PJ51" s="37">
        <v>8.7653189999999999</v>
      </c>
      <c r="PK51" s="37">
        <v>8.7653189999999999</v>
      </c>
      <c r="PL51" s="37">
        <v>8.7653189999999999</v>
      </c>
      <c r="PM51" s="37">
        <v>8.7653189999999999</v>
      </c>
      <c r="PN51" s="37">
        <v>8.7653189999999999</v>
      </c>
      <c r="PO51" s="37">
        <v>8.7653189999999999</v>
      </c>
      <c r="PP51" s="37">
        <v>8.7653189999999999</v>
      </c>
      <c r="PQ51" s="37">
        <v>8.7653189999999999</v>
      </c>
      <c r="PR51" s="37">
        <v>8.7653189999999999</v>
      </c>
      <c r="PS51" s="15">
        <v>8.7653189999999999</v>
      </c>
      <c r="PT51" s="15">
        <v>8.7653189999999999</v>
      </c>
      <c r="PU51" s="15">
        <v>8.7653189999999999</v>
      </c>
      <c r="PV51" s="15">
        <v>8.7653189999999999</v>
      </c>
      <c r="PW51" s="15">
        <v>8.7653189999999999</v>
      </c>
      <c r="PX51" s="15">
        <v>8.7653189999999999</v>
      </c>
      <c r="PY51" s="15">
        <v>8.7653189999999999</v>
      </c>
      <c r="PZ51" s="15">
        <v>8.7653189999999999</v>
      </c>
      <c r="QA51" s="15">
        <v>8.7653189999999999</v>
      </c>
      <c r="QB51" s="15">
        <v>8.7653189999999999</v>
      </c>
      <c r="QC51" s="15">
        <v>8.7653189999999999</v>
      </c>
      <c r="QD51" s="15">
        <v>8.7653189999999999</v>
      </c>
      <c r="QE51" s="15">
        <v>8.7653189999999999</v>
      </c>
      <c r="QF51" s="15">
        <v>8.7653189999999999</v>
      </c>
      <c r="QG51" s="15">
        <v>8.7653189999999999</v>
      </c>
      <c r="QH51" s="15">
        <v>8.7653189999999999</v>
      </c>
      <c r="QI51" s="15">
        <v>8.7653189999999999</v>
      </c>
      <c r="QJ51" s="15">
        <v>8.7653189999999999</v>
      </c>
      <c r="QK51" s="15">
        <v>8.7653189999999999</v>
      </c>
      <c r="QL51" s="15">
        <v>8.7653189999999999</v>
      </c>
      <c r="QM51" s="15">
        <v>8.7653189999999999</v>
      </c>
      <c r="QN51" s="15">
        <v>8.7653189999999999</v>
      </c>
      <c r="QO51" s="15">
        <v>8.7653189999999999</v>
      </c>
      <c r="QP51" s="15">
        <v>8.7653189999999999</v>
      </c>
      <c r="QQ51" s="15">
        <v>8.7653189999999999</v>
      </c>
      <c r="QR51" s="15">
        <v>8.7653189999999999</v>
      </c>
      <c r="QS51" s="15">
        <v>8.7653189999999999</v>
      </c>
      <c r="QT51" s="15">
        <v>8.7653189999999999</v>
      </c>
      <c r="QU51" s="15">
        <v>8.7653189999999999</v>
      </c>
      <c r="QV51" s="15">
        <v>8.7653189999999999</v>
      </c>
      <c r="QW51" s="15">
        <v>8.7653189999999999</v>
      </c>
      <c r="QX51" s="15">
        <v>8.7653189999999999</v>
      </c>
      <c r="QY51" s="15">
        <v>8.7653189999999999</v>
      </c>
      <c r="QZ51" s="15">
        <v>8.7653189999999999</v>
      </c>
      <c r="RA51" s="15">
        <v>8.7653189999999999</v>
      </c>
      <c r="RB51" s="15">
        <v>8.7653189999999999</v>
      </c>
      <c r="RC51" s="15">
        <v>8.7653189999999999</v>
      </c>
      <c r="RD51" s="15">
        <v>8.7653189999999999</v>
      </c>
      <c r="RE51" s="15">
        <v>8.7653189999999999</v>
      </c>
      <c r="RF51" s="15">
        <v>8.7653189999999999</v>
      </c>
      <c r="RG51" s="15">
        <v>8.7653189999999999</v>
      </c>
      <c r="RH51" s="15">
        <v>8.7653189999999999</v>
      </c>
      <c r="RI51" s="15">
        <v>8.7653189999999999</v>
      </c>
      <c r="RJ51" s="15">
        <v>8.7653189999999999</v>
      </c>
      <c r="RK51" s="15">
        <v>8.7653189999999999</v>
      </c>
      <c r="RL51" s="15">
        <v>8.7653189999999999</v>
      </c>
      <c r="RM51" s="15">
        <v>8.7653189999999999</v>
      </c>
      <c r="RN51" s="15">
        <v>8.7653189999999999</v>
      </c>
      <c r="RO51" s="15">
        <v>8.7653189999999999</v>
      </c>
      <c r="RP51" s="15">
        <v>8.7653189999999999</v>
      </c>
      <c r="RQ51" s="15">
        <v>8.7653189999999999</v>
      </c>
      <c r="RR51" s="15">
        <v>8.7653189999999999</v>
      </c>
      <c r="RS51" s="15">
        <v>8.7653189999999999</v>
      </c>
      <c r="RT51" s="15">
        <v>8.7653189999999999</v>
      </c>
      <c r="RU51" s="15">
        <v>8.7653189999999999</v>
      </c>
      <c r="RV51" s="15">
        <v>8.7653189999999999</v>
      </c>
      <c r="RW51" s="15">
        <v>8.7653189999999999</v>
      </c>
      <c r="RX51" s="15">
        <v>8.7653189999999999</v>
      </c>
      <c r="RY51" s="15">
        <v>8.7653189999999999</v>
      </c>
      <c r="RZ51" s="15">
        <v>8.7653189999999999</v>
      </c>
      <c r="SA51" s="15">
        <v>8.7653189999999999</v>
      </c>
      <c r="SB51" s="15">
        <v>8.7653189999999999</v>
      </c>
      <c r="SC51" s="15">
        <v>8.7653189999999999</v>
      </c>
      <c r="SD51" s="15">
        <v>8.7653189999999999</v>
      </c>
      <c r="SE51" s="15">
        <v>8.7653189999999999</v>
      </c>
      <c r="SF51" s="15">
        <v>8.7653189999999999</v>
      </c>
      <c r="SG51" s="15">
        <v>8.7653189999999999</v>
      </c>
      <c r="SH51" s="15">
        <v>8.7653189999999999</v>
      </c>
      <c r="SI51" s="15">
        <v>8.7653189999999999</v>
      </c>
      <c r="SJ51" s="15">
        <v>8.7653189999999999</v>
      </c>
      <c r="SK51" s="15">
        <v>8.7653189999999999</v>
      </c>
      <c r="SL51" s="15">
        <v>10.280091000000001</v>
      </c>
      <c r="SM51" s="15" t="s">
        <v>668</v>
      </c>
    </row>
    <row r="52" spans="1:508" x14ac:dyDescent="0.2">
      <c r="A52" s="37">
        <v>50</v>
      </c>
      <c r="B52" s="48" t="s">
        <v>701</v>
      </c>
      <c r="C52" s="17">
        <f>+'Detalle Compras'!D52</f>
        <v>202507230068</v>
      </c>
      <c r="D52" s="55">
        <f t="shared" si="13"/>
        <v>12.0185</v>
      </c>
      <c r="E52" s="14">
        <f>+IF(B52="","",'Detalle Compras'!S52+0)</f>
        <v>45910</v>
      </c>
      <c r="F52" s="14">
        <f>+IF(B52="","",EOMONTH('Detalle Compras'!S52,G52)+10)</f>
        <v>60550</v>
      </c>
      <c r="G52" s="50">
        <f t="shared" si="14"/>
        <v>480</v>
      </c>
      <c r="H52" s="50">
        <f t="shared" si="15"/>
        <v>475</v>
      </c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  <c r="Y52" s="52"/>
      <c r="Z52" s="52"/>
      <c r="AA52" s="52">
        <v>12.0185</v>
      </c>
      <c r="AB52" s="52">
        <v>12.0185</v>
      </c>
      <c r="AC52" s="52">
        <v>12.0185</v>
      </c>
      <c r="AD52" s="52">
        <v>12.0185</v>
      </c>
      <c r="AE52" s="52">
        <v>12.0185</v>
      </c>
      <c r="AF52" s="52">
        <v>12.0185</v>
      </c>
      <c r="AG52" s="52">
        <v>12.0185</v>
      </c>
      <c r="AH52" s="52">
        <v>12.0185</v>
      </c>
      <c r="AI52" s="52">
        <v>12.0185</v>
      </c>
      <c r="AJ52" s="52">
        <v>12.0185</v>
      </c>
      <c r="AK52" s="52">
        <v>12.0185</v>
      </c>
      <c r="AL52" s="52">
        <v>12.0185</v>
      </c>
      <c r="AM52" s="52">
        <v>12.0185</v>
      </c>
      <c r="AN52" s="52">
        <v>12.0185</v>
      </c>
      <c r="AO52" s="52">
        <v>12.0185</v>
      </c>
      <c r="AP52" s="52">
        <v>12.0185</v>
      </c>
      <c r="AQ52" s="52">
        <v>12.0185</v>
      </c>
      <c r="AR52" s="52">
        <v>12.0185</v>
      </c>
      <c r="AS52" s="52">
        <v>12.0185</v>
      </c>
      <c r="AT52" s="52">
        <v>12.0185</v>
      </c>
      <c r="AU52" s="52">
        <v>12.0185</v>
      </c>
      <c r="AV52" s="52">
        <v>12.0185</v>
      </c>
      <c r="AW52" s="52">
        <v>12.0185</v>
      </c>
      <c r="AX52" s="52">
        <v>12.0185</v>
      </c>
      <c r="AY52" s="52">
        <v>12.0185</v>
      </c>
      <c r="AZ52" s="52">
        <v>12.0185</v>
      </c>
      <c r="BA52" s="52">
        <v>12.0185</v>
      </c>
      <c r="BB52" s="52">
        <v>12.0185</v>
      </c>
      <c r="BC52" s="52">
        <v>12.0185</v>
      </c>
      <c r="BD52" s="52">
        <v>12.0185</v>
      </c>
      <c r="BE52" s="52">
        <v>12.0185</v>
      </c>
      <c r="BF52" s="52">
        <v>12.0185</v>
      </c>
      <c r="BG52" s="52">
        <v>12.0185</v>
      </c>
      <c r="BH52" s="52">
        <v>12.0185</v>
      </c>
      <c r="BI52" s="52">
        <v>12.0185</v>
      </c>
      <c r="BJ52" s="52">
        <v>12.0185</v>
      </c>
      <c r="BK52" s="52">
        <v>12.0185</v>
      </c>
      <c r="BL52" s="52">
        <v>12.0185</v>
      </c>
      <c r="BM52" s="52">
        <v>12.0185</v>
      </c>
      <c r="BN52" s="52">
        <v>12.0185</v>
      </c>
      <c r="BO52" s="52">
        <v>12.0185</v>
      </c>
      <c r="BP52" s="52">
        <v>12.0185</v>
      </c>
      <c r="BQ52" s="52">
        <v>12.0185</v>
      </c>
      <c r="BR52" s="52">
        <v>12.0185</v>
      </c>
      <c r="BS52" s="52">
        <v>12.0185</v>
      </c>
      <c r="BT52" s="52">
        <v>12.0185</v>
      </c>
      <c r="BU52" s="52">
        <v>12.0185</v>
      </c>
      <c r="BV52" s="52">
        <v>12.0185</v>
      </c>
      <c r="BW52" s="52">
        <v>12.0185</v>
      </c>
      <c r="BX52" s="52">
        <v>12.0185</v>
      </c>
      <c r="BY52" s="52">
        <v>12.0185</v>
      </c>
      <c r="BZ52" s="52">
        <v>12.0185</v>
      </c>
      <c r="CA52" s="52">
        <v>12.0185</v>
      </c>
      <c r="CB52" s="52">
        <v>12.0185</v>
      </c>
      <c r="CC52" s="52">
        <v>12.0185</v>
      </c>
      <c r="CD52" s="52">
        <v>12.0185</v>
      </c>
      <c r="CE52" s="52">
        <v>12.0185</v>
      </c>
      <c r="CF52" s="52">
        <v>12.0185</v>
      </c>
      <c r="CG52" s="52">
        <v>12.0185</v>
      </c>
      <c r="CH52" s="52">
        <v>12.0185</v>
      </c>
      <c r="CI52" s="52">
        <v>12.0185</v>
      </c>
      <c r="CJ52" s="52">
        <v>12.0185</v>
      </c>
      <c r="CK52" s="52">
        <v>12.0185</v>
      </c>
      <c r="CL52" s="52">
        <v>12.0185</v>
      </c>
      <c r="CM52" s="52">
        <v>12.0185</v>
      </c>
      <c r="CN52" s="52">
        <v>12.0185</v>
      </c>
      <c r="CO52" s="52">
        <v>12.0185</v>
      </c>
      <c r="CP52" s="52">
        <v>12.0185</v>
      </c>
      <c r="CQ52" s="52">
        <v>12.0185</v>
      </c>
      <c r="CR52" s="52">
        <v>12.0185</v>
      </c>
      <c r="CS52" s="52">
        <v>12.0185</v>
      </c>
      <c r="CT52" s="52">
        <v>12.0185</v>
      </c>
      <c r="CU52" s="52">
        <v>12.0185</v>
      </c>
      <c r="CV52" s="52">
        <v>12.0185</v>
      </c>
      <c r="CW52" s="52">
        <v>12.0185</v>
      </c>
      <c r="CX52" s="52">
        <v>12.0185</v>
      </c>
      <c r="CY52" s="52">
        <v>12.0185</v>
      </c>
      <c r="CZ52" s="52">
        <v>12.0185</v>
      </c>
      <c r="DA52" s="52">
        <v>12.0185</v>
      </c>
      <c r="DB52" s="52">
        <v>12.0185</v>
      </c>
      <c r="DC52" s="52">
        <v>12.0185</v>
      </c>
      <c r="DD52" s="52">
        <v>12.0185</v>
      </c>
      <c r="DE52" s="52">
        <v>12.0185</v>
      </c>
      <c r="DF52" s="52">
        <v>12.0185</v>
      </c>
      <c r="DG52" s="52">
        <v>12.0185</v>
      </c>
      <c r="DH52" s="52">
        <v>12.0185</v>
      </c>
      <c r="DI52" s="52">
        <v>12.0185</v>
      </c>
      <c r="DJ52" s="52">
        <v>12.0185</v>
      </c>
      <c r="DK52" s="52">
        <v>12.0185</v>
      </c>
      <c r="DL52" s="52">
        <v>12.0185</v>
      </c>
      <c r="DM52" s="52">
        <v>12.0185</v>
      </c>
      <c r="DN52" s="52">
        <v>12.0185</v>
      </c>
      <c r="DO52" s="52">
        <v>12.0185</v>
      </c>
      <c r="DP52" s="52">
        <v>12.0185</v>
      </c>
      <c r="DQ52" s="52">
        <v>12.0185</v>
      </c>
      <c r="DR52" s="52">
        <v>12.0185</v>
      </c>
      <c r="DS52" s="52">
        <v>12.0185</v>
      </c>
      <c r="DT52" s="52">
        <v>12.0185</v>
      </c>
      <c r="DU52" s="52">
        <v>12.0185</v>
      </c>
      <c r="DV52" s="52">
        <v>12.0185</v>
      </c>
      <c r="DW52" s="52">
        <v>12.0185</v>
      </c>
      <c r="DX52" s="52">
        <v>12.0185</v>
      </c>
      <c r="DY52" s="52">
        <v>12.0185</v>
      </c>
      <c r="DZ52" s="52">
        <v>12.0185</v>
      </c>
      <c r="EA52" s="52">
        <v>12.0185</v>
      </c>
      <c r="EB52" s="52">
        <v>12.0185</v>
      </c>
      <c r="EC52" s="52">
        <v>12.0185</v>
      </c>
      <c r="ED52" s="52">
        <v>12.0185</v>
      </c>
      <c r="EE52" s="52">
        <v>12.0185</v>
      </c>
      <c r="EF52" s="52">
        <v>12.0185</v>
      </c>
      <c r="EG52" s="52">
        <v>12.0185</v>
      </c>
      <c r="EH52" s="52">
        <v>12.0185</v>
      </c>
      <c r="EI52" s="52">
        <v>12.0185</v>
      </c>
      <c r="EJ52" s="52">
        <v>12.0185</v>
      </c>
      <c r="EK52" s="52">
        <v>12.0185</v>
      </c>
      <c r="EL52" s="52">
        <v>12.0185</v>
      </c>
      <c r="EM52" s="52">
        <v>12.0185</v>
      </c>
      <c r="EN52" s="52">
        <v>12.0185</v>
      </c>
      <c r="EO52" s="52">
        <v>12.0185</v>
      </c>
      <c r="EP52" s="52">
        <v>12.0185</v>
      </c>
      <c r="EQ52" s="52">
        <v>12.0185</v>
      </c>
      <c r="ER52" s="52">
        <v>12.0185</v>
      </c>
      <c r="ES52" s="52">
        <v>12.0185</v>
      </c>
      <c r="ET52" s="52">
        <v>12.0185</v>
      </c>
      <c r="EU52" s="52">
        <v>12.0185</v>
      </c>
      <c r="EV52" s="52">
        <v>12.0185</v>
      </c>
      <c r="EW52" s="52">
        <v>12.0185</v>
      </c>
      <c r="EX52" s="52">
        <v>12.0185</v>
      </c>
      <c r="EY52" s="52">
        <v>12.0185</v>
      </c>
      <c r="EZ52" s="52">
        <v>12.0185</v>
      </c>
      <c r="FA52" s="52">
        <v>12.0185</v>
      </c>
      <c r="FB52" s="52">
        <v>12.0185</v>
      </c>
      <c r="FC52" s="52">
        <v>12.0185</v>
      </c>
      <c r="FD52" s="52">
        <v>12.0185</v>
      </c>
      <c r="FE52" s="52">
        <v>12.0185</v>
      </c>
      <c r="FF52" s="52">
        <v>12.0185</v>
      </c>
      <c r="FG52" s="52">
        <v>12.0185</v>
      </c>
      <c r="FH52" s="52">
        <v>12.0185</v>
      </c>
      <c r="FI52" s="52">
        <v>12.0185</v>
      </c>
      <c r="FJ52" s="52">
        <v>12.0185</v>
      </c>
      <c r="FK52" s="52">
        <v>12.0185</v>
      </c>
      <c r="FL52" s="52">
        <v>12.0185</v>
      </c>
      <c r="FM52" s="52">
        <v>12.0185</v>
      </c>
      <c r="FN52" s="52">
        <v>12.0185</v>
      </c>
      <c r="FO52" s="52">
        <v>12.0185</v>
      </c>
      <c r="FP52" s="52">
        <v>12.0185</v>
      </c>
      <c r="FQ52" s="52">
        <v>12.0185</v>
      </c>
      <c r="FR52" s="52">
        <v>12.0185</v>
      </c>
      <c r="FS52" s="52">
        <v>12.0185</v>
      </c>
      <c r="FT52" s="52">
        <v>12.0185</v>
      </c>
      <c r="FU52" s="52">
        <v>12.0185</v>
      </c>
      <c r="FV52" s="52">
        <v>12.0185</v>
      </c>
      <c r="FW52" s="52">
        <v>12.0185</v>
      </c>
      <c r="FX52" s="52">
        <v>12.0185</v>
      </c>
      <c r="FY52" s="52">
        <v>12.0185</v>
      </c>
      <c r="FZ52" s="52">
        <v>12.0185</v>
      </c>
      <c r="GA52" s="52">
        <v>12.0185</v>
      </c>
      <c r="GB52" s="52">
        <v>12.0185</v>
      </c>
      <c r="GC52" s="52">
        <v>12.0185</v>
      </c>
      <c r="GD52" s="52">
        <v>12.0185</v>
      </c>
      <c r="GE52" s="52">
        <v>12.0185</v>
      </c>
      <c r="GF52" s="52">
        <v>12.0185</v>
      </c>
      <c r="GG52" s="52">
        <v>12.0185</v>
      </c>
      <c r="GH52" s="52">
        <v>12.0185</v>
      </c>
      <c r="GI52" s="52">
        <v>12.0185</v>
      </c>
      <c r="GJ52" s="52">
        <v>12.0185</v>
      </c>
      <c r="GK52" s="52">
        <v>12.0185</v>
      </c>
      <c r="GL52" s="52">
        <v>12.0185</v>
      </c>
      <c r="GM52" s="52">
        <v>12.0185</v>
      </c>
      <c r="GN52" s="52">
        <v>12.0185</v>
      </c>
      <c r="GO52" s="52">
        <v>12.0185</v>
      </c>
      <c r="GP52" s="52">
        <v>12.0185</v>
      </c>
      <c r="GQ52" s="52">
        <v>12.0185</v>
      </c>
      <c r="GR52" s="52">
        <v>12.0185</v>
      </c>
      <c r="GS52" s="52">
        <v>12.0185</v>
      </c>
      <c r="GT52" s="52">
        <v>12.0185</v>
      </c>
      <c r="GU52" s="52">
        <v>12.0185</v>
      </c>
      <c r="GV52" s="52">
        <v>12.0185</v>
      </c>
      <c r="GW52" s="52">
        <v>12.0185</v>
      </c>
      <c r="GX52" s="52">
        <v>12.0185</v>
      </c>
      <c r="GY52" s="52">
        <v>12.0185</v>
      </c>
      <c r="GZ52" s="52">
        <v>12.0185</v>
      </c>
      <c r="HA52" s="52">
        <v>12.0185</v>
      </c>
      <c r="HB52" s="52">
        <v>12.0185</v>
      </c>
      <c r="HC52" s="52">
        <v>12.0185</v>
      </c>
      <c r="HD52" s="52">
        <v>12.0185</v>
      </c>
      <c r="HE52" s="52">
        <v>12.0185</v>
      </c>
      <c r="HF52" s="52">
        <v>12.0185</v>
      </c>
      <c r="HG52" s="52">
        <v>12.0185</v>
      </c>
      <c r="HH52" s="52">
        <v>12.0185</v>
      </c>
      <c r="HI52" s="52">
        <v>12.0185</v>
      </c>
      <c r="HJ52" s="52">
        <v>12.0185</v>
      </c>
      <c r="HK52" s="52">
        <v>12.0185</v>
      </c>
      <c r="HL52" s="52">
        <v>12.0185</v>
      </c>
      <c r="HM52" s="52">
        <v>12.0185</v>
      </c>
      <c r="HN52" s="52">
        <v>12.0185</v>
      </c>
      <c r="HO52" s="52">
        <v>12.0185</v>
      </c>
      <c r="HP52" s="52">
        <v>12.0185</v>
      </c>
      <c r="HQ52" s="52">
        <v>12.0185</v>
      </c>
      <c r="HR52" s="52">
        <v>12.0185</v>
      </c>
      <c r="HS52" s="52">
        <v>12.0185</v>
      </c>
      <c r="HT52" s="52">
        <v>12.0185</v>
      </c>
      <c r="HU52" s="52">
        <v>12.0185</v>
      </c>
      <c r="HV52" s="52">
        <v>12.0185</v>
      </c>
      <c r="HW52" s="52">
        <v>12.0185</v>
      </c>
      <c r="HX52" s="52">
        <v>12.0185</v>
      </c>
      <c r="HY52" s="52">
        <v>12.0185</v>
      </c>
      <c r="HZ52" s="52">
        <v>12.0185</v>
      </c>
      <c r="IA52" s="52">
        <v>12.0185</v>
      </c>
      <c r="IB52" s="52">
        <v>12.0185</v>
      </c>
      <c r="IC52" s="52">
        <v>12.0185</v>
      </c>
      <c r="ID52" s="52">
        <v>12.0185</v>
      </c>
      <c r="IE52" s="52">
        <v>12.0185</v>
      </c>
      <c r="IF52" s="52">
        <v>12.0185</v>
      </c>
      <c r="IG52" s="52">
        <v>12.0185</v>
      </c>
      <c r="IH52" s="52">
        <v>12.0185</v>
      </c>
      <c r="II52" s="52">
        <v>12.0185</v>
      </c>
      <c r="IJ52" s="52">
        <v>12.0185</v>
      </c>
      <c r="IK52" s="52">
        <v>12.0185</v>
      </c>
      <c r="IL52" s="52">
        <v>12.0185</v>
      </c>
      <c r="IM52" s="52">
        <v>12.0185</v>
      </c>
      <c r="IN52" s="52">
        <v>12.0185</v>
      </c>
      <c r="IO52" s="52">
        <v>12.0185</v>
      </c>
      <c r="IP52" s="52">
        <v>12.0185</v>
      </c>
      <c r="IQ52" s="52">
        <v>12.0185</v>
      </c>
      <c r="IR52" s="52">
        <v>12.0185</v>
      </c>
      <c r="IS52" s="52">
        <v>12.0185</v>
      </c>
      <c r="IT52" s="52">
        <v>12.0185</v>
      </c>
      <c r="IU52" s="52">
        <v>12.0185</v>
      </c>
      <c r="IV52" s="52">
        <v>12.0185</v>
      </c>
      <c r="IW52" s="52">
        <v>12.0185</v>
      </c>
      <c r="IX52" s="52">
        <v>12.0185</v>
      </c>
      <c r="IY52" s="52">
        <v>12.0185</v>
      </c>
      <c r="IZ52" s="52">
        <v>12.0185</v>
      </c>
      <c r="JA52" s="52">
        <v>12.0185</v>
      </c>
      <c r="JB52" s="52">
        <v>12.0185</v>
      </c>
      <c r="JC52" s="52">
        <v>12.0185</v>
      </c>
      <c r="JD52" s="52">
        <v>12.0185</v>
      </c>
      <c r="JE52" s="52">
        <v>12.0185</v>
      </c>
      <c r="JF52" s="52">
        <v>12.0185</v>
      </c>
      <c r="JG52" s="52">
        <v>12.0185</v>
      </c>
      <c r="JH52" s="52">
        <v>12.0185</v>
      </c>
      <c r="JI52" s="52">
        <v>12.0185</v>
      </c>
      <c r="JJ52" s="52">
        <v>12.0185</v>
      </c>
      <c r="JK52" s="52">
        <v>12.0185</v>
      </c>
      <c r="JL52" s="52">
        <v>12.0185</v>
      </c>
      <c r="JM52" s="52">
        <v>12.0185</v>
      </c>
      <c r="JN52" s="52">
        <v>12.0185</v>
      </c>
      <c r="JO52" s="52">
        <v>12.0185</v>
      </c>
      <c r="JP52" s="52">
        <v>12.0185</v>
      </c>
      <c r="JQ52" s="52">
        <v>12.0185</v>
      </c>
      <c r="JR52" s="52">
        <v>12.0185</v>
      </c>
      <c r="JS52" s="52">
        <v>12.0185</v>
      </c>
      <c r="JT52" s="52">
        <v>12.0185</v>
      </c>
      <c r="JU52" s="52">
        <v>12.0185</v>
      </c>
      <c r="JV52" s="52">
        <v>12.0185</v>
      </c>
      <c r="JW52" s="52">
        <v>12.0185</v>
      </c>
      <c r="JX52" s="52">
        <v>12.0185</v>
      </c>
      <c r="JY52" s="52">
        <v>12.0185</v>
      </c>
      <c r="JZ52" s="52">
        <v>12.0185</v>
      </c>
      <c r="KA52" s="52">
        <v>12.0185</v>
      </c>
      <c r="KB52" s="52">
        <v>12.0185</v>
      </c>
      <c r="KC52" s="52">
        <v>12.0185</v>
      </c>
      <c r="KD52" s="52">
        <v>12.0185</v>
      </c>
      <c r="KE52" s="52">
        <v>12.0185</v>
      </c>
      <c r="KF52" s="52">
        <v>12.0185</v>
      </c>
      <c r="KG52" s="52">
        <v>12.0185</v>
      </c>
      <c r="KH52" s="52">
        <v>12.0185</v>
      </c>
      <c r="KI52" s="52">
        <v>12.0185</v>
      </c>
      <c r="KJ52" s="52">
        <v>12.0185</v>
      </c>
      <c r="KK52" s="52">
        <v>12.0185</v>
      </c>
      <c r="KL52" s="52">
        <v>12.0185</v>
      </c>
      <c r="KM52" s="52">
        <v>12.0185</v>
      </c>
      <c r="KN52" s="52">
        <v>12.0185</v>
      </c>
      <c r="KO52" s="52">
        <v>12.0185</v>
      </c>
      <c r="KP52" s="52">
        <v>12.0185</v>
      </c>
      <c r="KQ52" s="52">
        <v>12.0185</v>
      </c>
      <c r="KR52" s="52">
        <v>12.0185</v>
      </c>
      <c r="KS52" s="52">
        <v>12.0185</v>
      </c>
      <c r="KT52" s="52">
        <v>12.0185</v>
      </c>
      <c r="KU52" s="52">
        <v>12.0185</v>
      </c>
      <c r="KV52" s="52">
        <v>12.0185</v>
      </c>
      <c r="KW52" s="52">
        <v>12.0185</v>
      </c>
      <c r="KX52" s="52">
        <v>12.0185</v>
      </c>
      <c r="KY52" s="52">
        <v>12.0185</v>
      </c>
      <c r="KZ52" s="52">
        <v>12.0185</v>
      </c>
      <c r="LA52" s="52">
        <v>12.0185</v>
      </c>
      <c r="LB52" s="52">
        <v>12.0185</v>
      </c>
      <c r="LC52" s="52">
        <v>12.0185</v>
      </c>
      <c r="LD52" s="52">
        <v>12.0185</v>
      </c>
      <c r="LE52" s="52">
        <v>12.0185</v>
      </c>
      <c r="LF52" s="52">
        <v>12.0185</v>
      </c>
      <c r="LG52" s="52">
        <v>12.0185</v>
      </c>
      <c r="LH52" s="52">
        <v>12.0185</v>
      </c>
      <c r="LI52" s="37">
        <v>12.0185</v>
      </c>
      <c r="LJ52" s="37">
        <v>12.0185</v>
      </c>
      <c r="LK52" s="37">
        <v>12.0185</v>
      </c>
      <c r="LL52" s="37">
        <v>12.0185</v>
      </c>
      <c r="LM52" s="37">
        <v>12.0185</v>
      </c>
      <c r="LN52" s="37">
        <v>12.0185</v>
      </c>
      <c r="LO52" s="37">
        <v>12.0185</v>
      </c>
      <c r="LP52" s="37">
        <v>12.0185</v>
      </c>
      <c r="LQ52" s="37">
        <v>12.0185</v>
      </c>
      <c r="LR52" s="37">
        <v>12.0185</v>
      </c>
      <c r="LS52" s="37">
        <v>12.0185</v>
      </c>
      <c r="LT52" s="37">
        <v>12.0185</v>
      </c>
      <c r="LU52" s="37">
        <v>12.0185</v>
      </c>
      <c r="LV52" s="37">
        <v>12.0185</v>
      </c>
      <c r="LW52" s="37">
        <v>12.0185</v>
      </c>
      <c r="LX52" s="37">
        <v>12.0185</v>
      </c>
      <c r="LY52" s="37">
        <v>12.0185</v>
      </c>
      <c r="LZ52" s="37">
        <v>12.0185</v>
      </c>
      <c r="MA52" s="37">
        <v>12.0185</v>
      </c>
      <c r="MB52" s="37">
        <v>12.0185</v>
      </c>
      <c r="MC52" s="37">
        <v>12.0185</v>
      </c>
      <c r="MD52" s="37">
        <v>12.0185</v>
      </c>
      <c r="ME52" s="37">
        <v>12.0185</v>
      </c>
      <c r="MF52" s="37">
        <v>12.0185</v>
      </c>
      <c r="MG52" s="37">
        <v>12.0185</v>
      </c>
      <c r="MH52" s="37">
        <v>12.0185</v>
      </c>
      <c r="MI52" s="37">
        <v>12.0185</v>
      </c>
      <c r="MJ52" s="37">
        <v>12.0185</v>
      </c>
      <c r="MK52" s="37">
        <v>12.0185</v>
      </c>
      <c r="ML52" s="37">
        <v>12.0185</v>
      </c>
      <c r="MM52" s="37">
        <v>12.0185</v>
      </c>
      <c r="MN52" s="37">
        <v>12.0185</v>
      </c>
      <c r="MO52" s="37">
        <v>12.0185</v>
      </c>
      <c r="MP52" s="37">
        <v>12.0185</v>
      </c>
      <c r="MQ52" s="37">
        <v>12.0185</v>
      </c>
      <c r="MR52" s="37">
        <v>12.0185</v>
      </c>
      <c r="MS52" s="37">
        <v>12.0185</v>
      </c>
      <c r="MT52" s="37">
        <v>12.0185</v>
      </c>
      <c r="MU52" s="37">
        <v>12.0185</v>
      </c>
      <c r="MV52" s="37">
        <v>12.0185</v>
      </c>
      <c r="MW52" s="37">
        <v>12.0185</v>
      </c>
      <c r="MX52" s="37">
        <v>12.0185</v>
      </c>
      <c r="MY52" s="37">
        <v>12.0185</v>
      </c>
      <c r="MZ52" s="37">
        <v>12.0185</v>
      </c>
      <c r="NA52" s="37">
        <v>12.0185</v>
      </c>
      <c r="NB52" s="37">
        <v>12.0185</v>
      </c>
      <c r="NC52" s="37">
        <v>12.0185</v>
      </c>
      <c r="ND52" s="37">
        <v>12.0185</v>
      </c>
      <c r="NE52" s="37">
        <v>12.0185</v>
      </c>
      <c r="NF52" s="37">
        <v>12.0185</v>
      </c>
      <c r="NG52" s="37">
        <v>12.0185</v>
      </c>
      <c r="NH52" s="37">
        <v>12.0185</v>
      </c>
      <c r="NI52" s="37">
        <v>12.0185</v>
      </c>
      <c r="NJ52" s="37">
        <v>12.0185</v>
      </c>
      <c r="NK52" s="37">
        <v>12.0185</v>
      </c>
      <c r="NL52" s="37">
        <v>12.0185</v>
      </c>
      <c r="NM52" s="37">
        <v>12.0185</v>
      </c>
      <c r="NN52" s="37">
        <v>12.0185</v>
      </c>
      <c r="NO52" s="37">
        <v>12.0185</v>
      </c>
      <c r="NP52" s="37">
        <v>12.0185</v>
      </c>
      <c r="NQ52" s="37">
        <v>12.0185</v>
      </c>
      <c r="NR52" s="37">
        <v>12.0185</v>
      </c>
      <c r="NS52" s="37">
        <v>12.0185</v>
      </c>
      <c r="NT52" s="37">
        <v>12.0185</v>
      </c>
      <c r="NU52" s="37">
        <v>12.0185</v>
      </c>
      <c r="NV52" s="37">
        <v>12.0185</v>
      </c>
      <c r="NW52" s="37">
        <v>12.0185</v>
      </c>
      <c r="NX52" s="37">
        <v>12.0185</v>
      </c>
      <c r="NY52" s="37">
        <v>12.0185</v>
      </c>
      <c r="NZ52" s="37">
        <v>12.0185</v>
      </c>
      <c r="OA52" s="37">
        <v>12.0185</v>
      </c>
      <c r="OB52" s="37">
        <v>12.0185</v>
      </c>
      <c r="OC52" s="37">
        <v>12.0185</v>
      </c>
      <c r="OD52" s="37">
        <v>12.0185</v>
      </c>
      <c r="OE52" s="37">
        <v>12.0185</v>
      </c>
      <c r="OF52" s="37">
        <v>12.0185</v>
      </c>
      <c r="OG52" s="37">
        <v>12.0185</v>
      </c>
      <c r="OH52" s="37">
        <v>12.0185</v>
      </c>
      <c r="OI52" s="37">
        <v>12.0185</v>
      </c>
      <c r="OJ52" s="37">
        <v>12.0185</v>
      </c>
      <c r="OK52" s="37">
        <v>12.0185</v>
      </c>
      <c r="OL52" s="37">
        <v>12.0185</v>
      </c>
      <c r="OM52" s="37">
        <v>12.0185</v>
      </c>
      <c r="ON52" s="37">
        <v>12.0185</v>
      </c>
      <c r="OO52" s="37">
        <v>12.0185</v>
      </c>
      <c r="OP52" s="37">
        <v>12.0185</v>
      </c>
      <c r="OQ52" s="37">
        <v>12.0185</v>
      </c>
      <c r="OR52" s="37">
        <v>12.0185</v>
      </c>
      <c r="OS52" s="37">
        <v>12.0185</v>
      </c>
      <c r="OT52" s="37">
        <v>12.0185</v>
      </c>
      <c r="OU52" s="37">
        <v>12.0185</v>
      </c>
      <c r="OV52" s="37">
        <v>12.0185</v>
      </c>
      <c r="OW52" s="37">
        <v>12.0185</v>
      </c>
      <c r="OX52" s="37">
        <v>12.0185</v>
      </c>
      <c r="OY52" s="37">
        <v>12.0185</v>
      </c>
      <c r="OZ52" s="37">
        <v>12.0185</v>
      </c>
      <c r="PA52" s="37">
        <v>12.0185</v>
      </c>
      <c r="PB52" s="37">
        <v>12.0185</v>
      </c>
      <c r="PC52" s="37">
        <v>12.0185</v>
      </c>
      <c r="PD52" s="37">
        <v>12.0185</v>
      </c>
      <c r="PE52" s="37">
        <v>12.0185</v>
      </c>
      <c r="PF52" s="37">
        <v>12.0185</v>
      </c>
      <c r="PG52" s="37">
        <v>12.0185</v>
      </c>
      <c r="PH52" s="37">
        <v>12.0185</v>
      </c>
      <c r="PI52" s="37">
        <v>12.0185</v>
      </c>
      <c r="PJ52" s="37">
        <v>12.0185</v>
      </c>
      <c r="PK52" s="37">
        <v>12.0185</v>
      </c>
      <c r="PL52" s="37">
        <v>12.0185</v>
      </c>
      <c r="PM52" s="37">
        <v>12.0185</v>
      </c>
      <c r="PN52" s="37">
        <v>12.0185</v>
      </c>
      <c r="PO52" s="37">
        <v>12.0185</v>
      </c>
      <c r="PP52" s="37">
        <v>12.0185</v>
      </c>
      <c r="PQ52" s="37">
        <v>12.0185</v>
      </c>
      <c r="PR52" s="37">
        <v>12.0185</v>
      </c>
      <c r="PS52" s="15">
        <v>12.0185</v>
      </c>
      <c r="PT52" s="15">
        <v>12.0185</v>
      </c>
      <c r="PU52" s="15">
        <v>12.0185</v>
      </c>
      <c r="PV52" s="15">
        <v>12.0185</v>
      </c>
      <c r="PW52" s="15">
        <v>12.0185</v>
      </c>
      <c r="PX52" s="15">
        <v>12.0185</v>
      </c>
      <c r="PY52" s="15">
        <v>12.0185</v>
      </c>
      <c r="PZ52" s="15">
        <v>12.0185</v>
      </c>
      <c r="QA52" s="15">
        <v>12.0185</v>
      </c>
      <c r="QB52" s="15">
        <v>12.0185</v>
      </c>
      <c r="QC52" s="15">
        <v>12.0185</v>
      </c>
      <c r="QD52" s="15">
        <v>12.0185</v>
      </c>
      <c r="QE52" s="15">
        <v>12.0185</v>
      </c>
      <c r="QF52" s="15">
        <v>12.0185</v>
      </c>
      <c r="QG52" s="15">
        <v>12.0185</v>
      </c>
      <c r="QH52" s="15">
        <v>12.0185</v>
      </c>
      <c r="QI52" s="15">
        <v>12.0185</v>
      </c>
      <c r="QJ52" s="15">
        <v>12.0185</v>
      </c>
      <c r="QK52" s="15">
        <v>12.0185</v>
      </c>
      <c r="QL52" s="15">
        <v>12.0185</v>
      </c>
      <c r="QM52" s="15">
        <v>12.0185</v>
      </c>
      <c r="QN52" s="15">
        <v>12.0185</v>
      </c>
      <c r="QO52" s="15">
        <v>12.0185</v>
      </c>
      <c r="QP52" s="15">
        <v>12.0185</v>
      </c>
      <c r="QQ52" s="15">
        <v>12.0185</v>
      </c>
      <c r="QR52" s="15">
        <v>12.0185</v>
      </c>
      <c r="QS52" s="15">
        <v>12.0185</v>
      </c>
      <c r="QT52" s="15">
        <v>12.0185</v>
      </c>
      <c r="QU52" s="15">
        <v>12.0185</v>
      </c>
      <c r="QV52" s="15">
        <v>12.0185</v>
      </c>
      <c r="QW52" s="15">
        <v>12.0185</v>
      </c>
      <c r="QX52" s="15">
        <v>12.0185</v>
      </c>
      <c r="QY52" s="15">
        <v>12.0185</v>
      </c>
      <c r="QZ52" s="15">
        <v>12.0185</v>
      </c>
      <c r="RA52" s="15">
        <v>12.0185</v>
      </c>
      <c r="RB52" s="15">
        <v>12.0185</v>
      </c>
      <c r="RC52" s="15">
        <v>12.0185</v>
      </c>
      <c r="RD52" s="15">
        <v>12.0185</v>
      </c>
      <c r="RE52" s="15">
        <v>12.0185</v>
      </c>
      <c r="RF52" s="15">
        <v>12.0185</v>
      </c>
      <c r="RG52" s="15">
        <v>12.0185</v>
      </c>
      <c r="RH52" s="15">
        <v>12.0185</v>
      </c>
      <c r="RI52" s="15">
        <v>12.0185</v>
      </c>
      <c r="RJ52" s="15">
        <v>12.0185</v>
      </c>
      <c r="RK52" s="15">
        <v>12.0185</v>
      </c>
      <c r="RL52" s="15">
        <v>12.0185</v>
      </c>
      <c r="RM52" s="15">
        <v>12.0185</v>
      </c>
      <c r="RN52" s="15">
        <v>12.0185</v>
      </c>
      <c r="RO52" s="15">
        <v>12.0185</v>
      </c>
      <c r="RP52" s="15">
        <v>12.0185</v>
      </c>
      <c r="RQ52" s="15">
        <v>12.0185</v>
      </c>
      <c r="RR52" s="15">
        <v>12.0185</v>
      </c>
      <c r="RS52" s="15">
        <v>12.0185</v>
      </c>
      <c r="RT52" s="15">
        <v>12.0185</v>
      </c>
      <c r="RU52" s="15">
        <v>12.0185</v>
      </c>
      <c r="RV52" s="15">
        <v>12.0185</v>
      </c>
      <c r="RW52" s="15">
        <v>12.0185</v>
      </c>
      <c r="RX52" s="15">
        <v>12.0185</v>
      </c>
      <c r="RY52" s="15">
        <v>12.0185</v>
      </c>
      <c r="RZ52" s="15">
        <v>12.0185</v>
      </c>
      <c r="SA52" s="15">
        <v>12.0185</v>
      </c>
      <c r="SB52" s="15">
        <v>12.0185</v>
      </c>
      <c r="SC52" s="15">
        <v>12.0185</v>
      </c>
      <c r="SD52" s="15">
        <v>12.0185</v>
      </c>
      <c r="SE52" s="15">
        <v>12.0185</v>
      </c>
      <c r="SF52" s="15">
        <v>12.0185</v>
      </c>
      <c r="SG52" s="15">
        <v>12.0185</v>
      </c>
      <c r="SH52" s="15">
        <v>12.0185</v>
      </c>
      <c r="SI52" s="15">
        <v>12.0185</v>
      </c>
      <c r="SJ52" s="15">
        <v>12.0185</v>
      </c>
      <c r="SK52" s="15">
        <v>12.0185</v>
      </c>
      <c r="SL52" s="15">
        <v>10.1738</v>
      </c>
      <c r="SM52" s="15" t="s">
        <v>668</v>
      </c>
    </row>
    <row r="53" spans="1:508" x14ac:dyDescent="0.2">
      <c r="A53" s="37">
        <v>51</v>
      </c>
      <c r="B53" s="48" t="s">
        <v>735</v>
      </c>
      <c r="C53" s="17">
        <f>+'Detalle Compras'!D53</f>
        <v>202507240070</v>
      </c>
      <c r="D53" s="55">
        <f t="shared" si="13"/>
        <v>11.603268</v>
      </c>
      <c r="E53" s="14">
        <f>+IF(B53="","",'Detalle Compras'!S53+0)</f>
        <v>45910</v>
      </c>
      <c r="F53" s="14">
        <f>+IF(B53="","",EOMONTH('Detalle Compras'!S53,G53)+10)</f>
        <v>58724</v>
      </c>
      <c r="G53" s="50">
        <f t="shared" si="14"/>
        <v>420</v>
      </c>
      <c r="H53" s="50">
        <f t="shared" si="15"/>
        <v>415</v>
      </c>
      <c r="J53" s="52"/>
      <c r="K53" s="52"/>
      <c r="L53" s="52"/>
      <c r="M53" s="52"/>
      <c r="N53" s="52"/>
      <c r="O53" s="52"/>
      <c r="P53" s="52"/>
      <c r="Q53" s="52"/>
      <c r="R53" s="52"/>
      <c r="S53" s="52"/>
      <c r="T53" s="52"/>
      <c r="U53" s="52"/>
      <c r="V53" s="52"/>
      <c r="W53" s="52"/>
      <c r="X53" s="52"/>
      <c r="Y53" s="52"/>
      <c r="Z53" s="52"/>
      <c r="AA53" s="52">
        <v>11.603268</v>
      </c>
      <c r="AB53" s="52">
        <v>11.603268</v>
      </c>
      <c r="AC53" s="52">
        <v>11.603268</v>
      </c>
      <c r="AD53" s="52">
        <v>11.603268</v>
      </c>
      <c r="AE53" s="52">
        <v>11.603268</v>
      </c>
      <c r="AF53" s="52">
        <v>11.603268</v>
      </c>
      <c r="AG53" s="52">
        <v>11.603268</v>
      </c>
      <c r="AH53" s="52">
        <v>11.603268</v>
      </c>
      <c r="AI53" s="52">
        <v>11.603268</v>
      </c>
      <c r="AJ53" s="52">
        <v>11.603268</v>
      </c>
      <c r="AK53" s="52">
        <v>11.603268</v>
      </c>
      <c r="AL53" s="52">
        <v>11.603268</v>
      </c>
      <c r="AM53" s="52">
        <v>11.603268</v>
      </c>
      <c r="AN53" s="52">
        <v>11.603268</v>
      </c>
      <c r="AO53" s="52">
        <v>11.603268</v>
      </c>
      <c r="AP53" s="52">
        <v>11.603268</v>
      </c>
      <c r="AQ53" s="52">
        <v>11.603268</v>
      </c>
      <c r="AR53" s="52">
        <v>11.603268</v>
      </c>
      <c r="AS53" s="52">
        <v>11.603268</v>
      </c>
      <c r="AT53" s="52">
        <v>11.603268</v>
      </c>
      <c r="AU53" s="52">
        <v>11.603268</v>
      </c>
      <c r="AV53" s="52">
        <v>11.603268</v>
      </c>
      <c r="AW53" s="52">
        <v>11.603268</v>
      </c>
      <c r="AX53" s="52">
        <v>11.603268</v>
      </c>
      <c r="AY53" s="52">
        <v>11.603268</v>
      </c>
      <c r="AZ53" s="52">
        <v>11.603268</v>
      </c>
      <c r="BA53" s="52">
        <v>11.603268</v>
      </c>
      <c r="BB53" s="52">
        <v>11.603268</v>
      </c>
      <c r="BC53" s="52">
        <v>11.603268</v>
      </c>
      <c r="BD53" s="52">
        <v>11.603268</v>
      </c>
      <c r="BE53" s="52">
        <v>11.603268</v>
      </c>
      <c r="BF53" s="52">
        <v>11.603268</v>
      </c>
      <c r="BG53" s="52">
        <v>11.603268</v>
      </c>
      <c r="BH53" s="52">
        <v>11.603268</v>
      </c>
      <c r="BI53" s="52">
        <v>11.603268</v>
      </c>
      <c r="BJ53" s="52">
        <v>11.603268</v>
      </c>
      <c r="BK53" s="52">
        <v>11.603268</v>
      </c>
      <c r="BL53" s="52">
        <v>11.603268</v>
      </c>
      <c r="BM53" s="52">
        <v>11.603268</v>
      </c>
      <c r="BN53" s="52">
        <v>11.603268</v>
      </c>
      <c r="BO53" s="52">
        <v>11.603268</v>
      </c>
      <c r="BP53" s="52">
        <v>11.603268</v>
      </c>
      <c r="BQ53" s="52">
        <v>11.603268</v>
      </c>
      <c r="BR53" s="52">
        <v>11.603268</v>
      </c>
      <c r="BS53" s="52">
        <v>11.603268</v>
      </c>
      <c r="BT53" s="52">
        <v>11.603268</v>
      </c>
      <c r="BU53" s="52">
        <v>11.603268</v>
      </c>
      <c r="BV53" s="52">
        <v>11.603268</v>
      </c>
      <c r="BW53" s="52">
        <v>11.603268</v>
      </c>
      <c r="BX53" s="52">
        <v>11.603268</v>
      </c>
      <c r="BY53" s="52">
        <v>11.603268</v>
      </c>
      <c r="BZ53" s="52">
        <v>11.603268</v>
      </c>
      <c r="CA53" s="52">
        <v>11.603268</v>
      </c>
      <c r="CB53" s="52">
        <v>11.603268</v>
      </c>
      <c r="CC53" s="52">
        <v>11.603268</v>
      </c>
      <c r="CD53" s="52">
        <v>11.603268</v>
      </c>
      <c r="CE53" s="52">
        <v>11.603268</v>
      </c>
      <c r="CF53" s="52">
        <v>11.603268</v>
      </c>
      <c r="CG53" s="52">
        <v>11.603268</v>
      </c>
      <c r="CH53" s="52">
        <v>11.603268</v>
      </c>
      <c r="CI53" s="52">
        <v>11.603268</v>
      </c>
      <c r="CJ53" s="52">
        <v>11.603268</v>
      </c>
      <c r="CK53" s="52">
        <v>11.603268</v>
      </c>
      <c r="CL53" s="52">
        <v>11.603268</v>
      </c>
      <c r="CM53" s="52">
        <v>11.603268</v>
      </c>
      <c r="CN53" s="52">
        <v>11.603268</v>
      </c>
      <c r="CO53" s="52">
        <v>11.603268</v>
      </c>
      <c r="CP53" s="52">
        <v>11.603268</v>
      </c>
      <c r="CQ53" s="52">
        <v>11.603268</v>
      </c>
      <c r="CR53" s="52">
        <v>11.603268</v>
      </c>
      <c r="CS53" s="52">
        <v>11.603268</v>
      </c>
      <c r="CT53" s="52">
        <v>11.603268</v>
      </c>
      <c r="CU53" s="52">
        <v>11.603268</v>
      </c>
      <c r="CV53" s="52">
        <v>11.603268</v>
      </c>
      <c r="CW53" s="52">
        <v>11.603268</v>
      </c>
      <c r="CX53" s="52">
        <v>11.603268</v>
      </c>
      <c r="CY53" s="52">
        <v>11.603268</v>
      </c>
      <c r="CZ53" s="52">
        <v>11.603268</v>
      </c>
      <c r="DA53" s="52">
        <v>11.603268</v>
      </c>
      <c r="DB53" s="52">
        <v>11.603268</v>
      </c>
      <c r="DC53" s="52">
        <v>11.603268</v>
      </c>
      <c r="DD53" s="52">
        <v>11.603268</v>
      </c>
      <c r="DE53" s="52">
        <v>11.603268</v>
      </c>
      <c r="DF53" s="52">
        <v>11.603268</v>
      </c>
      <c r="DG53" s="52">
        <v>11.603268</v>
      </c>
      <c r="DH53" s="52">
        <v>11.603268</v>
      </c>
      <c r="DI53" s="52">
        <v>11.603268</v>
      </c>
      <c r="DJ53" s="52">
        <v>11.603268</v>
      </c>
      <c r="DK53" s="52">
        <v>11.603268</v>
      </c>
      <c r="DL53" s="52">
        <v>11.603268</v>
      </c>
      <c r="DM53" s="52">
        <v>11.603268</v>
      </c>
      <c r="DN53" s="52">
        <v>11.603268</v>
      </c>
      <c r="DO53" s="52">
        <v>11.603268</v>
      </c>
      <c r="DP53" s="52">
        <v>11.603268</v>
      </c>
      <c r="DQ53" s="52">
        <v>11.603268</v>
      </c>
      <c r="DR53" s="52">
        <v>11.603268</v>
      </c>
      <c r="DS53" s="52">
        <v>11.603268</v>
      </c>
      <c r="DT53" s="52">
        <v>11.603268</v>
      </c>
      <c r="DU53" s="52">
        <v>11.603268</v>
      </c>
      <c r="DV53" s="52">
        <v>11.603268</v>
      </c>
      <c r="DW53" s="52">
        <v>11.603268</v>
      </c>
      <c r="DX53" s="52">
        <v>11.603268</v>
      </c>
      <c r="DY53" s="52">
        <v>11.603268</v>
      </c>
      <c r="DZ53" s="52">
        <v>11.603268</v>
      </c>
      <c r="EA53" s="52">
        <v>11.603268</v>
      </c>
      <c r="EB53" s="52">
        <v>11.603268</v>
      </c>
      <c r="EC53" s="52">
        <v>11.603268</v>
      </c>
      <c r="ED53" s="52">
        <v>11.603268</v>
      </c>
      <c r="EE53" s="52">
        <v>11.603268</v>
      </c>
      <c r="EF53" s="52">
        <v>11.603268</v>
      </c>
      <c r="EG53" s="52">
        <v>11.603268</v>
      </c>
      <c r="EH53" s="52">
        <v>11.603268</v>
      </c>
      <c r="EI53" s="52">
        <v>11.603268</v>
      </c>
      <c r="EJ53" s="52">
        <v>11.603268</v>
      </c>
      <c r="EK53" s="52">
        <v>11.603268</v>
      </c>
      <c r="EL53" s="52">
        <v>11.603268</v>
      </c>
      <c r="EM53" s="52">
        <v>11.603268</v>
      </c>
      <c r="EN53" s="52">
        <v>11.603268</v>
      </c>
      <c r="EO53" s="52">
        <v>11.603268</v>
      </c>
      <c r="EP53" s="52">
        <v>11.603268</v>
      </c>
      <c r="EQ53" s="52">
        <v>11.603268</v>
      </c>
      <c r="ER53" s="52">
        <v>11.603268</v>
      </c>
      <c r="ES53" s="52">
        <v>11.603268</v>
      </c>
      <c r="ET53" s="52">
        <v>11.603268</v>
      </c>
      <c r="EU53" s="52">
        <v>11.603268</v>
      </c>
      <c r="EV53" s="52">
        <v>11.603268</v>
      </c>
      <c r="EW53" s="52">
        <v>11.603268</v>
      </c>
      <c r="EX53" s="52">
        <v>11.603268</v>
      </c>
      <c r="EY53" s="52">
        <v>11.603268</v>
      </c>
      <c r="EZ53" s="52">
        <v>11.603268</v>
      </c>
      <c r="FA53" s="52">
        <v>11.603268</v>
      </c>
      <c r="FB53" s="52">
        <v>11.603268</v>
      </c>
      <c r="FC53" s="52">
        <v>11.603268</v>
      </c>
      <c r="FD53" s="52">
        <v>11.603268</v>
      </c>
      <c r="FE53" s="52">
        <v>11.603268</v>
      </c>
      <c r="FF53" s="52">
        <v>11.603268</v>
      </c>
      <c r="FG53" s="52">
        <v>11.603268</v>
      </c>
      <c r="FH53" s="52">
        <v>11.603268</v>
      </c>
      <c r="FI53" s="52">
        <v>11.603268</v>
      </c>
      <c r="FJ53" s="52">
        <v>11.603268</v>
      </c>
      <c r="FK53" s="52">
        <v>11.603268</v>
      </c>
      <c r="FL53" s="52">
        <v>11.603268</v>
      </c>
      <c r="FM53" s="52">
        <v>11.603268</v>
      </c>
      <c r="FN53" s="52">
        <v>11.603268</v>
      </c>
      <c r="FO53" s="52">
        <v>11.603268</v>
      </c>
      <c r="FP53" s="52">
        <v>11.603268</v>
      </c>
      <c r="FQ53" s="52">
        <v>11.603268</v>
      </c>
      <c r="FR53" s="52">
        <v>11.603268</v>
      </c>
      <c r="FS53" s="52">
        <v>11.603268</v>
      </c>
      <c r="FT53" s="52">
        <v>11.603268</v>
      </c>
      <c r="FU53" s="52">
        <v>11.603268</v>
      </c>
      <c r="FV53" s="52">
        <v>11.603268</v>
      </c>
      <c r="FW53" s="52">
        <v>11.603268</v>
      </c>
      <c r="FX53" s="52">
        <v>11.603268</v>
      </c>
      <c r="FY53" s="52">
        <v>11.603268</v>
      </c>
      <c r="FZ53" s="52">
        <v>11.603268</v>
      </c>
      <c r="GA53" s="52">
        <v>11.603268</v>
      </c>
      <c r="GB53" s="52">
        <v>11.603268</v>
      </c>
      <c r="GC53" s="52">
        <v>11.603268</v>
      </c>
      <c r="GD53" s="52">
        <v>11.603268</v>
      </c>
      <c r="GE53" s="52">
        <v>11.603268</v>
      </c>
      <c r="GF53" s="52">
        <v>11.603268</v>
      </c>
      <c r="GG53" s="52">
        <v>11.603268</v>
      </c>
      <c r="GH53" s="52">
        <v>11.603268</v>
      </c>
      <c r="GI53" s="52">
        <v>11.603268</v>
      </c>
      <c r="GJ53" s="52">
        <v>11.603268</v>
      </c>
      <c r="GK53" s="52">
        <v>11.603268</v>
      </c>
      <c r="GL53" s="52">
        <v>11.603268</v>
      </c>
      <c r="GM53" s="52">
        <v>11.603268</v>
      </c>
      <c r="GN53" s="52">
        <v>11.603268</v>
      </c>
      <c r="GO53" s="52">
        <v>11.603268</v>
      </c>
      <c r="GP53" s="52">
        <v>11.603268</v>
      </c>
      <c r="GQ53" s="52">
        <v>11.603268</v>
      </c>
      <c r="GR53" s="52">
        <v>11.603268</v>
      </c>
      <c r="GS53" s="52">
        <v>11.603268</v>
      </c>
      <c r="GT53" s="52">
        <v>11.603268</v>
      </c>
      <c r="GU53" s="52">
        <v>11.603268</v>
      </c>
      <c r="GV53" s="52">
        <v>11.603268</v>
      </c>
      <c r="GW53" s="52">
        <v>11.603268</v>
      </c>
      <c r="GX53" s="52">
        <v>11.603268</v>
      </c>
      <c r="GY53" s="52">
        <v>11.603268</v>
      </c>
      <c r="GZ53" s="52">
        <v>11.603268</v>
      </c>
      <c r="HA53" s="52">
        <v>11.603268</v>
      </c>
      <c r="HB53" s="52">
        <v>11.603268</v>
      </c>
      <c r="HC53" s="52">
        <v>11.603268</v>
      </c>
      <c r="HD53" s="52">
        <v>11.603268</v>
      </c>
      <c r="HE53" s="52">
        <v>11.603268</v>
      </c>
      <c r="HF53" s="52">
        <v>11.603268</v>
      </c>
      <c r="HG53" s="52">
        <v>11.603268</v>
      </c>
      <c r="HH53" s="52">
        <v>11.603268</v>
      </c>
      <c r="HI53" s="52">
        <v>11.603268</v>
      </c>
      <c r="HJ53" s="52">
        <v>11.603268</v>
      </c>
      <c r="HK53" s="52">
        <v>11.603268</v>
      </c>
      <c r="HL53" s="52">
        <v>11.603268</v>
      </c>
      <c r="HM53" s="52">
        <v>11.603268</v>
      </c>
      <c r="HN53" s="52">
        <v>11.603268</v>
      </c>
      <c r="HO53" s="52">
        <v>11.603268</v>
      </c>
      <c r="HP53" s="52">
        <v>11.603268</v>
      </c>
      <c r="HQ53" s="52">
        <v>11.603268</v>
      </c>
      <c r="HR53" s="52">
        <v>11.603268</v>
      </c>
      <c r="HS53" s="52">
        <v>11.603268</v>
      </c>
      <c r="HT53" s="52">
        <v>11.603268</v>
      </c>
      <c r="HU53" s="52">
        <v>11.603268</v>
      </c>
      <c r="HV53" s="52">
        <v>11.603268</v>
      </c>
      <c r="HW53" s="52">
        <v>11.603268</v>
      </c>
      <c r="HX53" s="52">
        <v>11.603268</v>
      </c>
      <c r="HY53" s="52">
        <v>11.603268</v>
      </c>
      <c r="HZ53" s="52">
        <v>11.603268</v>
      </c>
      <c r="IA53" s="52">
        <v>11.603268</v>
      </c>
      <c r="IB53" s="52">
        <v>11.603268</v>
      </c>
      <c r="IC53" s="52">
        <v>11.603268</v>
      </c>
      <c r="ID53" s="52">
        <v>11.603268</v>
      </c>
      <c r="IE53" s="52">
        <v>11.603268</v>
      </c>
      <c r="IF53" s="52">
        <v>11.603268</v>
      </c>
      <c r="IG53" s="52">
        <v>11.603268</v>
      </c>
      <c r="IH53" s="52">
        <v>11.603268</v>
      </c>
      <c r="II53" s="52">
        <v>11.603268</v>
      </c>
      <c r="IJ53" s="52">
        <v>11.603268</v>
      </c>
      <c r="IK53" s="52">
        <v>11.603268</v>
      </c>
      <c r="IL53" s="52">
        <v>11.603268</v>
      </c>
      <c r="IM53" s="52">
        <v>11.603268</v>
      </c>
      <c r="IN53" s="52">
        <v>11.603268</v>
      </c>
      <c r="IO53" s="52">
        <v>11.603268</v>
      </c>
      <c r="IP53" s="52">
        <v>11.603268</v>
      </c>
      <c r="IQ53" s="52">
        <v>11.603268</v>
      </c>
      <c r="IR53" s="52">
        <v>11.603268</v>
      </c>
      <c r="IS53" s="52">
        <v>11.603268</v>
      </c>
      <c r="IT53" s="52">
        <v>11.603268</v>
      </c>
      <c r="IU53" s="52">
        <v>11.603268</v>
      </c>
      <c r="IV53" s="52">
        <v>11.603268</v>
      </c>
      <c r="IW53" s="52">
        <v>11.603268</v>
      </c>
      <c r="IX53" s="52">
        <v>11.603268</v>
      </c>
      <c r="IY53" s="52">
        <v>11.603268</v>
      </c>
      <c r="IZ53" s="52">
        <v>11.603268</v>
      </c>
      <c r="JA53" s="52">
        <v>11.603268</v>
      </c>
      <c r="JB53" s="52">
        <v>11.603268</v>
      </c>
      <c r="JC53" s="52">
        <v>11.603268</v>
      </c>
      <c r="JD53" s="52">
        <v>11.603268</v>
      </c>
      <c r="JE53" s="52">
        <v>11.603268</v>
      </c>
      <c r="JF53" s="52">
        <v>11.603268</v>
      </c>
      <c r="JG53" s="52">
        <v>11.603268</v>
      </c>
      <c r="JH53" s="52">
        <v>11.603268</v>
      </c>
      <c r="JI53" s="52">
        <v>11.603268</v>
      </c>
      <c r="JJ53" s="52">
        <v>11.603268</v>
      </c>
      <c r="JK53" s="52">
        <v>11.603268</v>
      </c>
      <c r="JL53" s="52">
        <v>11.603268</v>
      </c>
      <c r="JM53" s="52">
        <v>11.603268</v>
      </c>
      <c r="JN53" s="52">
        <v>11.603268</v>
      </c>
      <c r="JO53" s="52">
        <v>11.603268</v>
      </c>
      <c r="JP53" s="52">
        <v>11.603268</v>
      </c>
      <c r="JQ53" s="52">
        <v>11.603268</v>
      </c>
      <c r="JR53" s="52">
        <v>11.603268</v>
      </c>
      <c r="JS53" s="52">
        <v>11.603268</v>
      </c>
      <c r="JT53" s="52">
        <v>11.603268</v>
      </c>
      <c r="JU53" s="52">
        <v>11.603268</v>
      </c>
      <c r="JV53" s="52">
        <v>11.603268</v>
      </c>
      <c r="JW53" s="52">
        <v>11.603268</v>
      </c>
      <c r="JX53" s="52">
        <v>11.603268</v>
      </c>
      <c r="JY53" s="52">
        <v>11.603268</v>
      </c>
      <c r="JZ53" s="52">
        <v>11.603268</v>
      </c>
      <c r="KA53" s="52">
        <v>11.603268</v>
      </c>
      <c r="KB53" s="52">
        <v>11.603268</v>
      </c>
      <c r="KC53" s="52">
        <v>11.603268</v>
      </c>
      <c r="KD53" s="52">
        <v>11.603268</v>
      </c>
      <c r="KE53" s="52">
        <v>11.603268</v>
      </c>
      <c r="KF53" s="52">
        <v>11.603268</v>
      </c>
      <c r="KG53" s="52">
        <v>11.603268</v>
      </c>
      <c r="KH53" s="52">
        <v>11.603268</v>
      </c>
      <c r="KI53" s="52">
        <v>11.603268</v>
      </c>
      <c r="KJ53" s="52">
        <v>11.603268</v>
      </c>
      <c r="KK53" s="52">
        <v>11.603268</v>
      </c>
      <c r="KL53" s="52">
        <v>11.603268</v>
      </c>
      <c r="KM53" s="52">
        <v>11.603268</v>
      </c>
      <c r="KN53" s="52">
        <v>11.603268</v>
      </c>
      <c r="KO53" s="52">
        <v>11.603268</v>
      </c>
      <c r="KP53" s="52">
        <v>11.603268</v>
      </c>
      <c r="KQ53" s="52">
        <v>11.603268</v>
      </c>
      <c r="KR53" s="52">
        <v>11.603268</v>
      </c>
      <c r="KS53" s="52">
        <v>11.603268</v>
      </c>
      <c r="KT53" s="52">
        <v>11.603268</v>
      </c>
      <c r="KU53" s="52">
        <v>11.603268</v>
      </c>
      <c r="KV53" s="52">
        <v>11.603268</v>
      </c>
      <c r="KW53" s="52">
        <v>11.603268</v>
      </c>
      <c r="KX53" s="52">
        <v>11.603268</v>
      </c>
      <c r="KY53" s="52">
        <v>11.603268</v>
      </c>
      <c r="KZ53" s="52">
        <v>11.603268</v>
      </c>
      <c r="LA53" s="52">
        <v>11.603268</v>
      </c>
      <c r="LB53" s="52">
        <v>11.603268</v>
      </c>
      <c r="LC53" s="52">
        <v>11.603268</v>
      </c>
      <c r="LD53" s="52">
        <v>11.603268</v>
      </c>
      <c r="LE53" s="52">
        <v>11.603268</v>
      </c>
      <c r="LF53" s="52">
        <v>11.603268</v>
      </c>
      <c r="LG53" s="52">
        <v>11.603268</v>
      </c>
      <c r="LH53" s="52">
        <v>11.603268</v>
      </c>
      <c r="LI53" s="52">
        <v>11.603268</v>
      </c>
      <c r="LJ53" s="52">
        <v>11.603268</v>
      </c>
      <c r="LK53" s="52">
        <v>11.603268</v>
      </c>
      <c r="LL53" s="52">
        <v>11.603268</v>
      </c>
      <c r="LM53" s="52">
        <v>11.603268</v>
      </c>
      <c r="LN53" s="52">
        <v>11.603268</v>
      </c>
      <c r="LO53" s="52">
        <v>11.603268</v>
      </c>
      <c r="LP53" s="52">
        <v>11.603268</v>
      </c>
      <c r="LQ53" s="52">
        <v>11.603268</v>
      </c>
      <c r="LR53" s="52">
        <v>11.603268</v>
      </c>
      <c r="LS53" s="52">
        <v>11.603268</v>
      </c>
      <c r="LT53" s="52">
        <v>11.603268</v>
      </c>
      <c r="LU53" s="52">
        <v>11.603268</v>
      </c>
      <c r="LV53" s="52">
        <v>11.603268</v>
      </c>
      <c r="LW53" s="52">
        <v>11.603268</v>
      </c>
      <c r="LX53" s="52">
        <v>11.603268</v>
      </c>
      <c r="LY53" s="52">
        <v>11.603268</v>
      </c>
      <c r="LZ53" s="52">
        <v>11.603268</v>
      </c>
      <c r="MA53" s="52">
        <v>11.603268</v>
      </c>
      <c r="MB53" s="52">
        <v>11.603268</v>
      </c>
      <c r="MC53" s="52">
        <v>11.603268</v>
      </c>
      <c r="MD53" s="52">
        <v>11.603268</v>
      </c>
      <c r="ME53" s="52">
        <v>11.603268</v>
      </c>
      <c r="MF53" s="52">
        <v>11.603268</v>
      </c>
      <c r="MG53" s="52">
        <v>11.603268</v>
      </c>
      <c r="MH53" s="52">
        <v>11.603268</v>
      </c>
      <c r="MI53" s="52">
        <v>11.603268</v>
      </c>
      <c r="MJ53" s="52">
        <v>11.603268</v>
      </c>
      <c r="MK53" s="52">
        <v>11.603268</v>
      </c>
      <c r="ML53" s="52">
        <v>11.603268</v>
      </c>
      <c r="MM53" s="52">
        <v>11.603268</v>
      </c>
      <c r="MN53" s="52">
        <v>11.603268</v>
      </c>
      <c r="MO53" s="52">
        <v>11.603268</v>
      </c>
      <c r="MP53" s="52">
        <v>11.603268</v>
      </c>
      <c r="MQ53" s="52">
        <v>11.603268</v>
      </c>
      <c r="MR53" s="52">
        <v>11.603268</v>
      </c>
      <c r="MS53" s="52">
        <v>11.603268</v>
      </c>
      <c r="MT53" s="52">
        <v>11.603268</v>
      </c>
      <c r="MU53" s="52">
        <v>11.603268</v>
      </c>
      <c r="MV53" s="52">
        <v>11.603268</v>
      </c>
      <c r="MW53" s="52">
        <v>11.603268</v>
      </c>
      <c r="MX53" s="52">
        <v>11.603268</v>
      </c>
      <c r="MY53" s="52">
        <v>11.603268</v>
      </c>
      <c r="MZ53" s="52">
        <v>11.603268</v>
      </c>
      <c r="NA53" s="52">
        <v>11.603268</v>
      </c>
      <c r="NB53" s="52">
        <v>11.603268</v>
      </c>
      <c r="NC53" s="52">
        <v>11.603268</v>
      </c>
      <c r="ND53" s="52">
        <v>11.603268</v>
      </c>
      <c r="NE53" s="52">
        <v>11.603268</v>
      </c>
      <c r="NF53" s="37">
        <v>11.603268</v>
      </c>
      <c r="NG53" s="37">
        <v>11.603268</v>
      </c>
      <c r="NH53" s="37">
        <v>11.603268</v>
      </c>
      <c r="NI53" s="37">
        <v>11.603268</v>
      </c>
      <c r="NJ53" s="37">
        <v>11.603268</v>
      </c>
      <c r="NK53" s="37">
        <v>11.603268</v>
      </c>
      <c r="NL53" s="37">
        <v>11.603268</v>
      </c>
      <c r="NM53" s="37">
        <v>11.603268</v>
      </c>
      <c r="NN53" s="37">
        <v>11.603268</v>
      </c>
      <c r="NO53" s="37">
        <v>11.603268</v>
      </c>
      <c r="NP53" s="37">
        <v>11.603268</v>
      </c>
      <c r="NQ53" s="37">
        <v>11.603268</v>
      </c>
      <c r="NR53" s="37">
        <v>11.603268</v>
      </c>
      <c r="NS53" s="37">
        <v>11.603268</v>
      </c>
      <c r="NT53" s="37">
        <v>11.603268</v>
      </c>
      <c r="NU53" s="37">
        <v>11.603268</v>
      </c>
      <c r="NV53" s="37">
        <v>11.603268</v>
      </c>
      <c r="NW53" s="37">
        <v>11.603268</v>
      </c>
      <c r="NX53" s="37">
        <v>11.603268</v>
      </c>
      <c r="NY53" s="37">
        <v>11.603268</v>
      </c>
      <c r="NZ53" s="37">
        <v>11.603268</v>
      </c>
      <c r="OA53" s="37">
        <v>11.603268</v>
      </c>
      <c r="OB53" s="37">
        <v>11.603268</v>
      </c>
      <c r="OC53" s="37">
        <v>11.603268</v>
      </c>
      <c r="OD53" s="37">
        <v>11.603268</v>
      </c>
      <c r="OE53" s="37">
        <v>11.603268</v>
      </c>
      <c r="OF53" s="37">
        <v>11.603268</v>
      </c>
      <c r="OG53" s="37">
        <v>11.603268</v>
      </c>
      <c r="OH53" s="37">
        <v>11.603268</v>
      </c>
      <c r="OI53" s="37">
        <v>11.603268</v>
      </c>
      <c r="OJ53" s="37">
        <v>11.603268</v>
      </c>
      <c r="OK53" s="37">
        <v>11.603268</v>
      </c>
      <c r="OL53" s="37">
        <v>11.603268</v>
      </c>
      <c r="OM53" s="37">
        <v>11.603268</v>
      </c>
      <c r="ON53" s="37">
        <v>11.603268</v>
      </c>
      <c r="OO53" s="37">
        <v>11.603268</v>
      </c>
      <c r="OP53" s="37">
        <v>11.603268</v>
      </c>
      <c r="OQ53" s="37">
        <v>11.603268</v>
      </c>
      <c r="OR53" s="37">
        <v>11.603268</v>
      </c>
      <c r="OS53" s="37">
        <v>11.603268</v>
      </c>
      <c r="OT53" s="37">
        <v>11.603268</v>
      </c>
      <c r="OU53" s="37">
        <v>11.603268</v>
      </c>
      <c r="OV53" s="37">
        <v>11.603268</v>
      </c>
      <c r="OW53" s="37">
        <v>11.603268</v>
      </c>
      <c r="OX53" s="37">
        <v>11.603268</v>
      </c>
      <c r="OY53" s="37">
        <v>11.603268</v>
      </c>
      <c r="OZ53" s="37">
        <v>11.603268</v>
      </c>
      <c r="PA53" s="37">
        <v>11.603268</v>
      </c>
      <c r="PB53" s="37">
        <v>11.603268</v>
      </c>
      <c r="PC53" s="37">
        <v>11.603268</v>
      </c>
      <c r="PD53" s="37">
        <v>11.603268</v>
      </c>
      <c r="PE53" s="37">
        <v>11.603268</v>
      </c>
      <c r="PF53" s="37">
        <v>11.603268</v>
      </c>
      <c r="PG53" s="37">
        <v>11.603268</v>
      </c>
      <c r="PH53" s="37">
        <v>11.603268</v>
      </c>
      <c r="PI53" s="37">
        <v>11.603268</v>
      </c>
      <c r="PJ53" s="37">
        <v>11.603268</v>
      </c>
      <c r="PK53" s="37">
        <v>11.603268</v>
      </c>
      <c r="PL53" s="37">
        <v>11.603268</v>
      </c>
      <c r="PM53" s="37">
        <v>11.603268</v>
      </c>
      <c r="PN53" s="37">
        <v>11.603268</v>
      </c>
      <c r="PO53" s="37">
        <v>11.603268</v>
      </c>
      <c r="PP53" s="37">
        <v>11.603268</v>
      </c>
      <c r="PQ53" s="37">
        <v>11.603268</v>
      </c>
      <c r="PR53" s="37">
        <v>11.603268</v>
      </c>
      <c r="PS53" s="15">
        <v>11.603268</v>
      </c>
      <c r="PT53" s="15">
        <v>11.603268</v>
      </c>
      <c r="PU53" s="15">
        <v>11.603268</v>
      </c>
      <c r="PV53" s="15">
        <v>11.603268</v>
      </c>
      <c r="PW53" s="15">
        <v>11.603268</v>
      </c>
      <c r="PX53" s="15">
        <v>11.603268</v>
      </c>
      <c r="PY53" s="15">
        <v>11.603268</v>
      </c>
      <c r="PZ53" s="15">
        <v>11.603268</v>
      </c>
      <c r="QA53" s="15">
        <v>11.603268</v>
      </c>
      <c r="QB53" s="15">
        <v>11.603268</v>
      </c>
      <c r="QC53" s="15">
        <v>11.603268</v>
      </c>
      <c r="QD53" s="15">
        <v>12.558762</v>
      </c>
      <c r="QE53" s="15" t="s">
        <v>668</v>
      </c>
      <c r="QF53" s="15" t="s">
        <v>668</v>
      </c>
      <c r="QG53" s="15" t="s">
        <v>668</v>
      </c>
      <c r="QH53" s="15" t="s">
        <v>668</v>
      </c>
      <c r="QI53" s="15" t="s">
        <v>668</v>
      </c>
      <c r="QJ53" s="15" t="s">
        <v>668</v>
      </c>
      <c r="QK53" s="15" t="s">
        <v>668</v>
      </c>
      <c r="QL53" s="15" t="s">
        <v>668</v>
      </c>
      <c r="QM53" s="15" t="s">
        <v>668</v>
      </c>
      <c r="QN53" s="15" t="s">
        <v>668</v>
      </c>
      <c r="QO53" s="15" t="s">
        <v>668</v>
      </c>
      <c r="QP53" s="15" t="s">
        <v>668</v>
      </c>
      <c r="QQ53" s="15" t="s">
        <v>668</v>
      </c>
      <c r="QR53" s="15" t="s">
        <v>668</v>
      </c>
      <c r="QS53" s="15" t="s">
        <v>668</v>
      </c>
      <c r="QT53" s="15" t="s">
        <v>668</v>
      </c>
      <c r="QU53" s="15" t="s">
        <v>668</v>
      </c>
      <c r="QV53" s="15" t="s">
        <v>668</v>
      </c>
      <c r="QW53" s="15" t="s">
        <v>668</v>
      </c>
      <c r="QX53" s="15" t="s">
        <v>668</v>
      </c>
      <c r="QY53" s="15" t="s">
        <v>668</v>
      </c>
      <c r="QZ53" s="15" t="s">
        <v>668</v>
      </c>
      <c r="RA53" s="15" t="s">
        <v>668</v>
      </c>
      <c r="RB53" s="15" t="s">
        <v>668</v>
      </c>
      <c r="RC53" s="15" t="s">
        <v>668</v>
      </c>
      <c r="RD53" s="15" t="s">
        <v>668</v>
      </c>
      <c r="RE53" s="15" t="s">
        <v>668</v>
      </c>
      <c r="RF53" s="15" t="s">
        <v>668</v>
      </c>
      <c r="RG53" s="15" t="s">
        <v>668</v>
      </c>
      <c r="RH53" s="15" t="s">
        <v>668</v>
      </c>
      <c r="RI53" s="15" t="s">
        <v>668</v>
      </c>
      <c r="RJ53" s="15" t="s">
        <v>668</v>
      </c>
      <c r="RK53" s="15" t="s">
        <v>668</v>
      </c>
      <c r="RL53" s="15" t="s">
        <v>668</v>
      </c>
      <c r="RM53" s="15" t="s">
        <v>668</v>
      </c>
      <c r="RN53" s="15" t="s">
        <v>668</v>
      </c>
      <c r="RO53" s="15" t="s">
        <v>668</v>
      </c>
      <c r="RP53" s="15" t="s">
        <v>668</v>
      </c>
      <c r="RQ53" s="15" t="s">
        <v>668</v>
      </c>
      <c r="RR53" s="15" t="s">
        <v>668</v>
      </c>
      <c r="RS53" s="15" t="s">
        <v>668</v>
      </c>
      <c r="RT53" s="15" t="s">
        <v>668</v>
      </c>
      <c r="RU53" s="15" t="s">
        <v>668</v>
      </c>
      <c r="RV53" s="15" t="s">
        <v>668</v>
      </c>
      <c r="RW53" s="15" t="s">
        <v>668</v>
      </c>
      <c r="RX53" s="15" t="s">
        <v>668</v>
      </c>
      <c r="RY53" s="15" t="s">
        <v>668</v>
      </c>
      <c r="RZ53" s="15" t="s">
        <v>668</v>
      </c>
      <c r="SA53" s="15" t="s">
        <v>668</v>
      </c>
      <c r="SB53" s="15" t="s">
        <v>668</v>
      </c>
      <c r="SC53" s="15" t="s">
        <v>668</v>
      </c>
      <c r="SD53" s="15" t="s">
        <v>668</v>
      </c>
      <c r="SE53" s="15" t="s">
        <v>668</v>
      </c>
      <c r="SF53" s="15" t="s">
        <v>668</v>
      </c>
      <c r="SG53" s="15" t="s">
        <v>668</v>
      </c>
      <c r="SH53" s="15" t="s">
        <v>668</v>
      </c>
      <c r="SI53" s="15" t="s">
        <v>668</v>
      </c>
      <c r="SJ53" s="15" t="s">
        <v>668</v>
      </c>
      <c r="SK53" s="15" t="s">
        <v>668</v>
      </c>
      <c r="SL53" s="15" t="s">
        <v>668</v>
      </c>
      <c r="SM53" s="15" t="s">
        <v>668</v>
      </c>
      <c r="SN53" s="15" t="s">
        <v>668</v>
      </c>
    </row>
    <row r="54" spans="1:508" x14ac:dyDescent="0.2">
      <c r="A54" s="37">
        <v>52</v>
      </c>
      <c r="B54" s="48" t="s">
        <v>736</v>
      </c>
      <c r="C54" s="17">
        <f>+'Detalle Compras'!D54</f>
        <v>202507240073</v>
      </c>
      <c r="D54" s="55">
        <f t="shared" si="13"/>
        <v>11.18</v>
      </c>
      <c r="E54" s="14">
        <f>+IF(B54="","",'Detalle Compras'!S54+0)</f>
        <v>45910</v>
      </c>
      <c r="F54" s="14">
        <f>+IF(B54="","",EOMONTH('Detalle Compras'!S54,G54)+10)</f>
        <v>60550</v>
      </c>
      <c r="G54" s="50">
        <f t="shared" si="14"/>
        <v>480</v>
      </c>
      <c r="H54" s="50">
        <f t="shared" si="15"/>
        <v>475</v>
      </c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  <c r="AA54" s="52">
        <v>11.18</v>
      </c>
      <c r="AB54" s="52">
        <v>11.18</v>
      </c>
      <c r="AC54" s="52">
        <v>11.18</v>
      </c>
      <c r="AD54" s="52">
        <v>11.18</v>
      </c>
      <c r="AE54" s="52">
        <v>11.18</v>
      </c>
      <c r="AF54" s="52">
        <v>11.18</v>
      </c>
      <c r="AG54" s="52">
        <v>11.18</v>
      </c>
      <c r="AH54" s="52">
        <v>11.18</v>
      </c>
      <c r="AI54" s="52">
        <v>11.18</v>
      </c>
      <c r="AJ54" s="52">
        <v>11.18</v>
      </c>
      <c r="AK54" s="52">
        <v>11.18</v>
      </c>
      <c r="AL54" s="52">
        <v>11.18</v>
      </c>
      <c r="AM54" s="52">
        <v>11.18</v>
      </c>
      <c r="AN54" s="52">
        <v>11.18</v>
      </c>
      <c r="AO54" s="52">
        <v>11.18</v>
      </c>
      <c r="AP54" s="52">
        <v>11.18</v>
      </c>
      <c r="AQ54" s="52">
        <v>11.18</v>
      </c>
      <c r="AR54" s="52">
        <v>11.18</v>
      </c>
      <c r="AS54" s="52">
        <v>11.18</v>
      </c>
      <c r="AT54" s="52">
        <v>11.18</v>
      </c>
      <c r="AU54" s="52">
        <v>11.18</v>
      </c>
      <c r="AV54" s="52">
        <v>11.18</v>
      </c>
      <c r="AW54" s="52">
        <v>11.18</v>
      </c>
      <c r="AX54" s="52">
        <v>11.18</v>
      </c>
      <c r="AY54" s="52">
        <v>11.18</v>
      </c>
      <c r="AZ54" s="52">
        <v>11.18</v>
      </c>
      <c r="BA54" s="52">
        <v>11.18</v>
      </c>
      <c r="BB54" s="52">
        <v>11.18</v>
      </c>
      <c r="BC54" s="52">
        <v>11.18</v>
      </c>
      <c r="BD54" s="52">
        <v>11.18</v>
      </c>
      <c r="BE54" s="52">
        <v>11.18</v>
      </c>
      <c r="BF54" s="52">
        <v>11.18</v>
      </c>
      <c r="BG54" s="52">
        <v>11.18</v>
      </c>
      <c r="BH54" s="52">
        <v>11.18</v>
      </c>
      <c r="BI54" s="52">
        <v>11.18</v>
      </c>
      <c r="BJ54" s="52">
        <v>11.18</v>
      </c>
      <c r="BK54" s="52">
        <v>11.18</v>
      </c>
      <c r="BL54" s="52">
        <v>11.18</v>
      </c>
      <c r="BM54" s="52">
        <v>11.18</v>
      </c>
      <c r="BN54" s="52">
        <v>11.18</v>
      </c>
      <c r="BO54" s="52">
        <v>11.18</v>
      </c>
      <c r="BP54" s="52">
        <v>11.18</v>
      </c>
      <c r="BQ54" s="52">
        <v>11.18</v>
      </c>
      <c r="BR54" s="52">
        <v>11.18</v>
      </c>
      <c r="BS54" s="52">
        <v>11.18</v>
      </c>
      <c r="BT54" s="52">
        <v>11.18</v>
      </c>
      <c r="BU54" s="52">
        <v>11.18</v>
      </c>
      <c r="BV54" s="52">
        <v>11.18</v>
      </c>
      <c r="BW54" s="52">
        <v>11.18</v>
      </c>
      <c r="BX54" s="52">
        <v>11.18</v>
      </c>
      <c r="BY54" s="52">
        <v>11.18</v>
      </c>
      <c r="BZ54" s="52">
        <v>11.18</v>
      </c>
      <c r="CA54" s="52">
        <v>11.18</v>
      </c>
      <c r="CB54" s="52">
        <v>11.18</v>
      </c>
      <c r="CC54" s="52">
        <v>11.18</v>
      </c>
      <c r="CD54" s="52">
        <v>11.18</v>
      </c>
      <c r="CE54" s="52">
        <v>11.18</v>
      </c>
      <c r="CF54" s="52">
        <v>11.18</v>
      </c>
      <c r="CG54" s="52">
        <v>11.18</v>
      </c>
      <c r="CH54" s="52">
        <v>11.18</v>
      </c>
      <c r="CI54" s="52">
        <v>11.18</v>
      </c>
      <c r="CJ54" s="52">
        <v>11.18</v>
      </c>
      <c r="CK54" s="52">
        <v>11.18</v>
      </c>
      <c r="CL54" s="52">
        <v>11.18</v>
      </c>
      <c r="CM54" s="52">
        <v>11.18</v>
      </c>
      <c r="CN54" s="52">
        <v>11.18</v>
      </c>
      <c r="CO54" s="52">
        <v>11.18</v>
      </c>
      <c r="CP54" s="52">
        <v>11.18</v>
      </c>
      <c r="CQ54" s="52">
        <v>11.18</v>
      </c>
      <c r="CR54" s="52">
        <v>11.18</v>
      </c>
      <c r="CS54" s="52">
        <v>11.18</v>
      </c>
      <c r="CT54" s="52">
        <v>11.18</v>
      </c>
      <c r="CU54" s="52">
        <v>11.18</v>
      </c>
      <c r="CV54" s="52">
        <v>11.18</v>
      </c>
      <c r="CW54" s="52">
        <v>11.18</v>
      </c>
      <c r="CX54" s="52">
        <v>11.18</v>
      </c>
      <c r="CY54" s="52">
        <v>11.18</v>
      </c>
      <c r="CZ54" s="52">
        <v>11.18</v>
      </c>
      <c r="DA54" s="52">
        <v>11.18</v>
      </c>
      <c r="DB54" s="52">
        <v>11.18</v>
      </c>
      <c r="DC54" s="52">
        <v>11.18</v>
      </c>
      <c r="DD54" s="52">
        <v>11.18</v>
      </c>
      <c r="DE54" s="52">
        <v>11.18</v>
      </c>
      <c r="DF54" s="52">
        <v>11.18</v>
      </c>
      <c r="DG54" s="52">
        <v>11.18</v>
      </c>
      <c r="DH54" s="52">
        <v>11.18</v>
      </c>
      <c r="DI54" s="52">
        <v>11.18</v>
      </c>
      <c r="DJ54" s="52">
        <v>11.18</v>
      </c>
      <c r="DK54" s="52">
        <v>11.18</v>
      </c>
      <c r="DL54" s="52">
        <v>11.18</v>
      </c>
      <c r="DM54" s="52">
        <v>11.18</v>
      </c>
      <c r="DN54" s="52">
        <v>11.18</v>
      </c>
      <c r="DO54" s="52">
        <v>11.18</v>
      </c>
      <c r="DP54" s="52">
        <v>11.18</v>
      </c>
      <c r="DQ54" s="52">
        <v>11.18</v>
      </c>
      <c r="DR54" s="52">
        <v>11.18</v>
      </c>
      <c r="DS54" s="52">
        <v>11.18</v>
      </c>
      <c r="DT54" s="52">
        <v>11.18</v>
      </c>
      <c r="DU54" s="52">
        <v>11.18</v>
      </c>
      <c r="DV54" s="52">
        <v>11.18</v>
      </c>
      <c r="DW54" s="52">
        <v>11.18</v>
      </c>
      <c r="DX54" s="52">
        <v>11.18</v>
      </c>
      <c r="DY54" s="52">
        <v>11.18</v>
      </c>
      <c r="DZ54" s="52">
        <v>11.18</v>
      </c>
      <c r="EA54" s="52">
        <v>11.18</v>
      </c>
      <c r="EB54" s="52">
        <v>11.18</v>
      </c>
      <c r="EC54" s="52">
        <v>11.18</v>
      </c>
      <c r="ED54" s="52">
        <v>11.18</v>
      </c>
      <c r="EE54" s="52">
        <v>11.18</v>
      </c>
      <c r="EF54" s="52">
        <v>11.18</v>
      </c>
      <c r="EG54" s="52">
        <v>11.18</v>
      </c>
      <c r="EH54" s="52">
        <v>11.18</v>
      </c>
      <c r="EI54" s="52">
        <v>11.18</v>
      </c>
      <c r="EJ54" s="52">
        <v>11.18</v>
      </c>
      <c r="EK54" s="52">
        <v>11.18</v>
      </c>
      <c r="EL54" s="52">
        <v>11.18</v>
      </c>
      <c r="EM54" s="52">
        <v>11.18</v>
      </c>
      <c r="EN54" s="52">
        <v>11.18</v>
      </c>
      <c r="EO54" s="52">
        <v>11.18</v>
      </c>
      <c r="EP54" s="52">
        <v>11.18</v>
      </c>
      <c r="EQ54" s="52">
        <v>11.18</v>
      </c>
      <c r="ER54" s="52">
        <v>11.18</v>
      </c>
      <c r="ES54" s="52">
        <v>11.18</v>
      </c>
      <c r="ET54" s="52">
        <v>11.18</v>
      </c>
      <c r="EU54" s="52">
        <v>11.18</v>
      </c>
      <c r="EV54" s="52">
        <v>11.18</v>
      </c>
      <c r="EW54" s="52">
        <v>11.18</v>
      </c>
      <c r="EX54" s="52">
        <v>11.18</v>
      </c>
      <c r="EY54" s="52">
        <v>11.18</v>
      </c>
      <c r="EZ54" s="52">
        <v>11.18</v>
      </c>
      <c r="FA54" s="52">
        <v>11.18</v>
      </c>
      <c r="FB54" s="52">
        <v>11.18</v>
      </c>
      <c r="FC54" s="52">
        <v>11.18</v>
      </c>
      <c r="FD54" s="52">
        <v>11.18</v>
      </c>
      <c r="FE54" s="52">
        <v>11.18</v>
      </c>
      <c r="FF54" s="52">
        <v>11.18</v>
      </c>
      <c r="FG54" s="52">
        <v>11.18</v>
      </c>
      <c r="FH54" s="52">
        <v>11.18</v>
      </c>
      <c r="FI54" s="52">
        <v>11.18</v>
      </c>
      <c r="FJ54" s="52">
        <v>11.18</v>
      </c>
      <c r="FK54" s="52">
        <v>11.18</v>
      </c>
      <c r="FL54" s="52">
        <v>11.18</v>
      </c>
      <c r="FM54" s="52">
        <v>11.18</v>
      </c>
      <c r="FN54" s="52">
        <v>11.18</v>
      </c>
      <c r="FO54" s="52">
        <v>11.18</v>
      </c>
      <c r="FP54" s="52">
        <v>11.18</v>
      </c>
      <c r="FQ54" s="52">
        <v>11.18</v>
      </c>
      <c r="FR54" s="52">
        <v>11.18</v>
      </c>
      <c r="FS54" s="52">
        <v>11.18</v>
      </c>
      <c r="FT54" s="52">
        <v>11.18</v>
      </c>
      <c r="FU54" s="52">
        <v>11.18</v>
      </c>
      <c r="FV54" s="52">
        <v>11.18</v>
      </c>
      <c r="FW54" s="52">
        <v>11.18</v>
      </c>
      <c r="FX54" s="52">
        <v>11.18</v>
      </c>
      <c r="FY54" s="52">
        <v>11.18</v>
      </c>
      <c r="FZ54" s="52">
        <v>11.18</v>
      </c>
      <c r="GA54" s="52">
        <v>11.18</v>
      </c>
      <c r="GB54" s="52">
        <v>11.18</v>
      </c>
      <c r="GC54" s="52">
        <v>11.18</v>
      </c>
      <c r="GD54" s="52">
        <v>11.18</v>
      </c>
      <c r="GE54" s="52">
        <v>11.18</v>
      </c>
      <c r="GF54" s="52">
        <v>11.18</v>
      </c>
      <c r="GG54" s="52">
        <v>11.18</v>
      </c>
      <c r="GH54" s="52">
        <v>11.18</v>
      </c>
      <c r="GI54" s="52">
        <v>11.18</v>
      </c>
      <c r="GJ54" s="52">
        <v>11.18</v>
      </c>
      <c r="GK54" s="52">
        <v>11.18</v>
      </c>
      <c r="GL54" s="52">
        <v>11.18</v>
      </c>
      <c r="GM54" s="52">
        <v>11.18</v>
      </c>
      <c r="GN54" s="52">
        <v>11.18</v>
      </c>
      <c r="GO54" s="52">
        <v>11.18</v>
      </c>
      <c r="GP54" s="52">
        <v>11.18</v>
      </c>
      <c r="GQ54" s="52">
        <v>11.18</v>
      </c>
      <c r="GR54" s="52">
        <v>11.18</v>
      </c>
      <c r="GS54" s="52">
        <v>11.18</v>
      </c>
      <c r="GT54" s="52">
        <v>11.18</v>
      </c>
      <c r="GU54" s="52">
        <v>11.18</v>
      </c>
      <c r="GV54" s="52">
        <v>11.18</v>
      </c>
      <c r="GW54" s="52">
        <v>11.18</v>
      </c>
      <c r="GX54" s="52">
        <v>11.18</v>
      </c>
      <c r="GY54" s="52">
        <v>11.18</v>
      </c>
      <c r="GZ54" s="52">
        <v>11.18</v>
      </c>
      <c r="HA54" s="52">
        <v>11.18</v>
      </c>
      <c r="HB54" s="52">
        <v>11.18</v>
      </c>
      <c r="HC54" s="52">
        <v>11.18</v>
      </c>
      <c r="HD54" s="52">
        <v>11.18</v>
      </c>
      <c r="HE54" s="52">
        <v>11.18</v>
      </c>
      <c r="HF54" s="52">
        <v>11.18</v>
      </c>
      <c r="HG54" s="52">
        <v>11.18</v>
      </c>
      <c r="HH54" s="52">
        <v>11.18</v>
      </c>
      <c r="HI54" s="52">
        <v>11.18</v>
      </c>
      <c r="HJ54" s="52">
        <v>11.18</v>
      </c>
      <c r="HK54" s="52">
        <v>11.18</v>
      </c>
      <c r="HL54" s="52">
        <v>11.18</v>
      </c>
      <c r="HM54" s="52">
        <v>11.18</v>
      </c>
      <c r="HN54" s="52">
        <v>11.18</v>
      </c>
      <c r="HO54" s="52">
        <v>11.18</v>
      </c>
      <c r="HP54" s="52">
        <v>11.18</v>
      </c>
      <c r="HQ54" s="52">
        <v>11.18</v>
      </c>
      <c r="HR54" s="52">
        <v>11.18</v>
      </c>
      <c r="HS54" s="52">
        <v>11.18</v>
      </c>
      <c r="HT54" s="52">
        <v>11.18</v>
      </c>
      <c r="HU54" s="52">
        <v>11.18</v>
      </c>
      <c r="HV54" s="52">
        <v>11.18</v>
      </c>
      <c r="HW54" s="52">
        <v>11.18</v>
      </c>
      <c r="HX54" s="52">
        <v>11.18</v>
      </c>
      <c r="HY54" s="52">
        <v>11.18</v>
      </c>
      <c r="HZ54" s="52">
        <v>11.18</v>
      </c>
      <c r="IA54" s="52">
        <v>11.18</v>
      </c>
      <c r="IB54" s="52">
        <v>11.18</v>
      </c>
      <c r="IC54" s="52">
        <v>11.18</v>
      </c>
      <c r="ID54" s="52">
        <v>11.18</v>
      </c>
      <c r="IE54" s="52">
        <v>11.18</v>
      </c>
      <c r="IF54" s="52">
        <v>11.18</v>
      </c>
      <c r="IG54" s="52">
        <v>11.18</v>
      </c>
      <c r="IH54" s="52">
        <v>11.18</v>
      </c>
      <c r="II54" s="52">
        <v>11.18</v>
      </c>
      <c r="IJ54" s="52">
        <v>11.18</v>
      </c>
      <c r="IK54" s="52">
        <v>11.18</v>
      </c>
      <c r="IL54" s="52">
        <v>11.18</v>
      </c>
      <c r="IM54" s="52">
        <v>11.18</v>
      </c>
      <c r="IN54" s="52">
        <v>11.18</v>
      </c>
      <c r="IO54" s="52">
        <v>11.18</v>
      </c>
      <c r="IP54" s="52">
        <v>11.18</v>
      </c>
      <c r="IQ54" s="52">
        <v>11.18</v>
      </c>
      <c r="IR54" s="52">
        <v>11.18</v>
      </c>
      <c r="IS54" s="52">
        <v>11.18</v>
      </c>
      <c r="IT54" s="52">
        <v>11.18</v>
      </c>
      <c r="IU54" s="52">
        <v>11.18</v>
      </c>
      <c r="IV54" s="52">
        <v>11.18</v>
      </c>
      <c r="IW54" s="52">
        <v>11.18</v>
      </c>
      <c r="IX54" s="52">
        <v>11.18</v>
      </c>
      <c r="IY54" s="52">
        <v>11.18</v>
      </c>
      <c r="IZ54" s="52">
        <v>11.18</v>
      </c>
      <c r="JA54" s="52">
        <v>11.18</v>
      </c>
      <c r="JB54" s="52">
        <v>11.18</v>
      </c>
      <c r="JC54" s="52">
        <v>11.18</v>
      </c>
      <c r="JD54" s="52">
        <v>11.18</v>
      </c>
      <c r="JE54" s="52">
        <v>11.18</v>
      </c>
      <c r="JF54" s="52">
        <v>11.18</v>
      </c>
      <c r="JG54" s="52">
        <v>11.18</v>
      </c>
      <c r="JH54" s="52">
        <v>11.18</v>
      </c>
      <c r="JI54" s="52">
        <v>11.18</v>
      </c>
      <c r="JJ54" s="52">
        <v>11.18</v>
      </c>
      <c r="JK54" s="52">
        <v>11.18</v>
      </c>
      <c r="JL54" s="52">
        <v>11.18</v>
      </c>
      <c r="JM54" s="52">
        <v>11.18</v>
      </c>
      <c r="JN54" s="52">
        <v>11.18</v>
      </c>
      <c r="JO54" s="52">
        <v>11.18</v>
      </c>
      <c r="JP54" s="52">
        <v>11.18</v>
      </c>
      <c r="JQ54" s="52">
        <v>11.18</v>
      </c>
      <c r="JR54" s="52">
        <v>11.18</v>
      </c>
      <c r="JS54" s="52">
        <v>11.18</v>
      </c>
      <c r="JT54" s="52">
        <v>11.18</v>
      </c>
      <c r="JU54" s="52">
        <v>11.18</v>
      </c>
      <c r="JV54" s="52">
        <v>11.18</v>
      </c>
      <c r="JW54" s="52">
        <v>11.18</v>
      </c>
      <c r="JX54" s="52">
        <v>11.18</v>
      </c>
      <c r="JY54" s="52">
        <v>11.18</v>
      </c>
      <c r="JZ54" s="52">
        <v>11.18</v>
      </c>
      <c r="KA54" s="52">
        <v>11.18</v>
      </c>
      <c r="KB54" s="52">
        <v>11.18</v>
      </c>
      <c r="KC54" s="52">
        <v>11.18</v>
      </c>
      <c r="KD54" s="52">
        <v>11.18</v>
      </c>
      <c r="KE54" s="52">
        <v>11.18</v>
      </c>
      <c r="KF54" s="52">
        <v>11.18</v>
      </c>
      <c r="KG54" s="52">
        <v>11.18</v>
      </c>
      <c r="KH54" s="52">
        <v>11.18</v>
      </c>
      <c r="KI54" s="52">
        <v>11.18</v>
      </c>
      <c r="KJ54" s="52">
        <v>11.18</v>
      </c>
      <c r="KK54" s="52">
        <v>11.18</v>
      </c>
      <c r="KL54" s="52">
        <v>11.18</v>
      </c>
      <c r="KM54" s="52">
        <v>11.18</v>
      </c>
      <c r="KN54" s="52">
        <v>11.18</v>
      </c>
      <c r="KO54" s="52">
        <v>11.18</v>
      </c>
      <c r="KP54" s="52">
        <v>11.18</v>
      </c>
      <c r="KQ54" s="52">
        <v>11.18</v>
      </c>
      <c r="KR54" s="52">
        <v>11.18</v>
      </c>
      <c r="KS54" s="52">
        <v>11.18</v>
      </c>
      <c r="KT54" s="52">
        <v>11.18</v>
      </c>
      <c r="KU54" s="52">
        <v>11.18</v>
      </c>
      <c r="KV54" s="52">
        <v>11.18</v>
      </c>
      <c r="KW54" s="52">
        <v>11.18</v>
      </c>
      <c r="KX54" s="52">
        <v>11.18</v>
      </c>
      <c r="KY54" s="52">
        <v>11.18</v>
      </c>
      <c r="KZ54" s="52">
        <v>11.18</v>
      </c>
      <c r="LA54" s="52">
        <v>11.18</v>
      </c>
      <c r="LB54" s="52">
        <v>11.18</v>
      </c>
      <c r="LC54" s="52">
        <v>11.18</v>
      </c>
      <c r="LD54" s="52">
        <v>11.18</v>
      </c>
      <c r="LE54" s="52">
        <v>11.18</v>
      </c>
      <c r="LF54" s="52">
        <v>11.18</v>
      </c>
      <c r="LG54" s="52">
        <v>11.18</v>
      </c>
      <c r="LH54" s="52">
        <v>11.18</v>
      </c>
      <c r="LI54" s="52">
        <v>11.18</v>
      </c>
      <c r="LJ54" s="52">
        <v>11.18</v>
      </c>
      <c r="LK54" s="52">
        <v>11.18</v>
      </c>
      <c r="LL54" s="52">
        <v>11.18</v>
      </c>
      <c r="LM54" s="52">
        <v>11.18</v>
      </c>
      <c r="LN54" s="52">
        <v>11.18</v>
      </c>
      <c r="LO54" s="52">
        <v>11.18</v>
      </c>
      <c r="LP54" s="52">
        <v>11.18</v>
      </c>
      <c r="LQ54" s="52">
        <v>11.18</v>
      </c>
      <c r="LR54" s="52">
        <v>11.18</v>
      </c>
      <c r="LS54" s="52">
        <v>11.18</v>
      </c>
      <c r="LT54" s="52">
        <v>11.18</v>
      </c>
      <c r="LU54" s="52">
        <v>11.18</v>
      </c>
      <c r="LV54" s="52">
        <v>11.18</v>
      </c>
      <c r="LW54" s="52">
        <v>11.18</v>
      </c>
      <c r="LX54" s="52">
        <v>11.18</v>
      </c>
      <c r="LY54" s="52">
        <v>11.18</v>
      </c>
      <c r="LZ54" s="52">
        <v>11.18</v>
      </c>
      <c r="MA54" s="52">
        <v>11.18</v>
      </c>
      <c r="MB54" s="52">
        <v>11.18</v>
      </c>
      <c r="MC54" s="52">
        <v>11.18</v>
      </c>
      <c r="MD54" s="52">
        <v>11.18</v>
      </c>
      <c r="ME54" s="52">
        <v>11.18</v>
      </c>
      <c r="MF54" s="52">
        <v>11.18</v>
      </c>
      <c r="MG54" s="52">
        <v>11.18</v>
      </c>
      <c r="MH54" s="52">
        <v>11.18</v>
      </c>
      <c r="MI54" s="52">
        <v>11.18</v>
      </c>
      <c r="MJ54" s="52">
        <v>11.18</v>
      </c>
      <c r="MK54" s="52">
        <v>11.18</v>
      </c>
      <c r="ML54" s="52">
        <v>11.18</v>
      </c>
      <c r="MM54" s="52">
        <v>11.18</v>
      </c>
      <c r="MN54" s="52">
        <v>11.18</v>
      </c>
      <c r="MO54" s="52">
        <v>11.18</v>
      </c>
      <c r="MP54" s="52">
        <v>11.18</v>
      </c>
      <c r="MQ54" s="52">
        <v>11.18</v>
      </c>
      <c r="MR54" s="52">
        <v>11.18</v>
      </c>
      <c r="MS54" s="52">
        <v>11.18</v>
      </c>
      <c r="MT54" s="52">
        <v>11.18</v>
      </c>
      <c r="MU54" s="52">
        <v>11.18</v>
      </c>
      <c r="MV54" s="52">
        <v>11.18</v>
      </c>
      <c r="MW54" s="52">
        <v>11.18</v>
      </c>
      <c r="MX54" s="52">
        <v>11.18</v>
      </c>
      <c r="MY54" s="52">
        <v>11.18</v>
      </c>
      <c r="MZ54" s="52">
        <v>11.18</v>
      </c>
      <c r="NA54" s="52">
        <v>11.18</v>
      </c>
      <c r="NB54" s="52">
        <v>11.18</v>
      </c>
      <c r="NC54" s="52">
        <v>11.18</v>
      </c>
      <c r="ND54" s="52">
        <v>11.18</v>
      </c>
      <c r="NE54" s="52">
        <v>11.18</v>
      </c>
      <c r="NF54" s="37">
        <v>11.18</v>
      </c>
      <c r="NG54" s="37">
        <v>11.18</v>
      </c>
      <c r="NH54" s="37">
        <v>11.18</v>
      </c>
      <c r="NI54" s="37">
        <v>11.18</v>
      </c>
      <c r="NJ54" s="37">
        <v>11.18</v>
      </c>
      <c r="NK54" s="37">
        <v>11.18</v>
      </c>
      <c r="NL54" s="37">
        <v>11.18</v>
      </c>
      <c r="NM54" s="37">
        <v>11.18</v>
      </c>
      <c r="NN54" s="37">
        <v>11.18</v>
      </c>
      <c r="NO54" s="37">
        <v>11.18</v>
      </c>
      <c r="NP54" s="37">
        <v>11.18</v>
      </c>
      <c r="NQ54" s="37">
        <v>11.18</v>
      </c>
      <c r="NR54" s="37">
        <v>11.18</v>
      </c>
      <c r="NS54" s="37">
        <v>11.18</v>
      </c>
      <c r="NT54" s="37">
        <v>11.18</v>
      </c>
      <c r="NU54" s="37">
        <v>11.18</v>
      </c>
      <c r="NV54" s="37">
        <v>11.18</v>
      </c>
      <c r="NW54" s="37">
        <v>11.18</v>
      </c>
      <c r="NX54" s="37">
        <v>11.18</v>
      </c>
      <c r="NY54" s="37">
        <v>11.18</v>
      </c>
      <c r="NZ54" s="37">
        <v>11.18</v>
      </c>
      <c r="OA54" s="37">
        <v>11.18</v>
      </c>
      <c r="OB54" s="37">
        <v>11.18</v>
      </c>
      <c r="OC54" s="37">
        <v>11.18</v>
      </c>
      <c r="OD54" s="37">
        <v>11.18</v>
      </c>
      <c r="OE54" s="37">
        <v>11.18</v>
      </c>
      <c r="OF54" s="37">
        <v>11.18</v>
      </c>
      <c r="OG54" s="37">
        <v>11.18</v>
      </c>
      <c r="OH54" s="37">
        <v>11.18</v>
      </c>
      <c r="OI54" s="37">
        <v>11.18</v>
      </c>
      <c r="OJ54" s="37">
        <v>11.18</v>
      </c>
      <c r="OK54" s="37">
        <v>11.18</v>
      </c>
      <c r="OL54" s="37">
        <v>11.18</v>
      </c>
      <c r="OM54" s="37">
        <v>11.18</v>
      </c>
      <c r="ON54" s="37">
        <v>11.18</v>
      </c>
      <c r="OO54" s="37">
        <v>11.18</v>
      </c>
      <c r="OP54" s="37">
        <v>11.18</v>
      </c>
      <c r="OQ54" s="37">
        <v>11.18</v>
      </c>
      <c r="OR54" s="37">
        <v>11.18</v>
      </c>
      <c r="OS54" s="37">
        <v>11.18</v>
      </c>
      <c r="OT54" s="37">
        <v>11.18</v>
      </c>
      <c r="OU54" s="37">
        <v>11.18</v>
      </c>
      <c r="OV54" s="37">
        <v>11.18</v>
      </c>
      <c r="OW54" s="37">
        <v>11.18</v>
      </c>
      <c r="OX54" s="37">
        <v>11.18</v>
      </c>
      <c r="OY54" s="37">
        <v>11.18</v>
      </c>
      <c r="OZ54" s="37">
        <v>11.18</v>
      </c>
      <c r="PA54" s="37">
        <v>11.18</v>
      </c>
      <c r="PB54" s="37">
        <v>11.18</v>
      </c>
      <c r="PC54" s="37">
        <v>11.18</v>
      </c>
      <c r="PD54" s="37">
        <v>11.18</v>
      </c>
      <c r="PE54" s="37">
        <v>11.18</v>
      </c>
      <c r="PF54" s="37">
        <v>11.18</v>
      </c>
      <c r="PG54" s="37">
        <v>11.18</v>
      </c>
      <c r="PH54" s="37">
        <v>11.18</v>
      </c>
      <c r="PI54" s="37">
        <v>11.18</v>
      </c>
      <c r="PJ54" s="37">
        <v>11.18</v>
      </c>
      <c r="PK54" s="37">
        <v>11.18</v>
      </c>
      <c r="PL54" s="37">
        <v>11.18</v>
      </c>
      <c r="PM54" s="37">
        <v>11.18</v>
      </c>
      <c r="PN54" s="37">
        <v>11.18</v>
      </c>
      <c r="PO54" s="37">
        <v>11.18</v>
      </c>
      <c r="PP54" s="37">
        <v>11.18</v>
      </c>
      <c r="PQ54" s="37">
        <v>11.18</v>
      </c>
      <c r="PR54" s="37">
        <v>11.18</v>
      </c>
      <c r="PS54" s="15">
        <v>11.18</v>
      </c>
      <c r="PT54" s="15">
        <v>11.18</v>
      </c>
      <c r="PU54" s="15">
        <v>11.18</v>
      </c>
      <c r="PV54" s="15">
        <v>11.18</v>
      </c>
      <c r="PW54" s="15">
        <v>11.18</v>
      </c>
      <c r="PX54" s="15">
        <v>11.18</v>
      </c>
      <c r="PY54" s="15">
        <v>11.18</v>
      </c>
      <c r="PZ54" s="15">
        <v>11.18</v>
      </c>
      <c r="QA54" s="15">
        <v>11.18</v>
      </c>
      <c r="QB54" s="15">
        <v>11.18</v>
      </c>
      <c r="QC54" s="15">
        <v>11.18</v>
      </c>
      <c r="QD54" s="15">
        <v>11.18</v>
      </c>
      <c r="QE54" s="15">
        <v>11.18</v>
      </c>
      <c r="QF54" s="15">
        <v>11.18</v>
      </c>
      <c r="QG54" s="15">
        <v>11.18</v>
      </c>
      <c r="QH54" s="15">
        <v>11.18</v>
      </c>
      <c r="QI54" s="15">
        <v>11.18</v>
      </c>
      <c r="QJ54" s="15">
        <v>11.18</v>
      </c>
      <c r="QK54" s="15">
        <v>11.18</v>
      </c>
      <c r="QL54" s="15">
        <v>11.18</v>
      </c>
      <c r="QM54" s="15">
        <v>11.18</v>
      </c>
      <c r="QN54" s="15">
        <v>11.18</v>
      </c>
      <c r="QO54" s="15">
        <v>11.18</v>
      </c>
      <c r="QP54" s="15">
        <v>11.18</v>
      </c>
      <c r="QQ54" s="15">
        <v>11.18</v>
      </c>
      <c r="QR54" s="15">
        <v>11.18</v>
      </c>
      <c r="QS54" s="15">
        <v>11.18</v>
      </c>
      <c r="QT54" s="15">
        <v>11.18</v>
      </c>
      <c r="QU54" s="15">
        <v>11.18</v>
      </c>
      <c r="QV54" s="15">
        <v>11.18</v>
      </c>
      <c r="QW54" s="15">
        <v>11.18</v>
      </c>
      <c r="QX54" s="15">
        <v>11.18</v>
      </c>
      <c r="QY54" s="15">
        <v>11.18</v>
      </c>
      <c r="QZ54" s="15">
        <v>11.18</v>
      </c>
      <c r="RA54" s="15">
        <v>11.18</v>
      </c>
      <c r="RB54" s="15">
        <v>11.18</v>
      </c>
      <c r="RC54" s="15">
        <v>11.18</v>
      </c>
      <c r="RD54" s="15">
        <v>11.18</v>
      </c>
      <c r="RE54" s="15">
        <v>11.18</v>
      </c>
      <c r="RF54" s="15">
        <v>11.18</v>
      </c>
      <c r="RG54" s="15">
        <v>11.18</v>
      </c>
      <c r="RH54" s="15">
        <v>11.18</v>
      </c>
      <c r="RI54" s="15">
        <v>11.18</v>
      </c>
      <c r="RJ54" s="15">
        <v>11.18</v>
      </c>
      <c r="RK54" s="15">
        <v>11.18</v>
      </c>
      <c r="RL54" s="15">
        <v>11.18</v>
      </c>
      <c r="RM54" s="15">
        <v>11.18</v>
      </c>
      <c r="RN54" s="15">
        <v>11.18</v>
      </c>
      <c r="RO54" s="15">
        <v>11.18</v>
      </c>
      <c r="RP54" s="15">
        <v>11.18</v>
      </c>
      <c r="RQ54" s="15">
        <v>11.18</v>
      </c>
      <c r="RR54" s="15">
        <v>11.18</v>
      </c>
      <c r="RS54" s="15">
        <v>11.18</v>
      </c>
      <c r="RT54" s="15">
        <v>11.18</v>
      </c>
      <c r="RU54" s="15">
        <v>11.18</v>
      </c>
      <c r="RV54" s="15">
        <v>11.18</v>
      </c>
      <c r="RW54" s="15">
        <v>11.18</v>
      </c>
      <c r="RX54" s="15">
        <v>11.18</v>
      </c>
      <c r="RY54" s="15">
        <v>11.18</v>
      </c>
      <c r="RZ54" s="15">
        <v>11.18</v>
      </c>
      <c r="SA54" s="15">
        <v>11.18</v>
      </c>
      <c r="SB54" s="15">
        <v>11.18</v>
      </c>
      <c r="SC54" s="15">
        <v>11.18</v>
      </c>
      <c r="SD54" s="15">
        <v>11.18</v>
      </c>
      <c r="SE54" s="15">
        <v>11.18</v>
      </c>
      <c r="SF54" s="15">
        <v>11.18</v>
      </c>
      <c r="SG54" s="15">
        <v>11.18</v>
      </c>
      <c r="SH54" s="15">
        <v>11.18</v>
      </c>
      <c r="SI54" s="15">
        <v>11.18</v>
      </c>
      <c r="SJ54" s="15">
        <v>11.18</v>
      </c>
      <c r="SK54" s="15">
        <v>11.18</v>
      </c>
      <c r="SL54" s="15">
        <v>9.4640000000000004</v>
      </c>
      <c r="SM54" s="15" t="s">
        <v>668</v>
      </c>
      <c r="SN54" s="15" t="s">
        <v>668</v>
      </c>
    </row>
    <row r="55" spans="1:508" x14ac:dyDescent="0.2">
      <c r="A55" s="37">
        <v>53</v>
      </c>
      <c r="B55" s="48" t="s">
        <v>737</v>
      </c>
      <c r="C55" s="17">
        <f>+'Detalle Compras'!D55</f>
        <v>202507250076</v>
      </c>
      <c r="D55" s="55">
        <f t="shared" si="13"/>
        <v>10.39326</v>
      </c>
      <c r="E55" s="14">
        <f>+IF(B55="","",'Detalle Compras'!S55+0)</f>
        <v>45910</v>
      </c>
      <c r="F55" s="14">
        <f>+IF(B55="","",EOMONTH('Detalle Compras'!S55,G55)+10)</f>
        <v>56897</v>
      </c>
      <c r="G55" s="50">
        <f t="shared" si="14"/>
        <v>360</v>
      </c>
      <c r="H55" s="50">
        <f t="shared" si="15"/>
        <v>355</v>
      </c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  <c r="Y55" s="52"/>
      <c r="Z55" s="52"/>
      <c r="AA55" s="52">
        <v>10.39326</v>
      </c>
      <c r="AB55" s="52">
        <v>10.39326</v>
      </c>
      <c r="AC55" s="52">
        <v>10.39326</v>
      </c>
      <c r="AD55" s="52">
        <v>10.39326</v>
      </c>
      <c r="AE55" s="52">
        <v>10.39326</v>
      </c>
      <c r="AF55" s="52">
        <v>10.39326</v>
      </c>
      <c r="AG55" s="52">
        <v>10.39326</v>
      </c>
      <c r="AH55" s="52">
        <v>10.39326</v>
      </c>
      <c r="AI55" s="52">
        <v>10.39326</v>
      </c>
      <c r="AJ55" s="52">
        <v>10.39326</v>
      </c>
      <c r="AK55" s="52">
        <v>10.39326</v>
      </c>
      <c r="AL55" s="52">
        <v>10.39326</v>
      </c>
      <c r="AM55" s="52">
        <v>10.39326</v>
      </c>
      <c r="AN55" s="52">
        <v>10.39326</v>
      </c>
      <c r="AO55" s="52">
        <v>10.39326</v>
      </c>
      <c r="AP55" s="52">
        <v>10.39326</v>
      </c>
      <c r="AQ55" s="52">
        <v>10.39326</v>
      </c>
      <c r="AR55" s="52">
        <v>10.39326</v>
      </c>
      <c r="AS55" s="52">
        <v>10.39326</v>
      </c>
      <c r="AT55" s="52">
        <v>10.39326</v>
      </c>
      <c r="AU55" s="52">
        <v>10.39326</v>
      </c>
      <c r="AV55" s="52">
        <v>10.39326</v>
      </c>
      <c r="AW55" s="52">
        <v>10.39326</v>
      </c>
      <c r="AX55" s="52">
        <v>10.39326</v>
      </c>
      <c r="AY55" s="52">
        <v>10.39326</v>
      </c>
      <c r="AZ55" s="52">
        <v>10.39326</v>
      </c>
      <c r="BA55" s="52">
        <v>10.39326</v>
      </c>
      <c r="BB55" s="52">
        <v>10.39326</v>
      </c>
      <c r="BC55" s="52">
        <v>10.39326</v>
      </c>
      <c r="BD55" s="52">
        <v>10.39326</v>
      </c>
      <c r="BE55" s="52">
        <v>10.39326</v>
      </c>
      <c r="BF55" s="52">
        <v>10.39326</v>
      </c>
      <c r="BG55" s="52">
        <v>10.39326</v>
      </c>
      <c r="BH55" s="52">
        <v>10.39326</v>
      </c>
      <c r="BI55" s="52">
        <v>10.39326</v>
      </c>
      <c r="BJ55" s="52">
        <v>10.39326</v>
      </c>
      <c r="BK55" s="52">
        <v>10.39326</v>
      </c>
      <c r="BL55" s="52">
        <v>10.39326</v>
      </c>
      <c r="BM55" s="52">
        <v>10.39326</v>
      </c>
      <c r="BN55" s="52">
        <v>10.39326</v>
      </c>
      <c r="BO55" s="52">
        <v>10.39326</v>
      </c>
      <c r="BP55" s="52">
        <v>10.39326</v>
      </c>
      <c r="BQ55" s="52">
        <v>10.39326</v>
      </c>
      <c r="BR55" s="52">
        <v>10.39326</v>
      </c>
      <c r="BS55" s="52">
        <v>10.39326</v>
      </c>
      <c r="BT55" s="52">
        <v>10.39326</v>
      </c>
      <c r="BU55" s="52">
        <v>10.39326</v>
      </c>
      <c r="BV55" s="52">
        <v>10.39326</v>
      </c>
      <c r="BW55" s="52">
        <v>10.39326</v>
      </c>
      <c r="BX55" s="52">
        <v>10.39326</v>
      </c>
      <c r="BY55" s="52">
        <v>10.39326</v>
      </c>
      <c r="BZ55" s="52">
        <v>10.39326</v>
      </c>
      <c r="CA55" s="52">
        <v>10.39326</v>
      </c>
      <c r="CB55" s="52">
        <v>10.39326</v>
      </c>
      <c r="CC55" s="52">
        <v>10.39326</v>
      </c>
      <c r="CD55" s="52">
        <v>10.39326</v>
      </c>
      <c r="CE55" s="52">
        <v>10.39326</v>
      </c>
      <c r="CF55" s="52">
        <v>10.39326</v>
      </c>
      <c r="CG55" s="52">
        <v>10.39326</v>
      </c>
      <c r="CH55" s="52">
        <v>10.39326</v>
      </c>
      <c r="CI55" s="52">
        <v>10.39326</v>
      </c>
      <c r="CJ55" s="52">
        <v>10.39326</v>
      </c>
      <c r="CK55" s="52">
        <v>10.39326</v>
      </c>
      <c r="CL55" s="52">
        <v>10.39326</v>
      </c>
      <c r="CM55" s="52">
        <v>10.39326</v>
      </c>
      <c r="CN55" s="52">
        <v>10.39326</v>
      </c>
      <c r="CO55" s="52">
        <v>10.39326</v>
      </c>
      <c r="CP55" s="52">
        <v>10.39326</v>
      </c>
      <c r="CQ55" s="52">
        <v>10.39326</v>
      </c>
      <c r="CR55" s="52">
        <v>10.39326</v>
      </c>
      <c r="CS55" s="52">
        <v>10.39326</v>
      </c>
      <c r="CT55" s="52">
        <v>10.39326</v>
      </c>
      <c r="CU55" s="52">
        <v>10.39326</v>
      </c>
      <c r="CV55" s="52">
        <v>10.39326</v>
      </c>
      <c r="CW55" s="52">
        <v>10.39326</v>
      </c>
      <c r="CX55" s="52">
        <v>10.39326</v>
      </c>
      <c r="CY55" s="52">
        <v>10.39326</v>
      </c>
      <c r="CZ55" s="52">
        <v>10.39326</v>
      </c>
      <c r="DA55" s="52">
        <v>10.39326</v>
      </c>
      <c r="DB55" s="52">
        <v>10.39326</v>
      </c>
      <c r="DC55" s="52">
        <v>10.39326</v>
      </c>
      <c r="DD55" s="52">
        <v>10.39326</v>
      </c>
      <c r="DE55" s="52">
        <v>10.39326</v>
      </c>
      <c r="DF55" s="52">
        <v>10.39326</v>
      </c>
      <c r="DG55" s="52">
        <v>10.39326</v>
      </c>
      <c r="DH55" s="52">
        <v>10.39326</v>
      </c>
      <c r="DI55" s="52">
        <v>10.39326</v>
      </c>
      <c r="DJ55" s="52">
        <v>10.39326</v>
      </c>
      <c r="DK55" s="52">
        <v>10.39326</v>
      </c>
      <c r="DL55" s="52">
        <v>10.39326</v>
      </c>
      <c r="DM55" s="52">
        <v>10.39326</v>
      </c>
      <c r="DN55" s="52">
        <v>10.39326</v>
      </c>
      <c r="DO55" s="52">
        <v>10.39326</v>
      </c>
      <c r="DP55" s="52">
        <v>10.39326</v>
      </c>
      <c r="DQ55" s="52">
        <v>10.39326</v>
      </c>
      <c r="DR55" s="52">
        <v>10.39326</v>
      </c>
      <c r="DS55" s="52">
        <v>10.39326</v>
      </c>
      <c r="DT55" s="52">
        <v>10.39326</v>
      </c>
      <c r="DU55" s="52">
        <v>10.39326</v>
      </c>
      <c r="DV55" s="52">
        <v>10.39326</v>
      </c>
      <c r="DW55" s="52">
        <v>10.39326</v>
      </c>
      <c r="DX55" s="52">
        <v>10.39326</v>
      </c>
      <c r="DY55" s="52">
        <v>10.39326</v>
      </c>
      <c r="DZ55" s="52">
        <v>10.39326</v>
      </c>
      <c r="EA55" s="52">
        <v>10.39326</v>
      </c>
      <c r="EB55" s="52">
        <v>10.39326</v>
      </c>
      <c r="EC55" s="52">
        <v>10.39326</v>
      </c>
      <c r="ED55" s="52">
        <v>10.39326</v>
      </c>
      <c r="EE55" s="52">
        <v>10.39326</v>
      </c>
      <c r="EF55" s="52">
        <v>10.39326</v>
      </c>
      <c r="EG55" s="52">
        <v>10.39326</v>
      </c>
      <c r="EH55" s="52">
        <v>10.39326</v>
      </c>
      <c r="EI55" s="52">
        <v>10.39326</v>
      </c>
      <c r="EJ55" s="52">
        <v>10.39326</v>
      </c>
      <c r="EK55" s="52">
        <v>10.39326</v>
      </c>
      <c r="EL55" s="52">
        <v>10.39326</v>
      </c>
      <c r="EM55" s="52">
        <v>10.39326</v>
      </c>
      <c r="EN55" s="52">
        <v>10.39326</v>
      </c>
      <c r="EO55" s="52">
        <v>10.39326</v>
      </c>
      <c r="EP55" s="52">
        <v>10.39326</v>
      </c>
      <c r="EQ55" s="52">
        <v>10.39326</v>
      </c>
      <c r="ER55" s="52">
        <v>10.39326</v>
      </c>
      <c r="ES55" s="52">
        <v>10.39326</v>
      </c>
      <c r="ET55" s="52">
        <v>10.39326</v>
      </c>
      <c r="EU55" s="52">
        <v>10.39326</v>
      </c>
      <c r="EV55" s="52">
        <v>10.39326</v>
      </c>
      <c r="EW55" s="52">
        <v>10.39326</v>
      </c>
      <c r="EX55" s="52">
        <v>10.39326</v>
      </c>
      <c r="EY55" s="52">
        <v>10.39326</v>
      </c>
      <c r="EZ55" s="52">
        <v>10.39326</v>
      </c>
      <c r="FA55" s="52">
        <v>10.39326</v>
      </c>
      <c r="FB55" s="52">
        <v>10.39326</v>
      </c>
      <c r="FC55" s="52">
        <v>10.39326</v>
      </c>
      <c r="FD55" s="52">
        <v>10.39326</v>
      </c>
      <c r="FE55" s="52">
        <v>10.39326</v>
      </c>
      <c r="FF55" s="52">
        <v>10.39326</v>
      </c>
      <c r="FG55" s="52">
        <v>10.39326</v>
      </c>
      <c r="FH55" s="52">
        <v>10.39326</v>
      </c>
      <c r="FI55" s="52">
        <v>10.39326</v>
      </c>
      <c r="FJ55" s="52">
        <v>10.39326</v>
      </c>
      <c r="FK55" s="52">
        <v>10.39326</v>
      </c>
      <c r="FL55" s="52">
        <v>10.39326</v>
      </c>
      <c r="FM55" s="52">
        <v>10.39326</v>
      </c>
      <c r="FN55" s="52">
        <v>10.39326</v>
      </c>
      <c r="FO55" s="52">
        <v>10.39326</v>
      </c>
      <c r="FP55" s="52">
        <v>10.39326</v>
      </c>
      <c r="FQ55" s="52">
        <v>10.39326</v>
      </c>
      <c r="FR55" s="52">
        <v>10.39326</v>
      </c>
      <c r="FS55" s="52">
        <v>10.39326</v>
      </c>
      <c r="FT55" s="52">
        <v>10.39326</v>
      </c>
      <c r="FU55" s="52">
        <v>10.39326</v>
      </c>
      <c r="FV55" s="52">
        <v>10.39326</v>
      </c>
      <c r="FW55" s="52">
        <v>10.39326</v>
      </c>
      <c r="FX55" s="52">
        <v>10.39326</v>
      </c>
      <c r="FY55" s="52">
        <v>10.39326</v>
      </c>
      <c r="FZ55" s="52">
        <v>10.39326</v>
      </c>
      <c r="GA55" s="52">
        <v>10.39326</v>
      </c>
      <c r="GB55" s="52">
        <v>10.39326</v>
      </c>
      <c r="GC55" s="52">
        <v>10.39326</v>
      </c>
      <c r="GD55" s="52">
        <v>10.39326</v>
      </c>
      <c r="GE55" s="52">
        <v>10.39326</v>
      </c>
      <c r="GF55" s="52">
        <v>10.39326</v>
      </c>
      <c r="GG55" s="52">
        <v>10.39326</v>
      </c>
      <c r="GH55" s="52">
        <v>10.39326</v>
      </c>
      <c r="GI55" s="52">
        <v>10.39326</v>
      </c>
      <c r="GJ55" s="52">
        <v>10.39326</v>
      </c>
      <c r="GK55" s="52">
        <v>10.39326</v>
      </c>
      <c r="GL55" s="52">
        <v>10.39326</v>
      </c>
      <c r="GM55" s="52">
        <v>10.39326</v>
      </c>
      <c r="GN55" s="52">
        <v>10.39326</v>
      </c>
      <c r="GO55" s="52">
        <v>10.39326</v>
      </c>
      <c r="GP55" s="52">
        <v>10.39326</v>
      </c>
      <c r="GQ55" s="52">
        <v>10.39326</v>
      </c>
      <c r="GR55" s="52">
        <v>10.39326</v>
      </c>
      <c r="GS55" s="52">
        <v>10.39326</v>
      </c>
      <c r="GT55" s="52">
        <v>10.39326</v>
      </c>
      <c r="GU55" s="52">
        <v>10.39326</v>
      </c>
      <c r="GV55" s="52">
        <v>10.39326</v>
      </c>
      <c r="GW55" s="52">
        <v>10.39326</v>
      </c>
      <c r="GX55" s="52">
        <v>10.39326</v>
      </c>
      <c r="GY55" s="52">
        <v>10.39326</v>
      </c>
      <c r="GZ55" s="52">
        <v>10.39326</v>
      </c>
      <c r="HA55" s="52">
        <v>10.39326</v>
      </c>
      <c r="HB55" s="52">
        <v>10.39326</v>
      </c>
      <c r="HC55" s="52">
        <v>10.39326</v>
      </c>
      <c r="HD55" s="52">
        <v>10.39326</v>
      </c>
      <c r="HE55" s="52">
        <v>10.39326</v>
      </c>
      <c r="HF55" s="52">
        <v>10.39326</v>
      </c>
      <c r="HG55" s="52">
        <v>10.39326</v>
      </c>
      <c r="HH55" s="52">
        <v>10.39326</v>
      </c>
      <c r="HI55" s="52">
        <v>10.39326</v>
      </c>
      <c r="HJ55" s="52">
        <v>10.39326</v>
      </c>
      <c r="HK55" s="52">
        <v>10.39326</v>
      </c>
      <c r="HL55" s="52">
        <v>10.39326</v>
      </c>
      <c r="HM55" s="52">
        <v>10.39326</v>
      </c>
      <c r="HN55" s="52">
        <v>10.39326</v>
      </c>
      <c r="HO55" s="52">
        <v>10.39326</v>
      </c>
      <c r="HP55" s="52">
        <v>10.39326</v>
      </c>
      <c r="HQ55" s="52">
        <v>10.39326</v>
      </c>
      <c r="HR55" s="52">
        <v>10.39326</v>
      </c>
      <c r="HS55" s="52">
        <v>10.39326</v>
      </c>
      <c r="HT55" s="52">
        <v>10.39326</v>
      </c>
      <c r="HU55" s="52">
        <v>10.39326</v>
      </c>
      <c r="HV55" s="52">
        <v>10.39326</v>
      </c>
      <c r="HW55" s="52">
        <v>10.39326</v>
      </c>
      <c r="HX55" s="52">
        <v>10.39326</v>
      </c>
      <c r="HY55" s="52">
        <v>10.39326</v>
      </c>
      <c r="HZ55" s="52">
        <v>10.39326</v>
      </c>
      <c r="IA55" s="52">
        <v>10.39326</v>
      </c>
      <c r="IB55" s="52">
        <v>10.39326</v>
      </c>
      <c r="IC55" s="52">
        <v>10.39326</v>
      </c>
      <c r="ID55" s="52">
        <v>10.39326</v>
      </c>
      <c r="IE55" s="52">
        <v>10.39326</v>
      </c>
      <c r="IF55" s="52">
        <v>10.39326</v>
      </c>
      <c r="IG55" s="52">
        <v>10.39326</v>
      </c>
      <c r="IH55" s="52">
        <v>10.39326</v>
      </c>
      <c r="II55" s="52">
        <v>10.39326</v>
      </c>
      <c r="IJ55" s="52">
        <v>10.39326</v>
      </c>
      <c r="IK55" s="52">
        <v>10.39326</v>
      </c>
      <c r="IL55" s="52">
        <v>10.39326</v>
      </c>
      <c r="IM55" s="52">
        <v>10.39326</v>
      </c>
      <c r="IN55" s="52">
        <v>10.39326</v>
      </c>
      <c r="IO55" s="52">
        <v>10.39326</v>
      </c>
      <c r="IP55" s="52">
        <v>10.39326</v>
      </c>
      <c r="IQ55" s="52">
        <v>10.39326</v>
      </c>
      <c r="IR55" s="52">
        <v>10.39326</v>
      </c>
      <c r="IS55" s="52">
        <v>10.39326</v>
      </c>
      <c r="IT55" s="52">
        <v>10.39326</v>
      </c>
      <c r="IU55" s="52">
        <v>10.39326</v>
      </c>
      <c r="IV55" s="52">
        <v>10.39326</v>
      </c>
      <c r="IW55" s="52">
        <v>10.39326</v>
      </c>
      <c r="IX55" s="52">
        <v>10.39326</v>
      </c>
      <c r="IY55" s="52">
        <v>10.39326</v>
      </c>
      <c r="IZ55" s="52">
        <v>10.39326</v>
      </c>
      <c r="JA55" s="52">
        <v>10.39326</v>
      </c>
      <c r="JB55" s="52">
        <v>10.39326</v>
      </c>
      <c r="JC55" s="52">
        <v>10.39326</v>
      </c>
      <c r="JD55" s="52">
        <v>10.39326</v>
      </c>
      <c r="JE55" s="52">
        <v>10.39326</v>
      </c>
      <c r="JF55" s="52">
        <v>10.39326</v>
      </c>
      <c r="JG55" s="52">
        <v>10.39326</v>
      </c>
      <c r="JH55" s="52">
        <v>10.39326</v>
      </c>
      <c r="JI55" s="52">
        <v>10.39326</v>
      </c>
      <c r="JJ55" s="52">
        <v>10.39326</v>
      </c>
      <c r="JK55" s="52">
        <v>10.39326</v>
      </c>
      <c r="JL55" s="52">
        <v>10.39326</v>
      </c>
      <c r="JM55" s="52">
        <v>10.39326</v>
      </c>
      <c r="JN55" s="52">
        <v>10.39326</v>
      </c>
      <c r="JO55" s="52">
        <v>10.39326</v>
      </c>
      <c r="JP55" s="52">
        <v>10.39326</v>
      </c>
      <c r="JQ55" s="52">
        <v>10.39326</v>
      </c>
      <c r="JR55" s="52">
        <v>10.39326</v>
      </c>
      <c r="JS55" s="52">
        <v>10.39326</v>
      </c>
      <c r="JT55" s="52">
        <v>10.39326</v>
      </c>
      <c r="JU55" s="52">
        <v>10.39326</v>
      </c>
      <c r="JV55" s="52">
        <v>10.39326</v>
      </c>
      <c r="JW55" s="52">
        <v>10.39326</v>
      </c>
      <c r="JX55" s="52">
        <v>10.39326</v>
      </c>
      <c r="JY55" s="52">
        <v>10.39326</v>
      </c>
      <c r="JZ55" s="52">
        <v>10.39326</v>
      </c>
      <c r="KA55" s="52">
        <v>10.39326</v>
      </c>
      <c r="KB55" s="52">
        <v>10.39326</v>
      </c>
      <c r="KC55" s="52">
        <v>10.39326</v>
      </c>
      <c r="KD55" s="52">
        <v>10.39326</v>
      </c>
      <c r="KE55" s="52">
        <v>10.39326</v>
      </c>
      <c r="KF55" s="52">
        <v>10.39326</v>
      </c>
      <c r="KG55" s="52">
        <v>10.39326</v>
      </c>
      <c r="KH55" s="52">
        <v>10.39326</v>
      </c>
      <c r="KI55" s="52">
        <v>10.39326</v>
      </c>
      <c r="KJ55" s="52">
        <v>10.39326</v>
      </c>
      <c r="KK55" s="52">
        <v>10.39326</v>
      </c>
      <c r="KL55" s="52">
        <v>10.39326</v>
      </c>
      <c r="KM55" s="52">
        <v>10.39326</v>
      </c>
      <c r="KN55" s="52">
        <v>10.39326</v>
      </c>
      <c r="KO55" s="52">
        <v>10.39326</v>
      </c>
      <c r="KP55" s="52">
        <v>10.39326</v>
      </c>
      <c r="KQ55" s="52">
        <v>10.39326</v>
      </c>
      <c r="KR55" s="52">
        <v>10.39326</v>
      </c>
      <c r="KS55" s="52">
        <v>10.39326</v>
      </c>
      <c r="KT55" s="52">
        <v>10.39326</v>
      </c>
      <c r="KU55" s="52">
        <v>10.39326</v>
      </c>
      <c r="KV55" s="52">
        <v>10.39326</v>
      </c>
      <c r="KW55" s="52">
        <v>10.39326</v>
      </c>
      <c r="KX55" s="37">
        <v>10.39326</v>
      </c>
      <c r="KY55" s="37">
        <v>10.39326</v>
      </c>
      <c r="KZ55" s="37">
        <v>10.39326</v>
      </c>
      <c r="LA55" s="37">
        <v>10.39326</v>
      </c>
      <c r="LB55" s="37">
        <v>10.39326</v>
      </c>
      <c r="LC55" s="37">
        <v>10.39326</v>
      </c>
      <c r="LD55" s="37">
        <v>10.39326</v>
      </c>
      <c r="LE55" s="37">
        <v>10.39326</v>
      </c>
      <c r="LF55" s="37">
        <v>10.39326</v>
      </c>
      <c r="LG55" s="37">
        <v>10.39326</v>
      </c>
      <c r="LH55" s="37">
        <v>10.39326</v>
      </c>
      <c r="LI55" s="37">
        <v>10.39326</v>
      </c>
      <c r="LJ55" s="37">
        <v>10.39326</v>
      </c>
      <c r="LK55" s="37">
        <v>10.39326</v>
      </c>
      <c r="LL55" s="37">
        <v>10.39326</v>
      </c>
      <c r="LM55" s="37">
        <v>10.39326</v>
      </c>
      <c r="LN55" s="37">
        <v>10.39326</v>
      </c>
      <c r="LO55" s="37">
        <v>10.39326</v>
      </c>
      <c r="LP55" s="37">
        <v>10.39326</v>
      </c>
      <c r="LQ55" s="37">
        <v>10.39326</v>
      </c>
      <c r="LR55" s="37">
        <v>10.39326</v>
      </c>
      <c r="LS55" s="37">
        <v>10.39326</v>
      </c>
      <c r="LT55" s="37">
        <v>10.39326</v>
      </c>
      <c r="LU55" s="37">
        <v>10.39326</v>
      </c>
      <c r="LV55" s="37">
        <v>10.39326</v>
      </c>
      <c r="LW55" s="37">
        <v>10.39326</v>
      </c>
      <c r="LX55" s="37">
        <v>10.39326</v>
      </c>
      <c r="LY55" s="37">
        <v>10.39326</v>
      </c>
      <c r="LZ55" s="37">
        <v>10.39326</v>
      </c>
      <c r="MA55" s="37">
        <v>10.39326</v>
      </c>
      <c r="MB55" s="37">
        <v>10.39326</v>
      </c>
      <c r="MC55" s="37">
        <v>10.39326</v>
      </c>
      <c r="MD55" s="37">
        <v>10.39326</v>
      </c>
      <c r="ME55" s="37">
        <v>10.39326</v>
      </c>
      <c r="MF55" s="37">
        <v>10.39326</v>
      </c>
      <c r="MG55" s="37">
        <v>10.39326</v>
      </c>
      <c r="MH55" s="37">
        <v>10.39326</v>
      </c>
      <c r="MI55" s="37">
        <v>10.39326</v>
      </c>
      <c r="MJ55" s="37">
        <v>10.39326</v>
      </c>
      <c r="MK55" s="37">
        <v>10.39326</v>
      </c>
      <c r="ML55" s="37">
        <v>10.39326</v>
      </c>
      <c r="MM55" s="37">
        <v>10.39326</v>
      </c>
      <c r="MN55" s="37">
        <v>10.39326</v>
      </c>
      <c r="MO55" s="37">
        <v>10.39326</v>
      </c>
      <c r="MP55" s="37">
        <v>10.39326</v>
      </c>
      <c r="MQ55" s="37">
        <v>10.39326</v>
      </c>
      <c r="MR55" s="37">
        <v>10.39326</v>
      </c>
      <c r="MS55" s="37">
        <v>10.39326</v>
      </c>
      <c r="MT55" s="37">
        <v>10.39326</v>
      </c>
      <c r="MU55" s="37">
        <v>10.39326</v>
      </c>
      <c r="MV55" s="37">
        <v>10.39326</v>
      </c>
      <c r="MW55" s="37">
        <v>10.39326</v>
      </c>
      <c r="MX55" s="37">
        <v>10.39326</v>
      </c>
      <c r="MY55" s="37">
        <v>10.39326</v>
      </c>
      <c r="MZ55" s="37">
        <v>10.39326</v>
      </c>
      <c r="NA55" s="37">
        <v>10.39326</v>
      </c>
      <c r="NB55" s="37">
        <v>10.39326</v>
      </c>
      <c r="NC55" s="37">
        <v>10.39326</v>
      </c>
      <c r="ND55" s="37">
        <v>10.39326</v>
      </c>
      <c r="NE55" s="37">
        <v>10.39326</v>
      </c>
      <c r="NF55" s="37">
        <v>10.39326</v>
      </c>
      <c r="NG55" s="37">
        <v>10.39326</v>
      </c>
      <c r="NH55" s="37">
        <v>10.39326</v>
      </c>
      <c r="NI55" s="37">
        <v>10.39326</v>
      </c>
      <c r="NJ55" s="37">
        <v>10.39326</v>
      </c>
      <c r="NK55" s="37">
        <v>10.39326</v>
      </c>
      <c r="NL55" s="37">
        <v>10.39326</v>
      </c>
      <c r="NM55" s="37">
        <v>10.39326</v>
      </c>
      <c r="NN55" s="37">
        <v>10.39326</v>
      </c>
      <c r="NO55" s="37">
        <v>10.39326</v>
      </c>
      <c r="NP55" s="37">
        <v>10.39326</v>
      </c>
      <c r="NQ55" s="37">
        <v>10.39326</v>
      </c>
      <c r="NR55" s="37">
        <v>10.39326</v>
      </c>
      <c r="NS55" s="37">
        <v>10.39326</v>
      </c>
      <c r="NT55" s="37">
        <v>10.39326</v>
      </c>
      <c r="NU55" s="37">
        <v>10.39326</v>
      </c>
      <c r="NV55" s="37">
        <v>9.5217600000000004</v>
      </c>
      <c r="NW55" s="37" t="s">
        <v>668</v>
      </c>
      <c r="NX55" s="37" t="s">
        <v>668</v>
      </c>
      <c r="NY55" s="37" t="s">
        <v>668</v>
      </c>
      <c r="NZ55" s="37" t="s">
        <v>668</v>
      </c>
      <c r="OA55" s="37" t="s">
        <v>668</v>
      </c>
      <c r="OB55" s="37" t="s">
        <v>668</v>
      </c>
      <c r="OC55" s="37" t="s">
        <v>668</v>
      </c>
      <c r="OD55" s="37" t="s">
        <v>668</v>
      </c>
      <c r="OE55" s="37" t="s">
        <v>668</v>
      </c>
      <c r="OF55" s="37" t="s">
        <v>668</v>
      </c>
      <c r="OG55" s="37" t="s">
        <v>668</v>
      </c>
      <c r="OH55" s="37" t="s">
        <v>668</v>
      </c>
      <c r="OI55" s="37" t="s">
        <v>668</v>
      </c>
      <c r="OJ55" s="37" t="s">
        <v>668</v>
      </c>
      <c r="OK55" s="37" t="s">
        <v>668</v>
      </c>
      <c r="OL55" s="37" t="s">
        <v>668</v>
      </c>
      <c r="OM55" s="37" t="s">
        <v>668</v>
      </c>
      <c r="ON55" s="37" t="s">
        <v>668</v>
      </c>
      <c r="OO55" s="37" t="s">
        <v>668</v>
      </c>
      <c r="OP55" s="37" t="s">
        <v>668</v>
      </c>
      <c r="OQ55" s="37" t="s">
        <v>668</v>
      </c>
      <c r="OR55" s="37" t="s">
        <v>668</v>
      </c>
      <c r="OS55" s="37" t="s">
        <v>668</v>
      </c>
      <c r="OT55" s="37" t="s">
        <v>668</v>
      </c>
      <c r="OU55" s="37" t="s">
        <v>668</v>
      </c>
      <c r="OV55" s="37" t="s">
        <v>668</v>
      </c>
      <c r="OW55" s="37" t="s">
        <v>668</v>
      </c>
      <c r="OX55" s="37" t="s">
        <v>668</v>
      </c>
      <c r="OY55" s="37" t="s">
        <v>668</v>
      </c>
      <c r="OZ55" s="37" t="s">
        <v>668</v>
      </c>
      <c r="PA55" s="37" t="s">
        <v>668</v>
      </c>
      <c r="PB55" s="37" t="s">
        <v>668</v>
      </c>
      <c r="PC55" s="37" t="s">
        <v>668</v>
      </c>
      <c r="PD55" s="37" t="s">
        <v>668</v>
      </c>
      <c r="PE55" s="37" t="s">
        <v>668</v>
      </c>
      <c r="PF55" s="37" t="s">
        <v>668</v>
      </c>
      <c r="PG55" s="37" t="s">
        <v>668</v>
      </c>
      <c r="PH55" s="37" t="s">
        <v>668</v>
      </c>
      <c r="PI55" s="37" t="s">
        <v>668</v>
      </c>
      <c r="PJ55" s="37" t="s">
        <v>668</v>
      </c>
      <c r="PK55" s="37" t="s">
        <v>668</v>
      </c>
      <c r="PL55" s="37" t="s">
        <v>668</v>
      </c>
      <c r="PM55" s="37" t="s">
        <v>668</v>
      </c>
      <c r="PN55" s="37" t="s">
        <v>668</v>
      </c>
      <c r="PO55" s="37" t="s">
        <v>668</v>
      </c>
      <c r="PP55" s="37" t="s">
        <v>668</v>
      </c>
      <c r="PQ55" s="37" t="s">
        <v>668</v>
      </c>
      <c r="PR55" s="37" t="s">
        <v>668</v>
      </c>
      <c r="PS55" s="15" t="s">
        <v>668</v>
      </c>
      <c r="PT55" s="15" t="s">
        <v>668</v>
      </c>
      <c r="PU55" s="15" t="s">
        <v>668</v>
      </c>
      <c r="PV55" s="15" t="s">
        <v>668</v>
      </c>
      <c r="PW55" s="15" t="s">
        <v>668</v>
      </c>
      <c r="PX55" s="15" t="s">
        <v>668</v>
      </c>
      <c r="PY55" s="15" t="s">
        <v>668</v>
      </c>
      <c r="PZ55" s="15" t="s">
        <v>668</v>
      </c>
      <c r="QA55" s="15" t="s">
        <v>668</v>
      </c>
      <c r="QB55" s="15" t="s">
        <v>668</v>
      </c>
      <c r="QC55" s="15" t="s">
        <v>668</v>
      </c>
      <c r="QD55" s="15" t="s">
        <v>668</v>
      </c>
      <c r="QE55" s="15" t="s">
        <v>668</v>
      </c>
      <c r="QF55" s="15" t="s">
        <v>668</v>
      </c>
      <c r="QG55" s="15" t="s">
        <v>668</v>
      </c>
      <c r="QH55" s="15" t="s">
        <v>668</v>
      </c>
      <c r="QI55" s="15" t="s">
        <v>668</v>
      </c>
      <c r="QJ55" s="15" t="s">
        <v>668</v>
      </c>
      <c r="QK55" s="15" t="s">
        <v>668</v>
      </c>
      <c r="QL55" s="15" t="s">
        <v>668</v>
      </c>
      <c r="QM55" s="15" t="s">
        <v>668</v>
      </c>
      <c r="QN55" s="15" t="s">
        <v>668</v>
      </c>
      <c r="QO55" s="15" t="s">
        <v>668</v>
      </c>
      <c r="QP55" s="15" t="s">
        <v>668</v>
      </c>
      <c r="QQ55" s="15" t="s">
        <v>668</v>
      </c>
      <c r="QR55" s="15" t="s">
        <v>668</v>
      </c>
      <c r="QS55" s="15" t="s">
        <v>668</v>
      </c>
      <c r="QT55" s="15" t="s">
        <v>668</v>
      </c>
      <c r="QU55" s="15" t="s">
        <v>668</v>
      </c>
      <c r="QV55" s="15" t="s">
        <v>668</v>
      </c>
      <c r="QW55" s="15" t="s">
        <v>668</v>
      </c>
      <c r="QX55" s="15" t="s">
        <v>668</v>
      </c>
      <c r="QY55" s="15" t="s">
        <v>668</v>
      </c>
      <c r="QZ55" s="15" t="s">
        <v>668</v>
      </c>
      <c r="RA55" s="15" t="s">
        <v>668</v>
      </c>
      <c r="RB55" s="15" t="s">
        <v>668</v>
      </c>
      <c r="RC55" s="15" t="s">
        <v>668</v>
      </c>
      <c r="RD55" s="15" t="s">
        <v>668</v>
      </c>
      <c r="RE55" s="15" t="s">
        <v>668</v>
      </c>
      <c r="RF55" s="15" t="s">
        <v>668</v>
      </c>
      <c r="RG55" s="15" t="s">
        <v>668</v>
      </c>
      <c r="RH55" s="15" t="s">
        <v>668</v>
      </c>
      <c r="RI55" s="15" t="s">
        <v>668</v>
      </c>
      <c r="RJ55" s="15" t="s">
        <v>668</v>
      </c>
      <c r="RK55" s="15" t="s">
        <v>668</v>
      </c>
      <c r="RL55" s="15" t="s">
        <v>668</v>
      </c>
      <c r="RM55" s="15" t="s">
        <v>668</v>
      </c>
      <c r="RN55" s="15" t="s">
        <v>668</v>
      </c>
      <c r="RO55" s="15" t="s">
        <v>668</v>
      </c>
      <c r="RP55" s="15" t="s">
        <v>668</v>
      </c>
      <c r="RQ55" s="15" t="s">
        <v>668</v>
      </c>
      <c r="RR55" s="15" t="s">
        <v>668</v>
      </c>
      <c r="RS55" s="15" t="s">
        <v>668</v>
      </c>
      <c r="RT55" s="15" t="s">
        <v>668</v>
      </c>
      <c r="RU55" s="15" t="s">
        <v>668</v>
      </c>
      <c r="RV55" s="15" t="s">
        <v>668</v>
      </c>
      <c r="RW55" s="15" t="s">
        <v>668</v>
      </c>
      <c r="RX55" s="15" t="s">
        <v>668</v>
      </c>
      <c r="RY55" s="15" t="s">
        <v>668</v>
      </c>
      <c r="RZ55" s="15" t="s">
        <v>668</v>
      </c>
      <c r="SA55" s="15" t="s">
        <v>668</v>
      </c>
      <c r="SB55" s="15" t="s">
        <v>668</v>
      </c>
      <c r="SC55" s="15" t="s">
        <v>668</v>
      </c>
      <c r="SD55" s="15" t="s">
        <v>668</v>
      </c>
      <c r="SE55" s="15" t="s">
        <v>668</v>
      </c>
      <c r="SF55" s="15" t="s">
        <v>668</v>
      </c>
      <c r="SG55" s="15" t="s">
        <v>668</v>
      </c>
      <c r="SH55" s="15" t="s">
        <v>668</v>
      </c>
      <c r="SI55" s="15" t="s">
        <v>668</v>
      </c>
      <c r="SJ55" s="15" t="s">
        <v>668</v>
      </c>
      <c r="SK55" s="15" t="s">
        <v>668</v>
      </c>
      <c r="SL55" s="15" t="s">
        <v>668</v>
      </c>
      <c r="SM55" s="15" t="s">
        <v>668</v>
      </c>
      <c r="SN55" s="15" t="s">
        <v>668</v>
      </c>
    </row>
    <row r="56" spans="1:508" x14ac:dyDescent="0.2">
      <c r="A56" s="37">
        <v>54</v>
      </c>
      <c r="B56" s="48" t="s">
        <v>738</v>
      </c>
      <c r="C56" s="17">
        <f>+'Detalle Compras'!D56</f>
        <v>202507250082</v>
      </c>
      <c r="D56" s="55">
        <f t="shared" si="13"/>
        <v>5.4241250000000001</v>
      </c>
      <c r="E56" s="14">
        <f>+IF(B56="","",'Detalle Compras'!S56+0)</f>
        <v>45910</v>
      </c>
      <c r="F56" s="14">
        <f>+IF(B56="","",EOMONTH('Detalle Compras'!S56,G56)+10)</f>
        <v>56897</v>
      </c>
      <c r="G56" s="50">
        <f t="shared" si="14"/>
        <v>360</v>
      </c>
      <c r="H56" s="50">
        <f t="shared" si="15"/>
        <v>355</v>
      </c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  <c r="Y56" s="52"/>
      <c r="Z56" s="52"/>
      <c r="AA56" s="52">
        <v>5.4241250000000001</v>
      </c>
      <c r="AB56" s="52">
        <v>5.4241250000000001</v>
      </c>
      <c r="AC56" s="52">
        <v>5.4241250000000001</v>
      </c>
      <c r="AD56" s="52">
        <v>5.4241250000000001</v>
      </c>
      <c r="AE56" s="52">
        <v>5.4241250000000001</v>
      </c>
      <c r="AF56" s="52">
        <v>5.4241250000000001</v>
      </c>
      <c r="AG56" s="52">
        <v>5.4241250000000001</v>
      </c>
      <c r="AH56" s="52">
        <v>5.4241250000000001</v>
      </c>
      <c r="AI56" s="52">
        <v>5.4241250000000001</v>
      </c>
      <c r="AJ56" s="52">
        <v>5.4241250000000001</v>
      </c>
      <c r="AK56" s="52">
        <v>5.4241250000000001</v>
      </c>
      <c r="AL56" s="52">
        <v>5.4241250000000001</v>
      </c>
      <c r="AM56" s="52">
        <v>5.4241250000000001</v>
      </c>
      <c r="AN56" s="52">
        <v>5.4241250000000001</v>
      </c>
      <c r="AO56" s="52">
        <v>5.4241250000000001</v>
      </c>
      <c r="AP56" s="52">
        <v>5.4241250000000001</v>
      </c>
      <c r="AQ56" s="52">
        <v>5.4241250000000001</v>
      </c>
      <c r="AR56" s="52">
        <v>5.4241250000000001</v>
      </c>
      <c r="AS56" s="52">
        <v>5.4241250000000001</v>
      </c>
      <c r="AT56" s="52">
        <v>5.4241250000000001</v>
      </c>
      <c r="AU56" s="52">
        <v>5.4241250000000001</v>
      </c>
      <c r="AV56" s="52">
        <v>5.4241250000000001</v>
      </c>
      <c r="AW56" s="52">
        <v>5.4241250000000001</v>
      </c>
      <c r="AX56" s="52">
        <v>5.4241250000000001</v>
      </c>
      <c r="AY56" s="52">
        <v>5.4241250000000001</v>
      </c>
      <c r="AZ56" s="52">
        <v>5.4241250000000001</v>
      </c>
      <c r="BA56" s="52">
        <v>5.4241250000000001</v>
      </c>
      <c r="BB56" s="52">
        <v>5.4241250000000001</v>
      </c>
      <c r="BC56" s="52">
        <v>5.4241250000000001</v>
      </c>
      <c r="BD56" s="52">
        <v>5.4241250000000001</v>
      </c>
      <c r="BE56" s="52">
        <v>5.4241250000000001</v>
      </c>
      <c r="BF56" s="52">
        <v>5.4241250000000001</v>
      </c>
      <c r="BG56" s="52">
        <v>5.4241250000000001</v>
      </c>
      <c r="BH56" s="52">
        <v>5.4241250000000001</v>
      </c>
      <c r="BI56" s="52">
        <v>5.4241250000000001</v>
      </c>
      <c r="BJ56" s="52">
        <v>5.4241250000000001</v>
      </c>
      <c r="BK56" s="52">
        <v>5.4241250000000001</v>
      </c>
      <c r="BL56" s="52">
        <v>5.4241250000000001</v>
      </c>
      <c r="BM56" s="52">
        <v>5.4241250000000001</v>
      </c>
      <c r="BN56" s="52">
        <v>5.4241250000000001</v>
      </c>
      <c r="BO56" s="52">
        <v>5.4241250000000001</v>
      </c>
      <c r="BP56" s="52">
        <v>5.4241250000000001</v>
      </c>
      <c r="BQ56" s="52">
        <v>5.4241250000000001</v>
      </c>
      <c r="BR56" s="52">
        <v>5.4241250000000001</v>
      </c>
      <c r="BS56" s="52">
        <v>5.4241250000000001</v>
      </c>
      <c r="BT56" s="52">
        <v>5.4241250000000001</v>
      </c>
      <c r="BU56" s="52">
        <v>5.4241250000000001</v>
      </c>
      <c r="BV56" s="52">
        <v>5.4241250000000001</v>
      </c>
      <c r="BW56" s="52">
        <v>5.4241250000000001</v>
      </c>
      <c r="BX56" s="52">
        <v>5.4241250000000001</v>
      </c>
      <c r="BY56" s="52">
        <v>5.4241250000000001</v>
      </c>
      <c r="BZ56" s="52">
        <v>5.4241250000000001</v>
      </c>
      <c r="CA56" s="52">
        <v>5.4241250000000001</v>
      </c>
      <c r="CB56" s="52">
        <v>5.4241250000000001</v>
      </c>
      <c r="CC56" s="52">
        <v>5.4241250000000001</v>
      </c>
      <c r="CD56" s="52">
        <v>5.4241250000000001</v>
      </c>
      <c r="CE56" s="52">
        <v>5.4241250000000001</v>
      </c>
      <c r="CF56" s="52">
        <v>5.4241250000000001</v>
      </c>
      <c r="CG56" s="52">
        <v>5.4241250000000001</v>
      </c>
      <c r="CH56" s="52">
        <v>5.4241250000000001</v>
      </c>
      <c r="CI56" s="52">
        <v>5.4241250000000001</v>
      </c>
      <c r="CJ56" s="52">
        <v>5.4241250000000001</v>
      </c>
      <c r="CK56" s="52">
        <v>5.4241250000000001</v>
      </c>
      <c r="CL56" s="52">
        <v>5.4241250000000001</v>
      </c>
      <c r="CM56" s="52">
        <v>5.4241250000000001</v>
      </c>
      <c r="CN56" s="52">
        <v>5.4241250000000001</v>
      </c>
      <c r="CO56" s="52">
        <v>5.4241250000000001</v>
      </c>
      <c r="CP56" s="52">
        <v>5.4241250000000001</v>
      </c>
      <c r="CQ56" s="52">
        <v>5.4241250000000001</v>
      </c>
      <c r="CR56" s="52">
        <v>5.4241250000000001</v>
      </c>
      <c r="CS56" s="52">
        <v>5.4241250000000001</v>
      </c>
      <c r="CT56" s="52">
        <v>5.4241250000000001</v>
      </c>
      <c r="CU56" s="52">
        <v>5.4241250000000001</v>
      </c>
      <c r="CV56" s="52">
        <v>5.4241250000000001</v>
      </c>
      <c r="CW56" s="52">
        <v>5.4241250000000001</v>
      </c>
      <c r="CX56" s="52">
        <v>5.4241250000000001</v>
      </c>
      <c r="CY56" s="52">
        <v>5.4241250000000001</v>
      </c>
      <c r="CZ56" s="52">
        <v>5.4241250000000001</v>
      </c>
      <c r="DA56" s="52">
        <v>5.4241250000000001</v>
      </c>
      <c r="DB56" s="52">
        <v>5.4241250000000001</v>
      </c>
      <c r="DC56" s="52">
        <v>5.4241250000000001</v>
      </c>
      <c r="DD56" s="52">
        <v>5.4241250000000001</v>
      </c>
      <c r="DE56" s="52">
        <v>5.4241250000000001</v>
      </c>
      <c r="DF56" s="52">
        <v>5.4241250000000001</v>
      </c>
      <c r="DG56" s="52">
        <v>5.4241250000000001</v>
      </c>
      <c r="DH56" s="52">
        <v>5.4241250000000001</v>
      </c>
      <c r="DI56" s="52">
        <v>5.4241250000000001</v>
      </c>
      <c r="DJ56" s="52">
        <v>5.4241250000000001</v>
      </c>
      <c r="DK56" s="52">
        <v>5.4241250000000001</v>
      </c>
      <c r="DL56" s="52">
        <v>5.4241250000000001</v>
      </c>
      <c r="DM56" s="52">
        <v>5.4241250000000001</v>
      </c>
      <c r="DN56" s="52">
        <v>5.4241250000000001</v>
      </c>
      <c r="DO56" s="52">
        <v>5.4241250000000001</v>
      </c>
      <c r="DP56" s="52">
        <v>5.4241250000000001</v>
      </c>
      <c r="DQ56" s="52">
        <v>5.4241250000000001</v>
      </c>
      <c r="DR56" s="52">
        <v>5.4241250000000001</v>
      </c>
      <c r="DS56" s="52">
        <v>5.4241250000000001</v>
      </c>
      <c r="DT56" s="52">
        <v>5.4241250000000001</v>
      </c>
      <c r="DU56" s="52">
        <v>5.4241250000000001</v>
      </c>
      <c r="DV56" s="52">
        <v>5.4241250000000001</v>
      </c>
      <c r="DW56" s="52">
        <v>5.4241250000000001</v>
      </c>
      <c r="DX56" s="52">
        <v>5.4241250000000001</v>
      </c>
      <c r="DY56" s="52">
        <v>5.4241250000000001</v>
      </c>
      <c r="DZ56" s="52">
        <v>5.4241250000000001</v>
      </c>
      <c r="EA56" s="52">
        <v>5.4241250000000001</v>
      </c>
      <c r="EB56" s="52">
        <v>5.4241250000000001</v>
      </c>
      <c r="EC56" s="52">
        <v>5.4241250000000001</v>
      </c>
      <c r="ED56" s="52">
        <v>5.4241250000000001</v>
      </c>
      <c r="EE56" s="52">
        <v>5.4241250000000001</v>
      </c>
      <c r="EF56" s="52">
        <v>5.4241250000000001</v>
      </c>
      <c r="EG56" s="52">
        <v>5.4241250000000001</v>
      </c>
      <c r="EH56" s="52">
        <v>5.4241250000000001</v>
      </c>
      <c r="EI56" s="52">
        <v>5.4241250000000001</v>
      </c>
      <c r="EJ56" s="52">
        <v>5.4241250000000001</v>
      </c>
      <c r="EK56" s="52">
        <v>5.4241250000000001</v>
      </c>
      <c r="EL56" s="52">
        <v>5.4241250000000001</v>
      </c>
      <c r="EM56" s="52">
        <v>5.4241250000000001</v>
      </c>
      <c r="EN56" s="52">
        <v>5.4241250000000001</v>
      </c>
      <c r="EO56" s="52">
        <v>5.4241250000000001</v>
      </c>
      <c r="EP56" s="52">
        <v>5.4241250000000001</v>
      </c>
      <c r="EQ56" s="52">
        <v>5.4241250000000001</v>
      </c>
      <c r="ER56" s="52">
        <v>5.4241250000000001</v>
      </c>
      <c r="ES56" s="52">
        <v>5.4241250000000001</v>
      </c>
      <c r="ET56" s="52">
        <v>5.4241250000000001</v>
      </c>
      <c r="EU56" s="52">
        <v>5.4241250000000001</v>
      </c>
      <c r="EV56" s="52">
        <v>5.4241250000000001</v>
      </c>
      <c r="EW56" s="52">
        <v>5.4241250000000001</v>
      </c>
      <c r="EX56" s="52">
        <v>5.4241250000000001</v>
      </c>
      <c r="EY56" s="52">
        <v>5.4241250000000001</v>
      </c>
      <c r="EZ56" s="52">
        <v>5.4241250000000001</v>
      </c>
      <c r="FA56" s="52">
        <v>5.4241250000000001</v>
      </c>
      <c r="FB56" s="52">
        <v>5.4241250000000001</v>
      </c>
      <c r="FC56" s="52">
        <v>5.4241250000000001</v>
      </c>
      <c r="FD56" s="52">
        <v>5.4241250000000001</v>
      </c>
      <c r="FE56" s="52">
        <v>5.4241250000000001</v>
      </c>
      <c r="FF56" s="52">
        <v>5.4241250000000001</v>
      </c>
      <c r="FG56" s="52">
        <v>5.4241250000000001</v>
      </c>
      <c r="FH56" s="52">
        <v>5.4241250000000001</v>
      </c>
      <c r="FI56" s="52">
        <v>5.4241250000000001</v>
      </c>
      <c r="FJ56" s="52">
        <v>5.4241250000000001</v>
      </c>
      <c r="FK56" s="52">
        <v>5.4241250000000001</v>
      </c>
      <c r="FL56" s="52">
        <v>5.4241250000000001</v>
      </c>
      <c r="FM56" s="52">
        <v>5.4241250000000001</v>
      </c>
      <c r="FN56" s="52">
        <v>5.4241250000000001</v>
      </c>
      <c r="FO56" s="52">
        <v>5.4241250000000001</v>
      </c>
      <c r="FP56" s="52">
        <v>5.4241250000000001</v>
      </c>
      <c r="FQ56" s="52">
        <v>5.4241250000000001</v>
      </c>
      <c r="FR56" s="52">
        <v>5.4241250000000001</v>
      </c>
      <c r="FS56" s="52">
        <v>5.4241250000000001</v>
      </c>
      <c r="FT56" s="52">
        <v>5.4241250000000001</v>
      </c>
      <c r="FU56" s="52">
        <v>5.4241250000000001</v>
      </c>
      <c r="FV56" s="52">
        <v>5.4241250000000001</v>
      </c>
      <c r="FW56" s="52">
        <v>5.4241250000000001</v>
      </c>
      <c r="FX56" s="52">
        <v>5.4241250000000001</v>
      </c>
      <c r="FY56" s="52">
        <v>5.4241250000000001</v>
      </c>
      <c r="FZ56" s="52">
        <v>5.4241250000000001</v>
      </c>
      <c r="GA56" s="52">
        <v>5.4241250000000001</v>
      </c>
      <c r="GB56" s="52">
        <v>5.4241250000000001</v>
      </c>
      <c r="GC56" s="52">
        <v>5.4241250000000001</v>
      </c>
      <c r="GD56" s="52">
        <v>5.4241250000000001</v>
      </c>
      <c r="GE56" s="52">
        <v>5.4241250000000001</v>
      </c>
      <c r="GF56" s="52">
        <v>5.4241250000000001</v>
      </c>
      <c r="GG56" s="52">
        <v>5.4241250000000001</v>
      </c>
      <c r="GH56" s="52">
        <v>5.4241250000000001</v>
      </c>
      <c r="GI56" s="52">
        <v>5.4241250000000001</v>
      </c>
      <c r="GJ56" s="52">
        <v>5.4241250000000001</v>
      </c>
      <c r="GK56" s="52">
        <v>5.4241250000000001</v>
      </c>
      <c r="GL56" s="52">
        <v>5.4241250000000001</v>
      </c>
      <c r="GM56" s="52">
        <v>5.4241250000000001</v>
      </c>
      <c r="GN56" s="52">
        <v>5.4241250000000001</v>
      </c>
      <c r="GO56" s="52">
        <v>5.4241250000000001</v>
      </c>
      <c r="GP56" s="52">
        <v>5.4241250000000001</v>
      </c>
      <c r="GQ56" s="52">
        <v>5.4241250000000001</v>
      </c>
      <c r="GR56" s="52">
        <v>5.4241250000000001</v>
      </c>
      <c r="GS56" s="52">
        <v>5.4241250000000001</v>
      </c>
      <c r="GT56" s="52">
        <v>5.4241250000000001</v>
      </c>
      <c r="GU56" s="52">
        <v>5.4241250000000001</v>
      </c>
      <c r="GV56" s="52">
        <v>5.4241250000000001</v>
      </c>
      <c r="GW56" s="52">
        <v>5.4241250000000001</v>
      </c>
      <c r="GX56" s="52">
        <v>5.4241250000000001</v>
      </c>
      <c r="GY56" s="52">
        <v>5.4241250000000001</v>
      </c>
      <c r="GZ56" s="52">
        <v>5.4241250000000001</v>
      </c>
      <c r="HA56" s="52">
        <v>5.4241250000000001</v>
      </c>
      <c r="HB56" s="52">
        <v>5.4241250000000001</v>
      </c>
      <c r="HC56" s="52">
        <v>5.4241250000000001</v>
      </c>
      <c r="HD56" s="52">
        <v>5.4241250000000001</v>
      </c>
      <c r="HE56" s="52">
        <v>5.4241250000000001</v>
      </c>
      <c r="HF56" s="52">
        <v>5.4241250000000001</v>
      </c>
      <c r="HG56" s="52">
        <v>5.4241250000000001</v>
      </c>
      <c r="HH56" s="52">
        <v>5.4241250000000001</v>
      </c>
      <c r="HI56" s="52">
        <v>5.4241250000000001</v>
      </c>
      <c r="HJ56" s="52">
        <v>5.4241250000000001</v>
      </c>
      <c r="HK56" s="52">
        <v>5.4241250000000001</v>
      </c>
      <c r="HL56" s="52">
        <v>5.4241250000000001</v>
      </c>
      <c r="HM56" s="52">
        <v>5.4241250000000001</v>
      </c>
      <c r="HN56" s="52">
        <v>5.4241250000000001</v>
      </c>
      <c r="HO56" s="52">
        <v>5.4241250000000001</v>
      </c>
      <c r="HP56" s="52">
        <v>5.4241250000000001</v>
      </c>
      <c r="HQ56" s="52">
        <v>5.4241250000000001</v>
      </c>
      <c r="HR56" s="52">
        <v>5.4241250000000001</v>
      </c>
      <c r="HS56" s="52">
        <v>5.4241250000000001</v>
      </c>
      <c r="HT56" s="52">
        <v>5.4241250000000001</v>
      </c>
      <c r="HU56" s="52">
        <v>5.4241250000000001</v>
      </c>
      <c r="HV56" s="52">
        <v>5.4241250000000001</v>
      </c>
      <c r="HW56" s="52">
        <v>5.4241250000000001</v>
      </c>
      <c r="HX56" s="52">
        <v>5.4241250000000001</v>
      </c>
      <c r="HY56" s="52">
        <v>5.4241250000000001</v>
      </c>
      <c r="HZ56" s="52">
        <v>5.4241250000000001</v>
      </c>
      <c r="IA56" s="52">
        <v>5.4241250000000001</v>
      </c>
      <c r="IB56" s="52">
        <v>5.4241250000000001</v>
      </c>
      <c r="IC56" s="52">
        <v>5.4241250000000001</v>
      </c>
      <c r="ID56" s="52">
        <v>5.4241250000000001</v>
      </c>
      <c r="IE56" s="52">
        <v>5.4241250000000001</v>
      </c>
      <c r="IF56" s="52">
        <v>5.4241250000000001</v>
      </c>
      <c r="IG56" s="52">
        <v>5.4241250000000001</v>
      </c>
      <c r="IH56" s="52">
        <v>5.4241250000000001</v>
      </c>
      <c r="II56" s="52">
        <v>5.4241250000000001</v>
      </c>
      <c r="IJ56" s="52">
        <v>5.4241250000000001</v>
      </c>
      <c r="IK56" s="52">
        <v>5.4241250000000001</v>
      </c>
      <c r="IL56" s="52">
        <v>5.4241250000000001</v>
      </c>
      <c r="IM56" s="52">
        <v>5.4241250000000001</v>
      </c>
      <c r="IN56" s="52">
        <v>5.4241250000000001</v>
      </c>
      <c r="IO56" s="52">
        <v>5.4241250000000001</v>
      </c>
      <c r="IP56" s="52">
        <v>5.4241250000000001</v>
      </c>
      <c r="IQ56" s="52">
        <v>5.4241250000000001</v>
      </c>
      <c r="IR56" s="52">
        <v>5.4241250000000001</v>
      </c>
      <c r="IS56" s="52">
        <v>5.4241250000000001</v>
      </c>
      <c r="IT56" s="52">
        <v>5.4241250000000001</v>
      </c>
      <c r="IU56" s="52">
        <v>5.4241250000000001</v>
      </c>
      <c r="IV56" s="52">
        <v>5.4241250000000001</v>
      </c>
      <c r="IW56" s="52">
        <v>5.4241250000000001</v>
      </c>
      <c r="IX56" s="52">
        <v>5.4241250000000001</v>
      </c>
      <c r="IY56" s="52">
        <v>5.4241250000000001</v>
      </c>
      <c r="IZ56" s="52">
        <v>5.4241250000000001</v>
      </c>
      <c r="JA56" s="52">
        <v>5.4241250000000001</v>
      </c>
      <c r="JB56" s="52">
        <v>5.4241250000000001</v>
      </c>
      <c r="JC56" s="52">
        <v>5.4241250000000001</v>
      </c>
      <c r="JD56" s="52">
        <v>5.4241250000000001</v>
      </c>
      <c r="JE56" s="52">
        <v>5.4241250000000001</v>
      </c>
      <c r="JF56" s="52">
        <v>5.4241250000000001</v>
      </c>
      <c r="JG56" s="52">
        <v>5.4241250000000001</v>
      </c>
      <c r="JH56" s="52">
        <v>5.4241250000000001</v>
      </c>
      <c r="JI56" s="52">
        <v>5.4241250000000001</v>
      </c>
      <c r="JJ56" s="52">
        <v>5.4241250000000001</v>
      </c>
      <c r="JK56" s="52">
        <v>5.4241250000000001</v>
      </c>
      <c r="JL56" s="52">
        <v>5.4241250000000001</v>
      </c>
      <c r="JM56" s="52">
        <v>5.4241250000000001</v>
      </c>
      <c r="JN56" s="52">
        <v>5.4241250000000001</v>
      </c>
      <c r="JO56" s="52">
        <v>5.4241250000000001</v>
      </c>
      <c r="JP56" s="52">
        <v>5.4241250000000001</v>
      </c>
      <c r="JQ56" s="52">
        <v>5.4241250000000001</v>
      </c>
      <c r="JR56" s="52">
        <v>5.4241250000000001</v>
      </c>
      <c r="JS56" s="52">
        <v>5.4241250000000001</v>
      </c>
      <c r="JT56" s="52">
        <v>5.4241250000000001</v>
      </c>
      <c r="JU56" s="52">
        <v>5.4241250000000001</v>
      </c>
      <c r="JV56" s="52">
        <v>5.4241250000000001</v>
      </c>
      <c r="JW56" s="52">
        <v>5.4241250000000001</v>
      </c>
      <c r="JX56" s="52">
        <v>5.4241250000000001</v>
      </c>
      <c r="JY56" s="52">
        <v>5.4241250000000001</v>
      </c>
      <c r="JZ56" s="52">
        <v>5.4241250000000001</v>
      </c>
      <c r="KA56" s="52">
        <v>5.4241250000000001</v>
      </c>
      <c r="KB56" s="52">
        <v>5.4241250000000001</v>
      </c>
      <c r="KC56" s="52">
        <v>5.4241250000000001</v>
      </c>
      <c r="KD56" s="52">
        <v>5.4241250000000001</v>
      </c>
      <c r="KE56" s="52">
        <v>5.4241250000000001</v>
      </c>
      <c r="KF56" s="52">
        <v>5.4241250000000001</v>
      </c>
      <c r="KG56" s="52">
        <v>5.4241250000000001</v>
      </c>
      <c r="KH56" s="52">
        <v>5.4241250000000001</v>
      </c>
      <c r="KI56" s="52">
        <v>5.4241250000000001</v>
      </c>
      <c r="KJ56" s="52">
        <v>5.4241250000000001</v>
      </c>
      <c r="KK56" s="52">
        <v>5.4241250000000001</v>
      </c>
      <c r="KL56" s="52">
        <v>5.4241250000000001</v>
      </c>
      <c r="KM56" s="52">
        <v>5.4241250000000001</v>
      </c>
      <c r="KN56" s="52">
        <v>5.4241250000000001</v>
      </c>
      <c r="KO56" s="52">
        <v>5.4241250000000001</v>
      </c>
      <c r="KP56" s="52">
        <v>5.4241250000000001</v>
      </c>
      <c r="KQ56" s="52">
        <v>5.4241250000000001</v>
      </c>
      <c r="KR56" s="52">
        <v>5.4241250000000001</v>
      </c>
      <c r="KS56" s="52">
        <v>5.4241250000000001</v>
      </c>
      <c r="KT56" s="52">
        <v>5.4241250000000001</v>
      </c>
      <c r="KU56" s="52">
        <v>5.4241250000000001</v>
      </c>
      <c r="KV56" s="52">
        <v>5.4241250000000001</v>
      </c>
      <c r="KW56" s="52">
        <v>5.4241250000000001</v>
      </c>
      <c r="KX56" s="52">
        <v>5.4241250000000001</v>
      </c>
      <c r="KY56" s="52">
        <v>5.4241250000000001</v>
      </c>
      <c r="KZ56" s="52">
        <v>5.4241250000000001</v>
      </c>
      <c r="LA56" s="52">
        <v>5.4241250000000001</v>
      </c>
      <c r="LB56" s="52">
        <v>5.4241250000000001</v>
      </c>
      <c r="LC56" s="52">
        <v>5.4241250000000001</v>
      </c>
      <c r="LD56" s="52">
        <v>5.4241250000000001</v>
      </c>
      <c r="LE56" s="52">
        <v>5.4241250000000001</v>
      </c>
      <c r="LF56" s="52">
        <v>5.4241250000000001</v>
      </c>
      <c r="LG56" s="52">
        <v>5.4241250000000001</v>
      </c>
      <c r="LH56" s="52">
        <v>5.4241250000000001</v>
      </c>
      <c r="LI56" s="52">
        <v>5.4241250000000001</v>
      </c>
      <c r="LJ56" s="52">
        <v>5.4241250000000001</v>
      </c>
      <c r="LK56" s="52">
        <v>5.4241250000000001</v>
      </c>
      <c r="LL56" s="52">
        <v>5.4241250000000001</v>
      </c>
      <c r="LM56" s="52">
        <v>5.4241250000000001</v>
      </c>
      <c r="LN56" s="52">
        <v>5.4241250000000001</v>
      </c>
      <c r="LO56" s="52">
        <v>5.4241250000000001</v>
      </c>
      <c r="LP56" s="52">
        <v>5.4241250000000001</v>
      </c>
      <c r="LQ56" s="52">
        <v>5.4241250000000001</v>
      </c>
      <c r="LR56" s="52">
        <v>5.4241250000000001</v>
      </c>
      <c r="LS56" s="52">
        <v>5.4241250000000001</v>
      </c>
      <c r="LT56" s="52">
        <v>5.4241250000000001</v>
      </c>
      <c r="LU56" s="52">
        <v>5.4241250000000001</v>
      </c>
      <c r="LV56" s="52">
        <v>5.4241250000000001</v>
      </c>
      <c r="LW56" s="52">
        <v>5.4241250000000001</v>
      </c>
      <c r="LX56" s="52">
        <v>5.4241250000000001</v>
      </c>
      <c r="LY56" s="52">
        <v>5.4241250000000001</v>
      </c>
      <c r="LZ56" s="52">
        <v>5.4241250000000001</v>
      </c>
      <c r="MA56" s="52">
        <v>5.4241250000000001</v>
      </c>
      <c r="MB56" s="52">
        <v>5.4241250000000001</v>
      </c>
      <c r="MC56" s="52">
        <v>5.4241250000000001</v>
      </c>
      <c r="MD56" s="52">
        <v>5.4241250000000001</v>
      </c>
      <c r="ME56" s="52">
        <v>5.4241250000000001</v>
      </c>
      <c r="MF56" s="52">
        <v>5.4241250000000001</v>
      </c>
      <c r="MG56" s="52">
        <v>5.4241250000000001</v>
      </c>
      <c r="MH56" s="52">
        <v>5.4241250000000001</v>
      </c>
      <c r="MI56" s="52">
        <v>5.4241250000000001</v>
      </c>
      <c r="MJ56" s="52">
        <v>5.4241250000000001</v>
      </c>
      <c r="MK56" s="52">
        <v>5.4241250000000001</v>
      </c>
      <c r="ML56" s="52">
        <v>5.4241250000000001</v>
      </c>
      <c r="MM56" s="52">
        <v>5.4241250000000001</v>
      </c>
      <c r="MN56" s="52">
        <v>5.4241250000000001</v>
      </c>
      <c r="MO56" s="52">
        <v>5.4241250000000001</v>
      </c>
      <c r="MP56" s="52">
        <v>5.4241250000000001</v>
      </c>
      <c r="MQ56" s="52">
        <v>5.4241250000000001</v>
      </c>
      <c r="MR56" s="52">
        <v>5.4241250000000001</v>
      </c>
      <c r="MS56" s="52">
        <v>5.4241250000000001</v>
      </c>
      <c r="MT56" s="52">
        <v>5.4241250000000001</v>
      </c>
      <c r="MU56" s="52">
        <v>5.4241250000000001</v>
      </c>
      <c r="MV56" s="52">
        <v>5.4241250000000001</v>
      </c>
      <c r="MW56" s="52">
        <v>5.4241250000000001</v>
      </c>
      <c r="MX56" s="52">
        <v>5.4241250000000001</v>
      </c>
      <c r="MY56" s="52">
        <v>5.4241250000000001</v>
      </c>
      <c r="MZ56" s="52">
        <v>5.4241250000000001</v>
      </c>
      <c r="NA56" s="52">
        <v>5.4241250000000001</v>
      </c>
      <c r="NB56" s="52">
        <v>5.4241250000000001</v>
      </c>
      <c r="NC56" s="52">
        <v>5.4241250000000001</v>
      </c>
      <c r="ND56" s="52">
        <v>5.4241250000000001</v>
      </c>
      <c r="NE56" s="52">
        <v>5.4241250000000001</v>
      </c>
      <c r="NF56" s="37">
        <v>5.4241250000000001</v>
      </c>
      <c r="NG56" s="37">
        <v>5.4241250000000001</v>
      </c>
      <c r="NH56" s="37">
        <v>5.4241250000000001</v>
      </c>
      <c r="NI56" s="37">
        <v>5.4241250000000001</v>
      </c>
      <c r="NJ56" s="37">
        <v>5.4241250000000001</v>
      </c>
      <c r="NK56" s="37">
        <v>5.4241250000000001</v>
      </c>
      <c r="NL56" s="37">
        <v>5.4241250000000001</v>
      </c>
      <c r="NM56" s="37">
        <v>5.4241250000000001</v>
      </c>
      <c r="NN56" s="37">
        <v>5.4241250000000001</v>
      </c>
      <c r="NO56" s="37">
        <v>5.4241250000000001</v>
      </c>
      <c r="NP56" s="37">
        <v>5.4241250000000001</v>
      </c>
      <c r="NQ56" s="37">
        <v>5.4241250000000001</v>
      </c>
      <c r="NR56" s="37">
        <v>5.4241250000000001</v>
      </c>
      <c r="NS56" s="37">
        <v>5.4241250000000001</v>
      </c>
      <c r="NT56" s="37">
        <v>5.4241250000000001</v>
      </c>
      <c r="NU56" s="37">
        <v>5.4241250000000001</v>
      </c>
      <c r="NV56" s="37">
        <v>5.3436250000000003</v>
      </c>
      <c r="NW56" s="37" t="s">
        <v>668</v>
      </c>
      <c r="NX56" s="37" t="s">
        <v>668</v>
      </c>
      <c r="NY56" s="37" t="s">
        <v>668</v>
      </c>
      <c r="NZ56" s="37" t="s">
        <v>668</v>
      </c>
      <c r="OA56" s="37" t="s">
        <v>668</v>
      </c>
      <c r="OB56" s="37" t="s">
        <v>668</v>
      </c>
      <c r="OC56" s="37" t="s">
        <v>668</v>
      </c>
      <c r="OD56" s="37" t="s">
        <v>668</v>
      </c>
      <c r="OE56" s="37" t="s">
        <v>668</v>
      </c>
      <c r="OF56" s="37" t="s">
        <v>668</v>
      </c>
      <c r="OG56" s="37" t="s">
        <v>668</v>
      </c>
      <c r="OH56" s="37" t="s">
        <v>668</v>
      </c>
      <c r="OI56" s="37" t="s">
        <v>668</v>
      </c>
      <c r="OJ56" s="37" t="s">
        <v>668</v>
      </c>
      <c r="OK56" s="37" t="s">
        <v>668</v>
      </c>
      <c r="OL56" s="37" t="s">
        <v>668</v>
      </c>
      <c r="OM56" s="37" t="s">
        <v>668</v>
      </c>
      <c r="ON56" s="37" t="s">
        <v>668</v>
      </c>
      <c r="OO56" s="37" t="s">
        <v>668</v>
      </c>
      <c r="OP56" s="37" t="s">
        <v>668</v>
      </c>
      <c r="OQ56" s="37" t="s">
        <v>668</v>
      </c>
      <c r="OR56" s="37" t="s">
        <v>668</v>
      </c>
      <c r="OS56" s="37" t="s">
        <v>668</v>
      </c>
      <c r="OT56" s="37" t="s">
        <v>668</v>
      </c>
      <c r="OU56" s="37" t="s">
        <v>668</v>
      </c>
      <c r="OV56" s="37" t="s">
        <v>668</v>
      </c>
      <c r="OW56" s="37" t="s">
        <v>668</v>
      </c>
      <c r="OX56" s="37" t="s">
        <v>668</v>
      </c>
      <c r="OY56" s="37" t="s">
        <v>668</v>
      </c>
      <c r="OZ56" s="37" t="s">
        <v>668</v>
      </c>
      <c r="PA56" s="37" t="s">
        <v>668</v>
      </c>
      <c r="PB56" s="37" t="s">
        <v>668</v>
      </c>
      <c r="PC56" s="37" t="s">
        <v>668</v>
      </c>
      <c r="PD56" s="37" t="s">
        <v>668</v>
      </c>
      <c r="PE56" s="37" t="s">
        <v>668</v>
      </c>
      <c r="PF56" s="37" t="s">
        <v>668</v>
      </c>
      <c r="PG56" s="37" t="s">
        <v>668</v>
      </c>
      <c r="PH56" s="37" t="s">
        <v>668</v>
      </c>
      <c r="PI56" s="37" t="s">
        <v>668</v>
      </c>
      <c r="PJ56" s="37" t="s">
        <v>668</v>
      </c>
      <c r="PK56" s="37" t="s">
        <v>668</v>
      </c>
      <c r="PL56" s="37" t="s">
        <v>668</v>
      </c>
      <c r="PM56" s="37" t="s">
        <v>668</v>
      </c>
      <c r="PN56" s="37" t="s">
        <v>668</v>
      </c>
      <c r="PO56" s="37" t="s">
        <v>668</v>
      </c>
      <c r="PP56" s="37" t="s">
        <v>668</v>
      </c>
      <c r="PQ56" s="37" t="s">
        <v>668</v>
      </c>
      <c r="PR56" s="37" t="s">
        <v>668</v>
      </c>
      <c r="PS56" s="15" t="s">
        <v>668</v>
      </c>
      <c r="PT56" s="15" t="s">
        <v>668</v>
      </c>
      <c r="PU56" s="15" t="s">
        <v>668</v>
      </c>
      <c r="PV56" s="15" t="s">
        <v>668</v>
      </c>
      <c r="PW56" s="15" t="s">
        <v>668</v>
      </c>
      <c r="PX56" s="15" t="s">
        <v>668</v>
      </c>
      <c r="PY56" s="15" t="s">
        <v>668</v>
      </c>
      <c r="PZ56" s="15" t="s">
        <v>668</v>
      </c>
      <c r="QA56" s="15" t="s">
        <v>668</v>
      </c>
      <c r="QB56" s="15" t="s">
        <v>668</v>
      </c>
      <c r="QC56" s="15" t="s">
        <v>668</v>
      </c>
      <c r="QD56" s="15" t="s">
        <v>668</v>
      </c>
      <c r="QE56" s="15" t="s">
        <v>668</v>
      </c>
      <c r="QF56" s="15" t="s">
        <v>668</v>
      </c>
      <c r="QG56" s="15" t="s">
        <v>668</v>
      </c>
      <c r="QH56" s="15" t="s">
        <v>668</v>
      </c>
      <c r="QI56" s="15" t="s">
        <v>668</v>
      </c>
      <c r="QJ56" s="15" t="s">
        <v>668</v>
      </c>
      <c r="QK56" s="15" t="s">
        <v>668</v>
      </c>
      <c r="QL56" s="15" t="s">
        <v>668</v>
      </c>
      <c r="QM56" s="15" t="s">
        <v>668</v>
      </c>
      <c r="QN56" s="15" t="s">
        <v>668</v>
      </c>
      <c r="QO56" s="15" t="s">
        <v>668</v>
      </c>
      <c r="QP56" s="15" t="s">
        <v>668</v>
      </c>
      <c r="QQ56" s="15" t="s">
        <v>668</v>
      </c>
      <c r="QR56" s="15" t="s">
        <v>668</v>
      </c>
      <c r="QS56" s="15" t="s">
        <v>668</v>
      </c>
      <c r="QT56" s="15" t="s">
        <v>668</v>
      </c>
      <c r="QU56" s="15" t="s">
        <v>668</v>
      </c>
      <c r="QV56" s="15" t="s">
        <v>668</v>
      </c>
      <c r="QW56" s="15" t="s">
        <v>668</v>
      </c>
      <c r="QX56" s="15" t="s">
        <v>668</v>
      </c>
      <c r="QY56" s="15" t="s">
        <v>668</v>
      </c>
      <c r="QZ56" s="15" t="s">
        <v>668</v>
      </c>
      <c r="RA56" s="15" t="s">
        <v>668</v>
      </c>
      <c r="RB56" s="15" t="s">
        <v>668</v>
      </c>
      <c r="RC56" s="15" t="s">
        <v>668</v>
      </c>
      <c r="RD56" s="15" t="s">
        <v>668</v>
      </c>
      <c r="RE56" s="15" t="s">
        <v>668</v>
      </c>
      <c r="RF56" s="15" t="s">
        <v>668</v>
      </c>
      <c r="RG56" s="15" t="s">
        <v>668</v>
      </c>
      <c r="RH56" s="15" t="s">
        <v>668</v>
      </c>
      <c r="RI56" s="15" t="s">
        <v>668</v>
      </c>
      <c r="RJ56" s="15" t="s">
        <v>668</v>
      </c>
      <c r="RK56" s="15" t="s">
        <v>668</v>
      </c>
      <c r="RL56" s="15" t="s">
        <v>668</v>
      </c>
      <c r="RM56" s="15" t="s">
        <v>668</v>
      </c>
      <c r="RN56" s="15" t="s">
        <v>668</v>
      </c>
      <c r="RO56" s="15" t="s">
        <v>668</v>
      </c>
      <c r="RP56" s="15" t="s">
        <v>668</v>
      </c>
      <c r="RQ56" s="15" t="s">
        <v>668</v>
      </c>
      <c r="RR56" s="15" t="s">
        <v>668</v>
      </c>
      <c r="RS56" s="15" t="s">
        <v>668</v>
      </c>
      <c r="RT56" s="15" t="s">
        <v>668</v>
      </c>
      <c r="RU56" s="15" t="s">
        <v>668</v>
      </c>
      <c r="RV56" s="15" t="s">
        <v>668</v>
      </c>
      <c r="RW56" s="15" t="s">
        <v>668</v>
      </c>
      <c r="RX56" s="15" t="s">
        <v>668</v>
      </c>
      <c r="RY56" s="15" t="s">
        <v>668</v>
      </c>
      <c r="RZ56" s="15" t="s">
        <v>668</v>
      </c>
      <c r="SA56" s="15" t="s">
        <v>668</v>
      </c>
      <c r="SB56" s="15" t="s">
        <v>668</v>
      </c>
      <c r="SC56" s="15" t="s">
        <v>668</v>
      </c>
      <c r="SD56" s="15" t="s">
        <v>668</v>
      </c>
      <c r="SE56" s="15" t="s">
        <v>668</v>
      </c>
      <c r="SF56" s="15" t="s">
        <v>668</v>
      </c>
      <c r="SG56" s="15" t="s">
        <v>668</v>
      </c>
      <c r="SH56" s="15" t="s">
        <v>668</v>
      </c>
      <c r="SI56" s="15" t="s">
        <v>668</v>
      </c>
      <c r="SJ56" s="15" t="s">
        <v>668</v>
      </c>
      <c r="SK56" s="15" t="s">
        <v>668</v>
      </c>
      <c r="SL56" s="15" t="s">
        <v>668</v>
      </c>
      <c r="SM56" s="15" t="s">
        <v>668</v>
      </c>
      <c r="SN56" s="15" t="s">
        <v>668</v>
      </c>
    </row>
    <row r="57" spans="1:508" x14ac:dyDescent="0.2">
      <c r="A57" s="37">
        <v>55</v>
      </c>
      <c r="B57" s="48" t="s">
        <v>739</v>
      </c>
      <c r="C57" s="17">
        <f>+'Detalle Compras'!D57</f>
        <v>202507250081</v>
      </c>
      <c r="D57" s="55">
        <f t="shared" si="13"/>
        <v>12.809068</v>
      </c>
      <c r="E57" s="14">
        <f>+IF(B57="","",'Detalle Compras'!S57+0)</f>
        <v>45910</v>
      </c>
      <c r="F57" s="14">
        <f>+IF(B57="","",EOMONTH('Detalle Compras'!S57,G57)+10)</f>
        <v>52880</v>
      </c>
      <c r="G57" s="50">
        <f t="shared" si="14"/>
        <v>228</v>
      </c>
      <c r="H57" s="50">
        <f t="shared" si="15"/>
        <v>223</v>
      </c>
      <c r="J57" s="52"/>
      <c r="K57" s="52"/>
      <c r="L57" s="52"/>
      <c r="M57" s="52"/>
      <c r="N57" s="52"/>
      <c r="O57" s="52"/>
      <c r="P57" s="52"/>
      <c r="Q57" s="52"/>
      <c r="R57" s="52"/>
      <c r="S57" s="52"/>
      <c r="T57" s="52"/>
      <c r="U57" s="52"/>
      <c r="V57" s="52"/>
      <c r="W57" s="52"/>
      <c r="X57" s="52"/>
      <c r="Y57" s="52"/>
      <c r="Z57" s="52"/>
      <c r="AA57" s="52">
        <v>12.809068</v>
      </c>
      <c r="AB57" s="52">
        <v>12.809068</v>
      </c>
      <c r="AC57" s="52">
        <v>12.809068</v>
      </c>
      <c r="AD57" s="52">
        <v>12.809068</v>
      </c>
      <c r="AE57" s="52">
        <v>12.809068</v>
      </c>
      <c r="AF57" s="52">
        <v>12.809068</v>
      </c>
      <c r="AG57" s="52">
        <v>12.809068</v>
      </c>
      <c r="AH57" s="52">
        <v>12.809068</v>
      </c>
      <c r="AI57" s="52">
        <v>12.809068</v>
      </c>
      <c r="AJ57" s="52">
        <v>12.809068</v>
      </c>
      <c r="AK57" s="52">
        <v>12.809068</v>
      </c>
      <c r="AL57" s="52">
        <v>12.809068</v>
      </c>
      <c r="AM57" s="52">
        <v>12.809068</v>
      </c>
      <c r="AN57" s="52">
        <v>12.809068</v>
      </c>
      <c r="AO57" s="52">
        <v>12.809068</v>
      </c>
      <c r="AP57" s="52">
        <v>12.809068</v>
      </c>
      <c r="AQ57" s="52">
        <v>12.809068</v>
      </c>
      <c r="AR57" s="52">
        <v>12.809068</v>
      </c>
      <c r="AS57" s="52">
        <v>12.809068</v>
      </c>
      <c r="AT57" s="52">
        <v>12.809068</v>
      </c>
      <c r="AU57" s="52">
        <v>12.809068</v>
      </c>
      <c r="AV57" s="52">
        <v>12.809068</v>
      </c>
      <c r="AW57" s="52">
        <v>12.809068</v>
      </c>
      <c r="AX57" s="52">
        <v>12.809068</v>
      </c>
      <c r="AY57" s="52">
        <v>12.809068</v>
      </c>
      <c r="AZ57" s="52">
        <v>12.809068</v>
      </c>
      <c r="BA57" s="52">
        <v>12.809068</v>
      </c>
      <c r="BB57" s="52">
        <v>12.809068</v>
      </c>
      <c r="BC57" s="52">
        <v>12.809068</v>
      </c>
      <c r="BD57" s="52">
        <v>12.809068</v>
      </c>
      <c r="BE57" s="52">
        <v>12.809068</v>
      </c>
      <c r="BF57" s="52">
        <v>12.809068</v>
      </c>
      <c r="BG57" s="52">
        <v>12.809068</v>
      </c>
      <c r="BH57" s="52">
        <v>12.809068</v>
      </c>
      <c r="BI57" s="52">
        <v>12.809068</v>
      </c>
      <c r="BJ57" s="52">
        <v>12.809068</v>
      </c>
      <c r="BK57" s="52">
        <v>12.809068</v>
      </c>
      <c r="BL57" s="52">
        <v>12.809068</v>
      </c>
      <c r="BM57" s="52">
        <v>12.809068</v>
      </c>
      <c r="BN57" s="52">
        <v>12.809068</v>
      </c>
      <c r="BO57" s="52">
        <v>12.809068</v>
      </c>
      <c r="BP57" s="52">
        <v>12.809068</v>
      </c>
      <c r="BQ57" s="52">
        <v>12.809068</v>
      </c>
      <c r="BR57" s="52">
        <v>12.809068</v>
      </c>
      <c r="BS57" s="52">
        <v>12.809068</v>
      </c>
      <c r="BT57" s="52">
        <v>12.809068</v>
      </c>
      <c r="BU57" s="52">
        <v>12.809068</v>
      </c>
      <c r="BV57" s="52">
        <v>12.809068</v>
      </c>
      <c r="BW57" s="52">
        <v>12.809068</v>
      </c>
      <c r="BX57" s="52">
        <v>12.809068</v>
      </c>
      <c r="BY57" s="52">
        <v>12.809068</v>
      </c>
      <c r="BZ57" s="52">
        <v>12.809068</v>
      </c>
      <c r="CA57" s="52">
        <v>12.809068</v>
      </c>
      <c r="CB57" s="52">
        <v>12.809068</v>
      </c>
      <c r="CC57" s="52">
        <v>12.809068</v>
      </c>
      <c r="CD57" s="52">
        <v>12.809068</v>
      </c>
      <c r="CE57" s="52">
        <v>12.809068</v>
      </c>
      <c r="CF57" s="52">
        <v>12.809068</v>
      </c>
      <c r="CG57" s="52">
        <v>12.809068</v>
      </c>
      <c r="CH57" s="52">
        <v>12.809068</v>
      </c>
      <c r="CI57" s="52">
        <v>12.809068</v>
      </c>
      <c r="CJ57" s="52">
        <v>12.809068</v>
      </c>
      <c r="CK57" s="52">
        <v>12.809068</v>
      </c>
      <c r="CL57" s="52">
        <v>12.809068</v>
      </c>
      <c r="CM57" s="52">
        <v>12.809068</v>
      </c>
      <c r="CN57" s="52">
        <v>12.809068</v>
      </c>
      <c r="CO57" s="52">
        <v>12.809068</v>
      </c>
      <c r="CP57" s="52">
        <v>12.809068</v>
      </c>
      <c r="CQ57" s="52">
        <v>12.809068</v>
      </c>
      <c r="CR57" s="52">
        <v>12.809068</v>
      </c>
      <c r="CS57" s="52">
        <v>12.809068</v>
      </c>
      <c r="CT57" s="52">
        <v>12.809068</v>
      </c>
      <c r="CU57" s="52">
        <v>12.809068</v>
      </c>
      <c r="CV57" s="52">
        <v>12.809068</v>
      </c>
      <c r="CW57" s="52">
        <v>12.809068</v>
      </c>
      <c r="CX57" s="52">
        <v>12.809068</v>
      </c>
      <c r="CY57" s="52">
        <v>12.809068</v>
      </c>
      <c r="CZ57" s="52">
        <v>12.809068</v>
      </c>
      <c r="DA57" s="52">
        <v>12.809068</v>
      </c>
      <c r="DB57" s="52">
        <v>12.809068</v>
      </c>
      <c r="DC57" s="52">
        <v>12.809068</v>
      </c>
      <c r="DD57" s="52">
        <v>12.809068</v>
      </c>
      <c r="DE57" s="52">
        <v>12.809068</v>
      </c>
      <c r="DF57" s="52">
        <v>12.809068</v>
      </c>
      <c r="DG57" s="52">
        <v>12.809068</v>
      </c>
      <c r="DH57" s="52">
        <v>12.809068</v>
      </c>
      <c r="DI57" s="52">
        <v>12.809068</v>
      </c>
      <c r="DJ57" s="52">
        <v>12.809068</v>
      </c>
      <c r="DK57" s="52">
        <v>12.809068</v>
      </c>
      <c r="DL57" s="52">
        <v>12.809068</v>
      </c>
      <c r="DM57" s="52">
        <v>12.809068</v>
      </c>
      <c r="DN57" s="52">
        <v>12.809068</v>
      </c>
      <c r="DO57" s="52">
        <v>12.809068</v>
      </c>
      <c r="DP57" s="52">
        <v>12.809068</v>
      </c>
      <c r="DQ57" s="52">
        <v>12.809068</v>
      </c>
      <c r="DR57" s="52">
        <v>12.809068</v>
      </c>
      <c r="DS57" s="52">
        <v>12.809068</v>
      </c>
      <c r="DT57" s="52">
        <v>12.809068</v>
      </c>
      <c r="DU57" s="52">
        <v>12.809068</v>
      </c>
      <c r="DV57" s="52">
        <v>12.809068</v>
      </c>
      <c r="DW57" s="52">
        <v>12.809068</v>
      </c>
      <c r="DX57" s="52">
        <v>12.809068</v>
      </c>
      <c r="DY57" s="52">
        <v>12.809068</v>
      </c>
      <c r="DZ57" s="52">
        <v>12.809068</v>
      </c>
      <c r="EA57" s="52">
        <v>12.809068</v>
      </c>
      <c r="EB57" s="52">
        <v>12.809068</v>
      </c>
      <c r="EC57" s="52">
        <v>12.809068</v>
      </c>
      <c r="ED57" s="52">
        <v>12.809068</v>
      </c>
      <c r="EE57" s="52">
        <v>12.809068</v>
      </c>
      <c r="EF57" s="52">
        <v>12.809068</v>
      </c>
      <c r="EG57" s="52">
        <v>12.809068</v>
      </c>
      <c r="EH57" s="52">
        <v>12.809068</v>
      </c>
      <c r="EI57" s="52">
        <v>12.809068</v>
      </c>
      <c r="EJ57" s="52">
        <v>12.809068</v>
      </c>
      <c r="EK57" s="52">
        <v>12.809068</v>
      </c>
      <c r="EL57" s="52">
        <v>12.809068</v>
      </c>
      <c r="EM57" s="52">
        <v>12.809068</v>
      </c>
      <c r="EN57" s="52">
        <v>12.809068</v>
      </c>
      <c r="EO57" s="52">
        <v>12.809068</v>
      </c>
      <c r="EP57" s="52">
        <v>12.809068</v>
      </c>
      <c r="EQ57" s="52">
        <v>12.809068</v>
      </c>
      <c r="ER57" s="52">
        <v>12.809068</v>
      </c>
      <c r="ES57" s="52">
        <v>12.809068</v>
      </c>
      <c r="ET57" s="52">
        <v>12.809068</v>
      </c>
      <c r="EU57" s="52">
        <v>12.809068</v>
      </c>
      <c r="EV57" s="52">
        <v>12.809068</v>
      </c>
      <c r="EW57" s="52">
        <v>12.809068</v>
      </c>
      <c r="EX57" s="52">
        <v>12.809068</v>
      </c>
      <c r="EY57" s="52">
        <v>12.809068</v>
      </c>
      <c r="EZ57" s="52">
        <v>12.809068</v>
      </c>
      <c r="FA57" s="52">
        <v>12.809068</v>
      </c>
      <c r="FB57" s="52">
        <v>12.809068</v>
      </c>
      <c r="FC57" s="52">
        <v>12.809068</v>
      </c>
      <c r="FD57" s="52">
        <v>12.809068</v>
      </c>
      <c r="FE57" s="52">
        <v>12.809068</v>
      </c>
      <c r="FF57" s="52">
        <v>12.809068</v>
      </c>
      <c r="FG57" s="52">
        <v>12.809068</v>
      </c>
      <c r="FH57" s="52">
        <v>12.809068</v>
      </c>
      <c r="FI57" s="52">
        <v>12.809068</v>
      </c>
      <c r="FJ57" s="52">
        <v>12.809068</v>
      </c>
      <c r="FK57" s="52">
        <v>12.809068</v>
      </c>
      <c r="FL57" s="52">
        <v>12.809068</v>
      </c>
      <c r="FM57" s="52">
        <v>12.809068</v>
      </c>
      <c r="FN57" s="52">
        <v>12.809068</v>
      </c>
      <c r="FO57" s="52">
        <v>12.809068</v>
      </c>
      <c r="FP57" s="52">
        <v>12.809068</v>
      </c>
      <c r="FQ57" s="52">
        <v>12.809068</v>
      </c>
      <c r="FR57" s="52">
        <v>12.809068</v>
      </c>
      <c r="FS57" s="52">
        <v>12.809068</v>
      </c>
      <c r="FT57" s="52">
        <v>12.809068</v>
      </c>
      <c r="FU57" s="52">
        <v>12.809068</v>
      </c>
      <c r="FV57" s="52">
        <v>12.809068</v>
      </c>
      <c r="FW57" s="52">
        <v>12.809068</v>
      </c>
      <c r="FX57" s="52">
        <v>12.809068</v>
      </c>
      <c r="FY57" s="52">
        <v>12.809068</v>
      </c>
      <c r="FZ57" s="52">
        <v>12.809068</v>
      </c>
      <c r="GA57" s="52">
        <v>12.809068</v>
      </c>
      <c r="GB57" s="52">
        <v>12.809068</v>
      </c>
      <c r="GC57" s="52">
        <v>12.809068</v>
      </c>
      <c r="GD57" s="52">
        <v>12.809068</v>
      </c>
      <c r="GE57" s="52">
        <v>12.809068</v>
      </c>
      <c r="GF57" s="52">
        <v>12.809068</v>
      </c>
      <c r="GG57" s="52">
        <v>12.809068</v>
      </c>
      <c r="GH57" s="52">
        <v>12.809068</v>
      </c>
      <c r="GI57" s="52">
        <v>12.809068</v>
      </c>
      <c r="GJ57" s="52">
        <v>12.809068</v>
      </c>
      <c r="GK57" s="52">
        <v>12.809068</v>
      </c>
      <c r="GL57" s="52">
        <v>12.809068</v>
      </c>
      <c r="GM57" s="52">
        <v>12.809068</v>
      </c>
      <c r="GN57" s="52">
        <v>12.809068</v>
      </c>
      <c r="GO57" s="52">
        <v>12.809068</v>
      </c>
      <c r="GP57" s="52">
        <v>12.809068</v>
      </c>
      <c r="GQ57" s="52">
        <v>12.809068</v>
      </c>
      <c r="GR57" s="52">
        <v>12.809068</v>
      </c>
      <c r="GS57" s="52">
        <v>12.809068</v>
      </c>
      <c r="GT57" s="52">
        <v>12.809068</v>
      </c>
      <c r="GU57" s="52">
        <v>12.809068</v>
      </c>
      <c r="GV57" s="52">
        <v>12.809068</v>
      </c>
      <c r="GW57" s="52">
        <v>12.809068</v>
      </c>
      <c r="GX57" s="52">
        <v>12.809068</v>
      </c>
      <c r="GY57" s="52">
        <v>12.809068</v>
      </c>
      <c r="GZ57" s="52">
        <v>12.809068</v>
      </c>
      <c r="HA57" s="52">
        <v>12.809068</v>
      </c>
      <c r="HB57" s="52">
        <v>12.809068</v>
      </c>
      <c r="HC57" s="52">
        <v>12.809068</v>
      </c>
      <c r="HD57" s="52">
        <v>12.809068</v>
      </c>
      <c r="HE57" s="52">
        <v>12.809068</v>
      </c>
      <c r="HF57" s="52">
        <v>12.809068</v>
      </c>
      <c r="HG57" s="52">
        <v>12.809068</v>
      </c>
      <c r="HH57" s="52">
        <v>12.809068</v>
      </c>
      <c r="HI57" s="52">
        <v>12.809068</v>
      </c>
      <c r="HJ57" s="52">
        <v>12.809068</v>
      </c>
      <c r="HK57" s="52">
        <v>12.809068</v>
      </c>
      <c r="HL57" s="52">
        <v>12.809068</v>
      </c>
      <c r="HM57" s="52">
        <v>12.809068</v>
      </c>
      <c r="HN57" s="52">
        <v>12.809068</v>
      </c>
      <c r="HO57" s="52">
        <v>12.809068</v>
      </c>
      <c r="HP57" s="52">
        <v>12.809068</v>
      </c>
      <c r="HQ57" s="52">
        <v>12.809068</v>
      </c>
      <c r="HR57" s="52">
        <v>12.809068</v>
      </c>
      <c r="HS57" s="52">
        <v>12.809068</v>
      </c>
      <c r="HT57" s="52">
        <v>12.809068</v>
      </c>
      <c r="HU57" s="52">
        <v>12.809068</v>
      </c>
      <c r="HV57" s="52">
        <v>12.809068</v>
      </c>
      <c r="HW57" s="52">
        <v>12.809068</v>
      </c>
      <c r="HX57" s="52">
        <v>12.809068</v>
      </c>
      <c r="HY57" s="52">
        <v>12.809068</v>
      </c>
      <c r="HZ57" s="52">
        <v>12.809068</v>
      </c>
      <c r="IA57" s="52">
        <v>12.809068</v>
      </c>
      <c r="IB57" s="52">
        <v>12.809068</v>
      </c>
      <c r="IC57" s="52">
        <v>12.809068</v>
      </c>
      <c r="ID57" s="52">
        <v>12.809068</v>
      </c>
      <c r="IE57" s="52">
        <v>12.809068</v>
      </c>
      <c r="IF57" s="52">
        <v>12.809068</v>
      </c>
      <c r="IG57" s="52">
        <v>12.809068</v>
      </c>
      <c r="IH57" s="52">
        <v>12.809068</v>
      </c>
      <c r="II57" s="52">
        <v>12.809068</v>
      </c>
      <c r="IJ57" s="52">
        <v>12.809068</v>
      </c>
      <c r="IK57" s="52">
        <v>12.809068</v>
      </c>
      <c r="IL57" s="52">
        <v>12.809068</v>
      </c>
      <c r="IM57" s="52">
        <v>12.809068</v>
      </c>
      <c r="IN57" s="52">
        <v>12.809068</v>
      </c>
      <c r="IO57" s="52">
        <v>12.809068</v>
      </c>
      <c r="IP57" s="52">
        <v>12.809068</v>
      </c>
      <c r="IQ57" s="52">
        <v>12.809068</v>
      </c>
      <c r="IR57" s="52">
        <v>12.809068</v>
      </c>
      <c r="IS57" s="52">
        <v>12.809068</v>
      </c>
      <c r="IT57" s="52">
        <v>12.742822</v>
      </c>
      <c r="IU57" s="52" t="s">
        <v>668</v>
      </c>
      <c r="IV57" s="52" t="s">
        <v>668</v>
      </c>
      <c r="IW57" s="52" t="s">
        <v>668</v>
      </c>
      <c r="IX57" s="52" t="s">
        <v>668</v>
      </c>
      <c r="IY57" s="52" t="s">
        <v>668</v>
      </c>
      <c r="IZ57" s="52" t="s">
        <v>668</v>
      </c>
      <c r="JA57" s="52" t="s">
        <v>668</v>
      </c>
      <c r="JB57" s="52" t="s">
        <v>668</v>
      </c>
      <c r="JC57" s="52" t="s">
        <v>668</v>
      </c>
      <c r="JD57" s="52" t="s">
        <v>668</v>
      </c>
      <c r="JE57" s="52" t="s">
        <v>668</v>
      </c>
      <c r="JF57" s="52" t="s">
        <v>668</v>
      </c>
      <c r="JG57" s="52" t="s">
        <v>668</v>
      </c>
      <c r="JH57" s="52" t="s">
        <v>668</v>
      </c>
      <c r="JI57" s="52" t="s">
        <v>668</v>
      </c>
      <c r="JJ57" s="52" t="s">
        <v>668</v>
      </c>
      <c r="JK57" s="52" t="s">
        <v>668</v>
      </c>
      <c r="JL57" s="52" t="s">
        <v>668</v>
      </c>
      <c r="JM57" s="52" t="s">
        <v>668</v>
      </c>
      <c r="JN57" s="52" t="s">
        <v>668</v>
      </c>
      <c r="JO57" s="52" t="s">
        <v>668</v>
      </c>
      <c r="JP57" s="52" t="s">
        <v>668</v>
      </c>
      <c r="JQ57" s="52" t="s">
        <v>668</v>
      </c>
      <c r="JR57" s="52" t="s">
        <v>668</v>
      </c>
      <c r="JS57" s="52" t="s">
        <v>668</v>
      </c>
      <c r="JT57" s="52" t="s">
        <v>668</v>
      </c>
      <c r="JU57" s="52" t="s">
        <v>668</v>
      </c>
      <c r="JV57" s="52" t="s">
        <v>668</v>
      </c>
      <c r="JW57" s="52" t="s">
        <v>668</v>
      </c>
      <c r="JX57" s="52" t="s">
        <v>668</v>
      </c>
      <c r="JY57" s="52" t="s">
        <v>668</v>
      </c>
      <c r="JZ57" s="52" t="s">
        <v>668</v>
      </c>
      <c r="KA57" s="52" t="s">
        <v>668</v>
      </c>
      <c r="KB57" s="52" t="s">
        <v>668</v>
      </c>
      <c r="KC57" s="52" t="s">
        <v>668</v>
      </c>
      <c r="KD57" s="52" t="s">
        <v>668</v>
      </c>
      <c r="KE57" s="52" t="s">
        <v>668</v>
      </c>
      <c r="KF57" s="52" t="s">
        <v>668</v>
      </c>
      <c r="KG57" s="52" t="s">
        <v>668</v>
      </c>
      <c r="KH57" s="52" t="s">
        <v>668</v>
      </c>
      <c r="KI57" s="52" t="s">
        <v>668</v>
      </c>
      <c r="KJ57" s="52" t="s">
        <v>668</v>
      </c>
      <c r="KK57" s="52" t="s">
        <v>668</v>
      </c>
      <c r="KL57" s="52" t="s">
        <v>668</v>
      </c>
      <c r="KM57" s="52" t="s">
        <v>668</v>
      </c>
      <c r="KN57" s="52" t="s">
        <v>668</v>
      </c>
      <c r="KO57" s="52" t="s">
        <v>668</v>
      </c>
      <c r="KP57" s="52" t="s">
        <v>668</v>
      </c>
      <c r="KQ57" s="52" t="s">
        <v>668</v>
      </c>
      <c r="KR57" s="52" t="s">
        <v>668</v>
      </c>
      <c r="KS57" s="52" t="s">
        <v>668</v>
      </c>
      <c r="KT57" s="52" t="s">
        <v>668</v>
      </c>
      <c r="KU57" s="52" t="s">
        <v>668</v>
      </c>
      <c r="KV57" s="52" t="s">
        <v>668</v>
      </c>
      <c r="KW57" s="52" t="s">
        <v>668</v>
      </c>
      <c r="KX57" s="37" t="s">
        <v>668</v>
      </c>
      <c r="KY57" s="37" t="s">
        <v>668</v>
      </c>
      <c r="KZ57" s="37" t="s">
        <v>668</v>
      </c>
      <c r="LA57" s="37" t="s">
        <v>668</v>
      </c>
      <c r="LB57" s="37" t="s">
        <v>668</v>
      </c>
      <c r="LC57" s="37" t="s">
        <v>668</v>
      </c>
      <c r="LD57" s="37" t="s">
        <v>668</v>
      </c>
      <c r="LE57" s="37" t="s">
        <v>668</v>
      </c>
      <c r="LF57" s="37" t="s">
        <v>668</v>
      </c>
      <c r="LG57" s="37" t="s">
        <v>668</v>
      </c>
      <c r="LH57" s="37" t="s">
        <v>668</v>
      </c>
      <c r="LI57" s="37" t="s">
        <v>668</v>
      </c>
      <c r="LJ57" s="37" t="s">
        <v>668</v>
      </c>
      <c r="LK57" s="37" t="s">
        <v>668</v>
      </c>
      <c r="LL57" s="37" t="s">
        <v>668</v>
      </c>
      <c r="LM57" s="37" t="s">
        <v>668</v>
      </c>
      <c r="LN57" s="37" t="s">
        <v>668</v>
      </c>
      <c r="LO57" s="37" t="s">
        <v>668</v>
      </c>
      <c r="LP57" s="37" t="s">
        <v>668</v>
      </c>
      <c r="LQ57" s="37" t="s">
        <v>668</v>
      </c>
      <c r="LR57" s="37" t="s">
        <v>668</v>
      </c>
      <c r="LS57" s="37" t="s">
        <v>668</v>
      </c>
      <c r="LT57" s="37" t="s">
        <v>668</v>
      </c>
      <c r="LU57" s="37" t="s">
        <v>668</v>
      </c>
      <c r="LV57" s="37" t="s">
        <v>668</v>
      </c>
      <c r="LW57" s="37" t="s">
        <v>668</v>
      </c>
      <c r="LX57" s="37" t="s">
        <v>668</v>
      </c>
      <c r="LY57" s="37" t="s">
        <v>668</v>
      </c>
      <c r="LZ57" s="37" t="s">
        <v>668</v>
      </c>
      <c r="MA57" s="37" t="s">
        <v>668</v>
      </c>
      <c r="MB57" s="37" t="s">
        <v>668</v>
      </c>
      <c r="MC57" s="37" t="s">
        <v>668</v>
      </c>
      <c r="MD57" s="37" t="s">
        <v>668</v>
      </c>
      <c r="ME57" s="37" t="s">
        <v>668</v>
      </c>
      <c r="MF57" s="37" t="s">
        <v>668</v>
      </c>
      <c r="MG57" s="37" t="s">
        <v>668</v>
      </c>
      <c r="MH57" s="37" t="s">
        <v>668</v>
      </c>
      <c r="MI57" s="37" t="s">
        <v>668</v>
      </c>
      <c r="MJ57" s="37" t="s">
        <v>668</v>
      </c>
      <c r="MK57" s="37" t="s">
        <v>668</v>
      </c>
      <c r="ML57" s="37" t="s">
        <v>668</v>
      </c>
      <c r="MM57" s="37" t="s">
        <v>668</v>
      </c>
      <c r="MN57" s="37" t="s">
        <v>668</v>
      </c>
      <c r="MO57" s="37" t="s">
        <v>668</v>
      </c>
      <c r="MP57" s="37" t="s">
        <v>668</v>
      </c>
      <c r="MQ57" s="37" t="s">
        <v>668</v>
      </c>
      <c r="MR57" s="37" t="s">
        <v>668</v>
      </c>
      <c r="MS57" s="37" t="s">
        <v>668</v>
      </c>
      <c r="MT57" s="37" t="s">
        <v>668</v>
      </c>
      <c r="MU57" s="37" t="s">
        <v>668</v>
      </c>
      <c r="MV57" s="37" t="s">
        <v>668</v>
      </c>
      <c r="MW57" s="37" t="s">
        <v>668</v>
      </c>
      <c r="MX57" s="37" t="s">
        <v>668</v>
      </c>
      <c r="MY57" s="37" t="s">
        <v>668</v>
      </c>
      <c r="MZ57" s="37" t="s">
        <v>668</v>
      </c>
      <c r="NA57" s="37" t="s">
        <v>668</v>
      </c>
      <c r="NB57" s="37" t="s">
        <v>668</v>
      </c>
      <c r="NC57" s="37" t="s">
        <v>668</v>
      </c>
      <c r="ND57" s="37" t="s">
        <v>668</v>
      </c>
      <c r="NE57" s="37" t="s">
        <v>668</v>
      </c>
      <c r="NF57" s="37" t="s">
        <v>668</v>
      </c>
      <c r="NG57" s="37" t="s">
        <v>668</v>
      </c>
      <c r="NH57" s="37" t="s">
        <v>668</v>
      </c>
      <c r="NI57" s="37" t="s">
        <v>668</v>
      </c>
      <c r="NJ57" s="37" t="s">
        <v>668</v>
      </c>
      <c r="NK57" s="37" t="s">
        <v>668</v>
      </c>
      <c r="NL57" s="37" t="s">
        <v>668</v>
      </c>
      <c r="NM57" s="37" t="s">
        <v>668</v>
      </c>
      <c r="NN57" s="37" t="s">
        <v>668</v>
      </c>
      <c r="NO57" s="37" t="s">
        <v>668</v>
      </c>
      <c r="NP57" s="37" t="s">
        <v>668</v>
      </c>
      <c r="NQ57" s="37" t="s">
        <v>668</v>
      </c>
      <c r="NR57" s="37" t="s">
        <v>668</v>
      </c>
      <c r="NS57" s="37" t="s">
        <v>668</v>
      </c>
      <c r="NT57" s="37" t="s">
        <v>668</v>
      </c>
      <c r="NU57" s="37" t="s">
        <v>668</v>
      </c>
      <c r="NV57" s="37" t="s">
        <v>668</v>
      </c>
      <c r="NW57" s="37" t="s">
        <v>668</v>
      </c>
      <c r="NX57" s="37" t="s">
        <v>668</v>
      </c>
      <c r="NY57" s="37" t="s">
        <v>668</v>
      </c>
      <c r="NZ57" s="37" t="s">
        <v>668</v>
      </c>
      <c r="OA57" s="37" t="s">
        <v>668</v>
      </c>
      <c r="OB57" s="37" t="s">
        <v>668</v>
      </c>
      <c r="OC57" s="37" t="s">
        <v>668</v>
      </c>
      <c r="OD57" s="37" t="s">
        <v>668</v>
      </c>
      <c r="OE57" s="37" t="s">
        <v>668</v>
      </c>
      <c r="OF57" s="37" t="s">
        <v>668</v>
      </c>
      <c r="OG57" s="37" t="s">
        <v>668</v>
      </c>
      <c r="OH57" s="37" t="s">
        <v>668</v>
      </c>
      <c r="OI57" s="37" t="s">
        <v>668</v>
      </c>
      <c r="OJ57" s="37" t="s">
        <v>668</v>
      </c>
      <c r="OK57" s="37" t="s">
        <v>668</v>
      </c>
      <c r="OL57" s="37" t="s">
        <v>668</v>
      </c>
      <c r="OM57" s="37" t="s">
        <v>668</v>
      </c>
      <c r="ON57" s="37" t="s">
        <v>668</v>
      </c>
      <c r="OO57" s="37" t="s">
        <v>668</v>
      </c>
      <c r="OP57" s="37" t="s">
        <v>668</v>
      </c>
      <c r="OQ57" s="37" t="s">
        <v>668</v>
      </c>
      <c r="OR57" s="37" t="s">
        <v>668</v>
      </c>
      <c r="OS57" s="37" t="s">
        <v>668</v>
      </c>
      <c r="OT57" s="37" t="s">
        <v>668</v>
      </c>
      <c r="OU57" s="37" t="s">
        <v>668</v>
      </c>
      <c r="OV57" s="37" t="s">
        <v>668</v>
      </c>
      <c r="OW57" s="37" t="s">
        <v>668</v>
      </c>
      <c r="OX57" s="37" t="s">
        <v>668</v>
      </c>
      <c r="OY57" s="37" t="s">
        <v>668</v>
      </c>
      <c r="OZ57" s="37" t="s">
        <v>668</v>
      </c>
      <c r="PA57" s="37" t="s">
        <v>668</v>
      </c>
      <c r="PB57" s="37" t="s">
        <v>668</v>
      </c>
      <c r="PC57" s="37" t="s">
        <v>668</v>
      </c>
      <c r="PD57" s="37" t="s">
        <v>668</v>
      </c>
      <c r="PE57" s="37" t="s">
        <v>668</v>
      </c>
      <c r="PF57" s="37" t="s">
        <v>668</v>
      </c>
      <c r="PG57" s="37" t="s">
        <v>668</v>
      </c>
      <c r="PH57" s="37" t="s">
        <v>668</v>
      </c>
      <c r="PI57" s="37" t="s">
        <v>668</v>
      </c>
      <c r="PJ57" s="37" t="s">
        <v>668</v>
      </c>
      <c r="PK57" s="37" t="s">
        <v>668</v>
      </c>
      <c r="PL57" s="37" t="s">
        <v>668</v>
      </c>
      <c r="PM57" s="37" t="s">
        <v>668</v>
      </c>
      <c r="PN57" s="37" t="s">
        <v>668</v>
      </c>
      <c r="PO57" s="37" t="s">
        <v>668</v>
      </c>
      <c r="PP57" s="37" t="s">
        <v>668</v>
      </c>
      <c r="PQ57" s="37" t="s">
        <v>668</v>
      </c>
      <c r="PR57" s="37" t="s">
        <v>668</v>
      </c>
      <c r="PS57" s="15" t="s">
        <v>668</v>
      </c>
      <c r="PT57" s="15" t="s">
        <v>668</v>
      </c>
      <c r="PU57" s="15" t="s">
        <v>668</v>
      </c>
      <c r="PV57" s="15" t="s">
        <v>668</v>
      </c>
      <c r="PW57" s="15" t="s">
        <v>668</v>
      </c>
      <c r="PX57" s="15" t="s">
        <v>668</v>
      </c>
      <c r="PY57" s="15" t="s">
        <v>668</v>
      </c>
      <c r="PZ57" s="15" t="s">
        <v>668</v>
      </c>
      <c r="QA57" s="15" t="s">
        <v>668</v>
      </c>
      <c r="QB57" s="15" t="s">
        <v>668</v>
      </c>
      <c r="QC57" s="15" t="s">
        <v>668</v>
      </c>
      <c r="QD57" s="15" t="s">
        <v>668</v>
      </c>
      <c r="QE57" s="15" t="s">
        <v>668</v>
      </c>
      <c r="QF57" s="15" t="s">
        <v>668</v>
      </c>
      <c r="QG57" s="15" t="s">
        <v>668</v>
      </c>
      <c r="QH57" s="15" t="s">
        <v>668</v>
      </c>
      <c r="QI57" s="15" t="s">
        <v>668</v>
      </c>
      <c r="QJ57" s="15" t="s">
        <v>668</v>
      </c>
      <c r="QK57" s="15" t="s">
        <v>668</v>
      </c>
      <c r="QL57" s="15" t="s">
        <v>668</v>
      </c>
      <c r="QM57" s="15" t="s">
        <v>668</v>
      </c>
      <c r="QN57" s="15" t="s">
        <v>668</v>
      </c>
      <c r="QO57" s="15" t="s">
        <v>668</v>
      </c>
      <c r="QP57" s="15" t="s">
        <v>668</v>
      </c>
      <c r="QQ57" s="15" t="s">
        <v>668</v>
      </c>
      <c r="QR57" s="15" t="s">
        <v>668</v>
      </c>
      <c r="QS57" s="15" t="s">
        <v>668</v>
      </c>
      <c r="QT57" s="15" t="s">
        <v>668</v>
      </c>
      <c r="QU57" s="15" t="s">
        <v>668</v>
      </c>
      <c r="QV57" s="15" t="s">
        <v>668</v>
      </c>
      <c r="QW57" s="15" t="s">
        <v>668</v>
      </c>
      <c r="QX57" s="15" t="s">
        <v>668</v>
      </c>
      <c r="QY57" s="15" t="s">
        <v>668</v>
      </c>
      <c r="QZ57" s="15" t="s">
        <v>668</v>
      </c>
      <c r="RA57" s="15" t="s">
        <v>668</v>
      </c>
      <c r="RB57" s="15" t="s">
        <v>668</v>
      </c>
      <c r="RC57" s="15" t="s">
        <v>668</v>
      </c>
      <c r="RD57" s="15" t="s">
        <v>668</v>
      </c>
      <c r="RE57" s="15" t="s">
        <v>668</v>
      </c>
      <c r="RF57" s="15" t="s">
        <v>668</v>
      </c>
      <c r="RG57" s="15" t="s">
        <v>668</v>
      </c>
      <c r="RH57" s="15" t="s">
        <v>668</v>
      </c>
      <c r="RI57" s="15" t="s">
        <v>668</v>
      </c>
      <c r="RJ57" s="15" t="s">
        <v>668</v>
      </c>
      <c r="RK57" s="15" t="s">
        <v>668</v>
      </c>
      <c r="RL57" s="15" t="s">
        <v>668</v>
      </c>
      <c r="RM57" s="15" t="s">
        <v>668</v>
      </c>
      <c r="RN57" s="15" t="s">
        <v>668</v>
      </c>
      <c r="RO57" s="15" t="s">
        <v>668</v>
      </c>
      <c r="RP57" s="15" t="s">
        <v>668</v>
      </c>
      <c r="RQ57" s="15" t="s">
        <v>668</v>
      </c>
      <c r="RR57" s="15" t="s">
        <v>668</v>
      </c>
      <c r="RS57" s="15" t="s">
        <v>668</v>
      </c>
      <c r="RT57" s="15" t="s">
        <v>668</v>
      </c>
      <c r="RU57" s="15" t="s">
        <v>668</v>
      </c>
      <c r="RV57" s="15" t="s">
        <v>668</v>
      </c>
      <c r="RW57" s="15" t="s">
        <v>668</v>
      </c>
      <c r="RX57" s="15" t="s">
        <v>668</v>
      </c>
      <c r="RY57" s="15" t="s">
        <v>668</v>
      </c>
      <c r="RZ57" s="15" t="s">
        <v>668</v>
      </c>
      <c r="SA57" s="15" t="s">
        <v>668</v>
      </c>
      <c r="SB57" s="15" t="s">
        <v>668</v>
      </c>
      <c r="SC57" s="15" t="s">
        <v>668</v>
      </c>
      <c r="SD57" s="15" t="s">
        <v>668</v>
      </c>
      <c r="SE57" s="15" t="s">
        <v>668</v>
      </c>
      <c r="SF57" s="15" t="s">
        <v>668</v>
      </c>
      <c r="SG57" s="15" t="s">
        <v>668</v>
      </c>
      <c r="SH57" s="15" t="s">
        <v>668</v>
      </c>
      <c r="SI57" s="15" t="s">
        <v>668</v>
      </c>
      <c r="SJ57" s="15" t="s">
        <v>668</v>
      </c>
      <c r="SK57" s="15" t="s">
        <v>668</v>
      </c>
      <c r="SL57" s="15" t="s">
        <v>668</v>
      </c>
      <c r="SM57" s="15" t="s">
        <v>668</v>
      </c>
      <c r="SN57" s="15" t="s">
        <v>668</v>
      </c>
    </row>
    <row r="58" spans="1:508" x14ac:dyDescent="0.2">
      <c r="A58" s="37">
        <v>56</v>
      </c>
      <c r="B58" s="48" t="s">
        <v>740</v>
      </c>
      <c r="C58" s="17">
        <f>+'Detalle Compras'!D58</f>
        <v>202507280079</v>
      </c>
      <c r="D58" s="55">
        <f t="shared" si="13"/>
        <v>12.93225</v>
      </c>
      <c r="E58" s="14">
        <f>+IF(B58="","",'Detalle Compras'!S58+0)</f>
        <v>45910</v>
      </c>
      <c r="F58" s="14">
        <f>+IF(B58="","",EOMONTH('Detalle Compras'!S58,G58)+10)</f>
        <v>56897</v>
      </c>
      <c r="G58" s="50">
        <f t="shared" si="14"/>
        <v>360</v>
      </c>
      <c r="H58" s="50">
        <f t="shared" si="15"/>
        <v>355</v>
      </c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  <c r="Y58" s="52"/>
      <c r="Z58" s="52"/>
      <c r="AA58" s="52">
        <v>12.93225</v>
      </c>
      <c r="AB58" s="52">
        <v>12.93225</v>
      </c>
      <c r="AC58" s="52">
        <v>12.93225</v>
      </c>
      <c r="AD58" s="52">
        <v>12.93225</v>
      </c>
      <c r="AE58" s="52">
        <v>12.93225</v>
      </c>
      <c r="AF58" s="52">
        <v>12.93225</v>
      </c>
      <c r="AG58" s="52">
        <v>12.93225</v>
      </c>
      <c r="AH58" s="52">
        <v>12.93225</v>
      </c>
      <c r="AI58" s="52">
        <v>12.93225</v>
      </c>
      <c r="AJ58" s="52">
        <v>12.93225</v>
      </c>
      <c r="AK58" s="52">
        <v>12.93225</v>
      </c>
      <c r="AL58" s="52">
        <v>12.93225</v>
      </c>
      <c r="AM58" s="52">
        <v>12.93225</v>
      </c>
      <c r="AN58" s="52">
        <v>12.93225</v>
      </c>
      <c r="AO58" s="52">
        <v>12.93225</v>
      </c>
      <c r="AP58" s="52">
        <v>12.93225</v>
      </c>
      <c r="AQ58" s="52">
        <v>12.93225</v>
      </c>
      <c r="AR58" s="52">
        <v>12.93225</v>
      </c>
      <c r="AS58" s="52">
        <v>12.93225</v>
      </c>
      <c r="AT58" s="52">
        <v>12.93225</v>
      </c>
      <c r="AU58" s="52">
        <v>12.93225</v>
      </c>
      <c r="AV58" s="52">
        <v>12.93225</v>
      </c>
      <c r="AW58" s="52">
        <v>12.93225</v>
      </c>
      <c r="AX58" s="52">
        <v>12.93225</v>
      </c>
      <c r="AY58" s="52">
        <v>12.93225</v>
      </c>
      <c r="AZ58" s="52">
        <v>12.93225</v>
      </c>
      <c r="BA58" s="52">
        <v>12.93225</v>
      </c>
      <c r="BB58" s="52">
        <v>12.93225</v>
      </c>
      <c r="BC58" s="52">
        <v>12.93225</v>
      </c>
      <c r="BD58" s="52">
        <v>12.93225</v>
      </c>
      <c r="BE58" s="52">
        <v>12.93225</v>
      </c>
      <c r="BF58" s="52">
        <v>12.93225</v>
      </c>
      <c r="BG58" s="52">
        <v>12.93225</v>
      </c>
      <c r="BH58" s="52">
        <v>12.93225</v>
      </c>
      <c r="BI58" s="52">
        <v>12.93225</v>
      </c>
      <c r="BJ58" s="52">
        <v>12.93225</v>
      </c>
      <c r="BK58" s="52">
        <v>12.93225</v>
      </c>
      <c r="BL58" s="52">
        <v>12.93225</v>
      </c>
      <c r="BM58" s="52">
        <v>12.93225</v>
      </c>
      <c r="BN58" s="52">
        <v>12.93225</v>
      </c>
      <c r="BO58" s="52">
        <v>12.93225</v>
      </c>
      <c r="BP58" s="52">
        <v>12.93225</v>
      </c>
      <c r="BQ58" s="52">
        <v>12.93225</v>
      </c>
      <c r="BR58" s="52">
        <v>12.93225</v>
      </c>
      <c r="BS58" s="52">
        <v>12.93225</v>
      </c>
      <c r="BT58" s="52">
        <v>12.93225</v>
      </c>
      <c r="BU58" s="52">
        <v>12.93225</v>
      </c>
      <c r="BV58" s="52">
        <v>12.93225</v>
      </c>
      <c r="BW58" s="52">
        <v>12.93225</v>
      </c>
      <c r="BX58" s="52">
        <v>12.93225</v>
      </c>
      <c r="BY58" s="52">
        <v>12.93225</v>
      </c>
      <c r="BZ58" s="52">
        <v>12.93225</v>
      </c>
      <c r="CA58" s="52">
        <v>12.93225</v>
      </c>
      <c r="CB58" s="52">
        <v>12.93225</v>
      </c>
      <c r="CC58" s="52">
        <v>12.93225</v>
      </c>
      <c r="CD58" s="52">
        <v>12.93225</v>
      </c>
      <c r="CE58" s="52">
        <v>12.93225</v>
      </c>
      <c r="CF58" s="52">
        <v>12.93225</v>
      </c>
      <c r="CG58" s="52">
        <v>12.93225</v>
      </c>
      <c r="CH58" s="52">
        <v>12.93225</v>
      </c>
      <c r="CI58" s="52">
        <v>12.93225</v>
      </c>
      <c r="CJ58" s="52">
        <v>12.93225</v>
      </c>
      <c r="CK58" s="52">
        <v>12.93225</v>
      </c>
      <c r="CL58" s="52">
        <v>12.93225</v>
      </c>
      <c r="CM58" s="52">
        <v>12.93225</v>
      </c>
      <c r="CN58" s="52">
        <v>12.93225</v>
      </c>
      <c r="CO58" s="52">
        <v>12.93225</v>
      </c>
      <c r="CP58" s="52">
        <v>12.93225</v>
      </c>
      <c r="CQ58" s="52">
        <v>12.93225</v>
      </c>
      <c r="CR58" s="52">
        <v>12.93225</v>
      </c>
      <c r="CS58" s="52">
        <v>12.93225</v>
      </c>
      <c r="CT58" s="52">
        <v>12.93225</v>
      </c>
      <c r="CU58" s="52">
        <v>12.93225</v>
      </c>
      <c r="CV58" s="52">
        <v>12.93225</v>
      </c>
      <c r="CW58" s="52">
        <v>12.93225</v>
      </c>
      <c r="CX58" s="52">
        <v>12.93225</v>
      </c>
      <c r="CY58" s="52">
        <v>12.93225</v>
      </c>
      <c r="CZ58" s="52">
        <v>12.93225</v>
      </c>
      <c r="DA58" s="52">
        <v>12.93225</v>
      </c>
      <c r="DB58" s="52">
        <v>12.93225</v>
      </c>
      <c r="DC58" s="52">
        <v>12.93225</v>
      </c>
      <c r="DD58" s="52">
        <v>12.93225</v>
      </c>
      <c r="DE58" s="52">
        <v>12.93225</v>
      </c>
      <c r="DF58" s="52">
        <v>12.93225</v>
      </c>
      <c r="DG58" s="52">
        <v>12.93225</v>
      </c>
      <c r="DH58" s="52">
        <v>12.93225</v>
      </c>
      <c r="DI58" s="52">
        <v>12.93225</v>
      </c>
      <c r="DJ58" s="52">
        <v>12.93225</v>
      </c>
      <c r="DK58" s="52">
        <v>12.93225</v>
      </c>
      <c r="DL58" s="52">
        <v>12.93225</v>
      </c>
      <c r="DM58" s="52">
        <v>12.93225</v>
      </c>
      <c r="DN58" s="52">
        <v>12.93225</v>
      </c>
      <c r="DO58" s="52">
        <v>12.93225</v>
      </c>
      <c r="DP58" s="52">
        <v>12.93225</v>
      </c>
      <c r="DQ58" s="52">
        <v>12.93225</v>
      </c>
      <c r="DR58" s="52">
        <v>12.93225</v>
      </c>
      <c r="DS58" s="52">
        <v>12.93225</v>
      </c>
      <c r="DT58" s="52">
        <v>12.93225</v>
      </c>
      <c r="DU58" s="52">
        <v>12.93225</v>
      </c>
      <c r="DV58" s="52">
        <v>12.93225</v>
      </c>
      <c r="DW58" s="52">
        <v>12.93225</v>
      </c>
      <c r="DX58" s="52">
        <v>12.93225</v>
      </c>
      <c r="DY58" s="52">
        <v>12.93225</v>
      </c>
      <c r="DZ58" s="52">
        <v>12.93225</v>
      </c>
      <c r="EA58" s="52">
        <v>12.93225</v>
      </c>
      <c r="EB58" s="52">
        <v>12.93225</v>
      </c>
      <c r="EC58" s="52">
        <v>12.93225</v>
      </c>
      <c r="ED58" s="52">
        <v>12.93225</v>
      </c>
      <c r="EE58" s="52">
        <v>12.93225</v>
      </c>
      <c r="EF58" s="52">
        <v>12.93225</v>
      </c>
      <c r="EG58" s="52">
        <v>12.93225</v>
      </c>
      <c r="EH58" s="52">
        <v>12.93225</v>
      </c>
      <c r="EI58" s="52">
        <v>12.93225</v>
      </c>
      <c r="EJ58" s="52">
        <v>12.93225</v>
      </c>
      <c r="EK58" s="52">
        <v>12.93225</v>
      </c>
      <c r="EL58" s="52">
        <v>12.93225</v>
      </c>
      <c r="EM58" s="52">
        <v>12.93225</v>
      </c>
      <c r="EN58" s="52">
        <v>12.93225</v>
      </c>
      <c r="EO58" s="52">
        <v>12.93225</v>
      </c>
      <c r="EP58" s="52">
        <v>12.93225</v>
      </c>
      <c r="EQ58" s="52">
        <v>12.93225</v>
      </c>
      <c r="ER58" s="52">
        <v>12.93225</v>
      </c>
      <c r="ES58" s="52">
        <v>12.93225</v>
      </c>
      <c r="ET58" s="52">
        <v>12.93225</v>
      </c>
      <c r="EU58" s="52">
        <v>12.93225</v>
      </c>
      <c r="EV58" s="52">
        <v>12.93225</v>
      </c>
      <c r="EW58" s="52">
        <v>12.93225</v>
      </c>
      <c r="EX58" s="52">
        <v>12.93225</v>
      </c>
      <c r="EY58" s="52">
        <v>12.93225</v>
      </c>
      <c r="EZ58" s="52">
        <v>12.93225</v>
      </c>
      <c r="FA58" s="52">
        <v>12.93225</v>
      </c>
      <c r="FB58" s="52">
        <v>12.93225</v>
      </c>
      <c r="FC58" s="52">
        <v>12.93225</v>
      </c>
      <c r="FD58" s="52">
        <v>12.93225</v>
      </c>
      <c r="FE58" s="52">
        <v>12.93225</v>
      </c>
      <c r="FF58" s="52">
        <v>12.93225</v>
      </c>
      <c r="FG58" s="52">
        <v>12.93225</v>
      </c>
      <c r="FH58" s="52">
        <v>12.93225</v>
      </c>
      <c r="FI58" s="52">
        <v>12.93225</v>
      </c>
      <c r="FJ58" s="52">
        <v>12.93225</v>
      </c>
      <c r="FK58" s="52">
        <v>12.93225</v>
      </c>
      <c r="FL58" s="52">
        <v>12.93225</v>
      </c>
      <c r="FM58" s="52">
        <v>12.93225</v>
      </c>
      <c r="FN58" s="52">
        <v>12.93225</v>
      </c>
      <c r="FO58" s="52">
        <v>12.93225</v>
      </c>
      <c r="FP58" s="52">
        <v>12.93225</v>
      </c>
      <c r="FQ58" s="52">
        <v>12.93225</v>
      </c>
      <c r="FR58" s="52">
        <v>12.93225</v>
      </c>
      <c r="FS58" s="52">
        <v>12.93225</v>
      </c>
      <c r="FT58" s="52">
        <v>12.93225</v>
      </c>
      <c r="FU58" s="52">
        <v>12.93225</v>
      </c>
      <c r="FV58" s="52">
        <v>12.93225</v>
      </c>
      <c r="FW58" s="52">
        <v>12.93225</v>
      </c>
      <c r="FX58" s="52">
        <v>12.93225</v>
      </c>
      <c r="FY58" s="52">
        <v>12.93225</v>
      </c>
      <c r="FZ58" s="52">
        <v>12.93225</v>
      </c>
      <c r="GA58" s="52">
        <v>12.93225</v>
      </c>
      <c r="GB58" s="52">
        <v>12.93225</v>
      </c>
      <c r="GC58" s="52">
        <v>12.93225</v>
      </c>
      <c r="GD58" s="52">
        <v>12.93225</v>
      </c>
      <c r="GE58" s="52">
        <v>12.93225</v>
      </c>
      <c r="GF58" s="52">
        <v>12.93225</v>
      </c>
      <c r="GG58" s="52">
        <v>12.93225</v>
      </c>
      <c r="GH58" s="52">
        <v>12.93225</v>
      </c>
      <c r="GI58" s="52">
        <v>12.93225</v>
      </c>
      <c r="GJ58" s="52">
        <v>12.93225</v>
      </c>
      <c r="GK58" s="52">
        <v>12.93225</v>
      </c>
      <c r="GL58" s="52">
        <v>12.93225</v>
      </c>
      <c r="GM58" s="52">
        <v>12.93225</v>
      </c>
      <c r="GN58" s="52">
        <v>12.93225</v>
      </c>
      <c r="GO58" s="52">
        <v>12.93225</v>
      </c>
      <c r="GP58" s="52">
        <v>12.93225</v>
      </c>
      <c r="GQ58" s="52">
        <v>12.93225</v>
      </c>
      <c r="GR58" s="52">
        <v>12.93225</v>
      </c>
      <c r="GS58" s="52">
        <v>12.93225</v>
      </c>
      <c r="GT58" s="52">
        <v>12.93225</v>
      </c>
      <c r="GU58" s="52">
        <v>12.93225</v>
      </c>
      <c r="GV58" s="52">
        <v>12.93225</v>
      </c>
      <c r="GW58" s="52">
        <v>12.93225</v>
      </c>
      <c r="GX58" s="52">
        <v>12.93225</v>
      </c>
      <c r="GY58" s="52">
        <v>12.93225</v>
      </c>
      <c r="GZ58" s="52">
        <v>12.93225</v>
      </c>
      <c r="HA58" s="52">
        <v>12.93225</v>
      </c>
      <c r="HB58" s="52">
        <v>12.93225</v>
      </c>
      <c r="HC58" s="52">
        <v>12.93225</v>
      </c>
      <c r="HD58" s="52">
        <v>12.93225</v>
      </c>
      <c r="HE58" s="52">
        <v>12.93225</v>
      </c>
      <c r="HF58" s="52">
        <v>12.93225</v>
      </c>
      <c r="HG58" s="52">
        <v>12.93225</v>
      </c>
      <c r="HH58" s="52">
        <v>12.93225</v>
      </c>
      <c r="HI58" s="52">
        <v>12.93225</v>
      </c>
      <c r="HJ58" s="52">
        <v>12.93225</v>
      </c>
      <c r="HK58" s="52">
        <v>12.93225</v>
      </c>
      <c r="HL58" s="52">
        <v>12.93225</v>
      </c>
      <c r="HM58" s="52">
        <v>12.93225</v>
      </c>
      <c r="HN58" s="52">
        <v>12.93225</v>
      </c>
      <c r="HO58" s="52">
        <v>12.93225</v>
      </c>
      <c r="HP58" s="52">
        <v>12.93225</v>
      </c>
      <c r="HQ58" s="52">
        <v>12.93225</v>
      </c>
      <c r="HR58" s="52">
        <v>12.93225</v>
      </c>
      <c r="HS58" s="52">
        <v>12.93225</v>
      </c>
      <c r="HT58" s="52">
        <v>12.93225</v>
      </c>
      <c r="HU58" s="52">
        <v>12.93225</v>
      </c>
      <c r="HV58" s="52">
        <v>12.93225</v>
      </c>
      <c r="HW58" s="52">
        <v>12.93225</v>
      </c>
      <c r="HX58" s="52">
        <v>12.93225</v>
      </c>
      <c r="HY58" s="52">
        <v>12.93225</v>
      </c>
      <c r="HZ58" s="52">
        <v>12.93225</v>
      </c>
      <c r="IA58" s="52">
        <v>12.93225</v>
      </c>
      <c r="IB58" s="52">
        <v>12.93225</v>
      </c>
      <c r="IC58" s="52">
        <v>12.93225</v>
      </c>
      <c r="ID58" s="52">
        <v>12.93225</v>
      </c>
      <c r="IE58" s="52">
        <v>12.93225</v>
      </c>
      <c r="IF58" s="52">
        <v>12.93225</v>
      </c>
      <c r="IG58" s="52">
        <v>12.93225</v>
      </c>
      <c r="IH58" s="52">
        <v>12.93225</v>
      </c>
      <c r="II58" s="52">
        <v>12.93225</v>
      </c>
      <c r="IJ58" s="52">
        <v>12.93225</v>
      </c>
      <c r="IK58" s="52">
        <v>12.93225</v>
      </c>
      <c r="IL58" s="52">
        <v>12.93225</v>
      </c>
      <c r="IM58" s="52">
        <v>12.93225</v>
      </c>
      <c r="IN58" s="52">
        <v>12.93225</v>
      </c>
      <c r="IO58" s="52">
        <v>12.93225</v>
      </c>
      <c r="IP58" s="52">
        <v>12.93225</v>
      </c>
      <c r="IQ58" s="52">
        <v>12.93225</v>
      </c>
      <c r="IR58" s="52">
        <v>12.93225</v>
      </c>
      <c r="IS58" s="52">
        <v>12.93225</v>
      </c>
      <c r="IT58" s="52">
        <v>12.93225</v>
      </c>
      <c r="IU58" s="52">
        <v>12.93225</v>
      </c>
      <c r="IV58" s="52">
        <v>12.93225</v>
      </c>
      <c r="IW58" s="52">
        <v>12.93225</v>
      </c>
      <c r="IX58" s="52">
        <v>12.93225</v>
      </c>
      <c r="IY58" s="52">
        <v>12.93225</v>
      </c>
      <c r="IZ58" s="52">
        <v>12.93225</v>
      </c>
      <c r="JA58" s="52">
        <v>12.93225</v>
      </c>
      <c r="JB58" s="52">
        <v>12.93225</v>
      </c>
      <c r="JC58" s="52">
        <v>12.93225</v>
      </c>
      <c r="JD58" s="52">
        <v>12.93225</v>
      </c>
      <c r="JE58" s="52">
        <v>12.93225</v>
      </c>
      <c r="JF58" s="52">
        <v>12.93225</v>
      </c>
      <c r="JG58" s="52">
        <v>12.93225</v>
      </c>
      <c r="JH58" s="52">
        <v>12.93225</v>
      </c>
      <c r="JI58" s="52">
        <v>12.93225</v>
      </c>
      <c r="JJ58" s="52">
        <v>12.93225</v>
      </c>
      <c r="JK58" s="52">
        <v>12.93225</v>
      </c>
      <c r="JL58" s="52">
        <v>12.93225</v>
      </c>
      <c r="JM58" s="52">
        <v>12.93225</v>
      </c>
      <c r="JN58" s="52">
        <v>12.93225</v>
      </c>
      <c r="JO58" s="52">
        <v>12.93225</v>
      </c>
      <c r="JP58" s="52">
        <v>12.93225</v>
      </c>
      <c r="JQ58" s="52">
        <v>12.93225</v>
      </c>
      <c r="JR58" s="52">
        <v>12.93225</v>
      </c>
      <c r="JS58" s="52">
        <v>12.93225</v>
      </c>
      <c r="JT58" s="52">
        <v>12.93225</v>
      </c>
      <c r="JU58" s="52">
        <v>12.93225</v>
      </c>
      <c r="JV58" s="52">
        <v>12.93225</v>
      </c>
      <c r="JW58" s="52">
        <v>12.93225</v>
      </c>
      <c r="JX58" s="52">
        <v>12.93225</v>
      </c>
      <c r="JY58" s="52">
        <v>12.93225</v>
      </c>
      <c r="JZ58" s="52">
        <v>12.93225</v>
      </c>
      <c r="KA58" s="52">
        <v>12.93225</v>
      </c>
      <c r="KB58" s="52">
        <v>12.93225</v>
      </c>
      <c r="KC58" s="52">
        <v>12.93225</v>
      </c>
      <c r="KD58" s="52">
        <v>12.93225</v>
      </c>
      <c r="KE58" s="52">
        <v>12.93225</v>
      </c>
      <c r="KF58" s="52">
        <v>12.93225</v>
      </c>
      <c r="KG58" s="52">
        <v>12.93225</v>
      </c>
      <c r="KH58" s="52">
        <v>12.93225</v>
      </c>
      <c r="KI58" s="52">
        <v>12.93225</v>
      </c>
      <c r="KJ58" s="52">
        <v>12.93225</v>
      </c>
      <c r="KK58" s="52">
        <v>12.93225</v>
      </c>
      <c r="KL58" s="52">
        <v>12.93225</v>
      </c>
      <c r="KM58" s="52">
        <v>12.93225</v>
      </c>
      <c r="KN58" s="52">
        <v>12.93225</v>
      </c>
      <c r="KO58" s="52">
        <v>12.93225</v>
      </c>
      <c r="KP58" s="52">
        <v>12.93225</v>
      </c>
      <c r="KQ58" s="52">
        <v>12.93225</v>
      </c>
      <c r="KR58" s="52">
        <v>12.93225</v>
      </c>
      <c r="KS58" s="52">
        <v>12.93225</v>
      </c>
      <c r="KT58" s="52">
        <v>12.93225</v>
      </c>
      <c r="KU58" s="52">
        <v>12.93225</v>
      </c>
      <c r="KV58" s="52">
        <v>12.93225</v>
      </c>
      <c r="KW58" s="52">
        <v>12.93225</v>
      </c>
      <c r="KX58" s="37">
        <v>12.93225</v>
      </c>
      <c r="KY58" s="37">
        <v>12.93225</v>
      </c>
      <c r="KZ58" s="37">
        <v>12.93225</v>
      </c>
      <c r="LA58" s="37">
        <v>12.93225</v>
      </c>
      <c r="LB58" s="37">
        <v>12.93225</v>
      </c>
      <c r="LC58" s="37">
        <v>12.93225</v>
      </c>
      <c r="LD58" s="37">
        <v>12.93225</v>
      </c>
      <c r="LE58" s="37">
        <v>12.93225</v>
      </c>
      <c r="LF58" s="37">
        <v>12.93225</v>
      </c>
      <c r="LG58" s="37">
        <v>12.93225</v>
      </c>
      <c r="LH58" s="37">
        <v>12.93225</v>
      </c>
      <c r="LI58" s="37">
        <v>12.93225</v>
      </c>
      <c r="LJ58" s="37">
        <v>12.93225</v>
      </c>
      <c r="LK58" s="37">
        <v>12.93225</v>
      </c>
      <c r="LL58" s="37">
        <v>12.93225</v>
      </c>
      <c r="LM58" s="37">
        <v>12.93225</v>
      </c>
      <c r="LN58" s="37">
        <v>12.93225</v>
      </c>
      <c r="LO58" s="37">
        <v>12.93225</v>
      </c>
      <c r="LP58" s="37">
        <v>12.93225</v>
      </c>
      <c r="LQ58" s="37">
        <v>12.93225</v>
      </c>
      <c r="LR58" s="37">
        <v>12.93225</v>
      </c>
      <c r="LS58" s="37">
        <v>12.93225</v>
      </c>
      <c r="LT58" s="37">
        <v>12.93225</v>
      </c>
      <c r="LU58" s="37">
        <v>12.93225</v>
      </c>
      <c r="LV58" s="37">
        <v>12.93225</v>
      </c>
      <c r="LW58" s="37">
        <v>12.93225</v>
      </c>
      <c r="LX58" s="37">
        <v>12.93225</v>
      </c>
      <c r="LY58" s="37">
        <v>12.93225</v>
      </c>
      <c r="LZ58" s="37">
        <v>12.93225</v>
      </c>
      <c r="MA58" s="37">
        <v>12.93225</v>
      </c>
      <c r="MB58" s="37">
        <v>12.93225</v>
      </c>
      <c r="MC58" s="37">
        <v>12.93225</v>
      </c>
      <c r="MD58" s="37">
        <v>12.93225</v>
      </c>
      <c r="ME58" s="37">
        <v>12.93225</v>
      </c>
      <c r="MF58" s="37">
        <v>12.93225</v>
      </c>
      <c r="MG58" s="37">
        <v>12.93225</v>
      </c>
      <c r="MH58" s="37">
        <v>12.93225</v>
      </c>
      <c r="MI58" s="37">
        <v>12.93225</v>
      </c>
      <c r="MJ58" s="37">
        <v>12.93225</v>
      </c>
      <c r="MK58" s="37">
        <v>12.93225</v>
      </c>
      <c r="ML58" s="37">
        <v>12.93225</v>
      </c>
      <c r="MM58" s="37">
        <v>12.93225</v>
      </c>
      <c r="MN58" s="37">
        <v>12.93225</v>
      </c>
      <c r="MO58" s="37">
        <v>12.93225</v>
      </c>
      <c r="MP58" s="37">
        <v>12.93225</v>
      </c>
      <c r="MQ58" s="37">
        <v>12.93225</v>
      </c>
      <c r="MR58" s="37">
        <v>12.93225</v>
      </c>
      <c r="MS58" s="37">
        <v>12.93225</v>
      </c>
      <c r="MT58" s="37">
        <v>12.93225</v>
      </c>
      <c r="MU58" s="37">
        <v>12.93225</v>
      </c>
      <c r="MV58" s="37">
        <v>12.93225</v>
      </c>
      <c r="MW58" s="37">
        <v>12.93225</v>
      </c>
      <c r="MX58" s="37">
        <v>12.93225</v>
      </c>
      <c r="MY58" s="37">
        <v>12.93225</v>
      </c>
      <c r="MZ58" s="37">
        <v>12.93225</v>
      </c>
      <c r="NA58" s="37">
        <v>12.93225</v>
      </c>
      <c r="NB58" s="37">
        <v>12.93225</v>
      </c>
      <c r="NC58" s="37">
        <v>12.93225</v>
      </c>
      <c r="ND58" s="37">
        <v>12.93225</v>
      </c>
      <c r="NE58" s="37">
        <v>12.93225</v>
      </c>
      <c r="NF58" s="37">
        <v>12.93225</v>
      </c>
      <c r="NG58" s="37">
        <v>12.93225</v>
      </c>
      <c r="NH58" s="37">
        <v>12.93225</v>
      </c>
      <c r="NI58" s="37">
        <v>12.93225</v>
      </c>
      <c r="NJ58" s="37">
        <v>12.93225</v>
      </c>
      <c r="NK58" s="37">
        <v>12.93225</v>
      </c>
      <c r="NL58" s="37">
        <v>12.93225</v>
      </c>
      <c r="NM58" s="37">
        <v>12.93225</v>
      </c>
      <c r="NN58" s="37">
        <v>12.93225</v>
      </c>
      <c r="NO58" s="37">
        <v>12.93225</v>
      </c>
      <c r="NP58" s="37">
        <v>12.93225</v>
      </c>
      <c r="NQ58" s="37">
        <v>12.93225</v>
      </c>
      <c r="NR58" s="37">
        <v>12.93225</v>
      </c>
      <c r="NS58" s="37">
        <v>12.93225</v>
      </c>
      <c r="NT58" s="37">
        <v>12.93225</v>
      </c>
      <c r="NU58" s="37">
        <v>12.93225</v>
      </c>
      <c r="NV58" s="37">
        <v>13.252599999999999</v>
      </c>
      <c r="NW58" s="37" t="s">
        <v>668</v>
      </c>
      <c r="NX58" s="37" t="s">
        <v>668</v>
      </c>
      <c r="NY58" s="37" t="s">
        <v>668</v>
      </c>
      <c r="NZ58" s="37" t="s">
        <v>668</v>
      </c>
      <c r="OA58" s="37" t="s">
        <v>668</v>
      </c>
      <c r="OB58" s="37" t="s">
        <v>668</v>
      </c>
      <c r="OC58" s="37" t="s">
        <v>668</v>
      </c>
      <c r="OD58" s="37" t="s">
        <v>668</v>
      </c>
      <c r="OE58" s="37" t="s">
        <v>668</v>
      </c>
      <c r="OF58" s="37" t="s">
        <v>668</v>
      </c>
      <c r="OG58" s="37" t="s">
        <v>668</v>
      </c>
      <c r="OH58" s="37" t="s">
        <v>668</v>
      </c>
      <c r="OI58" s="37" t="s">
        <v>668</v>
      </c>
      <c r="OJ58" s="37" t="s">
        <v>668</v>
      </c>
      <c r="OK58" s="37" t="s">
        <v>668</v>
      </c>
      <c r="OL58" s="37" t="s">
        <v>668</v>
      </c>
      <c r="OM58" s="37" t="s">
        <v>668</v>
      </c>
      <c r="ON58" s="37" t="s">
        <v>668</v>
      </c>
      <c r="OO58" s="37" t="s">
        <v>668</v>
      </c>
      <c r="OP58" s="37" t="s">
        <v>668</v>
      </c>
      <c r="OQ58" s="37" t="s">
        <v>668</v>
      </c>
      <c r="OR58" s="37" t="s">
        <v>668</v>
      </c>
      <c r="OS58" s="37" t="s">
        <v>668</v>
      </c>
      <c r="OT58" s="37" t="s">
        <v>668</v>
      </c>
      <c r="OU58" s="37" t="s">
        <v>668</v>
      </c>
      <c r="OV58" s="37" t="s">
        <v>668</v>
      </c>
      <c r="OW58" s="37" t="s">
        <v>668</v>
      </c>
      <c r="OX58" s="37" t="s">
        <v>668</v>
      </c>
      <c r="OY58" s="37" t="s">
        <v>668</v>
      </c>
      <c r="OZ58" s="37" t="s">
        <v>668</v>
      </c>
      <c r="PA58" s="37" t="s">
        <v>668</v>
      </c>
      <c r="PB58" s="37" t="s">
        <v>668</v>
      </c>
      <c r="PC58" s="37" t="s">
        <v>668</v>
      </c>
      <c r="PD58" s="37" t="s">
        <v>668</v>
      </c>
      <c r="PE58" s="37" t="s">
        <v>668</v>
      </c>
      <c r="PF58" s="37" t="s">
        <v>668</v>
      </c>
      <c r="PG58" s="37" t="s">
        <v>668</v>
      </c>
      <c r="PH58" s="37" t="s">
        <v>668</v>
      </c>
      <c r="PI58" s="37" t="s">
        <v>668</v>
      </c>
      <c r="PJ58" s="37" t="s">
        <v>668</v>
      </c>
      <c r="PK58" s="37" t="s">
        <v>668</v>
      </c>
      <c r="PL58" s="37" t="s">
        <v>668</v>
      </c>
      <c r="PM58" s="37" t="s">
        <v>668</v>
      </c>
      <c r="PN58" s="37" t="s">
        <v>668</v>
      </c>
      <c r="PO58" s="37" t="s">
        <v>668</v>
      </c>
      <c r="PP58" s="37" t="s">
        <v>668</v>
      </c>
      <c r="PQ58" s="37" t="s">
        <v>668</v>
      </c>
      <c r="PR58" s="37" t="s">
        <v>668</v>
      </c>
      <c r="PS58" s="15" t="s">
        <v>668</v>
      </c>
      <c r="PT58" s="15" t="s">
        <v>668</v>
      </c>
      <c r="PU58" s="15" t="s">
        <v>668</v>
      </c>
      <c r="PV58" s="15" t="s">
        <v>668</v>
      </c>
      <c r="PW58" s="15" t="s">
        <v>668</v>
      </c>
      <c r="PX58" s="15" t="s">
        <v>668</v>
      </c>
      <c r="PY58" s="15" t="s">
        <v>668</v>
      </c>
      <c r="PZ58" s="15" t="s">
        <v>668</v>
      </c>
      <c r="QA58" s="15" t="s">
        <v>668</v>
      </c>
      <c r="QB58" s="15" t="s">
        <v>668</v>
      </c>
      <c r="QC58" s="15" t="s">
        <v>668</v>
      </c>
      <c r="QD58" s="15" t="s">
        <v>668</v>
      </c>
      <c r="QE58" s="15" t="s">
        <v>668</v>
      </c>
      <c r="QF58" s="15" t="s">
        <v>668</v>
      </c>
      <c r="QG58" s="15" t="s">
        <v>668</v>
      </c>
      <c r="QH58" s="15" t="s">
        <v>668</v>
      </c>
      <c r="QI58" s="15" t="s">
        <v>668</v>
      </c>
      <c r="QJ58" s="15" t="s">
        <v>668</v>
      </c>
      <c r="QK58" s="15" t="s">
        <v>668</v>
      </c>
      <c r="QL58" s="15" t="s">
        <v>668</v>
      </c>
      <c r="QM58" s="15" t="s">
        <v>668</v>
      </c>
      <c r="QN58" s="15" t="s">
        <v>668</v>
      </c>
      <c r="QO58" s="15" t="s">
        <v>668</v>
      </c>
      <c r="QP58" s="15" t="s">
        <v>668</v>
      </c>
      <c r="QQ58" s="15" t="s">
        <v>668</v>
      </c>
      <c r="QR58" s="15" t="s">
        <v>668</v>
      </c>
      <c r="QS58" s="15" t="s">
        <v>668</v>
      </c>
      <c r="QT58" s="15" t="s">
        <v>668</v>
      </c>
      <c r="QU58" s="15" t="s">
        <v>668</v>
      </c>
      <c r="QV58" s="15" t="s">
        <v>668</v>
      </c>
      <c r="QW58" s="15" t="s">
        <v>668</v>
      </c>
      <c r="QX58" s="15" t="s">
        <v>668</v>
      </c>
      <c r="QY58" s="15" t="s">
        <v>668</v>
      </c>
      <c r="QZ58" s="15" t="s">
        <v>668</v>
      </c>
      <c r="RA58" s="15" t="s">
        <v>668</v>
      </c>
      <c r="RB58" s="15" t="s">
        <v>668</v>
      </c>
      <c r="RC58" s="15" t="s">
        <v>668</v>
      </c>
      <c r="RD58" s="15" t="s">
        <v>668</v>
      </c>
      <c r="RE58" s="15" t="s">
        <v>668</v>
      </c>
      <c r="RF58" s="15" t="s">
        <v>668</v>
      </c>
      <c r="RG58" s="15" t="s">
        <v>668</v>
      </c>
      <c r="RH58" s="15" t="s">
        <v>668</v>
      </c>
      <c r="RI58" s="15" t="s">
        <v>668</v>
      </c>
      <c r="RJ58" s="15" t="s">
        <v>668</v>
      </c>
      <c r="RK58" s="15" t="s">
        <v>668</v>
      </c>
      <c r="RL58" s="15" t="s">
        <v>668</v>
      </c>
      <c r="RM58" s="15" t="s">
        <v>668</v>
      </c>
      <c r="RN58" s="15" t="s">
        <v>668</v>
      </c>
      <c r="RO58" s="15" t="s">
        <v>668</v>
      </c>
      <c r="RP58" s="15" t="s">
        <v>668</v>
      </c>
      <c r="RQ58" s="15" t="s">
        <v>668</v>
      </c>
      <c r="RR58" s="15" t="s">
        <v>668</v>
      </c>
      <c r="RS58" s="15" t="s">
        <v>668</v>
      </c>
      <c r="RT58" s="15" t="s">
        <v>668</v>
      </c>
      <c r="RU58" s="15" t="s">
        <v>668</v>
      </c>
      <c r="RV58" s="15" t="s">
        <v>668</v>
      </c>
      <c r="RW58" s="15" t="s">
        <v>668</v>
      </c>
      <c r="RX58" s="15" t="s">
        <v>668</v>
      </c>
      <c r="RY58" s="15" t="s">
        <v>668</v>
      </c>
      <c r="RZ58" s="15" t="s">
        <v>668</v>
      </c>
      <c r="SA58" s="15" t="s">
        <v>668</v>
      </c>
      <c r="SB58" s="15" t="s">
        <v>668</v>
      </c>
      <c r="SC58" s="15" t="s">
        <v>668</v>
      </c>
      <c r="SD58" s="15" t="s">
        <v>668</v>
      </c>
      <c r="SE58" s="15" t="s">
        <v>668</v>
      </c>
      <c r="SF58" s="15" t="s">
        <v>668</v>
      </c>
      <c r="SG58" s="15" t="s">
        <v>668</v>
      </c>
      <c r="SH58" s="15" t="s">
        <v>668</v>
      </c>
      <c r="SI58" s="15" t="s">
        <v>668</v>
      </c>
      <c r="SJ58" s="15" t="s">
        <v>668</v>
      </c>
      <c r="SK58" s="15" t="s">
        <v>668</v>
      </c>
      <c r="SL58" s="15" t="s">
        <v>668</v>
      </c>
      <c r="SM58" s="15" t="s">
        <v>668</v>
      </c>
      <c r="SN58" s="15" t="s">
        <v>668</v>
      </c>
    </row>
    <row r="59" spans="1:508" x14ac:dyDescent="0.2">
      <c r="A59" s="37">
        <v>57</v>
      </c>
      <c r="B59" s="48" t="s">
        <v>741</v>
      </c>
      <c r="C59" s="17">
        <f>+'Detalle Compras'!D59</f>
        <v>202507290083</v>
      </c>
      <c r="D59" s="55">
        <f t="shared" si="13"/>
        <v>12.304449999999999</v>
      </c>
      <c r="E59" s="14">
        <f>+IF(B59="","",'Detalle Compras'!S59+0)</f>
        <v>45910</v>
      </c>
      <c r="F59" s="14">
        <f>+IF(B59="","",EOMONTH('Detalle Compras'!S59,G59)+10)</f>
        <v>60550</v>
      </c>
      <c r="G59" s="50">
        <f t="shared" si="14"/>
        <v>480</v>
      </c>
      <c r="H59" s="50">
        <f t="shared" si="15"/>
        <v>475</v>
      </c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  <c r="Y59" s="52"/>
      <c r="Z59" s="52"/>
      <c r="AA59" s="52">
        <v>12.304449999999999</v>
      </c>
      <c r="AB59" s="52">
        <v>12.304449999999999</v>
      </c>
      <c r="AC59" s="52">
        <v>12.304449999999999</v>
      </c>
      <c r="AD59" s="52">
        <v>12.304449999999999</v>
      </c>
      <c r="AE59" s="52">
        <v>12.304449999999999</v>
      </c>
      <c r="AF59" s="52">
        <v>12.304449999999999</v>
      </c>
      <c r="AG59" s="52">
        <v>12.304449999999999</v>
      </c>
      <c r="AH59" s="52">
        <v>12.304449999999999</v>
      </c>
      <c r="AI59" s="52">
        <v>12.304449999999999</v>
      </c>
      <c r="AJ59" s="52">
        <v>12.304449999999999</v>
      </c>
      <c r="AK59" s="52">
        <v>12.304449999999999</v>
      </c>
      <c r="AL59" s="52">
        <v>12.304449999999999</v>
      </c>
      <c r="AM59" s="52">
        <v>12.304449999999999</v>
      </c>
      <c r="AN59" s="52">
        <v>12.304449999999999</v>
      </c>
      <c r="AO59" s="52">
        <v>12.304449999999999</v>
      </c>
      <c r="AP59" s="52">
        <v>12.304449999999999</v>
      </c>
      <c r="AQ59" s="52">
        <v>12.304449999999999</v>
      </c>
      <c r="AR59" s="52">
        <v>12.304449999999999</v>
      </c>
      <c r="AS59" s="52">
        <v>12.304449999999999</v>
      </c>
      <c r="AT59" s="52">
        <v>12.304449999999999</v>
      </c>
      <c r="AU59" s="52">
        <v>12.304449999999999</v>
      </c>
      <c r="AV59" s="52">
        <v>12.304449999999999</v>
      </c>
      <c r="AW59" s="52">
        <v>12.304449999999999</v>
      </c>
      <c r="AX59" s="52">
        <v>12.304449999999999</v>
      </c>
      <c r="AY59" s="52">
        <v>12.304449999999999</v>
      </c>
      <c r="AZ59" s="52">
        <v>12.304449999999999</v>
      </c>
      <c r="BA59" s="52">
        <v>12.304449999999999</v>
      </c>
      <c r="BB59" s="52">
        <v>12.304449999999999</v>
      </c>
      <c r="BC59" s="52">
        <v>12.304449999999999</v>
      </c>
      <c r="BD59" s="52">
        <v>12.304449999999999</v>
      </c>
      <c r="BE59" s="52">
        <v>12.304449999999999</v>
      </c>
      <c r="BF59" s="52">
        <v>12.304449999999999</v>
      </c>
      <c r="BG59" s="52">
        <v>12.304449999999999</v>
      </c>
      <c r="BH59" s="52">
        <v>12.304449999999999</v>
      </c>
      <c r="BI59" s="52">
        <v>12.304449999999999</v>
      </c>
      <c r="BJ59" s="52">
        <v>12.304449999999999</v>
      </c>
      <c r="BK59" s="52">
        <v>12.304449999999999</v>
      </c>
      <c r="BL59" s="52">
        <v>12.304449999999999</v>
      </c>
      <c r="BM59" s="52">
        <v>12.304449999999999</v>
      </c>
      <c r="BN59" s="52">
        <v>12.304449999999999</v>
      </c>
      <c r="BO59" s="52">
        <v>12.304449999999999</v>
      </c>
      <c r="BP59" s="52">
        <v>12.304449999999999</v>
      </c>
      <c r="BQ59" s="52">
        <v>12.304449999999999</v>
      </c>
      <c r="BR59" s="52">
        <v>12.304449999999999</v>
      </c>
      <c r="BS59" s="52">
        <v>12.304449999999999</v>
      </c>
      <c r="BT59" s="52">
        <v>12.304449999999999</v>
      </c>
      <c r="BU59" s="52">
        <v>12.304449999999999</v>
      </c>
      <c r="BV59" s="52">
        <v>12.304449999999999</v>
      </c>
      <c r="BW59" s="52">
        <v>12.304449999999999</v>
      </c>
      <c r="BX59" s="52">
        <v>12.304449999999999</v>
      </c>
      <c r="BY59" s="52">
        <v>12.304449999999999</v>
      </c>
      <c r="BZ59" s="52">
        <v>12.304449999999999</v>
      </c>
      <c r="CA59" s="52">
        <v>12.304449999999999</v>
      </c>
      <c r="CB59" s="52">
        <v>12.304449999999999</v>
      </c>
      <c r="CC59" s="52">
        <v>12.304449999999999</v>
      </c>
      <c r="CD59" s="52">
        <v>12.304449999999999</v>
      </c>
      <c r="CE59" s="52">
        <v>12.304449999999999</v>
      </c>
      <c r="CF59" s="52">
        <v>12.304449999999999</v>
      </c>
      <c r="CG59" s="52">
        <v>12.304449999999999</v>
      </c>
      <c r="CH59" s="52">
        <v>12.304449999999999</v>
      </c>
      <c r="CI59" s="52">
        <v>12.304449999999999</v>
      </c>
      <c r="CJ59" s="52">
        <v>12.304449999999999</v>
      </c>
      <c r="CK59" s="52">
        <v>12.304449999999999</v>
      </c>
      <c r="CL59" s="52">
        <v>12.304449999999999</v>
      </c>
      <c r="CM59" s="52">
        <v>12.304449999999999</v>
      </c>
      <c r="CN59" s="52">
        <v>12.304449999999999</v>
      </c>
      <c r="CO59" s="52">
        <v>12.304449999999999</v>
      </c>
      <c r="CP59" s="52">
        <v>12.304449999999999</v>
      </c>
      <c r="CQ59" s="52">
        <v>12.304449999999999</v>
      </c>
      <c r="CR59" s="52">
        <v>12.304449999999999</v>
      </c>
      <c r="CS59" s="52">
        <v>12.304449999999999</v>
      </c>
      <c r="CT59" s="52">
        <v>12.304449999999999</v>
      </c>
      <c r="CU59" s="52">
        <v>12.304449999999999</v>
      </c>
      <c r="CV59" s="52">
        <v>12.304449999999999</v>
      </c>
      <c r="CW59" s="52">
        <v>12.304449999999999</v>
      </c>
      <c r="CX59" s="52">
        <v>12.304449999999999</v>
      </c>
      <c r="CY59" s="52">
        <v>12.304449999999999</v>
      </c>
      <c r="CZ59" s="52">
        <v>12.304449999999999</v>
      </c>
      <c r="DA59" s="52">
        <v>12.304449999999999</v>
      </c>
      <c r="DB59" s="52">
        <v>12.304449999999999</v>
      </c>
      <c r="DC59" s="52">
        <v>12.304449999999999</v>
      </c>
      <c r="DD59" s="52">
        <v>12.304449999999999</v>
      </c>
      <c r="DE59" s="52">
        <v>12.304449999999999</v>
      </c>
      <c r="DF59" s="52">
        <v>12.304449999999999</v>
      </c>
      <c r="DG59" s="52">
        <v>12.304449999999999</v>
      </c>
      <c r="DH59" s="52">
        <v>12.304449999999999</v>
      </c>
      <c r="DI59" s="52">
        <v>12.304449999999999</v>
      </c>
      <c r="DJ59" s="52">
        <v>12.304449999999999</v>
      </c>
      <c r="DK59" s="52">
        <v>12.304449999999999</v>
      </c>
      <c r="DL59" s="52">
        <v>12.304449999999999</v>
      </c>
      <c r="DM59" s="52">
        <v>12.304449999999999</v>
      </c>
      <c r="DN59" s="52">
        <v>12.304449999999999</v>
      </c>
      <c r="DO59" s="52">
        <v>12.304449999999999</v>
      </c>
      <c r="DP59" s="52">
        <v>12.304449999999999</v>
      </c>
      <c r="DQ59" s="52">
        <v>12.304449999999999</v>
      </c>
      <c r="DR59" s="52">
        <v>12.304449999999999</v>
      </c>
      <c r="DS59" s="52">
        <v>12.304449999999999</v>
      </c>
      <c r="DT59" s="52">
        <v>12.304449999999999</v>
      </c>
      <c r="DU59" s="52">
        <v>12.304449999999999</v>
      </c>
      <c r="DV59" s="52">
        <v>12.304449999999999</v>
      </c>
      <c r="DW59" s="52">
        <v>12.304449999999999</v>
      </c>
      <c r="DX59" s="52">
        <v>12.304449999999999</v>
      </c>
      <c r="DY59" s="52">
        <v>12.304449999999999</v>
      </c>
      <c r="DZ59" s="52">
        <v>12.304449999999999</v>
      </c>
      <c r="EA59" s="52">
        <v>12.304449999999999</v>
      </c>
      <c r="EB59" s="52">
        <v>12.304449999999999</v>
      </c>
      <c r="EC59" s="52">
        <v>12.304449999999999</v>
      </c>
      <c r="ED59" s="52">
        <v>12.304449999999999</v>
      </c>
      <c r="EE59" s="52">
        <v>12.304449999999999</v>
      </c>
      <c r="EF59" s="52">
        <v>12.304449999999999</v>
      </c>
      <c r="EG59" s="52">
        <v>12.304449999999999</v>
      </c>
      <c r="EH59" s="52">
        <v>12.304449999999999</v>
      </c>
      <c r="EI59" s="52">
        <v>12.304449999999999</v>
      </c>
      <c r="EJ59" s="52">
        <v>12.304449999999999</v>
      </c>
      <c r="EK59" s="52">
        <v>12.304449999999999</v>
      </c>
      <c r="EL59" s="52">
        <v>12.304449999999999</v>
      </c>
      <c r="EM59" s="52">
        <v>12.304449999999999</v>
      </c>
      <c r="EN59" s="52">
        <v>12.304449999999999</v>
      </c>
      <c r="EO59" s="52">
        <v>12.304449999999999</v>
      </c>
      <c r="EP59" s="52">
        <v>12.304449999999999</v>
      </c>
      <c r="EQ59" s="52">
        <v>12.304449999999999</v>
      </c>
      <c r="ER59" s="52">
        <v>12.304449999999999</v>
      </c>
      <c r="ES59" s="52">
        <v>12.304449999999999</v>
      </c>
      <c r="ET59" s="52">
        <v>12.304449999999999</v>
      </c>
      <c r="EU59" s="52">
        <v>12.304449999999999</v>
      </c>
      <c r="EV59" s="52">
        <v>12.304449999999999</v>
      </c>
      <c r="EW59" s="52">
        <v>12.304449999999999</v>
      </c>
      <c r="EX59" s="52">
        <v>12.304449999999999</v>
      </c>
      <c r="EY59" s="52">
        <v>12.304449999999999</v>
      </c>
      <c r="EZ59" s="52">
        <v>12.304449999999999</v>
      </c>
      <c r="FA59" s="52">
        <v>12.304449999999999</v>
      </c>
      <c r="FB59" s="52">
        <v>12.304449999999999</v>
      </c>
      <c r="FC59" s="52">
        <v>12.304449999999999</v>
      </c>
      <c r="FD59" s="52">
        <v>12.304449999999999</v>
      </c>
      <c r="FE59" s="52">
        <v>12.304449999999999</v>
      </c>
      <c r="FF59" s="52">
        <v>12.304449999999999</v>
      </c>
      <c r="FG59" s="52">
        <v>12.304449999999999</v>
      </c>
      <c r="FH59" s="52">
        <v>12.304449999999999</v>
      </c>
      <c r="FI59" s="52">
        <v>12.304449999999999</v>
      </c>
      <c r="FJ59" s="52">
        <v>12.304449999999999</v>
      </c>
      <c r="FK59" s="52">
        <v>12.304449999999999</v>
      </c>
      <c r="FL59" s="52">
        <v>12.304449999999999</v>
      </c>
      <c r="FM59" s="52">
        <v>12.304449999999999</v>
      </c>
      <c r="FN59" s="52">
        <v>12.304449999999999</v>
      </c>
      <c r="FO59" s="52">
        <v>12.304449999999999</v>
      </c>
      <c r="FP59" s="52">
        <v>12.304449999999999</v>
      </c>
      <c r="FQ59" s="52">
        <v>12.304449999999999</v>
      </c>
      <c r="FR59" s="52">
        <v>12.304449999999999</v>
      </c>
      <c r="FS59" s="52">
        <v>12.304449999999999</v>
      </c>
      <c r="FT59" s="52">
        <v>12.304449999999999</v>
      </c>
      <c r="FU59" s="52">
        <v>12.304449999999999</v>
      </c>
      <c r="FV59" s="52">
        <v>12.304449999999999</v>
      </c>
      <c r="FW59" s="52">
        <v>12.304449999999999</v>
      </c>
      <c r="FX59" s="52">
        <v>12.304449999999999</v>
      </c>
      <c r="FY59" s="52">
        <v>12.304449999999999</v>
      </c>
      <c r="FZ59" s="52">
        <v>12.304449999999999</v>
      </c>
      <c r="GA59" s="52">
        <v>12.304449999999999</v>
      </c>
      <c r="GB59" s="52">
        <v>12.304449999999999</v>
      </c>
      <c r="GC59" s="52">
        <v>12.304449999999999</v>
      </c>
      <c r="GD59" s="52">
        <v>12.304449999999999</v>
      </c>
      <c r="GE59" s="52">
        <v>12.304449999999999</v>
      </c>
      <c r="GF59" s="52">
        <v>12.304449999999999</v>
      </c>
      <c r="GG59" s="52">
        <v>12.304449999999999</v>
      </c>
      <c r="GH59" s="52">
        <v>12.304449999999999</v>
      </c>
      <c r="GI59" s="52">
        <v>12.304449999999999</v>
      </c>
      <c r="GJ59" s="52">
        <v>12.304449999999999</v>
      </c>
      <c r="GK59" s="52">
        <v>12.304449999999999</v>
      </c>
      <c r="GL59" s="52">
        <v>12.304449999999999</v>
      </c>
      <c r="GM59" s="52">
        <v>12.304449999999999</v>
      </c>
      <c r="GN59" s="52">
        <v>12.304449999999999</v>
      </c>
      <c r="GO59" s="52">
        <v>12.304449999999999</v>
      </c>
      <c r="GP59" s="52">
        <v>12.304449999999999</v>
      </c>
      <c r="GQ59" s="52">
        <v>12.304449999999999</v>
      </c>
      <c r="GR59" s="52">
        <v>12.304449999999999</v>
      </c>
      <c r="GS59" s="52">
        <v>12.304449999999999</v>
      </c>
      <c r="GT59" s="52">
        <v>12.304449999999999</v>
      </c>
      <c r="GU59" s="52">
        <v>12.304449999999999</v>
      </c>
      <c r="GV59" s="52">
        <v>12.304449999999999</v>
      </c>
      <c r="GW59" s="52">
        <v>12.304449999999999</v>
      </c>
      <c r="GX59" s="52">
        <v>12.304449999999999</v>
      </c>
      <c r="GY59" s="52">
        <v>12.304449999999999</v>
      </c>
      <c r="GZ59" s="52">
        <v>12.304449999999999</v>
      </c>
      <c r="HA59" s="52">
        <v>12.304449999999999</v>
      </c>
      <c r="HB59" s="52">
        <v>12.304449999999999</v>
      </c>
      <c r="HC59" s="52">
        <v>12.304449999999999</v>
      </c>
      <c r="HD59" s="52">
        <v>12.304449999999999</v>
      </c>
      <c r="HE59" s="52">
        <v>12.304449999999999</v>
      </c>
      <c r="HF59" s="52">
        <v>12.304449999999999</v>
      </c>
      <c r="HG59" s="52">
        <v>12.304449999999999</v>
      </c>
      <c r="HH59" s="52">
        <v>12.304449999999999</v>
      </c>
      <c r="HI59" s="52">
        <v>12.304449999999999</v>
      </c>
      <c r="HJ59" s="52">
        <v>12.304449999999999</v>
      </c>
      <c r="HK59" s="52">
        <v>12.304449999999999</v>
      </c>
      <c r="HL59" s="52">
        <v>12.304449999999999</v>
      </c>
      <c r="HM59" s="52">
        <v>12.304449999999999</v>
      </c>
      <c r="HN59" s="52">
        <v>12.304449999999999</v>
      </c>
      <c r="HO59" s="52">
        <v>12.304449999999999</v>
      </c>
      <c r="HP59" s="52">
        <v>12.304449999999999</v>
      </c>
      <c r="HQ59" s="52">
        <v>12.304449999999999</v>
      </c>
      <c r="HR59" s="52">
        <v>12.304449999999999</v>
      </c>
      <c r="HS59" s="52">
        <v>12.304449999999999</v>
      </c>
      <c r="HT59" s="52">
        <v>12.304449999999999</v>
      </c>
      <c r="HU59" s="52">
        <v>12.304449999999999</v>
      </c>
      <c r="HV59" s="52">
        <v>12.304449999999999</v>
      </c>
      <c r="HW59" s="52">
        <v>12.304449999999999</v>
      </c>
      <c r="HX59" s="52">
        <v>12.304449999999999</v>
      </c>
      <c r="HY59" s="52">
        <v>12.304449999999999</v>
      </c>
      <c r="HZ59" s="52">
        <v>12.304449999999999</v>
      </c>
      <c r="IA59" s="52">
        <v>12.304449999999999</v>
      </c>
      <c r="IB59" s="52">
        <v>12.304449999999999</v>
      </c>
      <c r="IC59" s="52">
        <v>12.304449999999999</v>
      </c>
      <c r="ID59" s="52">
        <v>12.304449999999999</v>
      </c>
      <c r="IE59" s="52">
        <v>12.304449999999999</v>
      </c>
      <c r="IF59" s="52">
        <v>12.304449999999999</v>
      </c>
      <c r="IG59" s="52">
        <v>12.304449999999999</v>
      </c>
      <c r="IH59" s="52">
        <v>12.304449999999999</v>
      </c>
      <c r="II59" s="52">
        <v>12.304449999999999</v>
      </c>
      <c r="IJ59" s="52">
        <v>12.304449999999999</v>
      </c>
      <c r="IK59" s="52">
        <v>12.304449999999999</v>
      </c>
      <c r="IL59" s="52">
        <v>12.304449999999999</v>
      </c>
      <c r="IM59" s="52">
        <v>12.304449999999999</v>
      </c>
      <c r="IN59" s="52">
        <v>12.304449999999999</v>
      </c>
      <c r="IO59" s="52">
        <v>12.304449999999999</v>
      </c>
      <c r="IP59" s="37">
        <v>12.304449999999999</v>
      </c>
      <c r="IQ59" s="37">
        <v>12.304449999999999</v>
      </c>
      <c r="IR59" s="37">
        <v>12.304449999999999</v>
      </c>
      <c r="IS59" s="37">
        <v>12.304449999999999</v>
      </c>
      <c r="IT59" s="37">
        <v>12.304449999999999</v>
      </c>
      <c r="IU59" s="37">
        <v>12.304449999999999</v>
      </c>
      <c r="IV59" s="37">
        <v>12.304449999999999</v>
      </c>
      <c r="IW59" s="37">
        <v>12.304449999999999</v>
      </c>
      <c r="IX59" s="37">
        <v>12.304449999999999</v>
      </c>
      <c r="IY59" s="37">
        <v>12.304449999999999</v>
      </c>
      <c r="IZ59" s="37">
        <v>12.304449999999999</v>
      </c>
      <c r="JA59" s="37">
        <v>12.304449999999999</v>
      </c>
      <c r="JB59" s="37">
        <v>12.304449999999999</v>
      </c>
      <c r="JC59" s="37">
        <v>12.304449999999999</v>
      </c>
      <c r="JD59" s="37">
        <v>12.304449999999999</v>
      </c>
      <c r="JE59" s="37">
        <v>12.304449999999999</v>
      </c>
      <c r="JF59" s="37">
        <v>12.304449999999999</v>
      </c>
      <c r="JG59" s="37">
        <v>12.304449999999999</v>
      </c>
      <c r="JH59" s="37">
        <v>12.304449999999999</v>
      </c>
      <c r="JI59" s="37">
        <v>12.304449999999999</v>
      </c>
      <c r="JJ59" s="37">
        <v>12.304449999999999</v>
      </c>
      <c r="JK59" s="37">
        <v>12.304449999999999</v>
      </c>
      <c r="JL59" s="37">
        <v>12.304449999999999</v>
      </c>
      <c r="JM59" s="37">
        <v>12.304449999999999</v>
      </c>
      <c r="JN59" s="37">
        <v>12.304449999999999</v>
      </c>
      <c r="JO59" s="37">
        <v>12.304449999999999</v>
      </c>
      <c r="JP59" s="37">
        <v>12.304449999999999</v>
      </c>
      <c r="JQ59" s="37">
        <v>12.304449999999999</v>
      </c>
      <c r="JR59" s="37">
        <v>12.304449999999999</v>
      </c>
      <c r="JS59" s="37">
        <v>12.304449999999999</v>
      </c>
      <c r="JT59" s="37">
        <v>12.304449999999999</v>
      </c>
      <c r="JU59" s="37">
        <v>12.304449999999999</v>
      </c>
      <c r="JV59" s="37">
        <v>12.304449999999999</v>
      </c>
      <c r="JW59" s="37">
        <v>12.304449999999999</v>
      </c>
      <c r="JX59" s="37">
        <v>12.304449999999999</v>
      </c>
      <c r="JY59" s="37">
        <v>12.304449999999999</v>
      </c>
      <c r="JZ59" s="37">
        <v>12.304449999999999</v>
      </c>
      <c r="KA59" s="37">
        <v>12.304449999999999</v>
      </c>
      <c r="KB59" s="37">
        <v>12.304449999999999</v>
      </c>
      <c r="KC59" s="37">
        <v>12.304449999999999</v>
      </c>
      <c r="KD59" s="37">
        <v>12.304449999999999</v>
      </c>
      <c r="KE59" s="37">
        <v>12.304449999999999</v>
      </c>
      <c r="KF59" s="37">
        <v>12.304449999999999</v>
      </c>
      <c r="KG59" s="37">
        <v>12.304449999999999</v>
      </c>
      <c r="KH59" s="37">
        <v>12.304449999999999</v>
      </c>
      <c r="KI59" s="37">
        <v>12.304449999999999</v>
      </c>
      <c r="KJ59" s="37">
        <v>12.304449999999999</v>
      </c>
      <c r="KK59" s="37">
        <v>12.304449999999999</v>
      </c>
      <c r="KL59" s="37">
        <v>12.304449999999999</v>
      </c>
      <c r="KM59" s="37">
        <v>12.304449999999999</v>
      </c>
      <c r="KN59" s="37">
        <v>12.304449999999999</v>
      </c>
      <c r="KO59" s="37">
        <v>12.304449999999999</v>
      </c>
      <c r="KP59" s="37">
        <v>12.304449999999999</v>
      </c>
      <c r="KQ59" s="37">
        <v>12.304449999999999</v>
      </c>
      <c r="KR59" s="37">
        <v>12.304449999999999</v>
      </c>
      <c r="KS59" s="37">
        <v>12.304449999999999</v>
      </c>
      <c r="KT59" s="37">
        <v>12.304449999999999</v>
      </c>
      <c r="KU59" s="37">
        <v>12.304449999999999</v>
      </c>
      <c r="KV59" s="37">
        <v>12.304449999999999</v>
      </c>
      <c r="KW59" s="37">
        <v>12.304449999999999</v>
      </c>
      <c r="KX59" s="37">
        <v>12.304449999999999</v>
      </c>
      <c r="KY59" s="37">
        <v>12.304449999999999</v>
      </c>
      <c r="KZ59" s="37">
        <v>12.304449999999999</v>
      </c>
      <c r="LA59" s="37">
        <v>12.304449999999999</v>
      </c>
      <c r="LB59" s="37">
        <v>12.304449999999999</v>
      </c>
      <c r="LC59" s="37">
        <v>12.304449999999999</v>
      </c>
      <c r="LD59" s="37">
        <v>12.304449999999999</v>
      </c>
      <c r="LE59" s="37">
        <v>12.304449999999999</v>
      </c>
      <c r="LF59" s="37">
        <v>12.304449999999999</v>
      </c>
      <c r="LG59" s="37">
        <v>12.304449999999999</v>
      </c>
      <c r="LH59" s="37">
        <v>12.304449999999999</v>
      </c>
      <c r="LI59" s="37">
        <v>12.304449999999999</v>
      </c>
      <c r="LJ59" s="37">
        <v>12.304449999999999</v>
      </c>
      <c r="LK59" s="37">
        <v>12.304449999999999</v>
      </c>
      <c r="LL59" s="37">
        <v>12.304449999999999</v>
      </c>
      <c r="LM59" s="37">
        <v>12.304449999999999</v>
      </c>
      <c r="LN59" s="37">
        <v>12.304449999999999</v>
      </c>
      <c r="LO59" s="37">
        <v>12.304449999999999</v>
      </c>
      <c r="LP59" s="37">
        <v>12.304449999999999</v>
      </c>
      <c r="LQ59" s="37">
        <v>12.304449999999999</v>
      </c>
      <c r="LR59" s="37">
        <v>12.304449999999999</v>
      </c>
      <c r="LS59" s="37">
        <v>12.304449999999999</v>
      </c>
      <c r="LT59" s="37">
        <v>12.304449999999999</v>
      </c>
      <c r="LU59" s="37">
        <v>12.304449999999999</v>
      </c>
      <c r="LV59" s="37">
        <v>12.304449999999999</v>
      </c>
      <c r="LW59" s="37">
        <v>12.304449999999999</v>
      </c>
      <c r="LX59" s="37">
        <v>12.304449999999999</v>
      </c>
      <c r="LY59" s="37">
        <v>12.304449999999999</v>
      </c>
      <c r="LZ59" s="37">
        <v>12.304449999999999</v>
      </c>
      <c r="MA59" s="37">
        <v>12.304449999999999</v>
      </c>
      <c r="MB59" s="37">
        <v>12.304449999999999</v>
      </c>
      <c r="MC59" s="37">
        <v>12.304449999999999</v>
      </c>
      <c r="MD59" s="37">
        <v>12.304449999999999</v>
      </c>
      <c r="ME59" s="37">
        <v>12.304449999999999</v>
      </c>
      <c r="MF59" s="37">
        <v>12.304449999999999</v>
      </c>
      <c r="MG59" s="37">
        <v>12.304449999999999</v>
      </c>
      <c r="MH59" s="37">
        <v>12.304449999999999</v>
      </c>
      <c r="MI59" s="37">
        <v>12.304449999999999</v>
      </c>
      <c r="MJ59" s="37">
        <v>12.304449999999999</v>
      </c>
      <c r="MK59" s="37">
        <v>12.304449999999999</v>
      </c>
      <c r="ML59" s="37">
        <v>12.304449999999999</v>
      </c>
      <c r="MM59" s="37">
        <v>12.304449999999999</v>
      </c>
      <c r="MN59" s="37">
        <v>12.304449999999999</v>
      </c>
      <c r="MO59" s="37">
        <v>12.304449999999999</v>
      </c>
      <c r="MP59" s="37">
        <v>12.304449999999999</v>
      </c>
      <c r="MQ59" s="37">
        <v>12.304449999999999</v>
      </c>
      <c r="MR59" s="37">
        <v>12.304449999999999</v>
      </c>
      <c r="MS59" s="37">
        <v>12.304449999999999</v>
      </c>
      <c r="MT59" s="37">
        <v>12.304449999999999</v>
      </c>
      <c r="MU59" s="37">
        <v>12.304449999999999</v>
      </c>
      <c r="MV59" s="37">
        <v>12.304449999999999</v>
      </c>
      <c r="MW59" s="37">
        <v>12.304449999999999</v>
      </c>
      <c r="MX59" s="37">
        <v>12.304449999999999</v>
      </c>
      <c r="MY59" s="37">
        <v>12.304449999999999</v>
      </c>
      <c r="MZ59" s="37">
        <v>12.304449999999999</v>
      </c>
      <c r="NA59" s="37">
        <v>12.304449999999999</v>
      </c>
      <c r="NB59" s="37">
        <v>12.304449999999999</v>
      </c>
      <c r="NC59" s="37">
        <v>12.304449999999999</v>
      </c>
      <c r="ND59" s="37">
        <v>12.304449999999999</v>
      </c>
      <c r="NE59" s="37">
        <v>12.304449999999999</v>
      </c>
      <c r="NF59" s="37">
        <v>12.304449999999999</v>
      </c>
      <c r="NG59" s="37">
        <v>12.304449999999999</v>
      </c>
      <c r="NH59" s="37">
        <v>12.304449999999999</v>
      </c>
      <c r="NI59" s="37">
        <v>12.304449999999999</v>
      </c>
      <c r="NJ59" s="37">
        <v>12.304449999999999</v>
      </c>
      <c r="NK59" s="37">
        <v>12.304449999999999</v>
      </c>
      <c r="NL59" s="37">
        <v>12.304449999999999</v>
      </c>
      <c r="NM59" s="37">
        <v>12.304449999999999</v>
      </c>
      <c r="NN59" s="37">
        <v>12.304449999999999</v>
      </c>
      <c r="NO59" s="37">
        <v>12.304449999999999</v>
      </c>
      <c r="NP59" s="37">
        <v>12.304449999999999</v>
      </c>
      <c r="NQ59" s="37">
        <v>12.304449999999999</v>
      </c>
      <c r="NR59" s="37">
        <v>12.304449999999999</v>
      </c>
      <c r="NS59" s="37">
        <v>12.304449999999999</v>
      </c>
      <c r="NT59" s="37">
        <v>12.304449999999999</v>
      </c>
      <c r="NU59" s="37">
        <v>12.304449999999999</v>
      </c>
      <c r="NV59" s="37">
        <v>12.304449999999999</v>
      </c>
      <c r="NW59" s="37">
        <v>12.304449999999999</v>
      </c>
      <c r="NX59" s="37">
        <v>12.304449999999999</v>
      </c>
      <c r="NY59" s="37">
        <v>12.304449999999999</v>
      </c>
      <c r="NZ59" s="37">
        <v>12.304449999999999</v>
      </c>
      <c r="OA59" s="37">
        <v>12.304449999999999</v>
      </c>
      <c r="OB59" s="37">
        <v>12.304449999999999</v>
      </c>
      <c r="OC59" s="37">
        <v>12.304449999999999</v>
      </c>
      <c r="OD59" s="37">
        <v>12.304449999999999</v>
      </c>
      <c r="OE59" s="37">
        <v>12.304449999999999</v>
      </c>
      <c r="OF59" s="37">
        <v>12.304449999999999</v>
      </c>
      <c r="OG59" s="37">
        <v>12.304449999999999</v>
      </c>
      <c r="OH59" s="37">
        <v>12.304449999999999</v>
      </c>
      <c r="OI59" s="37">
        <v>12.304449999999999</v>
      </c>
      <c r="OJ59" s="37">
        <v>12.304449999999999</v>
      </c>
      <c r="OK59" s="37">
        <v>12.304449999999999</v>
      </c>
      <c r="OL59" s="37">
        <v>12.304449999999999</v>
      </c>
      <c r="OM59" s="37">
        <v>12.304449999999999</v>
      </c>
      <c r="ON59" s="37">
        <v>12.304449999999999</v>
      </c>
      <c r="OO59" s="37">
        <v>12.304449999999999</v>
      </c>
      <c r="OP59" s="37">
        <v>12.304449999999999</v>
      </c>
      <c r="OQ59" s="37">
        <v>12.304449999999999</v>
      </c>
      <c r="OR59" s="37">
        <v>12.304449999999999</v>
      </c>
      <c r="OS59" s="37">
        <v>12.304449999999999</v>
      </c>
      <c r="OT59" s="37">
        <v>12.304449999999999</v>
      </c>
      <c r="OU59" s="37">
        <v>12.304449999999999</v>
      </c>
      <c r="OV59" s="37">
        <v>12.304449999999999</v>
      </c>
      <c r="OW59" s="37">
        <v>12.304449999999999</v>
      </c>
      <c r="OX59" s="37">
        <v>12.304449999999999</v>
      </c>
      <c r="OY59" s="37">
        <v>12.304449999999999</v>
      </c>
      <c r="OZ59" s="37">
        <v>12.304449999999999</v>
      </c>
      <c r="PA59" s="37">
        <v>12.304449999999999</v>
      </c>
      <c r="PB59" s="37">
        <v>12.304449999999999</v>
      </c>
      <c r="PC59" s="37">
        <v>12.304449999999999</v>
      </c>
      <c r="PD59" s="37">
        <v>12.304449999999999</v>
      </c>
      <c r="PE59" s="37">
        <v>12.304449999999999</v>
      </c>
      <c r="PF59" s="37">
        <v>12.304449999999999</v>
      </c>
      <c r="PG59" s="37">
        <v>12.304449999999999</v>
      </c>
      <c r="PH59" s="37">
        <v>12.304449999999999</v>
      </c>
      <c r="PI59" s="37">
        <v>12.304449999999999</v>
      </c>
      <c r="PJ59" s="37">
        <v>12.304449999999999</v>
      </c>
      <c r="PK59" s="37">
        <v>12.304449999999999</v>
      </c>
      <c r="PL59" s="37">
        <v>12.304449999999999</v>
      </c>
      <c r="PM59" s="37">
        <v>12.304449999999999</v>
      </c>
      <c r="PN59" s="37">
        <v>12.304449999999999</v>
      </c>
      <c r="PO59" s="37">
        <v>12.304449999999999</v>
      </c>
      <c r="PP59" s="37">
        <v>12.304449999999999</v>
      </c>
      <c r="PQ59" s="37">
        <v>12.304449999999999</v>
      </c>
      <c r="PR59" s="37">
        <v>12.304449999999999</v>
      </c>
      <c r="PS59" s="15">
        <v>12.304449999999999</v>
      </c>
      <c r="PT59" s="15">
        <v>12.304449999999999</v>
      </c>
      <c r="PU59" s="15">
        <v>12.304449999999999</v>
      </c>
      <c r="PV59" s="15">
        <v>12.304449999999999</v>
      </c>
      <c r="PW59" s="15">
        <v>12.304449999999999</v>
      </c>
      <c r="PX59" s="15">
        <v>12.304449999999999</v>
      </c>
      <c r="PY59" s="15">
        <v>12.304449999999999</v>
      </c>
      <c r="PZ59" s="15">
        <v>12.304449999999999</v>
      </c>
      <c r="QA59" s="15">
        <v>12.304449999999999</v>
      </c>
      <c r="QB59" s="15">
        <v>12.304449999999999</v>
      </c>
      <c r="QC59" s="15">
        <v>12.304449999999999</v>
      </c>
      <c r="QD59" s="15">
        <v>12.304449999999999</v>
      </c>
      <c r="QE59" s="15">
        <v>12.304449999999999</v>
      </c>
      <c r="QF59" s="15">
        <v>12.304449999999999</v>
      </c>
      <c r="QG59" s="15">
        <v>12.304449999999999</v>
      </c>
      <c r="QH59" s="15">
        <v>12.304449999999999</v>
      </c>
      <c r="QI59" s="15">
        <v>12.304449999999999</v>
      </c>
      <c r="QJ59" s="15">
        <v>12.304449999999999</v>
      </c>
      <c r="QK59" s="15">
        <v>12.304449999999999</v>
      </c>
      <c r="QL59" s="15">
        <v>12.304449999999999</v>
      </c>
      <c r="QM59" s="15">
        <v>12.304449999999999</v>
      </c>
      <c r="QN59" s="15">
        <v>12.304449999999999</v>
      </c>
      <c r="QO59" s="15">
        <v>12.304449999999999</v>
      </c>
      <c r="QP59" s="15">
        <v>12.304449999999999</v>
      </c>
      <c r="QQ59" s="15">
        <v>12.304449999999999</v>
      </c>
      <c r="QR59" s="15">
        <v>12.304449999999999</v>
      </c>
      <c r="QS59" s="15">
        <v>12.304449999999999</v>
      </c>
      <c r="QT59" s="15">
        <v>12.304449999999999</v>
      </c>
      <c r="QU59" s="15">
        <v>12.304449999999999</v>
      </c>
      <c r="QV59" s="15">
        <v>12.304449999999999</v>
      </c>
      <c r="QW59" s="15">
        <v>12.304449999999999</v>
      </c>
      <c r="QX59" s="15">
        <v>12.304449999999999</v>
      </c>
      <c r="QY59" s="15">
        <v>12.304449999999999</v>
      </c>
      <c r="QZ59" s="15">
        <v>12.304449999999999</v>
      </c>
      <c r="RA59" s="15">
        <v>12.304449999999999</v>
      </c>
      <c r="RB59" s="15">
        <v>12.304449999999999</v>
      </c>
      <c r="RC59" s="15">
        <v>12.304449999999999</v>
      </c>
      <c r="RD59" s="15">
        <v>12.304449999999999</v>
      </c>
      <c r="RE59" s="15">
        <v>12.304449999999999</v>
      </c>
      <c r="RF59" s="15">
        <v>12.304449999999999</v>
      </c>
      <c r="RG59" s="15">
        <v>12.304449999999999</v>
      </c>
      <c r="RH59" s="15">
        <v>12.304449999999999</v>
      </c>
      <c r="RI59" s="15">
        <v>12.304449999999999</v>
      </c>
      <c r="RJ59" s="15">
        <v>12.304449999999999</v>
      </c>
      <c r="RK59" s="15">
        <v>12.304449999999999</v>
      </c>
      <c r="RL59" s="15">
        <v>12.304449999999999</v>
      </c>
      <c r="RM59" s="15">
        <v>12.304449999999999</v>
      </c>
      <c r="RN59" s="15">
        <v>12.304449999999999</v>
      </c>
      <c r="RO59" s="15">
        <v>12.304449999999999</v>
      </c>
      <c r="RP59" s="15">
        <v>12.304449999999999</v>
      </c>
      <c r="RQ59" s="15">
        <v>12.304449999999999</v>
      </c>
      <c r="RR59" s="15">
        <v>12.304449999999999</v>
      </c>
      <c r="RS59" s="15">
        <v>12.304449999999999</v>
      </c>
      <c r="RT59" s="15">
        <v>12.304449999999999</v>
      </c>
      <c r="RU59" s="15">
        <v>12.304449999999999</v>
      </c>
      <c r="RV59" s="15">
        <v>12.304449999999999</v>
      </c>
      <c r="RW59" s="15">
        <v>12.304449999999999</v>
      </c>
      <c r="RX59" s="15">
        <v>12.304449999999999</v>
      </c>
      <c r="RY59" s="15">
        <v>12.304449999999999</v>
      </c>
      <c r="RZ59" s="15">
        <v>12.304449999999999</v>
      </c>
      <c r="SA59" s="15">
        <v>12.304449999999999</v>
      </c>
      <c r="SB59" s="15">
        <v>12.304449999999999</v>
      </c>
      <c r="SC59" s="15">
        <v>12.304449999999999</v>
      </c>
      <c r="SD59" s="15">
        <v>12.304449999999999</v>
      </c>
      <c r="SE59" s="15">
        <v>12.304449999999999</v>
      </c>
      <c r="SF59" s="15">
        <v>12.304449999999999</v>
      </c>
      <c r="SG59" s="15">
        <v>12.304449999999999</v>
      </c>
      <c r="SH59" s="15">
        <v>12.304449999999999</v>
      </c>
      <c r="SI59" s="15">
        <v>12.304449999999999</v>
      </c>
      <c r="SJ59" s="15">
        <v>12.304449999999999</v>
      </c>
      <c r="SK59" s="15">
        <v>12.304449999999999</v>
      </c>
      <c r="SL59" s="15">
        <v>10.373749999999999</v>
      </c>
      <c r="SM59" s="15" t="s">
        <v>668</v>
      </c>
      <c r="SN59" s="15" t="s">
        <v>668</v>
      </c>
    </row>
    <row r="60" spans="1:508" x14ac:dyDescent="0.2">
      <c r="A60" s="37">
        <v>58</v>
      </c>
      <c r="B60" s="48" t="s">
        <v>742</v>
      </c>
      <c r="C60" s="17">
        <f>+'Detalle Compras'!D60</f>
        <v>202507300085</v>
      </c>
      <c r="D60" s="55">
        <f t="shared" si="13"/>
        <v>7.0508350000000002</v>
      </c>
      <c r="E60" s="14">
        <f>+IF(B60="","",'Detalle Compras'!S60+0)</f>
        <v>45910</v>
      </c>
      <c r="F60" s="14">
        <f>+IF(B60="","",EOMONTH('Detalle Compras'!S60,G60)+10)</f>
        <v>52880</v>
      </c>
      <c r="G60" s="50">
        <f t="shared" si="14"/>
        <v>228</v>
      </c>
      <c r="H60" s="50">
        <f t="shared" si="15"/>
        <v>223</v>
      </c>
      <c r="J60" s="52"/>
      <c r="K60" s="52"/>
      <c r="L60" s="52"/>
      <c r="M60" s="52"/>
      <c r="N60" s="52"/>
      <c r="O60" s="52"/>
      <c r="P60" s="52"/>
      <c r="Q60" s="52"/>
      <c r="R60" s="52"/>
      <c r="S60" s="52"/>
      <c r="T60" s="52"/>
      <c r="U60" s="52"/>
      <c r="V60" s="52"/>
      <c r="W60" s="52"/>
      <c r="X60" s="52"/>
      <c r="Y60" s="52"/>
      <c r="Z60" s="52"/>
      <c r="AA60" s="52">
        <v>7.0508350000000002</v>
      </c>
      <c r="AB60" s="52">
        <v>7.0508350000000002</v>
      </c>
      <c r="AC60" s="52">
        <v>7.0508350000000002</v>
      </c>
      <c r="AD60" s="52">
        <v>7.0508350000000002</v>
      </c>
      <c r="AE60" s="52">
        <v>7.0508350000000002</v>
      </c>
      <c r="AF60" s="52">
        <v>7.0508350000000002</v>
      </c>
      <c r="AG60" s="52">
        <v>7.0508350000000002</v>
      </c>
      <c r="AH60" s="52">
        <v>7.0508350000000002</v>
      </c>
      <c r="AI60" s="52">
        <v>7.0508350000000002</v>
      </c>
      <c r="AJ60" s="52">
        <v>7.0508350000000002</v>
      </c>
      <c r="AK60" s="52">
        <v>7.0508350000000002</v>
      </c>
      <c r="AL60" s="52">
        <v>7.0508350000000002</v>
      </c>
      <c r="AM60" s="52">
        <v>7.0508350000000002</v>
      </c>
      <c r="AN60" s="52">
        <v>7.0508350000000002</v>
      </c>
      <c r="AO60" s="52">
        <v>7.0508350000000002</v>
      </c>
      <c r="AP60" s="52">
        <v>7.0508350000000002</v>
      </c>
      <c r="AQ60" s="52">
        <v>7.0508350000000002</v>
      </c>
      <c r="AR60" s="52">
        <v>7.0508350000000002</v>
      </c>
      <c r="AS60" s="52">
        <v>7.0508350000000002</v>
      </c>
      <c r="AT60" s="52">
        <v>7.0508350000000002</v>
      </c>
      <c r="AU60" s="52">
        <v>7.0508350000000002</v>
      </c>
      <c r="AV60" s="52">
        <v>7.0508350000000002</v>
      </c>
      <c r="AW60" s="52">
        <v>7.0508350000000002</v>
      </c>
      <c r="AX60" s="52">
        <v>7.0508350000000002</v>
      </c>
      <c r="AY60" s="52">
        <v>7.0508350000000002</v>
      </c>
      <c r="AZ60" s="52">
        <v>7.0508350000000002</v>
      </c>
      <c r="BA60" s="52">
        <v>7.0508350000000002</v>
      </c>
      <c r="BB60" s="52">
        <v>7.0508350000000002</v>
      </c>
      <c r="BC60" s="52">
        <v>7.0508350000000002</v>
      </c>
      <c r="BD60" s="52">
        <v>7.0508350000000002</v>
      </c>
      <c r="BE60" s="52">
        <v>7.0508350000000002</v>
      </c>
      <c r="BF60" s="52">
        <v>7.0508350000000002</v>
      </c>
      <c r="BG60" s="52">
        <v>7.0508350000000002</v>
      </c>
      <c r="BH60" s="52">
        <v>7.0508350000000002</v>
      </c>
      <c r="BI60" s="52">
        <v>7.0508350000000002</v>
      </c>
      <c r="BJ60" s="52">
        <v>7.0508350000000002</v>
      </c>
      <c r="BK60" s="52">
        <v>7.0508350000000002</v>
      </c>
      <c r="BL60" s="52">
        <v>7.0508350000000002</v>
      </c>
      <c r="BM60" s="52">
        <v>7.0508350000000002</v>
      </c>
      <c r="BN60" s="52">
        <v>7.0508350000000002</v>
      </c>
      <c r="BO60" s="52">
        <v>7.0508350000000002</v>
      </c>
      <c r="BP60" s="52">
        <v>7.0508350000000002</v>
      </c>
      <c r="BQ60" s="52">
        <v>7.0508350000000002</v>
      </c>
      <c r="BR60" s="52">
        <v>7.0508350000000002</v>
      </c>
      <c r="BS60" s="52">
        <v>7.0508350000000002</v>
      </c>
      <c r="BT60" s="52">
        <v>7.0508350000000002</v>
      </c>
      <c r="BU60" s="52">
        <v>7.0508350000000002</v>
      </c>
      <c r="BV60" s="52">
        <v>7.0508350000000002</v>
      </c>
      <c r="BW60" s="52">
        <v>7.0508350000000002</v>
      </c>
      <c r="BX60" s="52">
        <v>7.0508350000000002</v>
      </c>
      <c r="BY60" s="52">
        <v>7.0508350000000002</v>
      </c>
      <c r="BZ60" s="52">
        <v>7.0508350000000002</v>
      </c>
      <c r="CA60" s="52">
        <v>7.0508350000000002</v>
      </c>
      <c r="CB60" s="52">
        <v>7.0508350000000002</v>
      </c>
      <c r="CC60" s="52">
        <v>7.0508350000000002</v>
      </c>
      <c r="CD60" s="52">
        <v>7.0508350000000002</v>
      </c>
      <c r="CE60" s="52">
        <v>7.0508350000000002</v>
      </c>
      <c r="CF60" s="52">
        <v>7.0508350000000002</v>
      </c>
      <c r="CG60" s="52">
        <v>7.0508350000000002</v>
      </c>
      <c r="CH60" s="52">
        <v>7.0508350000000002</v>
      </c>
      <c r="CI60" s="52">
        <v>7.0508350000000002</v>
      </c>
      <c r="CJ60" s="52">
        <v>7.0508350000000002</v>
      </c>
      <c r="CK60" s="52">
        <v>7.0508350000000002</v>
      </c>
      <c r="CL60" s="52">
        <v>7.0508350000000002</v>
      </c>
      <c r="CM60" s="52">
        <v>7.0508350000000002</v>
      </c>
      <c r="CN60" s="52">
        <v>7.0508350000000002</v>
      </c>
      <c r="CO60" s="52">
        <v>7.0508350000000002</v>
      </c>
      <c r="CP60" s="52">
        <v>7.0508350000000002</v>
      </c>
      <c r="CQ60" s="52">
        <v>7.0508350000000002</v>
      </c>
      <c r="CR60" s="52">
        <v>7.0508350000000002</v>
      </c>
      <c r="CS60" s="52">
        <v>7.0508350000000002</v>
      </c>
      <c r="CT60" s="52">
        <v>7.0508350000000002</v>
      </c>
      <c r="CU60" s="52">
        <v>7.0508350000000002</v>
      </c>
      <c r="CV60" s="52">
        <v>7.0508350000000002</v>
      </c>
      <c r="CW60" s="52">
        <v>7.0508350000000002</v>
      </c>
      <c r="CX60" s="52">
        <v>7.0508350000000002</v>
      </c>
      <c r="CY60" s="52">
        <v>7.0508350000000002</v>
      </c>
      <c r="CZ60" s="52">
        <v>7.0508350000000002</v>
      </c>
      <c r="DA60" s="52">
        <v>7.0508350000000002</v>
      </c>
      <c r="DB60" s="52">
        <v>7.0508350000000002</v>
      </c>
      <c r="DC60" s="52">
        <v>7.0508350000000002</v>
      </c>
      <c r="DD60" s="52">
        <v>7.0508350000000002</v>
      </c>
      <c r="DE60" s="52">
        <v>7.0508350000000002</v>
      </c>
      <c r="DF60" s="52">
        <v>7.0508350000000002</v>
      </c>
      <c r="DG60" s="52">
        <v>7.0508350000000002</v>
      </c>
      <c r="DH60" s="52">
        <v>7.0508350000000002</v>
      </c>
      <c r="DI60" s="52">
        <v>7.0508350000000002</v>
      </c>
      <c r="DJ60" s="52">
        <v>7.0508350000000002</v>
      </c>
      <c r="DK60" s="52">
        <v>7.0508350000000002</v>
      </c>
      <c r="DL60" s="52">
        <v>7.0508350000000002</v>
      </c>
      <c r="DM60" s="52">
        <v>7.0508350000000002</v>
      </c>
      <c r="DN60" s="52">
        <v>7.0508350000000002</v>
      </c>
      <c r="DO60" s="52">
        <v>7.0508350000000002</v>
      </c>
      <c r="DP60" s="52">
        <v>7.0508350000000002</v>
      </c>
      <c r="DQ60" s="52">
        <v>7.0508350000000002</v>
      </c>
      <c r="DR60" s="52">
        <v>7.0508350000000002</v>
      </c>
      <c r="DS60" s="52">
        <v>7.0508350000000002</v>
      </c>
      <c r="DT60" s="52">
        <v>7.0508350000000002</v>
      </c>
      <c r="DU60" s="52">
        <v>7.0508350000000002</v>
      </c>
      <c r="DV60" s="52">
        <v>7.0508350000000002</v>
      </c>
      <c r="DW60" s="52">
        <v>7.0508350000000002</v>
      </c>
      <c r="DX60" s="52">
        <v>7.0508350000000002</v>
      </c>
      <c r="DY60" s="52">
        <v>7.0508350000000002</v>
      </c>
      <c r="DZ60" s="52">
        <v>7.0508350000000002</v>
      </c>
      <c r="EA60" s="52">
        <v>7.0508350000000002</v>
      </c>
      <c r="EB60" s="52">
        <v>7.0508350000000002</v>
      </c>
      <c r="EC60" s="52">
        <v>7.0508350000000002</v>
      </c>
      <c r="ED60" s="52">
        <v>7.0508350000000002</v>
      </c>
      <c r="EE60" s="52">
        <v>7.0508350000000002</v>
      </c>
      <c r="EF60" s="52">
        <v>7.0508350000000002</v>
      </c>
      <c r="EG60" s="52">
        <v>7.0508350000000002</v>
      </c>
      <c r="EH60" s="52">
        <v>7.0508350000000002</v>
      </c>
      <c r="EI60" s="52">
        <v>7.0508350000000002</v>
      </c>
      <c r="EJ60" s="52">
        <v>7.0508350000000002</v>
      </c>
      <c r="EK60" s="52">
        <v>7.0508350000000002</v>
      </c>
      <c r="EL60" s="52">
        <v>7.0508350000000002</v>
      </c>
      <c r="EM60" s="52">
        <v>7.0508350000000002</v>
      </c>
      <c r="EN60" s="52">
        <v>7.0508350000000002</v>
      </c>
      <c r="EO60" s="52">
        <v>7.0508350000000002</v>
      </c>
      <c r="EP60" s="52">
        <v>7.0508350000000002</v>
      </c>
      <c r="EQ60" s="52">
        <v>7.0508350000000002</v>
      </c>
      <c r="ER60" s="52">
        <v>7.0508350000000002</v>
      </c>
      <c r="ES60" s="52">
        <v>7.0508350000000002</v>
      </c>
      <c r="ET60" s="52">
        <v>7.0508350000000002</v>
      </c>
      <c r="EU60" s="52">
        <v>7.0508350000000002</v>
      </c>
      <c r="EV60" s="52">
        <v>7.0508350000000002</v>
      </c>
      <c r="EW60" s="52">
        <v>7.0508350000000002</v>
      </c>
      <c r="EX60" s="52">
        <v>7.0508350000000002</v>
      </c>
      <c r="EY60" s="52">
        <v>7.0508350000000002</v>
      </c>
      <c r="EZ60" s="52">
        <v>7.0508350000000002</v>
      </c>
      <c r="FA60" s="52">
        <v>7.0508350000000002</v>
      </c>
      <c r="FB60" s="52">
        <v>7.0508350000000002</v>
      </c>
      <c r="FC60" s="52">
        <v>7.0508350000000002</v>
      </c>
      <c r="FD60" s="52">
        <v>7.0508350000000002</v>
      </c>
      <c r="FE60" s="52">
        <v>7.0508350000000002</v>
      </c>
      <c r="FF60" s="52">
        <v>7.0508350000000002</v>
      </c>
      <c r="FG60" s="52">
        <v>7.0508350000000002</v>
      </c>
      <c r="FH60" s="52">
        <v>7.0508350000000002</v>
      </c>
      <c r="FI60" s="52">
        <v>7.0508350000000002</v>
      </c>
      <c r="FJ60" s="52">
        <v>7.0508350000000002</v>
      </c>
      <c r="FK60" s="52">
        <v>7.0508350000000002</v>
      </c>
      <c r="FL60" s="52">
        <v>7.0508350000000002</v>
      </c>
      <c r="FM60" s="52">
        <v>7.0508350000000002</v>
      </c>
      <c r="FN60" s="52">
        <v>7.0508350000000002</v>
      </c>
      <c r="FO60" s="52">
        <v>7.0508350000000002</v>
      </c>
      <c r="FP60" s="52">
        <v>7.0508350000000002</v>
      </c>
      <c r="FQ60" s="52">
        <v>7.0508350000000002</v>
      </c>
      <c r="FR60" s="52">
        <v>7.0508350000000002</v>
      </c>
      <c r="FS60" s="52">
        <v>7.0508350000000002</v>
      </c>
      <c r="FT60" s="52">
        <v>7.0508350000000002</v>
      </c>
      <c r="FU60" s="52">
        <v>7.0508350000000002</v>
      </c>
      <c r="FV60" s="52">
        <v>7.0508350000000002</v>
      </c>
      <c r="FW60" s="52">
        <v>7.0508350000000002</v>
      </c>
      <c r="FX60" s="52">
        <v>7.0508350000000002</v>
      </c>
      <c r="FY60" s="52">
        <v>7.0508350000000002</v>
      </c>
      <c r="FZ60" s="52">
        <v>7.0508350000000002</v>
      </c>
      <c r="GA60" s="52">
        <v>7.0508350000000002</v>
      </c>
      <c r="GB60" s="52">
        <v>7.0508350000000002</v>
      </c>
      <c r="GC60" s="52">
        <v>7.0508350000000002</v>
      </c>
      <c r="GD60" s="52">
        <v>7.0508350000000002</v>
      </c>
      <c r="GE60" s="52">
        <v>7.0508350000000002</v>
      </c>
      <c r="GF60" s="52">
        <v>7.0508350000000002</v>
      </c>
      <c r="GG60" s="52">
        <v>7.0508350000000002</v>
      </c>
      <c r="GH60" s="52">
        <v>7.0508350000000002</v>
      </c>
      <c r="GI60" s="52">
        <v>7.0508350000000002</v>
      </c>
      <c r="GJ60" s="52">
        <v>7.0508350000000002</v>
      </c>
      <c r="GK60" s="52">
        <v>7.0508350000000002</v>
      </c>
      <c r="GL60" s="52">
        <v>7.0508350000000002</v>
      </c>
      <c r="GM60" s="52">
        <v>7.0508350000000002</v>
      </c>
      <c r="GN60" s="52">
        <v>7.0508350000000002</v>
      </c>
      <c r="GO60" s="52">
        <v>7.0508350000000002</v>
      </c>
      <c r="GP60" s="52">
        <v>7.0508350000000002</v>
      </c>
      <c r="GQ60" s="52">
        <v>7.0508350000000002</v>
      </c>
      <c r="GR60" s="52">
        <v>7.0508350000000002</v>
      </c>
      <c r="GS60" s="52">
        <v>7.0508350000000002</v>
      </c>
      <c r="GT60" s="52">
        <v>7.0508350000000002</v>
      </c>
      <c r="GU60" s="52">
        <v>7.0508350000000002</v>
      </c>
      <c r="GV60" s="52">
        <v>7.0508350000000002</v>
      </c>
      <c r="GW60" s="52">
        <v>7.0508350000000002</v>
      </c>
      <c r="GX60" s="52">
        <v>7.0508350000000002</v>
      </c>
      <c r="GY60" s="52">
        <v>7.0508350000000002</v>
      </c>
      <c r="GZ60" s="52">
        <v>7.0508350000000002</v>
      </c>
      <c r="HA60" s="52">
        <v>7.0508350000000002</v>
      </c>
      <c r="HB60" s="52">
        <v>7.0508350000000002</v>
      </c>
      <c r="HC60" s="52">
        <v>7.0508350000000002</v>
      </c>
      <c r="HD60" s="52">
        <v>7.0508350000000002</v>
      </c>
      <c r="HE60" s="52">
        <v>7.0508350000000002</v>
      </c>
      <c r="HF60" s="52">
        <v>7.0508350000000002</v>
      </c>
      <c r="HG60" s="52">
        <v>7.0508350000000002</v>
      </c>
      <c r="HH60" s="52">
        <v>7.0508350000000002</v>
      </c>
      <c r="HI60" s="52">
        <v>7.0508350000000002</v>
      </c>
      <c r="HJ60" s="52">
        <v>7.0508350000000002</v>
      </c>
      <c r="HK60" s="52">
        <v>7.0508350000000002</v>
      </c>
      <c r="HL60" s="52">
        <v>7.0508350000000002</v>
      </c>
      <c r="HM60" s="52">
        <v>7.0508350000000002</v>
      </c>
      <c r="HN60" s="52">
        <v>7.0508350000000002</v>
      </c>
      <c r="HO60" s="52">
        <v>7.0508350000000002</v>
      </c>
      <c r="HP60" s="52">
        <v>7.0508350000000002</v>
      </c>
      <c r="HQ60" s="52">
        <v>7.0508350000000002</v>
      </c>
      <c r="HR60" s="52">
        <v>7.0508350000000002</v>
      </c>
      <c r="HS60" s="52">
        <v>7.0508350000000002</v>
      </c>
      <c r="HT60" s="52">
        <v>7.0508350000000002</v>
      </c>
      <c r="HU60" s="52">
        <v>7.0508350000000002</v>
      </c>
      <c r="HV60" s="52">
        <v>7.0508350000000002</v>
      </c>
      <c r="HW60" s="52">
        <v>7.0508350000000002</v>
      </c>
      <c r="HX60" s="52">
        <v>7.0508350000000002</v>
      </c>
      <c r="HY60" s="52">
        <v>7.0508350000000002</v>
      </c>
      <c r="HZ60" s="52">
        <v>7.0508350000000002</v>
      </c>
      <c r="IA60" s="52">
        <v>7.0508350000000002</v>
      </c>
      <c r="IB60" s="52">
        <v>7.0508350000000002</v>
      </c>
      <c r="IC60" s="52">
        <v>7.0508350000000002</v>
      </c>
      <c r="ID60" s="52">
        <v>7.0508350000000002</v>
      </c>
      <c r="IE60" s="52">
        <v>7.0508350000000002</v>
      </c>
      <c r="IF60" s="52">
        <v>7.0508350000000002</v>
      </c>
      <c r="IG60" s="52">
        <v>7.0508350000000002</v>
      </c>
      <c r="IH60" s="52">
        <v>7.0508350000000002</v>
      </c>
      <c r="II60" s="52">
        <v>7.0508350000000002</v>
      </c>
      <c r="IJ60" s="52">
        <v>7.0508350000000002</v>
      </c>
      <c r="IK60" s="52">
        <v>7.0508350000000002</v>
      </c>
      <c r="IL60" s="52">
        <v>7.0508350000000002</v>
      </c>
      <c r="IM60" s="52">
        <v>7.0508350000000002</v>
      </c>
      <c r="IN60" s="52">
        <v>7.0508350000000002</v>
      </c>
      <c r="IO60" s="52">
        <v>7.0508350000000002</v>
      </c>
      <c r="IP60" s="52">
        <v>7.0508350000000002</v>
      </c>
      <c r="IQ60" s="52">
        <v>7.0508350000000002</v>
      </c>
      <c r="IR60" s="52">
        <v>7.0508350000000002</v>
      </c>
      <c r="IS60" s="52">
        <v>7.0508350000000002</v>
      </c>
      <c r="IT60" s="52">
        <v>7.0143700000000004</v>
      </c>
      <c r="IU60" s="52" t="s">
        <v>668</v>
      </c>
      <c r="IV60" s="52" t="s">
        <v>668</v>
      </c>
      <c r="IW60" s="52" t="s">
        <v>668</v>
      </c>
      <c r="IX60" s="52" t="s">
        <v>668</v>
      </c>
      <c r="IY60" s="52" t="s">
        <v>668</v>
      </c>
      <c r="IZ60" s="52" t="s">
        <v>668</v>
      </c>
      <c r="JA60" s="52" t="s">
        <v>668</v>
      </c>
      <c r="JB60" s="52" t="s">
        <v>668</v>
      </c>
      <c r="JC60" s="52" t="s">
        <v>668</v>
      </c>
      <c r="JD60" s="52" t="s">
        <v>668</v>
      </c>
      <c r="JE60" s="52" t="s">
        <v>668</v>
      </c>
      <c r="JF60" s="52" t="s">
        <v>668</v>
      </c>
      <c r="JG60" s="52" t="s">
        <v>668</v>
      </c>
      <c r="JH60" s="52" t="s">
        <v>668</v>
      </c>
      <c r="JI60" s="52" t="s">
        <v>668</v>
      </c>
      <c r="JJ60" s="52" t="s">
        <v>668</v>
      </c>
      <c r="JK60" s="52" t="s">
        <v>668</v>
      </c>
      <c r="JL60" s="52" t="s">
        <v>668</v>
      </c>
      <c r="JM60" s="52" t="s">
        <v>668</v>
      </c>
      <c r="JN60" s="52" t="s">
        <v>668</v>
      </c>
      <c r="JO60" s="52" t="s">
        <v>668</v>
      </c>
      <c r="JP60" s="52" t="s">
        <v>668</v>
      </c>
      <c r="JQ60" s="52" t="s">
        <v>668</v>
      </c>
      <c r="JR60" s="52" t="s">
        <v>668</v>
      </c>
      <c r="JS60" s="52" t="s">
        <v>668</v>
      </c>
      <c r="JT60" s="52" t="s">
        <v>668</v>
      </c>
      <c r="JU60" s="52" t="s">
        <v>668</v>
      </c>
      <c r="JV60" s="52" t="s">
        <v>668</v>
      </c>
      <c r="JW60" s="52" t="s">
        <v>668</v>
      </c>
      <c r="JX60" s="52" t="s">
        <v>668</v>
      </c>
      <c r="JY60" s="52" t="s">
        <v>668</v>
      </c>
      <c r="JZ60" s="52" t="s">
        <v>668</v>
      </c>
      <c r="KA60" s="52" t="s">
        <v>668</v>
      </c>
      <c r="KB60" s="52" t="s">
        <v>668</v>
      </c>
      <c r="KC60" s="52" t="s">
        <v>668</v>
      </c>
      <c r="KD60" s="52" t="s">
        <v>668</v>
      </c>
      <c r="KE60" s="52" t="s">
        <v>668</v>
      </c>
      <c r="KF60" s="52" t="s">
        <v>668</v>
      </c>
      <c r="KG60" s="52" t="s">
        <v>668</v>
      </c>
      <c r="KH60" s="52" t="s">
        <v>668</v>
      </c>
      <c r="KI60" s="52" t="s">
        <v>668</v>
      </c>
      <c r="KJ60" s="52" t="s">
        <v>668</v>
      </c>
      <c r="KK60" s="52" t="s">
        <v>668</v>
      </c>
      <c r="KL60" s="52" t="s">
        <v>668</v>
      </c>
      <c r="KM60" s="52" t="s">
        <v>668</v>
      </c>
      <c r="KN60" s="52" t="s">
        <v>668</v>
      </c>
      <c r="KO60" s="52" t="s">
        <v>668</v>
      </c>
      <c r="KP60" s="52" t="s">
        <v>668</v>
      </c>
      <c r="KQ60" s="52" t="s">
        <v>668</v>
      </c>
      <c r="KR60" s="52" t="s">
        <v>668</v>
      </c>
      <c r="KS60" s="52" t="s">
        <v>668</v>
      </c>
      <c r="KT60" s="52" t="s">
        <v>668</v>
      </c>
      <c r="KU60" s="52" t="s">
        <v>668</v>
      </c>
      <c r="KV60" s="52" t="s">
        <v>668</v>
      </c>
      <c r="KW60" s="37" t="s">
        <v>668</v>
      </c>
      <c r="KX60" s="37" t="s">
        <v>668</v>
      </c>
      <c r="KY60" s="37" t="s">
        <v>668</v>
      </c>
      <c r="KZ60" s="37" t="s">
        <v>668</v>
      </c>
      <c r="LA60" s="37" t="s">
        <v>668</v>
      </c>
      <c r="LB60" s="37" t="s">
        <v>668</v>
      </c>
      <c r="LC60" s="37" t="s">
        <v>668</v>
      </c>
      <c r="LD60" s="37" t="s">
        <v>668</v>
      </c>
      <c r="LE60" s="37" t="s">
        <v>668</v>
      </c>
      <c r="LF60" s="37" t="s">
        <v>668</v>
      </c>
      <c r="LG60" s="37" t="s">
        <v>668</v>
      </c>
      <c r="LH60" s="37" t="s">
        <v>668</v>
      </c>
      <c r="LI60" s="37" t="s">
        <v>668</v>
      </c>
      <c r="LJ60" s="37" t="s">
        <v>668</v>
      </c>
      <c r="LK60" s="37" t="s">
        <v>668</v>
      </c>
      <c r="LL60" s="37" t="s">
        <v>668</v>
      </c>
      <c r="LM60" s="37" t="s">
        <v>668</v>
      </c>
      <c r="LN60" s="37" t="s">
        <v>668</v>
      </c>
      <c r="LO60" s="37" t="s">
        <v>668</v>
      </c>
      <c r="LP60" s="37" t="s">
        <v>668</v>
      </c>
      <c r="LQ60" s="37" t="s">
        <v>668</v>
      </c>
      <c r="LR60" s="37" t="s">
        <v>668</v>
      </c>
      <c r="LS60" s="37" t="s">
        <v>668</v>
      </c>
      <c r="LT60" s="37" t="s">
        <v>668</v>
      </c>
      <c r="LU60" s="37" t="s">
        <v>668</v>
      </c>
      <c r="LV60" s="37" t="s">
        <v>668</v>
      </c>
      <c r="LW60" s="37" t="s">
        <v>668</v>
      </c>
      <c r="LX60" s="37" t="s">
        <v>668</v>
      </c>
      <c r="LY60" s="37" t="s">
        <v>668</v>
      </c>
      <c r="LZ60" s="37" t="s">
        <v>668</v>
      </c>
      <c r="MA60" s="37" t="s">
        <v>668</v>
      </c>
      <c r="MB60" s="37" t="s">
        <v>668</v>
      </c>
      <c r="MC60" s="37" t="s">
        <v>668</v>
      </c>
      <c r="MD60" s="37" t="s">
        <v>668</v>
      </c>
      <c r="ME60" s="37" t="s">
        <v>668</v>
      </c>
      <c r="MF60" s="37" t="s">
        <v>668</v>
      </c>
      <c r="MG60" s="37" t="s">
        <v>668</v>
      </c>
      <c r="MH60" s="37" t="s">
        <v>668</v>
      </c>
      <c r="MI60" s="37" t="s">
        <v>668</v>
      </c>
      <c r="MJ60" s="37" t="s">
        <v>668</v>
      </c>
      <c r="MK60" s="37" t="s">
        <v>668</v>
      </c>
      <c r="ML60" s="37" t="s">
        <v>668</v>
      </c>
      <c r="MM60" s="37" t="s">
        <v>668</v>
      </c>
      <c r="MN60" s="37" t="s">
        <v>668</v>
      </c>
      <c r="MO60" s="37" t="s">
        <v>668</v>
      </c>
      <c r="MP60" s="37" t="s">
        <v>668</v>
      </c>
      <c r="MQ60" s="37" t="s">
        <v>668</v>
      </c>
      <c r="MR60" s="37" t="s">
        <v>668</v>
      </c>
      <c r="MS60" s="37" t="s">
        <v>668</v>
      </c>
      <c r="MT60" s="37" t="s">
        <v>668</v>
      </c>
      <c r="MU60" s="37" t="s">
        <v>668</v>
      </c>
      <c r="MV60" s="37" t="s">
        <v>668</v>
      </c>
      <c r="MW60" s="37" t="s">
        <v>668</v>
      </c>
      <c r="MX60" s="37" t="s">
        <v>668</v>
      </c>
      <c r="MY60" s="37" t="s">
        <v>668</v>
      </c>
      <c r="MZ60" s="37" t="s">
        <v>668</v>
      </c>
      <c r="NA60" s="37" t="s">
        <v>668</v>
      </c>
      <c r="NB60" s="37" t="s">
        <v>668</v>
      </c>
      <c r="NC60" s="37" t="s">
        <v>668</v>
      </c>
      <c r="ND60" s="37" t="s">
        <v>668</v>
      </c>
      <c r="NE60" s="37" t="s">
        <v>668</v>
      </c>
      <c r="NF60" s="37" t="s">
        <v>668</v>
      </c>
      <c r="NG60" s="37" t="s">
        <v>668</v>
      </c>
      <c r="NH60" s="37" t="s">
        <v>668</v>
      </c>
      <c r="NI60" s="37" t="s">
        <v>668</v>
      </c>
      <c r="NJ60" s="37" t="s">
        <v>668</v>
      </c>
      <c r="NK60" s="37" t="s">
        <v>668</v>
      </c>
      <c r="NL60" s="37" t="s">
        <v>668</v>
      </c>
      <c r="NM60" s="37" t="s">
        <v>668</v>
      </c>
      <c r="NN60" s="37" t="s">
        <v>668</v>
      </c>
      <c r="NO60" s="37" t="s">
        <v>668</v>
      </c>
      <c r="NP60" s="37" t="s">
        <v>668</v>
      </c>
      <c r="NQ60" s="37" t="s">
        <v>668</v>
      </c>
      <c r="NR60" s="37" t="s">
        <v>668</v>
      </c>
      <c r="NS60" s="37" t="s">
        <v>668</v>
      </c>
      <c r="NT60" s="37" t="s">
        <v>668</v>
      </c>
      <c r="NU60" s="37" t="s">
        <v>668</v>
      </c>
      <c r="NV60" s="37" t="s">
        <v>668</v>
      </c>
      <c r="NW60" s="37" t="s">
        <v>668</v>
      </c>
      <c r="NX60" s="37" t="s">
        <v>668</v>
      </c>
      <c r="NY60" s="37" t="s">
        <v>668</v>
      </c>
      <c r="NZ60" s="37" t="s">
        <v>668</v>
      </c>
      <c r="OA60" s="37" t="s">
        <v>668</v>
      </c>
      <c r="OB60" s="37" t="s">
        <v>668</v>
      </c>
      <c r="OC60" s="37" t="s">
        <v>668</v>
      </c>
      <c r="OD60" s="37" t="s">
        <v>668</v>
      </c>
      <c r="OE60" s="37" t="s">
        <v>668</v>
      </c>
      <c r="OF60" s="37" t="s">
        <v>668</v>
      </c>
      <c r="OG60" s="37" t="s">
        <v>668</v>
      </c>
      <c r="OH60" s="37" t="s">
        <v>668</v>
      </c>
      <c r="OI60" s="37" t="s">
        <v>668</v>
      </c>
      <c r="OJ60" s="37" t="s">
        <v>668</v>
      </c>
      <c r="OK60" s="37" t="s">
        <v>668</v>
      </c>
      <c r="OL60" s="37" t="s">
        <v>668</v>
      </c>
      <c r="OM60" s="37" t="s">
        <v>668</v>
      </c>
      <c r="ON60" s="37" t="s">
        <v>668</v>
      </c>
      <c r="OO60" s="37" t="s">
        <v>668</v>
      </c>
      <c r="OP60" s="37" t="s">
        <v>668</v>
      </c>
      <c r="OQ60" s="37" t="s">
        <v>668</v>
      </c>
      <c r="OR60" s="37" t="s">
        <v>668</v>
      </c>
      <c r="OS60" s="37" t="s">
        <v>668</v>
      </c>
      <c r="OT60" s="37" t="s">
        <v>668</v>
      </c>
      <c r="OU60" s="37" t="s">
        <v>668</v>
      </c>
      <c r="OV60" s="37" t="s">
        <v>668</v>
      </c>
      <c r="OW60" s="37" t="s">
        <v>668</v>
      </c>
      <c r="OX60" s="37" t="s">
        <v>668</v>
      </c>
      <c r="OY60" s="37" t="s">
        <v>668</v>
      </c>
      <c r="OZ60" s="37" t="s">
        <v>668</v>
      </c>
      <c r="PA60" s="37" t="s">
        <v>668</v>
      </c>
      <c r="PB60" s="37" t="s">
        <v>668</v>
      </c>
      <c r="PC60" s="37" t="s">
        <v>668</v>
      </c>
      <c r="PD60" s="37" t="s">
        <v>668</v>
      </c>
      <c r="PE60" s="37" t="s">
        <v>668</v>
      </c>
      <c r="PF60" s="37" t="s">
        <v>668</v>
      </c>
      <c r="PG60" s="37" t="s">
        <v>668</v>
      </c>
      <c r="PH60" s="37" t="s">
        <v>668</v>
      </c>
      <c r="PI60" s="37" t="s">
        <v>668</v>
      </c>
      <c r="PJ60" s="37" t="s">
        <v>668</v>
      </c>
      <c r="PK60" s="37" t="s">
        <v>668</v>
      </c>
      <c r="PL60" s="37" t="s">
        <v>668</v>
      </c>
      <c r="PM60" s="37" t="s">
        <v>668</v>
      </c>
      <c r="PN60" s="37" t="s">
        <v>668</v>
      </c>
      <c r="PO60" s="37" t="s">
        <v>668</v>
      </c>
      <c r="PP60" s="37" t="s">
        <v>668</v>
      </c>
      <c r="PQ60" s="37" t="s">
        <v>668</v>
      </c>
      <c r="PR60" s="37" t="s">
        <v>668</v>
      </c>
      <c r="PS60" s="15" t="s">
        <v>668</v>
      </c>
      <c r="PT60" s="15" t="s">
        <v>668</v>
      </c>
      <c r="PU60" s="15" t="s">
        <v>668</v>
      </c>
      <c r="PV60" s="15" t="s">
        <v>668</v>
      </c>
      <c r="PW60" s="15" t="s">
        <v>668</v>
      </c>
      <c r="PX60" s="15" t="s">
        <v>668</v>
      </c>
      <c r="PY60" s="15" t="s">
        <v>668</v>
      </c>
      <c r="PZ60" s="15" t="s">
        <v>668</v>
      </c>
      <c r="QA60" s="15" t="s">
        <v>668</v>
      </c>
      <c r="QB60" s="15" t="s">
        <v>668</v>
      </c>
      <c r="QC60" s="15" t="s">
        <v>668</v>
      </c>
      <c r="QD60" s="15" t="s">
        <v>668</v>
      </c>
      <c r="QE60" s="15" t="s">
        <v>668</v>
      </c>
      <c r="QF60" s="15" t="s">
        <v>668</v>
      </c>
      <c r="QG60" s="15" t="s">
        <v>668</v>
      </c>
      <c r="QH60" s="15" t="s">
        <v>668</v>
      </c>
      <c r="QI60" s="15" t="s">
        <v>668</v>
      </c>
      <c r="QJ60" s="15" t="s">
        <v>668</v>
      </c>
      <c r="QK60" s="15" t="s">
        <v>668</v>
      </c>
      <c r="QL60" s="15" t="s">
        <v>668</v>
      </c>
      <c r="QM60" s="15" t="s">
        <v>668</v>
      </c>
      <c r="QN60" s="15" t="s">
        <v>668</v>
      </c>
      <c r="QO60" s="15" t="s">
        <v>668</v>
      </c>
      <c r="QP60" s="15" t="s">
        <v>668</v>
      </c>
      <c r="QQ60" s="15" t="s">
        <v>668</v>
      </c>
      <c r="QR60" s="15" t="s">
        <v>668</v>
      </c>
      <c r="QS60" s="15" t="s">
        <v>668</v>
      </c>
      <c r="QT60" s="15" t="s">
        <v>668</v>
      </c>
      <c r="QU60" s="15" t="s">
        <v>668</v>
      </c>
      <c r="QV60" s="15" t="s">
        <v>668</v>
      </c>
      <c r="QW60" s="15" t="s">
        <v>668</v>
      </c>
      <c r="QX60" s="15" t="s">
        <v>668</v>
      </c>
      <c r="QY60" s="15" t="s">
        <v>668</v>
      </c>
      <c r="QZ60" s="15" t="s">
        <v>668</v>
      </c>
      <c r="RA60" s="15" t="s">
        <v>668</v>
      </c>
      <c r="RB60" s="15" t="s">
        <v>668</v>
      </c>
      <c r="RC60" s="15" t="s">
        <v>668</v>
      </c>
      <c r="RD60" s="15" t="s">
        <v>668</v>
      </c>
      <c r="RE60" s="15" t="s">
        <v>668</v>
      </c>
      <c r="RF60" s="15" t="s">
        <v>668</v>
      </c>
      <c r="RG60" s="15" t="s">
        <v>668</v>
      </c>
      <c r="RH60" s="15" t="s">
        <v>668</v>
      </c>
      <c r="RI60" s="15" t="s">
        <v>668</v>
      </c>
      <c r="RJ60" s="15" t="s">
        <v>668</v>
      </c>
      <c r="RK60" s="15" t="s">
        <v>668</v>
      </c>
      <c r="RL60" s="15" t="s">
        <v>668</v>
      </c>
      <c r="RM60" s="15" t="s">
        <v>668</v>
      </c>
      <c r="RN60" s="15" t="s">
        <v>668</v>
      </c>
      <c r="RO60" s="15" t="s">
        <v>668</v>
      </c>
      <c r="RP60" s="15" t="s">
        <v>668</v>
      </c>
      <c r="RQ60" s="15" t="s">
        <v>668</v>
      </c>
      <c r="RR60" s="15" t="s">
        <v>668</v>
      </c>
      <c r="RS60" s="15" t="s">
        <v>668</v>
      </c>
      <c r="RT60" s="15" t="s">
        <v>668</v>
      </c>
      <c r="RU60" s="15" t="s">
        <v>668</v>
      </c>
      <c r="RV60" s="15" t="s">
        <v>668</v>
      </c>
      <c r="RW60" s="15" t="s">
        <v>668</v>
      </c>
      <c r="RX60" s="15" t="s">
        <v>668</v>
      </c>
      <c r="RY60" s="15" t="s">
        <v>668</v>
      </c>
      <c r="RZ60" s="15" t="s">
        <v>668</v>
      </c>
      <c r="SA60" s="15" t="s">
        <v>668</v>
      </c>
      <c r="SB60" s="15" t="s">
        <v>668</v>
      </c>
      <c r="SC60" s="15" t="s">
        <v>668</v>
      </c>
      <c r="SD60" s="15" t="s">
        <v>668</v>
      </c>
      <c r="SE60" s="15" t="s">
        <v>668</v>
      </c>
      <c r="SF60" s="15" t="s">
        <v>668</v>
      </c>
      <c r="SG60" s="15" t="s">
        <v>668</v>
      </c>
      <c r="SH60" s="15" t="s">
        <v>668</v>
      </c>
      <c r="SI60" s="15" t="s">
        <v>668</v>
      </c>
      <c r="SJ60" s="15" t="s">
        <v>668</v>
      </c>
      <c r="SK60" s="15" t="s">
        <v>668</v>
      </c>
      <c r="SL60" s="15" t="s">
        <v>668</v>
      </c>
      <c r="SM60" s="15" t="s">
        <v>668</v>
      </c>
      <c r="SN60" s="15" t="s">
        <v>668</v>
      </c>
    </row>
    <row r="61" spans="1:508" x14ac:dyDescent="0.2">
      <c r="A61" s="37">
        <v>59</v>
      </c>
      <c r="B61" s="48" t="s">
        <v>743</v>
      </c>
      <c r="C61" s="17">
        <f>+'Detalle Compras'!D61</f>
        <v>202507300084</v>
      </c>
      <c r="D61" s="55">
        <f t="shared" si="13"/>
        <v>12.93225</v>
      </c>
      <c r="E61" s="14">
        <f>+IF(B61="","",'Detalle Compras'!S61+0)</f>
        <v>45910</v>
      </c>
      <c r="F61" s="14">
        <f>+IF(B61="","",EOMONTH('Detalle Compras'!S61,G61)+10)</f>
        <v>56897</v>
      </c>
      <c r="G61" s="50">
        <f t="shared" si="14"/>
        <v>360</v>
      </c>
      <c r="H61" s="50">
        <f t="shared" si="15"/>
        <v>355</v>
      </c>
      <c r="J61" s="52"/>
      <c r="K61" s="52"/>
      <c r="L61" s="52"/>
      <c r="M61" s="52"/>
      <c r="N61" s="52"/>
      <c r="O61" s="52"/>
      <c r="P61" s="52"/>
      <c r="Q61" s="52"/>
      <c r="R61" s="52"/>
      <c r="S61" s="52"/>
      <c r="T61" s="52"/>
      <c r="U61" s="52"/>
      <c r="V61" s="52"/>
      <c r="W61" s="52"/>
      <c r="X61" s="52"/>
      <c r="Y61" s="52"/>
      <c r="Z61" s="52"/>
      <c r="AA61" s="52">
        <v>12.93225</v>
      </c>
      <c r="AB61" s="52">
        <v>12.93225</v>
      </c>
      <c r="AC61" s="52">
        <v>12.93225</v>
      </c>
      <c r="AD61" s="52">
        <v>12.93225</v>
      </c>
      <c r="AE61" s="52">
        <v>12.93225</v>
      </c>
      <c r="AF61" s="52">
        <v>12.93225</v>
      </c>
      <c r="AG61" s="52">
        <v>12.93225</v>
      </c>
      <c r="AH61" s="52">
        <v>12.93225</v>
      </c>
      <c r="AI61" s="52">
        <v>12.93225</v>
      </c>
      <c r="AJ61" s="52">
        <v>12.93225</v>
      </c>
      <c r="AK61" s="52">
        <v>12.93225</v>
      </c>
      <c r="AL61" s="52">
        <v>12.93225</v>
      </c>
      <c r="AM61" s="52">
        <v>12.93225</v>
      </c>
      <c r="AN61" s="52">
        <v>12.93225</v>
      </c>
      <c r="AO61" s="52">
        <v>12.93225</v>
      </c>
      <c r="AP61" s="52">
        <v>12.93225</v>
      </c>
      <c r="AQ61" s="52">
        <v>12.93225</v>
      </c>
      <c r="AR61" s="52">
        <v>12.93225</v>
      </c>
      <c r="AS61" s="52">
        <v>12.93225</v>
      </c>
      <c r="AT61" s="52">
        <v>12.93225</v>
      </c>
      <c r="AU61" s="52">
        <v>12.93225</v>
      </c>
      <c r="AV61" s="52">
        <v>12.93225</v>
      </c>
      <c r="AW61" s="52">
        <v>12.93225</v>
      </c>
      <c r="AX61" s="52">
        <v>12.93225</v>
      </c>
      <c r="AY61" s="52">
        <v>12.93225</v>
      </c>
      <c r="AZ61" s="52">
        <v>12.93225</v>
      </c>
      <c r="BA61" s="52">
        <v>12.93225</v>
      </c>
      <c r="BB61" s="52">
        <v>12.93225</v>
      </c>
      <c r="BC61" s="52">
        <v>12.93225</v>
      </c>
      <c r="BD61" s="52">
        <v>12.93225</v>
      </c>
      <c r="BE61" s="52">
        <v>12.93225</v>
      </c>
      <c r="BF61" s="52">
        <v>12.93225</v>
      </c>
      <c r="BG61" s="52">
        <v>12.93225</v>
      </c>
      <c r="BH61" s="52">
        <v>12.93225</v>
      </c>
      <c r="BI61" s="52">
        <v>12.93225</v>
      </c>
      <c r="BJ61" s="52">
        <v>12.93225</v>
      </c>
      <c r="BK61" s="52">
        <v>12.93225</v>
      </c>
      <c r="BL61" s="52">
        <v>12.93225</v>
      </c>
      <c r="BM61" s="52">
        <v>12.93225</v>
      </c>
      <c r="BN61" s="52">
        <v>12.93225</v>
      </c>
      <c r="BO61" s="52">
        <v>12.93225</v>
      </c>
      <c r="BP61" s="52">
        <v>12.93225</v>
      </c>
      <c r="BQ61" s="52">
        <v>12.93225</v>
      </c>
      <c r="BR61" s="52">
        <v>12.93225</v>
      </c>
      <c r="BS61" s="52">
        <v>12.93225</v>
      </c>
      <c r="BT61" s="52">
        <v>12.93225</v>
      </c>
      <c r="BU61" s="52">
        <v>12.93225</v>
      </c>
      <c r="BV61" s="52">
        <v>12.93225</v>
      </c>
      <c r="BW61" s="52">
        <v>12.93225</v>
      </c>
      <c r="BX61" s="52">
        <v>12.93225</v>
      </c>
      <c r="BY61" s="52">
        <v>12.93225</v>
      </c>
      <c r="BZ61" s="52">
        <v>12.93225</v>
      </c>
      <c r="CA61" s="52">
        <v>12.93225</v>
      </c>
      <c r="CB61" s="52">
        <v>12.93225</v>
      </c>
      <c r="CC61" s="52">
        <v>12.93225</v>
      </c>
      <c r="CD61" s="52">
        <v>12.93225</v>
      </c>
      <c r="CE61" s="52">
        <v>12.93225</v>
      </c>
      <c r="CF61" s="52">
        <v>12.93225</v>
      </c>
      <c r="CG61" s="52">
        <v>12.93225</v>
      </c>
      <c r="CH61" s="52">
        <v>12.93225</v>
      </c>
      <c r="CI61" s="52">
        <v>12.93225</v>
      </c>
      <c r="CJ61" s="52">
        <v>12.93225</v>
      </c>
      <c r="CK61" s="52">
        <v>12.93225</v>
      </c>
      <c r="CL61" s="52">
        <v>12.93225</v>
      </c>
      <c r="CM61" s="52">
        <v>12.93225</v>
      </c>
      <c r="CN61" s="52">
        <v>12.93225</v>
      </c>
      <c r="CO61" s="52">
        <v>12.93225</v>
      </c>
      <c r="CP61" s="52">
        <v>12.93225</v>
      </c>
      <c r="CQ61" s="52">
        <v>12.93225</v>
      </c>
      <c r="CR61" s="52">
        <v>12.93225</v>
      </c>
      <c r="CS61" s="52">
        <v>12.93225</v>
      </c>
      <c r="CT61" s="52">
        <v>12.93225</v>
      </c>
      <c r="CU61" s="52">
        <v>12.93225</v>
      </c>
      <c r="CV61" s="52">
        <v>12.93225</v>
      </c>
      <c r="CW61" s="52">
        <v>12.93225</v>
      </c>
      <c r="CX61" s="52">
        <v>12.93225</v>
      </c>
      <c r="CY61" s="52">
        <v>12.93225</v>
      </c>
      <c r="CZ61" s="52">
        <v>12.93225</v>
      </c>
      <c r="DA61" s="52">
        <v>12.93225</v>
      </c>
      <c r="DB61" s="52">
        <v>12.93225</v>
      </c>
      <c r="DC61" s="52">
        <v>12.93225</v>
      </c>
      <c r="DD61" s="52">
        <v>12.93225</v>
      </c>
      <c r="DE61" s="52">
        <v>12.93225</v>
      </c>
      <c r="DF61" s="52">
        <v>12.93225</v>
      </c>
      <c r="DG61" s="52">
        <v>12.93225</v>
      </c>
      <c r="DH61" s="52">
        <v>12.93225</v>
      </c>
      <c r="DI61" s="52">
        <v>12.93225</v>
      </c>
      <c r="DJ61" s="52">
        <v>12.93225</v>
      </c>
      <c r="DK61" s="52">
        <v>12.93225</v>
      </c>
      <c r="DL61" s="52">
        <v>12.93225</v>
      </c>
      <c r="DM61" s="52">
        <v>12.93225</v>
      </c>
      <c r="DN61" s="52">
        <v>12.93225</v>
      </c>
      <c r="DO61" s="52">
        <v>12.93225</v>
      </c>
      <c r="DP61" s="52">
        <v>12.93225</v>
      </c>
      <c r="DQ61" s="52">
        <v>12.93225</v>
      </c>
      <c r="DR61" s="52">
        <v>12.93225</v>
      </c>
      <c r="DS61" s="52">
        <v>12.93225</v>
      </c>
      <c r="DT61" s="52">
        <v>12.93225</v>
      </c>
      <c r="DU61" s="52">
        <v>12.93225</v>
      </c>
      <c r="DV61" s="52">
        <v>12.93225</v>
      </c>
      <c r="DW61" s="52">
        <v>12.93225</v>
      </c>
      <c r="DX61" s="52">
        <v>12.93225</v>
      </c>
      <c r="DY61" s="52">
        <v>12.93225</v>
      </c>
      <c r="DZ61" s="52">
        <v>12.93225</v>
      </c>
      <c r="EA61" s="52">
        <v>12.93225</v>
      </c>
      <c r="EB61" s="52">
        <v>12.93225</v>
      </c>
      <c r="EC61" s="52">
        <v>12.93225</v>
      </c>
      <c r="ED61" s="52">
        <v>12.93225</v>
      </c>
      <c r="EE61" s="52">
        <v>12.93225</v>
      </c>
      <c r="EF61" s="52">
        <v>12.93225</v>
      </c>
      <c r="EG61" s="52">
        <v>12.93225</v>
      </c>
      <c r="EH61" s="52">
        <v>12.93225</v>
      </c>
      <c r="EI61" s="52">
        <v>12.93225</v>
      </c>
      <c r="EJ61" s="52">
        <v>12.93225</v>
      </c>
      <c r="EK61" s="52">
        <v>12.93225</v>
      </c>
      <c r="EL61" s="52">
        <v>12.93225</v>
      </c>
      <c r="EM61" s="52">
        <v>12.93225</v>
      </c>
      <c r="EN61" s="52">
        <v>12.93225</v>
      </c>
      <c r="EO61" s="52">
        <v>12.93225</v>
      </c>
      <c r="EP61" s="52">
        <v>12.93225</v>
      </c>
      <c r="EQ61" s="52">
        <v>12.93225</v>
      </c>
      <c r="ER61" s="52">
        <v>12.93225</v>
      </c>
      <c r="ES61" s="52">
        <v>12.93225</v>
      </c>
      <c r="ET61" s="52">
        <v>12.93225</v>
      </c>
      <c r="EU61" s="52">
        <v>12.93225</v>
      </c>
      <c r="EV61" s="52">
        <v>12.93225</v>
      </c>
      <c r="EW61" s="52">
        <v>12.93225</v>
      </c>
      <c r="EX61" s="52">
        <v>12.93225</v>
      </c>
      <c r="EY61" s="52">
        <v>12.93225</v>
      </c>
      <c r="EZ61" s="52">
        <v>12.93225</v>
      </c>
      <c r="FA61" s="52">
        <v>12.93225</v>
      </c>
      <c r="FB61" s="52">
        <v>12.93225</v>
      </c>
      <c r="FC61" s="52">
        <v>12.93225</v>
      </c>
      <c r="FD61" s="52">
        <v>12.93225</v>
      </c>
      <c r="FE61" s="52">
        <v>12.93225</v>
      </c>
      <c r="FF61" s="52">
        <v>12.93225</v>
      </c>
      <c r="FG61" s="52">
        <v>12.93225</v>
      </c>
      <c r="FH61" s="52">
        <v>12.93225</v>
      </c>
      <c r="FI61" s="52">
        <v>12.93225</v>
      </c>
      <c r="FJ61" s="52">
        <v>12.93225</v>
      </c>
      <c r="FK61" s="52">
        <v>12.93225</v>
      </c>
      <c r="FL61" s="52">
        <v>12.93225</v>
      </c>
      <c r="FM61" s="52">
        <v>12.93225</v>
      </c>
      <c r="FN61" s="52">
        <v>12.93225</v>
      </c>
      <c r="FO61" s="52">
        <v>12.93225</v>
      </c>
      <c r="FP61" s="52">
        <v>12.93225</v>
      </c>
      <c r="FQ61" s="52">
        <v>12.93225</v>
      </c>
      <c r="FR61" s="52">
        <v>12.93225</v>
      </c>
      <c r="FS61" s="52">
        <v>12.93225</v>
      </c>
      <c r="FT61" s="52">
        <v>12.93225</v>
      </c>
      <c r="FU61" s="52">
        <v>12.93225</v>
      </c>
      <c r="FV61" s="52">
        <v>12.93225</v>
      </c>
      <c r="FW61" s="52">
        <v>12.93225</v>
      </c>
      <c r="FX61" s="52">
        <v>12.93225</v>
      </c>
      <c r="FY61" s="52">
        <v>12.93225</v>
      </c>
      <c r="FZ61" s="52">
        <v>12.93225</v>
      </c>
      <c r="GA61" s="52">
        <v>12.93225</v>
      </c>
      <c r="GB61" s="52">
        <v>12.93225</v>
      </c>
      <c r="GC61" s="52">
        <v>12.93225</v>
      </c>
      <c r="GD61" s="52">
        <v>12.93225</v>
      </c>
      <c r="GE61" s="52">
        <v>12.93225</v>
      </c>
      <c r="GF61" s="52">
        <v>12.93225</v>
      </c>
      <c r="GG61" s="52">
        <v>12.93225</v>
      </c>
      <c r="GH61" s="52">
        <v>12.93225</v>
      </c>
      <c r="GI61" s="52">
        <v>12.93225</v>
      </c>
      <c r="GJ61" s="52">
        <v>12.93225</v>
      </c>
      <c r="GK61" s="52">
        <v>12.93225</v>
      </c>
      <c r="GL61" s="52">
        <v>12.93225</v>
      </c>
      <c r="GM61" s="52">
        <v>12.93225</v>
      </c>
      <c r="GN61" s="52">
        <v>12.93225</v>
      </c>
      <c r="GO61" s="52">
        <v>12.93225</v>
      </c>
      <c r="GP61" s="52">
        <v>12.93225</v>
      </c>
      <c r="GQ61" s="52">
        <v>12.93225</v>
      </c>
      <c r="GR61" s="52">
        <v>12.93225</v>
      </c>
      <c r="GS61" s="52">
        <v>12.93225</v>
      </c>
      <c r="GT61" s="52">
        <v>12.93225</v>
      </c>
      <c r="GU61" s="52">
        <v>12.93225</v>
      </c>
      <c r="GV61" s="52">
        <v>12.93225</v>
      </c>
      <c r="GW61" s="52">
        <v>12.93225</v>
      </c>
      <c r="GX61" s="52">
        <v>12.93225</v>
      </c>
      <c r="GY61" s="52">
        <v>12.93225</v>
      </c>
      <c r="GZ61" s="52">
        <v>12.93225</v>
      </c>
      <c r="HA61" s="52">
        <v>12.93225</v>
      </c>
      <c r="HB61" s="52">
        <v>12.93225</v>
      </c>
      <c r="HC61" s="52">
        <v>12.93225</v>
      </c>
      <c r="HD61" s="52">
        <v>12.93225</v>
      </c>
      <c r="HE61" s="52">
        <v>12.93225</v>
      </c>
      <c r="HF61" s="52">
        <v>12.93225</v>
      </c>
      <c r="HG61" s="52">
        <v>12.93225</v>
      </c>
      <c r="HH61" s="52">
        <v>12.93225</v>
      </c>
      <c r="HI61" s="52">
        <v>12.93225</v>
      </c>
      <c r="HJ61" s="52">
        <v>12.93225</v>
      </c>
      <c r="HK61" s="52">
        <v>12.93225</v>
      </c>
      <c r="HL61" s="52">
        <v>12.93225</v>
      </c>
      <c r="HM61" s="52">
        <v>12.93225</v>
      </c>
      <c r="HN61" s="52">
        <v>12.93225</v>
      </c>
      <c r="HO61" s="52">
        <v>12.93225</v>
      </c>
      <c r="HP61" s="52">
        <v>12.93225</v>
      </c>
      <c r="HQ61" s="52">
        <v>12.93225</v>
      </c>
      <c r="HR61" s="52">
        <v>12.93225</v>
      </c>
      <c r="HS61" s="52">
        <v>12.93225</v>
      </c>
      <c r="HT61" s="52">
        <v>12.93225</v>
      </c>
      <c r="HU61" s="52">
        <v>12.93225</v>
      </c>
      <c r="HV61" s="52">
        <v>12.93225</v>
      </c>
      <c r="HW61" s="52">
        <v>12.93225</v>
      </c>
      <c r="HX61" s="52">
        <v>12.93225</v>
      </c>
      <c r="HY61" s="52">
        <v>12.93225</v>
      </c>
      <c r="HZ61" s="52">
        <v>12.93225</v>
      </c>
      <c r="IA61" s="52">
        <v>12.93225</v>
      </c>
      <c r="IB61" s="52">
        <v>12.93225</v>
      </c>
      <c r="IC61" s="52">
        <v>12.93225</v>
      </c>
      <c r="ID61" s="52">
        <v>12.93225</v>
      </c>
      <c r="IE61" s="52">
        <v>12.93225</v>
      </c>
      <c r="IF61" s="52">
        <v>12.93225</v>
      </c>
      <c r="IG61" s="52">
        <v>12.93225</v>
      </c>
      <c r="IH61" s="52">
        <v>12.93225</v>
      </c>
      <c r="II61" s="52">
        <v>12.93225</v>
      </c>
      <c r="IJ61" s="52">
        <v>12.93225</v>
      </c>
      <c r="IK61" s="52">
        <v>12.93225</v>
      </c>
      <c r="IL61" s="52">
        <v>12.93225</v>
      </c>
      <c r="IM61" s="52">
        <v>12.93225</v>
      </c>
      <c r="IN61" s="52">
        <v>12.93225</v>
      </c>
      <c r="IO61" s="52">
        <v>12.93225</v>
      </c>
      <c r="IP61" s="52">
        <v>12.93225</v>
      </c>
      <c r="IQ61" s="52">
        <v>12.93225</v>
      </c>
      <c r="IR61" s="52">
        <v>12.93225</v>
      </c>
      <c r="IS61" s="52">
        <v>12.93225</v>
      </c>
      <c r="IT61" s="52">
        <v>12.93225</v>
      </c>
      <c r="IU61" s="52">
        <v>12.93225</v>
      </c>
      <c r="IV61" s="52">
        <v>12.93225</v>
      </c>
      <c r="IW61" s="52">
        <v>12.93225</v>
      </c>
      <c r="IX61" s="52">
        <v>12.93225</v>
      </c>
      <c r="IY61" s="52">
        <v>12.93225</v>
      </c>
      <c r="IZ61" s="52">
        <v>12.93225</v>
      </c>
      <c r="JA61" s="52">
        <v>12.93225</v>
      </c>
      <c r="JB61" s="52">
        <v>12.93225</v>
      </c>
      <c r="JC61" s="52">
        <v>12.93225</v>
      </c>
      <c r="JD61" s="52">
        <v>12.93225</v>
      </c>
      <c r="JE61" s="52">
        <v>12.93225</v>
      </c>
      <c r="JF61" s="52">
        <v>12.93225</v>
      </c>
      <c r="JG61" s="52">
        <v>12.93225</v>
      </c>
      <c r="JH61" s="52">
        <v>12.93225</v>
      </c>
      <c r="JI61" s="52">
        <v>12.93225</v>
      </c>
      <c r="JJ61" s="52">
        <v>12.93225</v>
      </c>
      <c r="JK61" s="52">
        <v>12.93225</v>
      </c>
      <c r="JL61" s="52">
        <v>12.93225</v>
      </c>
      <c r="JM61" s="52">
        <v>12.93225</v>
      </c>
      <c r="JN61" s="52">
        <v>12.93225</v>
      </c>
      <c r="JO61" s="52">
        <v>12.93225</v>
      </c>
      <c r="JP61" s="52">
        <v>12.93225</v>
      </c>
      <c r="JQ61" s="52">
        <v>12.93225</v>
      </c>
      <c r="JR61" s="52">
        <v>12.93225</v>
      </c>
      <c r="JS61" s="52">
        <v>12.93225</v>
      </c>
      <c r="JT61" s="52">
        <v>12.93225</v>
      </c>
      <c r="JU61" s="52">
        <v>12.93225</v>
      </c>
      <c r="JV61" s="52">
        <v>12.93225</v>
      </c>
      <c r="JW61" s="52">
        <v>12.93225</v>
      </c>
      <c r="JX61" s="52">
        <v>12.93225</v>
      </c>
      <c r="JY61" s="52">
        <v>12.93225</v>
      </c>
      <c r="JZ61" s="52">
        <v>12.93225</v>
      </c>
      <c r="KA61" s="52">
        <v>12.93225</v>
      </c>
      <c r="KB61" s="52">
        <v>12.93225</v>
      </c>
      <c r="KC61" s="52">
        <v>12.93225</v>
      </c>
      <c r="KD61" s="52">
        <v>12.93225</v>
      </c>
      <c r="KE61" s="52">
        <v>12.93225</v>
      </c>
      <c r="KF61" s="52">
        <v>12.93225</v>
      </c>
      <c r="KG61" s="52">
        <v>12.93225</v>
      </c>
      <c r="KH61" s="52">
        <v>12.93225</v>
      </c>
      <c r="KI61" s="52">
        <v>12.93225</v>
      </c>
      <c r="KJ61" s="52">
        <v>12.93225</v>
      </c>
      <c r="KK61" s="52">
        <v>12.93225</v>
      </c>
      <c r="KL61" s="52">
        <v>12.93225</v>
      </c>
      <c r="KM61" s="52">
        <v>12.93225</v>
      </c>
      <c r="KN61" s="52">
        <v>12.93225</v>
      </c>
      <c r="KO61" s="52">
        <v>12.93225</v>
      </c>
      <c r="KP61" s="52">
        <v>12.93225</v>
      </c>
      <c r="KQ61" s="52">
        <v>12.93225</v>
      </c>
      <c r="KR61" s="52">
        <v>12.93225</v>
      </c>
      <c r="KS61" s="52">
        <v>12.93225</v>
      </c>
      <c r="KT61" s="52">
        <v>12.93225</v>
      </c>
      <c r="KU61" s="52">
        <v>12.93225</v>
      </c>
      <c r="KV61" s="52">
        <v>12.93225</v>
      </c>
      <c r="KW61" s="52">
        <v>12.93225</v>
      </c>
      <c r="KX61" s="52">
        <v>12.93225</v>
      </c>
      <c r="KY61" s="52">
        <v>12.93225</v>
      </c>
      <c r="KZ61" s="52">
        <v>12.93225</v>
      </c>
      <c r="LA61" s="52">
        <v>12.93225</v>
      </c>
      <c r="LB61" s="52">
        <v>12.93225</v>
      </c>
      <c r="LC61" s="52">
        <v>12.93225</v>
      </c>
      <c r="LD61" s="52">
        <v>12.93225</v>
      </c>
      <c r="LE61" s="52">
        <v>12.93225</v>
      </c>
      <c r="LF61" s="52">
        <v>12.93225</v>
      </c>
      <c r="LG61" s="52">
        <v>12.93225</v>
      </c>
      <c r="LH61" s="52">
        <v>12.93225</v>
      </c>
      <c r="LI61" s="52">
        <v>12.93225</v>
      </c>
      <c r="LJ61" s="52">
        <v>12.93225</v>
      </c>
      <c r="LK61" s="52">
        <v>12.93225</v>
      </c>
      <c r="LL61" s="52">
        <v>12.93225</v>
      </c>
      <c r="LM61" s="52">
        <v>12.93225</v>
      </c>
      <c r="LN61" s="52">
        <v>12.93225</v>
      </c>
      <c r="LO61" s="52">
        <v>12.93225</v>
      </c>
      <c r="LP61" s="52">
        <v>12.93225</v>
      </c>
      <c r="LQ61" s="52">
        <v>12.93225</v>
      </c>
      <c r="LR61" s="52">
        <v>12.93225</v>
      </c>
      <c r="LS61" s="52">
        <v>12.93225</v>
      </c>
      <c r="LT61" s="52">
        <v>12.93225</v>
      </c>
      <c r="LU61" s="52">
        <v>12.93225</v>
      </c>
      <c r="LV61" s="52">
        <v>12.93225</v>
      </c>
      <c r="LW61" s="52">
        <v>12.93225</v>
      </c>
      <c r="LX61" s="52">
        <v>12.93225</v>
      </c>
      <c r="LY61" s="52">
        <v>12.93225</v>
      </c>
      <c r="LZ61" s="52">
        <v>12.93225</v>
      </c>
      <c r="MA61" s="52">
        <v>12.93225</v>
      </c>
      <c r="MB61" s="52">
        <v>12.93225</v>
      </c>
      <c r="MC61" s="52">
        <v>12.93225</v>
      </c>
      <c r="MD61" s="52">
        <v>12.93225</v>
      </c>
      <c r="ME61" s="52">
        <v>12.93225</v>
      </c>
      <c r="MF61" s="52">
        <v>12.93225</v>
      </c>
      <c r="MG61" s="52">
        <v>12.93225</v>
      </c>
      <c r="MH61" s="52">
        <v>12.93225</v>
      </c>
      <c r="MI61" s="52">
        <v>12.93225</v>
      </c>
      <c r="MJ61" s="52">
        <v>12.93225</v>
      </c>
      <c r="MK61" s="52">
        <v>12.93225</v>
      </c>
      <c r="ML61" s="52">
        <v>12.93225</v>
      </c>
      <c r="MM61" s="52">
        <v>12.93225</v>
      </c>
      <c r="MN61" s="52">
        <v>12.93225</v>
      </c>
      <c r="MO61" s="52">
        <v>12.93225</v>
      </c>
      <c r="MP61" s="52">
        <v>12.93225</v>
      </c>
      <c r="MQ61" s="52">
        <v>12.93225</v>
      </c>
      <c r="MR61" s="52">
        <v>12.93225</v>
      </c>
      <c r="MS61" s="52">
        <v>12.93225</v>
      </c>
      <c r="MT61" s="52">
        <v>12.93225</v>
      </c>
      <c r="MU61" s="52">
        <v>12.93225</v>
      </c>
      <c r="MV61" s="52">
        <v>12.93225</v>
      </c>
      <c r="MW61" s="52">
        <v>12.93225</v>
      </c>
      <c r="MX61" s="52">
        <v>12.93225</v>
      </c>
      <c r="MY61" s="52">
        <v>12.93225</v>
      </c>
      <c r="MZ61" s="52">
        <v>12.93225</v>
      </c>
      <c r="NA61" s="52">
        <v>12.93225</v>
      </c>
      <c r="NB61" s="52">
        <v>12.93225</v>
      </c>
      <c r="NC61" s="52">
        <v>12.93225</v>
      </c>
      <c r="ND61" s="52">
        <v>12.93225</v>
      </c>
      <c r="NE61" s="37">
        <v>12.93225</v>
      </c>
      <c r="NF61" s="37">
        <v>12.93225</v>
      </c>
      <c r="NG61" s="37">
        <v>12.93225</v>
      </c>
      <c r="NH61" s="37">
        <v>12.93225</v>
      </c>
      <c r="NI61" s="37">
        <v>12.93225</v>
      </c>
      <c r="NJ61" s="37">
        <v>12.93225</v>
      </c>
      <c r="NK61" s="37">
        <v>12.93225</v>
      </c>
      <c r="NL61" s="37">
        <v>12.93225</v>
      </c>
      <c r="NM61" s="37">
        <v>12.93225</v>
      </c>
      <c r="NN61" s="37">
        <v>12.93225</v>
      </c>
      <c r="NO61" s="37">
        <v>12.93225</v>
      </c>
      <c r="NP61" s="37">
        <v>12.93225</v>
      </c>
      <c r="NQ61" s="37">
        <v>12.93225</v>
      </c>
      <c r="NR61" s="37">
        <v>12.93225</v>
      </c>
      <c r="NS61" s="37">
        <v>12.93225</v>
      </c>
      <c r="NT61" s="37">
        <v>12.93225</v>
      </c>
      <c r="NU61" s="37">
        <v>12.93225</v>
      </c>
      <c r="NV61" s="37">
        <v>13.252599999999999</v>
      </c>
      <c r="NW61" s="37" t="s">
        <v>668</v>
      </c>
      <c r="NX61" s="37" t="s">
        <v>668</v>
      </c>
      <c r="NY61" s="37" t="s">
        <v>668</v>
      </c>
      <c r="NZ61" s="37" t="s">
        <v>668</v>
      </c>
      <c r="OA61" s="37" t="s">
        <v>668</v>
      </c>
      <c r="OB61" s="37" t="s">
        <v>668</v>
      </c>
      <c r="OC61" s="37" t="s">
        <v>668</v>
      </c>
      <c r="OD61" s="37" t="s">
        <v>668</v>
      </c>
      <c r="OE61" s="37" t="s">
        <v>668</v>
      </c>
      <c r="OF61" s="37" t="s">
        <v>668</v>
      </c>
      <c r="OG61" s="37" t="s">
        <v>668</v>
      </c>
      <c r="OH61" s="37" t="s">
        <v>668</v>
      </c>
      <c r="OI61" s="37" t="s">
        <v>668</v>
      </c>
      <c r="OJ61" s="37" t="s">
        <v>668</v>
      </c>
      <c r="OK61" s="37" t="s">
        <v>668</v>
      </c>
      <c r="OL61" s="37" t="s">
        <v>668</v>
      </c>
      <c r="OM61" s="37" t="s">
        <v>668</v>
      </c>
      <c r="ON61" s="37" t="s">
        <v>668</v>
      </c>
      <c r="OO61" s="37" t="s">
        <v>668</v>
      </c>
      <c r="OP61" s="37" t="s">
        <v>668</v>
      </c>
      <c r="OQ61" s="37" t="s">
        <v>668</v>
      </c>
      <c r="OR61" s="37" t="s">
        <v>668</v>
      </c>
      <c r="OS61" s="37" t="s">
        <v>668</v>
      </c>
      <c r="OT61" s="37" t="s">
        <v>668</v>
      </c>
      <c r="OU61" s="37" t="s">
        <v>668</v>
      </c>
      <c r="OV61" s="37" t="s">
        <v>668</v>
      </c>
      <c r="OW61" s="37" t="s">
        <v>668</v>
      </c>
      <c r="OX61" s="37" t="s">
        <v>668</v>
      </c>
      <c r="OY61" s="37" t="s">
        <v>668</v>
      </c>
      <c r="OZ61" s="37" t="s">
        <v>668</v>
      </c>
      <c r="PA61" s="37" t="s">
        <v>668</v>
      </c>
      <c r="PB61" s="37" t="s">
        <v>668</v>
      </c>
      <c r="PC61" s="37" t="s">
        <v>668</v>
      </c>
      <c r="PD61" s="37" t="s">
        <v>668</v>
      </c>
      <c r="PE61" s="37" t="s">
        <v>668</v>
      </c>
      <c r="PF61" s="37" t="s">
        <v>668</v>
      </c>
      <c r="PG61" s="37" t="s">
        <v>668</v>
      </c>
      <c r="PH61" s="37" t="s">
        <v>668</v>
      </c>
      <c r="PI61" s="37" t="s">
        <v>668</v>
      </c>
      <c r="PJ61" s="37" t="s">
        <v>668</v>
      </c>
      <c r="PK61" s="37" t="s">
        <v>668</v>
      </c>
      <c r="PL61" s="37" t="s">
        <v>668</v>
      </c>
      <c r="PM61" s="37" t="s">
        <v>668</v>
      </c>
      <c r="PN61" s="37" t="s">
        <v>668</v>
      </c>
      <c r="PO61" s="37" t="s">
        <v>668</v>
      </c>
      <c r="PP61" s="37" t="s">
        <v>668</v>
      </c>
      <c r="PQ61" s="37" t="s">
        <v>668</v>
      </c>
      <c r="PR61" s="37" t="s">
        <v>668</v>
      </c>
      <c r="PS61" s="15" t="s">
        <v>668</v>
      </c>
      <c r="PT61" s="15" t="s">
        <v>668</v>
      </c>
      <c r="PU61" s="15" t="s">
        <v>668</v>
      </c>
      <c r="PV61" s="15" t="s">
        <v>668</v>
      </c>
      <c r="PW61" s="15" t="s">
        <v>668</v>
      </c>
      <c r="PX61" s="15" t="s">
        <v>668</v>
      </c>
      <c r="PY61" s="15" t="s">
        <v>668</v>
      </c>
      <c r="PZ61" s="15" t="s">
        <v>668</v>
      </c>
      <c r="QA61" s="15" t="s">
        <v>668</v>
      </c>
      <c r="QB61" s="15" t="s">
        <v>668</v>
      </c>
      <c r="QC61" s="15" t="s">
        <v>668</v>
      </c>
      <c r="QD61" s="15" t="s">
        <v>668</v>
      </c>
      <c r="QE61" s="15" t="s">
        <v>668</v>
      </c>
      <c r="QF61" s="15" t="s">
        <v>668</v>
      </c>
      <c r="QG61" s="15" t="s">
        <v>668</v>
      </c>
      <c r="QH61" s="15" t="s">
        <v>668</v>
      </c>
      <c r="QI61" s="15" t="s">
        <v>668</v>
      </c>
      <c r="QJ61" s="15" t="s">
        <v>668</v>
      </c>
      <c r="QK61" s="15" t="s">
        <v>668</v>
      </c>
      <c r="QL61" s="15" t="s">
        <v>668</v>
      </c>
      <c r="QM61" s="15" t="s">
        <v>668</v>
      </c>
      <c r="QN61" s="15" t="s">
        <v>668</v>
      </c>
      <c r="QO61" s="15" t="s">
        <v>668</v>
      </c>
      <c r="QP61" s="15" t="s">
        <v>668</v>
      </c>
      <c r="QQ61" s="15" t="s">
        <v>668</v>
      </c>
      <c r="QR61" s="15" t="s">
        <v>668</v>
      </c>
      <c r="QS61" s="15" t="s">
        <v>668</v>
      </c>
      <c r="QT61" s="15" t="s">
        <v>668</v>
      </c>
      <c r="QU61" s="15" t="s">
        <v>668</v>
      </c>
      <c r="QV61" s="15" t="s">
        <v>668</v>
      </c>
      <c r="QW61" s="15" t="s">
        <v>668</v>
      </c>
      <c r="QX61" s="15" t="s">
        <v>668</v>
      </c>
      <c r="QY61" s="15" t="s">
        <v>668</v>
      </c>
      <c r="QZ61" s="15" t="s">
        <v>668</v>
      </c>
      <c r="RA61" s="15" t="s">
        <v>668</v>
      </c>
      <c r="RB61" s="15" t="s">
        <v>668</v>
      </c>
      <c r="RC61" s="15" t="s">
        <v>668</v>
      </c>
      <c r="RD61" s="15" t="s">
        <v>668</v>
      </c>
      <c r="RE61" s="15" t="s">
        <v>668</v>
      </c>
      <c r="RF61" s="15" t="s">
        <v>668</v>
      </c>
      <c r="RG61" s="15" t="s">
        <v>668</v>
      </c>
      <c r="RH61" s="15" t="s">
        <v>668</v>
      </c>
      <c r="RI61" s="15" t="s">
        <v>668</v>
      </c>
      <c r="RJ61" s="15" t="s">
        <v>668</v>
      </c>
      <c r="RK61" s="15" t="s">
        <v>668</v>
      </c>
      <c r="RL61" s="15" t="s">
        <v>668</v>
      </c>
      <c r="RM61" s="15" t="s">
        <v>668</v>
      </c>
      <c r="RN61" s="15" t="s">
        <v>668</v>
      </c>
      <c r="RO61" s="15" t="s">
        <v>668</v>
      </c>
      <c r="RP61" s="15" t="s">
        <v>668</v>
      </c>
      <c r="RQ61" s="15" t="s">
        <v>668</v>
      </c>
      <c r="RR61" s="15" t="s">
        <v>668</v>
      </c>
      <c r="RS61" s="15" t="s">
        <v>668</v>
      </c>
      <c r="RT61" s="15" t="s">
        <v>668</v>
      </c>
      <c r="RU61" s="15" t="s">
        <v>668</v>
      </c>
      <c r="RV61" s="15" t="s">
        <v>668</v>
      </c>
      <c r="RW61" s="15" t="s">
        <v>668</v>
      </c>
      <c r="RX61" s="15" t="s">
        <v>668</v>
      </c>
      <c r="RY61" s="15" t="s">
        <v>668</v>
      </c>
      <c r="RZ61" s="15" t="s">
        <v>668</v>
      </c>
      <c r="SA61" s="15" t="s">
        <v>668</v>
      </c>
      <c r="SB61" s="15" t="s">
        <v>668</v>
      </c>
      <c r="SC61" s="15" t="s">
        <v>668</v>
      </c>
      <c r="SD61" s="15" t="s">
        <v>668</v>
      </c>
      <c r="SE61" s="15" t="s">
        <v>668</v>
      </c>
      <c r="SF61" s="15" t="s">
        <v>668</v>
      </c>
      <c r="SG61" s="15" t="s">
        <v>668</v>
      </c>
      <c r="SH61" s="15" t="s">
        <v>668</v>
      </c>
      <c r="SI61" s="15" t="s">
        <v>668</v>
      </c>
      <c r="SJ61" s="15" t="s">
        <v>668</v>
      </c>
      <c r="SK61" s="15" t="s">
        <v>668</v>
      </c>
      <c r="SL61" s="15" t="s">
        <v>668</v>
      </c>
      <c r="SM61" s="15" t="s">
        <v>668</v>
      </c>
      <c r="SN61" s="15" t="s">
        <v>668</v>
      </c>
    </row>
    <row r="62" spans="1:508" x14ac:dyDescent="0.2">
      <c r="A62" s="37">
        <v>60</v>
      </c>
      <c r="B62" s="37" t="s">
        <v>744</v>
      </c>
      <c r="C62" s="17">
        <f>+'Detalle Compras'!D62</f>
        <v>202507310087</v>
      </c>
      <c r="D62" s="55">
        <f t="shared" si="13"/>
        <v>10.072480000000001</v>
      </c>
      <c r="E62" s="14">
        <f>+IF(B62="","",'Detalle Compras'!S62+0)</f>
        <v>45910</v>
      </c>
      <c r="F62" s="14">
        <f>+IF(B62="","",EOMONTH('Detalle Compras'!S62,G62)+10)</f>
        <v>60550</v>
      </c>
      <c r="G62" s="50">
        <f t="shared" si="14"/>
        <v>480</v>
      </c>
      <c r="H62" s="50">
        <f t="shared" si="15"/>
        <v>475</v>
      </c>
      <c r="Q62" s="52"/>
      <c r="AA62" s="37">
        <v>10.072480000000001</v>
      </c>
      <c r="AB62" s="37">
        <v>10.072480000000001</v>
      </c>
      <c r="AC62" s="37">
        <v>10.072480000000001</v>
      </c>
      <c r="AD62" s="37">
        <v>10.072480000000001</v>
      </c>
      <c r="AE62" s="37">
        <v>10.072480000000001</v>
      </c>
      <c r="AF62" s="37">
        <v>10.072480000000001</v>
      </c>
      <c r="AG62" s="37">
        <v>10.072480000000001</v>
      </c>
      <c r="AH62" s="37">
        <v>10.072480000000001</v>
      </c>
      <c r="AI62" s="37">
        <v>10.072480000000001</v>
      </c>
      <c r="AJ62" s="37">
        <v>10.072480000000001</v>
      </c>
      <c r="AK62" s="37">
        <v>10.072480000000001</v>
      </c>
      <c r="AL62" s="37">
        <v>10.072480000000001</v>
      </c>
      <c r="AM62" s="37">
        <v>10.072480000000001</v>
      </c>
      <c r="AN62" s="37">
        <v>10.072480000000001</v>
      </c>
      <c r="AO62" s="37">
        <v>10.072480000000001</v>
      </c>
      <c r="AP62" s="37">
        <v>10.072480000000001</v>
      </c>
      <c r="AQ62" s="37">
        <v>10.072480000000001</v>
      </c>
      <c r="AR62" s="37">
        <v>10.072480000000001</v>
      </c>
      <c r="AS62" s="37">
        <v>10.072480000000001</v>
      </c>
      <c r="AT62" s="37">
        <v>10.072480000000001</v>
      </c>
      <c r="AU62" s="37">
        <v>10.072480000000001</v>
      </c>
      <c r="AV62" s="37">
        <v>10.072480000000001</v>
      </c>
      <c r="AW62" s="37">
        <v>10.072480000000001</v>
      </c>
      <c r="AX62" s="37">
        <v>10.072480000000001</v>
      </c>
      <c r="AY62" s="37">
        <v>10.072480000000001</v>
      </c>
      <c r="AZ62" s="37">
        <v>10.072480000000001</v>
      </c>
      <c r="BA62" s="37">
        <v>10.072480000000001</v>
      </c>
      <c r="BB62" s="37">
        <v>10.072480000000001</v>
      </c>
      <c r="BC62" s="37">
        <v>10.072480000000001</v>
      </c>
      <c r="BD62" s="37">
        <v>10.072480000000001</v>
      </c>
      <c r="BE62" s="37">
        <v>10.072480000000001</v>
      </c>
      <c r="BF62" s="37">
        <v>10.072480000000001</v>
      </c>
      <c r="BG62" s="37">
        <v>10.072480000000001</v>
      </c>
      <c r="BH62" s="37">
        <v>10.072480000000001</v>
      </c>
      <c r="BI62" s="37">
        <v>10.072480000000001</v>
      </c>
      <c r="BJ62" s="37">
        <v>10.072480000000001</v>
      </c>
      <c r="BK62" s="37">
        <v>10.072480000000001</v>
      </c>
      <c r="BL62" s="37">
        <v>10.072480000000001</v>
      </c>
      <c r="BM62" s="37">
        <v>10.072480000000001</v>
      </c>
      <c r="BN62" s="37">
        <v>10.072480000000001</v>
      </c>
      <c r="BO62" s="37">
        <v>10.072480000000001</v>
      </c>
      <c r="BP62" s="37">
        <v>10.072480000000001</v>
      </c>
      <c r="BQ62" s="37">
        <v>10.072480000000001</v>
      </c>
      <c r="BR62" s="37">
        <v>10.072480000000001</v>
      </c>
      <c r="BS62" s="37">
        <v>10.072480000000001</v>
      </c>
      <c r="BT62" s="37">
        <v>10.072480000000001</v>
      </c>
      <c r="BU62" s="37">
        <v>10.072480000000001</v>
      </c>
      <c r="BV62" s="37">
        <v>10.072480000000001</v>
      </c>
      <c r="BW62" s="37">
        <v>10.072480000000001</v>
      </c>
      <c r="BX62" s="37">
        <v>10.072480000000001</v>
      </c>
      <c r="BY62" s="37">
        <v>10.072480000000001</v>
      </c>
      <c r="BZ62" s="37">
        <v>10.072480000000001</v>
      </c>
      <c r="CA62" s="37">
        <v>10.072480000000001</v>
      </c>
      <c r="CB62" s="37">
        <v>10.072480000000001</v>
      </c>
      <c r="CC62" s="37">
        <v>10.072480000000001</v>
      </c>
      <c r="CD62" s="37">
        <v>10.072480000000001</v>
      </c>
      <c r="CE62" s="37">
        <v>10.072480000000001</v>
      </c>
      <c r="CF62" s="37">
        <v>10.072480000000001</v>
      </c>
      <c r="CG62" s="37">
        <v>10.072480000000001</v>
      </c>
      <c r="CH62" s="37">
        <v>10.072480000000001</v>
      </c>
      <c r="CI62" s="37">
        <v>10.072480000000001</v>
      </c>
      <c r="CJ62" s="37">
        <v>10.072480000000001</v>
      </c>
      <c r="CK62" s="37">
        <v>10.072480000000001</v>
      </c>
      <c r="CL62" s="37">
        <v>10.072480000000001</v>
      </c>
      <c r="CM62" s="37">
        <v>10.072480000000001</v>
      </c>
      <c r="CN62" s="37">
        <v>10.072480000000001</v>
      </c>
      <c r="CO62" s="37">
        <v>10.072480000000001</v>
      </c>
      <c r="CP62" s="37">
        <v>10.072480000000001</v>
      </c>
      <c r="CQ62" s="37">
        <v>10.072480000000001</v>
      </c>
      <c r="CR62" s="37">
        <v>10.072480000000001</v>
      </c>
      <c r="CS62" s="37">
        <v>10.072480000000001</v>
      </c>
      <c r="CT62" s="37">
        <v>10.072480000000001</v>
      </c>
      <c r="CU62" s="37">
        <v>10.072480000000001</v>
      </c>
      <c r="CV62" s="37">
        <v>10.072480000000001</v>
      </c>
      <c r="CW62" s="37">
        <v>10.072480000000001</v>
      </c>
      <c r="CX62" s="37">
        <v>10.072480000000001</v>
      </c>
      <c r="CY62" s="37">
        <v>10.072480000000001</v>
      </c>
      <c r="CZ62" s="37">
        <v>10.072480000000001</v>
      </c>
      <c r="DA62" s="37">
        <v>10.072480000000001</v>
      </c>
      <c r="DB62" s="37">
        <v>10.072480000000001</v>
      </c>
      <c r="DC62" s="37">
        <v>10.072480000000001</v>
      </c>
      <c r="DD62" s="37">
        <v>10.072480000000001</v>
      </c>
      <c r="DE62" s="37">
        <v>10.072480000000001</v>
      </c>
      <c r="DF62" s="37">
        <v>10.072480000000001</v>
      </c>
      <c r="DG62" s="37">
        <v>10.072480000000001</v>
      </c>
      <c r="DH62" s="37">
        <v>10.072480000000001</v>
      </c>
      <c r="DI62" s="37">
        <v>10.072480000000001</v>
      </c>
      <c r="DJ62" s="37">
        <v>10.072480000000001</v>
      </c>
      <c r="DK62" s="37">
        <v>10.072480000000001</v>
      </c>
      <c r="DL62" s="37">
        <v>10.072480000000001</v>
      </c>
      <c r="DM62" s="37">
        <v>10.072480000000001</v>
      </c>
      <c r="DN62" s="37">
        <v>10.072480000000001</v>
      </c>
      <c r="DO62" s="37">
        <v>10.072480000000001</v>
      </c>
      <c r="DP62" s="37">
        <v>10.072480000000001</v>
      </c>
      <c r="DQ62" s="37">
        <v>10.072480000000001</v>
      </c>
      <c r="DR62" s="37">
        <v>10.072480000000001</v>
      </c>
      <c r="DS62" s="37">
        <v>10.072480000000001</v>
      </c>
      <c r="DT62" s="37">
        <v>10.072480000000001</v>
      </c>
      <c r="DU62" s="37">
        <v>10.072480000000001</v>
      </c>
      <c r="DV62" s="37">
        <v>10.072480000000001</v>
      </c>
      <c r="DW62" s="37">
        <v>10.072480000000001</v>
      </c>
      <c r="DX62" s="37">
        <v>10.072480000000001</v>
      </c>
      <c r="DY62" s="37">
        <v>10.072480000000001</v>
      </c>
      <c r="DZ62" s="37">
        <v>10.072480000000001</v>
      </c>
      <c r="EA62" s="37">
        <v>10.072480000000001</v>
      </c>
      <c r="EB62" s="37">
        <v>10.072480000000001</v>
      </c>
      <c r="EC62" s="37">
        <v>10.072480000000001</v>
      </c>
      <c r="ED62" s="37">
        <v>10.072480000000001</v>
      </c>
      <c r="EE62" s="37">
        <v>10.072480000000001</v>
      </c>
      <c r="EF62" s="37">
        <v>10.072480000000001</v>
      </c>
      <c r="EG62" s="37">
        <v>10.072480000000001</v>
      </c>
      <c r="EH62" s="37">
        <v>10.072480000000001</v>
      </c>
      <c r="EI62" s="37">
        <v>10.072480000000001</v>
      </c>
      <c r="EJ62" s="37">
        <v>10.072480000000001</v>
      </c>
      <c r="EK62" s="37">
        <v>10.072480000000001</v>
      </c>
      <c r="EL62" s="37">
        <v>10.072480000000001</v>
      </c>
      <c r="EM62" s="37">
        <v>10.072480000000001</v>
      </c>
      <c r="EN62" s="37">
        <v>10.072480000000001</v>
      </c>
      <c r="EO62" s="37">
        <v>10.072480000000001</v>
      </c>
      <c r="EP62" s="37">
        <v>10.072480000000001</v>
      </c>
      <c r="EQ62" s="37">
        <v>10.072480000000001</v>
      </c>
      <c r="ER62" s="37">
        <v>10.072480000000001</v>
      </c>
      <c r="ES62" s="37">
        <v>10.072480000000001</v>
      </c>
      <c r="ET62" s="37">
        <v>10.072480000000001</v>
      </c>
      <c r="EU62" s="37">
        <v>10.072480000000001</v>
      </c>
      <c r="EV62" s="37">
        <v>10.072480000000001</v>
      </c>
      <c r="EW62" s="37">
        <v>10.072480000000001</v>
      </c>
      <c r="EX62" s="37">
        <v>10.072480000000001</v>
      </c>
      <c r="EY62" s="37">
        <v>10.072480000000001</v>
      </c>
      <c r="EZ62" s="37">
        <v>10.072480000000001</v>
      </c>
      <c r="FA62" s="37">
        <v>10.072480000000001</v>
      </c>
      <c r="FB62" s="37">
        <v>10.072480000000001</v>
      </c>
      <c r="FC62" s="37">
        <v>10.072480000000001</v>
      </c>
      <c r="FD62" s="37">
        <v>10.072480000000001</v>
      </c>
      <c r="FE62" s="37">
        <v>10.072480000000001</v>
      </c>
      <c r="FF62" s="37">
        <v>10.072480000000001</v>
      </c>
      <c r="FG62" s="37">
        <v>10.072480000000001</v>
      </c>
      <c r="FH62" s="37">
        <v>10.072480000000001</v>
      </c>
      <c r="FI62" s="37">
        <v>10.072480000000001</v>
      </c>
      <c r="FJ62" s="37">
        <v>10.072480000000001</v>
      </c>
      <c r="FK62" s="37">
        <v>10.072480000000001</v>
      </c>
      <c r="FL62" s="37">
        <v>10.072480000000001</v>
      </c>
      <c r="FM62" s="37">
        <v>10.072480000000001</v>
      </c>
      <c r="FN62" s="37">
        <v>10.072480000000001</v>
      </c>
      <c r="FO62" s="37">
        <v>10.072480000000001</v>
      </c>
      <c r="FP62" s="37">
        <v>10.072480000000001</v>
      </c>
      <c r="FQ62" s="37">
        <v>10.072480000000001</v>
      </c>
      <c r="FR62" s="37">
        <v>10.072480000000001</v>
      </c>
      <c r="FS62" s="37">
        <v>10.072480000000001</v>
      </c>
      <c r="FT62" s="37">
        <v>10.072480000000001</v>
      </c>
      <c r="FU62" s="37">
        <v>10.072480000000001</v>
      </c>
      <c r="FV62" s="37">
        <v>10.072480000000001</v>
      </c>
      <c r="FW62" s="37">
        <v>10.072480000000001</v>
      </c>
      <c r="FX62" s="37">
        <v>10.072480000000001</v>
      </c>
      <c r="FY62" s="37">
        <v>10.072480000000001</v>
      </c>
      <c r="FZ62" s="37">
        <v>10.072480000000001</v>
      </c>
      <c r="GA62" s="37">
        <v>10.072480000000001</v>
      </c>
      <c r="GB62" s="37">
        <v>10.072480000000001</v>
      </c>
      <c r="GC62" s="37">
        <v>10.072480000000001</v>
      </c>
      <c r="GD62" s="37">
        <v>10.072480000000001</v>
      </c>
      <c r="GE62" s="37">
        <v>10.072480000000001</v>
      </c>
      <c r="GF62" s="37">
        <v>10.072480000000001</v>
      </c>
      <c r="GG62" s="37">
        <v>10.072480000000001</v>
      </c>
      <c r="GH62" s="37">
        <v>10.072480000000001</v>
      </c>
      <c r="GI62" s="37">
        <v>10.072480000000001</v>
      </c>
      <c r="GJ62" s="37">
        <v>10.072480000000001</v>
      </c>
      <c r="GK62" s="37">
        <v>10.072480000000001</v>
      </c>
      <c r="GL62" s="37">
        <v>10.072480000000001</v>
      </c>
      <c r="GM62" s="37">
        <v>10.072480000000001</v>
      </c>
      <c r="GN62" s="37">
        <v>10.072480000000001</v>
      </c>
      <c r="GO62" s="37">
        <v>10.072480000000001</v>
      </c>
      <c r="GP62" s="37">
        <v>10.072480000000001</v>
      </c>
      <c r="GQ62" s="37">
        <v>10.072480000000001</v>
      </c>
      <c r="GR62" s="37">
        <v>10.072480000000001</v>
      </c>
      <c r="GS62" s="37">
        <v>10.072480000000001</v>
      </c>
      <c r="GT62" s="37">
        <v>10.072480000000001</v>
      </c>
      <c r="GU62" s="37">
        <v>10.072480000000001</v>
      </c>
      <c r="GV62" s="37">
        <v>10.072480000000001</v>
      </c>
      <c r="GW62" s="37">
        <v>10.072480000000001</v>
      </c>
      <c r="GX62" s="37">
        <v>10.072480000000001</v>
      </c>
      <c r="GY62" s="37">
        <v>10.072480000000001</v>
      </c>
      <c r="GZ62" s="37">
        <v>10.072480000000001</v>
      </c>
      <c r="HA62" s="37">
        <v>10.072480000000001</v>
      </c>
      <c r="HB62" s="37">
        <v>10.072480000000001</v>
      </c>
      <c r="HC62" s="37">
        <v>10.072480000000001</v>
      </c>
      <c r="HD62" s="37">
        <v>10.072480000000001</v>
      </c>
      <c r="HE62" s="37">
        <v>10.072480000000001</v>
      </c>
      <c r="HF62" s="37">
        <v>10.072480000000001</v>
      </c>
      <c r="HG62" s="37">
        <v>10.072480000000001</v>
      </c>
      <c r="HH62" s="37">
        <v>10.072480000000001</v>
      </c>
      <c r="HI62" s="37">
        <v>10.072480000000001</v>
      </c>
      <c r="HJ62" s="37">
        <v>10.072480000000001</v>
      </c>
      <c r="HK62" s="37">
        <v>10.072480000000001</v>
      </c>
      <c r="HL62" s="37">
        <v>10.072480000000001</v>
      </c>
      <c r="HM62" s="37">
        <v>10.072480000000001</v>
      </c>
      <c r="HN62" s="37">
        <v>10.072480000000001</v>
      </c>
      <c r="HO62" s="37">
        <v>10.072480000000001</v>
      </c>
      <c r="HP62" s="37">
        <v>10.072480000000001</v>
      </c>
      <c r="HQ62" s="37">
        <v>10.072480000000001</v>
      </c>
      <c r="HR62" s="37">
        <v>10.072480000000001</v>
      </c>
      <c r="HS62" s="37">
        <v>10.072480000000001</v>
      </c>
      <c r="HT62" s="37">
        <v>10.072480000000001</v>
      </c>
      <c r="HU62" s="37">
        <v>10.072480000000001</v>
      </c>
      <c r="HV62" s="37">
        <v>10.072480000000001</v>
      </c>
      <c r="HW62" s="37">
        <v>10.072480000000001</v>
      </c>
      <c r="HX62" s="37">
        <v>10.072480000000001</v>
      </c>
      <c r="HY62" s="37">
        <v>10.072480000000001</v>
      </c>
      <c r="HZ62" s="37">
        <v>10.072480000000001</v>
      </c>
      <c r="IA62" s="37">
        <v>10.072480000000001</v>
      </c>
      <c r="IB62" s="37">
        <v>10.072480000000001</v>
      </c>
      <c r="IC62" s="37">
        <v>10.072480000000001</v>
      </c>
      <c r="ID62" s="37">
        <v>10.072480000000001</v>
      </c>
      <c r="IE62" s="37">
        <v>10.072480000000001</v>
      </c>
      <c r="IF62" s="37">
        <v>10.072480000000001</v>
      </c>
      <c r="IG62" s="37">
        <v>10.072480000000001</v>
      </c>
      <c r="IH62" s="37">
        <v>10.072480000000001</v>
      </c>
      <c r="II62" s="37">
        <v>10.072480000000001</v>
      </c>
      <c r="IJ62" s="37">
        <v>10.072480000000001</v>
      </c>
      <c r="IK62" s="37">
        <v>10.072480000000001</v>
      </c>
      <c r="IL62" s="37">
        <v>10.072480000000001</v>
      </c>
      <c r="IM62" s="37">
        <v>10.072480000000001</v>
      </c>
      <c r="IN62" s="37">
        <v>10.072480000000001</v>
      </c>
      <c r="IO62" s="37">
        <v>10.072480000000001</v>
      </c>
      <c r="IP62" s="37">
        <v>10.072480000000001</v>
      </c>
      <c r="IQ62" s="37">
        <v>10.072480000000001</v>
      </c>
      <c r="IR62" s="37">
        <v>10.072480000000001</v>
      </c>
      <c r="IS62" s="37">
        <v>10.072480000000001</v>
      </c>
      <c r="IT62" s="37">
        <v>10.072480000000001</v>
      </c>
      <c r="IU62" s="37">
        <v>10.072480000000001</v>
      </c>
      <c r="IV62" s="37">
        <v>10.072480000000001</v>
      </c>
      <c r="IW62" s="37">
        <v>10.072480000000001</v>
      </c>
      <c r="IX62" s="37">
        <v>10.072480000000001</v>
      </c>
      <c r="IY62" s="37">
        <v>10.072480000000001</v>
      </c>
      <c r="IZ62" s="37">
        <v>10.072480000000001</v>
      </c>
      <c r="JA62" s="37">
        <v>10.072480000000001</v>
      </c>
      <c r="JB62" s="37">
        <v>10.072480000000001</v>
      </c>
      <c r="JC62" s="37">
        <v>10.072480000000001</v>
      </c>
      <c r="JD62" s="37">
        <v>10.072480000000001</v>
      </c>
      <c r="JE62" s="37">
        <v>10.072480000000001</v>
      </c>
      <c r="JF62" s="37">
        <v>10.072480000000001</v>
      </c>
      <c r="JG62" s="37">
        <v>10.072480000000001</v>
      </c>
      <c r="JH62" s="37">
        <v>10.072480000000001</v>
      </c>
      <c r="JI62" s="37">
        <v>10.072480000000001</v>
      </c>
      <c r="JJ62" s="37">
        <v>10.072480000000001</v>
      </c>
      <c r="JK62" s="37">
        <v>10.072480000000001</v>
      </c>
      <c r="JL62" s="37">
        <v>10.072480000000001</v>
      </c>
      <c r="JM62" s="37">
        <v>10.072480000000001</v>
      </c>
      <c r="JN62" s="37">
        <v>10.072480000000001</v>
      </c>
      <c r="JO62" s="37">
        <v>10.072480000000001</v>
      </c>
      <c r="JP62" s="37">
        <v>10.072480000000001</v>
      </c>
      <c r="JQ62" s="37">
        <v>10.072480000000001</v>
      </c>
      <c r="JR62" s="37">
        <v>10.072480000000001</v>
      </c>
      <c r="JS62" s="37">
        <v>10.072480000000001</v>
      </c>
      <c r="JT62" s="37">
        <v>10.072480000000001</v>
      </c>
      <c r="JU62" s="37">
        <v>10.072480000000001</v>
      </c>
      <c r="JV62" s="37">
        <v>10.072480000000001</v>
      </c>
      <c r="JW62" s="37">
        <v>10.072480000000001</v>
      </c>
      <c r="JX62" s="37">
        <v>10.072480000000001</v>
      </c>
      <c r="JY62" s="37">
        <v>10.072480000000001</v>
      </c>
      <c r="JZ62" s="37">
        <v>10.072480000000001</v>
      </c>
      <c r="KA62" s="37">
        <v>10.072480000000001</v>
      </c>
      <c r="KB62" s="37">
        <v>10.072480000000001</v>
      </c>
      <c r="KC62" s="37">
        <v>10.072480000000001</v>
      </c>
      <c r="KD62" s="37">
        <v>10.072480000000001</v>
      </c>
      <c r="KE62" s="37">
        <v>10.072480000000001</v>
      </c>
      <c r="KF62" s="37">
        <v>10.072480000000001</v>
      </c>
      <c r="KG62" s="37">
        <v>10.072480000000001</v>
      </c>
      <c r="KH62" s="37">
        <v>10.072480000000001</v>
      </c>
      <c r="KI62" s="37">
        <v>10.072480000000001</v>
      </c>
      <c r="KJ62" s="37">
        <v>10.072480000000001</v>
      </c>
      <c r="KK62" s="37">
        <v>10.072480000000001</v>
      </c>
      <c r="KL62" s="37">
        <v>10.072480000000001</v>
      </c>
      <c r="KM62" s="37">
        <v>10.072480000000001</v>
      </c>
      <c r="KN62" s="37">
        <v>10.072480000000001</v>
      </c>
      <c r="KO62" s="37">
        <v>10.072480000000001</v>
      </c>
      <c r="KP62" s="37">
        <v>10.072480000000001</v>
      </c>
      <c r="KQ62" s="37">
        <v>10.072480000000001</v>
      </c>
      <c r="KR62" s="37">
        <v>10.072480000000001</v>
      </c>
      <c r="KS62" s="37">
        <v>10.072480000000001</v>
      </c>
      <c r="KT62" s="37">
        <v>10.072480000000001</v>
      </c>
      <c r="KU62" s="37">
        <v>10.072480000000001</v>
      </c>
      <c r="KV62" s="37">
        <v>10.072480000000001</v>
      </c>
      <c r="KW62" s="37">
        <v>10.072480000000001</v>
      </c>
      <c r="KX62" s="37">
        <v>10.072480000000001</v>
      </c>
      <c r="KY62" s="37">
        <v>10.072480000000001</v>
      </c>
      <c r="KZ62" s="37">
        <v>10.072480000000001</v>
      </c>
      <c r="LA62" s="37">
        <v>10.072480000000001</v>
      </c>
      <c r="LB62" s="37">
        <v>10.072480000000001</v>
      </c>
      <c r="LC62" s="37">
        <v>10.072480000000001</v>
      </c>
      <c r="LD62" s="37">
        <v>10.072480000000001</v>
      </c>
      <c r="LE62" s="37">
        <v>10.072480000000001</v>
      </c>
      <c r="LF62" s="37">
        <v>10.072480000000001</v>
      </c>
      <c r="LG62" s="37">
        <v>10.072480000000001</v>
      </c>
      <c r="LH62" s="37">
        <v>10.072480000000001</v>
      </c>
      <c r="LI62" s="37">
        <v>10.072480000000001</v>
      </c>
      <c r="LJ62" s="37">
        <v>10.072480000000001</v>
      </c>
      <c r="LK62" s="37">
        <v>10.072480000000001</v>
      </c>
      <c r="LL62" s="37">
        <v>10.072480000000001</v>
      </c>
      <c r="LM62" s="37">
        <v>10.072480000000001</v>
      </c>
      <c r="LN62" s="37">
        <v>10.072480000000001</v>
      </c>
      <c r="LO62" s="37">
        <v>10.072480000000001</v>
      </c>
      <c r="LP62" s="37">
        <v>10.072480000000001</v>
      </c>
      <c r="LQ62" s="37">
        <v>10.072480000000001</v>
      </c>
      <c r="LR62" s="37">
        <v>10.072480000000001</v>
      </c>
      <c r="LS62" s="37">
        <v>10.072480000000001</v>
      </c>
      <c r="LT62" s="37">
        <v>10.072480000000001</v>
      </c>
      <c r="LU62" s="37">
        <v>10.072480000000001</v>
      </c>
      <c r="LV62" s="37">
        <v>10.072480000000001</v>
      </c>
      <c r="LW62" s="37">
        <v>10.072480000000001</v>
      </c>
      <c r="LX62" s="37">
        <v>10.072480000000001</v>
      </c>
      <c r="LY62" s="37">
        <v>10.072480000000001</v>
      </c>
      <c r="LZ62" s="37">
        <v>10.072480000000001</v>
      </c>
      <c r="MA62" s="37">
        <v>10.072480000000001</v>
      </c>
      <c r="MB62" s="37">
        <v>10.072480000000001</v>
      </c>
      <c r="MC62" s="37">
        <v>10.072480000000001</v>
      </c>
      <c r="MD62" s="37">
        <v>10.072480000000001</v>
      </c>
      <c r="ME62" s="37">
        <v>10.072480000000001</v>
      </c>
      <c r="MF62" s="37">
        <v>10.072480000000001</v>
      </c>
      <c r="MG62" s="37">
        <v>10.072480000000001</v>
      </c>
      <c r="MH62" s="37">
        <v>10.072480000000001</v>
      </c>
      <c r="MI62" s="37">
        <v>10.072480000000001</v>
      </c>
      <c r="MJ62" s="37">
        <v>10.072480000000001</v>
      </c>
      <c r="MK62" s="37">
        <v>10.072480000000001</v>
      </c>
      <c r="ML62" s="37">
        <v>10.072480000000001</v>
      </c>
      <c r="MM62" s="37">
        <v>10.072480000000001</v>
      </c>
      <c r="MN62" s="37">
        <v>10.072480000000001</v>
      </c>
      <c r="MO62" s="37">
        <v>10.072480000000001</v>
      </c>
      <c r="MP62" s="37">
        <v>10.072480000000001</v>
      </c>
      <c r="MQ62" s="37">
        <v>10.072480000000001</v>
      </c>
      <c r="MR62" s="37">
        <v>10.072480000000001</v>
      </c>
      <c r="MS62" s="37">
        <v>10.072480000000001</v>
      </c>
      <c r="MT62" s="37">
        <v>10.072480000000001</v>
      </c>
      <c r="MU62" s="37">
        <v>10.072480000000001</v>
      </c>
      <c r="MV62" s="37">
        <v>10.072480000000001</v>
      </c>
      <c r="MW62" s="37">
        <v>10.072480000000001</v>
      </c>
      <c r="MX62" s="37">
        <v>10.072480000000001</v>
      </c>
      <c r="MY62" s="37">
        <v>10.072480000000001</v>
      </c>
      <c r="MZ62" s="37">
        <v>10.072480000000001</v>
      </c>
      <c r="NA62" s="37">
        <v>10.072480000000001</v>
      </c>
      <c r="NB62" s="37">
        <v>10.072480000000001</v>
      </c>
      <c r="NC62" s="37">
        <v>10.072480000000001</v>
      </c>
      <c r="ND62" s="37">
        <v>10.072480000000001</v>
      </c>
      <c r="NE62" s="37">
        <v>10.072480000000001</v>
      </c>
      <c r="NF62" s="37">
        <v>10.072480000000001</v>
      </c>
      <c r="NG62" s="37">
        <v>10.072480000000001</v>
      </c>
      <c r="NH62" s="37">
        <v>10.072480000000001</v>
      </c>
      <c r="NI62" s="37">
        <v>10.072480000000001</v>
      </c>
      <c r="NJ62" s="37">
        <v>10.072480000000001</v>
      </c>
      <c r="NK62" s="37">
        <v>10.072480000000001</v>
      </c>
      <c r="NL62" s="37">
        <v>10.072480000000001</v>
      </c>
      <c r="NM62" s="37">
        <v>10.072480000000001</v>
      </c>
      <c r="NN62" s="37">
        <v>10.072480000000001</v>
      </c>
      <c r="NO62" s="37">
        <v>10.072480000000001</v>
      </c>
      <c r="NP62" s="37">
        <v>10.072480000000001</v>
      </c>
      <c r="NQ62" s="37">
        <v>10.072480000000001</v>
      </c>
      <c r="NR62" s="37">
        <v>10.072480000000001</v>
      </c>
      <c r="NS62" s="37">
        <v>10.072480000000001</v>
      </c>
      <c r="NT62" s="37">
        <v>10.072480000000001</v>
      </c>
      <c r="NU62" s="37">
        <v>10.072480000000001</v>
      </c>
      <c r="NV62" s="37">
        <v>10.072480000000001</v>
      </c>
      <c r="NW62" s="37">
        <v>10.072480000000001</v>
      </c>
      <c r="NX62" s="37">
        <v>10.072480000000001</v>
      </c>
      <c r="NY62" s="37">
        <v>10.072480000000001</v>
      </c>
      <c r="NZ62" s="37">
        <v>10.072480000000001</v>
      </c>
      <c r="OA62" s="37">
        <v>10.072480000000001</v>
      </c>
      <c r="OB62" s="37">
        <v>10.072480000000001</v>
      </c>
      <c r="OC62" s="37">
        <v>10.072480000000001</v>
      </c>
      <c r="OD62" s="37">
        <v>10.072480000000001</v>
      </c>
      <c r="OE62" s="37">
        <v>10.072480000000001</v>
      </c>
      <c r="OF62" s="37">
        <v>10.072480000000001</v>
      </c>
      <c r="OG62" s="37">
        <v>10.072480000000001</v>
      </c>
      <c r="OH62" s="37">
        <v>10.072480000000001</v>
      </c>
      <c r="OI62" s="37">
        <v>10.072480000000001</v>
      </c>
      <c r="OJ62" s="37">
        <v>10.072480000000001</v>
      </c>
      <c r="OK62" s="37">
        <v>10.072480000000001</v>
      </c>
      <c r="OL62" s="37">
        <v>10.072480000000001</v>
      </c>
      <c r="OM62" s="37">
        <v>10.072480000000001</v>
      </c>
      <c r="ON62" s="37">
        <v>10.072480000000001</v>
      </c>
      <c r="OO62" s="37">
        <v>10.072480000000001</v>
      </c>
      <c r="OP62" s="37">
        <v>10.072480000000001</v>
      </c>
      <c r="OQ62" s="37">
        <v>10.072480000000001</v>
      </c>
      <c r="OR62" s="37">
        <v>10.072480000000001</v>
      </c>
      <c r="OS62" s="37">
        <v>10.072480000000001</v>
      </c>
      <c r="OT62" s="37">
        <v>10.072480000000001</v>
      </c>
      <c r="OU62" s="37">
        <v>10.072480000000001</v>
      </c>
      <c r="OV62" s="37">
        <v>10.072480000000001</v>
      </c>
      <c r="OW62" s="37">
        <v>10.072480000000001</v>
      </c>
      <c r="OX62" s="37">
        <v>10.072480000000001</v>
      </c>
      <c r="OY62" s="37">
        <v>10.072480000000001</v>
      </c>
      <c r="OZ62" s="37">
        <v>10.072480000000001</v>
      </c>
      <c r="PA62" s="37">
        <v>10.072480000000001</v>
      </c>
      <c r="PB62" s="37">
        <v>10.072480000000001</v>
      </c>
      <c r="PC62" s="37">
        <v>10.072480000000001</v>
      </c>
      <c r="PD62" s="37">
        <v>10.072480000000001</v>
      </c>
      <c r="PE62" s="37">
        <v>10.072480000000001</v>
      </c>
      <c r="PF62" s="37">
        <v>10.072480000000001</v>
      </c>
      <c r="PG62" s="37">
        <v>10.072480000000001</v>
      </c>
      <c r="PH62" s="37">
        <v>10.072480000000001</v>
      </c>
      <c r="PI62" s="37">
        <v>10.072480000000001</v>
      </c>
      <c r="PJ62" s="37">
        <v>10.072480000000001</v>
      </c>
      <c r="PK62" s="37">
        <v>10.072480000000001</v>
      </c>
      <c r="PL62" s="37">
        <v>10.072480000000001</v>
      </c>
      <c r="PM62" s="37">
        <v>10.072480000000001</v>
      </c>
      <c r="PN62" s="37">
        <v>10.072480000000001</v>
      </c>
      <c r="PO62" s="37">
        <v>10.072480000000001</v>
      </c>
      <c r="PP62" s="37">
        <v>10.072480000000001</v>
      </c>
      <c r="PQ62" s="37">
        <v>10.072480000000001</v>
      </c>
      <c r="PR62" s="37">
        <v>10.072480000000001</v>
      </c>
      <c r="PS62" s="15">
        <v>10.072480000000001</v>
      </c>
      <c r="PT62" s="15">
        <v>10.072480000000001</v>
      </c>
      <c r="PU62" s="15">
        <v>10.072480000000001</v>
      </c>
      <c r="PV62" s="15">
        <v>10.072480000000001</v>
      </c>
      <c r="PW62" s="15">
        <v>10.072480000000001</v>
      </c>
      <c r="PX62" s="15">
        <v>10.072480000000001</v>
      </c>
      <c r="PY62" s="15">
        <v>10.072480000000001</v>
      </c>
      <c r="PZ62" s="15">
        <v>10.072480000000001</v>
      </c>
      <c r="QA62" s="15">
        <v>10.072480000000001</v>
      </c>
      <c r="QB62" s="15">
        <v>10.072480000000001</v>
      </c>
      <c r="QC62" s="15">
        <v>10.072480000000001</v>
      </c>
      <c r="QD62" s="15">
        <v>10.072480000000001</v>
      </c>
      <c r="QE62" s="15">
        <v>10.072480000000001</v>
      </c>
      <c r="QF62" s="15">
        <v>10.072480000000001</v>
      </c>
      <c r="QG62" s="15">
        <v>10.072480000000001</v>
      </c>
      <c r="QH62" s="15">
        <v>10.072480000000001</v>
      </c>
      <c r="QI62" s="15">
        <v>10.072480000000001</v>
      </c>
      <c r="QJ62" s="15">
        <v>10.072480000000001</v>
      </c>
      <c r="QK62" s="15">
        <v>10.072480000000001</v>
      </c>
      <c r="QL62" s="15">
        <v>10.072480000000001</v>
      </c>
      <c r="QM62" s="15">
        <v>10.072480000000001</v>
      </c>
      <c r="QN62" s="15">
        <v>10.072480000000001</v>
      </c>
      <c r="QO62" s="15">
        <v>10.072480000000001</v>
      </c>
      <c r="QP62" s="15">
        <v>10.072480000000001</v>
      </c>
      <c r="QQ62" s="15">
        <v>10.072480000000001</v>
      </c>
      <c r="QR62" s="15">
        <v>10.072480000000001</v>
      </c>
      <c r="QS62" s="15">
        <v>10.072480000000001</v>
      </c>
      <c r="QT62" s="15">
        <v>10.072480000000001</v>
      </c>
      <c r="QU62" s="15">
        <v>10.072480000000001</v>
      </c>
      <c r="QV62" s="15">
        <v>10.072480000000001</v>
      </c>
      <c r="QW62" s="15">
        <v>10.072480000000001</v>
      </c>
      <c r="QX62" s="15">
        <v>10.072480000000001</v>
      </c>
      <c r="QY62" s="15">
        <v>10.072480000000001</v>
      </c>
      <c r="QZ62" s="15">
        <v>10.072480000000001</v>
      </c>
      <c r="RA62" s="15">
        <v>10.072480000000001</v>
      </c>
      <c r="RB62" s="15">
        <v>10.072480000000001</v>
      </c>
      <c r="RC62" s="15">
        <v>10.072480000000001</v>
      </c>
      <c r="RD62" s="15">
        <v>10.072480000000001</v>
      </c>
      <c r="RE62" s="15">
        <v>10.072480000000001</v>
      </c>
      <c r="RF62" s="15">
        <v>10.072480000000001</v>
      </c>
      <c r="RG62" s="15">
        <v>10.072480000000001</v>
      </c>
      <c r="RH62" s="15">
        <v>10.072480000000001</v>
      </c>
      <c r="RI62" s="15">
        <v>10.072480000000001</v>
      </c>
      <c r="RJ62" s="15">
        <v>10.072480000000001</v>
      </c>
      <c r="RK62" s="15">
        <v>10.072480000000001</v>
      </c>
      <c r="RL62" s="15">
        <v>10.072480000000001</v>
      </c>
      <c r="RM62" s="15">
        <v>10.072480000000001</v>
      </c>
      <c r="RN62" s="15">
        <v>10.072480000000001</v>
      </c>
      <c r="RO62" s="15">
        <v>10.072480000000001</v>
      </c>
      <c r="RP62" s="15">
        <v>10.072480000000001</v>
      </c>
      <c r="RQ62" s="15">
        <v>10.072480000000001</v>
      </c>
      <c r="RR62" s="15">
        <v>10.072480000000001</v>
      </c>
      <c r="RS62" s="15">
        <v>10.072480000000001</v>
      </c>
      <c r="RT62" s="15">
        <v>10.072480000000001</v>
      </c>
      <c r="RU62" s="15">
        <v>10.072480000000001</v>
      </c>
      <c r="RV62" s="15">
        <v>10.072480000000001</v>
      </c>
      <c r="RW62" s="15">
        <v>10.072480000000001</v>
      </c>
      <c r="RX62" s="15">
        <v>10.072480000000001</v>
      </c>
      <c r="RY62" s="15">
        <v>10.072480000000001</v>
      </c>
      <c r="RZ62" s="15">
        <v>10.072480000000001</v>
      </c>
      <c r="SA62" s="15">
        <v>10.072480000000001</v>
      </c>
      <c r="SB62" s="15">
        <v>10.072480000000001</v>
      </c>
      <c r="SC62" s="15">
        <v>10.072480000000001</v>
      </c>
      <c r="SD62" s="15">
        <v>10.072480000000001</v>
      </c>
      <c r="SE62" s="15">
        <v>10.072480000000001</v>
      </c>
      <c r="SF62" s="15">
        <v>10.072480000000001</v>
      </c>
      <c r="SG62" s="15">
        <v>10.072480000000001</v>
      </c>
      <c r="SH62" s="15">
        <v>10.072480000000001</v>
      </c>
      <c r="SI62" s="15">
        <v>10.072480000000001</v>
      </c>
      <c r="SJ62" s="15">
        <v>10.072480000000001</v>
      </c>
      <c r="SK62" s="15">
        <v>10.072480000000001</v>
      </c>
      <c r="SL62" s="15">
        <v>8.4920000000000009</v>
      </c>
      <c r="SM62" s="15" t="s">
        <v>668</v>
      </c>
      <c r="SN62" s="15" t="s">
        <v>668</v>
      </c>
    </row>
    <row r="63" spans="1:508" x14ac:dyDescent="0.2">
      <c r="A63" s="37">
        <v>61</v>
      </c>
      <c r="B63" s="37" t="s">
        <v>745</v>
      </c>
      <c r="C63" s="17">
        <f>+'Detalle Compras'!D63</f>
        <v>202507310089</v>
      </c>
      <c r="D63" s="55">
        <f t="shared" si="13"/>
        <v>11.931195000000001</v>
      </c>
      <c r="E63" s="14">
        <f>+IF(B63="","",'Detalle Compras'!S63+0)</f>
        <v>45910</v>
      </c>
      <c r="F63" s="14">
        <f>+IF(B63="","",EOMONTH('Detalle Compras'!S63,G63)+10)</f>
        <v>56897</v>
      </c>
      <c r="G63" s="50">
        <f t="shared" si="14"/>
        <v>360</v>
      </c>
      <c r="H63" s="50">
        <f t="shared" si="15"/>
        <v>355</v>
      </c>
      <c r="AA63" s="37">
        <v>11.931195000000001</v>
      </c>
      <c r="AB63" s="37">
        <v>11.931195000000001</v>
      </c>
      <c r="AC63" s="37">
        <v>11.931195000000001</v>
      </c>
      <c r="AD63" s="37">
        <v>11.931195000000001</v>
      </c>
      <c r="AE63" s="37">
        <v>11.931195000000001</v>
      </c>
      <c r="AF63" s="37">
        <v>11.931195000000001</v>
      </c>
      <c r="AG63" s="37">
        <v>11.931195000000001</v>
      </c>
      <c r="AH63" s="37">
        <v>11.931195000000001</v>
      </c>
      <c r="AI63" s="37">
        <v>11.931195000000001</v>
      </c>
      <c r="AJ63" s="37">
        <v>11.931195000000001</v>
      </c>
      <c r="AK63" s="37">
        <v>11.931195000000001</v>
      </c>
      <c r="AL63" s="37">
        <v>11.931195000000001</v>
      </c>
      <c r="AM63" s="37">
        <v>11.931195000000001</v>
      </c>
      <c r="AN63" s="37">
        <v>11.931195000000001</v>
      </c>
      <c r="AO63" s="37">
        <v>11.931195000000001</v>
      </c>
      <c r="AP63" s="37">
        <v>11.931195000000001</v>
      </c>
      <c r="AQ63" s="37">
        <v>11.931195000000001</v>
      </c>
      <c r="AR63" s="37">
        <v>11.931195000000001</v>
      </c>
      <c r="AS63" s="37">
        <v>11.931195000000001</v>
      </c>
      <c r="AT63" s="37">
        <v>11.931195000000001</v>
      </c>
      <c r="AU63" s="37">
        <v>11.931195000000001</v>
      </c>
      <c r="AV63" s="37">
        <v>11.931195000000001</v>
      </c>
      <c r="AW63" s="37">
        <v>11.931195000000001</v>
      </c>
      <c r="AX63" s="37">
        <v>11.931195000000001</v>
      </c>
      <c r="AY63" s="37">
        <v>11.931195000000001</v>
      </c>
      <c r="AZ63" s="37">
        <v>11.931195000000001</v>
      </c>
      <c r="BA63" s="37">
        <v>11.931195000000001</v>
      </c>
      <c r="BB63" s="37">
        <v>11.931195000000001</v>
      </c>
      <c r="BC63" s="37">
        <v>11.931195000000001</v>
      </c>
      <c r="BD63" s="37">
        <v>11.931195000000001</v>
      </c>
      <c r="BE63" s="37">
        <v>11.931195000000001</v>
      </c>
      <c r="BF63" s="37">
        <v>11.931195000000001</v>
      </c>
      <c r="BG63" s="37">
        <v>11.931195000000001</v>
      </c>
      <c r="BH63" s="37">
        <v>11.931195000000001</v>
      </c>
      <c r="BI63" s="37">
        <v>11.931195000000001</v>
      </c>
      <c r="BJ63" s="37">
        <v>11.931195000000001</v>
      </c>
      <c r="BK63" s="37">
        <v>11.931195000000001</v>
      </c>
      <c r="BL63" s="37">
        <v>11.931195000000001</v>
      </c>
      <c r="BM63" s="37">
        <v>11.931195000000001</v>
      </c>
      <c r="BN63" s="37">
        <v>11.931195000000001</v>
      </c>
      <c r="BO63" s="37">
        <v>11.931195000000001</v>
      </c>
      <c r="BP63" s="37">
        <v>11.931195000000001</v>
      </c>
      <c r="BQ63" s="37">
        <v>11.931195000000001</v>
      </c>
      <c r="BR63" s="37">
        <v>11.931195000000001</v>
      </c>
      <c r="BS63" s="37">
        <v>11.931195000000001</v>
      </c>
      <c r="BT63" s="37">
        <v>11.931195000000001</v>
      </c>
      <c r="BU63" s="37">
        <v>11.931195000000001</v>
      </c>
      <c r="BV63" s="37">
        <v>11.931195000000001</v>
      </c>
      <c r="BW63" s="37">
        <v>11.931195000000001</v>
      </c>
      <c r="BX63" s="37">
        <v>11.931195000000001</v>
      </c>
      <c r="BY63" s="37">
        <v>11.931195000000001</v>
      </c>
      <c r="BZ63" s="37">
        <v>11.931195000000001</v>
      </c>
      <c r="CA63" s="37">
        <v>11.931195000000001</v>
      </c>
      <c r="CB63" s="37">
        <v>11.931195000000001</v>
      </c>
      <c r="CC63" s="37">
        <v>11.931195000000001</v>
      </c>
      <c r="CD63" s="37">
        <v>11.931195000000001</v>
      </c>
      <c r="CE63" s="37">
        <v>11.931195000000001</v>
      </c>
      <c r="CF63" s="37">
        <v>11.931195000000001</v>
      </c>
      <c r="CG63" s="37">
        <v>11.931195000000001</v>
      </c>
      <c r="CH63" s="37">
        <v>11.931195000000001</v>
      </c>
      <c r="CI63" s="37">
        <v>11.931195000000001</v>
      </c>
      <c r="CJ63" s="37">
        <v>11.931195000000001</v>
      </c>
      <c r="CK63" s="37">
        <v>11.931195000000001</v>
      </c>
      <c r="CL63" s="37">
        <v>11.931195000000001</v>
      </c>
      <c r="CM63" s="37">
        <v>11.931195000000001</v>
      </c>
      <c r="CN63" s="37">
        <v>11.931195000000001</v>
      </c>
      <c r="CO63" s="37">
        <v>11.931195000000001</v>
      </c>
      <c r="CP63" s="37">
        <v>11.931195000000001</v>
      </c>
      <c r="CQ63" s="37">
        <v>11.931195000000001</v>
      </c>
      <c r="CR63" s="37">
        <v>11.931195000000001</v>
      </c>
      <c r="CS63" s="37">
        <v>11.931195000000001</v>
      </c>
      <c r="CT63" s="37">
        <v>11.931195000000001</v>
      </c>
      <c r="CU63" s="37">
        <v>11.931195000000001</v>
      </c>
      <c r="CV63" s="37">
        <v>11.931195000000001</v>
      </c>
      <c r="CW63" s="37">
        <v>11.931195000000001</v>
      </c>
      <c r="CX63" s="37">
        <v>11.931195000000001</v>
      </c>
      <c r="CY63" s="37">
        <v>11.931195000000001</v>
      </c>
      <c r="CZ63" s="37">
        <v>11.931195000000001</v>
      </c>
      <c r="DA63" s="37">
        <v>11.931195000000001</v>
      </c>
      <c r="DB63" s="37">
        <v>11.931195000000001</v>
      </c>
      <c r="DC63" s="37">
        <v>11.931195000000001</v>
      </c>
      <c r="DD63" s="37">
        <v>11.931195000000001</v>
      </c>
      <c r="DE63" s="37">
        <v>11.931195000000001</v>
      </c>
      <c r="DF63" s="37">
        <v>11.931195000000001</v>
      </c>
      <c r="DG63" s="37">
        <v>11.931195000000001</v>
      </c>
      <c r="DH63" s="37">
        <v>11.931195000000001</v>
      </c>
      <c r="DI63" s="37">
        <v>11.931195000000001</v>
      </c>
      <c r="DJ63" s="37">
        <v>11.931195000000001</v>
      </c>
      <c r="DK63" s="37">
        <v>11.931195000000001</v>
      </c>
      <c r="DL63" s="37">
        <v>11.931195000000001</v>
      </c>
      <c r="DM63" s="37">
        <v>11.931195000000001</v>
      </c>
      <c r="DN63" s="37">
        <v>11.931195000000001</v>
      </c>
      <c r="DO63" s="37">
        <v>11.931195000000001</v>
      </c>
      <c r="DP63" s="37">
        <v>11.931195000000001</v>
      </c>
      <c r="DQ63" s="37">
        <v>11.931195000000001</v>
      </c>
      <c r="DR63" s="37">
        <v>11.931195000000001</v>
      </c>
      <c r="DS63" s="37">
        <v>11.931195000000001</v>
      </c>
      <c r="DT63" s="37">
        <v>11.931195000000001</v>
      </c>
      <c r="DU63" s="37">
        <v>11.931195000000001</v>
      </c>
      <c r="DV63" s="37">
        <v>11.931195000000001</v>
      </c>
      <c r="DW63" s="37">
        <v>11.931195000000001</v>
      </c>
      <c r="DX63" s="37">
        <v>11.931195000000001</v>
      </c>
      <c r="DY63" s="37">
        <v>11.931195000000001</v>
      </c>
      <c r="DZ63" s="37">
        <v>11.931195000000001</v>
      </c>
      <c r="EA63" s="37">
        <v>11.931195000000001</v>
      </c>
      <c r="EB63" s="37">
        <v>11.931195000000001</v>
      </c>
      <c r="EC63" s="37">
        <v>11.931195000000001</v>
      </c>
      <c r="ED63" s="37">
        <v>11.931195000000001</v>
      </c>
      <c r="EE63" s="37">
        <v>11.931195000000001</v>
      </c>
      <c r="EF63" s="37">
        <v>11.931195000000001</v>
      </c>
      <c r="EG63" s="37">
        <v>11.931195000000001</v>
      </c>
      <c r="EH63" s="37">
        <v>11.931195000000001</v>
      </c>
      <c r="EI63" s="37">
        <v>11.931195000000001</v>
      </c>
      <c r="EJ63" s="37">
        <v>11.931195000000001</v>
      </c>
      <c r="EK63" s="37">
        <v>11.931195000000001</v>
      </c>
      <c r="EL63" s="37">
        <v>11.931195000000001</v>
      </c>
      <c r="EM63" s="37">
        <v>11.931195000000001</v>
      </c>
      <c r="EN63" s="37">
        <v>11.931195000000001</v>
      </c>
      <c r="EO63" s="37">
        <v>11.931195000000001</v>
      </c>
      <c r="EP63" s="37">
        <v>11.931195000000001</v>
      </c>
      <c r="EQ63" s="37">
        <v>11.931195000000001</v>
      </c>
      <c r="ER63" s="37">
        <v>11.931195000000001</v>
      </c>
      <c r="ES63" s="37">
        <v>11.931195000000001</v>
      </c>
      <c r="ET63" s="37">
        <v>11.931195000000001</v>
      </c>
      <c r="EU63" s="37">
        <v>11.931195000000001</v>
      </c>
      <c r="EV63" s="37">
        <v>11.931195000000001</v>
      </c>
      <c r="EW63" s="37">
        <v>11.931195000000001</v>
      </c>
      <c r="EX63" s="37">
        <v>11.931195000000001</v>
      </c>
      <c r="EY63" s="37">
        <v>11.931195000000001</v>
      </c>
      <c r="EZ63" s="37">
        <v>11.931195000000001</v>
      </c>
      <c r="FA63" s="37">
        <v>11.931195000000001</v>
      </c>
      <c r="FB63" s="37">
        <v>11.931195000000001</v>
      </c>
      <c r="FC63" s="37">
        <v>11.931195000000001</v>
      </c>
      <c r="FD63" s="37">
        <v>11.931195000000001</v>
      </c>
      <c r="FE63" s="37">
        <v>11.931195000000001</v>
      </c>
      <c r="FF63" s="37">
        <v>11.931195000000001</v>
      </c>
      <c r="FG63" s="37">
        <v>11.931195000000001</v>
      </c>
      <c r="FH63" s="37">
        <v>11.931195000000001</v>
      </c>
      <c r="FI63" s="37">
        <v>11.931195000000001</v>
      </c>
      <c r="FJ63" s="37">
        <v>11.931195000000001</v>
      </c>
      <c r="FK63" s="37">
        <v>11.931195000000001</v>
      </c>
      <c r="FL63" s="37">
        <v>11.931195000000001</v>
      </c>
      <c r="FM63" s="37">
        <v>11.931195000000001</v>
      </c>
      <c r="FN63" s="37">
        <v>11.931195000000001</v>
      </c>
      <c r="FO63" s="37">
        <v>11.931195000000001</v>
      </c>
      <c r="FP63" s="37">
        <v>11.931195000000001</v>
      </c>
      <c r="FQ63" s="37">
        <v>11.931195000000001</v>
      </c>
      <c r="FR63" s="37">
        <v>11.931195000000001</v>
      </c>
      <c r="FS63" s="37">
        <v>11.931195000000001</v>
      </c>
      <c r="FT63" s="37">
        <v>11.931195000000001</v>
      </c>
      <c r="FU63" s="37">
        <v>11.931195000000001</v>
      </c>
      <c r="FV63" s="37">
        <v>11.931195000000001</v>
      </c>
      <c r="FW63" s="37">
        <v>11.931195000000001</v>
      </c>
      <c r="FX63" s="37">
        <v>11.931195000000001</v>
      </c>
      <c r="FY63" s="37">
        <v>11.931195000000001</v>
      </c>
      <c r="FZ63" s="37">
        <v>11.931195000000001</v>
      </c>
      <c r="GA63" s="37">
        <v>11.931195000000001</v>
      </c>
      <c r="GB63" s="37">
        <v>11.931195000000001</v>
      </c>
      <c r="GC63" s="37">
        <v>11.931195000000001</v>
      </c>
      <c r="GD63" s="37">
        <v>11.931195000000001</v>
      </c>
      <c r="GE63" s="37">
        <v>11.931195000000001</v>
      </c>
      <c r="GF63" s="37">
        <v>11.931195000000001</v>
      </c>
      <c r="GG63" s="37">
        <v>11.931195000000001</v>
      </c>
      <c r="GH63" s="37">
        <v>11.931195000000001</v>
      </c>
      <c r="GI63" s="37">
        <v>11.931195000000001</v>
      </c>
      <c r="GJ63" s="37">
        <v>11.931195000000001</v>
      </c>
      <c r="GK63" s="37">
        <v>11.931195000000001</v>
      </c>
      <c r="GL63" s="37">
        <v>11.931195000000001</v>
      </c>
      <c r="GM63" s="37">
        <v>11.931195000000001</v>
      </c>
      <c r="GN63" s="37">
        <v>11.931195000000001</v>
      </c>
      <c r="GO63" s="37">
        <v>11.931195000000001</v>
      </c>
      <c r="GP63" s="37">
        <v>11.931195000000001</v>
      </c>
      <c r="GQ63" s="37">
        <v>11.931195000000001</v>
      </c>
      <c r="GR63" s="37">
        <v>11.931195000000001</v>
      </c>
      <c r="GS63" s="37">
        <v>11.931195000000001</v>
      </c>
      <c r="GT63" s="37">
        <v>11.931195000000001</v>
      </c>
      <c r="GU63" s="37">
        <v>11.931195000000001</v>
      </c>
      <c r="GV63" s="37">
        <v>11.931195000000001</v>
      </c>
      <c r="GW63" s="37">
        <v>11.931195000000001</v>
      </c>
      <c r="GX63" s="37">
        <v>11.931195000000001</v>
      </c>
      <c r="GY63" s="37">
        <v>11.931195000000001</v>
      </c>
      <c r="GZ63" s="37">
        <v>11.931195000000001</v>
      </c>
      <c r="HA63" s="37">
        <v>11.931195000000001</v>
      </c>
      <c r="HB63" s="37">
        <v>11.931195000000001</v>
      </c>
      <c r="HC63" s="37">
        <v>11.931195000000001</v>
      </c>
      <c r="HD63" s="37">
        <v>11.931195000000001</v>
      </c>
      <c r="HE63" s="37">
        <v>11.931195000000001</v>
      </c>
      <c r="HF63" s="37">
        <v>11.931195000000001</v>
      </c>
      <c r="HG63" s="37">
        <v>11.931195000000001</v>
      </c>
      <c r="HH63" s="37">
        <v>11.931195000000001</v>
      </c>
      <c r="HI63" s="37">
        <v>11.931195000000001</v>
      </c>
      <c r="HJ63" s="37">
        <v>11.931195000000001</v>
      </c>
      <c r="HK63" s="37">
        <v>11.931195000000001</v>
      </c>
      <c r="HL63" s="37">
        <v>11.931195000000001</v>
      </c>
      <c r="HM63" s="37">
        <v>11.931195000000001</v>
      </c>
      <c r="HN63" s="37">
        <v>11.931195000000001</v>
      </c>
      <c r="HO63" s="37">
        <v>11.931195000000001</v>
      </c>
      <c r="HP63" s="37">
        <v>11.931195000000001</v>
      </c>
      <c r="HQ63" s="37">
        <v>11.931195000000001</v>
      </c>
      <c r="HR63" s="37">
        <v>11.931195000000001</v>
      </c>
      <c r="HS63" s="37">
        <v>11.931195000000001</v>
      </c>
      <c r="HT63" s="37">
        <v>11.931195000000001</v>
      </c>
      <c r="HU63" s="37">
        <v>11.931195000000001</v>
      </c>
      <c r="HV63" s="37">
        <v>11.931195000000001</v>
      </c>
      <c r="HW63" s="37">
        <v>11.931195000000001</v>
      </c>
      <c r="HX63" s="37">
        <v>11.931195000000001</v>
      </c>
      <c r="HY63" s="37">
        <v>11.931195000000001</v>
      </c>
      <c r="HZ63" s="37">
        <v>11.931195000000001</v>
      </c>
      <c r="IA63" s="37">
        <v>11.931195000000001</v>
      </c>
      <c r="IB63" s="37">
        <v>11.931195000000001</v>
      </c>
      <c r="IC63" s="37">
        <v>11.931195000000001</v>
      </c>
      <c r="ID63" s="37">
        <v>11.931195000000001</v>
      </c>
      <c r="IE63" s="37">
        <v>11.931195000000001</v>
      </c>
      <c r="IF63" s="37">
        <v>11.931195000000001</v>
      </c>
      <c r="IG63" s="37">
        <v>11.931195000000001</v>
      </c>
      <c r="IH63" s="37">
        <v>11.931195000000001</v>
      </c>
      <c r="II63" s="37">
        <v>11.931195000000001</v>
      </c>
      <c r="IJ63" s="37">
        <v>11.931195000000001</v>
      </c>
      <c r="IK63" s="37">
        <v>11.931195000000001</v>
      </c>
      <c r="IL63" s="37">
        <v>11.931195000000001</v>
      </c>
      <c r="IM63" s="37">
        <v>11.931195000000001</v>
      </c>
      <c r="IN63" s="37">
        <v>11.931195000000001</v>
      </c>
      <c r="IO63" s="37">
        <v>11.931195000000001</v>
      </c>
      <c r="IP63" s="37">
        <v>11.931195000000001</v>
      </c>
      <c r="IQ63" s="37">
        <v>11.931195000000001</v>
      </c>
      <c r="IR63" s="37">
        <v>11.931195000000001</v>
      </c>
      <c r="IS63" s="37">
        <v>11.931195000000001</v>
      </c>
      <c r="IT63" s="37">
        <v>11.931195000000001</v>
      </c>
      <c r="IU63" s="37">
        <v>11.931195000000001</v>
      </c>
      <c r="IV63" s="37">
        <v>11.931195000000001</v>
      </c>
      <c r="IW63" s="37">
        <v>11.931195000000001</v>
      </c>
      <c r="IX63" s="37">
        <v>11.931195000000001</v>
      </c>
      <c r="IY63" s="37">
        <v>11.931195000000001</v>
      </c>
      <c r="IZ63" s="37">
        <v>11.931195000000001</v>
      </c>
      <c r="JA63" s="37">
        <v>11.931195000000001</v>
      </c>
      <c r="JB63" s="37">
        <v>11.931195000000001</v>
      </c>
      <c r="JC63" s="37">
        <v>11.931195000000001</v>
      </c>
      <c r="JD63" s="37">
        <v>11.931195000000001</v>
      </c>
      <c r="JE63" s="37">
        <v>11.931195000000001</v>
      </c>
      <c r="JF63" s="37">
        <v>11.931195000000001</v>
      </c>
      <c r="JG63" s="37">
        <v>11.931195000000001</v>
      </c>
      <c r="JH63" s="37">
        <v>11.931195000000001</v>
      </c>
      <c r="JI63" s="37">
        <v>11.931195000000001</v>
      </c>
      <c r="JJ63" s="37">
        <v>11.931195000000001</v>
      </c>
      <c r="JK63" s="37">
        <v>11.931195000000001</v>
      </c>
      <c r="JL63" s="37">
        <v>11.931195000000001</v>
      </c>
      <c r="JM63" s="37">
        <v>11.931195000000001</v>
      </c>
      <c r="JN63" s="37">
        <v>11.931195000000001</v>
      </c>
      <c r="JO63" s="37">
        <v>11.931195000000001</v>
      </c>
      <c r="JP63" s="37">
        <v>11.931195000000001</v>
      </c>
      <c r="JQ63" s="37">
        <v>11.931195000000001</v>
      </c>
      <c r="JR63" s="37">
        <v>11.931195000000001</v>
      </c>
      <c r="JS63" s="37">
        <v>11.931195000000001</v>
      </c>
      <c r="JT63" s="37">
        <v>11.931195000000001</v>
      </c>
      <c r="JU63" s="37">
        <v>11.931195000000001</v>
      </c>
      <c r="JV63" s="37">
        <v>11.931195000000001</v>
      </c>
      <c r="JW63" s="37">
        <v>11.931195000000001</v>
      </c>
      <c r="JX63" s="37">
        <v>11.931195000000001</v>
      </c>
      <c r="JY63" s="37">
        <v>11.931195000000001</v>
      </c>
      <c r="JZ63" s="37">
        <v>11.931195000000001</v>
      </c>
      <c r="KA63" s="37">
        <v>11.931195000000001</v>
      </c>
      <c r="KB63" s="37">
        <v>11.931195000000001</v>
      </c>
      <c r="KC63" s="37">
        <v>11.931195000000001</v>
      </c>
      <c r="KD63" s="37">
        <v>11.931195000000001</v>
      </c>
      <c r="KE63" s="37">
        <v>11.931195000000001</v>
      </c>
      <c r="KF63" s="37">
        <v>11.931195000000001</v>
      </c>
      <c r="KG63" s="37">
        <v>11.931195000000001</v>
      </c>
      <c r="KH63" s="37">
        <v>11.931195000000001</v>
      </c>
      <c r="KI63" s="37">
        <v>11.931195000000001</v>
      </c>
      <c r="KJ63" s="37">
        <v>11.931195000000001</v>
      </c>
      <c r="KK63" s="37">
        <v>11.931195000000001</v>
      </c>
      <c r="KL63" s="37">
        <v>11.931195000000001</v>
      </c>
      <c r="KM63" s="37">
        <v>11.931195000000001</v>
      </c>
      <c r="KN63" s="37">
        <v>11.931195000000001</v>
      </c>
      <c r="KO63" s="37">
        <v>11.931195000000001</v>
      </c>
      <c r="KP63" s="37">
        <v>11.931195000000001</v>
      </c>
      <c r="KQ63" s="37">
        <v>11.931195000000001</v>
      </c>
      <c r="KR63" s="37">
        <v>11.931195000000001</v>
      </c>
      <c r="KS63" s="37">
        <v>11.931195000000001</v>
      </c>
      <c r="KT63" s="37">
        <v>11.931195000000001</v>
      </c>
      <c r="KU63" s="37">
        <v>11.931195000000001</v>
      </c>
      <c r="KV63" s="37">
        <v>11.931195000000001</v>
      </c>
      <c r="KW63" s="37">
        <v>11.931195000000001</v>
      </c>
      <c r="KX63" s="37">
        <v>11.931195000000001</v>
      </c>
      <c r="KY63" s="37">
        <v>11.931195000000001</v>
      </c>
      <c r="KZ63" s="37">
        <v>11.931195000000001</v>
      </c>
      <c r="LA63" s="37">
        <v>11.931195000000001</v>
      </c>
      <c r="LB63" s="37">
        <v>11.931195000000001</v>
      </c>
      <c r="LC63" s="37">
        <v>11.931195000000001</v>
      </c>
      <c r="LD63" s="37">
        <v>11.931195000000001</v>
      </c>
      <c r="LE63" s="37">
        <v>11.931195000000001</v>
      </c>
      <c r="LF63" s="37">
        <v>11.931195000000001</v>
      </c>
      <c r="LG63" s="37">
        <v>11.931195000000001</v>
      </c>
      <c r="LH63" s="37">
        <v>11.931195000000001</v>
      </c>
      <c r="LI63" s="37">
        <v>11.931195000000001</v>
      </c>
      <c r="LJ63" s="37">
        <v>11.931195000000001</v>
      </c>
      <c r="LK63" s="37">
        <v>11.931195000000001</v>
      </c>
      <c r="LL63" s="37">
        <v>11.931195000000001</v>
      </c>
      <c r="LM63" s="37">
        <v>11.931195000000001</v>
      </c>
      <c r="LN63" s="37">
        <v>11.931195000000001</v>
      </c>
      <c r="LO63" s="37">
        <v>11.931195000000001</v>
      </c>
      <c r="LP63" s="37">
        <v>11.931195000000001</v>
      </c>
      <c r="LQ63" s="37">
        <v>11.931195000000001</v>
      </c>
      <c r="LR63" s="37">
        <v>11.931195000000001</v>
      </c>
      <c r="LS63" s="37">
        <v>11.931195000000001</v>
      </c>
      <c r="LT63" s="37">
        <v>11.931195000000001</v>
      </c>
      <c r="LU63" s="37">
        <v>11.931195000000001</v>
      </c>
      <c r="LV63" s="37">
        <v>11.931195000000001</v>
      </c>
      <c r="LW63" s="37">
        <v>11.931195000000001</v>
      </c>
      <c r="LX63" s="37">
        <v>11.931195000000001</v>
      </c>
      <c r="LY63" s="37">
        <v>11.931195000000001</v>
      </c>
      <c r="LZ63" s="37">
        <v>11.931195000000001</v>
      </c>
      <c r="MA63" s="37">
        <v>11.931195000000001</v>
      </c>
      <c r="MB63" s="37">
        <v>11.931195000000001</v>
      </c>
      <c r="MC63" s="37">
        <v>11.931195000000001</v>
      </c>
      <c r="MD63" s="37">
        <v>11.931195000000001</v>
      </c>
      <c r="ME63" s="37">
        <v>11.931195000000001</v>
      </c>
      <c r="MF63" s="37">
        <v>11.931195000000001</v>
      </c>
      <c r="MG63" s="37">
        <v>11.931195000000001</v>
      </c>
      <c r="MH63" s="37">
        <v>11.931195000000001</v>
      </c>
      <c r="MI63" s="37">
        <v>11.931195000000001</v>
      </c>
      <c r="MJ63" s="37">
        <v>11.931195000000001</v>
      </c>
      <c r="MK63" s="37">
        <v>11.931195000000001</v>
      </c>
      <c r="ML63" s="37">
        <v>11.931195000000001</v>
      </c>
      <c r="MM63" s="37">
        <v>11.931195000000001</v>
      </c>
      <c r="MN63" s="37">
        <v>11.931195000000001</v>
      </c>
      <c r="MO63" s="37">
        <v>11.931195000000001</v>
      </c>
      <c r="MP63" s="37">
        <v>11.931195000000001</v>
      </c>
      <c r="MQ63" s="37">
        <v>11.931195000000001</v>
      </c>
      <c r="MR63" s="37">
        <v>11.931195000000001</v>
      </c>
      <c r="MS63" s="37">
        <v>11.931195000000001</v>
      </c>
      <c r="MT63" s="37">
        <v>11.931195000000001</v>
      </c>
      <c r="MU63" s="37">
        <v>11.931195000000001</v>
      </c>
      <c r="MV63" s="37">
        <v>11.931195000000001</v>
      </c>
      <c r="MW63" s="37">
        <v>11.931195000000001</v>
      </c>
      <c r="MX63" s="37">
        <v>11.931195000000001</v>
      </c>
      <c r="MY63" s="37">
        <v>11.931195000000001</v>
      </c>
      <c r="MZ63" s="37">
        <v>11.931195000000001</v>
      </c>
      <c r="NA63" s="37">
        <v>11.931195000000001</v>
      </c>
      <c r="NB63" s="37">
        <v>11.931195000000001</v>
      </c>
      <c r="NC63" s="37">
        <v>11.931195000000001</v>
      </c>
      <c r="ND63" s="37">
        <v>11.931195000000001</v>
      </c>
      <c r="NE63" s="37">
        <v>11.931195000000001</v>
      </c>
      <c r="NF63" s="37">
        <v>11.931195000000001</v>
      </c>
      <c r="NG63" s="37">
        <v>11.931195000000001</v>
      </c>
      <c r="NH63" s="37">
        <v>11.931195000000001</v>
      </c>
      <c r="NI63" s="37">
        <v>11.931195000000001</v>
      </c>
      <c r="NJ63" s="37">
        <v>11.931195000000001</v>
      </c>
      <c r="NK63" s="37">
        <v>11.931195000000001</v>
      </c>
      <c r="NL63" s="37">
        <v>11.931195000000001</v>
      </c>
      <c r="NM63" s="37">
        <v>11.931195000000001</v>
      </c>
      <c r="NN63" s="37">
        <v>11.931195000000001</v>
      </c>
      <c r="NO63" s="37">
        <v>11.931195000000001</v>
      </c>
      <c r="NP63" s="37">
        <v>11.931195000000001</v>
      </c>
      <c r="NQ63" s="37">
        <v>11.931195000000001</v>
      </c>
      <c r="NR63" s="37">
        <v>11.931195000000001</v>
      </c>
      <c r="NS63" s="37">
        <v>11.931195000000001</v>
      </c>
      <c r="NT63" s="37">
        <v>11.931195000000001</v>
      </c>
      <c r="NU63" s="37">
        <v>11.931195000000001</v>
      </c>
      <c r="NV63" s="37">
        <v>12.852171999999999</v>
      </c>
      <c r="NW63" s="37" t="s">
        <v>668</v>
      </c>
      <c r="NX63" s="37" t="s">
        <v>668</v>
      </c>
      <c r="NY63" s="37" t="s">
        <v>668</v>
      </c>
      <c r="NZ63" s="37" t="s">
        <v>668</v>
      </c>
      <c r="OA63" s="37" t="s">
        <v>668</v>
      </c>
      <c r="OB63" s="37" t="s">
        <v>668</v>
      </c>
      <c r="OC63" s="37" t="s">
        <v>668</v>
      </c>
      <c r="OD63" s="37" t="s">
        <v>668</v>
      </c>
      <c r="OE63" s="37" t="s">
        <v>668</v>
      </c>
      <c r="OF63" s="37" t="s">
        <v>668</v>
      </c>
      <c r="OG63" s="37" t="s">
        <v>668</v>
      </c>
      <c r="OH63" s="37" t="s">
        <v>668</v>
      </c>
      <c r="OI63" s="37" t="s">
        <v>668</v>
      </c>
      <c r="OJ63" s="37" t="s">
        <v>668</v>
      </c>
      <c r="OK63" s="37" t="s">
        <v>668</v>
      </c>
      <c r="OL63" s="37" t="s">
        <v>668</v>
      </c>
      <c r="OM63" s="37" t="s">
        <v>668</v>
      </c>
      <c r="ON63" s="37" t="s">
        <v>668</v>
      </c>
      <c r="OO63" s="37" t="s">
        <v>668</v>
      </c>
      <c r="OP63" s="37" t="s">
        <v>668</v>
      </c>
      <c r="OQ63" s="37" t="s">
        <v>668</v>
      </c>
      <c r="OR63" s="37" t="s">
        <v>668</v>
      </c>
      <c r="OS63" s="37" t="s">
        <v>668</v>
      </c>
      <c r="OT63" s="37" t="s">
        <v>668</v>
      </c>
      <c r="OU63" s="37" t="s">
        <v>668</v>
      </c>
      <c r="OV63" s="37" t="s">
        <v>668</v>
      </c>
      <c r="OW63" s="37" t="s">
        <v>668</v>
      </c>
      <c r="OX63" s="37" t="s">
        <v>668</v>
      </c>
      <c r="OY63" s="37" t="s">
        <v>668</v>
      </c>
      <c r="OZ63" s="37" t="s">
        <v>668</v>
      </c>
      <c r="PA63" s="37" t="s">
        <v>668</v>
      </c>
      <c r="PB63" s="37" t="s">
        <v>668</v>
      </c>
      <c r="PC63" s="37" t="s">
        <v>668</v>
      </c>
      <c r="PD63" s="37" t="s">
        <v>668</v>
      </c>
      <c r="PE63" s="37" t="s">
        <v>668</v>
      </c>
      <c r="PF63" s="37" t="s">
        <v>668</v>
      </c>
      <c r="PG63" s="37" t="s">
        <v>668</v>
      </c>
      <c r="PH63" s="37" t="s">
        <v>668</v>
      </c>
      <c r="PI63" s="37" t="s">
        <v>668</v>
      </c>
      <c r="PJ63" s="37" t="s">
        <v>668</v>
      </c>
      <c r="PK63" s="37" t="s">
        <v>668</v>
      </c>
      <c r="PL63" s="37" t="s">
        <v>668</v>
      </c>
      <c r="PM63" s="37" t="s">
        <v>668</v>
      </c>
      <c r="PN63" s="37" t="s">
        <v>668</v>
      </c>
      <c r="PO63" s="37" t="s">
        <v>668</v>
      </c>
      <c r="PP63" s="37" t="s">
        <v>668</v>
      </c>
      <c r="PQ63" s="37" t="s">
        <v>668</v>
      </c>
      <c r="PR63" s="37" t="s">
        <v>668</v>
      </c>
      <c r="PS63" s="15" t="s">
        <v>668</v>
      </c>
      <c r="PT63" s="15" t="s">
        <v>668</v>
      </c>
      <c r="PU63" s="15" t="s">
        <v>668</v>
      </c>
      <c r="PV63" s="15" t="s">
        <v>668</v>
      </c>
      <c r="PW63" s="15" t="s">
        <v>668</v>
      </c>
      <c r="PX63" s="15" t="s">
        <v>668</v>
      </c>
      <c r="PY63" s="15" t="s">
        <v>668</v>
      </c>
      <c r="PZ63" s="15" t="s">
        <v>668</v>
      </c>
      <c r="QA63" s="15" t="s">
        <v>668</v>
      </c>
      <c r="QB63" s="15" t="s">
        <v>668</v>
      </c>
      <c r="QC63" s="15" t="s">
        <v>668</v>
      </c>
      <c r="QD63" s="15" t="s">
        <v>668</v>
      </c>
      <c r="QE63" s="15" t="s">
        <v>668</v>
      </c>
      <c r="QF63" s="15" t="s">
        <v>668</v>
      </c>
      <c r="QG63" s="15" t="s">
        <v>668</v>
      </c>
      <c r="QH63" s="15" t="s">
        <v>668</v>
      </c>
      <c r="QI63" s="15" t="s">
        <v>668</v>
      </c>
      <c r="QJ63" s="15" t="s">
        <v>668</v>
      </c>
      <c r="QK63" s="15" t="s">
        <v>668</v>
      </c>
      <c r="QL63" s="15" t="s">
        <v>668</v>
      </c>
      <c r="QM63" s="15" t="s">
        <v>668</v>
      </c>
      <c r="QN63" s="15" t="s">
        <v>668</v>
      </c>
      <c r="QO63" s="15" t="s">
        <v>668</v>
      </c>
      <c r="QP63" s="15" t="s">
        <v>668</v>
      </c>
      <c r="QQ63" s="15" t="s">
        <v>668</v>
      </c>
      <c r="QR63" s="15" t="s">
        <v>668</v>
      </c>
      <c r="QS63" s="15" t="s">
        <v>668</v>
      </c>
      <c r="QT63" s="15" t="s">
        <v>668</v>
      </c>
      <c r="QU63" s="15" t="s">
        <v>668</v>
      </c>
      <c r="QV63" s="15" t="s">
        <v>668</v>
      </c>
      <c r="QW63" s="15" t="s">
        <v>668</v>
      </c>
      <c r="QX63" s="15" t="s">
        <v>668</v>
      </c>
      <c r="QY63" s="15" t="s">
        <v>668</v>
      </c>
      <c r="QZ63" s="15" t="s">
        <v>668</v>
      </c>
      <c r="RA63" s="15" t="s">
        <v>668</v>
      </c>
      <c r="RB63" s="15" t="s">
        <v>668</v>
      </c>
      <c r="RC63" s="15" t="s">
        <v>668</v>
      </c>
      <c r="RD63" s="15" t="s">
        <v>668</v>
      </c>
      <c r="RE63" s="15" t="s">
        <v>668</v>
      </c>
      <c r="RF63" s="15" t="s">
        <v>668</v>
      </c>
      <c r="RG63" s="15" t="s">
        <v>668</v>
      </c>
      <c r="RH63" s="15" t="s">
        <v>668</v>
      </c>
      <c r="RI63" s="15" t="s">
        <v>668</v>
      </c>
      <c r="RJ63" s="15" t="s">
        <v>668</v>
      </c>
      <c r="RK63" s="15" t="s">
        <v>668</v>
      </c>
      <c r="RL63" s="15" t="s">
        <v>668</v>
      </c>
      <c r="RM63" s="15" t="s">
        <v>668</v>
      </c>
      <c r="RN63" s="15" t="s">
        <v>668</v>
      </c>
      <c r="RO63" s="15" t="s">
        <v>668</v>
      </c>
      <c r="RP63" s="15" t="s">
        <v>668</v>
      </c>
      <c r="RQ63" s="15" t="s">
        <v>668</v>
      </c>
      <c r="RR63" s="15" t="s">
        <v>668</v>
      </c>
      <c r="RS63" s="15" t="s">
        <v>668</v>
      </c>
      <c r="RT63" s="15" t="s">
        <v>668</v>
      </c>
      <c r="RU63" s="15" t="s">
        <v>668</v>
      </c>
      <c r="RV63" s="15" t="s">
        <v>668</v>
      </c>
      <c r="RW63" s="15" t="s">
        <v>668</v>
      </c>
      <c r="RX63" s="15" t="s">
        <v>668</v>
      </c>
      <c r="RY63" s="15" t="s">
        <v>668</v>
      </c>
      <c r="RZ63" s="15" t="s">
        <v>668</v>
      </c>
      <c r="SA63" s="15" t="s">
        <v>668</v>
      </c>
      <c r="SB63" s="15" t="s">
        <v>668</v>
      </c>
      <c r="SC63" s="15" t="s">
        <v>668</v>
      </c>
      <c r="SD63" s="15" t="s">
        <v>668</v>
      </c>
      <c r="SE63" s="15" t="s">
        <v>668</v>
      </c>
      <c r="SF63" s="15" t="s">
        <v>668</v>
      </c>
      <c r="SG63" s="15" t="s">
        <v>668</v>
      </c>
      <c r="SH63" s="15" t="s">
        <v>668</v>
      </c>
      <c r="SI63" s="15" t="s">
        <v>668</v>
      </c>
      <c r="SJ63" s="15" t="s">
        <v>668</v>
      </c>
      <c r="SK63" s="15" t="s">
        <v>668</v>
      </c>
      <c r="SL63" s="15" t="s">
        <v>668</v>
      </c>
      <c r="SM63" s="15" t="s">
        <v>668</v>
      </c>
      <c r="SN63" s="15" t="s">
        <v>668</v>
      </c>
    </row>
    <row r="64" spans="1:508" x14ac:dyDescent="0.2">
      <c r="A64" s="37">
        <v>62</v>
      </c>
      <c r="B64" s="37" t="s">
        <v>800</v>
      </c>
      <c r="C64" s="17">
        <f>+'Detalle Compras'!D64</f>
        <v>202508290100</v>
      </c>
      <c r="D64" s="55">
        <f t="shared" si="13"/>
        <v>7.8470000000000004</v>
      </c>
      <c r="E64" s="14">
        <f>+IF(B64="","",'Detalle Compras'!S64+0)</f>
        <v>45940</v>
      </c>
      <c r="F64" s="14">
        <f>+IF(B64="","",EOMONTH('Detalle Compras'!S64,G64)+10)</f>
        <v>54372</v>
      </c>
      <c r="G64" s="50">
        <f t="shared" si="14"/>
        <v>276</v>
      </c>
      <c r="H64" s="50">
        <f t="shared" si="15"/>
        <v>272</v>
      </c>
      <c r="AB64" s="37">
        <v>7.8470000000000004</v>
      </c>
      <c r="AC64" s="37">
        <v>7.8470000000000004</v>
      </c>
      <c r="AD64" s="37">
        <v>7.8470000000000004</v>
      </c>
      <c r="AE64" s="37">
        <v>7.8470000000000004</v>
      </c>
      <c r="AF64" s="37">
        <v>7.8470000000000004</v>
      </c>
      <c r="AG64" s="37">
        <v>7.8470000000000004</v>
      </c>
      <c r="AH64" s="37">
        <v>7.8470000000000004</v>
      </c>
      <c r="AI64" s="37">
        <v>7.8470000000000004</v>
      </c>
      <c r="AJ64" s="37">
        <v>7.8470000000000004</v>
      </c>
      <c r="AK64" s="37">
        <v>7.8470000000000004</v>
      </c>
      <c r="AL64" s="37">
        <v>7.8470000000000004</v>
      </c>
      <c r="AM64" s="37">
        <v>7.8470000000000004</v>
      </c>
      <c r="AN64" s="37">
        <v>7.8470000000000004</v>
      </c>
      <c r="AO64" s="37">
        <v>7.8470000000000004</v>
      </c>
      <c r="AP64" s="37">
        <v>7.8470000000000004</v>
      </c>
      <c r="AQ64" s="37">
        <v>7.8470000000000004</v>
      </c>
      <c r="AR64" s="37">
        <v>7.8470000000000004</v>
      </c>
      <c r="AS64" s="37">
        <v>7.8470000000000004</v>
      </c>
      <c r="AT64" s="37">
        <v>7.8470000000000004</v>
      </c>
      <c r="AU64" s="37">
        <v>7.8470000000000004</v>
      </c>
      <c r="AV64" s="37">
        <v>7.8470000000000004</v>
      </c>
      <c r="AW64" s="37">
        <v>7.8470000000000004</v>
      </c>
      <c r="AX64" s="37">
        <v>7.8470000000000004</v>
      </c>
      <c r="AY64" s="37">
        <v>7.8470000000000004</v>
      </c>
      <c r="AZ64" s="37">
        <v>7.8470000000000004</v>
      </c>
      <c r="BA64" s="37">
        <v>7.8470000000000004</v>
      </c>
      <c r="BB64" s="37">
        <v>7.8470000000000004</v>
      </c>
      <c r="BC64" s="37">
        <v>7.8470000000000004</v>
      </c>
      <c r="BD64" s="37">
        <v>7.8470000000000004</v>
      </c>
      <c r="BE64" s="37">
        <v>7.8470000000000004</v>
      </c>
      <c r="BF64" s="37">
        <v>7.8470000000000004</v>
      </c>
      <c r="BG64" s="37">
        <v>7.8470000000000004</v>
      </c>
      <c r="BH64" s="37">
        <v>7.8470000000000004</v>
      </c>
      <c r="BI64" s="37">
        <v>7.8470000000000004</v>
      </c>
      <c r="BJ64" s="37">
        <v>7.8470000000000004</v>
      </c>
      <c r="BK64" s="37">
        <v>7.8470000000000004</v>
      </c>
      <c r="BL64" s="37">
        <v>7.8470000000000004</v>
      </c>
      <c r="BM64" s="37">
        <v>7.8470000000000004</v>
      </c>
      <c r="BN64" s="37">
        <v>7.8470000000000004</v>
      </c>
      <c r="BO64" s="37">
        <v>7.8470000000000004</v>
      </c>
      <c r="BP64" s="37">
        <v>7.8470000000000004</v>
      </c>
      <c r="BQ64" s="37">
        <v>7.8470000000000004</v>
      </c>
      <c r="BR64" s="37">
        <v>7.8470000000000004</v>
      </c>
      <c r="BS64" s="37">
        <v>7.8470000000000004</v>
      </c>
      <c r="BT64" s="37">
        <v>7.8470000000000004</v>
      </c>
      <c r="BU64" s="37">
        <v>7.8470000000000004</v>
      </c>
      <c r="BV64" s="37">
        <v>7.8470000000000004</v>
      </c>
      <c r="BW64" s="37">
        <v>7.8470000000000004</v>
      </c>
      <c r="BX64" s="37">
        <v>7.8470000000000004</v>
      </c>
      <c r="BY64" s="37">
        <v>7.8470000000000004</v>
      </c>
      <c r="BZ64" s="37">
        <v>7.8470000000000004</v>
      </c>
      <c r="CA64" s="37">
        <v>7.8470000000000004</v>
      </c>
      <c r="CB64" s="37">
        <v>7.8470000000000004</v>
      </c>
      <c r="CC64" s="37">
        <v>7.8470000000000004</v>
      </c>
      <c r="CD64" s="37">
        <v>7.8470000000000004</v>
      </c>
      <c r="CE64" s="37">
        <v>7.8470000000000004</v>
      </c>
      <c r="CF64" s="37">
        <v>7.8470000000000004</v>
      </c>
      <c r="CG64" s="37">
        <v>7.8470000000000004</v>
      </c>
      <c r="CH64" s="37">
        <v>7.8470000000000004</v>
      </c>
      <c r="CI64" s="37">
        <v>7.8470000000000004</v>
      </c>
      <c r="CJ64" s="37">
        <v>7.8470000000000004</v>
      </c>
      <c r="CK64" s="37">
        <v>7.8470000000000004</v>
      </c>
      <c r="CL64" s="37">
        <v>7.8470000000000004</v>
      </c>
      <c r="CM64" s="37">
        <v>7.8470000000000004</v>
      </c>
      <c r="CN64" s="37">
        <v>7.8470000000000004</v>
      </c>
      <c r="CO64" s="37">
        <v>7.8470000000000004</v>
      </c>
      <c r="CP64" s="37">
        <v>7.8470000000000004</v>
      </c>
      <c r="CQ64" s="37">
        <v>7.8470000000000004</v>
      </c>
      <c r="CR64" s="37">
        <v>7.8470000000000004</v>
      </c>
      <c r="CS64" s="37">
        <v>7.8470000000000004</v>
      </c>
      <c r="CT64" s="37">
        <v>7.8470000000000004</v>
      </c>
      <c r="CU64" s="37">
        <v>7.8470000000000004</v>
      </c>
      <c r="CV64" s="37">
        <v>7.8470000000000004</v>
      </c>
      <c r="CW64" s="37">
        <v>7.8470000000000004</v>
      </c>
      <c r="CX64" s="37">
        <v>7.8470000000000004</v>
      </c>
      <c r="CY64" s="37">
        <v>7.8470000000000004</v>
      </c>
      <c r="CZ64" s="37">
        <v>7.8470000000000004</v>
      </c>
      <c r="DA64" s="37">
        <v>7.8470000000000004</v>
      </c>
      <c r="DB64" s="37">
        <v>7.8470000000000004</v>
      </c>
      <c r="DC64" s="37">
        <v>7.8470000000000004</v>
      </c>
      <c r="DD64" s="37">
        <v>7.8470000000000004</v>
      </c>
      <c r="DE64" s="37">
        <v>7.8470000000000004</v>
      </c>
      <c r="DF64" s="37">
        <v>7.8470000000000004</v>
      </c>
      <c r="DG64" s="37">
        <v>7.8470000000000004</v>
      </c>
      <c r="DH64" s="37">
        <v>7.8470000000000004</v>
      </c>
      <c r="DI64" s="37">
        <v>7.8470000000000004</v>
      </c>
      <c r="DJ64" s="37">
        <v>7.8470000000000004</v>
      </c>
      <c r="DK64" s="37">
        <v>7.8470000000000004</v>
      </c>
      <c r="DL64" s="37">
        <v>7.8470000000000004</v>
      </c>
      <c r="DM64" s="37">
        <v>7.8470000000000004</v>
      </c>
      <c r="DN64" s="37">
        <v>7.8470000000000004</v>
      </c>
      <c r="DO64" s="37">
        <v>7.8470000000000004</v>
      </c>
      <c r="DP64" s="37">
        <v>7.8470000000000004</v>
      </c>
      <c r="DQ64" s="37">
        <v>7.8470000000000004</v>
      </c>
      <c r="DR64" s="37">
        <v>7.8470000000000004</v>
      </c>
      <c r="DS64" s="37">
        <v>7.8470000000000004</v>
      </c>
      <c r="DT64" s="37">
        <v>7.8470000000000004</v>
      </c>
      <c r="DU64" s="37">
        <v>7.8470000000000004</v>
      </c>
      <c r="DV64" s="37">
        <v>7.8470000000000004</v>
      </c>
      <c r="DW64" s="37">
        <v>7.8470000000000004</v>
      </c>
      <c r="DX64" s="37">
        <v>7.8470000000000004</v>
      </c>
      <c r="DY64" s="37">
        <v>7.8470000000000004</v>
      </c>
      <c r="DZ64" s="37">
        <v>7.8470000000000004</v>
      </c>
      <c r="EA64" s="37">
        <v>7.8470000000000004</v>
      </c>
      <c r="EB64" s="37">
        <v>7.8470000000000004</v>
      </c>
      <c r="EC64" s="37">
        <v>7.8470000000000004</v>
      </c>
      <c r="ED64" s="37">
        <v>7.8470000000000004</v>
      </c>
      <c r="EE64" s="37">
        <v>7.8470000000000004</v>
      </c>
      <c r="EF64" s="37">
        <v>7.8470000000000004</v>
      </c>
      <c r="EG64" s="37">
        <v>7.8470000000000004</v>
      </c>
      <c r="EH64" s="37">
        <v>7.8470000000000004</v>
      </c>
      <c r="EI64" s="37">
        <v>7.8470000000000004</v>
      </c>
      <c r="EJ64" s="37">
        <v>7.8470000000000004</v>
      </c>
      <c r="EK64" s="37">
        <v>7.8470000000000004</v>
      </c>
      <c r="EL64" s="37">
        <v>7.8470000000000004</v>
      </c>
      <c r="EM64" s="37">
        <v>7.8470000000000004</v>
      </c>
      <c r="EN64" s="37">
        <v>7.8470000000000004</v>
      </c>
      <c r="EO64" s="37">
        <v>7.8470000000000004</v>
      </c>
      <c r="EP64" s="37">
        <v>7.8470000000000004</v>
      </c>
      <c r="EQ64" s="37">
        <v>7.8470000000000004</v>
      </c>
      <c r="ER64" s="37">
        <v>7.8470000000000004</v>
      </c>
      <c r="ES64" s="37">
        <v>7.8470000000000004</v>
      </c>
      <c r="ET64" s="37">
        <v>7.8470000000000004</v>
      </c>
      <c r="EU64" s="37">
        <v>7.8470000000000004</v>
      </c>
      <c r="EV64" s="37">
        <v>7.8470000000000004</v>
      </c>
      <c r="EW64" s="37">
        <v>7.8470000000000004</v>
      </c>
      <c r="EX64" s="37">
        <v>7.8470000000000004</v>
      </c>
      <c r="EY64" s="37">
        <v>7.8470000000000004</v>
      </c>
      <c r="EZ64" s="37">
        <v>7.8470000000000004</v>
      </c>
      <c r="FA64" s="37">
        <v>7.8470000000000004</v>
      </c>
      <c r="FB64" s="37">
        <v>7.8470000000000004</v>
      </c>
      <c r="FC64" s="37">
        <v>7.8470000000000004</v>
      </c>
      <c r="FD64" s="37">
        <v>7.8470000000000004</v>
      </c>
      <c r="FE64" s="37">
        <v>7.8470000000000004</v>
      </c>
      <c r="FF64" s="37">
        <v>7.8470000000000004</v>
      </c>
      <c r="FG64" s="37">
        <v>7.8470000000000004</v>
      </c>
      <c r="FH64" s="37">
        <v>7.8470000000000004</v>
      </c>
      <c r="FI64" s="37">
        <v>7.8470000000000004</v>
      </c>
      <c r="FJ64" s="37">
        <v>7.8470000000000004</v>
      </c>
      <c r="FK64" s="37">
        <v>7.8470000000000004</v>
      </c>
      <c r="FL64" s="37">
        <v>7.8470000000000004</v>
      </c>
      <c r="FM64" s="37">
        <v>7.8470000000000004</v>
      </c>
      <c r="FN64" s="37">
        <v>7.8470000000000004</v>
      </c>
      <c r="FO64" s="37">
        <v>7.8470000000000004</v>
      </c>
      <c r="FP64" s="37">
        <v>7.8470000000000004</v>
      </c>
      <c r="FQ64" s="37">
        <v>7.8470000000000004</v>
      </c>
      <c r="FR64" s="37">
        <v>7.8470000000000004</v>
      </c>
      <c r="FS64" s="37">
        <v>7.8470000000000004</v>
      </c>
      <c r="FT64" s="37">
        <v>7.8470000000000004</v>
      </c>
      <c r="FU64" s="37">
        <v>7.8470000000000004</v>
      </c>
      <c r="FV64" s="37">
        <v>7.8470000000000004</v>
      </c>
      <c r="FW64" s="37">
        <v>7.8470000000000004</v>
      </c>
      <c r="FX64" s="37">
        <v>7.8470000000000004</v>
      </c>
      <c r="FY64" s="37">
        <v>7.8470000000000004</v>
      </c>
      <c r="FZ64" s="37">
        <v>7.8470000000000004</v>
      </c>
      <c r="GA64" s="37">
        <v>7.8470000000000004</v>
      </c>
      <c r="GB64" s="37">
        <v>7.8470000000000004</v>
      </c>
      <c r="GC64" s="37">
        <v>7.8470000000000004</v>
      </c>
      <c r="GD64" s="37">
        <v>7.8470000000000004</v>
      </c>
      <c r="GE64" s="37">
        <v>7.8470000000000004</v>
      </c>
      <c r="GF64" s="37">
        <v>7.8470000000000004</v>
      </c>
      <c r="GG64" s="37">
        <v>7.8470000000000004</v>
      </c>
      <c r="GH64" s="37">
        <v>7.8470000000000004</v>
      </c>
      <c r="GI64" s="37">
        <v>7.8470000000000004</v>
      </c>
      <c r="GJ64" s="37">
        <v>7.8470000000000004</v>
      </c>
      <c r="GK64" s="37">
        <v>7.8470000000000004</v>
      </c>
      <c r="GL64" s="37">
        <v>7.8470000000000004</v>
      </c>
      <c r="GM64" s="37">
        <v>7.8470000000000004</v>
      </c>
      <c r="GN64" s="37">
        <v>7.8470000000000004</v>
      </c>
      <c r="GO64" s="37">
        <v>7.8470000000000004</v>
      </c>
      <c r="GP64" s="37">
        <v>7.8470000000000004</v>
      </c>
      <c r="GQ64" s="37">
        <v>7.8470000000000004</v>
      </c>
      <c r="GR64" s="37">
        <v>7.8470000000000004</v>
      </c>
      <c r="GS64" s="37">
        <v>7.8470000000000004</v>
      </c>
      <c r="GT64" s="37">
        <v>7.8470000000000004</v>
      </c>
      <c r="GU64" s="37">
        <v>7.8470000000000004</v>
      </c>
      <c r="GV64" s="37">
        <v>7.8470000000000004</v>
      </c>
      <c r="GW64" s="37">
        <v>7.8470000000000004</v>
      </c>
      <c r="GX64" s="37">
        <v>7.8470000000000004</v>
      </c>
      <c r="GY64" s="37">
        <v>7.8470000000000004</v>
      </c>
      <c r="GZ64" s="37">
        <v>7.8470000000000004</v>
      </c>
      <c r="HA64" s="37">
        <v>7.8470000000000004</v>
      </c>
      <c r="HB64" s="37">
        <v>7.8470000000000004</v>
      </c>
      <c r="HC64" s="37">
        <v>7.8470000000000004</v>
      </c>
      <c r="HD64" s="37">
        <v>7.8470000000000004</v>
      </c>
      <c r="HE64" s="37">
        <v>7.8470000000000004</v>
      </c>
      <c r="HF64" s="37">
        <v>7.8470000000000004</v>
      </c>
      <c r="HG64" s="37">
        <v>7.8470000000000004</v>
      </c>
      <c r="HH64" s="37">
        <v>7.8470000000000004</v>
      </c>
      <c r="HI64" s="37">
        <v>7.8470000000000004</v>
      </c>
      <c r="HJ64" s="37">
        <v>7.8470000000000004</v>
      </c>
      <c r="HK64" s="37">
        <v>7.8470000000000004</v>
      </c>
      <c r="HL64" s="37">
        <v>7.8470000000000004</v>
      </c>
      <c r="HM64" s="37">
        <v>7.8470000000000004</v>
      </c>
      <c r="HN64" s="37">
        <v>7.8470000000000004</v>
      </c>
      <c r="HO64" s="37">
        <v>7.8470000000000004</v>
      </c>
      <c r="HP64" s="37">
        <v>7.8470000000000004</v>
      </c>
      <c r="HQ64" s="37">
        <v>7.8470000000000004</v>
      </c>
      <c r="HR64" s="37">
        <v>7.8470000000000004</v>
      </c>
      <c r="HS64" s="37">
        <v>7.8470000000000004</v>
      </c>
      <c r="HT64" s="37">
        <v>7.8470000000000004</v>
      </c>
      <c r="HU64" s="37">
        <v>7.8470000000000004</v>
      </c>
      <c r="HV64" s="37">
        <v>7.8470000000000004</v>
      </c>
      <c r="HW64" s="37">
        <v>7.8470000000000004</v>
      </c>
      <c r="HX64" s="37">
        <v>7.8470000000000004</v>
      </c>
      <c r="HY64" s="37">
        <v>7.8470000000000004</v>
      </c>
      <c r="HZ64" s="37">
        <v>7.8470000000000004</v>
      </c>
      <c r="IA64" s="37">
        <v>7.8470000000000004</v>
      </c>
      <c r="IB64" s="37">
        <v>7.8470000000000004</v>
      </c>
      <c r="IC64" s="37">
        <v>7.8470000000000004</v>
      </c>
      <c r="ID64" s="37">
        <v>7.8470000000000004</v>
      </c>
      <c r="IE64" s="37">
        <v>7.8470000000000004</v>
      </c>
      <c r="IF64" s="37">
        <v>7.8470000000000004</v>
      </c>
      <c r="IG64" s="37">
        <v>7.8470000000000004</v>
      </c>
      <c r="IH64" s="37">
        <v>7.8470000000000004</v>
      </c>
      <c r="II64" s="37">
        <v>7.8470000000000004</v>
      </c>
      <c r="IJ64" s="37">
        <v>7.8470000000000004</v>
      </c>
      <c r="IK64" s="37">
        <v>7.8470000000000004</v>
      </c>
      <c r="IL64" s="37">
        <v>7.8470000000000004</v>
      </c>
      <c r="IM64" s="37">
        <v>7.8470000000000004</v>
      </c>
      <c r="IN64" s="37">
        <v>7.8470000000000004</v>
      </c>
      <c r="IO64" s="37">
        <v>7.8470000000000004</v>
      </c>
      <c r="IP64" s="37">
        <v>7.8470000000000004</v>
      </c>
      <c r="IQ64" s="37">
        <v>7.8470000000000004</v>
      </c>
      <c r="IR64" s="37">
        <v>7.8470000000000004</v>
      </c>
      <c r="IS64" s="37">
        <v>7.8470000000000004</v>
      </c>
      <c r="IT64" s="37">
        <v>7.8470000000000004</v>
      </c>
      <c r="IU64" s="37">
        <v>7.8470000000000004</v>
      </c>
      <c r="IV64" s="37">
        <v>7.8470000000000004</v>
      </c>
      <c r="IW64" s="37">
        <v>7.8470000000000004</v>
      </c>
      <c r="IX64" s="37">
        <v>7.8470000000000004</v>
      </c>
      <c r="IY64" s="37">
        <v>7.8470000000000004</v>
      </c>
      <c r="IZ64" s="37">
        <v>7.8470000000000004</v>
      </c>
      <c r="JA64" s="37">
        <v>7.8470000000000004</v>
      </c>
      <c r="JB64" s="37">
        <v>7.8470000000000004</v>
      </c>
      <c r="JC64" s="37">
        <v>7.8470000000000004</v>
      </c>
      <c r="JD64" s="37">
        <v>7.8470000000000004</v>
      </c>
      <c r="JE64" s="37">
        <v>7.8470000000000004</v>
      </c>
      <c r="JF64" s="37">
        <v>7.8470000000000004</v>
      </c>
      <c r="JG64" s="37">
        <v>7.8470000000000004</v>
      </c>
      <c r="JH64" s="37">
        <v>7.8470000000000004</v>
      </c>
      <c r="JI64" s="37">
        <v>7.8470000000000004</v>
      </c>
      <c r="JJ64" s="37">
        <v>7.8470000000000004</v>
      </c>
      <c r="JK64" s="37">
        <v>7.8470000000000004</v>
      </c>
      <c r="JL64" s="37">
        <v>7.8470000000000004</v>
      </c>
      <c r="JM64" s="37">
        <v>7.8470000000000004</v>
      </c>
      <c r="JN64" s="37">
        <v>7.8470000000000004</v>
      </c>
      <c r="JO64" s="37">
        <v>7.8470000000000004</v>
      </c>
      <c r="JP64" s="37">
        <v>7.8470000000000004</v>
      </c>
      <c r="JQ64" s="37">
        <v>7.8470000000000004</v>
      </c>
      <c r="JR64" s="37">
        <v>7.8470000000000004</v>
      </c>
      <c r="JS64" s="37">
        <v>7.8470000000000004</v>
      </c>
      <c r="JT64" s="37">
        <v>7.8470000000000004</v>
      </c>
      <c r="JU64" s="37">
        <v>7.8470000000000004</v>
      </c>
      <c r="JV64" s="37">
        <v>7.8470000000000004</v>
      </c>
      <c r="JW64" s="37">
        <v>7.8470000000000004</v>
      </c>
      <c r="JX64" s="37">
        <v>7.8470000000000004</v>
      </c>
      <c r="JY64" s="37">
        <v>7.8470000000000004</v>
      </c>
      <c r="JZ64" s="37">
        <v>7.8470000000000004</v>
      </c>
      <c r="KA64" s="37">
        <v>7.8470000000000004</v>
      </c>
      <c r="KB64" s="37">
        <v>7.8470000000000004</v>
      </c>
      <c r="KC64" s="37">
        <v>7.8470000000000004</v>
      </c>
      <c r="KD64" s="37">
        <v>7.8470000000000004</v>
      </c>
      <c r="KE64" s="37">
        <v>7.8470000000000004</v>
      </c>
      <c r="KF64" s="37">
        <v>7.8470000000000004</v>
      </c>
      <c r="KG64" s="37">
        <v>7.8470000000000004</v>
      </c>
      <c r="KH64" s="37">
        <v>7.8470000000000004</v>
      </c>
      <c r="KI64" s="37">
        <v>7.8470000000000004</v>
      </c>
      <c r="KJ64" s="37">
        <v>7.8470000000000004</v>
      </c>
      <c r="KK64" s="37">
        <v>7.8470000000000004</v>
      </c>
      <c r="KL64" s="37">
        <v>7.8470000000000004</v>
      </c>
      <c r="KM64" s="37">
        <v>7.8470000000000004</v>
      </c>
      <c r="KN64" s="37">
        <v>7.8470000000000004</v>
      </c>
      <c r="KO64" s="37">
        <v>7.8470000000000004</v>
      </c>
      <c r="KP64" s="37">
        <v>7.8470000000000004</v>
      </c>
      <c r="KQ64" s="37">
        <v>7.9555600000000002</v>
      </c>
      <c r="KR64" s="37" t="s">
        <v>668</v>
      </c>
      <c r="KS64" s="37" t="s">
        <v>668</v>
      </c>
      <c r="KT64" s="37" t="s">
        <v>668</v>
      </c>
      <c r="KU64" s="37" t="s">
        <v>668</v>
      </c>
      <c r="KV64" s="37" t="s">
        <v>668</v>
      </c>
      <c r="KW64" s="37" t="s">
        <v>668</v>
      </c>
      <c r="KX64" s="37" t="s">
        <v>668</v>
      </c>
      <c r="KY64" s="37" t="s">
        <v>668</v>
      </c>
      <c r="KZ64" s="37" t="s">
        <v>668</v>
      </c>
      <c r="LA64" s="37" t="s">
        <v>668</v>
      </c>
      <c r="LB64" s="37" t="s">
        <v>668</v>
      </c>
      <c r="LC64" s="37" t="s">
        <v>668</v>
      </c>
      <c r="LD64" s="37" t="s">
        <v>668</v>
      </c>
      <c r="LE64" s="37" t="s">
        <v>668</v>
      </c>
      <c r="LF64" s="37" t="s">
        <v>668</v>
      </c>
      <c r="LG64" s="37" t="s">
        <v>668</v>
      </c>
      <c r="LH64" s="37" t="s">
        <v>668</v>
      </c>
      <c r="LI64" s="37" t="s">
        <v>668</v>
      </c>
      <c r="LJ64" s="37" t="s">
        <v>668</v>
      </c>
      <c r="LK64" s="37" t="s">
        <v>668</v>
      </c>
      <c r="LL64" s="37" t="s">
        <v>668</v>
      </c>
      <c r="LM64" s="37" t="s">
        <v>668</v>
      </c>
      <c r="LN64" s="37" t="s">
        <v>668</v>
      </c>
      <c r="LO64" s="37" t="s">
        <v>668</v>
      </c>
      <c r="LP64" s="37" t="s">
        <v>668</v>
      </c>
      <c r="LQ64" s="37" t="s">
        <v>668</v>
      </c>
      <c r="LR64" s="37" t="s">
        <v>668</v>
      </c>
      <c r="LS64" s="37" t="s">
        <v>668</v>
      </c>
      <c r="LT64" s="37" t="s">
        <v>668</v>
      </c>
      <c r="LU64" s="37" t="s">
        <v>668</v>
      </c>
      <c r="LV64" s="37" t="s">
        <v>668</v>
      </c>
      <c r="LW64" s="37" t="s">
        <v>668</v>
      </c>
      <c r="LX64" s="37" t="s">
        <v>668</v>
      </c>
      <c r="LY64" s="37" t="s">
        <v>668</v>
      </c>
      <c r="LZ64" s="37" t="s">
        <v>668</v>
      </c>
      <c r="MA64" s="37" t="s">
        <v>668</v>
      </c>
      <c r="MB64" s="37" t="s">
        <v>668</v>
      </c>
      <c r="MC64" s="37" t="s">
        <v>668</v>
      </c>
      <c r="MD64" s="37" t="s">
        <v>668</v>
      </c>
      <c r="ME64" s="37" t="s">
        <v>668</v>
      </c>
      <c r="MF64" s="37" t="s">
        <v>668</v>
      </c>
      <c r="MG64" s="37" t="s">
        <v>668</v>
      </c>
      <c r="MH64" s="37" t="s">
        <v>668</v>
      </c>
      <c r="MI64" s="37" t="s">
        <v>668</v>
      </c>
      <c r="MJ64" s="37" t="s">
        <v>668</v>
      </c>
      <c r="MK64" s="37" t="s">
        <v>668</v>
      </c>
      <c r="ML64" s="37" t="s">
        <v>668</v>
      </c>
      <c r="MM64" s="37" t="s">
        <v>668</v>
      </c>
      <c r="MN64" s="37" t="s">
        <v>668</v>
      </c>
      <c r="MO64" s="37" t="s">
        <v>668</v>
      </c>
      <c r="MP64" s="37" t="s">
        <v>668</v>
      </c>
      <c r="MQ64" s="37" t="s">
        <v>668</v>
      </c>
      <c r="MR64" s="37" t="s">
        <v>668</v>
      </c>
      <c r="MS64" s="37" t="s">
        <v>668</v>
      </c>
      <c r="MT64" s="37" t="s">
        <v>668</v>
      </c>
      <c r="MU64" s="37" t="s">
        <v>668</v>
      </c>
      <c r="MV64" s="37" t="s">
        <v>668</v>
      </c>
      <c r="MW64" s="37" t="s">
        <v>668</v>
      </c>
      <c r="MX64" s="37" t="s">
        <v>668</v>
      </c>
      <c r="MY64" s="37" t="s">
        <v>668</v>
      </c>
      <c r="MZ64" s="37" t="s">
        <v>668</v>
      </c>
      <c r="NA64" s="37" t="s">
        <v>668</v>
      </c>
      <c r="NB64" s="37" t="s">
        <v>668</v>
      </c>
      <c r="NC64" s="37" t="s">
        <v>668</v>
      </c>
      <c r="ND64" s="37" t="s">
        <v>668</v>
      </c>
      <c r="NE64" s="37" t="s">
        <v>668</v>
      </c>
      <c r="NF64" s="37" t="s">
        <v>668</v>
      </c>
      <c r="NG64" s="37" t="s">
        <v>668</v>
      </c>
      <c r="NH64" s="37" t="s">
        <v>668</v>
      </c>
      <c r="NI64" s="37" t="s">
        <v>668</v>
      </c>
      <c r="NJ64" s="37" t="s">
        <v>668</v>
      </c>
      <c r="NK64" s="37" t="s">
        <v>668</v>
      </c>
      <c r="NL64" s="37" t="s">
        <v>668</v>
      </c>
      <c r="NM64" s="37" t="s">
        <v>668</v>
      </c>
      <c r="NN64" s="37" t="s">
        <v>668</v>
      </c>
      <c r="NO64" s="37" t="s">
        <v>668</v>
      </c>
      <c r="NP64" s="37" t="s">
        <v>668</v>
      </c>
      <c r="NQ64" s="37" t="s">
        <v>668</v>
      </c>
      <c r="NR64" s="37" t="s">
        <v>668</v>
      </c>
      <c r="NS64" s="37" t="s">
        <v>668</v>
      </c>
      <c r="NT64" s="37" t="s">
        <v>668</v>
      </c>
      <c r="NU64" s="37" t="s">
        <v>668</v>
      </c>
      <c r="NV64" s="37" t="s">
        <v>668</v>
      </c>
      <c r="NW64" s="37" t="s">
        <v>668</v>
      </c>
      <c r="NX64" s="37" t="s">
        <v>668</v>
      </c>
      <c r="NY64" s="37" t="s">
        <v>668</v>
      </c>
      <c r="NZ64" s="37" t="s">
        <v>668</v>
      </c>
      <c r="OA64" s="37" t="s">
        <v>668</v>
      </c>
      <c r="OB64" s="37" t="s">
        <v>668</v>
      </c>
      <c r="OC64" s="37" t="s">
        <v>668</v>
      </c>
      <c r="OD64" s="37" t="s">
        <v>668</v>
      </c>
      <c r="OE64" s="37" t="s">
        <v>668</v>
      </c>
      <c r="OF64" s="37" t="s">
        <v>668</v>
      </c>
      <c r="OG64" s="37" t="s">
        <v>668</v>
      </c>
      <c r="OH64" s="37" t="s">
        <v>668</v>
      </c>
      <c r="OI64" s="37" t="s">
        <v>668</v>
      </c>
      <c r="OJ64" s="37" t="s">
        <v>668</v>
      </c>
      <c r="OK64" s="37" t="s">
        <v>668</v>
      </c>
      <c r="OL64" s="37" t="s">
        <v>668</v>
      </c>
      <c r="OM64" s="37" t="s">
        <v>668</v>
      </c>
      <c r="ON64" s="37" t="s">
        <v>668</v>
      </c>
      <c r="OO64" s="37" t="s">
        <v>668</v>
      </c>
      <c r="OP64" s="37" t="s">
        <v>668</v>
      </c>
      <c r="OQ64" s="37" t="s">
        <v>668</v>
      </c>
      <c r="OR64" s="37" t="s">
        <v>668</v>
      </c>
      <c r="OS64" s="37" t="s">
        <v>668</v>
      </c>
      <c r="OT64" s="37" t="s">
        <v>668</v>
      </c>
      <c r="OU64" s="37" t="s">
        <v>668</v>
      </c>
      <c r="OV64" s="37" t="s">
        <v>668</v>
      </c>
      <c r="OW64" s="37" t="s">
        <v>668</v>
      </c>
      <c r="OX64" s="37" t="s">
        <v>668</v>
      </c>
      <c r="OY64" s="37" t="s">
        <v>668</v>
      </c>
      <c r="OZ64" s="37" t="s">
        <v>668</v>
      </c>
      <c r="PA64" s="37" t="s">
        <v>668</v>
      </c>
      <c r="PB64" s="37" t="s">
        <v>668</v>
      </c>
      <c r="PC64" s="37" t="s">
        <v>668</v>
      </c>
      <c r="PD64" s="37" t="s">
        <v>668</v>
      </c>
      <c r="PE64" s="37" t="s">
        <v>668</v>
      </c>
      <c r="PF64" s="37" t="s">
        <v>668</v>
      </c>
      <c r="PG64" s="37" t="s">
        <v>668</v>
      </c>
      <c r="PH64" s="37" t="s">
        <v>668</v>
      </c>
      <c r="PI64" s="37" t="s">
        <v>668</v>
      </c>
      <c r="PJ64" s="37" t="s">
        <v>668</v>
      </c>
      <c r="PK64" s="37" t="s">
        <v>668</v>
      </c>
      <c r="PL64" s="37" t="s">
        <v>668</v>
      </c>
      <c r="PM64" s="37" t="s">
        <v>668</v>
      </c>
      <c r="PN64" s="37" t="s">
        <v>668</v>
      </c>
      <c r="PO64" s="37" t="s">
        <v>668</v>
      </c>
      <c r="PP64" s="37" t="s">
        <v>668</v>
      </c>
      <c r="PQ64" s="37" t="s">
        <v>668</v>
      </c>
      <c r="PR64" s="37" t="s">
        <v>668</v>
      </c>
      <c r="PS64" s="15" t="s">
        <v>668</v>
      </c>
      <c r="PT64" s="15" t="s">
        <v>668</v>
      </c>
      <c r="PU64" s="15" t="s">
        <v>668</v>
      </c>
      <c r="PV64" s="15" t="s">
        <v>668</v>
      </c>
      <c r="PW64" s="15" t="s">
        <v>668</v>
      </c>
      <c r="PX64" s="15" t="s">
        <v>668</v>
      </c>
      <c r="PY64" s="15" t="s">
        <v>668</v>
      </c>
      <c r="PZ64" s="15" t="s">
        <v>668</v>
      </c>
      <c r="QA64" s="15" t="s">
        <v>668</v>
      </c>
      <c r="QB64" s="15" t="s">
        <v>668</v>
      </c>
      <c r="QC64" s="15" t="s">
        <v>668</v>
      </c>
      <c r="QD64" s="15" t="s">
        <v>668</v>
      </c>
      <c r="QE64" s="15" t="s">
        <v>668</v>
      </c>
      <c r="QF64" s="15" t="s">
        <v>668</v>
      </c>
      <c r="QG64" s="15" t="s">
        <v>668</v>
      </c>
      <c r="QH64" s="15" t="s">
        <v>668</v>
      </c>
      <c r="QI64" s="15" t="s">
        <v>668</v>
      </c>
      <c r="QJ64" s="15" t="s">
        <v>668</v>
      </c>
      <c r="QK64" s="15" t="s">
        <v>668</v>
      </c>
      <c r="QL64" s="15" t="s">
        <v>668</v>
      </c>
      <c r="QM64" s="15" t="s">
        <v>668</v>
      </c>
      <c r="QN64" s="15" t="s">
        <v>668</v>
      </c>
      <c r="QO64" s="15" t="s">
        <v>668</v>
      </c>
      <c r="QP64" s="15" t="s">
        <v>668</v>
      </c>
      <c r="QQ64" s="15" t="s">
        <v>668</v>
      </c>
      <c r="QR64" s="15" t="s">
        <v>668</v>
      </c>
      <c r="QS64" s="15" t="s">
        <v>668</v>
      </c>
      <c r="QT64" s="15" t="s">
        <v>668</v>
      </c>
      <c r="QU64" s="15" t="s">
        <v>668</v>
      </c>
      <c r="QV64" s="15" t="s">
        <v>668</v>
      </c>
      <c r="QW64" s="15" t="s">
        <v>668</v>
      </c>
      <c r="QX64" s="15" t="s">
        <v>668</v>
      </c>
      <c r="QY64" s="15" t="s">
        <v>668</v>
      </c>
      <c r="QZ64" s="15" t="s">
        <v>668</v>
      </c>
      <c r="RA64" s="15" t="s">
        <v>668</v>
      </c>
      <c r="RB64" s="15" t="s">
        <v>668</v>
      </c>
      <c r="RC64" s="15" t="s">
        <v>668</v>
      </c>
      <c r="RD64" s="15" t="s">
        <v>668</v>
      </c>
      <c r="RE64" s="15" t="s">
        <v>668</v>
      </c>
      <c r="RF64" s="15" t="s">
        <v>668</v>
      </c>
      <c r="RG64" s="15" t="s">
        <v>668</v>
      </c>
      <c r="RH64" s="15" t="s">
        <v>668</v>
      </c>
      <c r="RI64" s="15" t="s">
        <v>668</v>
      </c>
      <c r="RJ64" s="15" t="s">
        <v>668</v>
      </c>
      <c r="RK64" s="15" t="s">
        <v>668</v>
      </c>
      <c r="RL64" s="15" t="s">
        <v>668</v>
      </c>
      <c r="RM64" s="15" t="s">
        <v>668</v>
      </c>
      <c r="RN64" s="15" t="s">
        <v>668</v>
      </c>
      <c r="RO64" s="15" t="s">
        <v>668</v>
      </c>
      <c r="RP64" s="15" t="s">
        <v>668</v>
      </c>
      <c r="RQ64" s="15" t="s">
        <v>668</v>
      </c>
      <c r="RR64" s="15" t="s">
        <v>668</v>
      </c>
      <c r="RS64" s="15" t="s">
        <v>668</v>
      </c>
      <c r="RT64" s="15" t="s">
        <v>668</v>
      </c>
      <c r="RU64" s="15" t="s">
        <v>668</v>
      </c>
      <c r="RV64" s="15" t="s">
        <v>668</v>
      </c>
      <c r="RW64" s="15" t="s">
        <v>668</v>
      </c>
      <c r="RX64" s="15" t="s">
        <v>668</v>
      </c>
      <c r="RY64" s="15" t="s">
        <v>668</v>
      </c>
      <c r="RZ64" s="15" t="s">
        <v>668</v>
      </c>
      <c r="SA64" s="15" t="s">
        <v>668</v>
      </c>
      <c r="SB64" s="15" t="s">
        <v>668</v>
      </c>
      <c r="SC64" s="15" t="s">
        <v>668</v>
      </c>
      <c r="SD64" s="15" t="s">
        <v>668</v>
      </c>
      <c r="SE64" s="15" t="s">
        <v>668</v>
      </c>
      <c r="SF64" s="15" t="s">
        <v>668</v>
      </c>
      <c r="SG64" s="15" t="s">
        <v>668</v>
      </c>
      <c r="SH64" s="15" t="s">
        <v>668</v>
      </c>
      <c r="SI64" s="15" t="s">
        <v>668</v>
      </c>
      <c r="SJ64" s="15" t="s">
        <v>668</v>
      </c>
      <c r="SK64" s="15" t="s">
        <v>668</v>
      </c>
      <c r="SL64" s="15" t="s">
        <v>668</v>
      </c>
      <c r="SM64" s="15" t="s">
        <v>668</v>
      </c>
    </row>
    <row r="65" spans="1:509" x14ac:dyDescent="0.2">
      <c r="A65" s="37">
        <v>63</v>
      </c>
      <c r="B65" s="37" t="s">
        <v>801</v>
      </c>
      <c r="C65" s="17">
        <f>+'Detalle Compras'!D65</f>
        <v>202508290101</v>
      </c>
      <c r="D65" s="55">
        <f t="shared" si="13"/>
        <v>11.594799999999999</v>
      </c>
      <c r="E65" s="14">
        <f>+IF(B65="","",'Detalle Compras'!S65+0)</f>
        <v>45940</v>
      </c>
      <c r="F65" s="14">
        <f>+IF(B65="","",EOMONTH('Detalle Compras'!S65,G65)+10)</f>
        <v>60581</v>
      </c>
      <c r="G65" s="50">
        <f t="shared" si="14"/>
        <v>480</v>
      </c>
      <c r="H65" s="50">
        <f t="shared" si="15"/>
        <v>476</v>
      </c>
      <c r="AB65" s="37">
        <v>11.594799999999999</v>
      </c>
      <c r="AC65" s="37">
        <v>11.594799999999999</v>
      </c>
      <c r="AD65" s="37">
        <v>11.594799999999999</v>
      </c>
      <c r="AE65" s="37">
        <v>11.594799999999999</v>
      </c>
      <c r="AF65" s="37">
        <v>11.594799999999999</v>
      </c>
      <c r="AG65" s="37">
        <v>11.594799999999999</v>
      </c>
      <c r="AH65" s="37">
        <v>11.594799999999999</v>
      </c>
      <c r="AI65" s="37">
        <v>11.594799999999999</v>
      </c>
      <c r="AJ65" s="37">
        <v>11.594799999999999</v>
      </c>
      <c r="AK65" s="37">
        <v>11.594799999999999</v>
      </c>
      <c r="AL65" s="37">
        <v>11.594799999999999</v>
      </c>
      <c r="AM65" s="37">
        <v>11.594799999999999</v>
      </c>
      <c r="AN65" s="37">
        <v>11.594799999999999</v>
      </c>
      <c r="AO65" s="37">
        <v>11.594799999999999</v>
      </c>
      <c r="AP65" s="37">
        <v>11.594799999999999</v>
      </c>
      <c r="AQ65" s="37">
        <v>11.594799999999999</v>
      </c>
      <c r="AR65" s="37">
        <v>11.594799999999999</v>
      </c>
      <c r="AS65" s="37">
        <v>11.594799999999999</v>
      </c>
      <c r="AT65" s="37">
        <v>11.594799999999999</v>
      </c>
      <c r="AU65" s="37">
        <v>11.594799999999999</v>
      </c>
      <c r="AV65" s="37">
        <v>11.594799999999999</v>
      </c>
      <c r="AW65" s="37">
        <v>11.594799999999999</v>
      </c>
      <c r="AX65" s="37">
        <v>11.594799999999999</v>
      </c>
      <c r="AY65" s="37">
        <v>11.594799999999999</v>
      </c>
      <c r="AZ65" s="37">
        <v>11.594799999999999</v>
      </c>
      <c r="BA65" s="37">
        <v>11.594799999999999</v>
      </c>
      <c r="BB65" s="37">
        <v>11.594799999999999</v>
      </c>
      <c r="BC65" s="37">
        <v>11.594799999999999</v>
      </c>
      <c r="BD65" s="37">
        <v>11.594799999999999</v>
      </c>
      <c r="BE65" s="37">
        <v>11.594799999999999</v>
      </c>
      <c r="BF65" s="37">
        <v>11.594799999999999</v>
      </c>
      <c r="BG65" s="37">
        <v>11.594799999999999</v>
      </c>
      <c r="BH65" s="37">
        <v>11.594799999999999</v>
      </c>
      <c r="BI65" s="37">
        <v>11.594799999999999</v>
      </c>
      <c r="BJ65" s="37">
        <v>11.594799999999999</v>
      </c>
      <c r="BK65" s="37">
        <v>11.594799999999999</v>
      </c>
      <c r="BL65" s="37">
        <v>11.594799999999999</v>
      </c>
      <c r="BM65" s="37">
        <v>11.594799999999999</v>
      </c>
      <c r="BN65" s="37">
        <v>11.594799999999999</v>
      </c>
      <c r="BO65" s="37">
        <v>11.594799999999999</v>
      </c>
      <c r="BP65" s="37">
        <v>11.594799999999999</v>
      </c>
      <c r="BQ65" s="37">
        <v>11.594799999999999</v>
      </c>
      <c r="BR65" s="37">
        <v>11.594799999999999</v>
      </c>
      <c r="BS65" s="37">
        <v>11.594799999999999</v>
      </c>
      <c r="BT65" s="37">
        <v>11.594799999999999</v>
      </c>
      <c r="BU65" s="37">
        <v>11.594799999999999</v>
      </c>
      <c r="BV65" s="37">
        <v>11.594799999999999</v>
      </c>
      <c r="BW65" s="37">
        <v>11.594799999999999</v>
      </c>
      <c r="BX65" s="37">
        <v>11.594799999999999</v>
      </c>
      <c r="BY65" s="37">
        <v>11.594799999999999</v>
      </c>
      <c r="BZ65" s="37">
        <v>11.594799999999999</v>
      </c>
      <c r="CA65" s="37">
        <v>11.594799999999999</v>
      </c>
      <c r="CB65" s="37">
        <v>11.594799999999999</v>
      </c>
      <c r="CC65" s="37">
        <v>11.594799999999999</v>
      </c>
      <c r="CD65" s="37">
        <v>11.594799999999999</v>
      </c>
      <c r="CE65" s="37">
        <v>11.594799999999999</v>
      </c>
      <c r="CF65" s="37">
        <v>11.594799999999999</v>
      </c>
      <c r="CG65" s="37">
        <v>11.594799999999999</v>
      </c>
      <c r="CH65" s="37">
        <v>11.594799999999999</v>
      </c>
      <c r="CI65" s="37">
        <v>11.594799999999999</v>
      </c>
      <c r="CJ65" s="37">
        <v>11.594799999999999</v>
      </c>
      <c r="CK65" s="37">
        <v>11.594799999999999</v>
      </c>
      <c r="CL65" s="37">
        <v>11.594799999999999</v>
      </c>
      <c r="CM65" s="37">
        <v>11.594799999999999</v>
      </c>
      <c r="CN65" s="37">
        <v>11.594799999999999</v>
      </c>
      <c r="CO65" s="37">
        <v>11.594799999999999</v>
      </c>
      <c r="CP65" s="37">
        <v>11.594799999999999</v>
      </c>
      <c r="CQ65" s="37">
        <v>11.594799999999999</v>
      </c>
      <c r="CR65" s="37">
        <v>11.594799999999999</v>
      </c>
      <c r="CS65" s="37">
        <v>11.594799999999999</v>
      </c>
      <c r="CT65" s="37">
        <v>11.594799999999999</v>
      </c>
      <c r="CU65" s="37">
        <v>11.594799999999999</v>
      </c>
      <c r="CV65" s="37">
        <v>11.594799999999999</v>
      </c>
      <c r="CW65" s="37">
        <v>11.594799999999999</v>
      </c>
      <c r="CX65" s="37">
        <v>11.594799999999999</v>
      </c>
      <c r="CY65" s="37">
        <v>11.594799999999999</v>
      </c>
      <c r="CZ65" s="37">
        <v>11.594799999999999</v>
      </c>
      <c r="DA65" s="37">
        <v>11.594799999999999</v>
      </c>
      <c r="DB65" s="37">
        <v>11.594799999999999</v>
      </c>
      <c r="DC65" s="37">
        <v>11.594799999999999</v>
      </c>
      <c r="DD65" s="37">
        <v>11.594799999999999</v>
      </c>
      <c r="DE65" s="37">
        <v>11.594799999999999</v>
      </c>
      <c r="DF65" s="37">
        <v>11.594799999999999</v>
      </c>
      <c r="DG65" s="37">
        <v>11.594799999999999</v>
      </c>
      <c r="DH65" s="37">
        <v>11.594799999999999</v>
      </c>
      <c r="DI65" s="37">
        <v>11.594799999999999</v>
      </c>
      <c r="DJ65" s="37">
        <v>11.594799999999999</v>
      </c>
      <c r="DK65" s="37">
        <v>11.594799999999999</v>
      </c>
      <c r="DL65" s="37">
        <v>11.594799999999999</v>
      </c>
      <c r="DM65" s="37">
        <v>11.594799999999999</v>
      </c>
      <c r="DN65" s="37">
        <v>11.594799999999999</v>
      </c>
      <c r="DO65" s="37">
        <v>11.594799999999999</v>
      </c>
      <c r="DP65" s="37">
        <v>11.594799999999999</v>
      </c>
      <c r="DQ65" s="37">
        <v>11.594799999999999</v>
      </c>
      <c r="DR65" s="37">
        <v>11.594799999999999</v>
      </c>
      <c r="DS65" s="37">
        <v>11.594799999999999</v>
      </c>
      <c r="DT65" s="37">
        <v>11.594799999999999</v>
      </c>
      <c r="DU65" s="37">
        <v>11.594799999999999</v>
      </c>
      <c r="DV65" s="37">
        <v>11.594799999999999</v>
      </c>
      <c r="DW65" s="37">
        <v>11.594799999999999</v>
      </c>
      <c r="DX65" s="37">
        <v>11.594799999999999</v>
      </c>
      <c r="DY65" s="37">
        <v>11.594799999999999</v>
      </c>
      <c r="DZ65" s="37">
        <v>11.594799999999999</v>
      </c>
      <c r="EA65" s="37">
        <v>11.594799999999999</v>
      </c>
      <c r="EB65" s="37">
        <v>11.594799999999999</v>
      </c>
      <c r="EC65" s="37">
        <v>11.594799999999999</v>
      </c>
      <c r="ED65" s="37">
        <v>11.594799999999999</v>
      </c>
      <c r="EE65" s="37">
        <v>11.594799999999999</v>
      </c>
      <c r="EF65" s="37">
        <v>11.594799999999999</v>
      </c>
      <c r="EG65" s="37">
        <v>11.594799999999999</v>
      </c>
      <c r="EH65" s="37">
        <v>11.594799999999999</v>
      </c>
      <c r="EI65" s="37">
        <v>11.594799999999999</v>
      </c>
      <c r="EJ65" s="37">
        <v>11.594799999999999</v>
      </c>
      <c r="EK65" s="37">
        <v>11.594799999999999</v>
      </c>
      <c r="EL65" s="37">
        <v>11.594799999999999</v>
      </c>
      <c r="EM65" s="37">
        <v>11.594799999999999</v>
      </c>
      <c r="EN65" s="37">
        <v>11.594799999999999</v>
      </c>
      <c r="EO65" s="37">
        <v>11.594799999999999</v>
      </c>
      <c r="EP65" s="37">
        <v>11.594799999999999</v>
      </c>
      <c r="EQ65" s="37">
        <v>11.594799999999999</v>
      </c>
      <c r="ER65" s="37">
        <v>11.594799999999999</v>
      </c>
      <c r="ES65" s="37">
        <v>11.594799999999999</v>
      </c>
      <c r="ET65" s="37">
        <v>11.594799999999999</v>
      </c>
      <c r="EU65" s="37">
        <v>11.594799999999999</v>
      </c>
      <c r="EV65" s="37">
        <v>11.594799999999999</v>
      </c>
      <c r="EW65" s="37">
        <v>11.594799999999999</v>
      </c>
      <c r="EX65" s="37">
        <v>11.594799999999999</v>
      </c>
      <c r="EY65" s="37">
        <v>11.594799999999999</v>
      </c>
      <c r="EZ65" s="37">
        <v>11.594799999999999</v>
      </c>
      <c r="FA65" s="37">
        <v>11.594799999999999</v>
      </c>
      <c r="FB65" s="37">
        <v>11.594799999999999</v>
      </c>
      <c r="FC65" s="37">
        <v>11.594799999999999</v>
      </c>
      <c r="FD65" s="37">
        <v>11.594799999999999</v>
      </c>
      <c r="FE65" s="37">
        <v>11.594799999999999</v>
      </c>
      <c r="FF65" s="37">
        <v>11.594799999999999</v>
      </c>
      <c r="FG65" s="37">
        <v>11.594799999999999</v>
      </c>
      <c r="FH65" s="37">
        <v>11.594799999999999</v>
      </c>
      <c r="FI65" s="37">
        <v>11.594799999999999</v>
      </c>
      <c r="FJ65" s="37">
        <v>11.594799999999999</v>
      </c>
      <c r="FK65" s="37">
        <v>11.594799999999999</v>
      </c>
      <c r="FL65" s="37">
        <v>11.594799999999999</v>
      </c>
      <c r="FM65" s="37">
        <v>11.594799999999999</v>
      </c>
      <c r="FN65" s="37">
        <v>11.594799999999999</v>
      </c>
      <c r="FO65" s="37">
        <v>11.594799999999999</v>
      </c>
      <c r="FP65" s="37">
        <v>11.594799999999999</v>
      </c>
      <c r="FQ65" s="37">
        <v>11.594799999999999</v>
      </c>
      <c r="FR65" s="37">
        <v>11.594799999999999</v>
      </c>
      <c r="FS65" s="37">
        <v>11.594799999999999</v>
      </c>
      <c r="FT65" s="37">
        <v>11.594799999999999</v>
      </c>
      <c r="FU65" s="37">
        <v>11.594799999999999</v>
      </c>
      <c r="FV65" s="37">
        <v>11.594799999999999</v>
      </c>
      <c r="FW65" s="37">
        <v>11.594799999999999</v>
      </c>
      <c r="FX65" s="37">
        <v>11.594799999999999</v>
      </c>
      <c r="FY65" s="37">
        <v>11.594799999999999</v>
      </c>
      <c r="FZ65" s="37">
        <v>11.594799999999999</v>
      </c>
      <c r="GA65" s="37">
        <v>11.594799999999999</v>
      </c>
      <c r="GB65" s="37">
        <v>11.594799999999999</v>
      </c>
      <c r="GC65" s="37">
        <v>11.594799999999999</v>
      </c>
      <c r="GD65" s="37">
        <v>11.594799999999999</v>
      </c>
      <c r="GE65" s="37">
        <v>11.594799999999999</v>
      </c>
      <c r="GF65" s="37">
        <v>11.594799999999999</v>
      </c>
      <c r="GG65" s="37">
        <v>11.594799999999999</v>
      </c>
      <c r="GH65" s="37">
        <v>11.594799999999999</v>
      </c>
      <c r="GI65" s="37">
        <v>11.594799999999999</v>
      </c>
      <c r="GJ65" s="37">
        <v>11.594799999999999</v>
      </c>
      <c r="GK65" s="37">
        <v>11.594799999999999</v>
      </c>
      <c r="GL65" s="37">
        <v>11.594799999999999</v>
      </c>
      <c r="GM65" s="37">
        <v>11.594799999999999</v>
      </c>
      <c r="GN65" s="37">
        <v>11.594799999999999</v>
      </c>
      <c r="GO65" s="37">
        <v>11.594799999999999</v>
      </c>
      <c r="GP65" s="37">
        <v>11.594799999999999</v>
      </c>
      <c r="GQ65" s="37">
        <v>11.594799999999999</v>
      </c>
      <c r="GR65" s="37">
        <v>11.594799999999999</v>
      </c>
      <c r="GS65" s="37">
        <v>11.594799999999999</v>
      </c>
      <c r="GT65" s="37">
        <v>11.594799999999999</v>
      </c>
      <c r="GU65" s="37">
        <v>11.594799999999999</v>
      </c>
      <c r="GV65" s="37">
        <v>11.594799999999999</v>
      </c>
      <c r="GW65" s="37">
        <v>11.594799999999999</v>
      </c>
      <c r="GX65" s="37">
        <v>11.594799999999999</v>
      </c>
      <c r="GY65" s="37">
        <v>11.594799999999999</v>
      </c>
      <c r="GZ65" s="37">
        <v>11.594799999999999</v>
      </c>
      <c r="HA65" s="37">
        <v>11.594799999999999</v>
      </c>
      <c r="HB65" s="37">
        <v>11.594799999999999</v>
      </c>
      <c r="HC65" s="37">
        <v>11.594799999999999</v>
      </c>
      <c r="HD65" s="37">
        <v>11.594799999999999</v>
      </c>
      <c r="HE65" s="37">
        <v>11.594799999999999</v>
      </c>
      <c r="HF65" s="37">
        <v>11.594799999999999</v>
      </c>
      <c r="HG65" s="37">
        <v>11.594799999999999</v>
      </c>
      <c r="HH65" s="37">
        <v>11.594799999999999</v>
      </c>
      <c r="HI65" s="37">
        <v>11.594799999999999</v>
      </c>
      <c r="HJ65" s="37">
        <v>11.594799999999999</v>
      </c>
      <c r="HK65" s="37">
        <v>11.594799999999999</v>
      </c>
      <c r="HL65" s="37">
        <v>11.594799999999999</v>
      </c>
      <c r="HM65" s="37">
        <v>11.594799999999999</v>
      </c>
      <c r="HN65" s="37">
        <v>11.594799999999999</v>
      </c>
      <c r="HO65" s="37">
        <v>11.594799999999999</v>
      </c>
      <c r="HP65" s="37">
        <v>11.594799999999999</v>
      </c>
      <c r="HQ65" s="37">
        <v>11.594799999999999</v>
      </c>
      <c r="HR65" s="37">
        <v>11.594799999999999</v>
      </c>
      <c r="HS65" s="37">
        <v>11.594799999999999</v>
      </c>
      <c r="HT65" s="37">
        <v>11.594799999999999</v>
      </c>
      <c r="HU65" s="37">
        <v>11.594799999999999</v>
      </c>
      <c r="HV65" s="37">
        <v>11.594799999999999</v>
      </c>
      <c r="HW65" s="37">
        <v>11.594799999999999</v>
      </c>
      <c r="HX65" s="37">
        <v>11.594799999999999</v>
      </c>
      <c r="HY65" s="37">
        <v>11.594799999999999</v>
      </c>
      <c r="HZ65" s="37">
        <v>11.594799999999999</v>
      </c>
      <c r="IA65" s="37">
        <v>11.594799999999999</v>
      </c>
      <c r="IB65" s="37">
        <v>11.594799999999999</v>
      </c>
      <c r="IC65" s="37">
        <v>11.594799999999999</v>
      </c>
      <c r="ID65" s="37">
        <v>11.594799999999999</v>
      </c>
      <c r="IE65" s="37">
        <v>11.594799999999999</v>
      </c>
      <c r="IF65" s="37">
        <v>11.594799999999999</v>
      </c>
      <c r="IG65" s="37">
        <v>11.594799999999999</v>
      </c>
      <c r="IH65" s="37">
        <v>11.594799999999999</v>
      </c>
      <c r="II65" s="37">
        <v>11.594799999999999</v>
      </c>
      <c r="IJ65" s="37">
        <v>11.594799999999999</v>
      </c>
      <c r="IK65" s="37">
        <v>11.594799999999999</v>
      </c>
      <c r="IL65" s="37">
        <v>11.594799999999999</v>
      </c>
      <c r="IM65" s="37">
        <v>11.594799999999999</v>
      </c>
      <c r="IN65" s="37">
        <v>11.594799999999999</v>
      </c>
      <c r="IO65" s="37">
        <v>11.594799999999999</v>
      </c>
      <c r="IP65" s="37">
        <v>11.594799999999999</v>
      </c>
      <c r="IQ65" s="37">
        <v>11.594799999999999</v>
      </c>
      <c r="IR65" s="37">
        <v>11.594799999999999</v>
      </c>
      <c r="IS65" s="37">
        <v>11.594799999999999</v>
      </c>
      <c r="IT65" s="37">
        <v>11.594799999999999</v>
      </c>
      <c r="IU65" s="37">
        <v>11.594799999999999</v>
      </c>
      <c r="IV65" s="37">
        <v>11.594799999999999</v>
      </c>
      <c r="IW65" s="37">
        <v>11.594799999999999</v>
      </c>
      <c r="IX65" s="37">
        <v>11.594799999999999</v>
      </c>
      <c r="IY65" s="37">
        <v>11.594799999999999</v>
      </c>
      <c r="IZ65" s="37">
        <v>11.594799999999999</v>
      </c>
      <c r="JA65" s="37">
        <v>11.594799999999999</v>
      </c>
      <c r="JB65" s="37">
        <v>11.594799999999999</v>
      </c>
      <c r="JC65" s="37">
        <v>11.594799999999999</v>
      </c>
      <c r="JD65" s="37">
        <v>11.594799999999999</v>
      </c>
      <c r="JE65" s="37">
        <v>11.594799999999999</v>
      </c>
      <c r="JF65" s="37">
        <v>11.594799999999999</v>
      </c>
      <c r="JG65" s="37">
        <v>11.594799999999999</v>
      </c>
      <c r="JH65" s="37">
        <v>11.594799999999999</v>
      </c>
      <c r="JI65" s="37">
        <v>11.594799999999999</v>
      </c>
      <c r="JJ65" s="37">
        <v>11.594799999999999</v>
      </c>
      <c r="JK65" s="37">
        <v>11.594799999999999</v>
      </c>
      <c r="JL65" s="37">
        <v>11.594799999999999</v>
      </c>
      <c r="JM65" s="37">
        <v>11.594799999999999</v>
      </c>
      <c r="JN65" s="37">
        <v>11.594799999999999</v>
      </c>
      <c r="JO65" s="37">
        <v>11.594799999999999</v>
      </c>
      <c r="JP65" s="37">
        <v>11.594799999999999</v>
      </c>
      <c r="JQ65" s="37">
        <v>11.594799999999999</v>
      </c>
      <c r="JR65" s="37">
        <v>11.594799999999999</v>
      </c>
      <c r="JS65" s="37">
        <v>11.594799999999999</v>
      </c>
      <c r="JT65" s="37">
        <v>11.594799999999999</v>
      </c>
      <c r="JU65" s="37">
        <v>11.594799999999999</v>
      </c>
      <c r="JV65" s="37">
        <v>11.594799999999999</v>
      </c>
      <c r="JW65" s="37">
        <v>11.594799999999999</v>
      </c>
      <c r="JX65" s="37">
        <v>11.594799999999999</v>
      </c>
      <c r="JY65" s="37">
        <v>11.594799999999999</v>
      </c>
      <c r="JZ65" s="37">
        <v>11.594799999999999</v>
      </c>
      <c r="KA65" s="37">
        <v>11.594799999999999</v>
      </c>
      <c r="KB65" s="37">
        <v>11.594799999999999</v>
      </c>
      <c r="KC65" s="37">
        <v>11.594799999999999</v>
      </c>
      <c r="KD65" s="37">
        <v>11.594799999999999</v>
      </c>
      <c r="KE65" s="37">
        <v>11.594799999999999</v>
      </c>
      <c r="KF65" s="37">
        <v>11.594799999999999</v>
      </c>
      <c r="KG65" s="37">
        <v>11.594799999999999</v>
      </c>
      <c r="KH65" s="37">
        <v>11.594799999999999</v>
      </c>
      <c r="KI65" s="37">
        <v>11.594799999999999</v>
      </c>
      <c r="KJ65" s="37">
        <v>11.594799999999999</v>
      </c>
      <c r="KK65" s="37">
        <v>11.594799999999999</v>
      </c>
      <c r="KL65" s="37">
        <v>11.594799999999999</v>
      </c>
      <c r="KM65" s="37">
        <v>11.594799999999999</v>
      </c>
      <c r="KN65" s="37">
        <v>11.594799999999999</v>
      </c>
      <c r="KO65" s="37">
        <v>11.594799999999999</v>
      </c>
      <c r="KP65" s="37">
        <v>11.594799999999999</v>
      </c>
      <c r="KQ65" s="37">
        <v>11.594799999999999</v>
      </c>
      <c r="KR65" s="37">
        <v>11.594799999999999</v>
      </c>
      <c r="KS65" s="37">
        <v>11.594799999999999</v>
      </c>
      <c r="KT65" s="37">
        <v>11.594799999999999</v>
      </c>
      <c r="KU65" s="37">
        <v>11.594799999999999</v>
      </c>
      <c r="KV65" s="37">
        <v>11.594799999999999</v>
      </c>
      <c r="KW65" s="37">
        <v>11.594799999999999</v>
      </c>
      <c r="KX65" s="37">
        <v>11.594799999999999</v>
      </c>
      <c r="KY65" s="37">
        <v>11.594799999999999</v>
      </c>
      <c r="KZ65" s="37">
        <v>11.594799999999999</v>
      </c>
      <c r="LA65" s="37">
        <v>11.594799999999999</v>
      </c>
      <c r="LB65" s="37">
        <v>11.594799999999999</v>
      </c>
      <c r="LC65" s="37">
        <v>11.594799999999999</v>
      </c>
      <c r="LD65" s="37">
        <v>11.594799999999999</v>
      </c>
      <c r="LE65" s="37">
        <v>11.594799999999999</v>
      </c>
      <c r="LF65" s="37">
        <v>11.594799999999999</v>
      </c>
      <c r="LG65" s="37">
        <v>11.594799999999999</v>
      </c>
      <c r="LH65" s="37">
        <v>11.594799999999999</v>
      </c>
      <c r="LI65" s="37">
        <v>11.594799999999999</v>
      </c>
      <c r="LJ65" s="37">
        <v>11.594799999999999</v>
      </c>
      <c r="LK65" s="37">
        <v>11.594799999999999</v>
      </c>
      <c r="LL65" s="37">
        <v>11.594799999999999</v>
      </c>
      <c r="LM65" s="37">
        <v>11.594799999999999</v>
      </c>
      <c r="LN65" s="37">
        <v>11.594799999999999</v>
      </c>
      <c r="LO65" s="37">
        <v>11.594799999999999</v>
      </c>
      <c r="LP65" s="37">
        <v>11.594799999999999</v>
      </c>
      <c r="LQ65" s="37">
        <v>11.594799999999999</v>
      </c>
      <c r="LR65" s="37">
        <v>11.594799999999999</v>
      </c>
      <c r="LS65" s="37">
        <v>11.594799999999999</v>
      </c>
      <c r="LT65" s="37">
        <v>11.594799999999999</v>
      </c>
      <c r="LU65" s="37">
        <v>11.594799999999999</v>
      </c>
      <c r="LV65" s="37">
        <v>11.594799999999999</v>
      </c>
      <c r="LW65" s="37">
        <v>11.594799999999999</v>
      </c>
      <c r="LX65" s="37">
        <v>11.594799999999999</v>
      </c>
      <c r="LY65" s="37">
        <v>11.594799999999999</v>
      </c>
      <c r="LZ65" s="37">
        <v>11.594799999999999</v>
      </c>
      <c r="MA65" s="37">
        <v>11.594799999999999</v>
      </c>
      <c r="MB65" s="37">
        <v>11.594799999999999</v>
      </c>
      <c r="MC65" s="37">
        <v>11.594799999999999</v>
      </c>
      <c r="MD65" s="37">
        <v>11.594799999999999</v>
      </c>
      <c r="ME65" s="37">
        <v>11.594799999999999</v>
      </c>
      <c r="MF65" s="37">
        <v>11.594799999999999</v>
      </c>
      <c r="MG65" s="37">
        <v>11.594799999999999</v>
      </c>
      <c r="MH65" s="37">
        <v>11.594799999999999</v>
      </c>
      <c r="MI65" s="37">
        <v>11.594799999999999</v>
      </c>
      <c r="MJ65" s="37">
        <v>11.594799999999999</v>
      </c>
      <c r="MK65" s="37">
        <v>11.594799999999999</v>
      </c>
      <c r="ML65" s="37">
        <v>11.594799999999999</v>
      </c>
      <c r="MM65" s="37">
        <v>11.594799999999999</v>
      </c>
      <c r="MN65" s="37">
        <v>11.594799999999999</v>
      </c>
      <c r="MO65" s="37">
        <v>11.594799999999999</v>
      </c>
      <c r="MP65" s="37">
        <v>11.594799999999999</v>
      </c>
      <c r="MQ65" s="37">
        <v>11.594799999999999</v>
      </c>
      <c r="MR65" s="37">
        <v>11.594799999999999</v>
      </c>
      <c r="MS65" s="37">
        <v>11.594799999999999</v>
      </c>
      <c r="MT65" s="37">
        <v>11.594799999999999</v>
      </c>
      <c r="MU65" s="37">
        <v>11.594799999999999</v>
      </c>
      <c r="MV65" s="37">
        <v>11.594799999999999</v>
      </c>
      <c r="MW65" s="37">
        <v>11.594799999999999</v>
      </c>
      <c r="MX65" s="37">
        <v>11.594799999999999</v>
      </c>
      <c r="MY65" s="37">
        <v>11.594799999999999</v>
      </c>
      <c r="MZ65" s="37">
        <v>11.594799999999999</v>
      </c>
      <c r="NA65" s="37">
        <v>11.594799999999999</v>
      </c>
      <c r="NB65" s="37">
        <v>11.594799999999999</v>
      </c>
      <c r="NC65" s="37">
        <v>11.594799999999999</v>
      </c>
      <c r="ND65" s="37">
        <v>11.594799999999999</v>
      </c>
      <c r="NE65" s="37">
        <v>11.594799999999999</v>
      </c>
      <c r="NF65" s="37">
        <v>11.594799999999999</v>
      </c>
      <c r="NG65" s="37">
        <v>11.594799999999999</v>
      </c>
      <c r="NH65" s="37">
        <v>11.594799999999999</v>
      </c>
      <c r="NI65" s="37">
        <v>11.594799999999999</v>
      </c>
      <c r="NJ65" s="37">
        <v>11.594799999999999</v>
      </c>
      <c r="NK65" s="37">
        <v>11.594799999999999</v>
      </c>
      <c r="NL65" s="37">
        <v>11.594799999999999</v>
      </c>
      <c r="NM65" s="37">
        <v>11.594799999999999</v>
      </c>
      <c r="NN65" s="37">
        <v>11.594799999999999</v>
      </c>
      <c r="NO65" s="37">
        <v>11.594799999999999</v>
      </c>
      <c r="NP65" s="37">
        <v>11.594799999999999</v>
      </c>
      <c r="NQ65" s="37">
        <v>11.594799999999999</v>
      </c>
      <c r="NR65" s="37">
        <v>11.594799999999999</v>
      </c>
      <c r="NS65" s="37">
        <v>11.594799999999999</v>
      </c>
      <c r="NT65" s="37">
        <v>11.594799999999999</v>
      </c>
      <c r="NU65" s="37">
        <v>11.594799999999999</v>
      </c>
      <c r="NV65" s="37">
        <v>11.594799999999999</v>
      </c>
      <c r="NW65" s="37">
        <v>11.594799999999999</v>
      </c>
      <c r="NX65" s="37">
        <v>11.594799999999999</v>
      </c>
      <c r="NY65" s="37">
        <v>11.594799999999999</v>
      </c>
      <c r="NZ65" s="37">
        <v>11.594799999999999</v>
      </c>
      <c r="OA65" s="37">
        <v>11.594799999999999</v>
      </c>
      <c r="OB65" s="37">
        <v>11.594799999999999</v>
      </c>
      <c r="OC65" s="37">
        <v>11.594799999999999</v>
      </c>
      <c r="OD65" s="37">
        <v>11.594799999999999</v>
      </c>
      <c r="OE65" s="37">
        <v>11.594799999999999</v>
      </c>
      <c r="OF65" s="37">
        <v>11.594799999999999</v>
      </c>
      <c r="OG65" s="37">
        <v>11.594799999999999</v>
      </c>
      <c r="OH65" s="37">
        <v>11.594799999999999</v>
      </c>
      <c r="OI65" s="37">
        <v>11.594799999999999</v>
      </c>
      <c r="OJ65" s="37">
        <v>11.594799999999999</v>
      </c>
      <c r="OK65" s="37">
        <v>11.594799999999999</v>
      </c>
      <c r="OL65" s="37">
        <v>11.594799999999999</v>
      </c>
      <c r="OM65" s="37">
        <v>11.594799999999999</v>
      </c>
      <c r="ON65" s="37">
        <v>11.594799999999999</v>
      </c>
      <c r="OO65" s="37">
        <v>11.594799999999999</v>
      </c>
      <c r="OP65" s="37">
        <v>11.594799999999999</v>
      </c>
      <c r="OQ65" s="37">
        <v>11.594799999999999</v>
      </c>
      <c r="OR65" s="37">
        <v>11.594799999999999</v>
      </c>
      <c r="OS65" s="37">
        <v>11.594799999999999</v>
      </c>
      <c r="OT65" s="37">
        <v>11.594799999999999</v>
      </c>
      <c r="OU65" s="37">
        <v>11.594799999999999</v>
      </c>
      <c r="OV65" s="37">
        <v>11.594799999999999</v>
      </c>
      <c r="OW65" s="37">
        <v>11.594799999999999</v>
      </c>
      <c r="OX65" s="37">
        <v>11.594799999999999</v>
      </c>
      <c r="OY65" s="37">
        <v>11.594799999999999</v>
      </c>
      <c r="OZ65" s="37">
        <v>11.594799999999999</v>
      </c>
      <c r="PA65" s="37">
        <v>11.594799999999999</v>
      </c>
      <c r="PB65" s="37">
        <v>11.594799999999999</v>
      </c>
      <c r="PC65" s="37">
        <v>11.594799999999999</v>
      </c>
      <c r="PD65" s="37">
        <v>11.594799999999999</v>
      </c>
      <c r="PE65" s="37">
        <v>11.594799999999999</v>
      </c>
      <c r="PF65" s="37">
        <v>11.594799999999999</v>
      </c>
      <c r="PG65" s="37">
        <v>11.594799999999999</v>
      </c>
      <c r="PH65" s="37">
        <v>11.594799999999999</v>
      </c>
      <c r="PI65" s="37">
        <v>11.594799999999999</v>
      </c>
      <c r="PJ65" s="37">
        <v>11.594799999999999</v>
      </c>
      <c r="PK65" s="37">
        <v>11.594799999999999</v>
      </c>
      <c r="PL65" s="37">
        <v>11.594799999999999</v>
      </c>
      <c r="PM65" s="37">
        <v>11.594799999999999</v>
      </c>
      <c r="PN65" s="37">
        <v>11.594799999999999</v>
      </c>
      <c r="PO65" s="37">
        <v>11.594799999999999</v>
      </c>
      <c r="PP65" s="37">
        <v>11.594799999999999</v>
      </c>
      <c r="PQ65" s="37">
        <v>11.594799999999999</v>
      </c>
      <c r="PR65" s="37">
        <v>11.594799999999999</v>
      </c>
      <c r="PS65" s="15">
        <v>11.594799999999999</v>
      </c>
      <c r="PT65" s="15">
        <v>11.594799999999999</v>
      </c>
      <c r="PU65" s="15">
        <v>11.594799999999999</v>
      </c>
      <c r="PV65" s="15">
        <v>11.594799999999999</v>
      </c>
      <c r="PW65" s="15">
        <v>11.594799999999999</v>
      </c>
      <c r="PX65" s="15">
        <v>11.594799999999999</v>
      </c>
      <c r="PY65" s="15">
        <v>11.594799999999999</v>
      </c>
      <c r="PZ65" s="15">
        <v>11.594799999999999</v>
      </c>
      <c r="QA65" s="15">
        <v>11.594799999999999</v>
      </c>
      <c r="QB65" s="15">
        <v>11.594799999999999</v>
      </c>
      <c r="QC65" s="15">
        <v>11.594799999999999</v>
      </c>
      <c r="QD65" s="15">
        <v>11.594799999999999</v>
      </c>
      <c r="QE65" s="15">
        <v>11.594799999999999</v>
      </c>
      <c r="QF65" s="15">
        <v>11.594799999999999</v>
      </c>
      <c r="QG65" s="15">
        <v>11.594799999999999</v>
      </c>
      <c r="QH65" s="15">
        <v>11.594799999999999</v>
      </c>
      <c r="QI65" s="15">
        <v>11.594799999999999</v>
      </c>
      <c r="QJ65" s="15">
        <v>11.594799999999999</v>
      </c>
      <c r="QK65" s="15">
        <v>11.594799999999999</v>
      </c>
      <c r="QL65" s="15">
        <v>11.594799999999999</v>
      </c>
      <c r="QM65" s="15">
        <v>11.594799999999999</v>
      </c>
      <c r="QN65" s="15">
        <v>11.594799999999999</v>
      </c>
      <c r="QO65" s="15">
        <v>11.594799999999999</v>
      </c>
      <c r="QP65" s="15">
        <v>11.594799999999999</v>
      </c>
      <c r="QQ65" s="15">
        <v>11.594799999999999</v>
      </c>
      <c r="QR65" s="15">
        <v>11.594799999999999</v>
      </c>
      <c r="QS65" s="15">
        <v>11.594799999999999</v>
      </c>
      <c r="QT65" s="15">
        <v>11.594799999999999</v>
      </c>
      <c r="QU65" s="15">
        <v>11.594799999999999</v>
      </c>
      <c r="QV65" s="15">
        <v>11.594799999999999</v>
      </c>
      <c r="QW65" s="15">
        <v>11.594799999999999</v>
      </c>
      <c r="QX65" s="15">
        <v>11.594799999999999</v>
      </c>
      <c r="QY65" s="15">
        <v>11.594799999999999</v>
      </c>
      <c r="QZ65" s="15">
        <v>11.594799999999999</v>
      </c>
      <c r="RA65" s="15">
        <v>11.594799999999999</v>
      </c>
      <c r="RB65" s="15">
        <v>11.594799999999999</v>
      </c>
      <c r="RC65" s="15">
        <v>11.594799999999999</v>
      </c>
      <c r="RD65" s="15">
        <v>11.594799999999999</v>
      </c>
      <c r="RE65" s="15">
        <v>11.594799999999999</v>
      </c>
      <c r="RF65" s="15">
        <v>11.594799999999999</v>
      </c>
      <c r="RG65" s="15">
        <v>11.594799999999999</v>
      </c>
      <c r="RH65" s="15">
        <v>11.594799999999999</v>
      </c>
      <c r="RI65" s="15">
        <v>11.594799999999999</v>
      </c>
      <c r="RJ65" s="15">
        <v>11.594799999999999</v>
      </c>
      <c r="RK65" s="15">
        <v>11.594799999999999</v>
      </c>
      <c r="RL65" s="15">
        <v>11.594799999999999</v>
      </c>
      <c r="RM65" s="15">
        <v>11.594799999999999</v>
      </c>
      <c r="RN65" s="15">
        <v>11.594799999999999</v>
      </c>
      <c r="RO65" s="15">
        <v>11.594799999999999</v>
      </c>
      <c r="RP65" s="15">
        <v>11.594799999999999</v>
      </c>
      <c r="RQ65" s="15">
        <v>11.594799999999999</v>
      </c>
      <c r="RR65" s="15">
        <v>11.594799999999999</v>
      </c>
      <c r="RS65" s="15">
        <v>11.594799999999999</v>
      </c>
      <c r="RT65" s="15">
        <v>11.594799999999999</v>
      </c>
      <c r="RU65" s="15">
        <v>11.594799999999999</v>
      </c>
      <c r="RV65" s="15">
        <v>11.594799999999999</v>
      </c>
      <c r="RW65" s="15">
        <v>11.594799999999999</v>
      </c>
      <c r="RX65" s="15">
        <v>11.594799999999999</v>
      </c>
      <c r="RY65" s="15">
        <v>11.594799999999999</v>
      </c>
      <c r="RZ65" s="15">
        <v>11.594799999999999</v>
      </c>
      <c r="SA65" s="15">
        <v>11.594799999999999</v>
      </c>
      <c r="SB65" s="15">
        <v>11.594799999999999</v>
      </c>
      <c r="SC65" s="15">
        <v>11.594799999999999</v>
      </c>
      <c r="SD65" s="15">
        <v>11.594799999999999</v>
      </c>
      <c r="SE65" s="15">
        <v>11.594799999999999</v>
      </c>
      <c r="SF65" s="15">
        <v>11.594799999999999</v>
      </c>
      <c r="SG65" s="15">
        <v>11.594799999999999</v>
      </c>
      <c r="SH65" s="15">
        <v>11.594799999999999</v>
      </c>
      <c r="SI65" s="15">
        <v>11.594799999999999</v>
      </c>
      <c r="SJ65" s="15">
        <v>11.594799999999999</v>
      </c>
      <c r="SK65" s="15">
        <v>11.594799999999999</v>
      </c>
      <c r="SL65" s="15">
        <v>11.594799999999999</v>
      </c>
      <c r="SM65" s="15">
        <v>11.553800000000001</v>
      </c>
    </row>
    <row r="66" spans="1:509" x14ac:dyDescent="0.2">
      <c r="A66" s="37">
        <v>64</v>
      </c>
      <c r="B66" s="37" t="s">
        <v>802</v>
      </c>
      <c r="C66" s="17">
        <f>+'Detalle Compras'!D66</f>
        <v>202508290102</v>
      </c>
      <c r="D66" s="55">
        <f t="shared" si="13"/>
        <v>11.745139999999999</v>
      </c>
      <c r="E66" s="14">
        <f>+IF(B66="","",'Detalle Compras'!S66+0)</f>
        <v>45940</v>
      </c>
      <c r="F66" s="14">
        <f>+IF(B66="","",EOMONTH('Detalle Compras'!S66,G66)+10)</f>
        <v>58389</v>
      </c>
      <c r="G66" s="50">
        <f t="shared" si="14"/>
        <v>408</v>
      </c>
      <c r="H66" s="50">
        <f t="shared" si="15"/>
        <v>404</v>
      </c>
      <c r="AB66" s="37">
        <v>11.745139999999999</v>
      </c>
      <c r="AC66" s="37">
        <v>11.745139999999999</v>
      </c>
      <c r="AD66" s="37">
        <v>11.745139999999999</v>
      </c>
      <c r="AE66" s="37">
        <v>11.745139999999999</v>
      </c>
      <c r="AF66" s="37">
        <v>11.745139999999999</v>
      </c>
      <c r="AG66" s="37">
        <v>11.745139999999999</v>
      </c>
      <c r="AH66" s="37">
        <v>11.745139999999999</v>
      </c>
      <c r="AI66" s="37">
        <v>11.745139999999999</v>
      </c>
      <c r="AJ66" s="37">
        <v>11.745139999999999</v>
      </c>
      <c r="AK66" s="37">
        <v>11.745139999999999</v>
      </c>
      <c r="AL66" s="37">
        <v>11.745139999999999</v>
      </c>
      <c r="AM66" s="37">
        <v>11.745139999999999</v>
      </c>
      <c r="AN66" s="37">
        <v>11.745139999999999</v>
      </c>
      <c r="AO66" s="37">
        <v>11.745139999999999</v>
      </c>
      <c r="AP66" s="37">
        <v>11.745139999999999</v>
      </c>
      <c r="AQ66" s="37">
        <v>11.745139999999999</v>
      </c>
      <c r="AR66" s="37">
        <v>11.745139999999999</v>
      </c>
      <c r="AS66" s="37">
        <v>11.745139999999999</v>
      </c>
      <c r="AT66" s="37">
        <v>11.745139999999999</v>
      </c>
      <c r="AU66" s="37">
        <v>11.745139999999999</v>
      </c>
      <c r="AV66" s="37">
        <v>11.745139999999999</v>
      </c>
      <c r="AW66" s="37">
        <v>11.745139999999999</v>
      </c>
      <c r="AX66" s="37">
        <v>11.745139999999999</v>
      </c>
      <c r="AY66" s="37">
        <v>11.745139999999999</v>
      </c>
      <c r="AZ66" s="37">
        <v>11.745139999999999</v>
      </c>
      <c r="BA66" s="37">
        <v>11.745139999999999</v>
      </c>
      <c r="BB66" s="37">
        <v>11.745139999999999</v>
      </c>
      <c r="BC66" s="37">
        <v>11.745139999999999</v>
      </c>
      <c r="BD66" s="37">
        <v>11.745139999999999</v>
      </c>
      <c r="BE66" s="37">
        <v>11.745139999999999</v>
      </c>
      <c r="BF66" s="37">
        <v>11.745139999999999</v>
      </c>
      <c r="BG66" s="37">
        <v>11.745139999999999</v>
      </c>
      <c r="BH66" s="37">
        <v>11.745139999999999</v>
      </c>
      <c r="BI66" s="37">
        <v>11.745139999999999</v>
      </c>
      <c r="BJ66" s="37">
        <v>11.745139999999999</v>
      </c>
      <c r="BK66" s="37">
        <v>11.745139999999999</v>
      </c>
      <c r="BL66" s="37">
        <v>11.745139999999999</v>
      </c>
      <c r="BM66" s="37">
        <v>11.745139999999999</v>
      </c>
      <c r="BN66" s="37">
        <v>11.745139999999999</v>
      </c>
      <c r="BO66" s="37">
        <v>11.745139999999999</v>
      </c>
      <c r="BP66" s="37">
        <v>11.745139999999999</v>
      </c>
      <c r="BQ66" s="37">
        <v>11.745139999999999</v>
      </c>
      <c r="BR66" s="37">
        <v>11.745139999999999</v>
      </c>
      <c r="BS66" s="37">
        <v>11.745139999999999</v>
      </c>
      <c r="BT66" s="37">
        <v>11.745139999999999</v>
      </c>
      <c r="BU66" s="37">
        <v>11.745139999999999</v>
      </c>
      <c r="BV66" s="37">
        <v>11.745139999999999</v>
      </c>
      <c r="BW66" s="37">
        <v>11.745139999999999</v>
      </c>
      <c r="BX66" s="37">
        <v>11.745139999999999</v>
      </c>
      <c r="BY66" s="37">
        <v>11.745139999999999</v>
      </c>
      <c r="BZ66" s="37">
        <v>11.745139999999999</v>
      </c>
      <c r="CA66" s="37">
        <v>11.745139999999999</v>
      </c>
      <c r="CB66" s="37">
        <v>11.745139999999999</v>
      </c>
      <c r="CC66" s="37">
        <v>11.745139999999999</v>
      </c>
      <c r="CD66" s="37">
        <v>11.745139999999999</v>
      </c>
      <c r="CE66" s="37">
        <v>11.745139999999999</v>
      </c>
      <c r="CF66" s="37">
        <v>11.745139999999999</v>
      </c>
      <c r="CG66" s="37">
        <v>11.745139999999999</v>
      </c>
      <c r="CH66" s="37">
        <v>11.745139999999999</v>
      </c>
      <c r="CI66" s="37">
        <v>11.745139999999999</v>
      </c>
      <c r="CJ66" s="37">
        <v>11.745139999999999</v>
      </c>
      <c r="CK66" s="37">
        <v>11.745139999999999</v>
      </c>
      <c r="CL66" s="37">
        <v>11.745139999999999</v>
      </c>
      <c r="CM66" s="37">
        <v>11.745139999999999</v>
      </c>
      <c r="CN66" s="37">
        <v>11.745139999999999</v>
      </c>
      <c r="CO66" s="37">
        <v>11.745139999999999</v>
      </c>
      <c r="CP66" s="37">
        <v>11.745139999999999</v>
      </c>
      <c r="CQ66" s="37">
        <v>11.745139999999999</v>
      </c>
      <c r="CR66" s="37">
        <v>11.745139999999999</v>
      </c>
      <c r="CS66" s="37">
        <v>11.745139999999999</v>
      </c>
      <c r="CT66" s="37">
        <v>11.745139999999999</v>
      </c>
      <c r="CU66" s="37">
        <v>11.745139999999999</v>
      </c>
      <c r="CV66" s="37">
        <v>11.745139999999999</v>
      </c>
      <c r="CW66" s="37">
        <v>11.745139999999999</v>
      </c>
      <c r="CX66" s="37">
        <v>11.745139999999999</v>
      </c>
      <c r="CY66" s="37">
        <v>11.745139999999999</v>
      </c>
      <c r="CZ66" s="37">
        <v>11.745139999999999</v>
      </c>
      <c r="DA66" s="37">
        <v>11.745139999999999</v>
      </c>
      <c r="DB66" s="37">
        <v>11.745139999999999</v>
      </c>
      <c r="DC66" s="37">
        <v>11.745139999999999</v>
      </c>
      <c r="DD66" s="37">
        <v>11.745139999999999</v>
      </c>
      <c r="DE66" s="37">
        <v>11.745139999999999</v>
      </c>
      <c r="DF66" s="37">
        <v>11.745139999999999</v>
      </c>
      <c r="DG66" s="37">
        <v>11.745139999999999</v>
      </c>
      <c r="DH66" s="37">
        <v>11.745139999999999</v>
      </c>
      <c r="DI66" s="37">
        <v>11.745139999999999</v>
      </c>
      <c r="DJ66" s="37">
        <v>11.745139999999999</v>
      </c>
      <c r="DK66" s="37">
        <v>11.745139999999999</v>
      </c>
      <c r="DL66" s="37">
        <v>11.745139999999999</v>
      </c>
      <c r="DM66" s="37">
        <v>11.745139999999999</v>
      </c>
      <c r="DN66" s="37">
        <v>11.745139999999999</v>
      </c>
      <c r="DO66" s="37">
        <v>11.745139999999999</v>
      </c>
      <c r="DP66" s="37">
        <v>11.745139999999999</v>
      </c>
      <c r="DQ66" s="37">
        <v>11.745139999999999</v>
      </c>
      <c r="DR66" s="37">
        <v>11.745139999999999</v>
      </c>
      <c r="DS66" s="37">
        <v>11.745139999999999</v>
      </c>
      <c r="DT66" s="37">
        <v>11.745139999999999</v>
      </c>
      <c r="DU66" s="37">
        <v>11.745139999999999</v>
      </c>
      <c r="DV66" s="37">
        <v>11.745139999999999</v>
      </c>
      <c r="DW66" s="37">
        <v>11.745139999999999</v>
      </c>
      <c r="DX66" s="37">
        <v>11.745139999999999</v>
      </c>
      <c r="DY66" s="37">
        <v>11.745139999999999</v>
      </c>
      <c r="DZ66" s="37">
        <v>11.745139999999999</v>
      </c>
      <c r="EA66" s="37">
        <v>11.745139999999999</v>
      </c>
      <c r="EB66" s="37">
        <v>11.745139999999999</v>
      </c>
      <c r="EC66" s="37">
        <v>11.745139999999999</v>
      </c>
      <c r="ED66" s="37">
        <v>11.745139999999999</v>
      </c>
      <c r="EE66" s="37">
        <v>11.745139999999999</v>
      </c>
      <c r="EF66" s="37">
        <v>11.745139999999999</v>
      </c>
      <c r="EG66" s="37">
        <v>11.745139999999999</v>
      </c>
      <c r="EH66" s="37">
        <v>11.745139999999999</v>
      </c>
      <c r="EI66" s="37">
        <v>11.745139999999999</v>
      </c>
      <c r="EJ66" s="37">
        <v>11.745139999999999</v>
      </c>
      <c r="EK66" s="37">
        <v>11.745139999999999</v>
      </c>
      <c r="EL66" s="37">
        <v>11.745139999999999</v>
      </c>
      <c r="EM66" s="37">
        <v>11.745139999999999</v>
      </c>
      <c r="EN66" s="37">
        <v>11.745139999999999</v>
      </c>
      <c r="EO66" s="37">
        <v>11.745139999999999</v>
      </c>
      <c r="EP66" s="37">
        <v>11.745139999999999</v>
      </c>
      <c r="EQ66" s="37">
        <v>11.745139999999999</v>
      </c>
      <c r="ER66" s="37">
        <v>11.745139999999999</v>
      </c>
      <c r="ES66" s="37">
        <v>11.745139999999999</v>
      </c>
      <c r="ET66" s="37">
        <v>11.745139999999999</v>
      </c>
      <c r="EU66" s="37">
        <v>11.745139999999999</v>
      </c>
      <c r="EV66" s="37">
        <v>11.745139999999999</v>
      </c>
      <c r="EW66" s="37">
        <v>11.745139999999999</v>
      </c>
      <c r="EX66" s="37">
        <v>11.745139999999999</v>
      </c>
      <c r="EY66" s="37">
        <v>11.745139999999999</v>
      </c>
      <c r="EZ66" s="37">
        <v>11.745139999999999</v>
      </c>
      <c r="FA66" s="37">
        <v>11.745139999999999</v>
      </c>
      <c r="FB66" s="37">
        <v>11.745139999999999</v>
      </c>
      <c r="FC66" s="37">
        <v>11.745139999999999</v>
      </c>
      <c r="FD66" s="37">
        <v>11.745139999999999</v>
      </c>
      <c r="FE66" s="37">
        <v>11.745139999999999</v>
      </c>
      <c r="FF66" s="37">
        <v>11.745139999999999</v>
      </c>
      <c r="FG66" s="37">
        <v>11.745139999999999</v>
      </c>
      <c r="FH66" s="37">
        <v>11.745139999999999</v>
      </c>
      <c r="FI66" s="37">
        <v>11.745139999999999</v>
      </c>
      <c r="FJ66" s="37">
        <v>11.745139999999999</v>
      </c>
      <c r="FK66" s="37">
        <v>11.745139999999999</v>
      </c>
      <c r="FL66" s="37">
        <v>11.745139999999999</v>
      </c>
      <c r="FM66" s="37">
        <v>11.745139999999999</v>
      </c>
      <c r="FN66" s="37">
        <v>11.745139999999999</v>
      </c>
      <c r="FO66" s="37">
        <v>11.745139999999999</v>
      </c>
      <c r="FP66" s="37">
        <v>11.745139999999999</v>
      </c>
      <c r="FQ66" s="37">
        <v>11.745139999999999</v>
      </c>
      <c r="FR66" s="37">
        <v>11.745139999999999</v>
      </c>
      <c r="FS66" s="37">
        <v>11.745139999999999</v>
      </c>
      <c r="FT66" s="37">
        <v>11.745139999999999</v>
      </c>
      <c r="FU66" s="37">
        <v>11.745139999999999</v>
      </c>
      <c r="FV66" s="37">
        <v>11.745139999999999</v>
      </c>
      <c r="FW66" s="37">
        <v>11.745139999999999</v>
      </c>
      <c r="FX66" s="37">
        <v>11.745139999999999</v>
      </c>
      <c r="FY66" s="37">
        <v>11.745139999999999</v>
      </c>
      <c r="FZ66" s="37">
        <v>11.745139999999999</v>
      </c>
      <c r="GA66" s="37">
        <v>11.745139999999999</v>
      </c>
      <c r="GB66" s="37">
        <v>11.745139999999999</v>
      </c>
      <c r="GC66" s="37">
        <v>11.745139999999999</v>
      </c>
      <c r="GD66" s="37">
        <v>11.745139999999999</v>
      </c>
      <c r="GE66" s="37">
        <v>11.745139999999999</v>
      </c>
      <c r="GF66" s="37">
        <v>11.745139999999999</v>
      </c>
      <c r="GG66" s="37">
        <v>11.745139999999999</v>
      </c>
      <c r="GH66" s="37">
        <v>11.745139999999999</v>
      </c>
      <c r="GI66" s="37">
        <v>11.745139999999999</v>
      </c>
      <c r="GJ66" s="37">
        <v>11.745139999999999</v>
      </c>
      <c r="GK66" s="37">
        <v>11.745139999999999</v>
      </c>
      <c r="GL66" s="37">
        <v>11.745139999999999</v>
      </c>
      <c r="GM66" s="37">
        <v>11.745139999999999</v>
      </c>
      <c r="GN66" s="37">
        <v>11.745139999999999</v>
      </c>
      <c r="GO66" s="37">
        <v>11.745139999999999</v>
      </c>
      <c r="GP66" s="37">
        <v>11.745139999999999</v>
      </c>
      <c r="GQ66" s="37">
        <v>11.745139999999999</v>
      </c>
      <c r="GR66" s="37">
        <v>11.745139999999999</v>
      </c>
      <c r="GS66" s="37">
        <v>11.745139999999999</v>
      </c>
      <c r="GT66" s="37">
        <v>11.745139999999999</v>
      </c>
      <c r="GU66" s="37">
        <v>11.745139999999999</v>
      </c>
      <c r="GV66" s="37">
        <v>11.745139999999999</v>
      </c>
      <c r="GW66" s="37">
        <v>11.745139999999999</v>
      </c>
      <c r="GX66" s="37">
        <v>11.745139999999999</v>
      </c>
      <c r="GY66" s="37">
        <v>11.745139999999999</v>
      </c>
      <c r="GZ66" s="37">
        <v>11.745139999999999</v>
      </c>
      <c r="HA66" s="37">
        <v>11.745139999999999</v>
      </c>
      <c r="HB66" s="37">
        <v>11.745139999999999</v>
      </c>
      <c r="HC66" s="37">
        <v>11.745139999999999</v>
      </c>
      <c r="HD66" s="37">
        <v>11.745139999999999</v>
      </c>
      <c r="HE66" s="37">
        <v>11.745139999999999</v>
      </c>
      <c r="HF66" s="37">
        <v>11.745139999999999</v>
      </c>
      <c r="HG66" s="37">
        <v>11.745139999999999</v>
      </c>
      <c r="HH66" s="37">
        <v>11.745139999999999</v>
      </c>
      <c r="HI66" s="37">
        <v>11.745139999999999</v>
      </c>
      <c r="HJ66" s="37">
        <v>11.745139999999999</v>
      </c>
      <c r="HK66" s="37">
        <v>11.745139999999999</v>
      </c>
      <c r="HL66" s="37">
        <v>11.745139999999999</v>
      </c>
      <c r="HM66" s="37">
        <v>11.745139999999999</v>
      </c>
      <c r="HN66" s="37">
        <v>11.745139999999999</v>
      </c>
      <c r="HO66" s="37">
        <v>11.745139999999999</v>
      </c>
      <c r="HP66" s="37">
        <v>11.745139999999999</v>
      </c>
      <c r="HQ66" s="37">
        <v>11.745139999999999</v>
      </c>
      <c r="HR66" s="37">
        <v>11.745139999999999</v>
      </c>
      <c r="HS66" s="37">
        <v>11.745139999999999</v>
      </c>
      <c r="HT66" s="37">
        <v>11.745139999999999</v>
      </c>
      <c r="HU66" s="37">
        <v>11.745139999999999</v>
      </c>
      <c r="HV66" s="37">
        <v>11.745139999999999</v>
      </c>
      <c r="HW66" s="37">
        <v>11.745139999999999</v>
      </c>
      <c r="HX66" s="37">
        <v>11.745139999999999</v>
      </c>
      <c r="HY66" s="37">
        <v>11.745139999999999</v>
      </c>
      <c r="HZ66" s="37">
        <v>11.745139999999999</v>
      </c>
      <c r="IA66" s="37">
        <v>11.745139999999999</v>
      </c>
      <c r="IB66" s="37">
        <v>11.745139999999999</v>
      </c>
      <c r="IC66" s="37">
        <v>11.745139999999999</v>
      </c>
      <c r="ID66" s="37">
        <v>11.745139999999999</v>
      </c>
      <c r="IE66" s="37">
        <v>11.745139999999999</v>
      </c>
      <c r="IF66" s="37">
        <v>11.745139999999999</v>
      </c>
      <c r="IG66" s="37">
        <v>11.745139999999999</v>
      </c>
      <c r="IH66" s="37">
        <v>11.745139999999999</v>
      </c>
      <c r="II66" s="37">
        <v>11.745139999999999</v>
      </c>
      <c r="IJ66" s="37">
        <v>11.745139999999999</v>
      </c>
      <c r="IK66" s="37">
        <v>11.745139999999999</v>
      </c>
      <c r="IL66" s="37">
        <v>11.745139999999999</v>
      </c>
      <c r="IM66" s="37">
        <v>11.745139999999999</v>
      </c>
      <c r="IN66" s="37">
        <v>11.745139999999999</v>
      </c>
      <c r="IO66" s="37">
        <v>11.745139999999999</v>
      </c>
      <c r="IP66" s="37">
        <v>11.745139999999999</v>
      </c>
      <c r="IQ66" s="37">
        <v>11.745139999999999</v>
      </c>
      <c r="IR66" s="37">
        <v>11.745139999999999</v>
      </c>
      <c r="IS66" s="37">
        <v>11.745139999999999</v>
      </c>
      <c r="IT66" s="37">
        <v>11.745139999999999</v>
      </c>
      <c r="IU66" s="37">
        <v>11.745139999999999</v>
      </c>
      <c r="IV66" s="37">
        <v>11.745139999999999</v>
      </c>
      <c r="IW66" s="37">
        <v>11.745139999999999</v>
      </c>
      <c r="IX66" s="37">
        <v>11.745139999999999</v>
      </c>
      <c r="IY66" s="37">
        <v>11.745139999999999</v>
      </c>
      <c r="IZ66" s="37">
        <v>11.745139999999999</v>
      </c>
      <c r="JA66" s="37">
        <v>11.745139999999999</v>
      </c>
      <c r="JB66" s="37">
        <v>11.745139999999999</v>
      </c>
      <c r="JC66" s="37">
        <v>11.745139999999999</v>
      </c>
      <c r="JD66" s="37">
        <v>11.745139999999999</v>
      </c>
      <c r="JE66" s="37">
        <v>11.745139999999999</v>
      </c>
      <c r="JF66" s="37">
        <v>11.745139999999999</v>
      </c>
      <c r="JG66" s="37">
        <v>11.745139999999999</v>
      </c>
      <c r="JH66" s="37">
        <v>11.745139999999999</v>
      </c>
      <c r="JI66" s="37">
        <v>11.745139999999999</v>
      </c>
      <c r="JJ66" s="37">
        <v>11.745139999999999</v>
      </c>
      <c r="JK66" s="37">
        <v>11.745139999999999</v>
      </c>
      <c r="JL66" s="37">
        <v>11.745139999999999</v>
      </c>
      <c r="JM66" s="37">
        <v>11.745139999999999</v>
      </c>
      <c r="JN66" s="37">
        <v>11.745139999999999</v>
      </c>
      <c r="JO66" s="37">
        <v>11.745139999999999</v>
      </c>
      <c r="JP66" s="37">
        <v>11.745139999999999</v>
      </c>
      <c r="JQ66" s="37">
        <v>11.745139999999999</v>
      </c>
      <c r="JR66" s="37">
        <v>11.745139999999999</v>
      </c>
      <c r="JS66" s="37">
        <v>11.745139999999999</v>
      </c>
      <c r="JT66" s="37">
        <v>11.745139999999999</v>
      </c>
      <c r="JU66" s="37">
        <v>11.745139999999999</v>
      </c>
      <c r="JV66" s="37">
        <v>11.745139999999999</v>
      </c>
      <c r="JW66" s="37">
        <v>11.745139999999999</v>
      </c>
      <c r="JX66" s="37">
        <v>11.745139999999999</v>
      </c>
      <c r="JY66" s="37">
        <v>11.745139999999999</v>
      </c>
      <c r="JZ66" s="37">
        <v>11.745139999999999</v>
      </c>
      <c r="KA66" s="37">
        <v>11.745139999999999</v>
      </c>
      <c r="KB66" s="37">
        <v>11.745139999999999</v>
      </c>
      <c r="KC66" s="37">
        <v>11.745139999999999</v>
      </c>
      <c r="KD66" s="37">
        <v>11.745139999999999</v>
      </c>
      <c r="KE66" s="37">
        <v>11.745139999999999</v>
      </c>
      <c r="KF66" s="37">
        <v>11.745139999999999</v>
      </c>
      <c r="KG66" s="37">
        <v>11.745139999999999</v>
      </c>
      <c r="KH66" s="37">
        <v>11.745139999999999</v>
      </c>
      <c r="KI66" s="37">
        <v>11.745139999999999</v>
      </c>
      <c r="KJ66" s="37">
        <v>11.745139999999999</v>
      </c>
      <c r="KK66" s="37">
        <v>11.745139999999999</v>
      </c>
      <c r="KL66" s="37">
        <v>11.745139999999999</v>
      </c>
      <c r="KM66" s="37">
        <v>11.745139999999999</v>
      </c>
      <c r="KN66" s="37">
        <v>11.745139999999999</v>
      </c>
      <c r="KO66" s="37">
        <v>11.745139999999999</v>
      </c>
      <c r="KP66" s="37">
        <v>11.745139999999999</v>
      </c>
      <c r="KQ66" s="37">
        <v>11.745139999999999</v>
      </c>
      <c r="KR66" s="37">
        <v>11.745139999999999</v>
      </c>
      <c r="KS66" s="37">
        <v>11.745139999999999</v>
      </c>
      <c r="KT66" s="37">
        <v>11.745139999999999</v>
      </c>
      <c r="KU66" s="37">
        <v>11.745139999999999</v>
      </c>
      <c r="KV66" s="37">
        <v>11.745139999999999</v>
      </c>
      <c r="KW66" s="37">
        <v>11.745139999999999</v>
      </c>
      <c r="KX66" s="37">
        <v>11.745139999999999</v>
      </c>
      <c r="KY66" s="37">
        <v>11.745139999999999</v>
      </c>
      <c r="KZ66" s="37">
        <v>11.745139999999999</v>
      </c>
      <c r="LA66" s="37">
        <v>11.745139999999999</v>
      </c>
      <c r="LB66" s="37">
        <v>11.745139999999999</v>
      </c>
      <c r="LC66" s="37">
        <v>11.745139999999999</v>
      </c>
      <c r="LD66" s="37">
        <v>11.745139999999999</v>
      </c>
      <c r="LE66" s="37">
        <v>11.745139999999999</v>
      </c>
      <c r="LF66" s="37">
        <v>11.745139999999999</v>
      </c>
      <c r="LG66" s="37">
        <v>11.745139999999999</v>
      </c>
      <c r="LH66" s="37">
        <v>11.745139999999999</v>
      </c>
      <c r="LI66" s="37">
        <v>11.745139999999999</v>
      </c>
      <c r="LJ66" s="37">
        <v>11.745139999999999</v>
      </c>
      <c r="LK66" s="37">
        <v>11.745139999999999</v>
      </c>
      <c r="LL66" s="37">
        <v>11.745139999999999</v>
      </c>
      <c r="LM66" s="37">
        <v>11.745139999999999</v>
      </c>
      <c r="LN66" s="37">
        <v>11.745139999999999</v>
      </c>
      <c r="LO66" s="37">
        <v>11.745139999999999</v>
      </c>
      <c r="LP66" s="37">
        <v>11.745139999999999</v>
      </c>
      <c r="LQ66" s="37">
        <v>11.745139999999999</v>
      </c>
      <c r="LR66" s="37">
        <v>11.745139999999999</v>
      </c>
      <c r="LS66" s="37">
        <v>11.745139999999999</v>
      </c>
      <c r="LT66" s="37">
        <v>11.745139999999999</v>
      </c>
      <c r="LU66" s="37">
        <v>11.745139999999999</v>
      </c>
      <c r="LV66" s="37">
        <v>11.745139999999999</v>
      </c>
      <c r="LW66" s="37">
        <v>11.745139999999999</v>
      </c>
      <c r="LX66" s="37">
        <v>11.745139999999999</v>
      </c>
      <c r="LY66" s="37">
        <v>11.745139999999999</v>
      </c>
      <c r="LZ66" s="37">
        <v>11.745139999999999</v>
      </c>
      <c r="MA66" s="37">
        <v>11.745139999999999</v>
      </c>
      <c r="MB66" s="37">
        <v>11.745139999999999</v>
      </c>
      <c r="MC66" s="37">
        <v>11.745139999999999</v>
      </c>
      <c r="MD66" s="37">
        <v>11.745139999999999</v>
      </c>
      <c r="ME66" s="37">
        <v>11.745139999999999</v>
      </c>
      <c r="MF66" s="37">
        <v>11.745139999999999</v>
      </c>
      <c r="MG66" s="37">
        <v>11.745139999999999</v>
      </c>
      <c r="MH66" s="37">
        <v>11.745139999999999</v>
      </c>
      <c r="MI66" s="37">
        <v>11.745139999999999</v>
      </c>
      <c r="MJ66" s="37">
        <v>11.745139999999999</v>
      </c>
      <c r="MK66" s="37">
        <v>11.745139999999999</v>
      </c>
      <c r="ML66" s="37">
        <v>11.745139999999999</v>
      </c>
      <c r="MM66" s="37">
        <v>11.745139999999999</v>
      </c>
      <c r="MN66" s="37">
        <v>11.745139999999999</v>
      </c>
      <c r="MO66" s="37">
        <v>11.745139999999999</v>
      </c>
      <c r="MP66" s="37">
        <v>11.745139999999999</v>
      </c>
      <c r="MQ66" s="37">
        <v>11.745139999999999</v>
      </c>
      <c r="MR66" s="37">
        <v>11.745139999999999</v>
      </c>
      <c r="MS66" s="37">
        <v>11.745139999999999</v>
      </c>
      <c r="MT66" s="37">
        <v>11.745139999999999</v>
      </c>
      <c r="MU66" s="37">
        <v>11.745139999999999</v>
      </c>
      <c r="MV66" s="37">
        <v>11.745139999999999</v>
      </c>
      <c r="MW66" s="37">
        <v>11.745139999999999</v>
      </c>
      <c r="MX66" s="37">
        <v>11.745139999999999</v>
      </c>
      <c r="MY66" s="37">
        <v>11.745139999999999</v>
      </c>
      <c r="MZ66" s="37">
        <v>11.745139999999999</v>
      </c>
      <c r="NA66" s="37">
        <v>11.745139999999999</v>
      </c>
      <c r="NB66" s="37">
        <v>11.745139999999999</v>
      </c>
      <c r="NC66" s="37">
        <v>11.745139999999999</v>
      </c>
      <c r="ND66" s="37">
        <v>11.745139999999999</v>
      </c>
      <c r="NE66" s="37">
        <v>11.745139999999999</v>
      </c>
      <c r="NF66" s="37">
        <v>11.745139999999999</v>
      </c>
      <c r="NG66" s="37">
        <v>11.745139999999999</v>
      </c>
      <c r="NH66" s="37">
        <v>11.745139999999999</v>
      </c>
      <c r="NI66" s="37">
        <v>11.745139999999999</v>
      </c>
      <c r="NJ66" s="37">
        <v>11.745139999999999</v>
      </c>
      <c r="NK66" s="37">
        <v>11.745139999999999</v>
      </c>
      <c r="NL66" s="37">
        <v>11.745139999999999</v>
      </c>
      <c r="NM66" s="37">
        <v>11.745139999999999</v>
      </c>
      <c r="NN66" s="37">
        <v>11.745139999999999</v>
      </c>
      <c r="NO66" s="37">
        <v>11.745139999999999</v>
      </c>
      <c r="NP66" s="37">
        <v>11.745139999999999</v>
      </c>
      <c r="NQ66" s="37">
        <v>11.745139999999999</v>
      </c>
      <c r="NR66" s="37">
        <v>11.745139999999999</v>
      </c>
      <c r="NS66" s="37">
        <v>11.745139999999999</v>
      </c>
      <c r="NT66" s="37">
        <v>11.745139999999999</v>
      </c>
      <c r="NU66" s="37">
        <v>11.745139999999999</v>
      </c>
      <c r="NV66" s="37">
        <v>11.745139999999999</v>
      </c>
      <c r="NW66" s="37">
        <v>11.745139999999999</v>
      </c>
      <c r="NX66" s="37">
        <v>11.745139999999999</v>
      </c>
      <c r="NY66" s="37">
        <v>11.745139999999999</v>
      </c>
      <c r="NZ66" s="37">
        <v>11.745139999999999</v>
      </c>
      <c r="OA66" s="37">
        <v>11.745139999999999</v>
      </c>
      <c r="OB66" s="37">
        <v>11.745139999999999</v>
      </c>
      <c r="OC66" s="37">
        <v>11.745139999999999</v>
      </c>
      <c r="OD66" s="37">
        <v>11.745139999999999</v>
      </c>
      <c r="OE66" s="37">
        <v>11.745139999999999</v>
      </c>
      <c r="OF66" s="37">
        <v>11.745139999999999</v>
      </c>
      <c r="OG66" s="37">
        <v>11.745139999999999</v>
      </c>
      <c r="OH66" s="37">
        <v>11.745139999999999</v>
      </c>
      <c r="OI66" s="37">
        <v>11.745139999999999</v>
      </c>
      <c r="OJ66" s="37">
        <v>11.745139999999999</v>
      </c>
      <c r="OK66" s="37">
        <v>11.745139999999999</v>
      </c>
      <c r="OL66" s="37">
        <v>11.745139999999999</v>
      </c>
      <c r="OM66" s="37">
        <v>11.745139999999999</v>
      </c>
      <c r="ON66" s="37">
        <v>11.745139999999999</v>
      </c>
      <c r="OO66" s="37">
        <v>11.745139999999999</v>
      </c>
      <c r="OP66" s="37">
        <v>11.745139999999999</v>
      </c>
      <c r="OQ66" s="37">
        <v>11.745139999999999</v>
      </c>
      <c r="OR66" s="37">
        <v>11.745139999999999</v>
      </c>
      <c r="OS66" s="37">
        <v>11.745139999999999</v>
      </c>
      <c r="OT66" s="37">
        <v>11.745139999999999</v>
      </c>
      <c r="OU66" s="37">
        <v>11.745139999999999</v>
      </c>
      <c r="OV66" s="37">
        <v>11.745139999999999</v>
      </c>
      <c r="OW66" s="37">
        <v>11.745139999999999</v>
      </c>
      <c r="OX66" s="37">
        <v>11.745139999999999</v>
      </c>
      <c r="OY66" s="37">
        <v>11.745139999999999</v>
      </c>
      <c r="OZ66" s="37">
        <v>11.745139999999999</v>
      </c>
      <c r="PA66" s="37">
        <v>11.745139999999999</v>
      </c>
      <c r="PB66" s="37">
        <v>11.745139999999999</v>
      </c>
      <c r="PC66" s="37">
        <v>11.745139999999999</v>
      </c>
      <c r="PD66" s="37">
        <v>11.745139999999999</v>
      </c>
      <c r="PE66" s="37">
        <v>11.745139999999999</v>
      </c>
      <c r="PF66" s="37">
        <v>11.745139999999999</v>
      </c>
      <c r="PG66" s="37">
        <v>11.745139999999999</v>
      </c>
      <c r="PH66" s="37">
        <v>11.745139999999999</v>
      </c>
      <c r="PI66" s="37">
        <v>11.745139999999999</v>
      </c>
      <c r="PJ66" s="37">
        <v>11.745139999999999</v>
      </c>
      <c r="PK66" s="37">
        <v>11.745139999999999</v>
      </c>
      <c r="PL66" s="37">
        <v>11.745139999999999</v>
      </c>
      <c r="PM66" s="37">
        <v>11.745139999999999</v>
      </c>
      <c r="PN66" s="37">
        <v>11.745139999999999</v>
      </c>
      <c r="PO66" s="37">
        <v>11.745139999999999</v>
      </c>
      <c r="PP66" s="37">
        <v>11.745139999999999</v>
      </c>
      <c r="PQ66" s="37">
        <v>11.745139999999999</v>
      </c>
      <c r="PR66" s="37">
        <v>11.745139999999999</v>
      </c>
      <c r="PS66" s="15">
        <v>12.82273</v>
      </c>
      <c r="PT66" s="15" t="s">
        <v>668</v>
      </c>
      <c r="PU66" s="15" t="s">
        <v>668</v>
      </c>
      <c r="PV66" s="15" t="s">
        <v>668</v>
      </c>
      <c r="PW66" s="15" t="s">
        <v>668</v>
      </c>
      <c r="PX66" s="15" t="s">
        <v>668</v>
      </c>
      <c r="PY66" s="15" t="s">
        <v>668</v>
      </c>
      <c r="PZ66" s="15" t="s">
        <v>668</v>
      </c>
      <c r="QA66" s="15" t="s">
        <v>668</v>
      </c>
      <c r="QB66" s="15" t="s">
        <v>668</v>
      </c>
      <c r="QC66" s="15" t="s">
        <v>668</v>
      </c>
      <c r="QD66" s="15" t="s">
        <v>668</v>
      </c>
      <c r="QE66" s="15" t="s">
        <v>668</v>
      </c>
      <c r="QF66" s="15" t="s">
        <v>668</v>
      </c>
      <c r="QG66" s="15" t="s">
        <v>668</v>
      </c>
      <c r="QH66" s="15" t="s">
        <v>668</v>
      </c>
      <c r="QI66" s="15" t="s">
        <v>668</v>
      </c>
      <c r="QJ66" s="15" t="s">
        <v>668</v>
      </c>
      <c r="QK66" s="15" t="s">
        <v>668</v>
      </c>
      <c r="QL66" s="15" t="s">
        <v>668</v>
      </c>
      <c r="QM66" s="15" t="s">
        <v>668</v>
      </c>
      <c r="QN66" s="15" t="s">
        <v>668</v>
      </c>
      <c r="QO66" s="15" t="s">
        <v>668</v>
      </c>
      <c r="QP66" s="15" t="s">
        <v>668</v>
      </c>
      <c r="QQ66" s="15" t="s">
        <v>668</v>
      </c>
      <c r="QR66" s="15" t="s">
        <v>668</v>
      </c>
      <c r="QS66" s="15" t="s">
        <v>668</v>
      </c>
      <c r="QT66" s="15" t="s">
        <v>668</v>
      </c>
      <c r="QU66" s="15" t="s">
        <v>668</v>
      </c>
      <c r="QV66" s="15" t="s">
        <v>668</v>
      </c>
      <c r="QW66" s="15" t="s">
        <v>668</v>
      </c>
      <c r="QX66" s="15" t="s">
        <v>668</v>
      </c>
      <c r="QY66" s="15" t="s">
        <v>668</v>
      </c>
      <c r="QZ66" s="15" t="s">
        <v>668</v>
      </c>
      <c r="RA66" s="15" t="s">
        <v>668</v>
      </c>
      <c r="RB66" s="15" t="s">
        <v>668</v>
      </c>
      <c r="RC66" s="15" t="s">
        <v>668</v>
      </c>
      <c r="RD66" s="15" t="s">
        <v>668</v>
      </c>
      <c r="RE66" s="15" t="s">
        <v>668</v>
      </c>
      <c r="RF66" s="15" t="s">
        <v>668</v>
      </c>
      <c r="RG66" s="15" t="s">
        <v>668</v>
      </c>
      <c r="RH66" s="15" t="s">
        <v>668</v>
      </c>
      <c r="RI66" s="15" t="s">
        <v>668</v>
      </c>
      <c r="RJ66" s="15" t="s">
        <v>668</v>
      </c>
      <c r="RK66" s="15" t="s">
        <v>668</v>
      </c>
      <c r="RL66" s="15" t="s">
        <v>668</v>
      </c>
      <c r="RM66" s="15" t="s">
        <v>668</v>
      </c>
      <c r="RN66" s="15" t="s">
        <v>668</v>
      </c>
      <c r="RO66" s="15" t="s">
        <v>668</v>
      </c>
      <c r="RP66" s="15" t="s">
        <v>668</v>
      </c>
      <c r="RQ66" s="15" t="s">
        <v>668</v>
      </c>
      <c r="RR66" s="15" t="s">
        <v>668</v>
      </c>
      <c r="RS66" s="15" t="s">
        <v>668</v>
      </c>
      <c r="RT66" s="15" t="s">
        <v>668</v>
      </c>
      <c r="RU66" s="15" t="s">
        <v>668</v>
      </c>
      <c r="RV66" s="15" t="s">
        <v>668</v>
      </c>
      <c r="RW66" s="15" t="s">
        <v>668</v>
      </c>
      <c r="RX66" s="15" t="s">
        <v>668</v>
      </c>
      <c r="RY66" s="15" t="s">
        <v>668</v>
      </c>
      <c r="RZ66" s="15" t="s">
        <v>668</v>
      </c>
      <c r="SA66" s="15" t="s">
        <v>668</v>
      </c>
      <c r="SB66" s="15" t="s">
        <v>668</v>
      </c>
      <c r="SC66" s="15" t="s">
        <v>668</v>
      </c>
      <c r="SD66" s="15" t="s">
        <v>668</v>
      </c>
      <c r="SE66" s="15" t="s">
        <v>668</v>
      </c>
      <c r="SF66" s="15" t="s">
        <v>668</v>
      </c>
      <c r="SG66" s="15" t="s">
        <v>668</v>
      </c>
      <c r="SH66" s="15" t="s">
        <v>668</v>
      </c>
      <c r="SI66" s="15" t="s">
        <v>668</v>
      </c>
      <c r="SJ66" s="15" t="s">
        <v>668</v>
      </c>
      <c r="SK66" s="15" t="s">
        <v>668</v>
      </c>
      <c r="SL66" s="15" t="s">
        <v>668</v>
      </c>
      <c r="SM66" s="15" t="s">
        <v>668</v>
      </c>
    </row>
    <row r="67" spans="1:509" x14ac:dyDescent="0.2">
      <c r="A67" s="37">
        <v>65</v>
      </c>
      <c r="B67" s="37" t="s">
        <v>803</v>
      </c>
      <c r="C67" s="17">
        <f>+'Detalle Compras'!D67</f>
        <v>202508210099</v>
      </c>
      <c r="D67" s="55">
        <f t="shared" si="13"/>
        <v>10.158175999999999</v>
      </c>
      <c r="E67" s="14">
        <f>+IF(B67="","",'Detalle Compras'!S67+0)</f>
        <v>45940</v>
      </c>
      <c r="F67" s="14">
        <f>+IF(B67="","",EOMONTH('Detalle Compras'!S67,G67)+10)</f>
        <v>60581</v>
      </c>
      <c r="G67" s="50">
        <f t="shared" si="14"/>
        <v>480</v>
      </c>
      <c r="H67" s="50">
        <f t="shared" si="15"/>
        <v>476</v>
      </c>
      <c r="AB67" s="37">
        <v>10.158175999999999</v>
      </c>
      <c r="AC67" s="37">
        <v>10.158175999999999</v>
      </c>
      <c r="AD67" s="37">
        <v>10.158175999999999</v>
      </c>
      <c r="AE67" s="37">
        <v>10.158175999999999</v>
      </c>
      <c r="AF67" s="37">
        <v>10.158175999999999</v>
      </c>
      <c r="AG67" s="37">
        <v>10.158175999999999</v>
      </c>
      <c r="AH67" s="37">
        <v>10.158175999999999</v>
      </c>
      <c r="AI67" s="37">
        <v>10.158175999999999</v>
      </c>
      <c r="AJ67" s="37">
        <v>10.158175999999999</v>
      </c>
      <c r="AK67" s="37">
        <v>10.158175999999999</v>
      </c>
      <c r="AL67" s="37">
        <v>10.158175999999999</v>
      </c>
      <c r="AM67" s="37">
        <v>10.158175999999999</v>
      </c>
      <c r="AN67" s="37">
        <v>10.158175999999999</v>
      </c>
      <c r="AO67" s="37">
        <v>10.158175999999999</v>
      </c>
      <c r="AP67" s="37">
        <v>10.158175999999999</v>
      </c>
      <c r="AQ67" s="37">
        <v>10.158175999999999</v>
      </c>
      <c r="AR67" s="37">
        <v>10.158175999999999</v>
      </c>
      <c r="AS67" s="37">
        <v>10.158175999999999</v>
      </c>
      <c r="AT67" s="37">
        <v>10.158175999999999</v>
      </c>
      <c r="AU67" s="37">
        <v>10.158175999999999</v>
      </c>
      <c r="AV67" s="37">
        <v>10.158175999999999</v>
      </c>
      <c r="AW67" s="37">
        <v>10.158175999999999</v>
      </c>
      <c r="AX67" s="37">
        <v>10.158175999999999</v>
      </c>
      <c r="AY67" s="37">
        <v>10.158175999999999</v>
      </c>
      <c r="AZ67" s="37">
        <v>10.158175999999999</v>
      </c>
      <c r="BA67" s="37">
        <v>10.158175999999999</v>
      </c>
      <c r="BB67" s="37">
        <v>10.158175999999999</v>
      </c>
      <c r="BC67" s="37">
        <v>10.158175999999999</v>
      </c>
      <c r="BD67" s="37">
        <v>10.158175999999999</v>
      </c>
      <c r="BE67" s="37">
        <v>10.158175999999999</v>
      </c>
      <c r="BF67" s="37">
        <v>10.158175999999999</v>
      </c>
      <c r="BG67" s="37">
        <v>10.158175999999999</v>
      </c>
      <c r="BH67" s="37">
        <v>10.158175999999999</v>
      </c>
      <c r="BI67" s="37">
        <v>10.158175999999999</v>
      </c>
      <c r="BJ67" s="37">
        <v>10.158175999999999</v>
      </c>
      <c r="BK67" s="37">
        <v>10.158175999999999</v>
      </c>
      <c r="BL67" s="37">
        <v>10.158175999999999</v>
      </c>
      <c r="BM67" s="37">
        <v>10.158175999999999</v>
      </c>
      <c r="BN67" s="37">
        <v>10.158175999999999</v>
      </c>
      <c r="BO67" s="37">
        <v>10.158175999999999</v>
      </c>
      <c r="BP67" s="37">
        <v>10.158175999999999</v>
      </c>
      <c r="BQ67" s="37">
        <v>10.158175999999999</v>
      </c>
      <c r="BR67" s="37">
        <v>10.158175999999999</v>
      </c>
      <c r="BS67" s="37">
        <v>10.158175999999999</v>
      </c>
      <c r="BT67" s="37">
        <v>10.158175999999999</v>
      </c>
      <c r="BU67" s="37">
        <v>10.158175999999999</v>
      </c>
      <c r="BV67" s="37">
        <v>10.158175999999999</v>
      </c>
      <c r="BW67" s="37">
        <v>10.158175999999999</v>
      </c>
      <c r="BX67" s="37">
        <v>10.158175999999999</v>
      </c>
      <c r="BY67" s="37">
        <v>10.158175999999999</v>
      </c>
      <c r="BZ67" s="37">
        <v>10.158175999999999</v>
      </c>
      <c r="CA67" s="37">
        <v>10.158175999999999</v>
      </c>
      <c r="CB67" s="37">
        <v>10.158175999999999</v>
      </c>
      <c r="CC67" s="37">
        <v>10.158175999999999</v>
      </c>
      <c r="CD67" s="37">
        <v>10.158175999999999</v>
      </c>
      <c r="CE67" s="37">
        <v>10.158175999999999</v>
      </c>
      <c r="CF67" s="37">
        <v>10.158175999999999</v>
      </c>
      <c r="CG67" s="37">
        <v>10.158175999999999</v>
      </c>
      <c r="CH67" s="37">
        <v>10.158175999999999</v>
      </c>
      <c r="CI67" s="37">
        <v>10.158175999999999</v>
      </c>
      <c r="CJ67" s="37">
        <v>10.158175999999999</v>
      </c>
      <c r="CK67" s="37">
        <v>10.158175999999999</v>
      </c>
      <c r="CL67" s="37">
        <v>10.158175999999999</v>
      </c>
      <c r="CM67" s="37">
        <v>10.158175999999999</v>
      </c>
      <c r="CN67" s="37">
        <v>10.158175999999999</v>
      </c>
      <c r="CO67" s="37">
        <v>10.158175999999999</v>
      </c>
      <c r="CP67" s="37">
        <v>10.158175999999999</v>
      </c>
      <c r="CQ67" s="37">
        <v>10.158175999999999</v>
      </c>
      <c r="CR67" s="37">
        <v>10.158175999999999</v>
      </c>
      <c r="CS67" s="37">
        <v>10.158175999999999</v>
      </c>
      <c r="CT67" s="37">
        <v>10.158175999999999</v>
      </c>
      <c r="CU67" s="37">
        <v>10.158175999999999</v>
      </c>
      <c r="CV67" s="37">
        <v>10.158175999999999</v>
      </c>
      <c r="CW67" s="37">
        <v>10.158175999999999</v>
      </c>
      <c r="CX67" s="37">
        <v>10.158175999999999</v>
      </c>
      <c r="CY67" s="37">
        <v>10.158175999999999</v>
      </c>
      <c r="CZ67" s="37">
        <v>10.158175999999999</v>
      </c>
      <c r="DA67" s="37">
        <v>10.158175999999999</v>
      </c>
      <c r="DB67" s="37">
        <v>10.158175999999999</v>
      </c>
      <c r="DC67" s="37">
        <v>10.158175999999999</v>
      </c>
      <c r="DD67" s="37">
        <v>10.158175999999999</v>
      </c>
      <c r="DE67" s="37">
        <v>10.158175999999999</v>
      </c>
      <c r="DF67" s="37">
        <v>10.158175999999999</v>
      </c>
      <c r="DG67" s="37">
        <v>10.158175999999999</v>
      </c>
      <c r="DH67" s="37">
        <v>10.158175999999999</v>
      </c>
      <c r="DI67" s="37">
        <v>10.158175999999999</v>
      </c>
      <c r="DJ67" s="37">
        <v>10.158175999999999</v>
      </c>
      <c r="DK67" s="37">
        <v>10.158175999999999</v>
      </c>
      <c r="DL67" s="37">
        <v>10.158175999999999</v>
      </c>
      <c r="DM67" s="37">
        <v>10.158175999999999</v>
      </c>
      <c r="DN67" s="37">
        <v>10.158175999999999</v>
      </c>
      <c r="DO67" s="37">
        <v>10.158175999999999</v>
      </c>
      <c r="DP67" s="37">
        <v>10.158175999999999</v>
      </c>
      <c r="DQ67" s="37">
        <v>10.158175999999999</v>
      </c>
      <c r="DR67" s="37">
        <v>10.158175999999999</v>
      </c>
      <c r="DS67" s="37">
        <v>10.158175999999999</v>
      </c>
      <c r="DT67" s="37">
        <v>10.158175999999999</v>
      </c>
      <c r="DU67" s="37">
        <v>10.158175999999999</v>
      </c>
      <c r="DV67" s="37">
        <v>10.158175999999999</v>
      </c>
      <c r="DW67" s="37">
        <v>10.158175999999999</v>
      </c>
      <c r="DX67" s="37">
        <v>10.158175999999999</v>
      </c>
      <c r="DY67" s="37">
        <v>10.158175999999999</v>
      </c>
      <c r="DZ67" s="37">
        <v>10.158175999999999</v>
      </c>
      <c r="EA67" s="37">
        <v>10.158175999999999</v>
      </c>
      <c r="EB67" s="37">
        <v>10.158175999999999</v>
      </c>
      <c r="EC67" s="37">
        <v>10.158175999999999</v>
      </c>
      <c r="ED67" s="37">
        <v>10.158175999999999</v>
      </c>
      <c r="EE67" s="37">
        <v>10.158175999999999</v>
      </c>
      <c r="EF67" s="37">
        <v>10.158175999999999</v>
      </c>
      <c r="EG67" s="37">
        <v>10.158175999999999</v>
      </c>
      <c r="EH67" s="37">
        <v>10.158175999999999</v>
      </c>
      <c r="EI67" s="37">
        <v>10.158175999999999</v>
      </c>
      <c r="EJ67" s="37">
        <v>10.158175999999999</v>
      </c>
      <c r="EK67" s="37">
        <v>10.158175999999999</v>
      </c>
      <c r="EL67" s="37">
        <v>10.158175999999999</v>
      </c>
      <c r="EM67" s="37">
        <v>10.158175999999999</v>
      </c>
      <c r="EN67" s="37">
        <v>10.158175999999999</v>
      </c>
      <c r="EO67" s="37">
        <v>10.158175999999999</v>
      </c>
      <c r="EP67" s="37">
        <v>10.158175999999999</v>
      </c>
      <c r="EQ67" s="37">
        <v>10.158175999999999</v>
      </c>
      <c r="ER67" s="37">
        <v>10.158175999999999</v>
      </c>
      <c r="ES67" s="37">
        <v>10.158175999999999</v>
      </c>
      <c r="ET67" s="37">
        <v>10.158175999999999</v>
      </c>
      <c r="EU67" s="37">
        <v>10.158175999999999</v>
      </c>
      <c r="EV67" s="37">
        <v>10.158175999999999</v>
      </c>
      <c r="EW67" s="37">
        <v>10.158175999999999</v>
      </c>
      <c r="EX67" s="37">
        <v>10.158175999999999</v>
      </c>
      <c r="EY67" s="37">
        <v>10.158175999999999</v>
      </c>
      <c r="EZ67" s="37">
        <v>10.158175999999999</v>
      </c>
      <c r="FA67" s="37">
        <v>10.158175999999999</v>
      </c>
      <c r="FB67" s="37">
        <v>10.158175999999999</v>
      </c>
      <c r="FC67" s="37">
        <v>10.158175999999999</v>
      </c>
      <c r="FD67" s="37">
        <v>10.158175999999999</v>
      </c>
      <c r="FE67" s="37">
        <v>10.158175999999999</v>
      </c>
      <c r="FF67" s="37">
        <v>10.158175999999999</v>
      </c>
      <c r="FG67" s="37">
        <v>10.158175999999999</v>
      </c>
      <c r="FH67" s="37">
        <v>10.158175999999999</v>
      </c>
      <c r="FI67" s="37">
        <v>10.158175999999999</v>
      </c>
      <c r="FJ67" s="37">
        <v>10.158175999999999</v>
      </c>
      <c r="FK67" s="37">
        <v>10.158175999999999</v>
      </c>
      <c r="FL67" s="37">
        <v>10.158175999999999</v>
      </c>
      <c r="FM67" s="37">
        <v>10.158175999999999</v>
      </c>
      <c r="FN67" s="37">
        <v>10.158175999999999</v>
      </c>
      <c r="FO67" s="37">
        <v>10.158175999999999</v>
      </c>
      <c r="FP67" s="37">
        <v>10.158175999999999</v>
      </c>
      <c r="FQ67" s="37">
        <v>10.158175999999999</v>
      </c>
      <c r="FR67" s="37">
        <v>10.158175999999999</v>
      </c>
      <c r="FS67" s="37">
        <v>10.158175999999999</v>
      </c>
      <c r="FT67" s="37">
        <v>10.158175999999999</v>
      </c>
      <c r="FU67" s="37">
        <v>10.158175999999999</v>
      </c>
      <c r="FV67" s="37">
        <v>10.158175999999999</v>
      </c>
      <c r="FW67" s="37">
        <v>10.158175999999999</v>
      </c>
      <c r="FX67" s="37">
        <v>10.158175999999999</v>
      </c>
      <c r="FY67" s="37">
        <v>10.158175999999999</v>
      </c>
      <c r="FZ67" s="37">
        <v>10.158175999999999</v>
      </c>
      <c r="GA67" s="37">
        <v>10.158175999999999</v>
      </c>
      <c r="GB67" s="37">
        <v>10.158175999999999</v>
      </c>
      <c r="GC67" s="37">
        <v>10.158175999999999</v>
      </c>
      <c r="GD67" s="37">
        <v>10.158175999999999</v>
      </c>
      <c r="GE67" s="37">
        <v>10.158175999999999</v>
      </c>
      <c r="GF67" s="37">
        <v>10.158175999999999</v>
      </c>
      <c r="GG67" s="37">
        <v>10.158175999999999</v>
      </c>
      <c r="GH67" s="37">
        <v>10.158175999999999</v>
      </c>
      <c r="GI67" s="37">
        <v>10.158175999999999</v>
      </c>
      <c r="GJ67" s="37">
        <v>10.158175999999999</v>
      </c>
      <c r="GK67" s="37">
        <v>10.158175999999999</v>
      </c>
      <c r="GL67" s="37">
        <v>10.158175999999999</v>
      </c>
      <c r="GM67" s="37">
        <v>10.158175999999999</v>
      </c>
      <c r="GN67" s="37">
        <v>10.158175999999999</v>
      </c>
      <c r="GO67" s="37">
        <v>10.158175999999999</v>
      </c>
      <c r="GP67" s="37">
        <v>10.158175999999999</v>
      </c>
      <c r="GQ67" s="37">
        <v>10.158175999999999</v>
      </c>
      <c r="GR67" s="37">
        <v>10.158175999999999</v>
      </c>
      <c r="GS67" s="37">
        <v>10.158175999999999</v>
      </c>
      <c r="GT67" s="37">
        <v>10.158175999999999</v>
      </c>
      <c r="GU67" s="37">
        <v>10.158175999999999</v>
      </c>
      <c r="GV67" s="37">
        <v>10.158175999999999</v>
      </c>
      <c r="GW67" s="37">
        <v>10.158175999999999</v>
      </c>
      <c r="GX67" s="37">
        <v>10.158175999999999</v>
      </c>
      <c r="GY67" s="37">
        <v>10.158175999999999</v>
      </c>
      <c r="GZ67" s="37">
        <v>10.158175999999999</v>
      </c>
      <c r="HA67" s="37">
        <v>10.158175999999999</v>
      </c>
      <c r="HB67" s="37">
        <v>10.158175999999999</v>
      </c>
      <c r="HC67" s="37">
        <v>10.158175999999999</v>
      </c>
      <c r="HD67" s="37">
        <v>10.158175999999999</v>
      </c>
      <c r="HE67" s="37">
        <v>10.158175999999999</v>
      </c>
      <c r="HF67" s="37">
        <v>10.158175999999999</v>
      </c>
      <c r="HG67" s="37">
        <v>10.158175999999999</v>
      </c>
      <c r="HH67" s="37">
        <v>10.158175999999999</v>
      </c>
      <c r="HI67" s="37">
        <v>10.158175999999999</v>
      </c>
      <c r="HJ67" s="37">
        <v>10.158175999999999</v>
      </c>
      <c r="HK67" s="37">
        <v>10.158175999999999</v>
      </c>
      <c r="HL67" s="37">
        <v>10.158175999999999</v>
      </c>
      <c r="HM67" s="37">
        <v>10.158175999999999</v>
      </c>
      <c r="HN67" s="37">
        <v>10.158175999999999</v>
      </c>
      <c r="HO67" s="37">
        <v>10.158175999999999</v>
      </c>
      <c r="HP67" s="37">
        <v>10.158175999999999</v>
      </c>
      <c r="HQ67" s="37">
        <v>10.158175999999999</v>
      </c>
      <c r="HR67" s="37">
        <v>10.158175999999999</v>
      </c>
      <c r="HS67" s="37">
        <v>10.158175999999999</v>
      </c>
      <c r="HT67" s="37">
        <v>10.158175999999999</v>
      </c>
      <c r="HU67" s="37">
        <v>10.158175999999999</v>
      </c>
      <c r="HV67" s="37">
        <v>10.158175999999999</v>
      </c>
      <c r="HW67" s="37">
        <v>10.158175999999999</v>
      </c>
      <c r="HX67" s="37">
        <v>10.158175999999999</v>
      </c>
      <c r="HY67" s="37">
        <v>10.158175999999999</v>
      </c>
      <c r="HZ67" s="37">
        <v>10.158175999999999</v>
      </c>
      <c r="IA67" s="37">
        <v>10.158175999999999</v>
      </c>
      <c r="IB67" s="37">
        <v>10.158175999999999</v>
      </c>
      <c r="IC67" s="37">
        <v>10.158175999999999</v>
      </c>
      <c r="ID67" s="37">
        <v>10.158175999999999</v>
      </c>
      <c r="IE67" s="37">
        <v>10.158175999999999</v>
      </c>
      <c r="IF67" s="37">
        <v>10.158175999999999</v>
      </c>
      <c r="IG67" s="37">
        <v>10.158175999999999</v>
      </c>
      <c r="IH67" s="37">
        <v>10.158175999999999</v>
      </c>
      <c r="II67" s="37">
        <v>10.158175999999999</v>
      </c>
      <c r="IJ67" s="37">
        <v>10.158175999999999</v>
      </c>
      <c r="IK67" s="37">
        <v>10.158175999999999</v>
      </c>
      <c r="IL67" s="37">
        <v>10.158175999999999</v>
      </c>
      <c r="IM67" s="37">
        <v>10.158175999999999</v>
      </c>
      <c r="IN67" s="37">
        <v>10.158175999999999</v>
      </c>
      <c r="IO67" s="37">
        <v>10.158175999999999</v>
      </c>
      <c r="IP67" s="37">
        <v>10.158175999999999</v>
      </c>
      <c r="IQ67" s="37">
        <v>10.158175999999999</v>
      </c>
      <c r="IR67" s="37">
        <v>10.158175999999999</v>
      </c>
      <c r="IS67" s="37">
        <v>10.158175999999999</v>
      </c>
      <c r="IT67" s="37">
        <v>10.158175999999999</v>
      </c>
      <c r="IU67" s="37">
        <v>10.158175999999999</v>
      </c>
      <c r="IV67" s="37">
        <v>10.158175999999999</v>
      </c>
      <c r="IW67" s="37">
        <v>10.158175999999999</v>
      </c>
      <c r="IX67" s="37">
        <v>10.158175999999999</v>
      </c>
      <c r="IY67" s="37">
        <v>10.158175999999999</v>
      </c>
      <c r="IZ67" s="37">
        <v>10.158175999999999</v>
      </c>
      <c r="JA67" s="37">
        <v>10.158175999999999</v>
      </c>
      <c r="JB67" s="37">
        <v>10.158175999999999</v>
      </c>
      <c r="JC67" s="37">
        <v>10.158175999999999</v>
      </c>
      <c r="JD67" s="37">
        <v>10.158175999999999</v>
      </c>
      <c r="JE67" s="37">
        <v>10.158175999999999</v>
      </c>
      <c r="JF67" s="37">
        <v>10.158175999999999</v>
      </c>
      <c r="JG67" s="37">
        <v>10.158175999999999</v>
      </c>
      <c r="JH67" s="37">
        <v>10.158175999999999</v>
      </c>
      <c r="JI67" s="37">
        <v>10.158175999999999</v>
      </c>
      <c r="JJ67" s="37">
        <v>10.158175999999999</v>
      </c>
      <c r="JK67" s="37">
        <v>10.158175999999999</v>
      </c>
      <c r="JL67" s="37">
        <v>10.158175999999999</v>
      </c>
      <c r="JM67" s="37">
        <v>10.158175999999999</v>
      </c>
      <c r="JN67" s="37">
        <v>10.158175999999999</v>
      </c>
      <c r="JO67" s="37">
        <v>10.158175999999999</v>
      </c>
      <c r="JP67" s="37">
        <v>10.158175999999999</v>
      </c>
      <c r="JQ67" s="37">
        <v>10.158175999999999</v>
      </c>
      <c r="JR67" s="37">
        <v>10.158175999999999</v>
      </c>
      <c r="JS67" s="37">
        <v>10.158175999999999</v>
      </c>
      <c r="JT67" s="37">
        <v>10.158175999999999</v>
      </c>
      <c r="JU67" s="37">
        <v>10.158175999999999</v>
      </c>
      <c r="JV67" s="37">
        <v>10.158175999999999</v>
      </c>
      <c r="JW67" s="37">
        <v>10.158175999999999</v>
      </c>
      <c r="JX67" s="37">
        <v>10.158175999999999</v>
      </c>
      <c r="JY67" s="37">
        <v>10.158175999999999</v>
      </c>
      <c r="JZ67" s="37">
        <v>10.158175999999999</v>
      </c>
      <c r="KA67" s="37">
        <v>10.158175999999999</v>
      </c>
      <c r="KB67" s="37">
        <v>10.158175999999999</v>
      </c>
      <c r="KC67" s="37">
        <v>10.158175999999999</v>
      </c>
      <c r="KD67" s="37">
        <v>10.158175999999999</v>
      </c>
      <c r="KE67" s="37">
        <v>10.158175999999999</v>
      </c>
      <c r="KF67" s="37">
        <v>10.158175999999999</v>
      </c>
      <c r="KG67" s="37">
        <v>10.158175999999999</v>
      </c>
      <c r="KH67" s="37">
        <v>10.158175999999999</v>
      </c>
      <c r="KI67" s="37">
        <v>10.158175999999999</v>
      </c>
      <c r="KJ67" s="37">
        <v>10.158175999999999</v>
      </c>
      <c r="KK67" s="37">
        <v>10.158175999999999</v>
      </c>
      <c r="KL67" s="37">
        <v>10.158175999999999</v>
      </c>
      <c r="KM67" s="37">
        <v>10.158175999999999</v>
      </c>
      <c r="KN67" s="37">
        <v>10.158175999999999</v>
      </c>
      <c r="KO67" s="37">
        <v>10.158175999999999</v>
      </c>
      <c r="KP67" s="37">
        <v>10.158175999999999</v>
      </c>
      <c r="KQ67" s="37">
        <v>10.158175999999999</v>
      </c>
      <c r="KR67" s="37">
        <v>10.158175999999999</v>
      </c>
      <c r="KS67" s="37">
        <v>10.158175999999999</v>
      </c>
      <c r="KT67" s="37">
        <v>10.158175999999999</v>
      </c>
      <c r="KU67" s="37">
        <v>10.158175999999999</v>
      </c>
      <c r="KV67" s="37">
        <v>10.158175999999999</v>
      </c>
      <c r="KW67" s="37">
        <v>10.158175999999999</v>
      </c>
      <c r="KX67" s="37">
        <v>10.158175999999999</v>
      </c>
      <c r="KY67" s="37">
        <v>10.158175999999999</v>
      </c>
      <c r="KZ67" s="37">
        <v>10.158175999999999</v>
      </c>
      <c r="LA67" s="37">
        <v>10.158175999999999</v>
      </c>
      <c r="LB67" s="37">
        <v>10.158175999999999</v>
      </c>
      <c r="LC67" s="37">
        <v>10.158175999999999</v>
      </c>
      <c r="LD67" s="37">
        <v>10.158175999999999</v>
      </c>
      <c r="LE67" s="37">
        <v>10.158175999999999</v>
      </c>
      <c r="LF67" s="37">
        <v>10.158175999999999</v>
      </c>
      <c r="LG67" s="37">
        <v>10.158175999999999</v>
      </c>
      <c r="LH67" s="37">
        <v>10.158175999999999</v>
      </c>
      <c r="LI67" s="37">
        <v>10.158175999999999</v>
      </c>
      <c r="LJ67" s="37">
        <v>10.158175999999999</v>
      </c>
      <c r="LK67" s="37">
        <v>10.158175999999999</v>
      </c>
      <c r="LL67" s="37">
        <v>10.158175999999999</v>
      </c>
      <c r="LM67" s="37">
        <v>10.158175999999999</v>
      </c>
      <c r="LN67" s="37">
        <v>10.158175999999999</v>
      </c>
      <c r="LO67" s="37">
        <v>10.158175999999999</v>
      </c>
      <c r="LP67" s="37">
        <v>10.158175999999999</v>
      </c>
      <c r="LQ67" s="37">
        <v>10.158175999999999</v>
      </c>
      <c r="LR67" s="37">
        <v>10.158175999999999</v>
      </c>
      <c r="LS67" s="37">
        <v>10.158175999999999</v>
      </c>
      <c r="LT67" s="37">
        <v>10.158175999999999</v>
      </c>
      <c r="LU67" s="37">
        <v>10.158175999999999</v>
      </c>
      <c r="LV67" s="37">
        <v>10.158175999999999</v>
      </c>
      <c r="LW67" s="37">
        <v>10.158175999999999</v>
      </c>
      <c r="LX67" s="37">
        <v>10.158175999999999</v>
      </c>
      <c r="LY67" s="37">
        <v>10.158175999999999</v>
      </c>
      <c r="LZ67" s="37">
        <v>10.158175999999999</v>
      </c>
      <c r="MA67" s="37">
        <v>10.158175999999999</v>
      </c>
      <c r="MB67" s="37">
        <v>10.158175999999999</v>
      </c>
      <c r="MC67" s="37">
        <v>10.158175999999999</v>
      </c>
      <c r="MD67" s="37">
        <v>10.158175999999999</v>
      </c>
      <c r="ME67" s="37">
        <v>10.158175999999999</v>
      </c>
      <c r="MF67" s="37">
        <v>10.158175999999999</v>
      </c>
      <c r="MG67" s="37">
        <v>10.158175999999999</v>
      </c>
      <c r="MH67" s="37">
        <v>10.158175999999999</v>
      </c>
      <c r="MI67" s="37">
        <v>10.158175999999999</v>
      </c>
      <c r="MJ67" s="37">
        <v>10.158175999999999</v>
      </c>
      <c r="MK67" s="37">
        <v>10.158175999999999</v>
      </c>
      <c r="ML67" s="37">
        <v>10.158175999999999</v>
      </c>
      <c r="MM67" s="37">
        <v>10.158175999999999</v>
      </c>
      <c r="MN67" s="37">
        <v>10.158175999999999</v>
      </c>
      <c r="MO67" s="37">
        <v>10.158175999999999</v>
      </c>
      <c r="MP67" s="37">
        <v>10.158175999999999</v>
      </c>
      <c r="MQ67" s="37">
        <v>10.158175999999999</v>
      </c>
      <c r="MR67" s="37">
        <v>10.158175999999999</v>
      </c>
      <c r="MS67" s="37">
        <v>10.158175999999999</v>
      </c>
      <c r="MT67" s="37">
        <v>10.158175999999999</v>
      </c>
      <c r="MU67" s="37">
        <v>10.158175999999999</v>
      </c>
      <c r="MV67" s="37">
        <v>10.158175999999999</v>
      </c>
      <c r="MW67" s="37">
        <v>10.158175999999999</v>
      </c>
      <c r="MX67" s="37">
        <v>10.158175999999999</v>
      </c>
      <c r="MY67" s="37">
        <v>10.158175999999999</v>
      </c>
      <c r="MZ67" s="37">
        <v>10.158175999999999</v>
      </c>
      <c r="NA67" s="37">
        <v>10.158175999999999</v>
      </c>
      <c r="NB67" s="37">
        <v>10.158175999999999</v>
      </c>
      <c r="NC67" s="37">
        <v>10.158175999999999</v>
      </c>
      <c r="ND67" s="37">
        <v>10.158175999999999</v>
      </c>
      <c r="NE67" s="37">
        <v>10.158175999999999</v>
      </c>
      <c r="NF67" s="37">
        <v>10.158175999999999</v>
      </c>
      <c r="NG67" s="37">
        <v>10.158175999999999</v>
      </c>
      <c r="NH67" s="37">
        <v>10.158175999999999</v>
      </c>
      <c r="NI67" s="37">
        <v>10.158175999999999</v>
      </c>
      <c r="NJ67" s="37">
        <v>10.158175999999999</v>
      </c>
      <c r="NK67" s="37">
        <v>10.158175999999999</v>
      </c>
      <c r="NL67" s="37">
        <v>10.158175999999999</v>
      </c>
      <c r="NM67" s="37">
        <v>10.158175999999999</v>
      </c>
      <c r="NN67" s="37">
        <v>10.158175999999999</v>
      </c>
      <c r="NO67" s="37">
        <v>10.158175999999999</v>
      </c>
      <c r="NP67" s="37">
        <v>10.158175999999999</v>
      </c>
      <c r="NQ67" s="37">
        <v>10.158175999999999</v>
      </c>
      <c r="NR67" s="37">
        <v>10.158175999999999</v>
      </c>
      <c r="NS67" s="37">
        <v>10.158175999999999</v>
      </c>
      <c r="NT67" s="37">
        <v>10.158175999999999</v>
      </c>
      <c r="NU67" s="37">
        <v>10.158175999999999</v>
      </c>
      <c r="NV67" s="37">
        <v>10.158175999999999</v>
      </c>
      <c r="NW67" s="37">
        <v>10.158175999999999</v>
      </c>
      <c r="NX67" s="37">
        <v>10.158175999999999</v>
      </c>
      <c r="NY67" s="37">
        <v>10.158175999999999</v>
      </c>
      <c r="NZ67" s="37">
        <v>10.158175999999999</v>
      </c>
      <c r="OA67" s="37">
        <v>10.158175999999999</v>
      </c>
      <c r="OB67" s="37">
        <v>10.158175999999999</v>
      </c>
      <c r="OC67" s="37">
        <v>10.158175999999999</v>
      </c>
      <c r="OD67" s="37">
        <v>10.158175999999999</v>
      </c>
      <c r="OE67" s="37">
        <v>10.158175999999999</v>
      </c>
      <c r="OF67" s="37">
        <v>10.158175999999999</v>
      </c>
      <c r="OG67" s="37">
        <v>10.158175999999999</v>
      </c>
      <c r="OH67" s="37">
        <v>10.158175999999999</v>
      </c>
      <c r="OI67" s="37">
        <v>10.158175999999999</v>
      </c>
      <c r="OJ67" s="37">
        <v>10.158175999999999</v>
      </c>
      <c r="OK67" s="37">
        <v>10.158175999999999</v>
      </c>
      <c r="OL67" s="37">
        <v>10.158175999999999</v>
      </c>
      <c r="OM67" s="37">
        <v>10.158175999999999</v>
      </c>
      <c r="ON67" s="37">
        <v>10.158175999999999</v>
      </c>
      <c r="OO67" s="37">
        <v>10.158175999999999</v>
      </c>
      <c r="OP67" s="37">
        <v>10.158175999999999</v>
      </c>
      <c r="OQ67" s="37">
        <v>10.158175999999999</v>
      </c>
      <c r="OR67" s="37">
        <v>10.158175999999999</v>
      </c>
      <c r="OS67" s="37">
        <v>10.158175999999999</v>
      </c>
      <c r="OT67" s="37">
        <v>10.158175999999999</v>
      </c>
      <c r="OU67" s="37">
        <v>10.158175999999999</v>
      </c>
      <c r="OV67" s="37">
        <v>10.158175999999999</v>
      </c>
      <c r="OW67" s="37">
        <v>10.158175999999999</v>
      </c>
      <c r="OX67" s="37">
        <v>10.158175999999999</v>
      </c>
      <c r="OY67" s="37">
        <v>10.158175999999999</v>
      </c>
      <c r="OZ67" s="37">
        <v>10.158175999999999</v>
      </c>
      <c r="PA67" s="37">
        <v>10.158175999999999</v>
      </c>
      <c r="PB67" s="37">
        <v>10.158175999999999</v>
      </c>
      <c r="PC67" s="37">
        <v>10.158175999999999</v>
      </c>
      <c r="PD67" s="37">
        <v>10.158175999999999</v>
      </c>
      <c r="PE67" s="37">
        <v>10.158175999999999</v>
      </c>
      <c r="PF67" s="37">
        <v>10.158175999999999</v>
      </c>
      <c r="PG67" s="37">
        <v>10.158175999999999</v>
      </c>
      <c r="PH67" s="37">
        <v>10.158175999999999</v>
      </c>
      <c r="PI67" s="37">
        <v>10.158175999999999</v>
      </c>
      <c r="PJ67" s="37">
        <v>10.158175999999999</v>
      </c>
      <c r="PK67" s="37">
        <v>10.158175999999999</v>
      </c>
      <c r="PL67" s="37">
        <v>10.158175999999999</v>
      </c>
      <c r="PM67" s="37">
        <v>10.158175999999999</v>
      </c>
      <c r="PN67" s="37">
        <v>10.158175999999999</v>
      </c>
      <c r="PO67" s="37">
        <v>10.158175999999999</v>
      </c>
      <c r="PP67" s="37">
        <v>10.158175999999999</v>
      </c>
      <c r="PQ67" s="37">
        <v>10.158175999999999</v>
      </c>
      <c r="PR67" s="37">
        <v>10.158175999999999</v>
      </c>
      <c r="PS67" s="15">
        <v>10.158175999999999</v>
      </c>
      <c r="PT67" s="15">
        <v>10.158175999999999</v>
      </c>
      <c r="PU67" s="15">
        <v>10.158175999999999</v>
      </c>
      <c r="PV67" s="15">
        <v>10.158175999999999</v>
      </c>
      <c r="PW67" s="15">
        <v>10.158175999999999</v>
      </c>
      <c r="PX67" s="15">
        <v>10.158175999999999</v>
      </c>
      <c r="PY67" s="15">
        <v>10.158175999999999</v>
      </c>
      <c r="PZ67" s="15">
        <v>10.158175999999999</v>
      </c>
      <c r="QA67" s="15">
        <v>10.158175999999999</v>
      </c>
      <c r="QB67" s="15">
        <v>10.158175999999999</v>
      </c>
      <c r="QC67" s="15">
        <v>10.158175999999999</v>
      </c>
      <c r="QD67" s="15">
        <v>10.158175999999999</v>
      </c>
      <c r="QE67" s="15">
        <v>10.158175999999999</v>
      </c>
      <c r="QF67" s="15">
        <v>10.158175999999999</v>
      </c>
      <c r="QG67" s="15">
        <v>10.158175999999999</v>
      </c>
      <c r="QH67" s="15">
        <v>10.158175999999999</v>
      </c>
      <c r="QI67" s="15">
        <v>10.158175999999999</v>
      </c>
      <c r="QJ67" s="15">
        <v>10.158175999999999</v>
      </c>
      <c r="QK67" s="15">
        <v>10.158175999999999</v>
      </c>
      <c r="QL67" s="15">
        <v>10.158175999999999</v>
      </c>
      <c r="QM67" s="15">
        <v>10.158175999999999</v>
      </c>
      <c r="QN67" s="15">
        <v>10.158175999999999</v>
      </c>
      <c r="QO67" s="15">
        <v>10.158175999999999</v>
      </c>
      <c r="QP67" s="15">
        <v>10.158175999999999</v>
      </c>
      <c r="QQ67" s="15">
        <v>10.158175999999999</v>
      </c>
      <c r="QR67" s="15">
        <v>10.158175999999999</v>
      </c>
      <c r="QS67" s="15">
        <v>10.158175999999999</v>
      </c>
      <c r="QT67" s="15">
        <v>10.158175999999999</v>
      </c>
      <c r="QU67" s="15">
        <v>10.158175999999999</v>
      </c>
      <c r="QV67" s="15">
        <v>10.158175999999999</v>
      </c>
      <c r="QW67" s="15">
        <v>10.158175999999999</v>
      </c>
      <c r="QX67" s="15">
        <v>10.158175999999999</v>
      </c>
      <c r="QY67" s="15">
        <v>10.158175999999999</v>
      </c>
      <c r="QZ67" s="15">
        <v>10.158175999999999</v>
      </c>
      <c r="RA67" s="15">
        <v>10.158175999999999</v>
      </c>
      <c r="RB67" s="15">
        <v>10.158175999999999</v>
      </c>
      <c r="RC67" s="15">
        <v>10.158175999999999</v>
      </c>
      <c r="RD67" s="15">
        <v>10.158175999999999</v>
      </c>
      <c r="RE67" s="15">
        <v>10.158175999999999</v>
      </c>
      <c r="RF67" s="15">
        <v>10.158175999999999</v>
      </c>
      <c r="RG67" s="15">
        <v>10.158175999999999</v>
      </c>
      <c r="RH67" s="15">
        <v>10.158175999999999</v>
      </c>
      <c r="RI67" s="15">
        <v>10.158175999999999</v>
      </c>
      <c r="RJ67" s="15">
        <v>10.158175999999999</v>
      </c>
      <c r="RK67" s="15">
        <v>10.158175999999999</v>
      </c>
      <c r="RL67" s="15">
        <v>10.158175999999999</v>
      </c>
      <c r="RM67" s="15">
        <v>10.158175999999999</v>
      </c>
      <c r="RN67" s="15">
        <v>10.158175999999999</v>
      </c>
      <c r="RO67" s="15">
        <v>10.158175999999999</v>
      </c>
      <c r="RP67" s="15">
        <v>10.158175999999999</v>
      </c>
      <c r="RQ67" s="15">
        <v>10.158175999999999</v>
      </c>
      <c r="RR67" s="15">
        <v>10.158175999999999</v>
      </c>
      <c r="RS67" s="15">
        <v>10.158175999999999</v>
      </c>
      <c r="RT67" s="15">
        <v>10.158175999999999</v>
      </c>
      <c r="RU67" s="15">
        <v>10.158175999999999</v>
      </c>
      <c r="RV67" s="15">
        <v>10.158175999999999</v>
      </c>
      <c r="RW67" s="15">
        <v>10.158175999999999</v>
      </c>
      <c r="RX67" s="15">
        <v>10.158175999999999</v>
      </c>
      <c r="RY67" s="15">
        <v>10.158175999999999</v>
      </c>
      <c r="RZ67" s="15">
        <v>10.158175999999999</v>
      </c>
      <c r="SA67" s="15">
        <v>10.158175999999999</v>
      </c>
      <c r="SB67" s="15">
        <v>10.158175999999999</v>
      </c>
      <c r="SC67" s="15">
        <v>10.158175999999999</v>
      </c>
      <c r="SD67" s="15">
        <v>10.158175999999999</v>
      </c>
      <c r="SE67" s="15">
        <v>10.158175999999999</v>
      </c>
      <c r="SF67" s="15">
        <v>10.158175999999999</v>
      </c>
      <c r="SG67" s="15">
        <v>10.158175999999999</v>
      </c>
      <c r="SH67" s="15">
        <v>10.158175999999999</v>
      </c>
      <c r="SI67" s="15">
        <v>10.158175999999999</v>
      </c>
      <c r="SJ67" s="15">
        <v>10.158175999999999</v>
      </c>
      <c r="SK67" s="15">
        <v>10.158175999999999</v>
      </c>
      <c r="SL67" s="15">
        <v>10.158175999999999</v>
      </c>
      <c r="SM67" s="15">
        <v>10.122256</v>
      </c>
    </row>
    <row r="68" spans="1:509" x14ac:dyDescent="0.2">
      <c r="A68" s="37">
        <v>66</v>
      </c>
      <c r="B68" s="37" t="s">
        <v>804</v>
      </c>
      <c r="C68" s="17">
        <f>+'Detalle Compras'!D68</f>
        <v>202508200096</v>
      </c>
      <c r="D68" s="55">
        <f t="shared" ref="D68:D131" si="16">+IF(B68="","",EA68)</f>
        <v>8.8054079999999999</v>
      </c>
      <c r="E68" s="14">
        <f>+IF(B68="","",'Detalle Compras'!S68+0)</f>
        <v>45940</v>
      </c>
      <c r="F68" s="14">
        <f>+IF(B68="","",EOMONTH('Detalle Compras'!S68,G68)+10)</f>
        <v>56928</v>
      </c>
      <c r="G68" s="50">
        <f t="shared" ref="G68:G131" si="17">+COUNTIF(I68:ADF68,"&gt;1")</f>
        <v>360</v>
      </c>
      <c r="H68" s="50">
        <f t="shared" ref="H68:H131" si="18">+COUNT(AF68:ADF68)</f>
        <v>356</v>
      </c>
      <c r="AB68" s="37">
        <v>8.8054079999999999</v>
      </c>
      <c r="AC68" s="37">
        <v>8.8054079999999999</v>
      </c>
      <c r="AD68" s="37">
        <v>8.8054079999999999</v>
      </c>
      <c r="AE68" s="37">
        <v>8.8054079999999999</v>
      </c>
      <c r="AF68" s="37">
        <v>8.8054079999999999</v>
      </c>
      <c r="AG68" s="37">
        <v>8.8054079999999999</v>
      </c>
      <c r="AH68" s="37">
        <v>8.8054079999999999</v>
      </c>
      <c r="AI68" s="37">
        <v>8.8054079999999999</v>
      </c>
      <c r="AJ68" s="37">
        <v>8.8054079999999999</v>
      </c>
      <c r="AK68" s="37">
        <v>8.8054079999999999</v>
      </c>
      <c r="AL68" s="37">
        <v>8.8054079999999999</v>
      </c>
      <c r="AM68" s="37">
        <v>8.8054079999999999</v>
      </c>
      <c r="AN68" s="37">
        <v>8.8054079999999999</v>
      </c>
      <c r="AO68" s="37">
        <v>8.8054079999999999</v>
      </c>
      <c r="AP68" s="37">
        <v>8.8054079999999999</v>
      </c>
      <c r="AQ68" s="37">
        <v>8.8054079999999999</v>
      </c>
      <c r="AR68" s="37">
        <v>8.8054079999999999</v>
      </c>
      <c r="AS68" s="37">
        <v>8.8054079999999999</v>
      </c>
      <c r="AT68" s="37">
        <v>8.8054079999999999</v>
      </c>
      <c r="AU68" s="37">
        <v>8.8054079999999999</v>
      </c>
      <c r="AV68" s="37">
        <v>8.8054079999999999</v>
      </c>
      <c r="AW68" s="37">
        <v>8.8054079999999999</v>
      </c>
      <c r="AX68" s="37">
        <v>8.8054079999999999</v>
      </c>
      <c r="AY68" s="37">
        <v>8.8054079999999999</v>
      </c>
      <c r="AZ68" s="37">
        <v>8.8054079999999999</v>
      </c>
      <c r="BA68" s="37">
        <v>8.8054079999999999</v>
      </c>
      <c r="BB68" s="37">
        <v>8.8054079999999999</v>
      </c>
      <c r="BC68" s="37">
        <v>8.8054079999999999</v>
      </c>
      <c r="BD68" s="37">
        <v>8.8054079999999999</v>
      </c>
      <c r="BE68" s="37">
        <v>8.8054079999999999</v>
      </c>
      <c r="BF68" s="37">
        <v>8.8054079999999999</v>
      </c>
      <c r="BG68" s="37">
        <v>8.8054079999999999</v>
      </c>
      <c r="BH68" s="37">
        <v>8.8054079999999999</v>
      </c>
      <c r="BI68" s="37">
        <v>8.8054079999999999</v>
      </c>
      <c r="BJ68" s="37">
        <v>8.8054079999999999</v>
      </c>
      <c r="BK68" s="37">
        <v>8.8054079999999999</v>
      </c>
      <c r="BL68" s="37">
        <v>8.8054079999999999</v>
      </c>
      <c r="BM68" s="37">
        <v>8.8054079999999999</v>
      </c>
      <c r="BN68" s="37">
        <v>8.8054079999999999</v>
      </c>
      <c r="BO68" s="37">
        <v>8.8054079999999999</v>
      </c>
      <c r="BP68" s="37">
        <v>8.8054079999999999</v>
      </c>
      <c r="BQ68" s="37">
        <v>8.8054079999999999</v>
      </c>
      <c r="BR68" s="37">
        <v>8.8054079999999999</v>
      </c>
      <c r="BS68" s="37">
        <v>8.8054079999999999</v>
      </c>
      <c r="BT68" s="37">
        <v>8.8054079999999999</v>
      </c>
      <c r="BU68" s="37">
        <v>8.8054079999999999</v>
      </c>
      <c r="BV68" s="37">
        <v>8.8054079999999999</v>
      </c>
      <c r="BW68" s="37">
        <v>8.8054079999999999</v>
      </c>
      <c r="BX68" s="37">
        <v>8.8054079999999999</v>
      </c>
      <c r="BY68" s="37">
        <v>8.8054079999999999</v>
      </c>
      <c r="BZ68" s="37">
        <v>8.8054079999999999</v>
      </c>
      <c r="CA68" s="37">
        <v>8.8054079999999999</v>
      </c>
      <c r="CB68" s="37">
        <v>8.8054079999999999</v>
      </c>
      <c r="CC68" s="37">
        <v>8.8054079999999999</v>
      </c>
      <c r="CD68" s="37">
        <v>8.8054079999999999</v>
      </c>
      <c r="CE68" s="37">
        <v>8.8054079999999999</v>
      </c>
      <c r="CF68" s="37">
        <v>8.8054079999999999</v>
      </c>
      <c r="CG68" s="37">
        <v>8.8054079999999999</v>
      </c>
      <c r="CH68" s="37">
        <v>8.8054079999999999</v>
      </c>
      <c r="CI68" s="37">
        <v>8.8054079999999999</v>
      </c>
      <c r="CJ68" s="37">
        <v>8.8054079999999999</v>
      </c>
      <c r="CK68" s="37">
        <v>8.8054079999999999</v>
      </c>
      <c r="CL68" s="37">
        <v>8.8054079999999999</v>
      </c>
      <c r="CM68" s="37">
        <v>8.8054079999999999</v>
      </c>
      <c r="CN68" s="37">
        <v>8.8054079999999999</v>
      </c>
      <c r="CO68" s="37">
        <v>8.8054079999999999</v>
      </c>
      <c r="CP68" s="37">
        <v>8.8054079999999999</v>
      </c>
      <c r="CQ68" s="37">
        <v>8.8054079999999999</v>
      </c>
      <c r="CR68" s="37">
        <v>8.8054079999999999</v>
      </c>
      <c r="CS68" s="37">
        <v>8.8054079999999999</v>
      </c>
      <c r="CT68" s="37">
        <v>8.8054079999999999</v>
      </c>
      <c r="CU68" s="37">
        <v>8.8054079999999999</v>
      </c>
      <c r="CV68" s="37">
        <v>8.8054079999999999</v>
      </c>
      <c r="CW68" s="37">
        <v>8.8054079999999999</v>
      </c>
      <c r="CX68" s="37">
        <v>8.8054079999999999</v>
      </c>
      <c r="CY68" s="37">
        <v>8.8054079999999999</v>
      </c>
      <c r="CZ68" s="37">
        <v>8.8054079999999999</v>
      </c>
      <c r="DA68" s="37">
        <v>8.8054079999999999</v>
      </c>
      <c r="DB68" s="37">
        <v>8.8054079999999999</v>
      </c>
      <c r="DC68" s="37">
        <v>8.8054079999999999</v>
      </c>
      <c r="DD68" s="37">
        <v>8.8054079999999999</v>
      </c>
      <c r="DE68" s="37">
        <v>8.8054079999999999</v>
      </c>
      <c r="DF68" s="37">
        <v>8.8054079999999999</v>
      </c>
      <c r="DG68" s="37">
        <v>8.8054079999999999</v>
      </c>
      <c r="DH68" s="37">
        <v>8.8054079999999999</v>
      </c>
      <c r="DI68" s="37">
        <v>8.8054079999999999</v>
      </c>
      <c r="DJ68" s="37">
        <v>8.8054079999999999</v>
      </c>
      <c r="DK68" s="37">
        <v>8.8054079999999999</v>
      </c>
      <c r="DL68" s="37">
        <v>8.8054079999999999</v>
      </c>
      <c r="DM68" s="37">
        <v>8.8054079999999999</v>
      </c>
      <c r="DN68" s="37">
        <v>8.8054079999999999</v>
      </c>
      <c r="DO68" s="37">
        <v>8.8054079999999999</v>
      </c>
      <c r="DP68" s="37">
        <v>8.8054079999999999</v>
      </c>
      <c r="DQ68" s="37">
        <v>8.8054079999999999</v>
      </c>
      <c r="DR68" s="37">
        <v>8.8054079999999999</v>
      </c>
      <c r="DS68" s="37">
        <v>8.8054079999999999</v>
      </c>
      <c r="DT68" s="37">
        <v>8.8054079999999999</v>
      </c>
      <c r="DU68" s="37">
        <v>8.8054079999999999</v>
      </c>
      <c r="DV68" s="37">
        <v>8.8054079999999999</v>
      </c>
      <c r="DW68" s="37">
        <v>8.8054079999999999</v>
      </c>
      <c r="DX68" s="37">
        <v>8.8054079999999999</v>
      </c>
      <c r="DY68" s="37">
        <v>8.8054079999999999</v>
      </c>
      <c r="DZ68" s="37">
        <v>8.8054079999999999</v>
      </c>
      <c r="EA68" s="37">
        <v>8.8054079999999999</v>
      </c>
      <c r="EB68" s="37">
        <v>8.8054079999999999</v>
      </c>
      <c r="EC68" s="37">
        <v>8.8054079999999999</v>
      </c>
      <c r="ED68" s="37">
        <v>8.8054079999999999</v>
      </c>
      <c r="EE68" s="37">
        <v>8.8054079999999999</v>
      </c>
      <c r="EF68" s="37">
        <v>8.8054079999999999</v>
      </c>
      <c r="EG68" s="37">
        <v>8.8054079999999999</v>
      </c>
      <c r="EH68" s="37">
        <v>8.8054079999999999</v>
      </c>
      <c r="EI68" s="37">
        <v>8.8054079999999999</v>
      </c>
      <c r="EJ68" s="37">
        <v>8.8054079999999999</v>
      </c>
      <c r="EK68" s="37">
        <v>8.8054079999999999</v>
      </c>
      <c r="EL68" s="37">
        <v>8.8054079999999999</v>
      </c>
      <c r="EM68" s="37">
        <v>8.8054079999999999</v>
      </c>
      <c r="EN68" s="37">
        <v>8.8054079999999999</v>
      </c>
      <c r="EO68" s="37">
        <v>8.8054079999999999</v>
      </c>
      <c r="EP68" s="37">
        <v>8.8054079999999999</v>
      </c>
      <c r="EQ68" s="37">
        <v>8.8054079999999999</v>
      </c>
      <c r="ER68" s="37">
        <v>8.8054079999999999</v>
      </c>
      <c r="ES68" s="37">
        <v>8.8054079999999999</v>
      </c>
      <c r="ET68" s="37">
        <v>8.8054079999999999</v>
      </c>
      <c r="EU68" s="37">
        <v>8.8054079999999999</v>
      </c>
      <c r="EV68" s="37">
        <v>8.8054079999999999</v>
      </c>
      <c r="EW68" s="37">
        <v>8.8054079999999999</v>
      </c>
      <c r="EX68" s="37">
        <v>8.8054079999999999</v>
      </c>
      <c r="EY68" s="37">
        <v>8.8054079999999999</v>
      </c>
      <c r="EZ68" s="37">
        <v>8.8054079999999999</v>
      </c>
      <c r="FA68" s="37">
        <v>8.8054079999999999</v>
      </c>
      <c r="FB68" s="37">
        <v>8.8054079999999999</v>
      </c>
      <c r="FC68" s="37">
        <v>8.8054079999999999</v>
      </c>
      <c r="FD68" s="37">
        <v>8.8054079999999999</v>
      </c>
      <c r="FE68" s="37">
        <v>8.8054079999999999</v>
      </c>
      <c r="FF68" s="37">
        <v>8.8054079999999999</v>
      </c>
      <c r="FG68" s="37">
        <v>8.8054079999999999</v>
      </c>
      <c r="FH68" s="37">
        <v>8.8054079999999999</v>
      </c>
      <c r="FI68" s="37">
        <v>8.8054079999999999</v>
      </c>
      <c r="FJ68" s="37">
        <v>8.8054079999999999</v>
      </c>
      <c r="FK68" s="37">
        <v>8.8054079999999999</v>
      </c>
      <c r="FL68" s="37">
        <v>8.8054079999999999</v>
      </c>
      <c r="FM68" s="37">
        <v>8.8054079999999999</v>
      </c>
      <c r="FN68" s="37">
        <v>8.8054079999999999</v>
      </c>
      <c r="FO68" s="37">
        <v>8.8054079999999999</v>
      </c>
      <c r="FP68" s="37">
        <v>8.8054079999999999</v>
      </c>
      <c r="FQ68" s="37">
        <v>8.8054079999999999</v>
      </c>
      <c r="FR68" s="37">
        <v>8.8054079999999999</v>
      </c>
      <c r="FS68" s="37">
        <v>8.8054079999999999</v>
      </c>
      <c r="FT68" s="37">
        <v>8.8054079999999999</v>
      </c>
      <c r="FU68" s="37">
        <v>8.8054079999999999</v>
      </c>
      <c r="FV68" s="37">
        <v>8.8054079999999999</v>
      </c>
      <c r="FW68" s="37">
        <v>8.8054079999999999</v>
      </c>
      <c r="FX68" s="37">
        <v>8.8054079999999999</v>
      </c>
      <c r="FY68" s="37">
        <v>8.8054079999999999</v>
      </c>
      <c r="FZ68" s="37">
        <v>8.8054079999999999</v>
      </c>
      <c r="GA68" s="37">
        <v>8.8054079999999999</v>
      </c>
      <c r="GB68" s="37">
        <v>8.8054079999999999</v>
      </c>
      <c r="GC68" s="37">
        <v>8.8054079999999999</v>
      </c>
      <c r="GD68" s="37">
        <v>8.8054079999999999</v>
      </c>
      <c r="GE68" s="37">
        <v>8.8054079999999999</v>
      </c>
      <c r="GF68" s="37">
        <v>8.8054079999999999</v>
      </c>
      <c r="GG68" s="37">
        <v>8.8054079999999999</v>
      </c>
      <c r="GH68" s="37">
        <v>8.8054079999999999</v>
      </c>
      <c r="GI68" s="37">
        <v>8.8054079999999999</v>
      </c>
      <c r="GJ68" s="37">
        <v>8.8054079999999999</v>
      </c>
      <c r="GK68" s="37">
        <v>8.8054079999999999</v>
      </c>
      <c r="GL68" s="37">
        <v>8.8054079999999999</v>
      </c>
      <c r="GM68" s="37">
        <v>8.8054079999999999</v>
      </c>
      <c r="GN68" s="37">
        <v>8.8054079999999999</v>
      </c>
      <c r="GO68" s="37">
        <v>8.8054079999999999</v>
      </c>
      <c r="GP68" s="37">
        <v>8.8054079999999999</v>
      </c>
      <c r="GQ68" s="37">
        <v>8.8054079999999999</v>
      </c>
      <c r="GR68" s="37">
        <v>8.8054079999999999</v>
      </c>
      <c r="GS68" s="37">
        <v>8.8054079999999999</v>
      </c>
      <c r="GT68" s="37">
        <v>8.8054079999999999</v>
      </c>
      <c r="GU68" s="37">
        <v>8.8054079999999999</v>
      </c>
      <c r="GV68" s="37">
        <v>8.8054079999999999</v>
      </c>
      <c r="GW68" s="37">
        <v>8.8054079999999999</v>
      </c>
      <c r="GX68" s="37">
        <v>8.8054079999999999</v>
      </c>
      <c r="GY68" s="37">
        <v>8.8054079999999999</v>
      </c>
      <c r="GZ68" s="37">
        <v>8.8054079999999999</v>
      </c>
      <c r="HA68" s="37">
        <v>8.8054079999999999</v>
      </c>
      <c r="HB68" s="37">
        <v>8.8054079999999999</v>
      </c>
      <c r="HC68" s="37">
        <v>8.8054079999999999</v>
      </c>
      <c r="HD68" s="37">
        <v>8.8054079999999999</v>
      </c>
      <c r="HE68" s="37">
        <v>8.8054079999999999</v>
      </c>
      <c r="HF68" s="37">
        <v>8.8054079999999999</v>
      </c>
      <c r="HG68" s="37">
        <v>8.8054079999999999</v>
      </c>
      <c r="HH68" s="37">
        <v>8.8054079999999999</v>
      </c>
      <c r="HI68" s="37">
        <v>8.8054079999999999</v>
      </c>
      <c r="HJ68" s="37">
        <v>8.8054079999999999</v>
      </c>
      <c r="HK68" s="37">
        <v>8.8054079999999999</v>
      </c>
      <c r="HL68" s="37">
        <v>8.8054079999999999</v>
      </c>
      <c r="HM68" s="37">
        <v>8.8054079999999999</v>
      </c>
      <c r="HN68" s="37">
        <v>8.8054079999999999</v>
      </c>
      <c r="HO68" s="37">
        <v>8.8054079999999999</v>
      </c>
      <c r="HP68" s="37">
        <v>8.8054079999999999</v>
      </c>
      <c r="HQ68" s="37">
        <v>8.8054079999999999</v>
      </c>
      <c r="HR68" s="37">
        <v>8.8054079999999999</v>
      </c>
      <c r="HS68" s="37">
        <v>8.8054079999999999</v>
      </c>
      <c r="HT68" s="37">
        <v>8.8054079999999999</v>
      </c>
      <c r="HU68" s="37">
        <v>8.8054079999999999</v>
      </c>
      <c r="HV68" s="37">
        <v>8.8054079999999999</v>
      </c>
      <c r="HW68" s="37">
        <v>8.8054079999999999</v>
      </c>
      <c r="HX68" s="37">
        <v>8.8054079999999999</v>
      </c>
      <c r="HY68" s="37">
        <v>8.8054079999999999</v>
      </c>
      <c r="HZ68" s="37">
        <v>8.8054079999999999</v>
      </c>
      <c r="IA68" s="37">
        <v>8.8054079999999999</v>
      </c>
      <c r="IB68" s="37">
        <v>8.8054079999999999</v>
      </c>
      <c r="IC68" s="37">
        <v>8.8054079999999999</v>
      </c>
      <c r="ID68" s="37">
        <v>8.8054079999999999</v>
      </c>
      <c r="IE68" s="37">
        <v>8.8054079999999999</v>
      </c>
      <c r="IF68" s="37">
        <v>8.8054079999999999</v>
      </c>
      <c r="IG68" s="37">
        <v>8.8054079999999999</v>
      </c>
      <c r="IH68" s="37">
        <v>8.8054079999999999</v>
      </c>
      <c r="II68" s="37">
        <v>8.8054079999999999</v>
      </c>
      <c r="IJ68" s="37">
        <v>8.8054079999999999</v>
      </c>
      <c r="IK68" s="37">
        <v>8.8054079999999999</v>
      </c>
      <c r="IL68" s="37">
        <v>8.8054079999999999</v>
      </c>
      <c r="IM68" s="37">
        <v>8.8054079999999999</v>
      </c>
      <c r="IN68" s="37">
        <v>8.8054079999999999</v>
      </c>
      <c r="IO68" s="37">
        <v>8.8054079999999999</v>
      </c>
      <c r="IP68" s="37">
        <v>8.8054079999999999</v>
      </c>
      <c r="IQ68" s="37">
        <v>8.8054079999999999</v>
      </c>
      <c r="IR68" s="37">
        <v>8.8054079999999999</v>
      </c>
      <c r="IS68" s="37">
        <v>8.8054079999999999</v>
      </c>
      <c r="IT68" s="37">
        <v>8.8054079999999999</v>
      </c>
      <c r="IU68" s="37">
        <v>8.8054079999999999</v>
      </c>
      <c r="IV68" s="37">
        <v>8.8054079999999999</v>
      </c>
      <c r="IW68" s="37">
        <v>8.8054079999999999</v>
      </c>
      <c r="IX68" s="37">
        <v>8.8054079999999999</v>
      </c>
      <c r="IY68" s="37">
        <v>8.8054079999999999</v>
      </c>
      <c r="IZ68" s="37">
        <v>8.8054079999999999</v>
      </c>
      <c r="JA68" s="37">
        <v>8.8054079999999999</v>
      </c>
      <c r="JB68" s="37">
        <v>8.8054079999999999</v>
      </c>
      <c r="JC68" s="37">
        <v>8.8054079999999999</v>
      </c>
      <c r="JD68" s="37">
        <v>8.8054079999999999</v>
      </c>
      <c r="JE68" s="37">
        <v>8.8054079999999999</v>
      </c>
      <c r="JF68" s="37">
        <v>8.8054079999999999</v>
      </c>
      <c r="JG68" s="37">
        <v>8.8054079999999999</v>
      </c>
      <c r="JH68" s="37">
        <v>8.8054079999999999</v>
      </c>
      <c r="JI68" s="37">
        <v>8.8054079999999999</v>
      </c>
      <c r="JJ68" s="37">
        <v>8.8054079999999999</v>
      </c>
      <c r="JK68" s="37">
        <v>8.8054079999999999</v>
      </c>
      <c r="JL68" s="37">
        <v>8.8054079999999999</v>
      </c>
      <c r="JM68" s="37">
        <v>8.8054079999999999</v>
      </c>
      <c r="JN68" s="37">
        <v>8.8054079999999999</v>
      </c>
      <c r="JO68" s="37">
        <v>8.8054079999999999</v>
      </c>
      <c r="JP68" s="37">
        <v>8.8054079999999999</v>
      </c>
      <c r="JQ68" s="37">
        <v>8.8054079999999999</v>
      </c>
      <c r="JR68" s="37">
        <v>8.8054079999999999</v>
      </c>
      <c r="JS68" s="37">
        <v>8.8054079999999999</v>
      </c>
      <c r="JT68" s="37">
        <v>8.8054079999999999</v>
      </c>
      <c r="JU68" s="37">
        <v>8.8054079999999999</v>
      </c>
      <c r="JV68" s="37">
        <v>8.8054079999999999</v>
      </c>
      <c r="JW68" s="37">
        <v>8.8054079999999999</v>
      </c>
      <c r="JX68" s="37">
        <v>8.8054079999999999</v>
      </c>
      <c r="JY68" s="37">
        <v>8.8054079999999999</v>
      </c>
      <c r="JZ68" s="37">
        <v>8.8054079999999999</v>
      </c>
      <c r="KA68" s="37">
        <v>8.8054079999999999</v>
      </c>
      <c r="KB68" s="37">
        <v>8.8054079999999999</v>
      </c>
      <c r="KC68" s="37">
        <v>8.8054079999999999</v>
      </c>
      <c r="KD68" s="37">
        <v>8.8054079999999999</v>
      </c>
      <c r="KE68" s="37">
        <v>8.8054079999999999</v>
      </c>
      <c r="KF68" s="37">
        <v>8.8054079999999999</v>
      </c>
      <c r="KG68" s="37">
        <v>8.8054079999999999</v>
      </c>
      <c r="KH68" s="37">
        <v>8.8054079999999999</v>
      </c>
      <c r="KI68" s="37">
        <v>8.8054079999999999</v>
      </c>
      <c r="KJ68" s="37">
        <v>8.8054079999999999</v>
      </c>
      <c r="KK68" s="37">
        <v>8.8054079999999999</v>
      </c>
      <c r="KL68" s="37">
        <v>8.8054079999999999</v>
      </c>
      <c r="KM68" s="37">
        <v>8.8054079999999999</v>
      </c>
      <c r="KN68" s="37">
        <v>8.8054079999999999</v>
      </c>
      <c r="KO68" s="37">
        <v>8.8054079999999999</v>
      </c>
      <c r="KP68" s="37">
        <v>8.8054079999999999</v>
      </c>
      <c r="KQ68" s="37">
        <v>8.8054079999999999</v>
      </c>
      <c r="KR68" s="37">
        <v>8.8054079999999999</v>
      </c>
      <c r="KS68" s="37">
        <v>8.8054079999999999</v>
      </c>
      <c r="KT68" s="37">
        <v>8.8054079999999999</v>
      </c>
      <c r="KU68" s="37">
        <v>8.8054079999999999</v>
      </c>
      <c r="KV68" s="37">
        <v>8.8054079999999999</v>
      </c>
      <c r="KW68" s="37">
        <v>8.8054079999999999</v>
      </c>
      <c r="KX68" s="37">
        <v>8.8054079999999999</v>
      </c>
      <c r="KY68" s="37">
        <v>8.8054079999999999</v>
      </c>
      <c r="KZ68" s="37">
        <v>8.8054079999999999</v>
      </c>
      <c r="LA68" s="37">
        <v>8.8054079999999999</v>
      </c>
      <c r="LB68" s="37">
        <v>8.8054079999999999</v>
      </c>
      <c r="LC68" s="37">
        <v>8.8054079999999999</v>
      </c>
      <c r="LD68" s="37">
        <v>8.8054079999999999</v>
      </c>
      <c r="LE68" s="37">
        <v>8.8054079999999999</v>
      </c>
      <c r="LF68" s="37">
        <v>8.8054079999999999</v>
      </c>
      <c r="LG68" s="37">
        <v>8.8054079999999999</v>
      </c>
      <c r="LH68" s="37">
        <v>8.8054079999999999</v>
      </c>
      <c r="LI68" s="37">
        <v>8.8054079999999999</v>
      </c>
      <c r="LJ68" s="37">
        <v>8.8054079999999999</v>
      </c>
      <c r="LK68" s="37">
        <v>8.8054079999999999</v>
      </c>
      <c r="LL68" s="37">
        <v>8.8054079999999999</v>
      </c>
      <c r="LM68" s="37">
        <v>8.8054079999999999</v>
      </c>
      <c r="LN68" s="37">
        <v>8.8054079999999999</v>
      </c>
      <c r="LO68" s="37">
        <v>8.8054079999999999</v>
      </c>
      <c r="LP68" s="37">
        <v>8.8054079999999999</v>
      </c>
      <c r="LQ68" s="37">
        <v>8.8054079999999999</v>
      </c>
      <c r="LR68" s="37">
        <v>8.8054079999999999</v>
      </c>
      <c r="LS68" s="37">
        <v>8.8054079999999999</v>
      </c>
      <c r="LT68" s="37">
        <v>8.8054079999999999</v>
      </c>
      <c r="LU68" s="37">
        <v>8.8054079999999999</v>
      </c>
      <c r="LV68" s="37">
        <v>8.8054079999999999</v>
      </c>
      <c r="LW68" s="37">
        <v>8.8054079999999999</v>
      </c>
      <c r="LX68" s="37">
        <v>8.8054079999999999</v>
      </c>
      <c r="LY68" s="37">
        <v>8.8054079999999999</v>
      </c>
      <c r="LZ68" s="37">
        <v>8.8054079999999999</v>
      </c>
      <c r="MA68" s="37">
        <v>8.8054079999999999</v>
      </c>
      <c r="MB68" s="37">
        <v>8.8054079999999999</v>
      </c>
      <c r="MC68" s="37">
        <v>8.8054079999999999</v>
      </c>
      <c r="MD68" s="37">
        <v>8.8054079999999999</v>
      </c>
      <c r="ME68" s="37">
        <v>8.8054079999999999</v>
      </c>
      <c r="MF68" s="37">
        <v>8.8054079999999999</v>
      </c>
      <c r="MG68" s="37">
        <v>8.8054079999999999</v>
      </c>
      <c r="MH68" s="37">
        <v>8.8054079999999999</v>
      </c>
      <c r="MI68" s="37">
        <v>8.8054079999999999</v>
      </c>
      <c r="MJ68" s="37">
        <v>8.8054079999999999</v>
      </c>
      <c r="MK68" s="37">
        <v>8.8054079999999999</v>
      </c>
      <c r="ML68" s="37">
        <v>8.8054079999999999</v>
      </c>
      <c r="MM68" s="37">
        <v>8.8054079999999999</v>
      </c>
      <c r="MN68" s="37">
        <v>8.8054079999999999</v>
      </c>
      <c r="MO68" s="37">
        <v>8.8054079999999999</v>
      </c>
      <c r="MP68" s="37">
        <v>8.8054079999999999</v>
      </c>
      <c r="MQ68" s="37">
        <v>8.8054079999999999</v>
      </c>
      <c r="MR68" s="37">
        <v>8.8054079999999999</v>
      </c>
      <c r="MS68" s="37">
        <v>8.8054079999999999</v>
      </c>
      <c r="MT68" s="37">
        <v>8.8054079999999999</v>
      </c>
      <c r="MU68" s="37">
        <v>8.8054079999999999</v>
      </c>
      <c r="MV68" s="37">
        <v>8.8054079999999999</v>
      </c>
      <c r="MW68" s="37">
        <v>8.8054079999999999</v>
      </c>
      <c r="MX68" s="37">
        <v>8.8054079999999999</v>
      </c>
      <c r="MY68" s="37">
        <v>8.8054079999999999</v>
      </c>
      <c r="MZ68" s="37">
        <v>8.8054079999999999</v>
      </c>
      <c r="NA68" s="37">
        <v>8.8054079999999999</v>
      </c>
      <c r="NB68" s="37">
        <v>8.8054079999999999</v>
      </c>
      <c r="NC68" s="37">
        <v>8.8054079999999999</v>
      </c>
      <c r="ND68" s="37">
        <v>8.8054079999999999</v>
      </c>
      <c r="NE68" s="37">
        <v>8.8054079999999999</v>
      </c>
      <c r="NF68" s="37">
        <v>8.8054079999999999</v>
      </c>
      <c r="NG68" s="37">
        <v>8.8054079999999999</v>
      </c>
      <c r="NH68" s="37">
        <v>8.8054079999999999</v>
      </c>
      <c r="NI68" s="37">
        <v>8.8054079999999999</v>
      </c>
      <c r="NJ68" s="37">
        <v>8.8054079999999999</v>
      </c>
      <c r="NK68" s="37">
        <v>8.8054079999999999</v>
      </c>
      <c r="NL68" s="37">
        <v>8.8054079999999999</v>
      </c>
      <c r="NM68" s="37">
        <v>8.8054079999999999</v>
      </c>
      <c r="NN68" s="37">
        <v>8.8054079999999999</v>
      </c>
      <c r="NO68" s="37">
        <v>8.8054079999999999</v>
      </c>
      <c r="NP68" s="37">
        <v>8.8054079999999999</v>
      </c>
      <c r="NQ68" s="37">
        <v>8.8054079999999999</v>
      </c>
      <c r="NR68" s="37">
        <v>8.8054079999999999</v>
      </c>
      <c r="NS68" s="37">
        <v>8.8054079999999999</v>
      </c>
      <c r="NT68" s="37">
        <v>8.8054079999999999</v>
      </c>
      <c r="NU68" s="37">
        <v>8.8054079999999999</v>
      </c>
      <c r="NV68" s="37">
        <v>8.8054079999999999</v>
      </c>
      <c r="NW68" s="37">
        <v>9.4851039999999998</v>
      </c>
      <c r="NX68" s="37" t="s">
        <v>668</v>
      </c>
      <c r="NY68" s="37" t="s">
        <v>668</v>
      </c>
      <c r="NZ68" s="37" t="s">
        <v>668</v>
      </c>
      <c r="OA68" s="37" t="s">
        <v>668</v>
      </c>
      <c r="OB68" s="37" t="s">
        <v>668</v>
      </c>
      <c r="OC68" s="37" t="s">
        <v>668</v>
      </c>
      <c r="OD68" s="37" t="s">
        <v>668</v>
      </c>
      <c r="OE68" s="37" t="s">
        <v>668</v>
      </c>
      <c r="OF68" s="37" t="s">
        <v>668</v>
      </c>
      <c r="OG68" s="37" t="s">
        <v>668</v>
      </c>
      <c r="OH68" s="37" t="s">
        <v>668</v>
      </c>
      <c r="OI68" s="37" t="s">
        <v>668</v>
      </c>
      <c r="OJ68" s="37" t="s">
        <v>668</v>
      </c>
      <c r="OK68" s="37" t="s">
        <v>668</v>
      </c>
      <c r="OL68" s="37" t="s">
        <v>668</v>
      </c>
      <c r="OM68" s="37" t="s">
        <v>668</v>
      </c>
      <c r="ON68" s="37" t="s">
        <v>668</v>
      </c>
      <c r="OO68" s="37" t="s">
        <v>668</v>
      </c>
      <c r="OP68" s="37" t="s">
        <v>668</v>
      </c>
      <c r="OQ68" s="37" t="s">
        <v>668</v>
      </c>
      <c r="OR68" s="37" t="s">
        <v>668</v>
      </c>
      <c r="OS68" s="37" t="s">
        <v>668</v>
      </c>
      <c r="OT68" s="37" t="s">
        <v>668</v>
      </c>
      <c r="OU68" s="37" t="s">
        <v>668</v>
      </c>
      <c r="OV68" s="37" t="s">
        <v>668</v>
      </c>
      <c r="OW68" s="37" t="s">
        <v>668</v>
      </c>
      <c r="OX68" s="37" t="s">
        <v>668</v>
      </c>
      <c r="OY68" s="37" t="s">
        <v>668</v>
      </c>
      <c r="OZ68" s="37" t="s">
        <v>668</v>
      </c>
      <c r="PA68" s="37" t="s">
        <v>668</v>
      </c>
      <c r="PB68" s="37" t="s">
        <v>668</v>
      </c>
      <c r="PC68" s="37" t="s">
        <v>668</v>
      </c>
      <c r="PD68" s="37" t="s">
        <v>668</v>
      </c>
      <c r="PE68" s="37" t="s">
        <v>668</v>
      </c>
      <c r="PF68" s="37" t="s">
        <v>668</v>
      </c>
      <c r="PG68" s="37" t="s">
        <v>668</v>
      </c>
      <c r="PH68" s="37" t="s">
        <v>668</v>
      </c>
      <c r="PI68" s="37" t="s">
        <v>668</v>
      </c>
      <c r="PJ68" s="37" t="s">
        <v>668</v>
      </c>
      <c r="PK68" s="37" t="s">
        <v>668</v>
      </c>
      <c r="PL68" s="37" t="s">
        <v>668</v>
      </c>
      <c r="PM68" s="37" t="s">
        <v>668</v>
      </c>
      <c r="PN68" s="37" t="s">
        <v>668</v>
      </c>
      <c r="PO68" s="37" t="s">
        <v>668</v>
      </c>
      <c r="PP68" s="37" t="s">
        <v>668</v>
      </c>
      <c r="PQ68" s="37" t="s">
        <v>668</v>
      </c>
      <c r="PR68" s="37" t="s">
        <v>668</v>
      </c>
      <c r="PS68" s="15" t="s">
        <v>668</v>
      </c>
      <c r="PT68" s="15" t="s">
        <v>668</v>
      </c>
      <c r="PU68" s="15" t="s">
        <v>668</v>
      </c>
      <c r="PV68" s="15" t="s">
        <v>668</v>
      </c>
      <c r="PW68" s="15" t="s">
        <v>668</v>
      </c>
      <c r="PX68" s="15" t="s">
        <v>668</v>
      </c>
      <c r="PY68" s="15" t="s">
        <v>668</v>
      </c>
      <c r="PZ68" s="15" t="s">
        <v>668</v>
      </c>
      <c r="QA68" s="15" t="s">
        <v>668</v>
      </c>
      <c r="QB68" s="15" t="s">
        <v>668</v>
      </c>
      <c r="QC68" s="15" t="s">
        <v>668</v>
      </c>
      <c r="QD68" s="15" t="s">
        <v>668</v>
      </c>
      <c r="QE68" s="15" t="s">
        <v>668</v>
      </c>
      <c r="QF68" s="15" t="s">
        <v>668</v>
      </c>
      <c r="QG68" s="15" t="s">
        <v>668</v>
      </c>
      <c r="QH68" s="15" t="s">
        <v>668</v>
      </c>
      <c r="QI68" s="15" t="s">
        <v>668</v>
      </c>
      <c r="QJ68" s="15" t="s">
        <v>668</v>
      </c>
      <c r="QK68" s="15" t="s">
        <v>668</v>
      </c>
      <c r="QL68" s="15" t="s">
        <v>668</v>
      </c>
      <c r="QM68" s="15" t="s">
        <v>668</v>
      </c>
      <c r="QN68" s="15" t="s">
        <v>668</v>
      </c>
      <c r="QO68" s="15" t="s">
        <v>668</v>
      </c>
      <c r="QP68" s="15" t="s">
        <v>668</v>
      </c>
      <c r="QQ68" s="15" t="s">
        <v>668</v>
      </c>
      <c r="QR68" s="15" t="s">
        <v>668</v>
      </c>
      <c r="QS68" s="15" t="s">
        <v>668</v>
      </c>
      <c r="QT68" s="15" t="s">
        <v>668</v>
      </c>
      <c r="QU68" s="15" t="s">
        <v>668</v>
      </c>
      <c r="QV68" s="15" t="s">
        <v>668</v>
      </c>
      <c r="QW68" s="15" t="s">
        <v>668</v>
      </c>
      <c r="QX68" s="15" t="s">
        <v>668</v>
      </c>
      <c r="QY68" s="15" t="s">
        <v>668</v>
      </c>
      <c r="QZ68" s="15" t="s">
        <v>668</v>
      </c>
      <c r="RA68" s="15" t="s">
        <v>668</v>
      </c>
      <c r="RB68" s="15" t="s">
        <v>668</v>
      </c>
      <c r="RC68" s="15" t="s">
        <v>668</v>
      </c>
      <c r="RD68" s="15" t="s">
        <v>668</v>
      </c>
      <c r="RE68" s="15" t="s">
        <v>668</v>
      </c>
      <c r="RF68" s="15" t="s">
        <v>668</v>
      </c>
      <c r="RG68" s="15" t="s">
        <v>668</v>
      </c>
      <c r="RH68" s="15" t="s">
        <v>668</v>
      </c>
      <c r="RI68" s="15" t="s">
        <v>668</v>
      </c>
      <c r="RJ68" s="15" t="s">
        <v>668</v>
      </c>
      <c r="RK68" s="15" t="s">
        <v>668</v>
      </c>
      <c r="RL68" s="15" t="s">
        <v>668</v>
      </c>
      <c r="RM68" s="15" t="s">
        <v>668</v>
      </c>
      <c r="RN68" s="15" t="s">
        <v>668</v>
      </c>
      <c r="RO68" s="15" t="s">
        <v>668</v>
      </c>
      <c r="RP68" s="15" t="s">
        <v>668</v>
      </c>
      <c r="RQ68" s="15" t="s">
        <v>668</v>
      </c>
      <c r="RR68" s="15" t="s">
        <v>668</v>
      </c>
      <c r="RS68" s="15" t="s">
        <v>668</v>
      </c>
      <c r="RT68" s="15" t="s">
        <v>668</v>
      </c>
      <c r="RU68" s="15" t="s">
        <v>668</v>
      </c>
      <c r="RV68" s="15" t="s">
        <v>668</v>
      </c>
      <c r="RW68" s="15" t="s">
        <v>668</v>
      </c>
      <c r="RX68" s="15" t="s">
        <v>668</v>
      </c>
      <c r="RY68" s="15" t="s">
        <v>668</v>
      </c>
      <c r="RZ68" s="15" t="s">
        <v>668</v>
      </c>
      <c r="SA68" s="15" t="s">
        <v>668</v>
      </c>
      <c r="SB68" s="15" t="s">
        <v>668</v>
      </c>
      <c r="SC68" s="15" t="s">
        <v>668</v>
      </c>
      <c r="SD68" s="15" t="s">
        <v>668</v>
      </c>
      <c r="SE68" s="15" t="s">
        <v>668</v>
      </c>
      <c r="SF68" s="15" t="s">
        <v>668</v>
      </c>
      <c r="SG68" s="15" t="s">
        <v>668</v>
      </c>
      <c r="SH68" s="15" t="s">
        <v>668</v>
      </c>
      <c r="SI68" s="15" t="s">
        <v>668</v>
      </c>
      <c r="SJ68" s="15" t="s">
        <v>668</v>
      </c>
      <c r="SK68" s="15" t="s">
        <v>668</v>
      </c>
      <c r="SL68" s="15" t="s">
        <v>668</v>
      </c>
      <c r="SM68" s="15" t="s">
        <v>668</v>
      </c>
    </row>
    <row r="69" spans="1:509" x14ac:dyDescent="0.2">
      <c r="A69" s="37">
        <v>67</v>
      </c>
      <c r="B69" s="37" t="s">
        <v>805</v>
      </c>
      <c r="C69" s="17">
        <f>+'Detalle Compras'!D69</f>
        <v>202508140097</v>
      </c>
      <c r="D69" s="55">
        <f t="shared" si="16"/>
        <v>9.9901230000000005</v>
      </c>
      <c r="E69" s="14">
        <f>+IF(B69="","",'Detalle Compras'!S69+0)</f>
        <v>45940</v>
      </c>
      <c r="F69" s="14">
        <f>+IF(B69="","",EOMONTH('Detalle Compras'!S69,G69)+10)</f>
        <v>56198</v>
      </c>
      <c r="G69" s="50">
        <f t="shared" si="17"/>
        <v>336</v>
      </c>
      <c r="H69" s="50">
        <f t="shared" si="18"/>
        <v>332</v>
      </c>
      <c r="AB69" s="37">
        <v>9.9901230000000005</v>
      </c>
      <c r="AC69" s="37">
        <v>9.9901230000000005</v>
      </c>
      <c r="AD69" s="37">
        <v>9.9901230000000005</v>
      </c>
      <c r="AE69" s="37">
        <v>9.9901230000000005</v>
      </c>
      <c r="AF69" s="37">
        <v>9.9901230000000005</v>
      </c>
      <c r="AG69" s="37">
        <v>9.9901230000000005</v>
      </c>
      <c r="AH69" s="37">
        <v>9.9901230000000005</v>
      </c>
      <c r="AI69" s="37">
        <v>9.9901230000000005</v>
      </c>
      <c r="AJ69" s="37">
        <v>9.9901230000000005</v>
      </c>
      <c r="AK69" s="37">
        <v>9.9901230000000005</v>
      </c>
      <c r="AL69" s="37">
        <v>9.9901230000000005</v>
      </c>
      <c r="AM69" s="37">
        <v>9.9901230000000005</v>
      </c>
      <c r="AN69" s="37">
        <v>9.9901230000000005</v>
      </c>
      <c r="AO69" s="37">
        <v>9.9901230000000005</v>
      </c>
      <c r="AP69" s="37">
        <v>9.9901230000000005</v>
      </c>
      <c r="AQ69" s="37">
        <v>9.9901230000000005</v>
      </c>
      <c r="AR69" s="37">
        <v>9.9901230000000005</v>
      </c>
      <c r="AS69" s="37">
        <v>9.9901230000000005</v>
      </c>
      <c r="AT69" s="37">
        <v>9.9901230000000005</v>
      </c>
      <c r="AU69" s="37">
        <v>9.9901230000000005</v>
      </c>
      <c r="AV69" s="37">
        <v>9.9901230000000005</v>
      </c>
      <c r="AW69" s="37">
        <v>9.9901230000000005</v>
      </c>
      <c r="AX69" s="37">
        <v>9.9901230000000005</v>
      </c>
      <c r="AY69" s="37">
        <v>9.9901230000000005</v>
      </c>
      <c r="AZ69" s="37">
        <v>9.9901230000000005</v>
      </c>
      <c r="BA69" s="37">
        <v>9.9901230000000005</v>
      </c>
      <c r="BB69" s="37">
        <v>9.9901230000000005</v>
      </c>
      <c r="BC69" s="37">
        <v>9.9901230000000005</v>
      </c>
      <c r="BD69" s="37">
        <v>9.9901230000000005</v>
      </c>
      <c r="BE69" s="37">
        <v>9.9901230000000005</v>
      </c>
      <c r="BF69" s="37">
        <v>9.9901230000000005</v>
      </c>
      <c r="BG69" s="37">
        <v>9.9901230000000005</v>
      </c>
      <c r="BH69" s="37">
        <v>9.9901230000000005</v>
      </c>
      <c r="BI69" s="37">
        <v>9.9901230000000005</v>
      </c>
      <c r="BJ69" s="37">
        <v>9.9901230000000005</v>
      </c>
      <c r="BK69" s="37">
        <v>9.9901230000000005</v>
      </c>
      <c r="BL69" s="37">
        <v>9.9901230000000005</v>
      </c>
      <c r="BM69" s="37">
        <v>9.9901230000000005</v>
      </c>
      <c r="BN69" s="37">
        <v>9.9901230000000005</v>
      </c>
      <c r="BO69" s="37">
        <v>9.9901230000000005</v>
      </c>
      <c r="BP69" s="37">
        <v>9.9901230000000005</v>
      </c>
      <c r="BQ69" s="37">
        <v>9.9901230000000005</v>
      </c>
      <c r="BR69" s="37">
        <v>9.9901230000000005</v>
      </c>
      <c r="BS69" s="37">
        <v>9.9901230000000005</v>
      </c>
      <c r="BT69" s="37">
        <v>9.9901230000000005</v>
      </c>
      <c r="BU69" s="37">
        <v>9.9901230000000005</v>
      </c>
      <c r="BV69" s="37">
        <v>9.9901230000000005</v>
      </c>
      <c r="BW69" s="37">
        <v>9.9901230000000005</v>
      </c>
      <c r="BX69" s="37">
        <v>9.9901230000000005</v>
      </c>
      <c r="BY69" s="37">
        <v>9.9901230000000005</v>
      </c>
      <c r="BZ69" s="37">
        <v>9.9901230000000005</v>
      </c>
      <c r="CA69" s="37">
        <v>9.9901230000000005</v>
      </c>
      <c r="CB69" s="37">
        <v>9.9901230000000005</v>
      </c>
      <c r="CC69" s="37">
        <v>9.9901230000000005</v>
      </c>
      <c r="CD69" s="37">
        <v>9.9901230000000005</v>
      </c>
      <c r="CE69" s="37">
        <v>9.9901230000000005</v>
      </c>
      <c r="CF69" s="37">
        <v>9.9901230000000005</v>
      </c>
      <c r="CG69" s="37">
        <v>9.9901230000000005</v>
      </c>
      <c r="CH69" s="37">
        <v>9.9901230000000005</v>
      </c>
      <c r="CI69" s="37">
        <v>9.9901230000000005</v>
      </c>
      <c r="CJ69" s="37">
        <v>9.9901230000000005</v>
      </c>
      <c r="CK69" s="37">
        <v>9.9901230000000005</v>
      </c>
      <c r="CL69" s="37">
        <v>9.9901230000000005</v>
      </c>
      <c r="CM69" s="37">
        <v>9.9901230000000005</v>
      </c>
      <c r="CN69" s="37">
        <v>9.9901230000000005</v>
      </c>
      <c r="CO69" s="37">
        <v>9.9901230000000005</v>
      </c>
      <c r="CP69" s="37">
        <v>9.9901230000000005</v>
      </c>
      <c r="CQ69" s="37">
        <v>9.9901230000000005</v>
      </c>
      <c r="CR69" s="37">
        <v>9.9901230000000005</v>
      </c>
      <c r="CS69" s="37">
        <v>9.9901230000000005</v>
      </c>
      <c r="CT69" s="37">
        <v>9.9901230000000005</v>
      </c>
      <c r="CU69" s="37">
        <v>9.9901230000000005</v>
      </c>
      <c r="CV69" s="37">
        <v>9.9901230000000005</v>
      </c>
      <c r="CW69" s="37">
        <v>9.9901230000000005</v>
      </c>
      <c r="CX69" s="37">
        <v>9.9901230000000005</v>
      </c>
      <c r="CY69" s="37">
        <v>9.9901230000000005</v>
      </c>
      <c r="CZ69" s="37">
        <v>9.9901230000000005</v>
      </c>
      <c r="DA69" s="37">
        <v>9.9901230000000005</v>
      </c>
      <c r="DB69" s="37">
        <v>9.9901230000000005</v>
      </c>
      <c r="DC69" s="37">
        <v>9.9901230000000005</v>
      </c>
      <c r="DD69" s="37">
        <v>9.9901230000000005</v>
      </c>
      <c r="DE69" s="37">
        <v>9.9901230000000005</v>
      </c>
      <c r="DF69" s="37">
        <v>9.9901230000000005</v>
      </c>
      <c r="DG69" s="37">
        <v>9.9901230000000005</v>
      </c>
      <c r="DH69" s="37">
        <v>9.9901230000000005</v>
      </c>
      <c r="DI69" s="37">
        <v>9.9901230000000005</v>
      </c>
      <c r="DJ69" s="37">
        <v>9.9901230000000005</v>
      </c>
      <c r="DK69" s="37">
        <v>9.9901230000000005</v>
      </c>
      <c r="DL69" s="37">
        <v>9.9901230000000005</v>
      </c>
      <c r="DM69" s="37">
        <v>9.9901230000000005</v>
      </c>
      <c r="DN69" s="37">
        <v>9.9901230000000005</v>
      </c>
      <c r="DO69" s="37">
        <v>9.9901230000000005</v>
      </c>
      <c r="DP69" s="37">
        <v>9.9901230000000005</v>
      </c>
      <c r="DQ69" s="37">
        <v>9.9901230000000005</v>
      </c>
      <c r="DR69" s="37">
        <v>9.9901230000000005</v>
      </c>
      <c r="DS69" s="37">
        <v>9.9901230000000005</v>
      </c>
      <c r="DT69" s="37">
        <v>9.9901230000000005</v>
      </c>
      <c r="DU69" s="37">
        <v>9.9901230000000005</v>
      </c>
      <c r="DV69" s="37">
        <v>9.9901230000000005</v>
      </c>
      <c r="DW69" s="37">
        <v>9.9901230000000005</v>
      </c>
      <c r="DX69" s="37">
        <v>9.9901230000000005</v>
      </c>
      <c r="DY69" s="37">
        <v>9.9901230000000005</v>
      </c>
      <c r="DZ69" s="37">
        <v>9.9901230000000005</v>
      </c>
      <c r="EA69" s="37">
        <v>9.9901230000000005</v>
      </c>
      <c r="EB69" s="37">
        <v>9.9901230000000005</v>
      </c>
      <c r="EC69" s="37">
        <v>9.9901230000000005</v>
      </c>
      <c r="ED69" s="37">
        <v>9.9901230000000005</v>
      </c>
      <c r="EE69" s="37">
        <v>9.9901230000000005</v>
      </c>
      <c r="EF69" s="37">
        <v>9.9901230000000005</v>
      </c>
      <c r="EG69" s="37">
        <v>9.9901230000000005</v>
      </c>
      <c r="EH69" s="37">
        <v>9.9901230000000005</v>
      </c>
      <c r="EI69" s="37">
        <v>9.9901230000000005</v>
      </c>
      <c r="EJ69" s="37">
        <v>9.9901230000000005</v>
      </c>
      <c r="EK69" s="37">
        <v>9.9901230000000005</v>
      </c>
      <c r="EL69" s="37">
        <v>9.9901230000000005</v>
      </c>
      <c r="EM69" s="37">
        <v>9.9901230000000005</v>
      </c>
      <c r="EN69" s="37">
        <v>9.9901230000000005</v>
      </c>
      <c r="EO69" s="37">
        <v>9.9901230000000005</v>
      </c>
      <c r="EP69" s="37">
        <v>9.9901230000000005</v>
      </c>
      <c r="EQ69" s="37">
        <v>9.9901230000000005</v>
      </c>
      <c r="ER69" s="37">
        <v>9.9901230000000005</v>
      </c>
      <c r="ES69" s="37">
        <v>9.9901230000000005</v>
      </c>
      <c r="ET69" s="37">
        <v>9.9901230000000005</v>
      </c>
      <c r="EU69" s="37">
        <v>9.9901230000000005</v>
      </c>
      <c r="EV69" s="37">
        <v>9.9901230000000005</v>
      </c>
      <c r="EW69" s="37">
        <v>9.9901230000000005</v>
      </c>
      <c r="EX69" s="37">
        <v>9.9901230000000005</v>
      </c>
      <c r="EY69" s="37">
        <v>9.9901230000000005</v>
      </c>
      <c r="EZ69" s="37">
        <v>9.9901230000000005</v>
      </c>
      <c r="FA69" s="37">
        <v>9.9901230000000005</v>
      </c>
      <c r="FB69" s="37">
        <v>9.9901230000000005</v>
      </c>
      <c r="FC69" s="37">
        <v>9.9901230000000005</v>
      </c>
      <c r="FD69" s="37">
        <v>9.9901230000000005</v>
      </c>
      <c r="FE69" s="37">
        <v>9.9901230000000005</v>
      </c>
      <c r="FF69" s="37">
        <v>9.9901230000000005</v>
      </c>
      <c r="FG69" s="37">
        <v>9.9901230000000005</v>
      </c>
      <c r="FH69" s="37">
        <v>9.9901230000000005</v>
      </c>
      <c r="FI69" s="37">
        <v>9.9901230000000005</v>
      </c>
      <c r="FJ69" s="37">
        <v>9.9901230000000005</v>
      </c>
      <c r="FK69" s="37">
        <v>9.9901230000000005</v>
      </c>
      <c r="FL69" s="37">
        <v>9.9901230000000005</v>
      </c>
      <c r="FM69" s="37">
        <v>9.9901230000000005</v>
      </c>
      <c r="FN69" s="37">
        <v>9.9901230000000005</v>
      </c>
      <c r="FO69" s="37">
        <v>9.9901230000000005</v>
      </c>
      <c r="FP69" s="37">
        <v>9.9901230000000005</v>
      </c>
      <c r="FQ69" s="37">
        <v>9.9901230000000005</v>
      </c>
      <c r="FR69" s="37">
        <v>9.9901230000000005</v>
      </c>
      <c r="FS69" s="37">
        <v>9.9901230000000005</v>
      </c>
      <c r="FT69" s="37">
        <v>9.9901230000000005</v>
      </c>
      <c r="FU69" s="37">
        <v>9.9901230000000005</v>
      </c>
      <c r="FV69" s="37">
        <v>9.9901230000000005</v>
      </c>
      <c r="FW69" s="37">
        <v>9.9901230000000005</v>
      </c>
      <c r="FX69" s="37">
        <v>9.9901230000000005</v>
      </c>
      <c r="FY69" s="37">
        <v>9.9901230000000005</v>
      </c>
      <c r="FZ69" s="37">
        <v>9.9901230000000005</v>
      </c>
      <c r="GA69" s="37">
        <v>9.9901230000000005</v>
      </c>
      <c r="GB69" s="37">
        <v>9.9901230000000005</v>
      </c>
      <c r="GC69" s="37">
        <v>9.9901230000000005</v>
      </c>
      <c r="GD69" s="37">
        <v>9.9901230000000005</v>
      </c>
      <c r="GE69" s="37">
        <v>9.9901230000000005</v>
      </c>
      <c r="GF69" s="37">
        <v>9.9901230000000005</v>
      </c>
      <c r="GG69" s="37">
        <v>9.9901230000000005</v>
      </c>
      <c r="GH69" s="37">
        <v>9.9901230000000005</v>
      </c>
      <c r="GI69" s="37">
        <v>9.9901230000000005</v>
      </c>
      <c r="GJ69" s="37">
        <v>9.9901230000000005</v>
      </c>
      <c r="GK69" s="37">
        <v>9.9901230000000005</v>
      </c>
      <c r="GL69" s="37">
        <v>9.9901230000000005</v>
      </c>
      <c r="GM69" s="37">
        <v>9.9901230000000005</v>
      </c>
      <c r="GN69" s="37">
        <v>9.9901230000000005</v>
      </c>
      <c r="GO69" s="37">
        <v>9.9901230000000005</v>
      </c>
      <c r="GP69" s="37">
        <v>9.9901230000000005</v>
      </c>
      <c r="GQ69" s="37">
        <v>9.9901230000000005</v>
      </c>
      <c r="GR69" s="37">
        <v>9.9901230000000005</v>
      </c>
      <c r="GS69" s="37">
        <v>9.9901230000000005</v>
      </c>
      <c r="GT69" s="37">
        <v>9.9901230000000005</v>
      </c>
      <c r="GU69" s="37">
        <v>9.9901230000000005</v>
      </c>
      <c r="GV69" s="37">
        <v>9.9901230000000005</v>
      </c>
      <c r="GW69" s="37">
        <v>9.9901230000000005</v>
      </c>
      <c r="GX69" s="37">
        <v>9.9901230000000005</v>
      </c>
      <c r="GY69" s="37">
        <v>9.9901230000000005</v>
      </c>
      <c r="GZ69" s="37">
        <v>9.9901230000000005</v>
      </c>
      <c r="HA69" s="37">
        <v>9.9901230000000005</v>
      </c>
      <c r="HB69" s="37">
        <v>9.9901230000000005</v>
      </c>
      <c r="HC69" s="37">
        <v>9.9901230000000005</v>
      </c>
      <c r="HD69" s="37">
        <v>9.9901230000000005</v>
      </c>
      <c r="HE69" s="37">
        <v>9.9901230000000005</v>
      </c>
      <c r="HF69" s="37">
        <v>9.9901230000000005</v>
      </c>
      <c r="HG69" s="37">
        <v>9.9901230000000005</v>
      </c>
      <c r="HH69" s="37">
        <v>9.9901230000000005</v>
      </c>
      <c r="HI69" s="37">
        <v>9.9901230000000005</v>
      </c>
      <c r="HJ69" s="37">
        <v>9.9901230000000005</v>
      </c>
      <c r="HK69" s="37">
        <v>9.9901230000000005</v>
      </c>
      <c r="HL69" s="37">
        <v>9.9901230000000005</v>
      </c>
      <c r="HM69" s="37">
        <v>9.9901230000000005</v>
      </c>
      <c r="HN69" s="37">
        <v>9.9901230000000005</v>
      </c>
      <c r="HO69" s="37">
        <v>9.9901230000000005</v>
      </c>
      <c r="HP69" s="37">
        <v>9.9901230000000005</v>
      </c>
      <c r="HQ69" s="37">
        <v>9.9901230000000005</v>
      </c>
      <c r="HR69" s="37">
        <v>9.9901230000000005</v>
      </c>
      <c r="HS69" s="37">
        <v>9.9901230000000005</v>
      </c>
      <c r="HT69" s="37">
        <v>9.9901230000000005</v>
      </c>
      <c r="HU69" s="37">
        <v>9.9901230000000005</v>
      </c>
      <c r="HV69" s="37">
        <v>9.9901230000000005</v>
      </c>
      <c r="HW69" s="37">
        <v>9.9901230000000005</v>
      </c>
      <c r="HX69" s="37">
        <v>9.9901230000000005</v>
      </c>
      <c r="HY69" s="37">
        <v>9.9901230000000005</v>
      </c>
      <c r="HZ69" s="37">
        <v>9.9901230000000005</v>
      </c>
      <c r="IA69" s="37">
        <v>9.9901230000000005</v>
      </c>
      <c r="IB69" s="37">
        <v>9.9901230000000005</v>
      </c>
      <c r="IC69" s="37">
        <v>9.9901230000000005</v>
      </c>
      <c r="ID69" s="37">
        <v>9.9901230000000005</v>
      </c>
      <c r="IE69" s="37">
        <v>9.9901230000000005</v>
      </c>
      <c r="IF69" s="37">
        <v>9.9901230000000005</v>
      </c>
      <c r="IG69" s="37">
        <v>9.9901230000000005</v>
      </c>
      <c r="IH69" s="37">
        <v>9.9901230000000005</v>
      </c>
      <c r="II69" s="37">
        <v>9.9901230000000005</v>
      </c>
      <c r="IJ69" s="37">
        <v>9.9901230000000005</v>
      </c>
      <c r="IK69" s="37">
        <v>9.9901230000000005</v>
      </c>
      <c r="IL69" s="37">
        <v>9.9901230000000005</v>
      </c>
      <c r="IM69" s="37">
        <v>9.9901230000000005</v>
      </c>
      <c r="IN69" s="37">
        <v>9.9901230000000005</v>
      </c>
      <c r="IO69" s="37">
        <v>9.9901230000000005</v>
      </c>
      <c r="IP69" s="37">
        <v>9.9901230000000005</v>
      </c>
      <c r="IQ69" s="37">
        <v>9.9901230000000005</v>
      </c>
      <c r="IR69" s="37">
        <v>9.9901230000000005</v>
      </c>
      <c r="IS69" s="37">
        <v>9.9901230000000005</v>
      </c>
      <c r="IT69" s="37">
        <v>9.9901230000000005</v>
      </c>
      <c r="IU69" s="37">
        <v>9.9901230000000005</v>
      </c>
      <c r="IV69" s="37">
        <v>9.9901230000000005</v>
      </c>
      <c r="IW69" s="37">
        <v>9.9901230000000005</v>
      </c>
      <c r="IX69" s="37">
        <v>9.9901230000000005</v>
      </c>
      <c r="IY69" s="37">
        <v>9.9901230000000005</v>
      </c>
      <c r="IZ69" s="37">
        <v>9.9901230000000005</v>
      </c>
      <c r="JA69" s="37">
        <v>9.9901230000000005</v>
      </c>
      <c r="JB69" s="37">
        <v>9.9901230000000005</v>
      </c>
      <c r="JC69" s="37">
        <v>9.9901230000000005</v>
      </c>
      <c r="JD69" s="37">
        <v>9.9901230000000005</v>
      </c>
      <c r="JE69" s="37">
        <v>9.9901230000000005</v>
      </c>
      <c r="JF69" s="37">
        <v>9.9901230000000005</v>
      </c>
      <c r="JG69" s="37">
        <v>9.9901230000000005</v>
      </c>
      <c r="JH69" s="37">
        <v>9.9901230000000005</v>
      </c>
      <c r="JI69" s="37">
        <v>9.9901230000000005</v>
      </c>
      <c r="JJ69" s="37">
        <v>9.9901230000000005</v>
      </c>
      <c r="JK69" s="37">
        <v>9.9901230000000005</v>
      </c>
      <c r="JL69" s="37">
        <v>9.9901230000000005</v>
      </c>
      <c r="JM69" s="37">
        <v>9.9901230000000005</v>
      </c>
      <c r="JN69" s="37">
        <v>9.9901230000000005</v>
      </c>
      <c r="JO69" s="37">
        <v>9.9901230000000005</v>
      </c>
      <c r="JP69" s="37">
        <v>9.9901230000000005</v>
      </c>
      <c r="JQ69" s="37">
        <v>9.9901230000000005</v>
      </c>
      <c r="JR69" s="37">
        <v>9.9901230000000005</v>
      </c>
      <c r="JS69" s="37">
        <v>9.9901230000000005</v>
      </c>
      <c r="JT69" s="37">
        <v>9.9901230000000005</v>
      </c>
      <c r="JU69" s="37">
        <v>9.9901230000000005</v>
      </c>
      <c r="JV69" s="37">
        <v>9.9901230000000005</v>
      </c>
      <c r="JW69" s="37">
        <v>9.9901230000000005</v>
      </c>
      <c r="JX69" s="37">
        <v>9.9901230000000005</v>
      </c>
      <c r="JY69" s="37">
        <v>9.9901230000000005</v>
      </c>
      <c r="JZ69" s="37">
        <v>9.9901230000000005</v>
      </c>
      <c r="KA69" s="37">
        <v>9.9901230000000005</v>
      </c>
      <c r="KB69" s="37">
        <v>9.9901230000000005</v>
      </c>
      <c r="KC69" s="37">
        <v>9.9901230000000005</v>
      </c>
      <c r="KD69" s="37">
        <v>9.9901230000000005</v>
      </c>
      <c r="KE69" s="37">
        <v>9.9901230000000005</v>
      </c>
      <c r="KF69" s="37">
        <v>9.9901230000000005</v>
      </c>
      <c r="KG69" s="37">
        <v>9.9901230000000005</v>
      </c>
      <c r="KH69" s="37">
        <v>9.9901230000000005</v>
      </c>
      <c r="KI69" s="37">
        <v>9.9901230000000005</v>
      </c>
      <c r="KJ69" s="37">
        <v>9.9901230000000005</v>
      </c>
      <c r="KK69" s="37">
        <v>9.9901230000000005</v>
      </c>
      <c r="KL69" s="37">
        <v>9.9901230000000005</v>
      </c>
      <c r="KM69" s="37">
        <v>9.9901230000000005</v>
      </c>
      <c r="KN69" s="37">
        <v>9.9901230000000005</v>
      </c>
      <c r="KO69" s="37">
        <v>9.9901230000000005</v>
      </c>
      <c r="KP69" s="37">
        <v>9.9901230000000005</v>
      </c>
      <c r="KQ69" s="37">
        <v>9.9901230000000005</v>
      </c>
      <c r="KR69" s="37">
        <v>9.9901230000000005</v>
      </c>
      <c r="KS69" s="37">
        <v>9.9901230000000005</v>
      </c>
      <c r="KT69" s="37">
        <v>9.9901230000000005</v>
      </c>
      <c r="KU69" s="37">
        <v>9.9901230000000005</v>
      </c>
      <c r="KV69" s="37">
        <v>9.9901230000000005</v>
      </c>
      <c r="KW69" s="37">
        <v>9.9901230000000005</v>
      </c>
      <c r="KX69" s="37">
        <v>9.9901230000000005</v>
      </c>
      <c r="KY69" s="37">
        <v>9.9901230000000005</v>
      </c>
      <c r="KZ69" s="37">
        <v>9.9901230000000005</v>
      </c>
      <c r="LA69" s="37">
        <v>9.9901230000000005</v>
      </c>
      <c r="LB69" s="37">
        <v>9.9901230000000005</v>
      </c>
      <c r="LC69" s="37">
        <v>9.9901230000000005</v>
      </c>
      <c r="LD69" s="37">
        <v>9.9901230000000005</v>
      </c>
      <c r="LE69" s="37">
        <v>9.9901230000000005</v>
      </c>
      <c r="LF69" s="37">
        <v>9.9901230000000005</v>
      </c>
      <c r="LG69" s="37">
        <v>9.9901230000000005</v>
      </c>
      <c r="LH69" s="37">
        <v>9.9901230000000005</v>
      </c>
      <c r="LI69" s="37">
        <v>9.9901230000000005</v>
      </c>
      <c r="LJ69" s="37">
        <v>9.9901230000000005</v>
      </c>
      <c r="LK69" s="37">
        <v>9.9901230000000005</v>
      </c>
      <c r="LL69" s="37">
        <v>9.9901230000000005</v>
      </c>
      <c r="LM69" s="37">
        <v>9.9901230000000005</v>
      </c>
      <c r="LN69" s="37">
        <v>9.9901230000000005</v>
      </c>
      <c r="LO69" s="37">
        <v>9.9901230000000005</v>
      </c>
      <c r="LP69" s="37">
        <v>9.9901230000000005</v>
      </c>
      <c r="LQ69" s="37">
        <v>9.9901230000000005</v>
      </c>
      <c r="LR69" s="37">
        <v>9.9901230000000005</v>
      </c>
      <c r="LS69" s="37">
        <v>9.9901230000000005</v>
      </c>
      <c r="LT69" s="37">
        <v>9.9901230000000005</v>
      </c>
      <c r="LU69" s="37">
        <v>9.9901230000000005</v>
      </c>
      <c r="LV69" s="37">
        <v>9.9901230000000005</v>
      </c>
      <c r="LW69" s="37">
        <v>9.9901230000000005</v>
      </c>
      <c r="LX69" s="37">
        <v>9.9901230000000005</v>
      </c>
      <c r="LY69" s="37">
        <v>9.9901230000000005</v>
      </c>
      <c r="LZ69" s="37">
        <v>9.9901230000000005</v>
      </c>
      <c r="MA69" s="37">
        <v>9.9901230000000005</v>
      </c>
      <c r="MB69" s="37">
        <v>9.9901230000000005</v>
      </c>
      <c r="MC69" s="37">
        <v>9.9901230000000005</v>
      </c>
      <c r="MD69" s="37">
        <v>9.9901230000000005</v>
      </c>
      <c r="ME69" s="37">
        <v>9.9901230000000005</v>
      </c>
      <c r="MF69" s="37">
        <v>9.9901230000000005</v>
      </c>
      <c r="MG69" s="37">
        <v>9.9901230000000005</v>
      </c>
      <c r="MH69" s="37">
        <v>9.9901230000000005</v>
      </c>
      <c r="MI69" s="37">
        <v>9.9901230000000005</v>
      </c>
      <c r="MJ69" s="37">
        <v>9.9901230000000005</v>
      </c>
      <c r="MK69" s="37">
        <v>9.9901230000000005</v>
      </c>
      <c r="ML69" s="37">
        <v>9.9901230000000005</v>
      </c>
      <c r="MM69" s="37">
        <v>9.9901230000000005</v>
      </c>
      <c r="MN69" s="37">
        <v>9.9901230000000005</v>
      </c>
      <c r="MO69" s="37">
        <v>9.9901230000000005</v>
      </c>
      <c r="MP69" s="37">
        <v>9.9901230000000005</v>
      </c>
      <c r="MQ69" s="37">
        <v>9.9901230000000005</v>
      </c>
      <c r="MR69" s="37">
        <v>9.9901230000000005</v>
      </c>
      <c r="MS69" s="37">
        <v>9.9901230000000005</v>
      </c>
      <c r="MT69" s="37">
        <v>9.9901230000000005</v>
      </c>
      <c r="MU69" s="37">
        <v>9.9901230000000005</v>
      </c>
      <c r="MV69" s="37">
        <v>9.9901230000000005</v>
      </c>
      <c r="MW69" s="37">
        <v>9.9901230000000005</v>
      </c>
      <c r="MX69" s="37">
        <v>9.9901230000000005</v>
      </c>
      <c r="MY69" s="37">
        <v>9.5968730000000004</v>
      </c>
      <c r="MZ69" s="37" t="s">
        <v>668</v>
      </c>
      <c r="NA69" s="37" t="s">
        <v>668</v>
      </c>
      <c r="NB69" s="37" t="s">
        <v>668</v>
      </c>
      <c r="NC69" s="37" t="s">
        <v>668</v>
      </c>
      <c r="ND69" s="37" t="s">
        <v>668</v>
      </c>
      <c r="NE69" s="37" t="s">
        <v>668</v>
      </c>
      <c r="NF69" s="37" t="s">
        <v>668</v>
      </c>
      <c r="NG69" s="37" t="s">
        <v>668</v>
      </c>
      <c r="NH69" s="37" t="s">
        <v>668</v>
      </c>
      <c r="NI69" s="37" t="s">
        <v>668</v>
      </c>
      <c r="NJ69" s="37" t="s">
        <v>668</v>
      </c>
      <c r="NK69" s="37" t="s">
        <v>668</v>
      </c>
      <c r="NL69" s="37" t="s">
        <v>668</v>
      </c>
      <c r="NM69" s="37" t="s">
        <v>668</v>
      </c>
      <c r="NN69" s="37" t="s">
        <v>668</v>
      </c>
      <c r="NO69" s="37" t="s">
        <v>668</v>
      </c>
      <c r="NP69" s="37" t="s">
        <v>668</v>
      </c>
      <c r="NQ69" s="37" t="s">
        <v>668</v>
      </c>
      <c r="NR69" s="37" t="s">
        <v>668</v>
      </c>
      <c r="NS69" s="37" t="s">
        <v>668</v>
      </c>
      <c r="NT69" s="37" t="s">
        <v>668</v>
      </c>
      <c r="NU69" s="37" t="s">
        <v>668</v>
      </c>
      <c r="NV69" s="37" t="s">
        <v>668</v>
      </c>
      <c r="NW69" s="37" t="s">
        <v>668</v>
      </c>
      <c r="NX69" s="37" t="s">
        <v>668</v>
      </c>
      <c r="NY69" s="37" t="s">
        <v>668</v>
      </c>
      <c r="NZ69" s="37" t="s">
        <v>668</v>
      </c>
      <c r="OA69" s="37" t="s">
        <v>668</v>
      </c>
      <c r="OB69" s="37" t="s">
        <v>668</v>
      </c>
      <c r="OC69" s="37" t="s">
        <v>668</v>
      </c>
      <c r="OD69" s="37" t="s">
        <v>668</v>
      </c>
      <c r="OE69" s="37" t="s">
        <v>668</v>
      </c>
      <c r="OF69" s="37" t="s">
        <v>668</v>
      </c>
      <c r="OG69" s="37" t="s">
        <v>668</v>
      </c>
      <c r="OH69" s="37" t="s">
        <v>668</v>
      </c>
      <c r="OI69" s="37" t="s">
        <v>668</v>
      </c>
      <c r="OJ69" s="37" t="s">
        <v>668</v>
      </c>
      <c r="OK69" s="37" t="s">
        <v>668</v>
      </c>
      <c r="OL69" s="37" t="s">
        <v>668</v>
      </c>
      <c r="OM69" s="37" t="s">
        <v>668</v>
      </c>
      <c r="ON69" s="37" t="s">
        <v>668</v>
      </c>
      <c r="OO69" s="37" t="s">
        <v>668</v>
      </c>
      <c r="OP69" s="37" t="s">
        <v>668</v>
      </c>
      <c r="OQ69" s="37" t="s">
        <v>668</v>
      </c>
      <c r="OR69" s="37" t="s">
        <v>668</v>
      </c>
      <c r="OS69" s="37" t="s">
        <v>668</v>
      </c>
      <c r="OT69" s="37" t="s">
        <v>668</v>
      </c>
      <c r="OU69" s="37" t="s">
        <v>668</v>
      </c>
      <c r="OV69" s="37" t="s">
        <v>668</v>
      </c>
      <c r="OW69" s="37" t="s">
        <v>668</v>
      </c>
      <c r="OX69" s="37" t="s">
        <v>668</v>
      </c>
      <c r="OY69" s="37" t="s">
        <v>668</v>
      </c>
      <c r="OZ69" s="37" t="s">
        <v>668</v>
      </c>
      <c r="PA69" s="37" t="s">
        <v>668</v>
      </c>
      <c r="PB69" s="37" t="s">
        <v>668</v>
      </c>
      <c r="PC69" s="37" t="s">
        <v>668</v>
      </c>
      <c r="PD69" s="37" t="s">
        <v>668</v>
      </c>
      <c r="PE69" s="37" t="s">
        <v>668</v>
      </c>
      <c r="PF69" s="37" t="s">
        <v>668</v>
      </c>
      <c r="PG69" s="37" t="s">
        <v>668</v>
      </c>
      <c r="PH69" s="37" t="s">
        <v>668</v>
      </c>
      <c r="PI69" s="37" t="s">
        <v>668</v>
      </c>
      <c r="PJ69" s="37" t="s">
        <v>668</v>
      </c>
      <c r="PK69" s="37" t="s">
        <v>668</v>
      </c>
      <c r="PL69" s="37" t="s">
        <v>668</v>
      </c>
      <c r="PM69" s="37" t="s">
        <v>668</v>
      </c>
      <c r="PN69" s="37" t="s">
        <v>668</v>
      </c>
      <c r="PO69" s="37" t="s">
        <v>668</v>
      </c>
      <c r="PP69" s="37" t="s">
        <v>668</v>
      </c>
      <c r="PQ69" s="37" t="s">
        <v>668</v>
      </c>
      <c r="PR69" s="37" t="s">
        <v>668</v>
      </c>
      <c r="PS69" s="15" t="s">
        <v>668</v>
      </c>
      <c r="PT69" s="15" t="s">
        <v>668</v>
      </c>
      <c r="PU69" s="15" t="s">
        <v>668</v>
      </c>
      <c r="PV69" s="15" t="s">
        <v>668</v>
      </c>
      <c r="PW69" s="15" t="s">
        <v>668</v>
      </c>
      <c r="PX69" s="15" t="s">
        <v>668</v>
      </c>
      <c r="PY69" s="15" t="s">
        <v>668</v>
      </c>
      <c r="PZ69" s="15" t="s">
        <v>668</v>
      </c>
      <c r="QA69" s="15" t="s">
        <v>668</v>
      </c>
      <c r="QB69" s="15" t="s">
        <v>668</v>
      </c>
      <c r="QC69" s="15" t="s">
        <v>668</v>
      </c>
      <c r="QD69" s="15" t="s">
        <v>668</v>
      </c>
      <c r="QE69" s="15" t="s">
        <v>668</v>
      </c>
      <c r="QF69" s="15" t="s">
        <v>668</v>
      </c>
      <c r="QG69" s="15" t="s">
        <v>668</v>
      </c>
      <c r="QH69" s="15" t="s">
        <v>668</v>
      </c>
      <c r="QI69" s="15" t="s">
        <v>668</v>
      </c>
      <c r="QJ69" s="15" t="s">
        <v>668</v>
      </c>
      <c r="QK69" s="15" t="s">
        <v>668</v>
      </c>
      <c r="QL69" s="15" t="s">
        <v>668</v>
      </c>
      <c r="QM69" s="15" t="s">
        <v>668</v>
      </c>
      <c r="QN69" s="15" t="s">
        <v>668</v>
      </c>
      <c r="QO69" s="15" t="s">
        <v>668</v>
      </c>
      <c r="QP69" s="15" t="s">
        <v>668</v>
      </c>
      <c r="QQ69" s="15" t="s">
        <v>668</v>
      </c>
      <c r="QR69" s="15" t="s">
        <v>668</v>
      </c>
      <c r="QS69" s="15" t="s">
        <v>668</v>
      </c>
      <c r="QT69" s="15" t="s">
        <v>668</v>
      </c>
      <c r="QU69" s="15" t="s">
        <v>668</v>
      </c>
      <c r="QV69" s="15" t="s">
        <v>668</v>
      </c>
      <c r="QW69" s="15" t="s">
        <v>668</v>
      </c>
      <c r="QX69" s="15" t="s">
        <v>668</v>
      </c>
      <c r="QY69" s="15" t="s">
        <v>668</v>
      </c>
      <c r="QZ69" s="15" t="s">
        <v>668</v>
      </c>
      <c r="RA69" s="15" t="s">
        <v>668</v>
      </c>
      <c r="RB69" s="15" t="s">
        <v>668</v>
      </c>
      <c r="RC69" s="15" t="s">
        <v>668</v>
      </c>
      <c r="RD69" s="15" t="s">
        <v>668</v>
      </c>
      <c r="RE69" s="15" t="s">
        <v>668</v>
      </c>
      <c r="RF69" s="15" t="s">
        <v>668</v>
      </c>
      <c r="RG69" s="15" t="s">
        <v>668</v>
      </c>
      <c r="RH69" s="15" t="s">
        <v>668</v>
      </c>
      <c r="RI69" s="15" t="s">
        <v>668</v>
      </c>
      <c r="RJ69" s="15" t="s">
        <v>668</v>
      </c>
      <c r="RK69" s="15" t="s">
        <v>668</v>
      </c>
      <c r="RL69" s="15" t="s">
        <v>668</v>
      </c>
      <c r="RM69" s="15" t="s">
        <v>668</v>
      </c>
      <c r="RN69" s="15" t="s">
        <v>668</v>
      </c>
      <c r="RO69" s="15" t="s">
        <v>668</v>
      </c>
      <c r="RP69" s="15" t="s">
        <v>668</v>
      </c>
      <c r="RQ69" s="15" t="s">
        <v>668</v>
      </c>
      <c r="RR69" s="15" t="s">
        <v>668</v>
      </c>
      <c r="RS69" s="15" t="s">
        <v>668</v>
      </c>
      <c r="RT69" s="15" t="s">
        <v>668</v>
      </c>
      <c r="RU69" s="15" t="s">
        <v>668</v>
      </c>
      <c r="RV69" s="15" t="s">
        <v>668</v>
      </c>
      <c r="RW69" s="15" t="s">
        <v>668</v>
      </c>
      <c r="RX69" s="15" t="s">
        <v>668</v>
      </c>
      <c r="RY69" s="15" t="s">
        <v>668</v>
      </c>
      <c r="RZ69" s="15" t="s">
        <v>668</v>
      </c>
      <c r="SA69" s="15" t="s">
        <v>668</v>
      </c>
      <c r="SB69" s="15" t="s">
        <v>668</v>
      </c>
      <c r="SC69" s="15" t="s">
        <v>668</v>
      </c>
      <c r="SD69" s="15" t="s">
        <v>668</v>
      </c>
      <c r="SE69" s="15" t="s">
        <v>668</v>
      </c>
      <c r="SF69" s="15" t="s">
        <v>668</v>
      </c>
      <c r="SG69" s="15" t="s">
        <v>668</v>
      </c>
      <c r="SH69" s="15" t="s">
        <v>668</v>
      </c>
      <c r="SI69" s="15" t="s">
        <v>668</v>
      </c>
      <c r="SJ69" s="15" t="s">
        <v>668</v>
      </c>
      <c r="SK69" s="15" t="s">
        <v>668</v>
      </c>
      <c r="SL69" s="15" t="s">
        <v>668</v>
      </c>
      <c r="SM69" s="15" t="s">
        <v>668</v>
      </c>
    </row>
    <row r="70" spans="1:509" x14ac:dyDescent="0.2">
      <c r="A70" s="37">
        <v>68</v>
      </c>
      <c r="B70" s="37" t="s">
        <v>806</v>
      </c>
      <c r="C70" s="17">
        <f>+'Detalle Compras'!D70</f>
        <v>202508120095</v>
      </c>
      <c r="D70" s="55">
        <f t="shared" si="16"/>
        <v>4.8940450000000002</v>
      </c>
      <c r="E70" s="14">
        <f>+IF(B70="","",'Detalle Compras'!S70+0)</f>
        <v>45940</v>
      </c>
      <c r="F70" s="14">
        <f>+IF(B70="","",EOMONTH('Detalle Compras'!S70,G70)+10)</f>
        <v>55102</v>
      </c>
      <c r="G70" s="50">
        <f t="shared" si="17"/>
        <v>300</v>
      </c>
      <c r="H70" s="50">
        <f t="shared" si="18"/>
        <v>296</v>
      </c>
      <c r="AB70" s="37">
        <v>4.8940450000000002</v>
      </c>
      <c r="AC70" s="37">
        <v>4.8940450000000002</v>
      </c>
      <c r="AD70" s="37">
        <v>4.8940450000000002</v>
      </c>
      <c r="AE70" s="37">
        <v>4.8940450000000002</v>
      </c>
      <c r="AF70" s="37">
        <v>4.8940450000000002</v>
      </c>
      <c r="AG70" s="37">
        <v>4.8940450000000002</v>
      </c>
      <c r="AH70" s="37">
        <v>4.8940450000000002</v>
      </c>
      <c r="AI70" s="37">
        <v>4.8940450000000002</v>
      </c>
      <c r="AJ70" s="37">
        <v>4.8940450000000002</v>
      </c>
      <c r="AK70" s="37">
        <v>4.8940450000000002</v>
      </c>
      <c r="AL70" s="37">
        <v>4.8940450000000002</v>
      </c>
      <c r="AM70" s="37">
        <v>4.8940450000000002</v>
      </c>
      <c r="AN70" s="37">
        <v>4.8940450000000002</v>
      </c>
      <c r="AO70" s="37">
        <v>4.8940450000000002</v>
      </c>
      <c r="AP70" s="37">
        <v>4.8940450000000002</v>
      </c>
      <c r="AQ70" s="37">
        <v>4.8940450000000002</v>
      </c>
      <c r="AR70" s="37">
        <v>4.8940450000000002</v>
      </c>
      <c r="AS70" s="37">
        <v>4.8940450000000002</v>
      </c>
      <c r="AT70" s="37">
        <v>4.8940450000000002</v>
      </c>
      <c r="AU70" s="37">
        <v>4.8940450000000002</v>
      </c>
      <c r="AV70" s="37">
        <v>4.8940450000000002</v>
      </c>
      <c r="AW70" s="37">
        <v>4.8940450000000002</v>
      </c>
      <c r="AX70" s="37">
        <v>4.8940450000000002</v>
      </c>
      <c r="AY70" s="37">
        <v>4.8940450000000002</v>
      </c>
      <c r="AZ70" s="37">
        <v>4.8940450000000002</v>
      </c>
      <c r="BA70" s="37">
        <v>4.8940450000000002</v>
      </c>
      <c r="BB70" s="37">
        <v>4.8940450000000002</v>
      </c>
      <c r="BC70" s="37">
        <v>4.8940450000000002</v>
      </c>
      <c r="BD70" s="37">
        <v>4.8940450000000002</v>
      </c>
      <c r="BE70" s="37">
        <v>4.8940450000000002</v>
      </c>
      <c r="BF70" s="37">
        <v>4.8940450000000002</v>
      </c>
      <c r="BG70" s="37">
        <v>4.8940450000000002</v>
      </c>
      <c r="BH70" s="37">
        <v>4.8940450000000002</v>
      </c>
      <c r="BI70" s="37">
        <v>4.8940450000000002</v>
      </c>
      <c r="BJ70" s="37">
        <v>4.8940450000000002</v>
      </c>
      <c r="BK70" s="37">
        <v>4.8940450000000002</v>
      </c>
      <c r="BL70" s="37">
        <v>4.8940450000000002</v>
      </c>
      <c r="BM70" s="37">
        <v>4.8940450000000002</v>
      </c>
      <c r="BN70" s="37">
        <v>4.8940450000000002</v>
      </c>
      <c r="BO70" s="37">
        <v>4.8940450000000002</v>
      </c>
      <c r="BP70" s="37">
        <v>4.8940450000000002</v>
      </c>
      <c r="BQ70" s="37">
        <v>4.8940450000000002</v>
      </c>
      <c r="BR70" s="37">
        <v>4.8940450000000002</v>
      </c>
      <c r="BS70" s="37">
        <v>4.8940450000000002</v>
      </c>
      <c r="BT70" s="37">
        <v>4.8940450000000002</v>
      </c>
      <c r="BU70" s="37">
        <v>4.8940450000000002</v>
      </c>
      <c r="BV70" s="37">
        <v>4.8940450000000002</v>
      </c>
      <c r="BW70" s="37">
        <v>4.8940450000000002</v>
      </c>
      <c r="BX70" s="37">
        <v>4.8940450000000002</v>
      </c>
      <c r="BY70" s="37">
        <v>4.8940450000000002</v>
      </c>
      <c r="BZ70" s="37">
        <v>4.8940450000000002</v>
      </c>
      <c r="CA70" s="37">
        <v>4.8940450000000002</v>
      </c>
      <c r="CB70" s="37">
        <v>4.8940450000000002</v>
      </c>
      <c r="CC70" s="37">
        <v>4.8940450000000002</v>
      </c>
      <c r="CD70" s="37">
        <v>4.8940450000000002</v>
      </c>
      <c r="CE70" s="37">
        <v>4.8940450000000002</v>
      </c>
      <c r="CF70" s="37">
        <v>4.8940450000000002</v>
      </c>
      <c r="CG70" s="37">
        <v>4.8940450000000002</v>
      </c>
      <c r="CH70" s="37">
        <v>4.8940450000000002</v>
      </c>
      <c r="CI70" s="37">
        <v>4.8940450000000002</v>
      </c>
      <c r="CJ70" s="37">
        <v>4.8940450000000002</v>
      </c>
      <c r="CK70" s="37">
        <v>4.8940450000000002</v>
      </c>
      <c r="CL70" s="37">
        <v>4.8940450000000002</v>
      </c>
      <c r="CM70" s="37">
        <v>4.8940450000000002</v>
      </c>
      <c r="CN70" s="37">
        <v>4.8940450000000002</v>
      </c>
      <c r="CO70" s="37">
        <v>4.8940450000000002</v>
      </c>
      <c r="CP70" s="37">
        <v>4.8940450000000002</v>
      </c>
      <c r="CQ70" s="37">
        <v>4.8940450000000002</v>
      </c>
      <c r="CR70" s="37">
        <v>4.8940450000000002</v>
      </c>
      <c r="CS70" s="37">
        <v>4.8940450000000002</v>
      </c>
      <c r="CT70" s="37">
        <v>4.8940450000000002</v>
      </c>
      <c r="CU70" s="37">
        <v>4.8940450000000002</v>
      </c>
      <c r="CV70" s="37">
        <v>4.8940450000000002</v>
      </c>
      <c r="CW70" s="37">
        <v>4.8940450000000002</v>
      </c>
      <c r="CX70" s="37">
        <v>4.8940450000000002</v>
      </c>
      <c r="CY70" s="37">
        <v>4.8940450000000002</v>
      </c>
      <c r="CZ70" s="37">
        <v>4.8940450000000002</v>
      </c>
      <c r="DA70" s="37">
        <v>4.8940450000000002</v>
      </c>
      <c r="DB70" s="37">
        <v>4.8940450000000002</v>
      </c>
      <c r="DC70" s="37">
        <v>4.8940450000000002</v>
      </c>
      <c r="DD70" s="37">
        <v>4.8940450000000002</v>
      </c>
      <c r="DE70" s="37">
        <v>4.8940450000000002</v>
      </c>
      <c r="DF70" s="37">
        <v>4.8940450000000002</v>
      </c>
      <c r="DG70" s="37">
        <v>4.8940450000000002</v>
      </c>
      <c r="DH70" s="37">
        <v>4.8940450000000002</v>
      </c>
      <c r="DI70" s="37">
        <v>4.8940450000000002</v>
      </c>
      <c r="DJ70" s="37">
        <v>4.8940450000000002</v>
      </c>
      <c r="DK70" s="37">
        <v>4.8940450000000002</v>
      </c>
      <c r="DL70" s="37">
        <v>4.8940450000000002</v>
      </c>
      <c r="DM70" s="37">
        <v>4.8940450000000002</v>
      </c>
      <c r="DN70" s="37">
        <v>4.8940450000000002</v>
      </c>
      <c r="DO70" s="37">
        <v>4.8940450000000002</v>
      </c>
      <c r="DP70" s="37">
        <v>4.8940450000000002</v>
      </c>
      <c r="DQ70" s="37">
        <v>4.8940450000000002</v>
      </c>
      <c r="DR70" s="37">
        <v>4.8940450000000002</v>
      </c>
      <c r="DS70" s="37">
        <v>4.8940450000000002</v>
      </c>
      <c r="DT70" s="37">
        <v>4.8940450000000002</v>
      </c>
      <c r="DU70" s="37">
        <v>4.8940450000000002</v>
      </c>
      <c r="DV70" s="37">
        <v>4.8940450000000002</v>
      </c>
      <c r="DW70" s="37">
        <v>4.8940450000000002</v>
      </c>
      <c r="DX70" s="37">
        <v>4.8940450000000002</v>
      </c>
      <c r="DY70" s="37">
        <v>4.8940450000000002</v>
      </c>
      <c r="DZ70" s="37">
        <v>4.8940450000000002</v>
      </c>
      <c r="EA70" s="37">
        <v>4.8940450000000002</v>
      </c>
      <c r="EB70" s="37">
        <v>4.8940450000000002</v>
      </c>
      <c r="EC70" s="37">
        <v>4.8940450000000002</v>
      </c>
      <c r="ED70" s="37">
        <v>4.8940450000000002</v>
      </c>
      <c r="EE70" s="37">
        <v>4.8940450000000002</v>
      </c>
      <c r="EF70" s="37">
        <v>4.8940450000000002</v>
      </c>
      <c r="EG70" s="37">
        <v>4.8940450000000002</v>
      </c>
      <c r="EH70" s="37">
        <v>4.8940450000000002</v>
      </c>
      <c r="EI70" s="37">
        <v>4.8940450000000002</v>
      </c>
      <c r="EJ70" s="37">
        <v>4.8940450000000002</v>
      </c>
      <c r="EK70" s="37">
        <v>4.8940450000000002</v>
      </c>
      <c r="EL70" s="37">
        <v>4.8940450000000002</v>
      </c>
      <c r="EM70" s="37">
        <v>4.8940450000000002</v>
      </c>
      <c r="EN70" s="37">
        <v>4.8940450000000002</v>
      </c>
      <c r="EO70" s="37">
        <v>4.8940450000000002</v>
      </c>
      <c r="EP70" s="37">
        <v>4.8940450000000002</v>
      </c>
      <c r="EQ70" s="37">
        <v>4.8940450000000002</v>
      </c>
      <c r="ER70" s="37">
        <v>4.8940450000000002</v>
      </c>
      <c r="ES70" s="37">
        <v>4.8940450000000002</v>
      </c>
      <c r="ET70" s="37">
        <v>4.8940450000000002</v>
      </c>
      <c r="EU70" s="37">
        <v>4.8940450000000002</v>
      </c>
      <c r="EV70" s="37">
        <v>4.8940450000000002</v>
      </c>
      <c r="EW70" s="37">
        <v>4.8940450000000002</v>
      </c>
      <c r="EX70" s="37">
        <v>4.8940450000000002</v>
      </c>
      <c r="EY70" s="37">
        <v>4.8940450000000002</v>
      </c>
      <c r="EZ70" s="37">
        <v>4.8940450000000002</v>
      </c>
      <c r="FA70" s="37">
        <v>4.8940450000000002</v>
      </c>
      <c r="FB70" s="37">
        <v>4.8940450000000002</v>
      </c>
      <c r="FC70" s="37">
        <v>4.8940450000000002</v>
      </c>
      <c r="FD70" s="37">
        <v>4.8940450000000002</v>
      </c>
      <c r="FE70" s="37">
        <v>4.8940450000000002</v>
      </c>
      <c r="FF70" s="37">
        <v>4.8940450000000002</v>
      </c>
      <c r="FG70" s="37">
        <v>4.8940450000000002</v>
      </c>
      <c r="FH70" s="37">
        <v>4.8940450000000002</v>
      </c>
      <c r="FI70" s="37">
        <v>4.8940450000000002</v>
      </c>
      <c r="FJ70" s="37">
        <v>4.8940450000000002</v>
      </c>
      <c r="FK70" s="37">
        <v>4.8940450000000002</v>
      </c>
      <c r="FL70" s="37">
        <v>4.8940450000000002</v>
      </c>
      <c r="FM70" s="37">
        <v>4.8940450000000002</v>
      </c>
      <c r="FN70" s="37">
        <v>4.8940450000000002</v>
      </c>
      <c r="FO70" s="37">
        <v>4.8940450000000002</v>
      </c>
      <c r="FP70" s="37">
        <v>4.8940450000000002</v>
      </c>
      <c r="FQ70" s="37">
        <v>4.8940450000000002</v>
      </c>
      <c r="FR70" s="37">
        <v>4.8940450000000002</v>
      </c>
      <c r="FS70" s="37">
        <v>4.8940450000000002</v>
      </c>
      <c r="FT70" s="37">
        <v>4.8940450000000002</v>
      </c>
      <c r="FU70" s="37">
        <v>4.8940450000000002</v>
      </c>
      <c r="FV70" s="37">
        <v>4.8940450000000002</v>
      </c>
      <c r="FW70" s="37">
        <v>4.8940450000000002</v>
      </c>
      <c r="FX70" s="37">
        <v>4.8940450000000002</v>
      </c>
      <c r="FY70" s="37">
        <v>4.8940450000000002</v>
      </c>
      <c r="FZ70" s="37">
        <v>4.8940450000000002</v>
      </c>
      <c r="GA70" s="37">
        <v>4.8940450000000002</v>
      </c>
      <c r="GB70" s="37">
        <v>4.8940450000000002</v>
      </c>
      <c r="GC70" s="37">
        <v>4.8940450000000002</v>
      </c>
      <c r="GD70" s="37">
        <v>4.8940450000000002</v>
      </c>
      <c r="GE70" s="37">
        <v>4.8940450000000002</v>
      </c>
      <c r="GF70" s="37">
        <v>4.8940450000000002</v>
      </c>
      <c r="GG70" s="37">
        <v>4.8940450000000002</v>
      </c>
      <c r="GH70" s="37">
        <v>4.8940450000000002</v>
      </c>
      <c r="GI70" s="37">
        <v>4.8940450000000002</v>
      </c>
      <c r="GJ70" s="37">
        <v>4.8940450000000002</v>
      </c>
      <c r="GK70" s="37">
        <v>4.8940450000000002</v>
      </c>
      <c r="GL70" s="37">
        <v>4.8940450000000002</v>
      </c>
      <c r="GM70" s="37">
        <v>4.8940450000000002</v>
      </c>
      <c r="GN70" s="37">
        <v>4.8940450000000002</v>
      </c>
      <c r="GO70" s="37">
        <v>4.8940450000000002</v>
      </c>
      <c r="GP70" s="37">
        <v>4.8940450000000002</v>
      </c>
      <c r="GQ70" s="37">
        <v>4.8940450000000002</v>
      </c>
      <c r="GR70" s="37">
        <v>4.8940450000000002</v>
      </c>
      <c r="GS70" s="37">
        <v>4.8940450000000002</v>
      </c>
      <c r="GT70" s="37">
        <v>4.8940450000000002</v>
      </c>
      <c r="GU70" s="37">
        <v>4.8940450000000002</v>
      </c>
      <c r="GV70" s="37">
        <v>4.8940450000000002</v>
      </c>
      <c r="GW70" s="37">
        <v>4.8940450000000002</v>
      </c>
      <c r="GX70" s="37">
        <v>4.8940450000000002</v>
      </c>
      <c r="GY70" s="37">
        <v>4.8940450000000002</v>
      </c>
      <c r="GZ70" s="37">
        <v>4.8940450000000002</v>
      </c>
      <c r="HA70" s="37">
        <v>4.8940450000000002</v>
      </c>
      <c r="HB70" s="37">
        <v>4.8940450000000002</v>
      </c>
      <c r="HC70" s="37">
        <v>4.8940450000000002</v>
      </c>
      <c r="HD70" s="37">
        <v>4.8940450000000002</v>
      </c>
      <c r="HE70" s="37">
        <v>4.8940450000000002</v>
      </c>
      <c r="HF70" s="37">
        <v>4.8940450000000002</v>
      </c>
      <c r="HG70" s="37">
        <v>4.8940450000000002</v>
      </c>
      <c r="HH70" s="37">
        <v>4.8940450000000002</v>
      </c>
      <c r="HI70" s="37">
        <v>4.8940450000000002</v>
      </c>
      <c r="HJ70" s="37">
        <v>4.8940450000000002</v>
      </c>
      <c r="HK70" s="37">
        <v>4.8940450000000002</v>
      </c>
      <c r="HL70" s="37">
        <v>4.8940450000000002</v>
      </c>
      <c r="HM70" s="37">
        <v>4.8940450000000002</v>
      </c>
      <c r="HN70" s="37">
        <v>4.8940450000000002</v>
      </c>
      <c r="HO70" s="37">
        <v>4.8940450000000002</v>
      </c>
      <c r="HP70" s="37">
        <v>4.8940450000000002</v>
      </c>
      <c r="HQ70" s="37">
        <v>4.8940450000000002</v>
      </c>
      <c r="HR70" s="37">
        <v>4.8940450000000002</v>
      </c>
      <c r="HS70" s="37">
        <v>4.8940450000000002</v>
      </c>
      <c r="HT70" s="37">
        <v>4.8940450000000002</v>
      </c>
      <c r="HU70" s="37">
        <v>4.8940450000000002</v>
      </c>
      <c r="HV70" s="37">
        <v>4.8940450000000002</v>
      </c>
      <c r="HW70" s="37">
        <v>4.8940450000000002</v>
      </c>
      <c r="HX70" s="37">
        <v>4.8940450000000002</v>
      </c>
      <c r="HY70" s="37">
        <v>4.8940450000000002</v>
      </c>
      <c r="HZ70" s="37">
        <v>4.8940450000000002</v>
      </c>
      <c r="IA70" s="37">
        <v>4.8940450000000002</v>
      </c>
      <c r="IB70" s="37">
        <v>4.8940450000000002</v>
      </c>
      <c r="IC70" s="37">
        <v>4.8940450000000002</v>
      </c>
      <c r="ID70" s="37">
        <v>4.8940450000000002</v>
      </c>
      <c r="IE70" s="37">
        <v>4.8940450000000002</v>
      </c>
      <c r="IF70" s="37">
        <v>4.8940450000000002</v>
      </c>
      <c r="IG70" s="37">
        <v>4.8940450000000002</v>
      </c>
      <c r="IH70" s="37">
        <v>4.8940450000000002</v>
      </c>
      <c r="II70" s="37">
        <v>4.8940450000000002</v>
      </c>
      <c r="IJ70" s="37">
        <v>4.8940450000000002</v>
      </c>
      <c r="IK70" s="37">
        <v>4.8940450000000002</v>
      </c>
      <c r="IL70" s="37">
        <v>4.8940450000000002</v>
      </c>
      <c r="IM70" s="37">
        <v>4.8940450000000002</v>
      </c>
      <c r="IN70" s="37">
        <v>4.8940450000000002</v>
      </c>
      <c r="IO70" s="37">
        <v>4.8940450000000002</v>
      </c>
      <c r="IP70" s="37">
        <v>4.8940450000000002</v>
      </c>
      <c r="IQ70" s="37">
        <v>4.8940450000000002</v>
      </c>
      <c r="IR70" s="37">
        <v>4.8940450000000002</v>
      </c>
      <c r="IS70" s="37">
        <v>4.8940450000000002</v>
      </c>
      <c r="IT70" s="37">
        <v>4.8940450000000002</v>
      </c>
      <c r="IU70" s="37">
        <v>4.8940450000000002</v>
      </c>
      <c r="IV70" s="37">
        <v>4.8940450000000002</v>
      </c>
      <c r="IW70" s="37">
        <v>4.8940450000000002</v>
      </c>
      <c r="IX70" s="37">
        <v>4.8940450000000002</v>
      </c>
      <c r="IY70" s="37">
        <v>4.8940450000000002</v>
      </c>
      <c r="IZ70" s="37">
        <v>4.8940450000000002</v>
      </c>
      <c r="JA70" s="37">
        <v>4.8940450000000002</v>
      </c>
      <c r="JB70" s="37">
        <v>4.8940450000000002</v>
      </c>
      <c r="JC70" s="37">
        <v>4.8940450000000002</v>
      </c>
      <c r="JD70" s="37">
        <v>4.8940450000000002</v>
      </c>
      <c r="JE70" s="37">
        <v>4.8940450000000002</v>
      </c>
      <c r="JF70" s="37">
        <v>4.8940450000000002</v>
      </c>
      <c r="JG70" s="37">
        <v>4.8940450000000002</v>
      </c>
      <c r="JH70" s="37">
        <v>4.8940450000000002</v>
      </c>
      <c r="JI70" s="37">
        <v>4.8940450000000002</v>
      </c>
      <c r="JJ70" s="37">
        <v>4.8940450000000002</v>
      </c>
      <c r="JK70" s="37">
        <v>4.8940450000000002</v>
      </c>
      <c r="JL70" s="37">
        <v>4.8940450000000002</v>
      </c>
      <c r="JM70" s="37">
        <v>4.8940450000000002</v>
      </c>
      <c r="JN70" s="37">
        <v>4.8940450000000002</v>
      </c>
      <c r="JO70" s="37">
        <v>4.8940450000000002</v>
      </c>
      <c r="JP70" s="37">
        <v>4.8940450000000002</v>
      </c>
      <c r="JQ70" s="37">
        <v>4.8940450000000002</v>
      </c>
      <c r="JR70" s="37">
        <v>4.8940450000000002</v>
      </c>
      <c r="JS70" s="37">
        <v>4.8940450000000002</v>
      </c>
      <c r="JT70" s="37">
        <v>4.8940450000000002</v>
      </c>
      <c r="JU70" s="37">
        <v>4.8940450000000002</v>
      </c>
      <c r="JV70" s="37">
        <v>4.8940450000000002</v>
      </c>
      <c r="JW70" s="37">
        <v>4.8940450000000002</v>
      </c>
      <c r="JX70" s="37">
        <v>4.8940450000000002</v>
      </c>
      <c r="JY70" s="37">
        <v>4.8940450000000002</v>
      </c>
      <c r="JZ70" s="37">
        <v>4.8940450000000002</v>
      </c>
      <c r="KA70" s="37">
        <v>4.8940450000000002</v>
      </c>
      <c r="KB70" s="37">
        <v>4.8940450000000002</v>
      </c>
      <c r="KC70" s="37">
        <v>4.8940450000000002</v>
      </c>
      <c r="KD70" s="37">
        <v>4.8940450000000002</v>
      </c>
      <c r="KE70" s="37">
        <v>4.8940450000000002</v>
      </c>
      <c r="KF70" s="37">
        <v>4.8940450000000002</v>
      </c>
      <c r="KG70" s="37">
        <v>4.8940450000000002</v>
      </c>
      <c r="KH70" s="37">
        <v>4.8940450000000002</v>
      </c>
      <c r="KI70" s="37">
        <v>4.8940450000000002</v>
      </c>
      <c r="KJ70" s="37">
        <v>4.8940450000000002</v>
      </c>
      <c r="KK70" s="37">
        <v>4.8940450000000002</v>
      </c>
      <c r="KL70" s="37">
        <v>4.8940450000000002</v>
      </c>
      <c r="KM70" s="37">
        <v>4.8940450000000002</v>
      </c>
      <c r="KN70" s="37">
        <v>4.8940450000000002</v>
      </c>
      <c r="KO70" s="37">
        <v>4.8940450000000002</v>
      </c>
      <c r="KP70" s="37">
        <v>4.8940450000000002</v>
      </c>
      <c r="KQ70" s="37">
        <v>4.8940450000000002</v>
      </c>
      <c r="KR70" s="37">
        <v>4.8940450000000002</v>
      </c>
      <c r="KS70" s="37">
        <v>4.8940450000000002</v>
      </c>
      <c r="KT70" s="37">
        <v>4.8940450000000002</v>
      </c>
      <c r="KU70" s="37">
        <v>4.8940450000000002</v>
      </c>
      <c r="KV70" s="37">
        <v>4.8940450000000002</v>
      </c>
      <c r="KW70" s="37">
        <v>4.8940450000000002</v>
      </c>
      <c r="KX70" s="37">
        <v>4.8940450000000002</v>
      </c>
      <c r="KY70" s="37">
        <v>4.8940450000000002</v>
      </c>
      <c r="KZ70" s="37">
        <v>4.8940450000000002</v>
      </c>
      <c r="LA70" s="37">
        <v>4.8940450000000002</v>
      </c>
      <c r="LB70" s="37">
        <v>4.8940450000000002</v>
      </c>
      <c r="LC70" s="37">
        <v>4.8940450000000002</v>
      </c>
      <c r="LD70" s="37">
        <v>4.8940450000000002</v>
      </c>
      <c r="LE70" s="37">
        <v>4.8940450000000002</v>
      </c>
      <c r="LF70" s="37">
        <v>4.8940450000000002</v>
      </c>
      <c r="LG70" s="37">
        <v>4.8940450000000002</v>
      </c>
      <c r="LH70" s="37">
        <v>4.8940450000000002</v>
      </c>
      <c r="LI70" s="37">
        <v>4.8940450000000002</v>
      </c>
      <c r="LJ70" s="37">
        <v>4.8940450000000002</v>
      </c>
      <c r="LK70" s="37">
        <v>4.8940450000000002</v>
      </c>
      <c r="LL70" s="37">
        <v>4.8940450000000002</v>
      </c>
      <c r="LM70" s="37">
        <v>4.8940450000000002</v>
      </c>
      <c r="LN70" s="37">
        <v>4.8940450000000002</v>
      </c>
      <c r="LO70" s="37">
        <v>4.8604190000000003</v>
      </c>
      <c r="LP70" s="37" t="s">
        <v>668</v>
      </c>
      <c r="LQ70" s="37" t="s">
        <v>668</v>
      </c>
      <c r="LR70" s="37" t="s">
        <v>668</v>
      </c>
      <c r="LS70" s="37" t="s">
        <v>668</v>
      </c>
      <c r="LT70" s="37" t="s">
        <v>668</v>
      </c>
      <c r="LU70" s="37" t="s">
        <v>668</v>
      </c>
      <c r="LV70" s="37" t="s">
        <v>668</v>
      </c>
      <c r="LW70" s="37" t="s">
        <v>668</v>
      </c>
      <c r="LX70" s="37" t="s">
        <v>668</v>
      </c>
      <c r="LY70" s="37" t="s">
        <v>668</v>
      </c>
      <c r="LZ70" s="37" t="s">
        <v>668</v>
      </c>
      <c r="MA70" s="37" t="s">
        <v>668</v>
      </c>
      <c r="MB70" s="37" t="s">
        <v>668</v>
      </c>
      <c r="MC70" s="37" t="s">
        <v>668</v>
      </c>
      <c r="MD70" s="37" t="s">
        <v>668</v>
      </c>
      <c r="ME70" s="37" t="s">
        <v>668</v>
      </c>
      <c r="MF70" s="37" t="s">
        <v>668</v>
      </c>
      <c r="MG70" s="37" t="s">
        <v>668</v>
      </c>
      <c r="MH70" s="37" t="s">
        <v>668</v>
      </c>
      <c r="MI70" s="37" t="s">
        <v>668</v>
      </c>
      <c r="MJ70" s="37" t="s">
        <v>668</v>
      </c>
      <c r="MK70" s="37" t="s">
        <v>668</v>
      </c>
      <c r="ML70" s="37" t="s">
        <v>668</v>
      </c>
      <c r="MM70" s="37" t="s">
        <v>668</v>
      </c>
      <c r="MN70" s="37" t="s">
        <v>668</v>
      </c>
      <c r="MO70" s="37" t="s">
        <v>668</v>
      </c>
      <c r="MP70" s="37" t="s">
        <v>668</v>
      </c>
      <c r="MQ70" s="37" t="s">
        <v>668</v>
      </c>
      <c r="MR70" s="37" t="s">
        <v>668</v>
      </c>
      <c r="MS70" s="37" t="s">
        <v>668</v>
      </c>
      <c r="MT70" s="37" t="s">
        <v>668</v>
      </c>
      <c r="MU70" s="37" t="s">
        <v>668</v>
      </c>
      <c r="MV70" s="37" t="s">
        <v>668</v>
      </c>
      <c r="MW70" s="37" t="s">
        <v>668</v>
      </c>
      <c r="MX70" s="37" t="s">
        <v>668</v>
      </c>
      <c r="MY70" s="37" t="s">
        <v>668</v>
      </c>
      <c r="MZ70" s="37" t="s">
        <v>668</v>
      </c>
      <c r="NA70" s="37" t="s">
        <v>668</v>
      </c>
      <c r="NB70" s="37" t="s">
        <v>668</v>
      </c>
      <c r="NC70" s="37" t="s">
        <v>668</v>
      </c>
      <c r="ND70" s="37" t="s">
        <v>668</v>
      </c>
      <c r="NE70" s="37" t="s">
        <v>668</v>
      </c>
      <c r="NF70" s="37" t="s">
        <v>668</v>
      </c>
      <c r="NG70" s="37" t="s">
        <v>668</v>
      </c>
      <c r="NH70" s="37" t="s">
        <v>668</v>
      </c>
      <c r="NI70" s="37" t="s">
        <v>668</v>
      </c>
      <c r="NJ70" s="37" t="s">
        <v>668</v>
      </c>
      <c r="NK70" s="37" t="s">
        <v>668</v>
      </c>
      <c r="NL70" s="37" t="s">
        <v>668</v>
      </c>
      <c r="NM70" s="37" t="s">
        <v>668</v>
      </c>
      <c r="NN70" s="37" t="s">
        <v>668</v>
      </c>
      <c r="NO70" s="37" t="s">
        <v>668</v>
      </c>
      <c r="NP70" s="37" t="s">
        <v>668</v>
      </c>
      <c r="NQ70" s="37" t="s">
        <v>668</v>
      </c>
      <c r="NR70" s="37" t="s">
        <v>668</v>
      </c>
      <c r="NS70" s="37" t="s">
        <v>668</v>
      </c>
      <c r="NT70" s="37" t="s">
        <v>668</v>
      </c>
      <c r="NU70" s="37" t="s">
        <v>668</v>
      </c>
      <c r="NV70" s="37" t="s">
        <v>668</v>
      </c>
      <c r="NW70" s="37" t="s">
        <v>668</v>
      </c>
      <c r="NX70" s="37" t="s">
        <v>668</v>
      </c>
      <c r="NY70" s="37" t="s">
        <v>668</v>
      </c>
      <c r="NZ70" s="37" t="s">
        <v>668</v>
      </c>
      <c r="OA70" s="37" t="s">
        <v>668</v>
      </c>
      <c r="OB70" s="37" t="s">
        <v>668</v>
      </c>
      <c r="OC70" s="37" t="s">
        <v>668</v>
      </c>
      <c r="OD70" s="37" t="s">
        <v>668</v>
      </c>
      <c r="OE70" s="37" t="s">
        <v>668</v>
      </c>
      <c r="OF70" s="37" t="s">
        <v>668</v>
      </c>
      <c r="OG70" s="37" t="s">
        <v>668</v>
      </c>
      <c r="OH70" s="37" t="s">
        <v>668</v>
      </c>
      <c r="OI70" s="37" t="s">
        <v>668</v>
      </c>
      <c r="OJ70" s="37" t="s">
        <v>668</v>
      </c>
      <c r="OK70" s="37" t="s">
        <v>668</v>
      </c>
      <c r="OL70" s="37" t="s">
        <v>668</v>
      </c>
      <c r="OM70" s="37" t="s">
        <v>668</v>
      </c>
      <c r="ON70" s="37" t="s">
        <v>668</v>
      </c>
      <c r="OO70" s="37" t="s">
        <v>668</v>
      </c>
      <c r="OP70" s="37" t="s">
        <v>668</v>
      </c>
      <c r="OQ70" s="37" t="s">
        <v>668</v>
      </c>
      <c r="OR70" s="37" t="s">
        <v>668</v>
      </c>
      <c r="OS70" s="37" t="s">
        <v>668</v>
      </c>
      <c r="OT70" s="37" t="s">
        <v>668</v>
      </c>
      <c r="OU70" s="37" t="s">
        <v>668</v>
      </c>
      <c r="OV70" s="37" t="s">
        <v>668</v>
      </c>
      <c r="OW70" s="37" t="s">
        <v>668</v>
      </c>
      <c r="OX70" s="37" t="s">
        <v>668</v>
      </c>
      <c r="OY70" s="37" t="s">
        <v>668</v>
      </c>
      <c r="OZ70" s="37" t="s">
        <v>668</v>
      </c>
      <c r="PA70" s="37" t="s">
        <v>668</v>
      </c>
      <c r="PB70" s="37" t="s">
        <v>668</v>
      </c>
      <c r="PC70" s="37" t="s">
        <v>668</v>
      </c>
      <c r="PD70" s="37" t="s">
        <v>668</v>
      </c>
      <c r="PE70" s="37" t="s">
        <v>668</v>
      </c>
      <c r="PF70" s="37" t="s">
        <v>668</v>
      </c>
      <c r="PG70" s="37" t="s">
        <v>668</v>
      </c>
      <c r="PH70" s="37" t="s">
        <v>668</v>
      </c>
      <c r="PI70" s="37" t="s">
        <v>668</v>
      </c>
      <c r="PJ70" s="37" t="s">
        <v>668</v>
      </c>
      <c r="PK70" s="37" t="s">
        <v>668</v>
      </c>
      <c r="PL70" s="37" t="s">
        <v>668</v>
      </c>
      <c r="PM70" s="37" t="s">
        <v>668</v>
      </c>
      <c r="PN70" s="37" t="s">
        <v>668</v>
      </c>
      <c r="PO70" s="37" t="s">
        <v>668</v>
      </c>
      <c r="PP70" s="37" t="s">
        <v>668</v>
      </c>
      <c r="PQ70" s="37" t="s">
        <v>668</v>
      </c>
      <c r="PR70" s="37" t="s">
        <v>668</v>
      </c>
      <c r="PS70" s="15" t="s">
        <v>668</v>
      </c>
      <c r="PT70" s="15" t="s">
        <v>668</v>
      </c>
      <c r="PU70" s="15" t="s">
        <v>668</v>
      </c>
      <c r="PV70" s="15" t="s">
        <v>668</v>
      </c>
      <c r="PW70" s="15" t="s">
        <v>668</v>
      </c>
      <c r="PX70" s="15" t="s">
        <v>668</v>
      </c>
      <c r="PY70" s="15" t="s">
        <v>668</v>
      </c>
      <c r="PZ70" s="15" t="s">
        <v>668</v>
      </c>
      <c r="QA70" s="15" t="s">
        <v>668</v>
      </c>
      <c r="QB70" s="15" t="s">
        <v>668</v>
      </c>
      <c r="QC70" s="15" t="s">
        <v>668</v>
      </c>
      <c r="QD70" s="15" t="s">
        <v>668</v>
      </c>
      <c r="QE70" s="15" t="s">
        <v>668</v>
      </c>
      <c r="QF70" s="15" t="s">
        <v>668</v>
      </c>
      <c r="QG70" s="15" t="s">
        <v>668</v>
      </c>
      <c r="QH70" s="15" t="s">
        <v>668</v>
      </c>
      <c r="QI70" s="15" t="s">
        <v>668</v>
      </c>
      <c r="QJ70" s="15" t="s">
        <v>668</v>
      </c>
      <c r="QK70" s="15" t="s">
        <v>668</v>
      </c>
      <c r="QL70" s="15" t="s">
        <v>668</v>
      </c>
      <c r="QM70" s="15" t="s">
        <v>668</v>
      </c>
      <c r="QN70" s="15" t="s">
        <v>668</v>
      </c>
      <c r="QO70" s="15" t="s">
        <v>668</v>
      </c>
      <c r="QP70" s="15" t="s">
        <v>668</v>
      </c>
      <c r="QQ70" s="15" t="s">
        <v>668</v>
      </c>
      <c r="QR70" s="15" t="s">
        <v>668</v>
      </c>
      <c r="QS70" s="15" t="s">
        <v>668</v>
      </c>
      <c r="QT70" s="15" t="s">
        <v>668</v>
      </c>
      <c r="QU70" s="15" t="s">
        <v>668</v>
      </c>
      <c r="QV70" s="15" t="s">
        <v>668</v>
      </c>
      <c r="QW70" s="15" t="s">
        <v>668</v>
      </c>
      <c r="QX70" s="15" t="s">
        <v>668</v>
      </c>
      <c r="QY70" s="15" t="s">
        <v>668</v>
      </c>
      <c r="QZ70" s="15" t="s">
        <v>668</v>
      </c>
      <c r="RA70" s="15" t="s">
        <v>668</v>
      </c>
      <c r="RB70" s="15" t="s">
        <v>668</v>
      </c>
      <c r="RC70" s="15" t="s">
        <v>668</v>
      </c>
      <c r="RD70" s="15" t="s">
        <v>668</v>
      </c>
      <c r="RE70" s="15" t="s">
        <v>668</v>
      </c>
      <c r="RF70" s="15" t="s">
        <v>668</v>
      </c>
      <c r="RG70" s="15" t="s">
        <v>668</v>
      </c>
      <c r="RH70" s="15" t="s">
        <v>668</v>
      </c>
      <c r="RI70" s="15" t="s">
        <v>668</v>
      </c>
      <c r="RJ70" s="15" t="s">
        <v>668</v>
      </c>
      <c r="RK70" s="15" t="s">
        <v>668</v>
      </c>
      <c r="RL70" s="15" t="s">
        <v>668</v>
      </c>
      <c r="RM70" s="15" t="s">
        <v>668</v>
      </c>
      <c r="RN70" s="15" t="s">
        <v>668</v>
      </c>
      <c r="RO70" s="15" t="s">
        <v>668</v>
      </c>
      <c r="RP70" s="15" t="s">
        <v>668</v>
      </c>
      <c r="RQ70" s="15" t="s">
        <v>668</v>
      </c>
      <c r="RR70" s="15" t="s">
        <v>668</v>
      </c>
      <c r="RS70" s="15" t="s">
        <v>668</v>
      </c>
      <c r="RT70" s="15" t="s">
        <v>668</v>
      </c>
      <c r="RU70" s="15" t="s">
        <v>668</v>
      </c>
      <c r="RV70" s="15" t="s">
        <v>668</v>
      </c>
      <c r="RW70" s="15" t="s">
        <v>668</v>
      </c>
      <c r="RX70" s="15" t="s">
        <v>668</v>
      </c>
      <c r="RY70" s="15" t="s">
        <v>668</v>
      </c>
      <c r="RZ70" s="15" t="s">
        <v>668</v>
      </c>
      <c r="SA70" s="15" t="s">
        <v>668</v>
      </c>
      <c r="SB70" s="15" t="s">
        <v>668</v>
      </c>
      <c r="SC70" s="15" t="s">
        <v>668</v>
      </c>
      <c r="SD70" s="15" t="s">
        <v>668</v>
      </c>
      <c r="SE70" s="15" t="s">
        <v>668</v>
      </c>
      <c r="SF70" s="15" t="s">
        <v>668</v>
      </c>
      <c r="SG70" s="15" t="s">
        <v>668</v>
      </c>
      <c r="SH70" s="15" t="s">
        <v>668</v>
      </c>
      <c r="SI70" s="15" t="s">
        <v>668</v>
      </c>
      <c r="SJ70" s="15" t="s">
        <v>668</v>
      </c>
      <c r="SK70" s="15" t="s">
        <v>668</v>
      </c>
      <c r="SL70" s="15" t="s">
        <v>668</v>
      </c>
      <c r="SM70" s="15" t="s">
        <v>668</v>
      </c>
    </row>
    <row r="71" spans="1:509" x14ac:dyDescent="0.2">
      <c r="A71" s="37">
        <v>69</v>
      </c>
      <c r="B71" s="37" t="s">
        <v>807</v>
      </c>
      <c r="C71" s="17">
        <f>+'Detalle Compras'!D71</f>
        <v>202508050093</v>
      </c>
      <c r="D71" s="55">
        <f t="shared" si="16"/>
        <v>13.0093</v>
      </c>
      <c r="E71" s="14">
        <f>+IF(B71="","",'Detalle Compras'!S71+0)</f>
        <v>45940</v>
      </c>
      <c r="F71" s="14">
        <f>+IF(B71="","",EOMONTH('Detalle Compras'!S71,G71)+10)</f>
        <v>55102</v>
      </c>
      <c r="G71" s="50">
        <f t="shared" si="17"/>
        <v>300</v>
      </c>
      <c r="H71" s="50">
        <f t="shared" si="18"/>
        <v>296</v>
      </c>
      <c r="AB71" s="37">
        <v>13.0093</v>
      </c>
      <c r="AC71" s="37">
        <v>13.0093</v>
      </c>
      <c r="AD71" s="37">
        <v>13.0093</v>
      </c>
      <c r="AE71" s="37">
        <v>13.0093</v>
      </c>
      <c r="AF71" s="37">
        <v>13.0093</v>
      </c>
      <c r="AG71" s="37">
        <v>13.0093</v>
      </c>
      <c r="AH71" s="37">
        <v>13.0093</v>
      </c>
      <c r="AI71" s="37">
        <v>13.0093</v>
      </c>
      <c r="AJ71" s="37">
        <v>13.0093</v>
      </c>
      <c r="AK71" s="37">
        <v>13.0093</v>
      </c>
      <c r="AL71" s="37">
        <v>13.0093</v>
      </c>
      <c r="AM71" s="37">
        <v>13.0093</v>
      </c>
      <c r="AN71" s="37">
        <v>13.0093</v>
      </c>
      <c r="AO71" s="37">
        <v>13.0093</v>
      </c>
      <c r="AP71" s="37">
        <v>13.0093</v>
      </c>
      <c r="AQ71" s="37">
        <v>13.0093</v>
      </c>
      <c r="AR71" s="37">
        <v>13.0093</v>
      </c>
      <c r="AS71" s="37">
        <v>13.0093</v>
      </c>
      <c r="AT71" s="37">
        <v>13.0093</v>
      </c>
      <c r="AU71" s="37">
        <v>13.0093</v>
      </c>
      <c r="AV71" s="37">
        <v>13.0093</v>
      </c>
      <c r="AW71" s="37">
        <v>13.0093</v>
      </c>
      <c r="AX71" s="37">
        <v>13.0093</v>
      </c>
      <c r="AY71" s="37">
        <v>13.0093</v>
      </c>
      <c r="AZ71" s="37">
        <v>13.0093</v>
      </c>
      <c r="BA71" s="37">
        <v>13.0093</v>
      </c>
      <c r="BB71" s="37">
        <v>13.0093</v>
      </c>
      <c r="BC71" s="37">
        <v>13.0093</v>
      </c>
      <c r="BD71" s="37">
        <v>13.0093</v>
      </c>
      <c r="BE71" s="37">
        <v>13.0093</v>
      </c>
      <c r="BF71" s="37">
        <v>13.0093</v>
      </c>
      <c r="BG71" s="37">
        <v>13.0093</v>
      </c>
      <c r="BH71" s="37">
        <v>13.0093</v>
      </c>
      <c r="BI71" s="37">
        <v>13.0093</v>
      </c>
      <c r="BJ71" s="37">
        <v>13.0093</v>
      </c>
      <c r="BK71" s="37">
        <v>13.0093</v>
      </c>
      <c r="BL71" s="37">
        <v>13.0093</v>
      </c>
      <c r="BM71" s="37">
        <v>13.0093</v>
      </c>
      <c r="BN71" s="37">
        <v>13.0093</v>
      </c>
      <c r="BO71" s="37">
        <v>13.0093</v>
      </c>
      <c r="BP71" s="37">
        <v>13.0093</v>
      </c>
      <c r="BQ71" s="37">
        <v>13.0093</v>
      </c>
      <c r="BR71" s="37">
        <v>13.0093</v>
      </c>
      <c r="BS71" s="37">
        <v>13.0093</v>
      </c>
      <c r="BT71" s="37">
        <v>13.0093</v>
      </c>
      <c r="BU71" s="37">
        <v>13.0093</v>
      </c>
      <c r="BV71" s="37">
        <v>13.0093</v>
      </c>
      <c r="BW71" s="37">
        <v>13.0093</v>
      </c>
      <c r="BX71" s="37">
        <v>13.0093</v>
      </c>
      <c r="BY71" s="37">
        <v>13.0093</v>
      </c>
      <c r="BZ71" s="37">
        <v>13.0093</v>
      </c>
      <c r="CA71" s="37">
        <v>13.0093</v>
      </c>
      <c r="CB71" s="37">
        <v>13.0093</v>
      </c>
      <c r="CC71" s="37">
        <v>13.0093</v>
      </c>
      <c r="CD71" s="37">
        <v>13.0093</v>
      </c>
      <c r="CE71" s="37">
        <v>13.0093</v>
      </c>
      <c r="CF71" s="37">
        <v>13.0093</v>
      </c>
      <c r="CG71" s="37">
        <v>13.0093</v>
      </c>
      <c r="CH71" s="37">
        <v>13.0093</v>
      </c>
      <c r="CI71" s="37">
        <v>13.0093</v>
      </c>
      <c r="CJ71" s="37">
        <v>13.0093</v>
      </c>
      <c r="CK71" s="37">
        <v>13.0093</v>
      </c>
      <c r="CL71" s="37">
        <v>13.0093</v>
      </c>
      <c r="CM71" s="37">
        <v>13.0093</v>
      </c>
      <c r="CN71" s="37">
        <v>13.0093</v>
      </c>
      <c r="CO71" s="37">
        <v>13.0093</v>
      </c>
      <c r="CP71" s="37">
        <v>13.0093</v>
      </c>
      <c r="CQ71" s="37">
        <v>13.0093</v>
      </c>
      <c r="CR71" s="37">
        <v>13.0093</v>
      </c>
      <c r="CS71" s="37">
        <v>13.0093</v>
      </c>
      <c r="CT71" s="37">
        <v>13.0093</v>
      </c>
      <c r="CU71" s="37">
        <v>13.0093</v>
      </c>
      <c r="CV71" s="37">
        <v>13.0093</v>
      </c>
      <c r="CW71" s="37">
        <v>13.0093</v>
      </c>
      <c r="CX71" s="37">
        <v>13.0093</v>
      </c>
      <c r="CY71" s="37">
        <v>13.0093</v>
      </c>
      <c r="CZ71" s="37">
        <v>13.0093</v>
      </c>
      <c r="DA71" s="37">
        <v>13.0093</v>
      </c>
      <c r="DB71" s="37">
        <v>13.0093</v>
      </c>
      <c r="DC71" s="37">
        <v>13.0093</v>
      </c>
      <c r="DD71" s="37">
        <v>13.0093</v>
      </c>
      <c r="DE71" s="37">
        <v>13.0093</v>
      </c>
      <c r="DF71" s="37">
        <v>13.0093</v>
      </c>
      <c r="DG71" s="37">
        <v>13.0093</v>
      </c>
      <c r="DH71" s="37">
        <v>13.0093</v>
      </c>
      <c r="DI71" s="37">
        <v>13.0093</v>
      </c>
      <c r="DJ71" s="37">
        <v>13.0093</v>
      </c>
      <c r="DK71" s="37">
        <v>13.0093</v>
      </c>
      <c r="DL71" s="37">
        <v>13.0093</v>
      </c>
      <c r="DM71" s="37">
        <v>13.0093</v>
      </c>
      <c r="DN71" s="37">
        <v>13.0093</v>
      </c>
      <c r="DO71" s="37">
        <v>13.0093</v>
      </c>
      <c r="DP71" s="37">
        <v>13.0093</v>
      </c>
      <c r="DQ71" s="37">
        <v>13.0093</v>
      </c>
      <c r="DR71" s="37">
        <v>13.0093</v>
      </c>
      <c r="DS71" s="37">
        <v>13.0093</v>
      </c>
      <c r="DT71" s="37">
        <v>13.0093</v>
      </c>
      <c r="DU71" s="37">
        <v>13.0093</v>
      </c>
      <c r="DV71" s="37">
        <v>13.0093</v>
      </c>
      <c r="DW71" s="37">
        <v>13.0093</v>
      </c>
      <c r="DX71" s="37">
        <v>13.0093</v>
      </c>
      <c r="DY71" s="37">
        <v>13.0093</v>
      </c>
      <c r="DZ71" s="37">
        <v>13.0093</v>
      </c>
      <c r="EA71" s="37">
        <v>13.0093</v>
      </c>
      <c r="EB71" s="37">
        <v>13.0093</v>
      </c>
      <c r="EC71" s="37">
        <v>13.0093</v>
      </c>
      <c r="ED71" s="37">
        <v>13.0093</v>
      </c>
      <c r="EE71" s="37">
        <v>13.0093</v>
      </c>
      <c r="EF71" s="37">
        <v>13.0093</v>
      </c>
      <c r="EG71" s="37">
        <v>13.0093</v>
      </c>
      <c r="EH71" s="37">
        <v>13.0093</v>
      </c>
      <c r="EI71" s="37">
        <v>13.0093</v>
      </c>
      <c r="EJ71" s="37">
        <v>13.0093</v>
      </c>
      <c r="EK71" s="37">
        <v>13.0093</v>
      </c>
      <c r="EL71" s="37">
        <v>13.0093</v>
      </c>
      <c r="EM71" s="37">
        <v>13.0093</v>
      </c>
      <c r="EN71" s="37">
        <v>13.0093</v>
      </c>
      <c r="EO71" s="37">
        <v>13.0093</v>
      </c>
      <c r="EP71" s="37">
        <v>13.0093</v>
      </c>
      <c r="EQ71" s="37">
        <v>13.0093</v>
      </c>
      <c r="ER71" s="37">
        <v>13.0093</v>
      </c>
      <c r="ES71" s="37">
        <v>13.0093</v>
      </c>
      <c r="ET71" s="37">
        <v>13.0093</v>
      </c>
      <c r="EU71" s="37">
        <v>13.0093</v>
      </c>
      <c r="EV71" s="37">
        <v>13.0093</v>
      </c>
      <c r="EW71" s="37">
        <v>13.0093</v>
      </c>
      <c r="EX71" s="37">
        <v>13.0093</v>
      </c>
      <c r="EY71" s="37">
        <v>13.0093</v>
      </c>
      <c r="EZ71" s="37">
        <v>13.0093</v>
      </c>
      <c r="FA71" s="37">
        <v>13.0093</v>
      </c>
      <c r="FB71" s="37">
        <v>13.0093</v>
      </c>
      <c r="FC71" s="37">
        <v>13.0093</v>
      </c>
      <c r="FD71" s="37">
        <v>13.0093</v>
      </c>
      <c r="FE71" s="37">
        <v>13.0093</v>
      </c>
      <c r="FF71" s="37">
        <v>13.0093</v>
      </c>
      <c r="FG71" s="37">
        <v>13.0093</v>
      </c>
      <c r="FH71" s="37">
        <v>13.0093</v>
      </c>
      <c r="FI71" s="37">
        <v>13.0093</v>
      </c>
      <c r="FJ71" s="37">
        <v>13.0093</v>
      </c>
      <c r="FK71" s="37">
        <v>13.0093</v>
      </c>
      <c r="FL71" s="37">
        <v>13.0093</v>
      </c>
      <c r="FM71" s="37">
        <v>13.0093</v>
      </c>
      <c r="FN71" s="37">
        <v>13.0093</v>
      </c>
      <c r="FO71" s="37">
        <v>13.0093</v>
      </c>
      <c r="FP71" s="37">
        <v>13.0093</v>
      </c>
      <c r="FQ71" s="37">
        <v>13.0093</v>
      </c>
      <c r="FR71" s="37">
        <v>13.0093</v>
      </c>
      <c r="FS71" s="37">
        <v>13.0093</v>
      </c>
      <c r="FT71" s="37">
        <v>13.0093</v>
      </c>
      <c r="FU71" s="37">
        <v>13.0093</v>
      </c>
      <c r="FV71" s="37">
        <v>13.0093</v>
      </c>
      <c r="FW71" s="37">
        <v>13.0093</v>
      </c>
      <c r="FX71" s="37">
        <v>13.0093</v>
      </c>
      <c r="FY71" s="37">
        <v>13.0093</v>
      </c>
      <c r="FZ71" s="37">
        <v>13.0093</v>
      </c>
      <c r="GA71" s="37">
        <v>13.0093</v>
      </c>
      <c r="GB71" s="37">
        <v>13.0093</v>
      </c>
      <c r="GC71" s="37">
        <v>13.0093</v>
      </c>
      <c r="GD71" s="37">
        <v>13.0093</v>
      </c>
      <c r="GE71" s="37">
        <v>13.0093</v>
      </c>
      <c r="GF71" s="37">
        <v>13.0093</v>
      </c>
      <c r="GG71" s="37">
        <v>13.0093</v>
      </c>
      <c r="GH71" s="37">
        <v>13.0093</v>
      </c>
      <c r="GI71" s="37">
        <v>13.0093</v>
      </c>
      <c r="GJ71" s="37">
        <v>13.0093</v>
      </c>
      <c r="GK71" s="37">
        <v>13.0093</v>
      </c>
      <c r="GL71" s="37">
        <v>13.0093</v>
      </c>
      <c r="GM71" s="37">
        <v>13.0093</v>
      </c>
      <c r="GN71" s="37">
        <v>13.0093</v>
      </c>
      <c r="GO71" s="37">
        <v>13.0093</v>
      </c>
      <c r="GP71" s="37">
        <v>13.0093</v>
      </c>
      <c r="GQ71" s="37">
        <v>13.0093</v>
      </c>
      <c r="GR71" s="37">
        <v>13.0093</v>
      </c>
      <c r="GS71" s="37">
        <v>13.0093</v>
      </c>
      <c r="GT71" s="37">
        <v>13.0093</v>
      </c>
      <c r="GU71" s="37">
        <v>13.0093</v>
      </c>
      <c r="GV71" s="37">
        <v>13.0093</v>
      </c>
      <c r="GW71" s="37">
        <v>13.0093</v>
      </c>
      <c r="GX71" s="37">
        <v>13.0093</v>
      </c>
      <c r="GY71" s="37">
        <v>13.0093</v>
      </c>
      <c r="GZ71" s="37">
        <v>13.0093</v>
      </c>
      <c r="HA71" s="37">
        <v>13.0093</v>
      </c>
      <c r="HB71" s="37">
        <v>13.0093</v>
      </c>
      <c r="HC71" s="37">
        <v>13.0093</v>
      </c>
      <c r="HD71" s="37">
        <v>13.0093</v>
      </c>
      <c r="HE71" s="37">
        <v>13.0093</v>
      </c>
      <c r="HF71" s="37">
        <v>13.0093</v>
      </c>
      <c r="HG71" s="37">
        <v>13.0093</v>
      </c>
      <c r="HH71" s="37">
        <v>13.0093</v>
      </c>
      <c r="HI71" s="37">
        <v>13.0093</v>
      </c>
      <c r="HJ71" s="37">
        <v>13.0093</v>
      </c>
      <c r="HK71" s="37">
        <v>13.0093</v>
      </c>
      <c r="HL71" s="37">
        <v>13.0093</v>
      </c>
      <c r="HM71" s="37">
        <v>13.0093</v>
      </c>
      <c r="HN71" s="37">
        <v>13.0093</v>
      </c>
      <c r="HO71" s="37">
        <v>13.0093</v>
      </c>
      <c r="HP71" s="37">
        <v>13.0093</v>
      </c>
      <c r="HQ71" s="37">
        <v>13.0093</v>
      </c>
      <c r="HR71" s="37">
        <v>13.0093</v>
      </c>
      <c r="HS71" s="37">
        <v>13.0093</v>
      </c>
      <c r="HT71" s="37">
        <v>13.0093</v>
      </c>
      <c r="HU71" s="37">
        <v>13.0093</v>
      </c>
      <c r="HV71" s="37">
        <v>13.0093</v>
      </c>
      <c r="HW71" s="37">
        <v>13.0093</v>
      </c>
      <c r="HX71" s="37">
        <v>13.0093</v>
      </c>
      <c r="HY71" s="37">
        <v>13.0093</v>
      </c>
      <c r="HZ71" s="37">
        <v>13.0093</v>
      </c>
      <c r="IA71" s="37">
        <v>13.0093</v>
      </c>
      <c r="IB71" s="37">
        <v>13.0093</v>
      </c>
      <c r="IC71" s="37">
        <v>13.0093</v>
      </c>
      <c r="ID71" s="37">
        <v>13.0093</v>
      </c>
      <c r="IE71" s="37">
        <v>13.0093</v>
      </c>
      <c r="IF71" s="37">
        <v>13.0093</v>
      </c>
      <c r="IG71" s="37">
        <v>13.0093</v>
      </c>
      <c r="IH71" s="37">
        <v>13.0093</v>
      </c>
      <c r="II71" s="37">
        <v>13.0093</v>
      </c>
      <c r="IJ71" s="37">
        <v>13.0093</v>
      </c>
      <c r="IK71" s="37">
        <v>13.0093</v>
      </c>
      <c r="IL71" s="37">
        <v>13.0093</v>
      </c>
      <c r="IM71" s="37">
        <v>13.0093</v>
      </c>
      <c r="IN71" s="37">
        <v>13.0093</v>
      </c>
      <c r="IO71" s="37">
        <v>13.0093</v>
      </c>
      <c r="IP71" s="37">
        <v>13.0093</v>
      </c>
      <c r="IQ71" s="37">
        <v>13.0093</v>
      </c>
      <c r="IR71" s="37">
        <v>13.0093</v>
      </c>
      <c r="IS71" s="37">
        <v>13.0093</v>
      </c>
      <c r="IT71" s="37">
        <v>13.0093</v>
      </c>
      <c r="IU71" s="37">
        <v>13.0093</v>
      </c>
      <c r="IV71" s="37">
        <v>13.0093</v>
      </c>
      <c r="IW71" s="37">
        <v>13.0093</v>
      </c>
      <c r="IX71" s="37">
        <v>13.0093</v>
      </c>
      <c r="IY71" s="37">
        <v>13.0093</v>
      </c>
      <c r="IZ71" s="37">
        <v>13.0093</v>
      </c>
      <c r="JA71" s="37">
        <v>13.0093</v>
      </c>
      <c r="JB71" s="37">
        <v>13.0093</v>
      </c>
      <c r="JC71" s="37">
        <v>13.0093</v>
      </c>
      <c r="JD71" s="37">
        <v>13.0093</v>
      </c>
      <c r="JE71" s="37">
        <v>13.0093</v>
      </c>
      <c r="JF71" s="37">
        <v>13.0093</v>
      </c>
      <c r="JG71" s="37">
        <v>13.0093</v>
      </c>
      <c r="JH71" s="37">
        <v>13.0093</v>
      </c>
      <c r="JI71" s="37">
        <v>13.0093</v>
      </c>
      <c r="JJ71" s="37">
        <v>13.0093</v>
      </c>
      <c r="JK71" s="37">
        <v>13.0093</v>
      </c>
      <c r="JL71" s="37">
        <v>13.0093</v>
      </c>
      <c r="JM71" s="37">
        <v>13.0093</v>
      </c>
      <c r="JN71" s="37">
        <v>13.0093</v>
      </c>
      <c r="JO71" s="37">
        <v>13.0093</v>
      </c>
      <c r="JP71" s="37">
        <v>13.0093</v>
      </c>
      <c r="JQ71" s="37">
        <v>13.0093</v>
      </c>
      <c r="JR71" s="37">
        <v>13.0093</v>
      </c>
      <c r="JS71" s="37">
        <v>13.0093</v>
      </c>
      <c r="JT71" s="37">
        <v>13.0093</v>
      </c>
      <c r="JU71" s="37">
        <v>13.0093</v>
      </c>
      <c r="JV71" s="37">
        <v>13.0093</v>
      </c>
      <c r="JW71" s="37">
        <v>13.0093</v>
      </c>
      <c r="JX71" s="37">
        <v>13.0093</v>
      </c>
      <c r="JY71" s="37">
        <v>13.0093</v>
      </c>
      <c r="JZ71" s="37">
        <v>13.0093</v>
      </c>
      <c r="KA71" s="37">
        <v>13.0093</v>
      </c>
      <c r="KB71" s="37">
        <v>13.0093</v>
      </c>
      <c r="KC71" s="37">
        <v>13.0093</v>
      </c>
      <c r="KD71" s="37">
        <v>13.0093</v>
      </c>
      <c r="KE71" s="37">
        <v>13.0093</v>
      </c>
      <c r="KF71" s="37">
        <v>13.0093</v>
      </c>
      <c r="KG71" s="37">
        <v>13.0093</v>
      </c>
      <c r="KH71" s="37">
        <v>13.0093</v>
      </c>
      <c r="KI71" s="37">
        <v>13.0093</v>
      </c>
      <c r="KJ71" s="37">
        <v>13.0093</v>
      </c>
      <c r="KK71" s="37">
        <v>13.0093</v>
      </c>
      <c r="KL71" s="37">
        <v>13.0093</v>
      </c>
      <c r="KM71" s="37">
        <v>13.0093</v>
      </c>
      <c r="KN71" s="37">
        <v>13.0093</v>
      </c>
      <c r="KO71" s="37">
        <v>13.0093</v>
      </c>
      <c r="KP71" s="37">
        <v>13.0093</v>
      </c>
      <c r="KQ71" s="37">
        <v>13.0093</v>
      </c>
      <c r="KR71" s="37">
        <v>13.0093</v>
      </c>
      <c r="KS71" s="37">
        <v>13.0093</v>
      </c>
      <c r="KT71" s="37">
        <v>13.0093</v>
      </c>
      <c r="KU71" s="37">
        <v>13.0093</v>
      </c>
      <c r="KV71" s="37">
        <v>13.0093</v>
      </c>
      <c r="KW71" s="37">
        <v>13.0093</v>
      </c>
      <c r="KX71" s="37">
        <v>13.0093</v>
      </c>
      <c r="KY71" s="37">
        <v>13.0093</v>
      </c>
      <c r="KZ71" s="37">
        <v>13.0093</v>
      </c>
      <c r="LA71" s="37">
        <v>13.0093</v>
      </c>
      <c r="LB71" s="37">
        <v>13.0093</v>
      </c>
      <c r="LC71" s="37">
        <v>13.0093</v>
      </c>
      <c r="LD71" s="37">
        <v>13.0093</v>
      </c>
      <c r="LE71" s="37">
        <v>13.0093</v>
      </c>
      <c r="LF71" s="37">
        <v>13.0093</v>
      </c>
      <c r="LG71" s="37">
        <v>13.0093</v>
      </c>
      <c r="LH71" s="37">
        <v>13.0093</v>
      </c>
      <c r="LI71" s="37">
        <v>13.0093</v>
      </c>
      <c r="LJ71" s="37">
        <v>13.0093</v>
      </c>
      <c r="LK71" s="37">
        <v>13.0093</v>
      </c>
      <c r="LL71" s="37">
        <v>13.0093</v>
      </c>
      <c r="LM71" s="37">
        <v>13.0093</v>
      </c>
      <c r="LN71" s="37">
        <v>13.0093</v>
      </c>
      <c r="LO71" s="37">
        <v>13.271699999999999</v>
      </c>
      <c r="LP71" s="37" t="s">
        <v>668</v>
      </c>
      <c r="LQ71" s="37" t="s">
        <v>668</v>
      </c>
      <c r="LR71" s="37" t="s">
        <v>668</v>
      </c>
      <c r="LS71" s="37" t="s">
        <v>668</v>
      </c>
      <c r="LT71" s="37" t="s">
        <v>668</v>
      </c>
      <c r="LU71" s="37" t="s">
        <v>668</v>
      </c>
      <c r="LV71" s="37" t="s">
        <v>668</v>
      </c>
      <c r="LW71" s="37" t="s">
        <v>668</v>
      </c>
      <c r="LX71" s="37" t="s">
        <v>668</v>
      </c>
      <c r="LY71" s="37" t="s">
        <v>668</v>
      </c>
      <c r="LZ71" s="37" t="s">
        <v>668</v>
      </c>
      <c r="MA71" s="37" t="s">
        <v>668</v>
      </c>
      <c r="MB71" s="37" t="s">
        <v>668</v>
      </c>
      <c r="MC71" s="37" t="s">
        <v>668</v>
      </c>
      <c r="MD71" s="37" t="s">
        <v>668</v>
      </c>
      <c r="ME71" s="37" t="s">
        <v>668</v>
      </c>
      <c r="MF71" s="37" t="s">
        <v>668</v>
      </c>
      <c r="MG71" s="37" t="s">
        <v>668</v>
      </c>
      <c r="MH71" s="37" t="s">
        <v>668</v>
      </c>
      <c r="MI71" s="37" t="s">
        <v>668</v>
      </c>
      <c r="MJ71" s="37" t="s">
        <v>668</v>
      </c>
      <c r="MK71" s="37" t="s">
        <v>668</v>
      </c>
      <c r="ML71" s="37" t="s">
        <v>668</v>
      </c>
      <c r="MM71" s="37" t="s">
        <v>668</v>
      </c>
      <c r="MN71" s="37" t="s">
        <v>668</v>
      </c>
      <c r="MO71" s="37" t="s">
        <v>668</v>
      </c>
      <c r="MP71" s="37" t="s">
        <v>668</v>
      </c>
      <c r="MQ71" s="37" t="s">
        <v>668</v>
      </c>
      <c r="MR71" s="37" t="s">
        <v>668</v>
      </c>
      <c r="MS71" s="37" t="s">
        <v>668</v>
      </c>
      <c r="MT71" s="37" t="s">
        <v>668</v>
      </c>
      <c r="MU71" s="37" t="s">
        <v>668</v>
      </c>
      <c r="MV71" s="37" t="s">
        <v>668</v>
      </c>
      <c r="MW71" s="37" t="s">
        <v>668</v>
      </c>
      <c r="MX71" s="37" t="s">
        <v>668</v>
      </c>
      <c r="MY71" s="37" t="s">
        <v>668</v>
      </c>
      <c r="MZ71" s="37" t="s">
        <v>668</v>
      </c>
      <c r="NA71" s="37" t="s">
        <v>668</v>
      </c>
      <c r="NB71" s="37" t="s">
        <v>668</v>
      </c>
      <c r="NC71" s="37" t="s">
        <v>668</v>
      </c>
      <c r="ND71" s="37" t="s">
        <v>668</v>
      </c>
      <c r="NE71" s="37" t="s">
        <v>668</v>
      </c>
      <c r="NF71" s="37" t="s">
        <v>668</v>
      </c>
      <c r="NG71" s="37" t="s">
        <v>668</v>
      </c>
      <c r="NH71" s="37" t="s">
        <v>668</v>
      </c>
      <c r="NI71" s="37" t="s">
        <v>668</v>
      </c>
      <c r="NJ71" s="37" t="s">
        <v>668</v>
      </c>
      <c r="NK71" s="37" t="s">
        <v>668</v>
      </c>
      <c r="NL71" s="37" t="s">
        <v>668</v>
      </c>
      <c r="NM71" s="37" t="s">
        <v>668</v>
      </c>
      <c r="NN71" s="37" t="s">
        <v>668</v>
      </c>
      <c r="NO71" s="37" t="s">
        <v>668</v>
      </c>
      <c r="NP71" s="37" t="s">
        <v>668</v>
      </c>
      <c r="NQ71" s="37" t="s">
        <v>668</v>
      </c>
      <c r="NR71" s="37" t="s">
        <v>668</v>
      </c>
      <c r="NS71" s="37" t="s">
        <v>668</v>
      </c>
      <c r="NT71" s="37" t="s">
        <v>668</v>
      </c>
      <c r="NU71" s="37" t="s">
        <v>668</v>
      </c>
      <c r="NV71" s="37" t="s">
        <v>668</v>
      </c>
      <c r="NW71" s="37" t="s">
        <v>668</v>
      </c>
      <c r="NX71" s="37" t="s">
        <v>668</v>
      </c>
      <c r="NY71" s="37" t="s">
        <v>668</v>
      </c>
      <c r="NZ71" s="37" t="s">
        <v>668</v>
      </c>
      <c r="OA71" s="37" t="s">
        <v>668</v>
      </c>
      <c r="OB71" s="37" t="s">
        <v>668</v>
      </c>
      <c r="OC71" s="37" t="s">
        <v>668</v>
      </c>
      <c r="OD71" s="37" t="s">
        <v>668</v>
      </c>
      <c r="OE71" s="37" t="s">
        <v>668</v>
      </c>
      <c r="OF71" s="37" t="s">
        <v>668</v>
      </c>
      <c r="OG71" s="37" t="s">
        <v>668</v>
      </c>
      <c r="OH71" s="37" t="s">
        <v>668</v>
      </c>
      <c r="OI71" s="37" t="s">
        <v>668</v>
      </c>
      <c r="OJ71" s="37" t="s">
        <v>668</v>
      </c>
      <c r="OK71" s="37" t="s">
        <v>668</v>
      </c>
      <c r="OL71" s="37" t="s">
        <v>668</v>
      </c>
      <c r="OM71" s="37" t="s">
        <v>668</v>
      </c>
      <c r="ON71" s="37" t="s">
        <v>668</v>
      </c>
      <c r="OO71" s="37" t="s">
        <v>668</v>
      </c>
      <c r="OP71" s="37" t="s">
        <v>668</v>
      </c>
      <c r="OQ71" s="37" t="s">
        <v>668</v>
      </c>
      <c r="OR71" s="37" t="s">
        <v>668</v>
      </c>
      <c r="OS71" s="37" t="s">
        <v>668</v>
      </c>
      <c r="OT71" s="37" t="s">
        <v>668</v>
      </c>
      <c r="OU71" s="37" t="s">
        <v>668</v>
      </c>
      <c r="OV71" s="37" t="s">
        <v>668</v>
      </c>
      <c r="OW71" s="37" t="s">
        <v>668</v>
      </c>
      <c r="OX71" s="37" t="s">
        <v>668</v>
      </c>
      <c r="OY71" s="37" t="s">
        <v>668</v>
      </c>
      <c r="OZ71" s="37" t="s">
        <v>668</v>
      </c>
      <c r="PA71" s="37" t="s">
        <v>668</v>
      </c>
      <c r="PB71" s="37" t="s">
        <v>668</v>
      </c>
      <c r="PC71" s="37" t="s">
        <v>668</v>
      </c>
      <c r="PD71" s="37" t="s">
        <v>668</v>
      </c>
      <c r="PE71" s="37" t="s">
        <v>668</v>
      </c>
      <c r="PF71" s="37" t="s">
        <v>668</v>
      </c>
      <c r="PG71" s="37" t="s">
        <v>668</v>
      </c>
      <c r="PH71" s="37" t="s">
        <v>668</v>
      </c>
      <c r="PI71" s="37" t="s">
        <v>668</v>
      </c>
      <c r="PJ71" s="37" t="s">
        <v>668</v>
      </c>
      <c r="PK71" s="37" t="s">
        <v>668</v>
      </c>
      <c r="PL71" s="37" t="s">
        <v>668</v>
      </c>
      <c r="PM71" s="37" t="s">
        <v>668</v>
      </c>
      <c r="PN71" s="37" t="s">
        <v>668</v>
      </c>
      <c r="PO71" s="37" t="s">
        <v>668</v>
      </c>
      <c r="PP71" s="37" t="s">
        <v>668</v>
      </c>
      <c r="PQ71" s="37" t="s">
        <v>668</v>
      </c>
      <c r="PR71" s="37" t="s">
        <v>668</v>
      </c>
      <c r="PS71" s="15" t="s">
        <v>668</v>
      </c>
      <c r="PT71" s="15" t="s">
        <v>668</v>
      </c>
      <c r="PU71" s="15" t="s">
        <v>668</v>
      </c>
      <c r="PV71" s="15" t="s">
        <v>668</v>
      </c>
      <c r="PW71" s="15" t="s">
        <v>668</v>
      </c>
      <c r="PX71" s="15" t="s">
        <v>668</v>
      </c>
      <c r="PY71" s="15" t="s">
        <v>668</v>
      </c>
      <c r="PZ71" s="15" t="s">
        <v>668</v>
      </c>
      <c r="QA71" s="15" t="s">
        <v>668</v>
      </c>
      <c r="QB71" s="15" t="s">
        <v>668</v>
      </c>
      <c r="QC71" s="15" t="s">
        <v>668</v>
      </c>
      <c r="QD71" s="15" t="s">
        <v>668</v>
      </c>
      <c r="QE71" s="15" t="s">
        <v>668</v>
      </c>
      <c r="QF71" s="15" t="s">
        <v>668</v>
      </c>
      <c r="QG71" s="15" t="s">
        <v>668</v>
      </c>
      <c r="QH71" s="15" t="s">
        <v>668</v>
      </c>
      <c r="QI71" s="15" t="s">
        <v>668</v>
      </c>
      <c r="QJ71" s="15" t="s">
        <v>668</v>
      </c>
      <c r="QK71" s="15" t="s">
        <v>668</v>
      </c>
      <c r="QL71" s="15" t="s">
        <v>668</v>
      </c>
      <c r="QM71" s="15" t="s">
        <v>668</v>
      </c>
      <c r="QN71" s="15" t="s">
        <v>668</v>
      </c>
      <c r="QO71" s="15" t="s">
        <v>668</v>
      </c>
      <c r="QP71" s="15" t="s">
        <v>668</v>
      </c>
      <c r="QQ71" s="15" t="s">
        <v>668</v>
      </c>
      <c r="QR71" s="15" t="s">
        <v>668</v>
      </c>
      <c r="QS71" s="15" t="s">
        <v>668</v>
      </c>
      <c r="QT71" s="15" t="s">
        <v>668</v>
      </c>
      <c r="QU71" s="15" t="s">
        <v>668</v>
      </c>
      <c r="QV71" s="15" t="s">
        <v>668</v>
      </c>
      <c r="QW71" s="15" t="s">
        <v>668</v>
      </c>
      <c r="QX71" s="15" t="s">
        <v>668</v>
      </c>
      <c r="QY71" s="15" t="s">
        <v>668</v>
      </c>
      <c r="QZ71" s="15" t="s">
        <v>668</v>
      </c>
      <c r="RA71" s="15" t="s">
        <v>668</v>
      </c>
      <c r="RB71" s="15" t="s">
        <v>668</v>
      </c>
      <c r="RC71" s="15" t="s">
        <v>668</v>
      </c>
      <c r="RD71" s="15" t="s">
        <v>668</v>
      </c>
      <c r="RE71" s="15" t="s">
        <v>668</v>
      </c>
      <c r="RF71" s="15" t="s">
        <v>668</v>
      </c>
      <c r="RG71" s="15" t="s">
        <v>668</v>
      </c>
      <c r="RH71" s="15" t="s">
        <v>668</v>
      </c>
      <c r="RI71" s="15" t="s">
        <v>668</v>
      </c>
      <c r="RJ71" s="15" t="s">
        <v>668</v>
      </c>
      <c r="RK71" s="15" t="s">
        <v>668</v>
      </c>
      <c r="RL71" s="15" t="s">
        <v>668</v>
      </c>
      <c r="RM71" s="15" t="s">
        <v>668</v>
      </c>
      <c r="RN71" s="15" t="s">
        <v>668</v>
      </c>
      <c r="RO71" s="15" t="s">
        <v>668</v>
      </c>
      <c r="RP71" s="15" t="s">
        <v>668</v>
      </c>
      <c r="RQ71" s="15" t="s">
        <v>668</v>
      </c>
      <c r="RR71" s="15" t="s">
        <v>668</v>
      </c>
      <c r="RS71" s="15" t="s">
        <v>668</v>
      </c>
      <c r="RT71" s="15" t="s">
        <v>668</v>
      </c>
      <c r="RU71" s="15" t="s">
        <v>668</v>
      </c>
      <c r="RV71" s="15" t="s">
        <v>668</v>
      </c>
      <c r="RW71" s="15" t="s">
        <v>668</v>
      </c>
      <c r="RX71" s="15" t="s">
        <v>668</v>
      </c>
      <c r="RY71" s="15" t="s">
        <v>668</v>
      </c>
      <c r="RZ71" s="15" t="s">
        <v>668</v>
      </c>
      <c r="SA71" s="15" t="s">
        <v>668</v>
      </c>
      <c r="SB71" s="15" t="s">
        <v>668</v>
      </c>
      <c r="SC71" s="15" t="s">
        <v>668</v>
      </c>
      <c r="SD71" s="15" t="s">
        <v>668</v>
      </c>
      <c r="SE71" s="15" t="s">
        <v>668</v>
      </c>
      <c r="SF71" s="15" t="s">
        <v>668</v>
      </c>
      <c r="SG71" s="15" t="s">
        <v>668</v>
      </c>
      <c r="SH71" s="15" t="s">
        <v>668</v>
      </c>
      <c r="SI71" s="15" t="s">
        <v>668</v>
      </c>
      <c r="SJ71" s="15" t="s">
        <v>668</v>
      </c>
      <c r="SK71" s="15" t="s">
        <v>668</v>
      </c>
      <c r="SL71" s="15" t="s">
        <v>668</v>
      </c>
      <c r="SM71" s="15" t="s">
        <v>668</v>
      </c>
    </row>
    <row r="72" spans="1:509" x14ac:dyDescent="0.2">
      <c r="A72" s="37">
        <v>70</v>
      </c>
      <c r="B72" s="37" t="s">
        <v>808</v>
      </c>
      <c r="C72" s="17">
        <f>+'Detalle Compras'!D72</f>
        <v>202507310091</v>
      </c>
      <c r="D72" s="55">
        <f t="shared" si="16"/>
        <v>12.6721</v>
      </c>
      <c r="E72" s="14">
        <f>+IF(B72="","",'Detalle Compras'!S72+0)</f>
        <v>45940</v>
      </c>
      <c r="F72" s="14">
        <f>+IF(B72="","",EOMONTH('Detalle Compras'!S72,G72)+10)</f>
        <v>56897</v>
      </c>
      <c r="G72" s="50">
        <f t="shared" si="17"/>
        <v>359</v>
      </c>
      <c r="H72" s="50">
        <f t="shared" si="18"/>
        <v>355</v>
      </c>
      <c r="AB72" s="37">
        <v>12.6721</v>
      </c>
      <c r="AC72" s="37">
        <v>12.6721</v>
      </c>
      <c r="AD72" s="37">
        <v>12.6721</v>
      </c>
      <c r="AE72" s="37">
        <v>12.6721</v>
      </c>
      <c r="AF72" s="37">
        <v>12.6721</v>
      </c>
      <c r="AG72" s="37">
        <v>12.6721</v>
      </c>
      <c r="AH72" s="37">
        <v>12.6721</v>
      </c>
      <c r="AI72" s="37">
        <v>12.6721</v>
      </c>
      <c r="AJ72" s="37">
        <v>12.6721</v>
      </c>
      <c r="AK72" s="37">
        <v>12.6721</v>
      </c>
      <c r="AL72" s="37">
        <v>12.6721</v>
      </c>
      <c r="AM72" s="37">
        <v>12.6721</v>
      </c>
      <c r="AN72" s="37">
        <v>12.6721</v>
      </c>
      <c r="AO72" s="37">
        <v>12.6721</v>
      </c>
      <c r="AP72" s="37">
        <v>12.6721</v>
      </c>
      <c r="AQ72" s="37">
        <v>12.6721</v>
      </c>
      <c r="AR72" s="37">
        <v>12.6721</v>
      </c>
      <c r="AS72" s="37">
        <v>12.6721</v>
      </c>
      <c r="AT72" s="37">
        <v>12.6721</v>
      </c>
      <c r="AU72" s="37">
        <v>12.6721</v>
      </c>
      <c r="AV72" s="37">
        <v>12.6721</v>
      </c>
      <c r="AW72" s="37">
        <v>12.6721</v>
      </c>
      <c r="AX72" s="37">
        <v>12.6721</v>
      </c>
      <c r="AY72" s="37">
        <v>12.6721</v>
      </c>
      <c r="AZ72" s="37">
        <v>12.6721</v>
      </c>
      <c r="BA72" s="37">
        <v>12.6721</v>
      </c>
      <c r="BB72" s="37">
        <v>12.6721</v>
      </c>
      <c r="BC72" s="37">
        <v>12.6721</v>
      </c>
      <c r="BD72" s="37">
        <v>12.6721</v>
      </c>
      <c r="BE72" s="37">
        <v>12.6721</v>
      </c>
      <c r="BF72" s="37">
        <v>12.6721</v>
      </c>
      <c r="BG72" s="37">
        <v>12.6721</v>
      </c>
      <c r="BH72" s="37">
        <v>12.6721</v>
      </c>
      <c r="BI72" s="37">
        <v>12.6721</v>
      </c>
      <c r="BJ72" s="37">
        <v>12.6721</v>
      </c>
      <c r="BK72" s="37">
        <v>12.6721</v>
      </c>
      <c r="BL72" s="37">
        <v>12.6721</v>
      </c>
      <c r="BM72" s="37">
        <v>12.6721</v>
      </c>
      <c r="BN72" s="37">
        <v>12.6721</v>
      </c>
      <c r="BO72" s="37">
        <v>12.6721</v>
      </c>
      <c r="BP72" s="37">
        <v>12.6721</v>
      </c>
      <c r="BQ72" s="37">
        <v>12.6721</v>
      </c>
      <c r="BR72" s="37">
        <v>12.6721</v>
      </c>
      <c r="BS72" s="37">
        <v>12.6721</v>
      </c>
      <c r="BT72" s="37">
        <v>12.6721</v>
      </c>
      <c r="BU72" s="37">
        <v>12.6721</v>
      </c>
      <c r="BV72" s="37">
        <v>12.6721</v>
      </c>
      <c r="BW72" s="37">
        <v>12.6721</v>
      </c>
      <c r="BX72" s="37">
        <v>12.6721</v>
      </c>
      <c r="BY72" s="37">
        <v>12.6721</v>
      </c>
      <c r="BZ72" s="37">
        <v>12.6721</v>
      </c>
      <c r="CA72" s="37">
        <v>12.6721</v>
      </c>
      <c r="CB72" s="37">
        <v>12.6721</v>
      </c>
      <c r="CC72" s="37">
        <v>12.6721</v>
      </c>
      <c r="CD72" s="37">
        <v>12.6721</v>
      </c>
      <c r="CE72" s="37">
        <v>12.6721</v>
      </c>
      <c r="CF72" s="37">
        <v>12.6721</v>
      </c>
      <c r="CG72" s="37">
        <v>12.6721</v>
      </c>
      <c r="CH72" s="37">
        <v>12.6721</v>
      </c>
      <c r="CI72" s="37">
        <v>12.6721</v>
      </c>
      <c r="CJ72" s="37">
        <v>12.6721</v>
      </c>
      <c r="CK72" s="37">
        <v>12.6721</v>
      </c>
      <c r="CL72" s="37">
        <v>12.6721</v>
      </c>
      <c r="CM72" s="37">
        <v>12.6721</v>
      </c>
      <c r="CN72" s="37">
        <v>12.6721</v>
      </c>
      <c r="CO72" s="37">
        <v>12.6721</v>
      </c>
      <c r="CP72" s="37">
        <v>12.6721</v>
      </c>
      <c r="CQ72" s="37">
        <v>12.6721</v>
      </c>
      <c r="CR72" s="37">
        <v>12.6721</v>
      </c>
      <c r="CS72" s="37">
        <v>12.6721</v>
      </c>
      <c r="CT72" s="37">
        <v>12.6721</v>
      </c>
      <c r="CU72" s="37">
        <v>12.6721</v>
      </c>
      <c r="CV72" s="37">
        <v>12.6721</v>
      </c>
      <c r="CW72" s="37">
        <v>12.6721</v>
      </c>
      <c r="CX72" s="37">
        <v>12.6721</v>
      </c>
      <c r="CY72" s="37">
        <v>12.6721</v>
      </c>
      <c r="CZ72" s="37">
        <v>12.6721</v>
      </c>
      <c r="DA72" s="37">
        <v>12.6721</v>
      </c>
      <c r="DB72" s="37">
        <v>12.6721</v>
      </c>
      <c r="DC72" s="37">
        <v>12.6721</v>
      </c>
      <c r="DD72" s="37">
        <v>12.6721</v>
      </c>
      <c r="DE72" s="37">
        <v>12.6721</v>
      </c>
      <c r="DF72" s="37">
        <v>12.6721</v>
      </c>
      <c r="DG72" s="37">
        <v>12.6721</v>
      </c>
      <c r="DH72" s="37">
        <v>12.6721</v>
      </c>
      <c r="DI72" s="37">
        <v>12.6721</v>
      </c>
      <c r="DJ72" s="37">
        <v>12.6721</v>
      </c>
      <c r="DK72" s="37">
        <v>12.6721</v>
      </c>
      <c r="DL72" s="37">
        <v>12.6721</v>
      </c>
      <c r="DM72" s="37">
        <v>12.6721</v>
      </c>
      <c r="DN72" s="37">
        <v>12.6721</v>
      </c>
      <c r="DO72" s="37">
        <v>12.6721</v>
      </c>
      <c r="DP72" s="37">
        <v>12.6721</v>
      </c>
      <c r="DQ72" s="37">
        <v>12.6721</v>
      </c>
      <c r="DR72" s="37">
        <v>12.6721</v>
      </c>
      <c r="DS72" s="37">
        <v>12.6721</v>
      </c>
      <c r="DT72" s="37">
        <v>12.6721</v>
      </c>
      <c r="DU72" s="37">
        <v>12.6721</v>
      </c>
      <c r="DV72" s="37">
        <v>12.6721</v>
      </c>
      <c r="DW72" s="37">
        <v>12.6721</v>
      </c>
      <c r="DX72" s="37">
        <v>12.6721</v>
      </c>
      <c r="DY72" s="37">
        <v>12.6721</v>
      </c>
      <c r="DZ72" s="37">
        <v>12.6721</v>
      </c>
      <c r="EA72" s="37">
        <v>12.6721</v>
      </c>
      <c r="EB72" s="37">
        <v>12.6721</v>
      </c>
      <c r="EC72" s="37">
        <v>12.6721</v>
      </c>
      <c r="ED72" s="37">
        <v>12.6721</v>
      </c>
      <c r="EE72" s="37">
        <v>12.6721</v>
      </c>
      <c r="EF72" s="37">
        <v>12.6721</v>
      </c>
      <c r="EG72" s="37">
        <v>12.6721</v>
      </c>
      <c r="EH72" s="37">
        <v>12.6721</v>
      </c>
      <c r="EI72" s="37">
        <v>12.6721</v>
      </c>
      <c r="EJ72" s="37">
        <v>12.6721</v>
      </c>
      <c r="EK72" s="37">
        <v>12.6721</v>
      </c>
      <c r="EL72" s="37">
        <v>12.6721</v>
      </c>
      <c r="EM72" s="37">
        <v>12.6721</v>
      </c>
      <c r="EN72" s="37">
        <v>12.6721</v>
      </c>
      <c r="EO72" s="37">
        <v>12.6721</v>
      </c>
      <c r="EP72" s="37">
        <v>12.6721</v>
      </c>
      <c r="EQ72" s="37">
        <v>12.6721</v>
      </c>
      <c r="ER72" s="37">
        <v>12.6721</v>
      </c>
      <c r="ES72" s="37">
        <v>12.6721</v>
      </c>
      <c r="ET72" s="37">
        <v>12.6721</v>
      </c>
      <c r="EU72" s="37">
        <v>12.6721</v>
      </c>
      <c r="EV72" s="37">
        <v>12.6721</v>
      </c>
      <c r="EW72" s="37">
        <v>12.6721</v>
      </c>
      <c r="EX72" s="37">
        <v>12.6721</v>
      </c>
      <c r="EY72" s="37">
        <v>12.6721</v>
      </c>
      <c r="EZ72" s="37">
        <v>12.6721</v>
      </c>
      <c r="FA72" s="37">
        <v>12.6721</v>
      </c>
      <c r="FB72" s="37">
        <v>12.6721</v>
      </c>
      <c r="FC72" s="37">
        <v>12.6721</v>
      </c>
      <c r="FD72" s="37">
        <v>12.6721</v>
      </c>
      <c r="FE72" s="37">
        <v>12.6721</v>
      </c>
      <c r="FF72" s="37">
        <v>12.6721</v>
      </c>
      <c r="FG72" s="37">
        <v>12.6721</v>
      </c>
      <c r="FH72" s="37">
        <v>12.6721</v>
      </c>
      <c r="FI72" s="37">
        <v>12.6721</v>
      </c>
      <c r="FJ72" s="37">
        <v>12.6721</v>
      </c>
      <c r="FK72" s="37">
        <v>12.6721</v>
      </c>
      <c r="FL72" s="37">
        <v>12.6721</v>
      </c>
      <c r="FM72" s="37">
        <v>12.6721</v>
      </c>
      <c r="FN72" s="37">
        <v>12.6721</v>
      </c>
      <c r="FO72" s="37">
        <v>12.6721</v>
      </c>
      <c r="FP72" s="37">
        <v>12.6721</v>
      </c>
      <c r="FQ72" s="37">
        <v>12.6721</v>
      </c>
      <c r="FR72" s="37">
        <v>12.6721</v>
      </c>
      <c r="FS72" s="37">
        <v>12.6721</v>
      </c>
      <c r="FT72" s="37">
        <v>12.6721</v>
      </c>
      <c r="FU72" s="37">
        <v>12.6721</v>
      </c>
      <c r="FV72" s="37">
        <v>12.6721</v>
      </c>
      <c r="FW72" s="37">
        <v>12.6721</v>
      </c>
      <c r="FX72" s="37">
        <v>12.6721</v>
      </c>
      <c r="FY72" s="37">
        <v>12.6721</v>
      </c>
      <c r="FZ72" s="37">
        <v>12.6721</v>
      </c>
      <c r="GA72" s="37">
        <v>12.6721</v>
      </c>
      <c r="GB72" s="37">
        <v>12.6721</v>
      </c>
      <c r="GC72" s="37">
        <v>12.6721</v>
      </c>
      <c r="GD72" s="37">
        <v>12.6721</v>
      </c>
      <c r="GE72" s="37">
        <v>12.6721</v>
      </c>
      <c r="GF72" s="37">
        <v>12.6721</v>
      </c>
      <c r="GG72" s="37">
        <v>12.6721</v>
      </c>
      <c r="GH72" s="37">
        <v>12.6721</v>
      </c>
      <c r="GI72" s="37">
        <v>12.6721</v>
      </c>
      <c r="GJ72" s="37">
        <v>12.6721</v>
      </c>
      <c r="GK72" s="37">
        <v>12.6721</v>
      </c>
      <c r="GL72" s="37">
        <v>12.6721</v>
      </c>
      <c r="GM72" s="37">
        <v>12.6721</v>
      </c>
      <c r="GN72" s="37">
        <v>12.6721</v>
      </c>
      <c r="GO72" s="37">
        <v>12.6721</v>
      </c>
      <c r="GP72" s="37">
        <v>12.6721</v>
      </c>
      <c r="GQ72" s="37">
        <v>12.6721</v>
      </c>
      <c r="GR72" s="37">
        <v>12.6721</v>
      </c>
      <c r="GS72" s="37">
        <v>12.6721</v>
      </c>
      <c r="GT72" s="37">
        <v>12.6721</v>
      </c>
      <c r="GU72" s="37">
        <v>12.6721</v>
      </c>
      <c r="GV72" s="37">
        <v>12.6721</v>
      </c>
      <c r="GW72" s="37">
        <v>12.6721</v>
      </c>
      <c r="GX72" s="37">
        <v>12.6721</v>
      </c>
      <c r="GY72" s="37">
        <v>12.6721</v>
      </c>
      <c r="GZ72" s="37">
        <v>12.6721</v>
      </c>
      <c r="HA72" s="37">
        <v>12.6721</v>
      </c>
      <c r="HB72" s="37">
        <v>12.6721</v>
      </c>
      <c r="HC72" s="37">
        <v>12.6721</v>
      </c>
      <c r="HD72" s="37">
        <v>12.6721</v>
      </c>
      <c r="HE72" s="37">
        <v>12.6721</v>
      </c>
      <c r="HF72" s="37">
        <v>12.6721</v>
      </c>
      <c r="HG72" s="37">
        <v>12.6721</v>
      </c>
      <c r="HH72" s="37">
        <v>12.6721</v>
      </c>
      <c r="HI72" s="37">
        <v>12.6721</v>
      </c>
      <c r="HJ72" s="37">
        <v>12.6721</v>
      </c>
      <c r="HK72" s="37">
        <v>12.6721</v>
      </c>
      <c r="HL72" s="37">
        <v>12.6721</v>
      </c>
      <c r="HM72" s="37">
        <v>12.6721</v>
      </c>
      <c r="HN72" s="37">
        <v>12.6721</v>
      </c>
      <c r="HO72" s="37">
        <v>12.6721</v>
      </c>
      <c r="HP72" s="37">
        <v>12.6721</v>
      </c>
      <c r="HQ72" s="37">
        <v>12.6721</v>
      </c>
      <c r="HR72" s="37">
        <v>12.6721</v>
      </c>
      <c r="HS72" s="37">
        <v>12.6721</v>
      </c>
      <c r="HT72" s="37">
        <v>12.6721</v>
      </c>
      <c r="HU72" s="37">
        <v>12.6721</v>
      </c>
      <c r="HV72" s="37">
        <v>12.6721</v>
      </c>
      <c r="HW72" s="37">
        <v>12.6721</v>
      </c>
      <c r="HX72" s="37">
        <v>12.6721</v>
      </c>
      <c r="HY72" s="37">
        <v>12.6721</v>
      </c>
      <c r="HZ72" s="37">
        <v>12.6721</v>
      </c>
      <c r="IA72" s="37">
        <v>12.6721</v>
      </c>
      <c r="IB72" s="37">
        <v>12.6721</v>
      </c>
      <c r="IC72" s="37">
        <v>12.6721</v>
      </c>
      <c r="ID72" s="37">
        <v>12.6721</v>
      </c>
      <c r="IE72" s="37">
        <v>12.6721</v>
      </c>
      <c r="IF72" s="37">
        <v>12.6721</v>
      </c>
      <c r="IG72" s="37">
        <v>12.6721</v>
      </c>
      <c r="IH72" s="37">
        <v>12.6721</v>
      </c>
      <c r="II72" s="37">
        <v>12.6721</v>
      </c>
      <c r="IJ72" s="37">
        <v>12.6721</v>
      </c>
      <c r="IK72" s="37">
        <v>12.6721</v>
      </c>
      <c r="IL72" s="37">
        <v>12.6721</v>
      </c>
      <c r="IM72" s="37">
        <v>12.6721</v>
      </c>
      <c r="IN72" s="37">
        <v>12.6721</v>
      </c>
      <c r="IO72" s="37">
        <v>12.6721</v>
      </c>
      <c r="IP72" s="37">
        <v>12.6721</v>
      </c>
      <c r="IQ72" s="37">
        <v>12.6721</v>
      </c>
      <c r="IR72" s="37">
        <v>12.6721</v>
      </c>
      <c r="IS72" s="37">
        <v>12.6721</v>
      </c>
      <c r="IT72" s="37">
        <v>12.6721</v>
      </c>
      <c r="IU72" s="37">
        <v>12.6721</v>
      </c>
      <c r="IV72" s="37">
        <v>12.6721</v>
      </c>
      <c r="IW72" s="37">
        <v>12.6721</v>
      </c>
      <c r="IX72" s="37">
        <v>12.6721</v>
      </c>
      <c r="IY72" s="37">
        <v>12.6721</v>
      </c>
      <c r="IZ72" s="37">
        <v>12.6721</v>
      </c>
      <c r="JA72" s="37">
        <v>12.6721</v>
      </c>
      <c r="JB72" s="37">
        <v>12.6721</v>
      </c>
      <c r="JC72" s="37">
        <v>12.6721</v>
      </c>
      <c r="JD72" s="37">
        <v>12.6721</v>
      </c>
      <c r="JE72" s="37">
        <v>12.6721</v>
      </c>
      <c r="JF72" s="37">
        <v>12.6721</v>
      </c>
      <c r="JG72" s="37">
        <v>12.6721</v>
      </c>
      <c r="JH72" s="37">
        <v>12.6721</v>
      </c>
      <c r="JI72" s="37">
        <v>12.6721</v>
      </c>
      <c r="JJ72" s="37">
        <v>12.6721</v>
      </c>
      <c r="JK72" s="37">
        <v>12.6721</v>
      </c>
      <c r="JL72" s="37">
        <v>12.6721</v>
      </c>
      <c r="JM72" s="37">
        <v>12.6721</v>
      </c>
      <c r="JN72" s="37">
        <v>12.6721</v>
      </c>
      <c r="JO72" s="37">
        <v>12.6721</v>
      </c>
      <c r="JP72" s="37">
        <v>12.6721</v>
      </c>
      <c r="JQ72" s="37">
        <v>12.6721</v>
      </c>
      <c r="JR72" s="37">
        <v>12.6721</v>
      </c>
      <c r="JS72" s="37">
        <v>12.6721</v>
      </c>
      <c r="JT72" s="37">
        <v>12.6721</v>
      </c>
      <c r="JU72" s="37">
        <v>12.6721</v>
      </c>
      <c r="JV72" s="37">
        <v>12.6721</v>
      </c>
      <c r="JW72" s="37">
        <v>12.6721</v>
      </c>
      <c r="JX72" s="37">
        <v>12.6721</v>
      </c>
      <c r="JY72" s="37">
        <v>12.6721</v>
      </c>
      <c r="JZ72" s="37">
        <v>12.6721</v>
      </c>
      <c r="KA72" s="37">
        <v>12.6721</v>
      </c>
      <c r="KB72" s="37">
        <v>12.6721</v>
      </c>
      <c r="KC72" s="37">
        <v>12.6721</v>
      </c>
      <c r="KD72" s="37">
        <v>12.6721</v>
      </c>
      <c r="KE72" s="37">
        <v>12.6721</v>
      </c>
      <c r="KF72" s="37">
        <v>12.6721</v>
      </c>
      <c r="KG72" s="37">
        <v>12.6721</v>
      </c>
      <c r="KH72" s="37">
        <v>12.6721</v>
      </c>
      <c r="KI72" s="37">
        <v>12.6721</v>
      </c>
      <c r="KJ72" s="37">
        <v>12.6721</v>
      </c>
      <c r="KK72" s="37">
        <v>12.6721</v>
      </c>
      <c r="KL72" s="37">
        <v>12.6721</v>
      </c>
      <c r="KM72" s="37">
        <v>12.6721</v>
      </c>
      <c r="KN72" s="37">
        <v>12.6721</v>
      </c>
      <c r="KO72" s="37">
        <v>12.6721</v>
      </c>
      <c r="KP72" s="37">
        <v>12.6721</v>
      </c>
      <c r="KQ72" s="37">
        <v>12.6721</v>
      </c>
      <c r="KR72" s="37">
        <v>12.6721</v>
      </c>
      <c r="KS72" s="37">
        <v>12.6721</v>
      </c>
      <c r="KT72" s="37">
        <v>12.6721</v>
      </c>
      <c r="KU72" s="37">
        <v>12.6721</v>
      </c>
      <c r="KV72" s="37">
        <v>12.6721</v>
      </c>
      <c r="KW72" s="37">
        <v>12.6721</v>
      </c>
      <c r="KX72" s="37">
        <v>12.6721</v>
      </c>
      <c r="KY72" s="37">
        <v>12.6721</v>
      </c>
      <c r="KZ72" s="37">
        <v>12.6721</v>
      </c>
      <c r="LA72" s="37">
        <v>12.6721</v>
      </c>
      <c r="LB72" s="37">
        <v>12.6721</v>
      </c>
      <c r="LC72" s="37">
        <v>12.6721</v>
      </c>
      <c r="LD72" s="37">
        <v>12.6721</v>
      </c>
      <c r="LE72" s="37">
        <v>12.6721</v>
      </c>
      <c r="LF72" s="37">
        <v>12.6721</v>
      </c>
      <c r="LG72" s="37">
        <v>12.6721</v>
      </c>
      <c r="LH72" s="37">
        <v>12.6721</v>
      </c>
      <c r="LI72" s="37">
        <v>12.6721</v>
      </c>
      <c r="LJ72" s="37">
        <v>12.6721</v>
      </c>
      <c r="LK72" s="37">
        <v>12.6721</v>
      </c>
      <c r="LL72" s="37">
        <v>12.6721</v>
      </c>
      <c r="LM72" s="37">
        <v>12.6721</v>
      </c>
      <c r="LN72" s="37">
        <v>12.6721</v>
      </c>
      <c r="LO72" s="37">
        <v>12.6721</v>
      </c>
      <c r="LP72" s="37">
        <v>12.6721</v>
      </c>
      <c r="LQ72" s="37">
        <v>12.6721</v>
      </c>
      <c r="LR72" s="37">
        <v>12.6721</v>
      </c>
      <c r="LS72" s="37">
        <v>12.6721</v>
      </c>
      <c r="LT72" s="37">
        <v>12.6721</v>
      </c>
      <c r="LU72" s="37">
        <v>12.6721</v>
      </c>
      <c r="LV72" s="37">
        <v>12.6721</v>
      </c>
      <c r="LW72" s="37">
        <v>12.6721</v>
      </c>
      <c r="LX72" s="37">
        <v>12.6721</v>
      </c>
      <c r="LY72" s="37">
        <v>12.6721</v>
      </c>
      <c r="LZ72" s="37">
        <v>12.6721</v>
      </c>
      <c r="MA72" s="37">
        <v>12.6721</v>
      </c>
      <c r="MB72" s="37">
        <v>12.6721</v>
      </c>
      <c r="MC72" s="37">
        <v>12.6721</v>
      </c>
      <c r="MD72" s="37">
        <v>12.6721</v>
      </c>
      <c r="ME72" s="37">
        <v>12.6721</v>
      </c>
      <c r="MF72" s="37">
        <v>12.6721</v>
      </c>
      <c r="MG72" s="37">
        <v>12.6721</v>
      </c>
      <c r="MH72" s="37">
        <v>12.6721</v>
      </c>
      <c r="MI72" s="37">
        <v>12.6721</v>
      </c>
      <c r="MJ72" s="37">
        <v>12.6721</v>
      </c>
      <c r="MK72" s="37">
        <v>12.6721</v>
      </c>
      <c r="ML72" s="37">
        <v>12.6721</v>
      </c>
      <c r="MM72" s="37">
        <v>12.6721</v>
      </c>
      <c r="MN72" s="37">
        <v>12.6721</v>
      </c>
      <c r="MO72" s="37">
        <v>12.6721</v>
      </c>
      <c r="MP72" s="37">
        <v>12.6721</v>
      </c>
      <c r="MQ72" s="37">
        <v>12.6721</v>
      </c>
      <c r="MR72" s="37">
        <v>12.6721</v>
      </c>
      <c r="MS72" s="37">
        <v>12.6721</v>
      </c>
      <c r="MT72" s="37">
        <v>12.6721</v>
      </c>
      <c r="MU72" s="37">
        <v>12.6721</v>
      </c>
      <c r="MV72" s="37">
        <v>12.6721</v>
      </c>
      <c r="MW72" s="37">
        <v>12.6721</v>
      </c>
      <c r="MX72" s="37">
        <v>12.6721</v>
      </c>
      <c r="MY72" s="37">
        <v>12.6721</v>
      </c>
      <c r="MZ72" s="37">
        <v>12.6721</v>
      </c>
      <c r="NA72" s="37">
        <v>12.6721</v>
      </c>
      <c r="NB72" s="37">
        <v>12.6721</v>
      </c>
      <c r="NC72" s="37">
        <v>12.6721</v>
      </c>
      <c r="ND72" s="37">
        <v>12.6721</v>
      </c>
      <c r="NE72" s="37">
        <v>12.6721</v>
      </c>
      <c r="NF72" s="37">
        <v>12.6721</v>
      </c>
      <c r="NG72" s="37">
        <v>12.6721</v>
      </c>
      <c r="NH72" s="37">
        <v>12.6721</v>
      </c>
      <c r="NI72" s="37">
        <v>12.6721</v>
      </c>
      <c r="NJ72" s="37">
        <v>12.6721</v>
      </c>
      <c r="NK72" s="37">
        <v>12.6721</v>
      </c>
      <c r="NL72" s="37">
        <v>12.6721</v>
      </c>
      <c r="NM72" s="37">
        <v>12.6721</v>
      </c>
      <c r="NN72" s="37">
        <v>12.6721</v>
      </c>
      <c r="NO72" s="37">
        <v>12.6721</v>
      </c>
      <c r="NP72" s="37">
        <v>12.6721</v>
      </c>
      <c r="NQ72" s="37">
        <v>12.6721</v>
      </c>
      <c r="NR72" s="37">
        <v>12.6721</v>
      </c>
      <c r="NS72" s="37">
        <v>12.6721</v>
      </c>
      <c r="NT72" s="37">
        <v>12.6721</v>
      </c>
      <c r="NU72" s="37">
        <v>12.6721</v>
      </c>
      <c r="NV72" s="37">
        <v>12.052899999999999</v>
      </c>
      <c r="NW72" s="37" t="s">
        <v>668</v>
      </c>
      <c r="NX72" s="37" t="s">
        <v>668</v>
      </c>
      <c r="NY72" s="37" t="s">
        <v>668</v>
      </c>
      <c r="NZ72" s="37" t="s">
        <v>668</v>
      </c>
      <c r="OA72" s="37" t="s">
        <v>668</v>
      </c>
      <c r="OB72" s="37" t="s">
        <v>668</v>
      </c>
      <c r="OC72" s="37" t="s">
        <v>668</v>
      </c>
      <c r="OD72" s="37" t="s">
        <v>668</v>
      </c>
      <c r="OE72" s="37" t="s">
        <v>668</v>
      </c>
      <c r="OF72" s="37" t="s">
        <v>668</v>
      </c>
      <c r="OG72" s="37" t="s">
        <v>668</v>
      </c>
      <c r="OH72" s="37" t="s">
        <v>668</v>
      </c>
      <c r="OI72" s="37" t="s">
        <v>668</v>
      </c>
      <c r="OJ72" s="37" t="s">
        <v>668</v>
      </c>
      <c r="OK72" s="37" t="s">
        <v>668</v>
      </c>
      <c r="OL72" s="37" t="s">
        <v>668</v>
      </c>
      <c r="OM72" s="37" t="s">
        <v>668</v>
      </c>
      <c r="ON72" s="37" t="s">
        <v>668</v>
      </c>
      <c r="OO72" s="37" t="s">
        <v>668</v>
      </c>
      <c r="OP72" s="37" t="s">
        <v>668</v>
      </c>
      <c r="OQ72" s="37" t="s">
        <v>668</v>
      </c>
      <c r="OR72" s="37" t="s">
        <v>668</v>
      </c>
      <c r="OS72" s="37" t="s">
        <v>668</v>
      </c>
      <c r="OT72" s="37" t="s">
        <v>668</v>
      </c>
      <c r="OU72" s="37" t="s">
        <v>668</v>
      </c>
      <c r="OV72" s="37" t="s">
        <v>668</v>
      </c>
      <c r="OW72" s="37" t="s">
        <v>668</v>
      </c>
      <c r="OX72" s="37" t="s">
        <v>668</v>
      </c>
      <c r="OY72" s="37" t="s">
        <v>668</v>
      </c>
      <c r="OZ72" s="37" t="s">
        <v>668</v>
      </c>
      <c r="PA72" s="37" t="s">
        <v>668</v>
      </c>
      <c r="PB72" s="37" t="s">
        <v>668</v>
      </c>
      <c r="PC72" s="37" t="s">
        <v>668</v>
      </c>
      <c r="PD72" s="37" t="s">
        <v>668</v>
      </c>
      <c r="PE72" s="37" t="s">
        <v>668</v>
      </c>
      <c r="PF72" s="37" t="s">
        <v>668</v>
      </c>
      <c r="PG72" s="37" t="s">
        <v>668</v>
      </c>
      <c r="PH72" s="37" t="s">
        <v>668</v>
      </c>
      <c r="PI72" s="37" t="s">
        <v>668</v>
      </c>
      <c r="PJ72" s="37" t="s">
        <v>668</v>
      </c>
      <c r="PK72" s="37" t="s">
        <v>668</v>
      </c>
      <c r="PL72" s="37" t="s">
        <v>668</v>
      </c>
      <c r="PM72" s="37" t="s">
        <v>668</v>
      </c>
      <c r="PN72" s="37" t="s">
        <v>668</v>
      </c>
      <c r="PO72" s="37" t="s">
        <v>668</v>
      </c>
      <c r="PP72" s="37" t="s">
        <v>668</v>
      </c>
      <c r="PQ72" s="37" t="s">
        <v>668</v>
      </c>
      <c r="PR72" s="37" t="s">
        <v>668</v>
      </c>
      <c r="PS72" s="15" t="s">
        <v>668</v>
      </c>
      <c r="PT72" s="15" t="s">
        <v>668</v>
      </c>
      <c r="PU72" s="15" t="s">
        <v>668</v>
      </c>
      <c r="PV72" s="15" t="s">
        <v>668</v>
      </c>
      <c r="PW72" s="15" t="s">
        <v>668</v>
      </c>
      <c r="PX72" s="15" t="s">
        <v>668</v>
      </c>
      <c r="PY72" s="15" t="s">
        <v>668</v>
      </c>
      <c r="PZ72" s="15" t="s">
        <v>668</v>
      </c>
      <c r="QA72" s="15" t="s">
        <v>668</v>
      </c>
      <c r="QB72" s="15" t="s">
        <v>668</v>
      </c>
      <c r="QC72" s="15" t="s">
        <v>668</v>
      </c>
      <c r="QD72" s="15" t="s">
        <v>668</v>
      </c>
      <c r="QE72" s="15" t="s">
        <v>668</v>
      </c>
      <c r="QF72" s="15" t="s">
        <v>668</v>
      </c>
      <c r="QG72" s="15" t="s">
        <v>668</v>
      </c>
      <c r="QH72" s="15" t="s">
        <v>668</v>
      </c>
      <c r="QI72" s="15" t="s">
        <v>668</v>
      </c>
      <c r="QJ72" s="15" t="s">
        <v>668</v>
      </c>
      <c r="QK72" s="15" t="s">
        <v>668</v>
      </c>
      <c r="QL72" s="15" t="s">
        <v>668</v>
      </c>
      <c r="QM72" s="15" t="s">
        <v>668</v>
      </c>
      <c r="QN72" s="15" t="s">
        <v>668</v>
      </c>
      <c r="QO72" s="15" t="s">
        <v>668</v>
      </c>
      <c r="QP72" s="15" t="s">
        <v>668</v>
      </c>
      <c r="QQ72" s="15" t="s">
        <v>668</v>
      </c>
      <c r="QR72" s="15" t="s">
        <v>668</v>
      </c>
      <c r="QS72" s="15" t="s">
        <v>668</v>
      </c>
      <c r="QT72" s="15" t="s">
        <v>668</v>
      </c>
      <c r="QU72" s="15" t="s">
        <v>668</v>
      </c>
      <c r="QV72" s="15" t="s">
        <v>668</v>
      </c>
      <c r="QW72" s="15" t="s">
        <v>668</v>
      </c>
      <c r="QX72" s="15" t="s">
        <v>668</v>
      </c>
      <c r="QY72" s="15" t="s">
        <v>668</v>
      </c>
      <c r="QZ72" s="15" t="s">
        <v>668</v>
      </c>
      <c r="RA72" s="15" t="s">
        <v>668</v>
      </c>
      <c r="RB72" s="15" t="s">
        <v>668</v>
      </c>
      <c r="RC72" s="15" t="s">
        <v>668</v>
      </c>
      <c r="RD72" s="15" t="s">
        <v>668</v>
      </c>
      <c r="RE72" s="15" t="s">
        <v>668</v>
      </c>
      <c r="RF72" s="15" t="s">
        <v>668</v>
      </c>
      <c r="RG72" s="15" t="s">
        <v>668</v>
      </c>
      <c r="RH72" s="15" t="s">
        <v>668</v>
      </c>
      <c r="RI72" s="15" t="s">
        <v>668</v>
      </c>
      <c r="RJ72" s="15" t="s">
        <v>668</v>
      </c>
      <c r="RK72" s="15" t="s">
        <v>668</v>
      </c>
      <c r="RL72" s="15" t="s">
        <v>668</v>
      </c>
      <c r="RM72" s="15" t="s">
        <v>668</v>
      </c>
      <c r="RN72" s="15" t="s">
        <v>668</v>
      </c>
      <c r="RO72" s="15" t="s">
        <v>668</v>
      </c>
      <c r="RP72" s="15" t="s">
        <v>668</v>
      </c>
      <c r="RQ72" s="15" t="s">
        <v>668</v>
      </c>
      <c r="RR72" s="15" t="s">
        <v>668</v>
      </c>
      <c r="RS72" s="15" t="s">
        <v>668</v>
      </c>
      <c r="RT72" s="15" t="s">
        <v>668</v>
      </c>
      <c r="RU72" s="15" t="s">
        <v>668</v>
      </c>
      <c r="RV72" s="15" t="s">
        <v>668</v>
      </c>
      <c r="RW72" s="15" t="s">
        <v>668</v>
      </c>
      <c r="RX72" s="15" t="s">
        <v>668</v>
      </c>
      <c r="RY72" s="15" t="s">
        <v>668</v>
      </c>
      <c r="RZ72" s="15" t="s">
        <v>668</v>
      </c>
      <c r="SA72" s="15" t="s">
        <v>668</v>
      </c>
      <c r="SB72" s="15" t="s">
        <v>668</v>
      </c>
      <c r="SC72" s="15" t="s">
        <v>668</v>
      </c>
      <c r="SD72" s="15" t="s">
        <v>668</v>
      </c>
      <c r="SE72" s="15" t="s">
        <v>668</v>
      </c>
      <c r="SF72" s="15" t="s">
        <v>668</v>
      </c>
      <c r="SG72" s="15" t="s">
        <v>668</v>
      </c>
      <c r="SH72" s="15" t="s">
        <v>668</v>
      </c>
      <c r="SI72" s="15" t="s">
        <v>668</v>
      </c>
      <c r="SJ72" s="15" t="s">
        <v>668</v>
      </c>
      <c r="SK72" s="15" t="s">
        <v>668</v>
      </c>
      <c r="SL72" s="15" t="s">
        <v>668</v>
      </c>
      <c r="SM72" s="15" t="s">
        <v>668</v>
      </c>
    </row>
    <row r="73" spans="1:509" x14ac:dyDescent="0.2">
      <c r="A73" s="37">
        <v>71</v>
      </c>
      <c r="B73" s="37" t="s">
        <v>842</v>
      </c>
      <c r="C73" s="17">
        <f>+'Detalle Compras'!D73</f>
        <v>202509110110</v>
      </c>
      <c r="D73" s="55">
        <f t="shared" si="16"/>
        <v>12.93225</v>
      </c>
      <c r="E73" s="14">
        <f>+IF(B73="","",'Detalle Compras'!S73+0)</f>
        <v>45971</v>
      </c>
      <c r="F73" s="14">
        <f>+IF(B73="","",EOMONTH('Detalle Compras'!S73,G73)+10)</f>
        <v>56958</v>
      </c>
      <c r="G73" s="50">
        <f t="shared" si="17"/>
        <v>360</v>
      </c>
      <c r="H73" s="50">
        <f t="shared" si="18"/>
        <v>357</v>
      </c>
      <c r="AC73" s="37">
        <v>12.93225</v>
      </c>
      <c r="AD73" s="37">
        <v>12.93225</v>
      </c>
      <c r="AE73" s="37">
        <v>12.93225</v>
      </c>
      <c r="AF73" s="37">
        <v>12.93225</v>
      </c>
      <c r="AG73" s="37">
        <v>12.93225</v>
      </c>
      <c r="AH73" s="37">
        <v>12.93225</v>
      </c>
      <c r="AI73" s="37">
        <v>12.93225</v>
      </c>
      <c r="AJ73" s="37">
        <v>12.93225</v>
      </c>
      <c r="AK73" s="37">
        <v>12.93225</v>
      </c>
      <c r="AL73" s="37">
        <v>12.93225</v>
      </c>
      <c r="AM73" s="37">
        <v>12.93225</v>
      </c>
      <c r="AN73" s="37">
        <v>12.93225</v>
      </c>
      <c r="AO73" s="37">
        <v>12.93225</v>
      </c>
      <c r="AP73" s="37">
        <v>12.93225</v>
      </c>
      <c r="AQ73" s="37">
        <v>12.93225</v>
      </c>
      <c r="AR73" s="37">
        <v>12.93225</v>
      </c>
      <c r="AS73" s="37">
        <v>12.93225</v>
      </c>
      <c r="AT73" s="37">
        <v>12.93225</v>
      </c>
      <c r="AU73" s="37">
        <v>12.93225</v>
      </c>
      <c r="AV73" s="37">
        <v>12.93225</v>
      </c>
      <c r="AW73" s="37">
        <v>12.93225</v>
      </c>
      <c r="AX73" s="37">
        <v>12.93225</v>
      </c>
      <c r="AY73" s="37">
        <v>12.93225</v>
      </c>
      <c r="AZ73" s="37">
        <v>12.93225</v>
      </c>
      <c r="BA73" s="37">
        <v>12.93225</v>
      </c>
      <c r="BB73" s="37">
        <v>12.93225</v>
      </c>
      <c r="BC73" s="37">
        <v>12.93225</v>
      </c>
      <c r="BD73" s="37">
        <v>12.93225</v>
      </c>
      <c r="BE73" s="37">
        <v>12.93225</v>
      </c>
      <c r="BF73" s="37">
        <v>12.93225</v>
      </c>
      <c r="BG73" s="37">
        <v>12.93225</v>
      </c>
      <c r="BH73" s="37">
        <v>12.93225</v>
      </c>
      <c r="BI73" s="37">
        <v>12.93225</v>
      </c>
      <c r="BJ73" s="37">
        <v>12.93225</v>
      </c>
      <c r="BK73" s="37">
        <v>12.93225</v>
      </c>
      <c r="BL73" s="37">
        <v>12.93225</v>
      </c>
      <c r="BM73" s="37">
        <v>12.93225</v>
      </c>
      <c r="BN73" s="37">
        <v>12.93225</v>
      </c>
      <c r="BO73" s="37">
        <v>12.93225</v>
      </c>
      <c r="BP73" s="37">
        <v>12.93225</v>
      </c>
      <c r="BQ73" s="37">
        <v>12.93225</v>
      </c>
      <c r="BR73" s="37">
        <v>12.93225</v>
      </c>
      <c r="BS73" s="37">
        <v>12.93225</v>
      </c>
      <c r="BT73" s="37">
        <v>12.93225</v>
      </c>
      <c r="BU73" s="37">
        <v>12.93225</v>
      </c>
      <c r="BV73" s="37">
        <v>12.93225</v>
      </c>
      <c r="BW73" s="37">
        <v>12.93225</v>
      </c>
      <c r="BX73" s="37">
        <v>12.93225</v>
      </c>
      <c r="BY73" s="37">
        <v>12.93225</v>
      </c>
      <c r="BZ73" s="37">
        <v>12.93225</v>
      </c>
      <c r="CA73" s="37">
        <v>12.93225</v>
      </c>
      <c r="CB73" s="37">
        <v>12.93225</v>
      </c>
      <c r="CC73" s="37">
        <v>12.93225</v>
      </c>
      <c r="CD73" s="37">
        <v>12.93225</v>
      </c>
      <c r="CE73" s="37">
        <v>12.93225</v>
      </c>
      <c r="CF73" s="37">
        <v>12.93225</v>
      </c>
      <c r="CG73" s="37">
        <v>12.93225</v>
      </c>
      <c r="CH73" s="37">
        <v>12.93225</v>
      </c>
      <c r="CI73" s="37">
        <v>12.93225</v>
      </c>
      <c r="CJ73" s="37">
        <v>12.93225</v>
      </c>
      <c r="CK73" s="37">
        <v>12.93225</v>
      </c>
      <c r="CL73" s="37">
        <v>12.93225</v>
      </c>
      <c r="CM73" s="37">
        <v>12.93225</v>
      </c>
      <c r="CN73" s="37">
        <v>12.93225</v>
      </c>
      <c r="CO73" s="37">
        <v>12.93225</v>
      </c>
      <c r="CP73" s="37">
        <v>12.93225</v>
      </c>
      <c r="CQ73" s="37">
        <v>12.93225</v>
      </c>
      <c r="CR73" s="37">
        <v>12.93225</v>
      </c>
      <c r="CS73" s="37">
        <v>12.93225</v>
      </c>
      <c r="CT73" s="37">
        <v>12.93225</v>
      </c>
      <c r="CU73" s="37">
        <v>12.93225</v>
      </c>
      <c r="CV73" s="37">
        <v>12.93225</v>
      </c>
      <c r="CW73" s="37">
        <v>12.93225</v>
      </c>
      <c r="CX73" s="37">
        <v>12.93225</v>
      </c>
      <c r="CY73" s="37">
        <v>12.93225</v>
      </c>
      <c r="CZ73" s="37">
        <v>12.93225</v>
      </c>
      <c r="DA73" s="37">
        <v>12.93225</v>
      </c>
      <c r="DB73" s="37">
        <v>12.93225</v>
      </c>
      <c r="DC73" s="37">
        <v>12.93225</v>
      </c>
      <c r="DD73" s="37">
        <v>12.93225</v>
      </c>
      <c r="DE73" s="37">
        <v>12.93225</v>
      </c>
      <c r="DF73" s="37">
        <v>12.93225</v>
      </c>
      <c r="DG73" s="37">
        <v>12.93225</v>
      </c>
      <c r="DH73" s="37">
        <v>12.93225</v>
      </c>
      <c r="DI73" s="37">
        <v>12.93225</v>
      </c>
      <c r="DJ73" s="37">
        <v>12.93225</v>
      </c>
      <c r="DK73" s="37">
        <v>12.93225</v>
      </c>
      <c r="DL73" s="37">
        <v>12.93225</v>
      </c>
      <c r="DM73" s="37">
        <v>12.93225</v>
      </c>
      <c r="DN73" s="37">
        <v>12.93225</v>
      </c>
      <c r="DO73" s="37">
        <v>12.93225</v>
      </c>
      <c r="DP73" s="37">
        <v>12.93225</v>
      </c>
      <c r="DQ73" s="37">
        <v>12.93225</v>
      </c>
      <c r="DR73" s="37">
        <v>12.93225</v>
      </c>
      <c r="DS73" s="37">
        <v>12.93225</v>
      </c>
      <c r="DT73" s="37">
        <v>12.93225</v>
      </c>
      <c r="DU73" s="37">
        <v>12.93225</v>
      </c>
      <c r="DV73" s="37">
        <v>12.93225</v>
      </c>
      <c r="DW73" s="37">
        <v>12.93225</v>
      </c>
      <c r="DX73" s="37">
        <v>12.93225</v>
      </c>
      <c r="DY73" s="37">
        <v>12.93225</v>
      </c>
      <c r="DZ73" s="37">
        <v>12.93225</v>
      </c>
      <c r="EA73" s="37">
        <v>12.93225</v>
      </c>
      <c r="EB73" s="37">
        <v>12.93225</v>
      </c>
      <c r="EC73" s="37">
        <v>12.93225</v>
      </c>
      <c r="ED73" s="37">
        <v>12.93225</v>
      </c>
      <c r="EE73" s="37">
        <v>12.93225</v>
      </c>
      <c r="EF73" s="37">
        <v>12.93225</v>
      </c>
      <c r="EG73" s="37">
        <v>12.93225</v>
      </c>
      <c r="EH73" s="37">
        <v>12.93225</v>
      </c>
      <c r="EI73" s="37">
        <v>12.93225</v>
      </c>
      <c r="EJ73" s="37">
        <v>12.93225</v>
      </c>
      <c r="EK73" s="37">
        <v>12.93225</v>
      </c>
      <c r="EL73" s="37">
        <v>12.93225</v>
      </c>
      <c r="EM73" s="37">
        <v>12.93225</v>
      </c>
      <c r="EN73" s="37">
        <v>12.93225</v>
      </c>
      <c r="EO73" s="37">
        <v>12.93225</v>
      </c>
      <c r="EP73" s="37">
        <v>12.93225</v>
      </c>
      <c r="EQ73" s="37">
        <v>12.93225</v>
      </c>
      <c r="ER73" s="37">
        <v>12.93225</v>
      </c>
      <c r="ES73" s="37">
        <v>12.93225</v>
      </c>
      <c r="ET73" s="37">
        <v>12.93225</v>
      </c>
      <c r="EU73" s="37">
        <v>12.93225</v>
      </c>
      <c r="EV73" s="37">
        <v>12.93225</v>
      </c>
      <c r="EW73" s="37">
        <v>12.93225</v>
      </c>
      <c r="EX73" s="37">
        <v>12.93225</v>
      </c>
      <c r="EY73" s="37">
        <v>12.93225</v>
      </c>
      <c r="EZ73" s="37">
        <v>12.93225</v>
      </c>
      <c r="FA73" s="37">
        <v>12.93225</v>
      </c>
      <c r="FB73" s="37">
        <v>12.93225</v>
      </c>
      <c r="FC73" s="37">
        <v>12.93225</v>
      </c>
      <c r="FD73" s="37">
        <v>12.93225</v>
      </c>
      <c r="FE73" s="37">
        <v>12.93225</v>
      </c>
      <c r="FF73" s="37">
        <v>12.93225</v>
      </c>
      <c r="FG73" s="37">
        <v>12.93225</v>
      </c>
      <c r="FH73" s="37">
        <v>12.93225</v>
      </c>
      <c r="FI73" s="37">
        <v>12.93225</v>
      </c>
      <c r="FJ73" s="37">
        <v>12.93225</v>
      </c>
      <c r="FK73" s="37">
        <v>12.93225</v>
      </c>
      <c r="FL73" s="37">
        <v>12.93225</v>
      </c>
      <c r="FM73" s="37">
        <v>12.93225</v>
      </c>
      <c r="FN73" s="37">
        <v>12.93225</v>
      </c>
      <c r="FO73" s="37">
        <v>12.93225</v>
      </c>
      <c r="FP73" s="37">
        <v>12.93225</v>
      </c>
      <c r="FQ73" s="37">
        <v>12.93225</v>
      </c>
      <c r="FR73" s="37">
        <v>12.93225</v>
      </c>
      <c r="FS73" s="37">
        <v>12.93225</v>
      </c>
      <c r="FT73" s="37">
        <v>12.93225</v>
      </c>
      <c r="FU73" s="37">
        <v>12.93225</v>
      </c>
      <c r="FV73" s="37">
        <v>12.93225</v>
      </c>
      <c r="FW73" s="37">
        <v>12.93225</v>
      </c>
      <c r="FX73" s="37">
        <v>12.93225</v>
      </c>
      <c r="FY73" s="37">
        <v>12.93225</v>
      </c>
      <c r="FZ73" s="37">
        <v>12.93225</v>
      </c>
      <c r="GA73" s="37">
        <v>12.93225</v>
      </c>
      <c r="GB73" s="37">
        <v>12.93225</v>
      </c>
      <c r="GC73" s="37">
        <v>12.93225</v>
      </c>
      <c r="GD73" s="37">
        <v>12.93225</v>
      </c>
      <c r="GE73" s="37">
        <v>12.93225</v>
      </c>
      <c r="GF73" s="37">
        <v>12.93225</v>
      </c>
      <c r="GG73" s="37">
        <v>12.93225</v>
      </c>
      <c r="GH73" s="37">
        <v>12.93225</v>
      </c>
      <c r="GI73" s="37">
        <v>12.93225</v>
      </c>
      <c r="GJ73" s="37">
        <v>12.93225</v>
      </c>
      <c r="GK73" s="37">
        <v>12.93225</v>
      </c>
      <c r="GL73" s="37">
        <v>12.93225</v>
      </c>
      <c r="GM73" s="37">
        <v>12.93225</v>
      </c>
      <c r="GN73" s="37">
        <v>12.93225</v>
      </c>
      <c r="GO73" s="37">
        <v>12.93225</v>
      </c>
      <c r="GP73" s="37">
        <v>12.93225</v>
      </c>
      <c r="GQ73" s="37">
        <v>12.93225</v>
      </c>
      <c r="GR73" s="37">
        <v>12.93225</v>
      </c>
      <c r="GS73" s="37">
        <v>12.93225</v>
      </c>
      <c r="GT73" s="37">
        <v>12.93225</v>
      </c>
      <c r="GU73" s="37">
        <v>12.93225</v>
      </c>
      <c r="GV73" s="37">
        <v>12.93225</v>
      </c>
      <c r="GW73" s="37">
        <v>12.93225</v>
      </c>
      <c r="GX73" s="37">
        <v>12.93225</v>
      </c>
      <c r="GY73" s="37">
        <v>12.93225</v>
      </c>
      <c r="GZ73" s="37">
        <v>12.93225</v>
      </c>
      <c r="HA73" s="37">
        <v>12.93225</v>
      </c>
      <c r="HB73" s="37">
        <v>12.93225</v>
      </c>
      <c r="HC73" s="37">
        <v>12.93225</v>
      </c>
      <c r="HD73" s="37">
        <v>12.93225</v>
      </c>
      <c r="HE73" s="37">
        <v>12.93225</v>
      </c>
      <c r="HF73" s="37">
        <v>12.93225</v>
      </c>
      <c r="HG73" s="37">
        <v>12.93225</v>
      </c>
      <c r="HH73" s="37">
        <v>12.93225</v>
      </c>
      <c r="HI73" s="37">
        <v>12.93225</v>
      </c>
      <c r="HJ73" s="37">
        <v>12.93225</v>
      </c>
      <c r="HK73" s="37">
        <v>12.93225</v>
      </c>
      <c r="HL73" s="37">
        <v>12.93225</v>
      </c>
      <c r="HM73" s="37">
        <v>12.93225</v>
      </c>
      <c r="HN73" s="37">
        <v>12.93225</v>
      </c>
      <c r="HO73" s="37">
        <v>12.93225</v>
      </c>
      <c r="HP73" s="37">
        <v>12.93225</v>
      </c>
      <c r="HQ73" s="37">
        <v>12.93225</v>
      </c>
      <c r="HR73" s="37">
        <v>12.93225</v>
      </c>
      <c r="HS73" s="37">
        <v>12.93225</v>
      </c>
      <c r="HT73" s="37">
        <v>12.93225</v>
      </c>
      <c r="HU73" s="37">
        <v>12.93225</v>
      </c>
      <c r="HV73" s="37">
        <v>12.93225</v>
      </c>
      <c r="HW73" s="37">
        <v>12.93225</v>
      </c>
      <c r="HX73" s="37">
        <v>12.93225</v>
      </c>
      <c r="HY73" s="37">
        <v>12.93225</v>
      </c>
      <c r="HZ73" s="37">
        <v>12.93225</v>
      </c>
      <c r="IA73" s="37">
        <v>12.93225</v>
      </c>
      <c r="IB73" s="37">
        <v>12.93225</v>
      </c>
      <c r="IC73" s="37">
        <v>12.93225</v>
      </c>
      <c r="ID73" s="37">
        <v>12.93225</v>
      </c>
      <c r="IE73" s="37">
        <v>12.93225</v>
      </c>
      <c r="IF73" s="37">
        <v>12.93225</v>
      </c>
      <c r="IG73" s="37">
        <v>12.93225</v>
      </c>
      <c r="IH73" s="37">
        <v>12.93225</v>
      </c>
      <c r="II73" s="37">
        <v>12.93225</v>
      </c>
      <c r="IJ73" s="37">
        <v>12.93225</v>
      </c>
      <c r="IK73" s="37">
        <v>12.93225</v>
      </c>
      <c r="IL73" s="37">
        <v>12.93225</v>
      </c>
      <c r="IM73" s="37">
        <v>12.93225</v>
      </c>
      <c r="IN73" s="37">
        <v>12.93225</v>
      </c>
      <c r="IO73" s="37">
        <v>12.93225</v>
      </c>
      <c r="IP73" s="37">
        <v>12.93225</v>
      </c>
      <c r="IQ73" s="37">
        <v>12.93225</v>
      </c>
      <c r="IR73" s="37">
        <v>12.93225</v>
      </c>
      <c r="IS73" s="37">
        <v>12.93225</v>
      </c>
      <c r="IT73" s="37">
        <v>12.93225</v>
      </c>
      <c r="IU73" s="37">
        <v>12.93225</v>
      </c>
      <c r="IV73" s="37">
        <v>12.93225</v>
      </c>
      <c r="IW73" s="37">
        <v>12.93225</v>
      </c>
      <c r="IX73" s="37">
        <v>12.93225</v>
      </c>
      <c r="IY73" s="37">
        <v>12.93225</v>
      </c>
      <c r="IZ73" s="37">
        <v>12.93225</v>
      </c>
      <c r="JA73" s="37">
        <v>12.93225</v>
      </c>
      <c r="JB73" s="37">
        <v>12.93225</v>
      </c>
      <c r="JC73" s="37">
        <v>12.93225</v>
      </c>
      <c r="JD73" s="37">
        <v>12.93225</v>
      </c>
      <c r="JE73" s="37">
        <v>12.93225</v>
      </c>
      <c r="JF73" s="37">
        <v>12.93225</v>
      </c>
      <c r="JG73" s="37">
        <v>12.93225</v>
      </c>
      <c r="JH73" s="37">
        <v>12.93225</v>
      </c>
      <c r="JI73" s="37">
        <v>12.93225</v>
      </c>
      <c r="JJ73" s="37">
        <v>12.93225</v>
      </c>
      <c r="JK73" s="37">
        <v>12.93225</v>
      </c>
      <c r="JL73" s="37">
        <v>12.93225</v>
      </c>
      <c r="JM73" s="37">
        <v>12.93225</v>
      </c>
      <c r="JN73" s="37">
        <v>12.93225</v>
      </c>
      <c r="JO73" s="37">
        <v>12.93225</v>
      </c>
      <c r="JP73" s="37">
        <v>12.93225</v>
      </c>
      <c r="JQ73" s="37">
        <v>12.93225</v>
      </c>
      <c r="JR73" s="37">
        <v>12.93225</v>
      </c>
      <c r="JS73" s="37">
        <v>12.93225</v>
      </c>
      <c r="JT73" s="37">
        <v>12.93225</v>
      </c>
      <c r="JU73" s="37">
        <v>12.93225</v>
      </c>
      <c r="JV73" s="37">
        <v>12.93225</v>
      </c>
      <c r="JW73" s="37">
        <v>12.93225</v>
      </c>
      <c r="JX73" s="37">
        <v>12.93225</v>
      </c>
      <c r="JY73" s="37">
        <v>12.93225</v>
      </c>
      <c r="JZ73" s="37">
        <v>12.93225</v>
      </c>
      <c r="KA73" s="37">
        <v>12.93225</v>
      </c>
      <c r="KB73" s="37">
        <v>12.93225</v>
      </c>
      <c r="KC73" s="37">
        <v>12.93225</v>
      </c>
      <c r="KD73" s="37">
        <v>12.93225</v>
      </c>
      <c r="KE73" s="37">
        <v>12.93225</v>
      </c>
      <c r="KF73" s="37">
        <v>12.93225</v>
      </c>
      <c r="KG73" s="37">
        <v>12.93225</v>
      </c>
      <c r="KH73" s="37">
        <v>12.93225</v>
      </c>
      <c r="KI73" s="37">
        <v>12.93225</v>
      </c>
      <c r="KJ73" s="37">
        <v>12.93225</v>
      </c>
      <c r="KK73" s="37">
        <v>12.93225</v>
      </c>
      <c r="KL73" s="37">
        <v>12.93225</v>
      </c>
      <c r="KM73" s="37">
        <v>12.93225</v>
      </c>
      <c r="KN73" s="37">
        <v>12.93225</v>
      </c>
      <c r="KO73" s="37">
        <v>12.93225</v>
      </c>
      <c r="KP73" s="37">
        <v>12.93225</v>
      </c>
      <c r="KQ73" s="37">
        <v>12.93225</v>
      </c>
      <c r="KR73" s="37">
        <v>12.93225</v>
      </c>
      <c r="KS73" s="37">
        <v>12.93225</v>
      </c>
      <c r="KT73" s="37">
        <v>12.93225</v>
      </c>
      <c r="KU73" s="37">
        <v>12.93225</v>
      </c>
      <c r="KV73" s="37">
        <v>12.93225</v>
      </c>
      <c r="KW73" s="37">
        <v>12.93225</v>
      </c>
      <c r="KX73" s="37">
        <v>12.93225</v>
      </c>
      <c r="KY73" s="37">
        <v>12.93225</v>
      </c>
      <c r="KZ73" s="37">
        <v>12.93225</v>
      </c>
      <c r="LA73" s="37">
        <v>12.93225</v>
      </c>
      <c r="LB73" s="37">
        <v>12.93225</v>
      </c>
      <c r="LC73" s="37">
        <v>12.93225</v>
      </c>
      <c r="LD73" s="37">
        <v>12.93225</v>
      </c>
      <c r="LE73" s="37">
        <v>12.93225</v>
      </c>
      <c r="LF73" s="37">
        <v>12.93225</v>
      </c>
      <c r="LG73" s="37">
        <v>12.93225</v>
      </c>
      <c r="LH73" s="37">
        <v>12.93225</v>
      </c>
      <c r="LI73" s="37">
        <v>12.93225</v>
      </c>
      <c r="LJ73" s="37">
        <v>12.93225</v>
      </c>
      <c r="LK73" s="37">
        <v>12.93225</v>
      </c>
      <c r="LL73" s="37">
        <v>12.93225</v>
      </c>
      <c r="LM73" s="37">
        <v>12.93225</v>
      </c>
      <c r="LN73" s="37">
        <v>12.93225</v>
      </c>
      <c r="LO73" s="37">
        <v>12.93225</v>
      </c>
      <c r="LP73" s="37">
        <v>12.93225</v>
      </c>
      <c r="LQ73" s="37">
        <v>12.93225</v>
      </c>
      <c r="LR73" s="37">
        <v>12.93225</v>
      </c>
      <c r="LS73" s="37">
        <v>12.93225</v>
      </c>
      <c r="LT73" s="37">
        <v>12.93225</v>
      </c>
      <c r="LU73" s="37">
        <v>12.93225</v>
      </c>
      <c r="LV73" s="37">
        <v>12.93225</v>
      </c>
      <c r="LW73" s="37">
        <v>12.93225</v>
      </c>
      <c r="LX73" s="37">
        <v>12.93225</v>
      </c>
      <c r="LY73" s="37">
        <v>12.93225</v>
      </c>
      <c r="LZ73" s="37">
        <v>12.93225</v>
      </c>
      <c r="MA73" s="37">
        <v>12.93225</v>
      </c>
      <c r="MB73" s="37">
        <v>12.93225</v>
      </c>
      <c r="MC73" s="37">
        <v>12.93225</v>
      </c>
      <c r="MD73" s="37">
        <v>12.93225</v>
      </c>
      <c r="ME73" s="37">
        <v>12.93225</v>
      </c>
      <c r="MF73" s="37">
        <v>12.93225</v>
      </c>
      <c r="MG73" s="37">
        <v>12.93225</v>
      </c>
      <c r="MH73" s="37">
        <v>12.93225</v>
      </c>
      <c r="MI73" s="37">
        <v>12.93225</v>
      </c>
      <c r="MJ73" s="37">
        <v>12.93225</v>
      </c>
      <c r="MK73" s="37">
        <v>12.93225</v>
      </c>
      <c r="ML73" s="37">
        <v>12.93225</v>
      </c>
      <c r="MM73" s="37">
        <v>12.93225</v>
      </c>
      <c r="MN73" s="37">
        <v>12.93225</v>
      </c>
      <c r="MO73" s="37">
        <v>12.93225</v>
      </c>
      <c r="MP73" s="37">
        <v>12.93225</v>
      </c>
      <c r="MQ73" s="37">
        <v>12.93225</v>
      </c>
      <c r="MR73" s="37">
        <v>12.93225</v>
      </c>
      <c r="MS73" s="37">
        <v>12.93225</v>
      </c>
      <c r="MT73" s="37">
        <v>12.93225</v>
      </c>
      <c r="MU73" s="37">
        <v>12.93225</v>
      </c>
      <c r="MV73" s="37">
        <v>12.93225</v>
      </c>
      <c r="MW73" s="37">
        <v>12.93225</v>
      </c>
      <c r="MX73" s="37">
        <v>12.93225</v>
      </c>
      <c r="MY73" s="37">
        <v>12.93225</v>
      </c>
      <c r="MZ73" s="37">
        <v>12.93225</v>
      </c>
      <c r="NA73" s="37">
        <v>12.93225</v>
      </c>
      <c r="NB73" s="37">
        <v>12.93225</v>
      </c>
      <c r="NC73" s="37">
        <v>12.93225</v>
      </c>
      <c r="ND73" s="37">
        <v>12.93225</v>
      </c>
      <c r="NE73" s="37">
        <v>12.93225</v>
      </c>
      <c r="NF73" s="37">
        <v>12.93225</v>
      </c>
      <c r="NG73" s="37">
        <v>12.93225</v>
      </c>
      <c r="NH73" s="37">
        <v>12.93225</v>
      </c>
      <c r="NI73" s="37">
        <v>12.93225</v>
      </c>
      <c r="NJ73" s="37">
        <v>12.93225</v>
      </c>
      <c r="NK73" s="37">
        <v>12.93225</v>
      </c>
      <c r="NL73" s="37">
        <v>12.93225</v>
      </c>
      <c r="NM73" s="37">
        <v>12.93225</v>
      </c>
      <c r="NN73" s="37">
        <v>12.93225</v>
      </c>
      <c r="NO73" s="37">
        <v>12.93225</v>
      </c>
      <c r="NP73" s="37">
        <v>12.93225</v>
      </c>
      <c r="NQ73" s="37">
        <v>12.93225</v>
      </c>
      <c r="NR73" s="37">
        <v>12.93225</v>
      </c>
      <c r="NS73" s="37">
        <v>12.93225</v>
      </c>
      <c r="NT73" s="37">
        <v>12.93225</v>
      </c>
      <c r="NU73" s="37">
        <v>12.93225</v>
      </c>
      <c r="NV73" s="37">
        <v>12.93225</v>
      </c>
      <c r="NW73" s="37">
        <v>12.93225</v>
      </c>
      <c r="NX73" s="37">
        <v>13.252599999999999</v>
      </c>
      <c r="NY73" s="37" t="s">
        <v>668</v>
      </c>
      <c r="NZ73" s="37" t="s">
        <v>668</v>
      </c>
      <c r="OA73" s="37" t="s">
        <v>668</v>
      </c>
      <c r="OB73" s="37" t="s">
        <v>668</v>
      </c>
      <c r="OC73" s="37" t="s">
        <v>668</v>
      </c>
      <c r="OD73" s="37" t="s">
        <v>668</v>
      </c>
      <c r="OE73" s="37" t="s">
        <v>668</v>
      </c>
      <c r="OF73" s="37" t="s">
        <v>668</v>
      </c>
      <c r="OG73" s="37" t="s">
        <v>668</v>
      </c>
      <c r="OH73" s="37" t="s">
        <v>668</v>
      </c>
      <c r="OI73" s="37" t="s">
        <v>668</v>
      </c>
      <c r="OJ73" s="37" t="s">
        <v>668</v>
      </c>
      <c r="OK73" s="37" t="s">
        <v>668</v>
      </c>
      <c r="OL73" s="37" t="s">
        <v>668</v>
      </c>
      <c r="OM73" s="37" t="s">
        <v>668</v>
      </c>
      <c r="ON73" s="37" t="s">
        <v>668</v>
      </c>
      <c r="OO73" s="37" t="s">
        <v>668</v>
      </c>
      <c r="OP73" s="37" t="s">
        <v>668</v>
      </c>
      <c r="OQ73" s="37" t="s">
        <v>668</v>
      </c>
      <c r="OR73" s="37" t="s">
        <v>668</v>
      </c>
      <c r="OS73" s="37" t="s">
        <v>668</v>
      </c>
      <c r="OT73" s="37" t="s">
        <v>668</v>
      </c>
      <c r="OU73" s="37" t="s">
        <v>668</v>
      </c>
      <c r="OV73" s="37" t="s">
        <v>668</v>
      </c>
      <c r="OW73" s="37" t="s">
        <v>668</v>
      </c>
      <c r="OX73" s="37" t="s">
        <v>668</v>
      </c>
      <c r="OY73" s="37" t="s">
        <v>668</v>
      </c>
      <c r="OZ73" s="37" t="s">
        <v>668</v>
      </c>
      <c r="PA73" s="37" t="s">
        <v>668</v>
      </c>
      <c r="PB73" s="37" t="s">
        <v>668</v>
      </c>
      <c r="PC73" s="37" t="s">
        <v>668</v>
      </c>
      <c r="PD73" s="37" t="s">
        <v>668</v>
      </c>
      <c r="PE73" s="37" t="s">
        <v>668</v>
      </c>
      <c r="PF73" s="37" t="s">
        <v>668</v>
      </c>
      <c r="PG73" s="37" t="s">
        <v>668</v>
      </c>
      <c r="PH73" s="37" t="s">
        <v>668</v>
      </c>
      <c r="PI73" s="37" t="s">
        <v>668</v>
      </c>
      <c r="PJ73" s="37" t="s">
        <v>668</v>
      </c>
      <c r="PK73" s="37" t="s">
        <v>668</v>
      </c>
      <c r="PL73" s="37" t="s">
        <v>668</v>
      </c>
      <c r="PM73" s="37" t="s">
        <v>668</v>
      </c>
      <c r="PN73" s="37" t="s">
        <v>668</v>
      </c>
      <c r="PO73" s="37" t="s">
        <v>668</v>
      </c>
      <c r="PP73" s="37" t="s">
        <v>668</v>
      </c>
      <c r="PQ73" s="37" t="s">
        <v>668</v>
      </c>
      <c r="PR73" s="37" t="s">
        <v>668</v>
      </c>
      <c r="PS73" s="15" t="s">
        <v>668</v>
      </c>
      <c r="PT73" s="15" t="s">
        <v>668</v>
      </c>
      <c r="PU73" s="15" t="s">
        <v>668</v>
      </c>
      <c r="PV73" s="15" t="s">
        <v>668</v>
      </c>
      <c r="PW73" s="15" t="s">
        <v>668</v>
      </c>
      <c r="PX73" s="15" t="s">
        <v>668</v>
      </c>
      <c r="PY73" s="15" t="s">
        <v>668</v>
      </c>
      <c r="PZ73" s="15" t="s">
        <v>668</v>
      </c>
      <c r="QA73" s="15" t="s">
        <v>668</v>
      </c>
      <c r="QB73" s="15" t="s">
        <v>668</v>
      </c>
      <c r="QC73" s="15" t="s">
        <v>668</v>
      </c>
      <c r="QD73" s="15" t="s">
        <v>668</v>
      </c>
      <c r="QE73" s="15" t="s">
        <v>668</v>
      </c>
      <c r="QF73" s="15" t="s">
        <v>668</v>
      </c>
      <c r="QG73" s="15" t="s">
        <v>668</v>
      </c>
      <c r="QH73" s="15" t="s">
        <v>668</v>
      </c>
      <c r="QI73" s="15" t="s">
        <v>668</v>
      </c>
      <c r="QJ73" s="15" t="s">
        <v>668</v>
      </c>
      <c r="QK73" s="15" t="s">
        <v>668</v>
      </c>
      <c r="QL73" s="15" t="s">
        <v>668</v>
      </c>
      <c r="QM73" s="15" t="s">
        <v>668</v>
      </c>
      <c r="QN73" s="15" t="s">
        <v>668</v>
      </c>
      <c r="QO73" s="15" t="s">
        <v>668</v>
      </c>
      <c r="QP73" s="15" t="s">
        <v>668</v>
      </c>
      <c r="QQ73" s="15" t="s">
        <v>668</v>
      </c>
      <c r="QR73" s="15" t="s">
        <v>668</v>
      </c>
      <c r="QS73" s="15" t="s">
        <v>668</v>
      </c>
      <c r="QT73" s="15" t="s">
        <v>668</v>
      </c>
      <c r="QU73" s="15" t="s">
        <v>668</v>
      </c>
      <c r="QV73" s="15" t="s">
        <v>668</v>
      </c>
      <c r="QW73" s="15" t="s">
        <v>668</v>
      </c>
      <c r="QX73" s="15" t="s">
        <v>668</v>
      </c>
      <c r="QY73" s="15" t="s">
        <v>668</v>
      </c>
      <c r="QZ73" s="15" t="s">
        <v>668</v>
      </c>
      <c r="RA73" s="15" t="s">
        <v>668</v>
      </c>
      <c r="RB73" s="15" t="s">
        <v>668</v>
      </c>
      <c r="RC73" s="15" t="s">
        <v>668</v>
      </c>
      <c r="RD73" s="15" t="s">
        <v>668</v>
      </c>
      <c r="RE73" s="15" t="s">
        <v>668</v>
      </c>
      <c r="RF73" s="15" t="s">
        <v>668</v>
      </c>
      <c r="RG73" s="15" t="s">
        <v>668</v>
      </c>
      <c r="RH73" s="15" t="s">
        <v>668</v>
      </c>
      <c r="RI73" s="15" t="s">
        <v>668</v>
      </c>
      <c r="RJ73" s="15" t="s">
        <v>668</v>
      </c>
      <c r="RK73" s="15" t="s">
        <v>668</v>
      </c>
      <c r="RL73" s="15" t="s">
        <v>668</v>
      </c>
      <c r="RM73" s="15" t="s">
        <v>668</v>
      </c>
      <c r="RN73" s="15" t="s">
        <v>668</v>
      </c>
      <c r="RO73" s="15" t="s">
        <v>668</v>
      </c>
      <c r="RP73" s="15" t="s">
        <v>668</v>
      </c>
      <c r="RQ73" s="15" t="s">
        <v>668</v>
      </c>
      <c r="RR73" s="15" t="s">
        <v>668</v>
      </c>
      <c r="RS73" s="15" t="s">
        <v>668</v>
      </c>
      <c r="RT73" s="15" t="s">
        <v>668</v>
      </c>
      <c r="RU73" s="15" t="s">
        <v>668</v>
      </c>
      <c r="RV73" s="15" t="s">
        <v>668</v>
      </c>
      <c r="RW73" s="15" t="s">
        <v>668</v>
      </c>
      <c r="RX73" s="15" t="s">
        <v>668</v>
      </c>
      <c r="RY73" s="15" t="s">
        <v>668</v>
      </c>
      <c r="RZ73" s="15" t="s">
        <v>668</v>
      </c>
      <c r="SA73" s="15" t="s">
        <v>668</v>
      </c>
      <c r="SB73" s="15" t="s">
        <v>668</v>
      </c>
      <c r="SC73" s="15" t="s">
        <v>668</v>
      </c>
      <c r="SD73" s="15" t="s">
        <v>668</v>
      </c>
      <c r="SE73" s="15" t="s">
        <v>668</v>
      </c>
      <c r="SF73" s="15" t="s">
        <v>668</v>
      </c>
      <c r="SG73" s="15" t="s">
        <v>668</v>
      </c>
      <c r="SH73" s="15" t="s">
        <v>668</v>
      </c>
      <c r="SI73" s="15" t="s">
        <v>668</v>
      </c>
      <c r="SJ73" s="15" t="s">
        <v>668</v>
      </c>
      <c r="SK73" s="15" t="s">
        <v>668</v>
      </c>
      <c r="SL73" s="15" t="s">
        <v>668</v>
      </c>
      <c r="SM73" s="15" t="s">
        <v>668</v>
      </c>
      <c r="SN73" s="15" t="s">
        <v>668</v>
      </c>
      <c r="SO73" s="15" t="s">
        <v>668</v>
      </c>
    </row>
    <row r="74" spans="1:509" x14ac:dyDescent="0.2">
      <c r="A74" s="37">
        <v>72</v>
      </c>
      <c r="B74" s="37" t="s">
        <v>843</v>
      </c>
      <c r="C74" s="17">
        <f>+'Detalle Compras'!D74</f>
        <v>202509090111</v>
      </c>
      <c r="D74" s="55">
        <f t="shared" si="16"/>
        <v>13.4467</v>
      </c>
      <c r="E74" s="14">
        <f>+IF(B74="","",'Detalle Compras'!S74+0)</f>
        <v>45971</v>
      </c>
      <c r="F74" s="14">
        <f>+IF(B74="","",EOMONTH('Detalle Compras'!S74,G74)+10)</f>
        <v>58785</v>
      </c>
      <c r="G74" s="50">
        <f t="shared" si="17"/>
        <v>420</v>
      </c>
      <c r="H74" s="50">
        <f t="shared" si="18"/>
        <v>417</v>
      </c>
      <c r="AC74" s="37">
        <v>13.4467</v>
      </c>
      <c r="AD74" s="37">
        <v>13.4467</v>
      </c>
      <c r="AE74" s="37">
        <v>13.4467</v>
      </c>
      <c r="AF74" s="37">
        <v>13.4467</v>
      </c>
      <c r="AG74" s="37">
        <v>13.4467</v>
      </c>
      <c r="AH74" s="37">
        <v>13.4467</v>
      </c>
      <c r="AI74" s="37">
        <v>13.4467</v>
      </c>
      <c r="AJ74" s="37">
        <v>13.4467</v>
      </c>
      <c r="AK74" s="37">
        <v>13.4467</v>
      </c>
      <c r="AL74" s="37">
        <v>13.4467</v>
      </c>
      <c r="AM74" s="37">
        <v>13.4467</v>
      </c>
      <c r="AN74" s="37">
        <v>13.4467</v>
      </c>
      <c r="AO74" s="37">
        <v>13.4467</v>
      </c>
      <c r="AP74" s="37">
        <v>13.4467</v>
      </c>
      <c r="AQ74" s="37">
        <v>13.4467</v>
      </c>
      <c r="AR74" s="37">
        <v>13.4467</v>
      </c>
      <c r="AS74" s="37">
        <v>13.4467</v>
      </c>
      <c r="AT74" s="37">
        <v>13.4467</v>
      </c>
      <c r="AU74" s="37">
        <v>13.4467</v>
      </c>
      <c r="AV74" s="37">
        <v>13.4467</v>
      </c>
      <c r="AW74" s="37">
        <v>13.4467</v>
      </c>
      <c r="AX74" s="37">
        <v>13.4467</v>
      </c>
      <c r="AY74" s="37">
        <v>13.4467</v>
      </c>
      <c r="AZ74" s="37">
        <v>13.4467</v>
      </c>
      <c r="BA74" s="37">
        <v>13.4467</v>
      </c>
      <c r="BB74" s="37">
        <v>13.4467</v>
      </c>
      <c r="BC74" s="37">
        <v>13.4467</v>
      </c>
      <c r="BD74" s="37">
        <v>13.4467</v>
      </c>
      <c r="BE74" s="37">
        <v>13.4467</v>
      </c>
      <c r="BF74" s="37">
        <v>13.4467</v>
      </c>
      <c r="BG74" s="37">
        <v>13.4467</v>
      </c>
      <c r="BH74" s="37">
        <v>13.4467</v>
      </c>
      <c r="BI74" s="37">
        <v>13.4467</v>
      </c>
      <c r="BJ74" s="37">
        <v>13.4467</v>
      </c>
      <c r="BK74" s="37">
        <v>13.4467</v>
      </c>
      <c r="BL74" s="37">
        <v>13.4467</v>
      </c>
      <c r="BM74" s="37">
        <v>13.4467</v>
      </c>
      <c r="BN74" s="37">
        <v>13.4467</v>
      </c>
      <c r="BO74" s="37">
        <v>13.4467</v>
      </c>
      <c r="BP74" s="37">
        <v>13.4467</v>
      </c>
      <c r="BQ74" s="37">
        <v>13.4467</v>
      </c>
      <c r="BR74" s="37">
        <v>13.4467</v>
      </c>
      <c r="BS74" s="37">
        <v>13.4467</v>
      </c>
      <c r="BT74" s="37">
        <v>13.4467</v>
      </c>
      <c r="BU74" s="37">
        <v>13.4467</v>
      </c>
      <c r="BV74" s="37">
        <v>13.4467</v>
      </c>
      <c r="BW74" s="37">
        <v>13.4467</v>
      </c>
      <c r="BX74" s="37">
        <v>13.4467</v>
      </c>
      <c r="BY74" s="37">
        <v>13.4467</v>
      </c>
      <c r="BZ74" s="37">
        <v>13.4467</v>
      </c>
      <c r="CA74" s="37">
        <v>13.4467</v>
      </c>
      <c r="CB74" s="37">
        <v>13.4467</v>
      </c>
      <c r="CC74" s="37">
        <v>13.4467</v>
      </c>
      <c r="CD74" s="37">
        <v>13.4467</v>
      </c>
      <c r="CE74" s="37">
        <v>13.4467</v>
      </c>
      <c r="CF74" s="37">
        <v>13.4467</v>
      </c>
      <c r="CG74" s="37">
        <v>13.4467</v>
      </c>
      <c r="CH74" s="37">
        <v>13.4467</v>
      </c>
      <c r="CI74" s="37">
        <v>13.4467</v>
      </c>
      <c r="CJ74" s="37">
        <v>13.4467</v>
      </c>
      <c r="CK74" s="37">
        <v>13.4467</v>
      </c>
      <c r="CL74" s="37">
        <v>13.4467</v>
      </c>
      <c r="CM74" s="37">
        <v>13.4467</v>
      </c>
      <c r="CN74" s="37">
        <v>13.4467</v>
      </c>
      <c r="CO74" s="37">
        <v>13.4467</v>
      </c>
      <c r="CP74" s="37">
        <v>13.4467</v>
      </c>
      <c r="CQ74" s="37">
        <v>13.4467</v>
      </c>
      <c r="CR74" s="37">
        <v>13.4467</v>
      </c>
      <c r="CS74" s="37">
        <v>13.4467</v>
      </c>
      <c r="CT74" s="37">
        <v>13.4467</v>
      </c>
      <c r="CU74" s="37">
        <v>13.4467</v>
      </c>
      <c r="CV74" s="37">
        <v>13.4467</v>
      </c>
      <c r="CW74" s="37">
        <v>13.4467</v>
      </c>
      <c r="CX74" s="37">
        <v>13.4467</v>
      </c>
      <c r="CY74" s="37">
        <v>13.4467</v>
      </c>
      <c r="CZ74" s="37">
        <v>13.4467</v>
      </c>
      <c r="DA74" s="37">
        <v>13.4467</v>
      </c>
      <c r="DB74" s="37">
        <v>13.4467</v>
      </c>
      <c r="DC74" s="37">
        <v>13.4467</v>
      </c>
      <c r="DD74" s="37">
        <v>13.4467</v>
      </c>
      <c r="DE74" s="37">
        <v>13.4467</v>
      </c>
      <c r="DF74" s="37">
        <v>13.4467</v>
      </c>
      <c r="DG74" s="37">
        <v>13.4467</v>
      </c>
      <c r="DH74" s="37">
        <v>13.4467</v>
      </c>
      <c r="DI74" s="37">
        <v>13.4467</v>
      </c>
      <c r="DJ74" s="37">
        <v>13.4467</v>
      </c>
      <c r="DK74" s="37">
        <v>13.4467</v>
      </c>
      <c r="DL74" s="37">
        <v>13.4467</v>
      </c>
      <c r="DM74" s="37">
        <v>13.4467</v>
      </c>
      <c r="DN74" s="37">
        <v>13.4467</v>
      </c>
      <c r="DO74" s="37">
        <v>13.4467</v>
      </c>
      <c r="DP74" s="37">
        <v>13.4467</v>
      </c>
      <c r="DQ74" s="37">
        <v>13.4467</v>
      </c>
      <c r="DR74" s="37">
        <v>13.4467</v>
      </c>
      <c r="DS74" s="37">
        <v>13.4467</v>
      </c>
      <c r="DT74" s="37">
        <v>13.4467</v>
      </c>
      <c r="DU74" s="37">
        <v>13.4467</v>
      </c>
      <c r="DV74" s="37">
        <v>13.4467</v>
      </c>
      <c r="DW74" s="37">
        <v>13.4467</v>
      </c>
      <c r="DX74" s="37">
        <v>13.4467</v>
      </c>
      <c r="DY74" s="37">
        <v>13.4467</v>
      </c>
      <c r="DZ74" s="37">
        <v>13.4467</v>
      </c>
      <c r="EA74" s="37">
        <v>13.4467</v>
      </c>
      <c r="EB74" s="37">
        <v>13.4467</v>
      </c>
      <c r="EC74" s="37">
        <v>13.4467</v>
      </c>
      <c r="ED74" s="37">
        <v>13.4467</v>
      </c>
      <c r="EE74" s="37">
        <v>13.4467</v>
      </c>
      <c r="EF74" s="37">
        <v>13.4467</v>
      </c>
      <c r="EG74" s="37">
        <v>13.4467</v>
      </c>
      <c r="EH74" s="37">
        <v>13.4467</v>
      </c>
      <c r="EI74" s="37">
        <v>13.4467</v>
      </c>
      <c r="EJ74" s="37">
        <v>13.4467</v>
      </c>
      <c r="EK74" s="37">
        <v>13.4467</v>
      </c>
      <c r="EL74" s="37">
        <v>13.4467</v>
      </c>
      <c r="EM74" s="37">
        <v>13.4467</v>
      </c>
      <c r="EN74" s="37">
        <v>13.4467</v>
      </c>
      <c r="EO74" s="37">
        <v>13.4467</v>
      </c>
      <c r="EP74" s="37">
        <v>13.4467</v>
      </c>
      <c r="EQ74" s="37">
        <v>13.4467</v>
      </c>
      <c r="ER74" s="37">
        <v>13.4467</v>
      </c>
      <c r="ES74" s="37">
        <v>13.4467</v>
      </c>
      <c r="ET74" s="37">
        <v>13.4467</v>
      </c>
      <c r="EU74" s="37">
        <v>13.4467</v>
      </c>
      <c r="EV74" s="37">
        <v>13.4467</v>
      </c>
      <c r="EW74" s="37">
        <v>13.4467</v>
      </c>
      <c r="EX74" s="37">
        <v>13.4467</v>
      </c>
      <c r="EY74" s="37">
        <v>13.4467</v>
      </c>
      <c r="EZ74" s="37">
        <v>13.4467</v>
      </c>
      <c r="FA74" s="37">
        <v>13.4467</v>
      </c>
      <c r="FB74" s="37">
        <v>13.4467</v>
      </c>
      <c r="FC74" s="37">
        <v>13.4467</v>
      </c>
      <c r="FD74" s="37">
        <v>13.4467</v>
      </c>
      <c r="FE74" s="37">
        <v>13.4467</v>
      </c>
      <c r="FF74" s="37">
        <v>13.4467</v>
      </c>
      <c r="FG74" s="37">
        <v>13.4467</v>
      </c>
      <c r="FH74" s="37">
        <v>13.4467</v>
      </c>
      <c r="FI74" s="37">
        <v>13.4467</v>
      </c>
      <c r="FJ74" s="37">
        <v>13.4467</v>
      </c>
      <c r="FK74" s="37">
        <v>13.4467</v>
      </c>
      <c r="FL74" s="37">
        <v>13.4467</v>
      </c>
      <c r="FM74" s="37">
        <v>13.4467</v>
      </c>
      <c r="FN74" s="37">
        <v>13.4467</v>
      </c>
      <c r="FO74" s="37">
        <v>13.4467</v>
      </c>
      <c r="FP74" s="37">
        <v>13.4467</v>
      </c>
      <c r="FQ74" s="37">
        <v>13.4467</v>
      </c>
      <c r="FR74" s="37">
        <v>13.4467</v>
      </c>
      <c r="FS74" s="37">
        <v>13.4467</v>
      </c>
      <c r="FT74" s="37">
        <v>13.4467</v>
      </c>
      <c r="FU74" s="37">
        <v>13.4467</v>
      </c>
      <c r="FV74" s="37">
        <v>13.4467</v>
      </c>
      <c r="FW74" s="37">
        <v>13.4467</v>
      </c>
      <c r="FX74" s="37">
        <v>13.4467</v>
      </c>
      <c r="FY74" s="37">
        <v>13.4467</v>
      </c>
      <c r="FZ74" s="37">
        <v>13.4467</v>
      </c>
      <c r="GA74" s="37">
        <v>13.4467</v>
      </c>
      <c r="GB74" s="37">
        <v>13.4467</v>
      </c>
      <c r="GC74" s="37">
        <v>13.4467</v>
      </c>
      <c r="GD74" s="37">
        <v>13.4467</v>
      </c>
      <c r="GE74" s="37">
        <v>13.4467</v>
      </c>
      <c r="GF74" s="37">
        <v>13.4467</v>
      </c>
      <c r="GG74" s="37">
        <v>13.4467</v>
      </c>
      <c r="GH74" s="37">
        <v>13.4467</v>
      </c>
      <c r="GI74" s="37">
        <v>13.4467</v>
      </c>
      <c r="GJ74" s="37">
        <v>13.4467</v>
      </c>
      <c r="GK74" s="37">
        <v>13.4467</v>
      </c>
      <c r="GL74" s="37">
        <v>13.4467</v>
      </c>
      <c r="GM74" s="37">
        <v>13.4467</v>
      </c>
      <c r="GN74" s="37">
        <v>13.4467</v>
      </c>
      <c r="GO74" s="37">
        <v>13.4467</v>
      </c>
      <c r="GP74" s="37">
        <v>13.4467</v>
      </c>
      <c r="GQ74" s="37">
        <v>13.4467</v>
      </c>
      <c r="GR74" s="37">
        <v>13.4467</v>
      </c>
      <c r="GS74" s="37">
        <v>13.4467</v>
      </c>
      <c r="GT74" s="37">
        <v>13.4467</v>
      </c>
      <c r="GU74" s="37">
        <v>13.4467</v>
      </c>
      <c r="GV74" s="37">
        <v>13.4467</v>
      </c>
      <c r="GW74" s="37">
        <v>13.4467</v>
      </c>
      <c r="GX74" s="37">
        <v>13.4467</v>
      </c>
      <c r="GY74" s="37">
        <v>13.4467</v>
      </c>
      <c r="GZ74" s="37">
        <v>13.4467</v>
      </c>
      <c r="HA74" s="37">
        <v>13.4467</v>
      </c>
      <c r="HB74" s="37">
        <v>13.4467</v>
      </c>
      <c r="HC74" s="37">
        <v>13.4467</v>
      </c>
      <c r="HD74" s="37">
        <v>13.4467</v>
      </c>
      <c r="HE74" s="37">
        <v>13.4467</v>
      </c>
      <c r="HF74" s="37">
        <v>13.4467</v>
      </c>
      <c r="HG74" s="37">
        <v>13.4467</v>
      </c>
      <c r="HH74" s="37">
        <v>13.4467</v>
      </c>
      <c r="HI74" s="37">
        <v>13.4467</v>
      </c>
      <c r="HJ74" s="37">
        <v>13.4467</v>
      </c>
      <c r="HK74" s="37">
        <v>13.4467</v>
      </c>
      <c r="HL74" s="37">
        <v>13.4467</v>
      </c>
      <c r="HM74" s="37">
        <v>13.4467</v>
      </c>
      <c r="HN74" s="37">
        <v>13.4467</v>
      </c>
      <c r="HO74" s="37">
        <v>13.4467</v>
      </c>
      <c r="HP74" s="37">
        <v>13.4467</v>
      </c>
      <c r="HQ74" s="37">
        <v>13.4467</v>
      </c>
      <c r="HR74" s="37">
        <v>13.4467</v>
      </c>
      <c r="HS74" s="37">
        <v>13.4467</v>
      </c>
      <c r="HT74" s="37">
        <v>13.4467</v>
      </c>
      <c r="HU74" s="37">
        <v>13.4467</v>
      </c>
      <c r="HV74" s="37">
        <v>13.4467</v>
      </c>
      <c r="HW74" s="37">
        <v>13.4467</v>
      </c>
      <c r="HX74" s="37">
        <v>13.4467</v>
      </c>
      <c r="HY74" s="37">
        <v>13.4467</v>
      </c>
      <c r="HZ74" s="37">
        <v>13.4467</v>
      </c>
      <c r="IA74" s="37">
        <v>13.4467</v>
      </c>
      <c r="IB74" s="37">
        <v>13.4467</v>
      </c>
      <c r="IC74" s="37">
        <v>13.4467</v>
      </c>
      <c r="ID74" s="37">
        <v>13.4467</v>
      </c>
      <c r="IE74" s="37">
        <v>13.4467</v>
      </c>
      <c r="IF74" s="37">
        <v>13.4467</v>
      </c>
      <c r="IG74" s="37">
        <v>13.4467</v>
      </c>
      <c r="IH74" s="37">
        <v>13.4467</v>
      </c>
      <c r="II74" s="37">
        <v>13.4467</v>
      </c>
      <c r="IJ74" s="37">
        <v>13.4467</v>
      </c>
      <c r="IK74" s="37">
        <v>13.4467</v>
      </c>
      <c r="IL74" s="37">
        <v>13.4467</v>
      </c>
      <c r="IM74" s="37">
        <v>13.4467</v>
      </c>
      <c r="IN74" s="37">
        <v>13.4467</v>
      </c>
      <c r="IO74" s="37">
        <v>13.4467</v>
      </c>
      <c r="IP74" s="37">
        <v>13.4467</v>
      </c>
      <c r="IQ74" s="37">
        <v>13.4467</v>
      </c>
      <c r="IR74" s="37">
        <v>13.4467</v>
      </c>
      <c r="IS74" s="37">
        <v>13.4467</v>
      </c>
      <c r="IT74" s="37">
        <v>13.4467</v>
      </c>
      <c r="IU74" s="37">
        <v>13.4467</v>
      </c>
      <c r="IV74" s="37">
        <v>13.4467</v>
      </c>
      <c r="IW74" s="37">
        <v>13.4467</v>
      </c>
      <c r="IX74" s="37">
        <v>13.4467</v>
      </c>
      <c r="IY74" s="37">
        <v>13.4467</v>
      </c>
      <c r="IZ74" s="37">
        <v>13.4467</v>
      </c>
      <c r="JA74" s="37">
        <v>13.4467</v>
      </c>
      <c r="JB74" s="37">
        <v>13.4467</v>
      </c>
      <c r="JC74" s="37">
        <v>13.4467</v>
      </c>
      <c r="JD74" s="37">
        <v>13.4467</v>
      </c>
      <c r="JE74" s="37">
        <v>13.4467</v>
      </c>
      <c r="JF74" s="37">
        <v>13.4467</v>
      </c>
      <c r="JG74" s="37">
        <v>13.4467</v>
      </c>
      <c r="JH74" s="37">
        <v>13.4467</v>
      </c>
      <c r="JI74" s="37">
        <v>13.4467</v>
      </c>
      <c r="JJ74" s="37">
        <v>13.4467</v>
      </c>
      <c r="JK74" s="37">
        <v>13.4467</v>
      </c>
      <c r="JL74" s="37">
        <v>13.4467</v>
      </c>
      <c r="JM74" s="37">
        <v>13.4467</v>
      </c>
      <c r="JN74" s="37">
        <v>13.4467</v>
      </c>
      <c r="JO74" s="37">
        <v>13.4467</v>
      </c>
      <c r="JP74" s="37">
        <v>13.4467</v>
      </c>
      <c r="JQ74" s="37">
        <v>13.4467</v>
      </c>
      <c r="JR74" s="37">
        <v>13.4467</v>
      </c>
      <c r="JS74" s="37">
        <v>13.4467</v>
      </c>
      <c r="JT74" s="37">
        <v>13.4467</v>
      </c>
      <c r="JU74" s="37">
        <v>13.4467</v>
      </c>
      <c r="JV74" s="37">
        <v>13.4467</v>
      </c>
      <c r="JW74" s="37">
        <v>13.4467</v>
      </c>
      <c r="JX74" s="37">
        <v>13.4467</v>
      </c>
      <c r="JY74" s="37">
        <v>13.4467</v>
      </c>
      <c r="JZ74" s="37">
        <v>13.4467</v>
      </c>
      <c r="KA74" s="37">
        <v>13.4467</v>
      </c>
      <c r="KB74" s="37">
        <v>13.4467</v>
      </c>
      <c r="KC74" s="37">
        <v>13.4467</v>
      </c>
      <c r="KD74" s="37">
        <v>13.4467</v>
      </c>
      <c r="KE74" s="37">
        <v>13.4467</v>
      </c>
      <c r="KF74" s="37">
        <v>13.4467</v>
      </c>
      <c r="KG74" s="37">
        <v>13.4467</v>
      </c>
      <c r="KH74" s="37">
        <v>13.4467</v>
      </c>
      <c r="KI74" s="37">
        <v>13.4467</v>
      </c>
      <c r="KJ74" s="37">
        <v>13.4467</v>
      </c>
      <c r="KK74" s="37">
        <v>13.4467</v>
      </c>
      <c r="KL74" s="37">
        <v>13.4467</v>
      </c>
      <c r="KM74" s="37">
        <v>13.4467</v>
      </c>
      <c r="KN74" s="37">
        <v>13.4467</v>
      </c>
      <c r="KO74" s="37">
        <v>13.4467</v>
      </c>
      <c r="KP74" s="37">
        <v>13.4467</v>
      </c>
      <c r="KQ74" s="37">
        <v>13.4467</v>
      </c>
      <c r="KR74" s="37">
        <v>13.4467</v>
      </c>
      <c r="KS74" s="37">
        <v>13.4467</v>
      </c>
      <c r="KT74" s="37">
        <v>13.4467</v>
      </c>
      <c r="KU74" s="37">
        <v>13.4467</v>
      </c>
      <c r="KV74" s="37">
        <v>13.4467</v>
      </c>
      <c r="KW74" s="37">
        <v>13.4467</v>
      </c>
      <c r="KX74" s="37">
        <v>13.4467</v>
      </c>
      <c r="KY74" s="37">
        <v>13.4467</v>
      </c>
      <c r="KZ74" s="37">
        <v>13.4467</v>
      </c>
      <c r="LA74" s="37">
        <v>13.4467</v>
      </c>
      <c r="LB74" s="37">
        <v>13.4467</v>
      </c>
      <c r="LC74" s="37">
        <v>13.4467</v>
      </c>
      <c r="LD74" s="37">
        <v>13.4467</v>
      </c>
      <c r="LE74" s="37">
        <v>13.4467</v>
      </c>
      <c r="LF74" s="37">
        <v>13.4467</v>
      </c>
      <c r="LG74" s="37">
        <v>13.4467</v>
      </c>
      <c r="LH74" s="37">
        <v>13.4467</v>
      </c>
      <c r="LI74" s="37">
        <v>13.4467</v>
      </c>
      <c r="LJ74" s="37">
        <v>13.4467</v>
      </c>
      <c r="LK74" s="37">
        <v>13.4467</v>
      </c>
      <c r="LL74" s="37">
        <v>13.4467</v>
      </c>
      <c r="LM74" s="37">
        <v>13.4467</v>
      </c>
      <c r="LN74" s="37">
        <v>13.4467</v>
      </c>
      <c r="LO74" s="37">
        <v>13.4467</v>
      </c>
      <c r="LP74" s="37">
        <v>13.4467</v>
      </c>
      <c r="LQ74" s="37">
        <v>13.4467</v>
      </c>
      <c r="LR74" s="37">
        <v>13.4467</v>
      </c>
      <c r="LS74" s="37">
        <v>13.4467</v>
      </c>
      <c r="LT74" s="37">
        <v>13.4467</v>
      </c>
      <c r="LU74" s="37">
        <v>13.4467</v>
      </c>
      <c r="LV74" s="37">
        <v>13.4467</v>
      </c>
      <c r="LW74" s="37">
        <v>13.4467</v>
      </c>
      <c r="LX74" s="37">
        <v>13.4467</v>
      </c>
      <c r="LY74" s="37">
        <v>13.4467</v>
      </c>
      <c r="LZ74" s="37">
        <v>13.4467</v>
      </c>
      <c r="MA74" s="37">
        <v>13.4467</v>
      </c>
      <c r="MB74" s="37">
        <v>13.4467</v>
      </c>
      <c r="MC74" s="37">
        <v>13.4467</v>
      </c>
      <c r="MD74" s="37">
        <v>13.4467</v>
      </c>
      <c r="ME74" s="37">
        <v>13.4467</v>
      </c>
      <c r="MF74" s="37">
        <v>13.4467</v>
      </c>
      <c r="MG74" s="37">
        <v>13.4467</v>
      </c>
      <c r="MH74" s="37">
        <v>13.4467</v>
      </c>
      <c r="MI74" s="37">
        <v>13.4467</v>
      </c>
      <c r="MJ74" s="37">
        <v>13.4467</v>
      </c>
      <c r="MK74" s="37">
        <v>13.4467</v>
      </c>
      <c r="ML74" s="37">
        <v>13.4467</v>
      </c>
      <c r="MM74" s="37">
        <v>13.4467</v>
      </c>
      <c r="MN74" s="37">
        <v>13.4467</v>
      </c>
      <c r="MO74" s="37">
        <v>13.4467</v>
      </c>
      <c r="MP74" s="37">
        <v>13.4467</v>
      </c>
      <c r="MQ74" s="37">
        <v>13.4467</v>
      </c>
      <c r="MR74" s="37">
        <v>13.4467</v>
      </c>
      <c r="MS74" s="37">
        <v>13.4467</v>
      </c>
      <c r="MT74" s="37">
        <v>13.4467</v>
      </c>
      <c r="MU74" s="37">
        <v>13.4467</v>
      </c>
      <c r="MV74" s="37">
        <v>13.4467</v>
      </c>
      <c r="MW74" s="37">
        <v>13.4467</v>
      </c>
      <c r="MX74" s="37">
        <v>13.4467</v>
      </c>
      <c r="MY74" s="37">
        <v>13.4467</v>
      </c>
      <c r="MZ74" s="37">
        <v>13.4467</v>
      </c>
      <c r="NA74" s="37">
        <v>13.4467</v>
      </c>
      <c r="NB74" s="37">
        <v>13.4467</v>
      </c>
      <c r="NC74" s="37">
        <v>13.4467</v>
      </c>
      <c r="ND74" s="37">
        <v>13.4467</v>
      </c>
      <c r="NE74" s="37">
        <v>13.4467</v>
      </c>
      <c r="NF74" s="37">
        <v>13.4467</v>
      </c>
      <c r="NG74" s="37">
        <v>13.4467</v>
      </c>
      <c r="NH74" s="37">
        <v>13.4467</v>
      </c>
      <c r="NI74" s="37">
        <v>13.4467</v>
      </c>
      <c r="NJ74" s="37">
        <v>13.4467</v>
      </c>
      <c r="NK74" s="37">
        <v>13.4467</v>
      </c>
      <c r="NL74" s="37">
        <v>13.4467</v>
      </c>
      <c r="NM74" s="37">
        <v>13.4467</v>
      </c>
      <c r="NN74" s="37">
        <v>13.4467</v>
      </c>
      <c r="NO74" s="37">
        <v>13.4467</v>
      </c>
      <c r="NP74" s="37">
        <v>13.4467</v>
      </c>
      <c r="NQ74" s="37">
        <v>13.4467</v>
      </c>
      <c r="NR74" s="37">
        <v>13.4467</v>
      </c>
      <c r="NS74" s="37">
        <v>13.4467</v>
      </c>
      <c r="NT74" s="37">
        <v>13.4467</v>
      </c>
      <c r="NU74" s="37">
        <v>13.4467</v>
      </c>
      <c r="NV74" s="37">
        <v>13.4467</v>
      </c>
      <c r="NW74" s="37">
        <v>13.4467</v>
      </c>
      <c r="NX74" s="37">
        <v>13.4467</v>
      </c>
      <c r="NY74" s="37">
        <v>13.4467</v>
      </c>
      <c r="NZ74" s="37">
        <v>13.4467</v>
      </c>
      <c r="OA74" s="37">
        <v>13.4467</v>
      </c>
      <c r="OB74" s="37">
        <v>13.4467</v>
      </c>
      <c r="OC74" s="37">
        <v>13.4467</v>
      </c>
      <c r="OD74" s="37">
        <v>13.4467</v>
      </c>
      <c r="OE74" s="37">
        <v>13.4467</v>
      </c>
      <c r="OF74" s="37">
        <v>13.4467</v>
      </c>
      <c r="OG74" s="37">
        <v>13.4467</v>
      </c>
      <c r="OH74" s="37">
        <v>13.4467</v>
      </c>
      <c r="OI74" s="37">
        <v>13.4467</v>
      </c>
      <c r="OJ74" s="37">
        <v>13.4467</v>
      </c>
      <c r="OK74" s="37">
        <v>13.4467</v>
      </c>
      <c r="OL74" s="37">
        <v>13.4467</v>
      </c>
      <c r="OM74" s="37">
        <v>13.4467</v>
      </c>
      <c r="ON74" s="37">
        <v>13.4467</v>
      </c>
      <c r="OO74" s="37">
        <v>13.4467</v>
      </c>
      <c r="OP74" s="37">
        <v>13.4467</v>
      </c>
      <c r="OQ74" s="37">
        <v>13.4467</v>
      </c>
      <c r="OR74" s="37">
        <v>13.4467</v>
      </c>
      <c r="OS74" s="37">
        <v>13.4467</v>
      </c>
      <c r="OT74" s="37">
        <v>13.4467</v>
      </c>
      <c r="OU74" s="37">
        <v>13.4467</v>
      </c>
      <c r="OV74" s="37">
        <v>13.4467</v>
      </c>
      <c r="OW74" s="37">
        <v>13.4467</v>
      </c>
      <c r="OX74" s="37">
        <v>13.4467</v>
      </c>
      <c r="OY74" s="37">
        <v>13.4467</v>
      </c>
      <c r="OZ74" s="37">
        <v>13.4467</v>
      </c>
      <c r="PA74" s="37">
        <v>13.4467</v>
      </c>
      <c r="PB74" s="37">
        <v>13.4467</v>
      </c>
      <c r="PC74" s="37">
        <v>13.4467</v>
      </c>
      <c r="PD74" s="37">
        <v>13.4467</v>
      </c>
      <c r="PE74" s="37">
        <v>13.4467</v>
      </c>
      <c r="PF74" s="37">
        <v>13.4467</v>
      </c>
      <c r="PG74" s="37">
        <v>13.4467</v>
      </c>
      <c r="PH74" s="37">
        <v>13.4467</v>
      </c>
      <c r="PI74" s="37">
        <v>13.4467</v>
      </c>
      <c r="PJ74" s="37">
        <v>13.4467</v>
      </c>
      <c r="PK74" s="37">
        <v>13.4467</v>
      </c>
      <c r="PL74" s="37">
        <v>13.4467</v>
      </c>
      <c r="PM74" s="37">
        <v>13.4467</v>
      </c>
      <c r="PN74" s="37">
        <v>13.4467</v>
      </c>
      <c r="PO74" s="37">
        <v>13.4467</v>
      </c>
      <c r="PP74" s="37">
        <v>13.4467</v>
      </c>
      <c r="PQ74" s="37">
        <v>13.4467</v>
      </c>
      <c r="PR74" s="37">
        <v>13.4467</v>
      </c>
      <c r="PS74" s="15">
        <v>13.4467</v>
      </c>
      <c r="PT74" s="15">
        <v>13.4467</v>
      </c>
      <c r="PU74" s="15">
        <v>13.4467</v>
      </c>
      <c r="PV74" s="15">
        <v>13.4467</v>
      </c>
      <c r="PW74" s="15">
        <v>13.4467</v>
      </c>
      <c r="PX74" s="15">
        <v>13.4467</v>
      </c>
      <c r="PY74" s="15">
        <v>13.4467</v>
      </c>
      <c r="PZ74" s="15">
        <v>13.4467</v>
      </c>
      <c r="QA74" s="15">
        <v>13.4467</v>
      </c>
      <c r="QB74" s="15">
        <v>13.4467</v>
      </c>
      <c r="QC74" s="15">
        <v>13.4467</v>
      </c>
      <c r="QD74" s="15">
        <v>13.4467</v>
      </c>
      <c r="QE74" s="15">
        <v>13.4467</v>
      </c>
      <c r="QF74" s="15">
        <v>14.6546</v>
      </c>
      <c r="QG74" s="15" t="s">
        <v>668</v>
      </c>
      <c r="QH74" s="15" t="s">
        <v>668</v>
      </c>
      <c r="QI74" s="15" t="s">
        <v>668</v>
      </c>
      <c r="QJ74" s="15" t="s">
        <v>668</v>
      </c>
      <c r="QK74" s="15" t="s">
        <v>668</v>
      </c>
      <c r="QL74" s="15" t="s">
        <v>668</v>
      </c>
      <c r="QM74" s="15" t="s">
        <v>668</v>
      </c>
      <c r="QN74" s="15" t="s">
        <v>668</v>
      </c>
      <c r="QO74" s="15" t="s">
        <v>668</v>
      </c>
      <c r="QP74" s="15" t="s">
        <v>668</v>
      </c>
      <c r="QQ74" s="15" t="s">
        <v>668</v>
      </c>
      <c r="QR74" s="15" t="s">
        <v>668</v>
      </c>
      <c r="QS74" s="15" t="s">
        <v>668</v>
      </c>
      <c r="QT74" s="15" t="s">
        <v>668</v>
      </c>
      <c r="QU74" s="15" t="s">
        <v>668</v>
      </c>
      <c r="QV74" s="15" t="s">
        <v>668</v>
      </c>
      <c r="QW74" s="15" t="s">
        <v>668</v>
      </c>
      <c r="QX74" s="15" t="s">
        <v>668</v>
      </c>
      <c r="QY74" s="15" t="s">
        <v>668</v>
      </c>
      <c r="QZ74" s="15" t="s">
        <v>668</v>
      </c>
      <c r="RA74" s="15" t="s">
        <v>668</v>
      </c>
      <c r="RB74" s="15" t="s">
        <v>668</v>
      </c>
      <c r="RC74" s="15" t="s">
        <v>668</v>
      </c>
      <c r="RD74" s="15" t="s">
        <v>668</v>
      </c>
      <c r="RE74" s="15" t="s">
        <v>668</v>
      </c>
      <c r="RF74" s="15" t="s">
        <v>668</v>
      </c>
      <c r="RG74" s="15" t="s">
        <v>668</v>
      </c>
      <c r="RH74" s="15" t="s">
        <v>668</v>
      </c>
      <c r="RI74" s="15" t="s">
        <v>668</v>
      </c>
      <c r="RJ74" s="15" t="s">
        <v>668</v>
      </c>
      <c r="RK74" s="15" t="s">
        <v>668</v>
      </c>
      <c r="RL74" s="15" t="s">
        <v>668</v>
      </c>
      <c r="RM74" s="15" t="s">
        <v>668</v>
      </c>
      <c r="RN74" s="15" t="s">
        <v>668</v>
      </c>
      <c r="RO74" s="15" t="s">
        <v>668</v>
      </c>
      <c r="RP74" s="15" t="s">
        <v>668</v>
      </c>
      <c r="RQ74" s="15" t="s">
        <v>668</v>
      </c>
      <c r="RR74" s="15" t="s">
        <v>668</v>
      </c>
      <c r="RS74" s="15" t="s">
        <v>668</v>
      </c>
      <c r="RT74" s="15" t="s">
        <v>668</v>
      </c>
      <c r="RU74" s="15" t="s">
        <v>668</v>
      </c>
      <c r="RV74" s="15" t="s">
        <v>668</v>
      </c>
      <c r="RW74" s="15" t="s">
        <v>668</v>
      </c>
      <c r="RX74" s="15" t="s">
        <v>668</v>
      </c>
      <c r="RY74" s="15" t="s">
        <v>668</v>
      </c>
      <c r="RZ74" s="15" t="s">
        <v>668</v>
      </c>
      <c r="SA74" s="15" t="s">
        <v>668</v>
      </c>
      <c r="SB74" s="15" t="s">
        <v>668</v>
      </c>
      <c r="SC74" s="15" t="s">
        <v>668</v>
      </c>
      <c r="SD74" s="15" t="s">
        <v>668</v>
      </c>
      <c r="SE74" s="15" t="s">
        <v>668</v>
      </c>
      <c r="SF74" s="15" t="s">
        <v>668</v>
      </c>
      <c r="SG74" s="15" t="s">
        <v>668</v>
      </c>
      <c r="SH74" s="15" t="s">
        <v>668</v>
      </c>
      <c r="SI74" s="15" t="s">
        <v>668</v>
      </c>
      <c r="SJ74" s="15" t="s">
        <v>668</v>
      </c>
      <c r="SK74" s="15" t="s">
        <v>668</v>
      </c>
      <c r="SL74" s="15" t="s">
        <v>668</v>
      </c>
      <c r="SM74" s="15" t="s">
        <v>668</v>
      </c>
      <c r="SN74" s="15" t="s">
        <v>668</v>
      </c>
      <c r="SO74" s="15" t="s">
        <v>668</v>
      </c>
    </row>
    <row r="75" spans="1:509" x14ac:dyDescent="0.2">
      <c r="A75" s="37">
        <v>73</v>
      </c>
      <c r="B75" s="37" t="s">
        <v>844</v>
      </c>
      <c r="C75" s="17">
        <f>+'Detalle Compras'!D75</f>
        <v>202509050107</v>
      </c>
      <c r="D75" s="55">
        <f t="shared" si="16"/>
        <v>13.19455</v>
      </c>
      <c r="E75" s="14">
        <f>+IF(B75="","",'Detalle Compras'!S75+0)</f>
        <v>45971</v>
      </c>
      <c r="F75" s="14">
        <f>+IF(B75="","",EOMONTH('Detalle Compras'!S75,G75)+10)</f>
        <v>56958</v>
      </c>
      <c r="G75" s="50">
        <f t="shared" si="17"/>
        <v>360</v>
      </c>
      <c r="H75" s="50">
        <f t="shared" si="18"/>
        <v>357</v>
      </c>
      <c r="AC75" s="37">
        <v>13.19455</v>
      </c>
      <c r="AD75" s="37">
        <v>13.19455</v>
      </c>
      <c r="AE75" s="37">
        <v>13.19455</v>
      </c>
      <c r="AF75" s="37">
        <v>13.19455</v>
      </c>
      <c r="AG75" s="37">
        <v>13.19455</v>
      </c>
      <c r="AH75" s="37">
        <v>13.19455</v>
      </c>
      <c r="AI75" s="37">
        <v>13.19455</v>
      </c>
      <c r="AJ75" s="37">
        <v>13.19455</v>
      </c>
      <c r="AK75" s="37">
        <v>13.19455</v>
      </c>
      <c r="AL75" s="37">
        <v>13.19455</v>
      </c>
      <c r="AM75" s="37">
        <v>13.19455</v>
      </c>
      <c r="AN75" s="37">
        <v>13.19455</v>
      </c>
      <c r="AO75" s="37">
        <v>13.19455</v>
      </c>
      <c r="AP75" s="37">
        <v>13.19455</v>
      </c>
      <c r="AQ75" s="37">
        <v>13.19455</v>
      </c>
      <c r="AR75" s="37">
        <v>13.19455</v>
      </c>
      <c r="AS75" s="37">
        <v>13.19455</v>
      </c>
      <c r="AT75" s="37">
        <v>13.19455</v>
      </c>
      <c r="AU75" s="37">
        <v>13.19455</v>
      </c>
      <c r="AV75" s="37">
        <v>13.19455</v>
      </c>
      <c r="AW75" s="37">
        <v>13.19455</v>
      </c>
      <c r="AX75" s="37">
        <v>13.19455</v>
      </c>
      <c r="AY75" s="37">
        <v>13.19455</v>
      </c>
      <c r="AZ75" s="37">
        <v>13.19455</v>
      </c>
      <c r="BA75" s="37">
        <v>13.19455</v>
      </c>
      <c r="BB75" s="37">
        <v>13.19455</v>
      </c>
      <c r="BC75" s="37">
        <v>13.19455</v>
      </c>
      <c r="BD75" s="37">
        <v>13.19455</v>
      </c>
      <c r="BE75" s="37">
        <v>13.19455</v>
      </c>
      <c r="BF75" s="37">
        <v>13.19455</v>
      </c>
      <c r="BG75" s="37">
        <v>13.19455</v>
      </c>
      <c r="BH75" s="37">
        <v>13.19455</v>
      </c>
      <c r="BI75" s="37">
        <v>13.19455</v>
      </c>
      <c r="BJ75" s="37">
        <v>13.19455</v>
      </c>
      <c r="BK75" s="37">
        <v>13.19455</v>
      </c>
      <c r="BL75" s="37">
        <v>13.19455</v>
      </c>
      <c r="BM75" s="37">
        <v>13.19455</v>
      </c>
      <c r="BN75" s="37">
        <v>13.19455</v>
      </c>
      <c r="BO75" s="37">
        <v>13.19455</v>
      </c>
      <c r="BP75" s="37">
        <v>13.19455</v>
      </c>
      <c r="BQ75" s="37">
        <v>13.19455</v>
      </c>
      <c r="BR75" s="37">
        <v>13.19455</v>
      </c>
      <c r="BS75" s="37">
        <v>13.19455</v>
      </c>
      <c r="BT75" s="37">
        <v>13.19455</v>
      </c>
      <c r="BU75" s="37">
        <v>13.19455</v>
      </c>
      <c r="BV75" s="37">
        <v>13.19455</v>
      </c>
      <c r="BW75" s="37">
        <v>13.19455</v>
      </c>
      <c r="BX75" s="37">
        <v>13.19455</v>
      </c>
      <c r="BY75" s="37">
        <v>13.19455</v>
      </c>
      <c r="BZ75" s="37">
        <v>13.19455</v>
      </c>
      <c r="CA75" s="37">
        <v>13.19455</v>
      </c>
      <c r="CB75" s="37">
        <v>13.19455</v>
      </c>
      <c r="CC75" s="37">
        <v>13.19455</v>
      </c>
      <c r="CD75" s="37">
        <v>13.19455</v>
      </c>
      <c r="CE75" s="37">
        <v>13.19455</v>
      </c>
      <c r="CF75" s="37">
        <v>13.19455</v>
      </c>
      <c r="CG75" s="37">
        <v>13.19455</v>
      </c>
      <c r="CH75" s="37">
        <v>13.19455</v>
      </c>
      <c r="CI75" s="37">
        <v>13.19455</v>
      </c>
      <c r="CJ75" s="37">
        <v>13.19455</v>
      </c>
      <c r="CK75" s="37">
        <v>13.19455</v>
      </c>
      <c r="CL75" s="37">
        <v>13.19455</v>
      </c>
      <c r="CM75" s="37">
        <v>13.19455</v>
      </c>
      <c r="CN75" s="37">
        <v>13.19455</v>
      </c>
      <c r="CO75" s="37">
        <v>13.19455</v>
      </c>
      <c r="CP75" s="37">
        <v>13.19455</v>
      </c>
      <c r="CQ75" s="37">
        <v>13.19455</v>
      </c>
      <c r="CR75" s="37">
        <v>13.19455</v>
      </c>
      <c r="CS75" s="37">
        <v>13.19455</v>
      </c>
      <c r="CT75" s="37">
        <v>13.19455</v>
      </c>
      <c r="CU75" s="37">
        <v>13.19455</v>
      </c>
      <c r="CV75" s="37">
        <v>13.19455</v>
      </c>
      <c r="CW75" s="37">
        <v>13.19455</v>
      </c>
      <c r="CX75" s="37">
        <v>13.19455</v>
      </c>
      <c r="CY75" s="37">
        <v>13.19455</v>
      </c>
      <c r="CZ75" s="37">
        <v>13.19455</v>
      </c>
      <c r="DA75" s="37">
        <v>13.19455</v>
      </c>
      <c r="DB75" s="37">
        <v>13.19455</v>
      </c>
      <c r="DC75" s="37">
        <v>13.19455</v>
      </c>
      <c r="DD75" s="37">
        <v>13.19455</v>
      </c>
      <c r="DE75" s="37">
        <v>13.19455</v>
      </c>
      <c r="DF75" s="37">
        <v>13.19455</v>
      </c>
      <c r="DG75" s="37">
        <v>13.19455</v>
      </c>
      <c r="DH75" s="37">
        <v>13.19455</v>
      </c>
      <c r="DI75" s="37">
        <v>13.19455</v>
      </c>
      <c r="DJ75" s="37">
        <v>13.19455</v>
      </c>
      <c r="DK75" s="37">
        <v>13.19455</v>
      </c>
      <c r="DL75" s="37">
        <v>13.19455</v>
      </c>
      <c r="DM75" s="37">
        <v>13.19455</v>
      </c>
      <c r="DN75" s="37">
        <v>13.19455</v>
      </c>
      <c r="DO75" s="37">
        <v>13.19455</v>
      </c>
      <c r="DP75" s="37">
        <v>13.19455</v>
      </c>
      <c r="DQ75" s="37">
        <v>13.19455</v>
      </c>
      <c r="DR75" s="37">
        <v>13.19455</v>
      </c>
      <c r="DS75" s="37">
        <v>13.19455</v>
      </c>
      <c r="DT75" s="37">
        <v>13.19455</v>
      </c>
      <c r="DU75" s="37">
        <v>13.19455</v>
      </c>
      <c r="DV75" s="37">
        <v>13.19455</v>
      </c>
      <c r="DW75" s="37">
        <v>13.19455</v>
      </c>
      <c r="DX75" s="37">
        <v>13.19455</v>
      </c>
      <c r="DY75" s="37">
        <v>13.19455</v>
      </c>
      <c r="DZ75" s="37">
        <v>13.19455</v>
      </c>
      <c r="EA75" s="37">
        <v>13.19455</v>
      </c>
      <c r="EB75" s="37">
        <v>13.19455</v>
      </c>
      <c r="EC75" s="37">
        <v>13.19455</v>
      </c>
      <c r="ED75" s="37">
        <v>13.19455</v>
      </c>
      <c r="EE75" s="37">
        <v>13.19455</v>
      </c>
      <c r="EF75" s="37">
        <v>13.19455</v>
      </c>
      <c r="EG75" s="37">
        <v>13.19455</v>
      </c>
      <c r="EH75" s="37">
        <v>13.19455</v>
      </c>
      <c r="EI75" s="37">
        <v>13.19455</v>
      </c>
      <c r="EJ75" s="37">
        <v>13.19455</v>
      </c>
      <c r="EK75" s="37">
        <v>13.19455</v>
      </c>
      <c r="EL75" s="37">
        <v>13.19455</v>
      </c>
      <c r="EM75" s="37">
        <v>13.19455</v>
      </c>
      <c r="EN75" s="37">
        <v>13.19455</v>
      </c>
      <c r="EO75" s="37">
        <v>13.19455</v>
      </c>
      <c r="EP75" s="37">
        <v>13.19455</v>
      </c>
      <c r="EQ75" s="37">
        <v>13.19455</v>
      </c>
      <c r="ER75" s="37">
        <v>13.19455</v>
      </c>
      <c r="ES75" s="37">
        <v>13.19455</v>
      </c>
      <c r="ET75" s="37">
        <v>13.19455</v>
      </c>
      <c r="EU75" s="37">
        <v>13.19455</v>
      </c>
      <c r="EV75" s="37">
        <v>13.19455</v>
      </c>
      <c r="EW75" s="37">
        <v>13.19455</v>
      </c>
      <c r="EX75" s="37">
        <v>13.19455</v>
      </c>
      <c r="EY75" s="37">
        <v>13.19455</v>
      </c>
      <c r="EZ75" s="37">
        <v>13.19455</v>
      </c>
      <c r="FA75" s="37">
        <v>13.19455</v>
      </c>
      <c r="FB75" s="37">
        <v>13.19455</v>
      </c>
      <c r="FC75" s="37">
        <v>13.19455</v>
      </c>
      <c r="FD75" s="37">
        <v>13.19455</v>
      </c>
      <c r="FE75" s="37">
        <v>13.19455</v>
      </c>
      <c r="FF75" s="37">
        <v>13.19455</v>
      </c>
      <c r="FG75" s="37">
        <v>13.19455</v>
      </c>
      <c r="FH75" s="37">
        <v>13.19455</v>
      </c>
      <c r="FI75" s="37">
        <v>13.19455</v>
      </c>
      <c r="FJ75" s="37">
        <v>13.19455</v>
      </c>
      <c r="FK75" s="37">
        <v>13.19455</v>
      </c>
      <c r="FL75" s="37">
        <v>13.19455</v>
      </c>
      <c r="FM75" s="37">
        <v>13.19455</v>
      </c>
      <c r="FN75" s="37">
        <v>13.19455</v>
      </c>
      <c r="FO75" s="37">
        <v>13.19455</v>
      </c>
      <c r="FP75" s="37">
        <v>13.19455</v>
      </c>
      <c r="FQ75" s="37">
        <v>13.19455</v>
      </c>
      <c r="FR75" s="37">
        <v>13.19455</v>
      </c>
      <c r="FS75" s="37">
        <v>13.19455</v>
      </c>
      <c r="FT75" s="37">
        <v>13.19455</v>
      </c>
      <c r="FU75" s="37">
        <v>13.19455</v>
      </c>
      <c r="FV75" s="37">
        <v>13.19455</v>
      </c>
      <c r="FW75" s="37">
        <v>13.19455</v>
      </c>
      <c r="FX75" s="37">
        <v>13.19455</v>
      </c>
      <c r="FY75" s="37">
        <v>13.19455</v>
      </c>
      <c r="FZ75" s="37">
        <v>13.19455</v>
      </c>
      <c r="GA75" s="37">
        <v>13.19455</v>
      </c>
      <c r="GB75" s="37">
        <v>13.19455</v>
      </c>
      <c r="GC75" s="37">
        <v>13.19455</v>
      </c>
      <c r="GD75" s="37">
        <v>13.19455</v>
      </c>
      <c r="GE75" s="37">
        <v>13.19455</v>
      </c>
      <c r="GF75" s="37">
        <v>13.19455</v>
      </c>
      <c r="GG75" s="37">
        <v>13.19455</v>
      </c>
      <c r="GH75" s="37">
        <v>13.19455</v>
      </c>
      <c r="GI75" s="37">
        <v>13.19455</v>
      </c>
      <c r="GJ75" s="37">
        <v>13.19455</v>
      </c>
      <c r="GK75" s="37">
        <v>13.19455</v>
      </c>
      <c r="GL75" s="37">
        <v>13.19455</v>
      </c>
      <c r="GM75" s="37">
        <v>13.19455</v>
      </c>
      <c r="GN75" s="37">
        <v>13.19455</v>
      </c>
      <c r="GO75" s="37">
        <v>13.19455</v>
      </c>
      <c r="GP75" s="37">
        <v>13.19455</v>
      </c>
      <c r="GQ75" s="37">
        <v>13.19455</v>
      </c>
      <c r="GR75" s="37">
        <v>13.19455</v>
      </c>
      <c r="GS75" s="37">
        <v>13.19455</v>
      </c>
      <c r="GT75" s="37">
        <v>13.19455</v>
      </c>
      <c r="GU75" s="37">
        <v>13.19455</v>
      </c>
      <c r="GV75" s="37">
        <v>13.19455</v>
      </c>
      <c r="GW75" s="37">
        <v>13.19455</v>
      </c>
      <c r="GX75" s="37">
        <v>13.19455</v>
      </c>
      <c r="GY75" s="37">
        <v>13.19455</v>
      </c>
      <c r="GZ75" s="37">
        <v>13.19455</v>
      </c>
      <c r="HA75" s="37">
        <v>13.19455</v>
      </c>
      <c r="HB75" s="37">
        <v>13.19455</v>
      </c>
      <c r="HC75" s="37">
        <v>13.19455</v>
      </c>
      <c r="HD75" s="37">
        <v>13.19455</v>
      </c>
      <c r="HE75" s="37">
        <v>13.19455</v>
      </c>
      <c r="HF75" s="37">
        <v>13.19455</v>
      </c>
      <c r="HG75" s="37">
        <v>13.19455</v>
      </c>
      <c r="HH75" s="37">
        <v>13.19455</v>
      </c>
      <c r="HI75" s="37">
        <v>13.19455</v>
      </c>
      <c r="HJ75" s="37">
        <v>13.19455</v>
      </c>
      <c r="HK75" s="37">
        <v>13.19455</v>
      </c>
      <c r="HL75" s="37">
        <v>13.19455</v>
      </c>
      <c r="HM75" s="37">
        <v>13.19455</v>
      </c>
      <c r="HN75" s="37">
        <v>13.19455</v>
      </c>
      <c r="HO75" s="37">
        <v>13.19455</v>
      </c>
      <c r="HP75" s="37">
        <v>13.19455</v>
      </c>
      <c r="HQ75" s="37">
        <v>13.19455</v>
      </c>
      <c r="HR75" s="37">
        <v>13.19455</v>
      </c>
      <c r="HS75" s="37">
        <v>13.19455</v>
      </c>
      <c r="HT75" s="37">
        <v>13.19455</v>
      </c>
      <c r="HU75" s="37">
        <v>13.19455</v>
      </c>
      <c r="HV75" s="37">
        <v>13.19455</v>
      </c>
      <c r="HW75" s="37">
        <v>13.19455</v>
      </c>
      <c r="HX75" s="37">
        <v>13.19455</v>
      </c>
      <c r="HY75" s="37">
        <v>13.19455</v>
      </c>
      <c r="HZ75" s="37">
        <v>13.19455</v>
      </c>
      <c r="IA75" s="37">
        <v>13.19455</v>
      </c>
      <c r="IB75" s="37">
        <v>13.19455</v>
      </c>
      <c r="IC75" s="37">
        <v>13.19455</v>
      </c>
      <c r="ID75" s="37">
        <v>13.19455</v>
      </c>
      <c r="IE75" s="37">
        <v>13.19455</v>
      </c>
      <c r="IF75" s="37">
        <v>13.19455</v>
      </c>
      <c r="IG75" s="37">
        <v>13.19455</v>
      </c>
      <c r="IH75" s="37">
        <v>13.19455</v>
      </c>
      <c r="II75" s="37">
        <v>13.19455</v>
      </c>
      <c r="IJ75" s="37">
        <v>13.19455</v>
      </c>
      <c r="IK75" s="37">
        <v>13.19455</v>
      </c>
      <c r="IL75" s="37">
        <v>13.19455</v>
      </c>
      <c r="IM75" s="37">
        <v>13.19455</v>
      </c>
      <c r="IN75" s="37">
        <v>13.19455</v>
      </c>
      <c r="IO75" s="37">
        <v>13.19455</v>
      </c>
      <c r="IP75" s="37">
        <v>13.19455</v>
      </c>
      <c r="IQ75" s="37">
        <v>13.19455</v>
      </c>
      <c r="IR75" s="37">
        <v>13.19455</v>
      </c>
      <c r="IS75" s="37">
        <v>13.19455</v>
      </c>
      <c r="IT75" s="37">
        <v>13.19455</v>
      </c>
      <c r="IU75" s="37">
        <v>13.19455</v>
      </c>
      <c r="IV75" s="37">
        <v>13.19455</v>
      </c>
      <c r="IW75" s="37">
        <v>13.19455</v>
      </c>
      <c r="IX75" s="37">
        <v>13.19455</v>
      </c>
      <c r="IY75" s="37">
        <v>13.19455</v>
      </c>
      <c r="IZ75" s="37">
        <v>13.19455</v>
      </c>
      <c r="JA75" s="37">
        <v>13.19455</v>
      </c>
      <c r="JB75" s="37">
        <v>13.19455</v>
      </c>
      <c r="JC75" s="37">
        <v>13.19455</v>
      </c>
      <c r="JD75" s="37">
        <v>13.19455</v>
      </c>
      <c r="JE75" s="37">
        <v>13.19455</v>
      </c>
      <c r="JF75" s="37">
        <v>13.19455</v>
      </c>
      <c r="JG75" s="37">
        <v>13.19455</v>
      </c>
      <c r="JH75" s="37">
        <v>13.19455</v>
      </c>
      <c r="JI75" s="37">
        <v>13.19455</v>
      </c>
      <c r="JJ75" s="37">
        <v>13.19455</v>
      </c>
      <c r="JK75" s="37">
        <v>13.19455</v>
      </c>
      <c r="JL75" s="37">
        <v>13.19455</v>
      </c>
      <c r="JM75" s="37">
        <v>13.19455</v>
      </c>
      <c r="JN75" s="37">
        <v>13.19455</v>
      </c>
      <c r="JO75" s="37">
        <v>13.19455</v>
      </c>
      <c r="JP75" s="37">
        <v>13.19455</v>
      </c>
      <c r="JQ75" s="37">
        <v>13.19455</v>
      </c>
      <c r="JR75" s="37">
        <v>13.19455</v>
      </c>
      <c r="JS75" s="37">
        <v>13.19455</v>
      </c>
      <c r="JT75" s="37">
        <v>13.19455</v>
      </c>
      <c r="JU75" s="37">
        <v>13.19455</v>
      </c>
      <c r="JV75" s="37">
        <v>13.19455</v>
      </c>
      <c r="JW75" s="37">
        <v>13.19455</v>
      </c>
      <c r="JX75" s="37">
        <v>13.19455</v>
      </c>
      <c r="JY75" s="37">
        <v>13.19455</v>
      </c>
      <c r="JZ75" s="37">
        <v>13.19455</v>
      </c>
      <c r="KA75" s="37">
        <v>13.19455</v>
      </c>
      <c r="KB75" s="37">
        <v>13.19455</v>
      </c>
      <c r="KC75" s="37">
        <v>13.19455</v>
      </c>
      <c r="KD75" s="37">
        <v>13.19455</v>
      </c>
      <c r="KE75" s="37">
        <v>13.19455</v>
      </c>
      <c r="KF75" s="37">
        <v>13.19455</v>
      </c>
      <c r="KG75" s="37">
        <v>13.19455</v>
      </c>
      <c r="KH75" s="37">
        <v>13.19455</v>
      </c>
      <c r="KI75" s="37">
        <v>13.19455</v>
      </c>
      <c r="KJ75" s="37">
        <v>13.19455</v>
      </c>
      <c r="KK75" s="37">
        <v>13.19455</v>
      </c>
      <c r="KL75" s="37">
        <v>13.19455</v>
      </c>
      <c r="KM75" s="37">
        <v>13.19455</v>
      </c>
      <c r="KN75" s="37">
        <v>13.19455</v>
      </c>
      <c r="KO75" s="37">
        <v>13.19455</v>
      </c>
      <c r="KP75" s="37">
        <v>13.19455</v>
      </c>
      <c r="KQ75" s="37">
        <v>13.19455</v>
      </c>
      <c r="KR75" s="37">
        <v>13.19455</v>
      </c>
      <c r="KS75" s="37">
        <v>13.19455</v>
      </c>
      <c r="KT75" s="37">
        <v>13.19455</v>
      </c>
      <c r="KU75" s="37">
        <v>13.19455</v>
      </c>
      <c r="KV75" s="37">
        <v>13.19455</v>
      </c>
      <c r="KW75" s="37">
        <v>13.19455</v>
      </c>
      <c r="KX75" s="37">
        <v>13.19455</v>
      </c>
      <c r="KY75" s="37">
        <v>13.19455</v>
      </c>
      <c r="KZ75" s="37">
        <v>13.19455</v>
      </c>
      <c r="LA75" s="37">
        <v>13.19455</v>
      </c>
      <c r="LB75" s="37">
        <v>13.19455</v>
      </c>
      <c r="LC75" s="37">
        <v>13.19455</v>
      </c>
      <c r="LD75" s="37">
        <v>13.19455</v>
      </c>
      <c r="LE75" s="37">
        <v>13.19455</v>
      </c>
      <c r="LF75" s="37">
        <v>13.19455</v>
      </c>
      <c r="LG75" s="37">
        <v>13.19455</v>
      </c>
      <c r="LH75" s="37">
        <v>13.19455</v>
      </c>
      <c r="LI75" s="37">
        <v>13.19455</v>
      </c>
      <c r="LJ75" s="37">
        <v>13.19455</v>
      </c>
      <c r="LK75" s="37">
        <v>13.19455</v>
      </c>
      <c r="LL75" s="37">
        <v>13.19455</v>
      </c>
      <c r="LM75" s="37">
        <v>13.19455</v>
      </c>
      <c r="LN75" s="37">
        <v>13.19455</v>
      </c>
      <c r="LO75" s="37">
        <v>13.19455</v>
      </c>
      <c r="LP75" s="37">
        <v>13.19455</v>
      </c>
      <c r="LQ75" s="37">
        <v>13.19455</v>
      </c>
      <c r="LR75" s="37">
        <v>13.19455</v>
      </c>
      <c r="LS75" s="37">
        <v>13.19455</v>
      </c>
      <c r="LT75" s="37">
        <v>13.19455</v>
      </c>
      <c r="LU75" s="37">
        <v>13.19455</v>
      </c>
      <c r="LV75" s="37">
        <v>13.19455</v>
      </c>
      <c r="LW75" s="37">
        <v>13.19455</v>
      </c>
      <c r="LX75" s="37">
        <v>13.19455</v>
      </c>
      <c r="LY75" s="37">
        <v>13.19455</v>
      </c>
      <c r="LZ75" s="37">
        <v>13.19455</v>
      </c>
      <c r="MA75" s="37">
        <v>13.19455</v>
      </c>
      <c r="MB75" s="37">
        <v>13.19455</v>
      </c>
      <c r="MC75" s="37">
        <v>13.19455</v>
      </c>
      <c r="MD75" s="37">
        <v>13.19455</v>
      </c>
      <c r="ME75" s="37">
        <v>13.19455</v>
      </c>
      <c r="MF75" s="37">
        <v>13.19455</v>
      </c>
      <c r="MG75" s="37">
        <v>13.19455</v>
      </c>
      <c r="MH75" s="37">
        <v>13.19455</v>
      </c>
      <c r="MI75" s="37">
        <v>13.19455</v>
      </c>
      <c r="MJ75" s="37">
        <v>13.19455</v>
      </c>
      <c r="MK75" s="37">
        <v>13.19455</v>
      </c>
      <c r="ML75" s="37">
        <v>13.19455</v>
      </c>
      <c r="MM75" s="37">
        <v>13.19455</v>
      </c>
      <c r="MN75" s="37">
        <v>13.19455</v>
      </c>
      <c r="MO75" s="37">
        <v>13.19455</v>
      </c>
      <c r="MP75" s="37">
        <v>13.19455</v>
      </c>
      <c r="MQ75" s="37">
        <v>13.19455</v>
      </c>
      <c r="MR75" s="37">
        <v>13.19455</v>
      </c>
      <c r="MS75" s="37">
        <v>13.19455</v>
      </c>
      <c r="MT75" s="37">
        <v>13.19455</v>
      </c>
      <c r="MU75" s="37">
        <v>13.19455</v>
      </c>
      <c r="MV75" s="37">
        <v>13.19455</v>
      </c>
      <c r="MW75" s="37">
        <v>13.19455</v>
      </c>
      <c r="MX75" s="37">
        <v>13.19455</v>
      </c>
      <c r="MY75" s="37">
        <v>13.19455</v>
      </c>
      <c r="MZ75" s="37">
        <v>13.19455</v>
      </c>
      <c r="NA75" s="37">
        <v>13.19455</v>
      </c>
      <c r="NB75" s="37">
        <v>13.19455</v>
      </c>
      <c r="NC75" s="37">
        <v>13.19455</v>
      </c>
      <c r="ND75" s="37">
        <v>13.19455</v>
      </c>
      <c r="NE75" s="37">
        <v>13.19455</v>
      </c>
      <c r="NF75" s="37">
        <v>13.19455</v>
      </c>
      <c r="NG75" s="37">
        <v>13.19455</v>
      </c>
      <c r="NH75" s="37">
        <v>13.19455</v>
      </c>
      <c r="NI75" s="37">
        <v>13.19455</v>
      </c>
      <c r="NJ75" s="37">
        <v>13.19455</v>
      </c>
      <c r="NK75" s="37">
        <v>13.19455</v>
      </c>
      <c r="NL75" s="37">
        <v>13.19455</v>
      </c>
      <c r="NM75" s="37">
        <v>13.19455</v>
      </c>
      <c r="NN75" s="37">
        <v>13.19455</v>
      </c>
      <c r="NO75" s="37">
        <v>13.19455</v>
      </c>
      <c r="NP75" s="37">
        <v>13.19455</v>
      </c>
      <c r="NQ75" s="37">
        <v>13.19455</v>
      </c>
      <c r="NR75" s="37">
        <v>13.19455</v>
      </c>
      <c r="NS75" s="37">
        <v>13.19455</v>
      </c>
      <c r="NT75" s="37">
        <v>13.19455</v>
      </c>
      <c r="NU75" s="37">
        <v>13.19455</v>
      </c>
      <c r="NV75" s="37">
        <v>13.19455</v>
      </c>
      <c r="NW75" s="37">
        <v>13.19455</v>
      </c>
      <c r="NX75" s="37">
        <v>14.153449999999999</v>
      </c>
      <c r="NY75" s="37" t="s">
        <v>668</v>
      </c>
      <c r="NZ75" s="37" t="s">
        <v>668</v>
      </c>
      <c r="OA75" s="37" t="s">
        <v>668</v>
      </c>
      <c r="OB75" s="37" t="s">
        <v>668</v>
      </c>
      <c r="OC75" s="37" t="s">
        <v>668</v>
      </c>
      <c r="OD75" s="37" t="s">
        <v>668</v>
      </c>
      <c r="OE75" s="37" t="s">
        <v>668</v>
      </c>
      <c r="OF75" s="37" t="s">
        <v>668</v>
      </c>
      <c r="OG75" s="37" t="s">
        <v>668</v>
      </c>
      <c r="OH75" s="37" t="s">
        <v>668</v>
      </c>
      <c r="OI75" s="37" t="s">
        <v>668</v>
      </c>
      <c r="OJ75" s="37" t="s">
        <v>668</v>
      </c>
      <c r="OK75" s="37" t="s">
        <v>668</v>
      </c>
      <c r="OL75" s="37" t="s">
        <v>668</v>
      </c>
      <c r="OM75" s="37" t="s">
        <v>668</v>
      </c>
      <c r="ON75" s="37" t="s">
        <v>668</v>
      </c>
      <c r="OO75" s="37" t="s">
        <v>668</v>
      </c>
      <c r="OP75" s="37" t="s">
        <v>668</v>
      </c>
      <c r="OQ75" s="37" t="s">
        <v>668</v>
      </c>
      <c r="OR75" s="37" t="s">
        <v>668</v>
      </c>
      <c r="OS75" s="37" t="s">
        <v>668</v>
      </c>
      <c r="OT75" s="37" t="s">
        <v>668</v>
      </c>
      <c r="OU75" s="37" t="s">
        <v>668</v>
      </c>
      <c r="OV75" s="37" t="s">
        <v>668</v>
      </c>
      <c r="OW75" s="37" t="s">
        <v>668</v>
      </c>
      <c r="OX75" s="37" t="s">
        <v>668</v>
      </c>
      <c r="OY75" s="37" t="s">
        <v>668</v>
      </c>
      <c r="OZ75" s="37" t="s">
        <v>668</v>
      </c>
      <c r="PA75" s="37" t="s">
        <v>668</v>
      </c>
      <c r="PB75" s="37" t="s">
        <v>668</v>
      </c>
      <c r="PC75" s="37" t="s">
        <v>668</v>
      </c>
      <c r="PD75" s="37" t="s">
        <v>668</v>
      </c>
      <c r="PE75" s="37" t="s">
        <v>668</v>
      </c>
      <c r="PF75" s="37" t="s">
        <v>668</v>
      </c>
      <c r="PG75" s="37" t="s">
        <v>668</v>
      </c>
      <c r="PH75" s="37" t="s">
        <v>668</v>
      </c>
      <c r="PI75" s="37" t="s">
        <v>668</v>
      </c>
      <c r="PJ75" s="37" t="s">
        <v>668</v>
      </c>
      <c r="PK75" s="37" t="s">
        <v>668</v>
      </c>
      <c r="PL75" s="37" t="s">
        <v>668</v>
      </c>
      <c r="PM75" s="37" t="s">
        <v>668</v>
      </c>
      <c r="PN75" s="37" t="s">
        <v>668</v>
      </c>
      <c r="PO75" s="37" t="s">
        <v>668</v>
      </c>
      <c r="PP75" s="37" t="s">
        <v>668</v>
      </c>
      <c r="PQ75" s="37" t="s">
        <v>668</v>
      </c>
      <c r="PR75" s="37" t="s">
        <v>668</v>
      </c>
      <c r="PS75" s="15" t="s">
        <v>668</v>
      </c>
      <c r="PT75" s="15" t="s">
        <v>668</v>
      </c>
      <c r="PU75" s="15" t="s">
        <v>668</v>
      </c>
      <c r="PV75" s="15" t="s">
        <v>668</v>
      </c>
      <c r="PW75" s="15" t="s">
        <v>668</v>
      </c>
      <c r="PX75" s="15" t="s">
        <v>668</v>
      </c>
      <c r="PY75" s="15" t="s">
        <v>668</v>
      </c>
      <c r="PZ75" s="15" t="s">
        <v>668</v>
      </c>
      <c r="QA75" s="15" t="s">
        <v>668</v>
      </c>
      <c r="QB75" s="15" t="s">
        <v>668</v>
      </c>
      <c r="QC75" s="15" t="s">
        <v>668</v>
      </c>
      <c r="QD75" s="15" t="s">
        <v>668</v>
      </c>
      <c r="QE75" s="15" t="s">
        <v>668</v>
      </c>
      <c r="QF75" s="15" t="s">
        <v>668</v>
      </c>
      <c r="QG75" s="15" t="s">
        <v>668</v>
      </c>
      <c r="QH75" s="15" t="s">
        <v>668</v>
      </c>
      <c r="QI75" s="15" t="s">
        <v>668</v>
      </c>
      <c r="QJ75" s="15" t="s">
        <v>668</v>
      </c>
      <c r="QK75" s="15" t="s">
        <v>668</v>
      </c>
      <c r="QL75" s="15" t="s">
        <v>668</v>
      </c>
      <c r="QM75" s="15" t="s">
        <v>668</v>
      </c>
      <c r="QN75" s="15" t="s">
        <v>668</v>
      </c>
      <c r="QO75" s="15" t="s">
        <v>668</v>
      </c>
      <c r="QP75" s="15" t="s">
        <v>668</v>
      </c>
      <c r="QQ75" s="15" t="s">
        <v>668</v>
      </c>
      <c r="QR75" s="15" t="s">
        <v>668</v>
      </c>
      <c r="QS75" s="15" t="s">
        <v>668</v>
      </c>
      <c r="QT75" s="15" t="s">
        <v>668</v>
      </c>
      <c r="QU75" s="15" t="s">
        <v>668</v>
      </c>
      <c r="QV75" s="15" t="s">
        <v>668</v>
      </c>
      <c r="QW75" s="15" t="s">
        <v>668</v>
      </c>
      <c r="QX75" s="15" t="s">
        <v>668</v>
      </c>
      <c r="QY75" s="15" t="s">
        <v>668</v>
      </c>
      <c r="QZ75" s="15" t="s">
        <v>668</v>
      </c>
      <c r="RA75" s="15" t="s">
        <v>668</v>
      </c>
      <c r="RB75" s="15" t="s">
        <v>668</v>
      </c>
      <c r="RC75" s="15" t="s">
        <v>668</v>
      </c>
      <c r="RD75" s="15" t="s">
        <v>668</v>
      </c>
      <c r="RE75" s="15" t="s">
        <v>668</v>
      </c>
      <c r="RF75" s="15" t="s">
        <v>668</v>
      </c>
      <c r="RG75" s="15" t="s">
        <v>668</v>
      </c>
      <c r="RH75" s="15" t="s">
        <v>668</v>
      </c>
      <c r="RI75" s="15" t="s">
        <v>668</v>
      </c>
      <c r="RJ75" s="15" t="s">
        <v>668</v>
      </c>
      <c r="RK75" s="15" t="s">
        <v>668</v>
      </c>
      <c r="RL75" s="15" t="s">
        <v>668</v>
      </c>
      <c r="RM75" s="15" t="s">
        <v>668</v>
      </c>
      <c r="RN75" s="15" t="s">
        <v>668</v>
      </c>
      <c r="RO75" s="15" t="s">
        <v>668</v>
      </c>
      <c r="RP75" s="15" t="s">
        <v>668</v>
      </c>
      <c r="RQ75" s="15" t="s">
        <v>668</v>
      </c>
      <c r="RR75" s="15" t="s">
        <v>668</v>
      </c>
      <c r="RS75" s="15" t="s">
        <v>668</v>
      </c>
      <c r="RT75" s="15" t="s">
        <v>668</v>
      </c>
      <c r="RU75" s="15" t="s">
        <v>668</v>
      </c>
      <c r="RV75" s="15" t="s">
        <v>668</v>
      </c>
      <c r="RW75" s="15" t="s">
        <v>668</v>
      </c>
      <c r="RX75" s="15" t="s">
        <v>668</v>
      </c>
      <c r="RY75" s="15" t="s">
        <v>668</v>
      </c>
      <c r="RZ75" s="15" t="s">
        <v>668</v>
      </c>
      <c r="SA75" s="15" t="s">
        <v>668</v>
      </c>
      <c r="SB75" s="15" t="s">
        <v>668</v>
      </c>
      <c r="SC75" s="15" t="s">
        <v>668</v>
      </c>
      <c r="SD75" s="15" t="s">
        <v>668</v>
      </c>
      <c r="SE75" s="15" t="s">
        <v>668</v>
      </c>
      <c r="SF75" s="15" t="s">
        <v>668</v>
      </c>
      <c r="SG75" s="15" t="s">
        <v>668</v>
      </c>
      <c r="SH75" s="15" t="s">
        <v>668</v>
      </c>
      <c r="SI75" s="15" t="s">
        <v>668</v>
      </c>
      <c r="SJ75" s="15" t="s">
        <v>668</v>
      </c>
      <c r="SK75" s="15" t="s">
        <v>668</v>
      </c>
      <c r="SL75" s="15" t="s">
        <v>668</v>
      </c>
      <c r="SM75" s="15" t="s">
        <v>668</v>
      </c>
      <c r="SN75" s="15" t="s">
        <v>668</v>
      </c>
      <c r="SO75" s="15" t="s">
        <v>668</v>
      </c>
    </row>
    <row r="76" spans="1:509" x14ac:dyDescent="0.2">
      <c r="A76" s="37">
        <v>74</v>
      </c>
      <c r="B76" s="37" t="s">
        <v>845</v>
      </c>
      <c r="C76" s="17">
        <f>+'Detalle Compras'!D76</f>
        <v>202509050105</v>
      </c>
      <c r="D76" s="55">
        <f t="shared" si="16"/>
        <v>8.5663099999999996</v>
      </c>
      <c r="E76" s="14">
        <f>+IF(B76="","",'Detalle Compras'!S76+0)</f>
        <v>45971</v>
      </c>
      <c r="F76" s="14">
        <f>+IF(B76="","",EOMONTH('Detalle Compras'!S76,G76)+10)</f>
        <v>56958</v>
      </c>
      <c r="G76" s="50">
        <f t="shared" si="17"/>
        <v>360</v>
      </c>
      <c r="H76" s="50">
        <f t="shared" si="18"/>
        <v>357</v>
      </c>
      <c r="AC76" s="37">
        <v>8.5663099999999996</v>
      </c>
      <c r="AD76" s="37">
        <v>8.5663099999999996</v>
      </c>
      <c r="AE76" s="37">
        <v>8.5663099999999996</v>
      </c>
      <c r="AF76" s="37">
        <v>8.5663099999999996</v>
      </c>
      <c r="AG76" s="37">
        <v>8.5663099999999996</v>
      </c>
      <c r="AH76" s="37">
        <v>8.5663099999999996</v>
      </c>
      <c r="AI76" s="37">
        <v>8.5663099999999996</v>
      </c>
      <c r="AJ76" s="37">
        <v>8.5663099999999996</v>
      </c>
      <c r="AK76" s="37">
        <v>8.5663099999999996</v>
      </c>
      <c r="AL76" s="37">
        <v>8.5663099999999996</v>
      </c>
      <c r="AM76" s="37">
        <v>8.5663099999999996</v>
      </c>
      <c r="AN76" s="37">
        <v>8.5663099999999996</v>
      </c>
      <c r="AO76" s="37">
        <v>8.5663099999999996</v>
      </c>
      <c r="AP76" s="37">
        <v>8.5663099999999996</v>
      </c>
      <c r="AQ76" s="37">
        <v>8.5663099999999996</v>
      </c>
      <c r="AR76" s="37">
        <v>8.5663099999999996</v>
      </c>
      <c r="AS76" s="37">
        <v>8.5663099999999996</v>
      </c>
      <c r="AT76" s="37">
        <v>8.5663099999999996</v>
      </c>
      <c r="AU76" s="37">
        <v>8.5663099999999996</v>
      </c>
      <c r="AV76" s="37">
        <v>8.5663099999999996</v>
      </c>
      <c r="AW76" s="37">
        <v>8.5663099999999996</v>
      </c>
      <c r="AX76" s="37">
        <v>8.5663099999999996</v>
      </c>
      <c r="AY76" s="37">
        <v>8.5663099999999996</v>
      </c>
      <c r="AZ76" s="37">
        <v>8.5663099999999996</v>
      </c>
      <c r="BA76" s="37">
        <v>8.5663099999999996</v>
      </c>
      <c r="BB76" s="37">
        <v>8.5663099999999996</v>
      </c>
      <c r="BC76" s="37">
        <v>8.5663099999999996</v>
      </c>
      <c r="BD76" s="37">
        <v>8.5663099999999996</v>
      </c>
      <c r="BE76" s="37">
        <v>8.5663099999999996</v>
      </c>
      <c r="BF76" s="37">
        <v>8.5663099999999996</v>
      </c>
      <c r="BG76" s="37">
        <v>8.5663099999999996</v>
      </c>
      <c r="BH76" s="37">
        <v>8.5663099999999996</v>
      </c>
      <c r="BI76" s="37">
        <v>8.5663099999999996</v>
      </c>
      <c r="BJ76" s="37">
        <v>8.5663099999999996</v>
      </c>
      <c r="BK76" s="37">
        <v>8.5663099999999996</v>
      </c>
      <c r="BL76" s="37">
        <v>8.5663099999999996</v>
      </c>
      <c r="BM76" s="37">
        <v>8.5663099999999996</v>
      </c>
      <c r="BN76" s="37">
        <v>8.5663099999999996</v>
      </c>
      <c r="BO76" s="37">
        <v>8.5663099999999996</v>
      </c>
      <c r="BP76" s="37">
        <v>8.5663099999999996</v>
      </c>
      <c r="BQ76" s="37">
        <v>8.5663099999999996</v>
      </c>
      <c r="BR76" s="37">
        <v>8.5663099999999996</v>
      </c>
      <c r="BS76" s="37">
        <v>8.5663099999999996</v>
      </c>
      <c r="BT76" s="37">
        <v>8.5663099999999996</v>
      </c>
      <c r="BU76" s="37">
        <v>8.5663099999999996</v>
      </c>
      <c r="BV76" s="37">
        <v>8.5663099999999996</v>
      </c>
      <c r="BW76" s="37">
        <v>8.5663099999999996</v>
      </c>
      <c r="BX76" s="37">
        <v>8.5663099999999996</v>
      </c>
      <c r="BY76" s="37">
        <v>8.5663099999999996</v>
      </c>
      <c r="BZ76" s="37">
        <v>8.5663099999999996</v>
      </c>
      <c r="CA76" s="37">
        <v>8.5663099999999996</v>
      </c>
      <c r="CB76" s="37">
        <v>8.5663099999999996</v>
      </c>
      <c r="CC76" s="37">
        <v>8.5663099999999996</v>
      </c>
      <c r="CD76" s="37">
        <v>8.5663099999999996</v>
      </c>
      <c r="CE76" s="37">
        <v>8.5663099999999996</v>
      </c>
      <c r="CF76" s="37">
        <v>8.5663099999999996</v>
      </c>
      <c r="CG76" s="37">
        <v>8.5663099999999996</v>
      </c>
      <c r="CH76" s="37">
        <v>8.5663099999999996</v>
      </c>
      <c r="CI76" s="37">
        <v>8.5663099999999996</v>
      </c>
      <c r="CJ76" s="37">
        <v>8.5663099999999996</v>
      </c>
      <c r="CK76" s="37">
        <v>8.5663099999999996</v>
      </c>
      <c r="CL76" s="37">
        <v>8.5663099999999996</v>
      </c>
      <c r="CM76" s="37">
        <v>8.5663099999999996</v>
      </c>
      <c r="CN76" s="37">
        <v>8.5663099999999996</v>
      </c>
      <c r="CO76" s="37">
        <v>8.5663099999999996</v>
      </c>
      <c r="CP76" s="37">
        <v>8.5663099999999996</v>
      </c>
      <c r="CQ76" s="37">
        <v>8.5663099999999996</v>
      </c>
      <c r="CR76" s="37">
        <v>8.5663099999999996</v>
      </c>
      <c r="CS76" s="37">
        <v>8.5663099999999996</v>
      </c>
      <c r="CT76" s="37">
        <v>8.5663099999999996</v>
      </c>
      <c r="CU76" s="37">
        <v>8.5663099999999996</v>
      </c>
      <c r="CV76" s="37">
        <v>8.5663099999999996</v>
      </c>
      <c r="CW76" s="37">
        <v>8.5663099999999996</v>
      </c>
      <c r="CX76" s="37">
        <v>8.5663099999999996</v>
      </c>
      <c r="CY76" s="37">
        <v>8.5663099999999996</v>
      </c>
      <c r="CZ76" s="37">
        <v>8.5663099999999996</v>
      </c>
      <c r="DA76" s="37">
        <v>8.5663099999999996</v>
      </c>
      <c r="DB76" s="37">
        <v>8.5663099999999996</v>
      </c>
      <c r="DC76" s="37">
        <v>8.5663099999999996</v>
      </c>
      <c r="DD76" s="37">
        <v>8.5663099999999996</v>
      </c>
      <c r="DE76" s="37">
        <v>8.5663099999999996</v>
      </c>
      <c r="DF76" s="37">
        <v>8.5663099999999996</v>
      </c>
      <c r="DG76" s="37">
        <v>8.5663099999999996</v>
      </c>
      <c r="DH76" s="37">
        <v>8.5663099999999996</v>
      </c>
      <c r="DI76" s="37">
        <v>8.5663099999999996</v>
      </c>
      <c r="DJ76" s="37">
        <v>8.5663099999999996</v>
      </c>
      <c r="DK76" s="37">
        <v>8.5663099999999996</v>
      </c>
      <c r="DL76" s="37">
        <v>8.5663099999999996</v>
      </c>
      <c r="DM76" s="37">
        <v>8.5663099999999996</v>
      </c>
      <c r="DN76" s="37">
        <v>8.5663099999999996</v>
      </c>
      <c r="DO76" s="37">
        <v>8.5663099999999996</v>
      </c>
      <c r="DP76" s="37">
        <v>8.5663099999999996</v>
      </c>
      <c r="DQ76" s="37">
        <v>8.5663099999999996</v>
      </c>
      <c r="DR76" s="37">
        <v>8.5663099999999996</v>
      </c>
      <c r="DS76" s="37">
        <v>8.5663099999999996</v>
      </c>
      <c r="DT76" s="37">
        <v>8.5663099999999996</v>
      </c>
      <c r="DU76" s="37">
        <v>8.5663099999999996</v>
      </c>
      <c r="DV76" s="37">
        <v>8.5663099999999996</v>
      </c>
      <c r="DW76" s="37">
        <v>8.5663099999999996</v>
      </c>
      <c r="DX76" s="37">
        <v>8.5663099999999996</v>
      </c>
      <c r="DY76" s="37">
        <v>8.5663099999999996</v>
      </c>
      <c r="DZ76" s="37">
        <v>8.5663099999999996</v>
      </c>
      <c r="EA76" s="37">
        <v>8.5663099999999996</v>
      </c>
      <c r="EB76" s="37">
        <v>8.5663099999999996</v>
      </c>
      <c r="EC76" s="37">
        <v>8.5663099999999996</v>
      </c>
      <c r="ED76" s="37">
        <v>8.5663099999999996</v>
      </c>
      <c r="EE76" s="37">
        <v>8.5663099999999996</v>
      </c>
      <c r="EF76" s="37">
        <v>8.5663099999999996</v>
      </c>
      <c r="EG76" s="37">
        <v>8.5663099999999996</v>
      </c>
      <c r="EH76" s="37">
        <v>8.5663099999999996</v>
      </c>
      <c r="EI76" s="37">
        <v>8.5663099999999996</v>
      </c>
      <c r="EJ76" s="37">
        <v>8.5663099999999996</v>
      </c>
      <c r="EK76" s="37">
        <v>8.5663099999999996</v>
      </c>
      <c r="EL76" s="37">
        <v>8.5663099999999996</v>
      </c>
      <c r="EM76" s="37">
        <v>8.5663099999999996</v>
      </c>
      <c r="EN76" s="37">
        <v>8.5663099999999996</v>
      </c>
      <c r="EO76" s="37">
        <v>8.5663099999999996</v>
      </c>
      <c r="EP76" s="37">
        <v>8.5663099999999996</v>
      </c>
      <c r="EQ76" s="37">
        <v>8.5663099999999996</v>
      </c>
      <c r="ER76" s="37">
        <v>8.5663099999999996</v>
      </c>
      <c r="ES76" s="37">
        <v>8.5663099999999996</v>
      </c>
      <c r="ET76" s="37">
        <v>8.5663099999999996</v>
      </c>
      <c r="EU76" s="37">
        <v>8.5663099999999996</v>
      </c>
      <c r="EV76" s="37">
        <v>8.5663099999999996</v>
      </c>
      <c r="EW76" s="37">
        <v>8.5663099999999996</v>
      </c>
      <c r="EX76" s="37">
        <v>8.5663099999999996</v>
      </c>
      <c r="EY76" s="37">
        <v>8.5663099999999996</v>
      </c>
      <c r="EZ76" s="37">
        <v>8.5663099999999996</v>
      </c>
      <c r="FA76" s="37">
        <v>8.5663099999999996</v>
      </c>
      <c r="FB76" s="37">
        <v>8.5663099999999996</v>
      </c>
      <c r="FC76" s="37">
        <v>8.5663099999999996</v>
      </c>
      <c r="FD76" s="37">
        <v>8.5663099999999996</v>
      </c>
      <c r="FE76" s="37">
        <v>8.5663099999999996</v>
      </c>
      <c r="FF76" s="37">
        <v>8.5663099999999996</v>
      </c>
      <c r="FG76" s="37">
        <v>8.5663099999999996</v>
      </c>
      <c r="FH76" s="37">
        <v>8.5663099999999996</v>
      </c>
      <c r="FI76" s="37">
        <v>8.5663099999999996</v>
      </c>
      <c r="FJ76" s="37">
        <v>8.5663099999999996</v>
      </c>
      <c r="FK76" s="37">
        <v>8.5663099999999996</v>
      </c>
      <c r="FL76" s="37">
        <v>8.5663099999999996</v>
      </c>
      <c r="FM76" s="37">
        <v>8.5663099999999996</v>
      </c>
      <c r="FN76" s="37">
        <v>8.5663099999999996</v>
      </c>
      <c r="FO76" s="37">
        <v>8.5663099999999996</v>
      </c>
      <c r="FP76" s="37">
        <v>8.5663099999999996</v>
      </c>
      <c r="FQ76" s="37">
        <v>8.5663099999999996</v>
      </c>
      <c r="FR76" s="37">
        <v>8.5663099999999996</v>
      </c>
      <c r="FS76" s="37">
        <v>8.5663099999999996</v>
      </c>
      <c r="FT76" s="37">
        <v>8.5663099999999996</v>
      </c>
      <c r="FU76" s="37">
        <v>8.5663099999999996</v>
      </c>
      <c r="FV76" s="37">
        <v>8.5663099999999996</v>
      </c>
      <c r="FW76" s="37">
        <v>8.5663099999999996</v>
      </c>
      <c r="FX76" s="37">
        <v>8.5663099999999996</v>
      </c>
      <c r="FY76" s="37">
        <v>8.5663099999999996</v>
      </c>
      <c r="FZ76" s="37">
        <v>8.5663099999999996</v>
      </c>
      <c r="GA76" s="37">
        <v>8.5663099999999996</v>
      </c>
      <c r="GB76" s="37">
        <v>8.5663099999999996</v>
      </c>
      <c r="GC76" s="37">
        <v>8.5663099999999996</v>
      </c>
      <c r="GD76" s="37">
        <v>8.5663099999999996</v>
      </c>
      <c r="GE76" s="37">
        <v>8.5663099999999996</v>
      </c>
      <c r="GF76" s="37">
        <v>8.5663099999999996</v>
      </c>
      <c r="GG76" s="37">
        <v>8.5663099999999996</v>
      </c>
      <c r="GH76" s="37">
        <v>8.5663099999999996</v>
      </c>
      <c r="GI76" s="37">
        <v>8.5663099999999996</v>
      </c>
      <c r="GJ76" s="37">
        <v>8.5663099999999996</v>
      </c>
      <c r="GK76" s="37">
        <v>8.5663099999999996</v>
      </c>
      <c r="GL76" s="37">
        <v>8.5663099999999996</v>
      </c>
      <c r="GM76" s="37">
        <v>8.5663099999999996</v>
      </c>
      <c r="GN76" s="37">
        <v>8.5663099999999996</v>
      </c>
      <c r="GO76" s="37">
        <v>8.5663099999999996</v>
      </c>
      <c r="GP76" s="37">
        <v>8.5663099999999996</v>
      </c>
      <c r="GQ76" s="37">
        <v>8.5663099999999996</v>
      </c>
      <c r="GR76" s="37">
        <v>8.5663099999999996</v>
      </c>
      <c r="GS76" s="37">
        <v>8.5663099999999996</v>
      </c>
      <c r="GT76" s="37">
        <v>8.5663099999999996</v>
      </c>
      <c r="GU76" s="37">
        <v>8.5663099999999996</v>
      </c>
      <c r="GV76" s="37">
        <v>8.5663099999999996</v>
      </c>
      <c r="GW76" s="37">
        <v>8.5663099999999996</v>
      </c>
      <c r="GX76" s="37">
        <v>8.5663099999999996</v>
      </c>
      <c r="GY76" s="37">
        <v>8.5663099999999996</v>
      </c>
      <c r="GZ76" s="37">
        <v>8.5663099999999996</v>
      </c>
      <c r="HA76" s="37">
        <v>8.5663099999999996</v>
      </c>
      <c r="HB76" s="37">
        <v>8.5663099999999996</v>
      </c>
      <c r="HC76" s="37">
        <v>8.5663099999999996</v>
      </c>
      <c r="HD76" s="37">
        <v>8.5663099999999996</v>
      </c>
      <c r="HE76" s="37">
        <v>8.5663099999999996</v>
      </c>
      <c r="HF76" s="37">
        <v>8.5663099999999996</v>
      </c>
      <c r="HG76" s="37">
        <v>8.5663099999999996</v>
      </c>
      <c r="HH76" s="37">
        <v>8.5663099999999996</v>
      </c>
      <c r="HI76" s="37">
        <v>8.5663099999999996</v>
      </c>
      <c r="HJ76" s="37">
        <v>8.5663099999999996</v>
      </c>
      <c r="HK76" s="37">
        <v>8.5663099999999996</v>
      </c>
      <c r="HL76" s="37">
        <v>8.5663099999999996</v>
      </c>
      <c r="HM76" s="37">
        <v>8.5663099999999996</v>
      </c>
      <c r="HN76" s="37">
        <v>8.5663099999999996</v>
      </c>
      <c r="HO76" s="37">
        <v>8.5663099999999996</v>
      </c>
      <c r="HP76" s="37">
        <v>8.5663099999999996</v>
      </c>
      <c r="HQ76" s="37">
        <v>8.5663099999999996</v>
      </c>
      <c r="HR76" s="37">
        <v>8.5663099999999996</v>
      </c>
      <c r="HS76" s="37">
        <v>8.5663099999999996</v>
      </c>
      <c r="HT76" s="37">
        <v>8.5663099999999996</v>
      </c>
      <c r="HU76" s="37">
        <v>8.5663099999999996</v>
      </c>
      <c r="HV76" s="37">
        <v>8.5663099999999996</v>
      </c>
      <c r="HW76" s="37">
        <v>8.5663099999999996</v>
      </c>
      <c r="HX76" s="37">
        <v>8.5663099999999996</v>
      </c>
      <c r="HY76" s="37">
        <v>8.5663099999999996</v>
      </c>
      <c r="HZ76" s="37">
        <v>8.5663099999999996</v>
      </c>
      <c r="IA76" s="37">
        <v>8.5663099999999996</v>
      </c>
      <c r="IB76" s="37">
        <v>8.5663099999999996</v>
      </c>
      <c r="IC76" s="37">
        <v>8.5663099999999996</v>
      </c>
      <c r="ID76" s="37">
        <v>8.5663099999999996</v>
      </c>
      <c r="IE76" s="37">
        <v>8.5663099999999996</v>
      </c>
      <c r="IF76" s="37">
        <v>8.5663099999999996</v>
      </c>
      <c r="IG76" s="37">
        <v>8.5663099999999996</v>
      </c>
      <c r="IH76" s="37">
        <v>8.5663099999999996</v>
      </c>
      <c r="II76" s="37">
        <v>8.5663099999999996</v>
      </c>
      <c r="IJ76" s="37">
        <v>8.5663099999999996</v>
      </c>
      <c r="IK76" s="37">
        <v>8.5663099999999996</v>
      </c>
      <c r="IL76" s="37">
        <v>8.5663099999999996</v>
      </c>
      <c r="IM76" s="37">
        <v>8.5663099999999996</v>
      </c>
      <c r="IN76" s="37">
        <v>8.5663099999999996</v>
      </c>
      <c r="IO76" s="37">
        <v>8.5663099999999996</v>
      </c>
      <c r="IP76" s="37">
        <v>8.5663099999999996</v>
      </c>
      <c r="IQ76" s="37">
        <v>8.5663099999999996</v>
      </c>
      <c r="IR76" s="37">
        <v>8.5663099999999996</v>
      </c>
      <c r="IS76" s="37">
        <v>8.5663099999999996</v>
      </c>
      <c r="IT76" s="37">
        <v>8.5663099999999996</v>
      </c>
      <c r="IU76" s="37">
        <v>8.5663099999999996</v>
      </c>
      <c r="IV76" s="37">
        <v>8.5663099999999996</v>
      </c>
      <c r="IW76" s="37">
        <v>8.5663099999999996</v>
      </c>
      <c r="IX76" s="37">
        <v>8.5663099999999996</v>
      </c>
      <c r="IY76" s="37">
        <v>8.5663099999999996</v>
      </c>
      <c r="IZ76" s="37">
        <v>8.5663099999999996</v>
      </c>
      <c r="JA76" s="37">
        <v>8.5663099999999996</v>
      </c>
      <c r="JB76" s="37">
        <v>8.5663099999999996</v>
      </c>
      <c r="JC76" s="37">
        <v>8.5663099999999996</v>
      </c>
      <c r="JD76" s="37">
        <v>8.5663099999999996</v>
      </c>
      <c r="JE76" s="37">
        <v>8.5663099999999996</v>
      </c>
      <c r="JF76" s="37">
        <v>8.5663099999999996</v>
      </c>
      <c r="JG76" s="37">
        <v>8.5663099999999996</v>
      </c>
      <c r="JH76" s="37">
        <v>8.5663099999999996</v>
      </c>
      <c r="JI76" s="37">
        <v>8.5663099999999996</v>
      </c>
      <c r="JJ76" s="37">
        <v>8.5663099999999996</v>
      </c>
      <c r="JK76" s="37">
        <v>8.5663099999999996</v>
      </c>
      <c r="JL76" s="37">
        <v>8.5663099999999996</v>
      </c>
      <c r="JM76" s="37">
        <v>8.5663099999999996</v>
      </c>
      <c r="JN76" s="37">
        <v>8.5663099999999996</v>
      </c>
      <c r="JO76" s="37">
        <v>8.5663099999999996</v>
      </c>
      <c r="JP76" s="37">
        <v>8.5663099999999996</v>
      </c>
      <c r="JQ76" s="37">
        <v>8.5663099999999996</v>
      </c>
      <c r="JR76" s="37">
        <v>8.5663099999999996</v>
      </c>
      <c r="JS76" s="37">
        <v>8.5663099999999996</v>
      </c>
      <c r="JT76" s="37">
        <v>8.5663099999999996</v>
      </c>
      <c r="JU76" s="37">
        <v>8.5663099999999996</v>
      </c>
      <c r="JV76" s="37">
        <v>8.5663099999999996</v>
      </c>
      <c r="JW76" s="37">
        <v>8.5663099999999996</v>
      </c>
      <c r="JX76" s="37">
        <v>8.5663099999999996</v>
      </c>
      <c r="JY76" s="37">
        <v>8.5663099999999996</v>
      </c>
      <c r="JZ76" s="37">
        <v>8.5663099999999996</v>
      </c>
      <c r="KA76" s="37">
        <v>8.5663099999999996</v>
      </c>
      <c r="KB76" s="37">
        <v>8.5663099999999996</v>
      </c>
      <c r="KC76" s="37">
        <v>8.5663099999999996</v>
      </c>
      <c r="KD76" s="37">
        <v>8.5663099999999996</v>
      </c>
      <c r="KE76" s="37">
        <v>8.5663099999999996</v>
      </c>
      <c r="KF76" s="37">
        <v>8.5663099999999996</v>
      </c>
      <c r="KG76" s="37">
        <v>8.5663099999999996</v>
      </c>
      <c r="KH76" s="37">
        <v>8.5663099999999996</v>
      </c>
      <c r="KI76" s="37">
        <v>8.5663099999999996</v>
      </c>
      <c r="KJ76" s="37">
        <v>8.5663099999999996</v>
      </c>
      <c r="KK76" s="37">
        <v>8.5663099999999996</v>
      </c>
      <c r="KL76" s="37">
        <v>8.5663099999999996</v>
      </c>
      <c r="KM76" s="37">
        <v>8.5663099999999996</v>
      </c>
      <c r="KN76" s="37">
        <v>8.5663099999999996</v>
      </c>
      <c r="KO76" s="37">
        <v>8.5663099999999996</v>
      </c>
      <c r="KP76" s="37">
        <v>8.5663099999999996</v>
      </c>
      <c r="KQ76" s="37">
        <v>8.5663099999999996</v>
      </c>
      <c r="KR76" s="37">
        <v>8.5663099999999996</v>
      </c>
      <c r="KS76" s="37">
        <v>8.5663099999999996</v>
      </c>
      <c r="KT76" s="37">
        <v>8.5663099999999996</v>
      </c>
      <c r="KU76" s="37">
        <v>8.5663099999999996</v>
      </c>
      <c r="KV76" s="37">
        <v>8.5663099999999996</v>
      </c>
      <c r="KW76" s="37">
        <v>8.5663099999999996</v>
      </c>
      <c r="KX76" s="37">
        <v>8.5663099999999996</v>
      </c>
      <c r="KY76" s="37">
        <v>8.5663099999999996</v>
      </c>
      <c r="KZ76" s="37">
        <v>8.5663099999999996</v>
      </c>
      <c r="LA76" s="37">
        <v>8.5663099999999996</v>
      </c>
      <c r="LB76" s="37">
        <v>8.5663099999999996</v>
      </c>
      <c r="LC76" s="37">
        <v>8.5663099999999996</v>
      </c>
      <c r="LD76" s="37">
        <v>8.5663099999999996</v>
      </c>
      <c r="LE76" s="37">
        <v>8.5663099999999996</v>
      </c>
      <c r="LF76" s="37">
        <v>8.5663099999999996</v>
      </c>
      <c r="LG76" s="37">
        <v>8.5663099999999996</v>
      </c>
      <c r="LH76" s="37">
        <v>8.5663099999999996</v>
      </c>
      <c r="LI76" s="37">
        <v>8.5663099999999996</v>
      </c>
      <c r="LJ76" s="37">
        <v>8.5663099999999996</v>
      </c>
      <c r="LK76" s="37">
        <v>8.5663099999999996</v>
      </c>
      <c r="LL76" s="37">
        <v>8.5663099999999996</v>
      </c>
      <c r="LM76" s="37">
        <v>8.5663099999999996</v>
      </c>
      <c r="LN76" s="37">
        <v>8.5663099999999996</v>
      </c>
      <c r="LO76" s="37">
        <v>8.5663099999999996</v>
      </c>
      <c r="LP76" s="37">
        <v>8.5663099999999996</v>
      </c>
      <c r="LQ76" s="37">
        <v>8.5663099999999996</v>
      </c>
      <c r="LR76" s="37">
        <v>8.5663099999999996</v>
      </c>
      <c r="LS76" s="37">
        <v>8.5663099999999996</v>
      </c>
      <c r="LT76" s="37">
        <v>8.5663099999999996</v>
      </c>
      <c r="LU76" s="37">
        <v>8.5663099999999996</v>
      </c>
      <c r="LV76" s="37">
        <v>8.5663099999999996</v>
      </c>
      <c r="LW76" s="37">
        <v>8.5663099999999996</v>
      </c>
      <c r="LX76" s="37">
        <v>8.5663099999999996</v>
      </c>
      <c r="LY76" s="37">
        <v>8.5663099999999996</v>
      </c>
      <c r="LZ76" s="37">
        <v>8.5663099999999996</v>
      </c>
      <c r="MA76" s="37">
        <v>8.5663099999999996</v>
      </c>
      <c r="MB76" s="37">
        <v>8.5663099999999996</v>
      </c>
      <c r="MC76" s="37">
        <v>8.5663099999999996</v>
      </c>
      <c r="MD76" s="37">
        <v>8.5663099999999996</v>
      </c>
      <c r="ME76" s="37">
        <v>8.5663099999999996</v>
      </c>
      <c r="MF76" s="37">
        <v>8.5663099999999996</v>
      </c>
      <c r="MG76" s="37">
        <v>8.5663099999999996</v>
      </c>
      <c r="MH76" s="37">
        <v>8.5663099999999996</v>
      </c>
      <c r="MI76" s="37">
        <v>8.5663099999999996</v>
      </c>
      <c r="MJ76" s="37">
        <v>8.5663099999999996</v>
      </c>
      <c r="MK76" s="37">
        <v>8.5663099999999996</v>
      </c>
      <c r="ML76" s="37">
        <v>8.5663099999999996</v>
      </c>
      <c r="MM76" s="37">
        <v>8.5663099999999996</v>
      </c>
      <c r="MN76" s="37">
        <v>8.5663099999999996</v>
      </c>
      <c r="MO76" s="37">
        <v>8.5663099999999996</v>
      </c>
      <c r="MP76" s="37">
        <v>8.5663099999999996</v>
      </c>
      <c r="MQ76" s="37">
        <v>8.5663099999999996</v>
      </c>
      <c r="MR76" s="37">
        <v>8.5663099999999996</v>
      </c>
      <c r="MS76" s="37">
        <v>8.5663099999999996</v>
      </c>
      <c r="MT76" s="37">
        <v>8.5663099999999996</v>
      </c>
      <c r="MU76" s="37">
        <v>8.5663099999999996</v>
      </c>
      <c r="MV76" s="37">
        <v>8.5663099999999996</v>
      </c>
      <c r="MW76" s="37">
        <v>8.5663099999999996</v>
      </c>
      <c r="MX76" s="37">
        <v>8.5663099999999996</v>
      </c>
      <c r="MY76" s="37">
        <v>8.5663099999999996</v>
      </c>
      <c r="MZ76" s="37">
        <v>8.5663099999999996</v>
      </c>
      <c r="NA76" s="37">
        <v>8.5663099999999996</v>
      </c>
      <c r="NB76" s="37">
        <v>8.5663099999999996</v>
      </c>
      <c r="NC76" s="37">
        <v>8.5663099999999996</v>
      </c>
      <c r="ND76" s="37">
        <v>8.5663099999999996</v>
      </c>
      <c r="NE76" s="37">
        <v>8.5663099999999996</v>
      </c>
      <c r="NF76" s="37">
        <v>8.5663099999999996</v>
      </c>
      <c r="NG76" s="37">
        <v>8.5663099999999996</v>
      </c>
      <c r="NH76" s="37">
        <v>8.5663099999999996</v>
      </c>
      <c r="NI76" s="37">
        <v>8.5663099999999996</v>
      </c>
      <c r="NJ76" s="37">
        <v>8.5663099999999996</v>
      </c>
      <c r="NK76" s="37">
        <v>8.5663099999999996</v>
      </c>
      <c r="NL76" s="37">
        <v>8.5663099999999996</v>
      </c>
      <c r="NM76" s="37">
        <v>8.5663099999999996</v>
      </c>
      <c r="NN76" s="37">
        <v>8.5663099999999996</v>
      </c>
      <c r="NO76" s="37">
        <v>8.5663099999999996</v>
      </c>
      <c r="NP76" s="37">
        <v>8.5663099999999996</v>
      </c>
      <c r="NQ76" s="37">
        <v>8.5663099999999996</v>
      </c>
      <c r="NR76" s="37">
        <v>8.5663099999999996</v>
      </c>
      <c r="NS76" s="37">
        <v>8.5663099999999996</v>
      </c>
      <c r="NT76" s="37">
        <v>8.5663099999999996</v>
      </c>
      <c r="NU76" s="37">
        <v>8.5663099999999996</v>
      </c>
      <c r="NV76" s="37">
        <v>8.5663099999999996</v>
      </c>
      <c r="NW76" s="37">
        <v>8.5663099999999996</v>
      </c>
      <c r="NX76" s="37">
        <v>9.2275500000000008</v>
      </c>
      <c r="NY76" s="37" t="s">
        <v>668</v>
      </c>
      <c r="NZ76" s="37" t="s">
        <v>668</v>
      </c>
      <c r="OA76" s="37" t="s">
        <v>668</v>
      </c>
      <c r="OB76" s="37" t="s">
        <v>668</v>
      </c>
      <c r="OC76" s="37" t="s">
        <v>668</v>
      </c>
      <c r="OD76" s="37" t="s">
        <v>668</v>
      </c>
      <c r="OE76" s="37" t="s">
        <v>668</v>
      </c>
      <c r="OF76" s="37" t="s">
        <v>668</v>
      </c>
      <c r="OG76" s="37" t="s">
        <v>668</v>
      </c>
      <c r="OH76" s="37" t="s">
        <v>668</v>
      </c>
      <c r="OI76" s="37" t="s">
        <v>668</v>
      </c>
      <c r="OJ76" s="37" t="s">
        <v>668</v>
      </c>
      <c r="OK76" s="37" t="s">
        <v>668</v>
      </c>
      <c r="OL76" s="37" t="s">
        <v>668</v>
      </c>
      <c r="OM76" s="37" t="s">
        <v>668</v>
      </c>
      <c r="ON76" s="37" t="s">
        <v>668</v>
      </c>
      <c r="OO76" s="37" t="s">
        <v>668</v>
      </c>
      <c r="OP76" s="37" t="s">
        <v>668</v>
      </c>
      <c r="OQ76" s="37" t="s">
        <v>668</v>
      </c>
      <c r="OR76" s="37" t="s">
        <v>668</v>
      </c>
      <c r="OS76" s="37" t="s">
        <v>668</v>
      </c>
      <c r="OT76" s="37" t="s">
        <v>668</v>
      </c>
      <c r="OU76" s="37" t="s">
        <v>668</v>
      </c>
      <c r="OV76" s="37" t="s">
        <v>668</v>
      </c>
      <c r="OW76" s="37" t="s">
        <v>668</v>
      </c>
      <c r="OX76" s="37" t="s">
        <v>668</v>
      </c>
      <c r="OY76" s="37" t="s">
        <v>668</v>
      </c>
      <c r="OZ76" s="37" t="s">
        <v>668</v>
      </c>
      <c r="PA76" s="37" t="s">
        <v>668</v>
      </c>
      <c r="PB76" s="37" t="s">
        <v>668</v>
      </c>
      <c r="PC76" s="37" t="s">
        <v>668</v>
      </c>
      <c r="PD76" s="37" t="s">
        <v>668</v>
      </c>
      <c r="PE76" s="37" t="s">
        <v>668</v>
      </c>
      <c r="PF76" s="37" t="s">
        <v>668</v>
      </c>
      <c r="PG76" s="37" t="s">
        <v>668</v>
      </c>
      <c r="PH76" s="37" t="s">
        <v>668</v>
      </c>
      <c r="PI76" s="37" t="s">
        <v>668</v>
      </c>
      <c r="PJ76" s="37" t="s">
        <v>668</v>
      </c>
      <c r="PK76" s="37" t="s">
        <v>668</v>
      </c>
      <c r="PL76" s="37" t="s">
        <v>668</v>
      </c>
      <c r="PM76" s="37" t="s">
        <v>668</v>
      </c>
      <c r="PN76" s="37" t="s">
        <v>668</v>
      </c>
      <c r="PO76" s="37" t="s">
        <v>668</v>
      </c>
      <c r="PP76" s="37" t="s">
        <v>668</v>
      </c>
      <c r="PQ76" s="37" t="s">
        <v>668</v>
      </c>
      <c r="PR76" s="37" t="s">
        <v>668</v>
      </c>
      <c r="PS76" s="15" t="s">
        <v>668</v>
      </c>
      <c r="PT76" s="15" t="s">
        <v>668</v>
      </c>
      <c r="PU76" s="15" t="s">
        <v>668</v>
      </c>
      <c r="PV76" s="15" t="s">
        <v>668</v>
      </c>
      <c r="PW76" s="15" t="s">
        <v>668</v>
      </c>
      <c r="PX76" s="15" t="s">
        <v>668</v>
      </c>
      <c r="PY76" s="15" t="s">
        <v>668</v>
      </c>
      <c r="PZ76" s="15" t="s">
        <v>668</v>
      </c>
      <c r="QA76" s="15" t="s">
        <v>668</v>
      </c>
      <c r="QB76" s="15" t="s">
        <v>668</v>
      </c>
      <c r="QC76" s="15" t="s">
        <v>668</v>
      </c>
      <c r="QD76" s="15" t="s">
        <v>668</v>
      </c>
      <c r="QE76" s="15" t="s">
        <v>668</v>
      </c>
      <c r="QF76" s="15" t="s">
        <v>668</v>
      </c>
      <c r="QG76" s="15" t="s">
        <v>668</v>
      </c>
      <c r="QH76" s="15" t="s">
        <v>668</v>
      </c>
      <c r="QI76" s="15" t="s">
        <v>668</v>
      </c>
      <c r="QJ76" s="15" t="s">
        <v>668</v>
      </c>
      <c r="QK76" s="15" t="s">
        <v>668</v>
      </c>
      <c r="QL76" s="15" t="s">
        <v>668</v>
      </c>
      <c r="QM76" s="15" t="s">
        <v>668</v>
      </c>
      <c r="QN76" s="15" t="s">
        <v>668</v>
      </c>
      <c r="QO76" s="15" t="s">
        <v>668</v>
      </c>
      <c r="QP76" s="15" t="s">
        <v>668</v>
      </c>
      <c r="QQ76" s="15" t="s">
        <v>668</v>
      </c>
      <c r="QR76" s="15" t="s">
        <v>668</v>
      </c>
      <c r="QS76" s="15" t="s">
        <v>668</v>
      </c>
      <c r="QT76" s="15" t="s">
        <v>668</v>
      </c>
      <c r="QU76" s="15" t="s">
        <v>668</v>
      </c>
      <c r="QV76" s="15" t="s">
        <v>668</v>
      </c>
      <c r="QW76" s="15" t="s">
        <v>668</v>
      </c>
      <c r="QX76" s="15" t="s">
        <v>668</v>
      </c>
      <c r="QY76" s="15" t="s">
        <v>668</v>
      </c>
      <c r="QZ76" s="15" t="s">
        <v>668</v>
      </c>
      <c r="RA76" s="15" t="s">
        <v>668</v>
      </c>
      <c r="RB76" s="15" t="s">
        <v>668</v>
      </c>
      <c r="RC76" s="15" t="s">
        <v>668</v>
      </c>
      <c r="RD76" s="15" t="s">
        <v>668</v>
      </c>
      <c r="RE76" s="15" t="s">
        <v>668</v>
      </c>
      <c r="RF76" s="15" t="s">
        <v>668</v>
      </c>
      <c r="RG76" s="15" t="s">
        <v>668</v>
      </c>
      <c r="RH76" s="15" t="s">
        <v>668</v>
      </c>
      <c r="RI76" s="15" t="s">
        <v>668</v>
      </c>
      <c r="RJ76" s="15" t="s">
        <v>668</v>
      </c>
      <c r="RK76" s="15" t="s">
        <v>668</v>
      </c>
      <c r="RL76" s="15" t="s">
        <v>668</v>
      </c>
      <c r="RM76" s="15" t="s">
        <v>668</v>
      </c>
      <c r="RN76" s="15" t="s">
        <v>668</v>
      </c>
      <c r="RO76" s="15" t="s">
        <v>668</v>
      </c>
      <c r="RP76" s="15" t="s">
        <v>668</v>
      </c>
      <c r="RQ76" s="15" t="s">
        <v>668</v>
      </c>
      <c r="RR76" s="15" t="s">
        <v>668</v>
      </c>
      <c r="RS76" s="15" t="s">
        <v>668</v>
      </c>
      <c r="RT76" s="15" t="s">
        <v>668</v>
      </c>
      <c r="RU76" s="15" t="s">
        <v>668</v>
      </c>
      <c r="RV76" s="15" t="s">
        <v>668</v>
      </c>
      <c r="RW76" s="15" t="s">
        <v>668</v>
      </c>
      <c r="RX76" s="15" t="s">
        <v>668</v>
      </c>
      <c r="RY76" s="15" t="s">
        <v>668</v>
      </c>
      <c r="RZ76" s="15" t="s">
        <v>668</v>
      </c>
      <c r="SA76" s="15" t="s">
        <v>668</v>
      </c>
      <c r="SB76" s="15" t="s">
        <v>668</v>
      </c>
      <c r="SC76" s="15" t="s">
        <v>668</v>
      </c>
      <c r="SD76" s="15" t="s">
        <v>668</v>
      </c>
      <c r="SE76" s="15" t="s">
        <v>668</v>
      </c>
      <c r="SF76" s="15" t="s">
        <v>668</v>
      </c>
      <c r="SG76" s="15" t="s">
        <v>668</v>
      </c>
      <c r="SH76" s="15" t="s">
        <v>668</v>
      </c>
      <c r="SI76" s="15" t="s">
        <v>668</v>
      </c>
      <c r="SJ76" s="15" t="s">
        <v>668</v>
      </c>
      <c r="SK76" s="15" t="s">
        <v>668</v>
      </c>
      <c r="SL76" s="15" t="s">
        <v>668</v>
      </c>
      <c r="SM76" s="15" t="s">
        <v>668</v>
      </c>
      <c r="SN76" s="15" t="s">
        <v>668</v>
      </c>
      <c r="SO76" s="15" t="s">
        <v>668</v>
      </c>
    </row>
    <row r="77" spans="1:509" x14ac:dyDescent="0.2">
      <c r="A77" s="37">
        <v>75</v>
      </c>
      <c r="B77" s="37" t="s">
        <v>846</v>
      </c>
      <c r="C77" s="17">
        <f>+'Detalle Compras'!D77</f>
        <v>202509030104</v>
      </c>
      <c r="D77" s="55">
        <f t="shared" si="16"/>
        <v>8.6645000000000003</v>
      </c>
      <c r="E77" s="14">
        <f>+IF(B77="","",'Detalle Compras'!S77+0)</f>
        <v>45971</v>
      </c>
      <c r="F77" s="14">
        <f>+IF(B77="","",EOMONTH('Detalle Compras'!S77,G77)+10)</f>
        <v>60611</v>
      </c>
      <c r="G77" s="50">
        <f t="shared" si="17"/>
        <v>480</v>
      </c>
      <c r="H77" s="50">
        <f t="shared" si="18"/>
        <v>477</v>
      </c>
      <c r="K77" s="52"/>
      <c r="L77" s="52"/>
      <c r="M77" s="52"/>
      <c r="N77" s="52"/>
      <c r="O77" s="52"/>
      <c r="P77" s="52"/>
      <c r="Q77" s="52"/>
      <c r="R77" s="52"/>
      <c r="S77" s="52"/>
      <c r="T77" s="52"/>
      <c r="U77" s="52"/>
      <c r="V77" s="52"/>
      <c r="W77" s="52"/>
      <c r="X77" s="52"/>
      <c r="Y77" s="52"/>
      <c r="Z77" s="52"/>
      <c r="AA77" s="52"/>
      <c r="AB77" s="52"/>
      <c r="AC77" s="52">
        <v>8.6645000000000003</v>
      </c>
      <c r="AD77" s="52">
        <v>8.6645000000000003</v>
      </c>
      <c r="AE77" s="52">
        <v>8.6645000000000003</v>
      </c>
      <c r="AF77" s="52">
        <v>8.6645000000000003</v>
      </c>
      <c r="AG77" s="52">
        <v>8.6645000000000003</v>
      </c>
      <c r="AH77" s="52">
        <v>8.6645000000000003</v>
      </c>
      <c r="AI77" s="52">
        <v>8.6645000000000003</v>
      </c>
      <c r="AJ77" s="52">
        <v>8.6645000000000003</v>
      </c>
      <c r="AK77" s="52">
        <v>8.6645000000000003</v>
      </c>
      <c r="AL77" s="52">
        <v>8.6645000000000003</v>
      </c>
      <c r="AM77" s="52">
        <v>8.6645000000000003</v>
      </c>
      <c r="AN77" s="52">
        <v>8.6645000000000003</v>
      </c>
      <c r="AO77" s="52">
        <v>8.6645000000000003</v>
      </c>
      <c r="AP77" s="52">
        <v>8.6645000000000003</v>
      </c>
      <c r="AQ77" s="52">
        <v>8.6645000000000003</v>
      </c>
      <c r="AR77" s="52">
        <v>8.6645000000000003</v>
      </c>
      <c r="AS77" s="52">
        <v>8.6645000000000003</v>
      </c>
      <c r="AT77" s="52">
        <v>8.6645000000000003</v>
      </c>
      <c r="AU77" s="52">
        <v>8.6645000000000003</v>
      </c>
      <c r="AV77" s="52">
        <v>8.6645000000000003</v>
      </c>
      <c r="AW77" s="52">
        <v>8.6645000000000003</v>
      </c>
      <c r="AX77" s="52">
        <v>8.6645000000000003</v>
      </c>
      <c r="AY77" s="52">
        <v>8.6645000000000003</v>
      </c>
      <c r="AZ77" s="52">
        <v>8.6645000000000003</v>
      </c>
      <c r="BA77" s="52">
        <v>8.6645000000000003</v>
      </c>
      <c r="BB77" s="52">
        <v>8.6645000000000003</v>
      </c>
      <c r="BC77" s="52">
        <v>8.6645000000000003</v>
      </c>
      <c r="BD77" s="52">
        <v>8.6645000000000003</v>
      </c>
      <c r="BE77" s="52">
        <v>8.6645000000000003</v>
      </c>
      <c r="BF77" s="52">
        <v>8.6645000000000003</v>
      </c>
      <c r="BG77" s="52">
        <v>8.6645000000000003</v>
      </c>
      <c r="BH77" s="52">
        <v>8.6645000000000003</v>
      </c>
      <c r="BI77" s="52">
        <v>8.6645000000000003</v>
      </c>
      <c r="BJ77" s="52">
        <v>8.6645000000000003</v>
      </c>
      <c r="BK77" s="52">
        <v>8.6645000000000003</v>
      </c>
      <c r="BL77" s="52">
        <v>8.6645000000000003</v>
      </c>
      <c r="BM77" s="52">
        <v>8.6645000000000003</v>
      </c>
      <c r="BN77" s="52">
        <v>8.6645000000000003</v>
      </c>
      <c r="BO77" s="52">
        <v>8.6645000000000003</v>
      </c>
      <c r="BP77" s="52">
        <v>8.6645000000000003</v>
      </c>
      <c r="BQ77" s="52">
        <v>8.6645000000000003</v>
      </c>
      <c r="BR77" s="52">
        <v>8.6645000000000003</v>
      </c>
      <c r="BS77" s="52">
        <v>8.6645000000000003</v>
      </c>
      <c r="BT77" s="52">
        <v>8.6645000000000003</v>
      </c>
      <c r="BU77" s="52">
        <v>8.6645000000000003</v>
      </c>
      <c r="BV77" s="52">
        <v>8.6645000000000003</v>
      </c>
      <c r="BW77" s="52">
        <v>8.6645000000000003</v>
      </c>
      <c r="BX77" s="52">
        <v>8.6645000000000003</v>
      </c>
      <c r="BY77" s="52">
        <v>8.6645000000000003</v>
      </c>
      <c r="BZ77" s="52">
        <v>8.6645000000000003</v>
      </c>
      <c r="CA77" s="52">
        <v>8.6645000000000003</v>
      </c>
      <c r="CB77" s="52">
        <v>8.6645000000000003</v>
      </c>
      <c r="CC77" s="52">
        <v>8.6645000000000003</v>
      </c>
      <c r="CD77" s="52">
        <v>8.6645000000000003</v>
      </c>
      <c r="CE77" s="52">
        <v>8.6645000000000003</v>
      </c>
      <c r="CF77" s="52">
        <v>8.6645000000000003</v>
      </c>
      <c r="CG77" s="52">
        <v>8.6645000000000003</v>
      </c>
      <c r="CH77" s="52">
        <v>8.6645000000000003</v>
      </c>
      <c r="CI77" s="52">
        <v>8.6645000000000003</v>
      </c>
      <c r="CJ77" s="52">
        <v>8.6645000000000003</v>
      </c>
      <c r="CK77" s="52">
        <v>8.6645000000000003</v>
      </c>
      <c r="CL77" s="52">
        <v>8.6645000000000003</v>
      </c>
      <c r="CM77" s="52">
        <v>8.6645000000000003</v>
      </c>
      <c r="CN77" s="52">
        <v>8.6645000000000003</v>
      </c>
      <c r="CO77" s="52">
        <v>8.6645000000000003</v>
      </c>
      <c r="CP77" s="52">
        <v>8.6645000000000003</v>
      </c>
      <c r="CQ77" s="52">
        <v>8.6645000000000003</v>
      </c>
      <c r="CR77" s="52">
        <v>8.6645000000000003</v>
      </c>
      <c r="CS77" s="52">
        <v>8.6645000000000003</v>
      </c>
      <c r="CT77" s="52">
        <v>8.6645000000000003</v>
      </c>
      <c r="CU77" s="52">
        <v>8.6645000000000003</v>
      </c>
      <c r="CV77" s="52">
        <v>8.6645000000000003</v>
      </c>
      <c r="CW77" s="52">
        <v>8.6645000000000003</v>
      </c>
      <c r="CX77" s="52">
        <v>8.6645000000000003</v>
      </c>
      <c r="CY77" s="52">
        <v>8.6645000000000003</v>
      </c>
      <c r="CZ77" s="52">
        <v>8.6645000000000003</v>
      </c>
      <c r="DA77" s="52">
        <v>8.6645000000000003</v>
      </c>
      <c r="DB77" s="52">
        <v>8.6645000000000003</v>
      </c>
      <c r="DC77" s="52">
        <v>8.6645000000000003</v>
      </c>
      <c r="DD77" s="52">
        <v>8.6645000000000003</v>
      </c>
      <c r="DE77" s="52">
        <v>8.6645000000000003</v>
      </c>
      <c r="DF77" s="52">
        <v>8.6645000000000003</v>
      </c>
      <c r="DG77" s="52">
        <v>8.6645000000000003</v>
      </c>
      <c r="DH77" s="52">
        <v>8.6645000000000003</v>
      </c>
      <c r="DI77" s="52">
        <v>8.6645000000000003</v>
      </c>
      <c r="DJ77" s="52">
        <v>8.6645000000000003</v>
      </c>
      <c r="DK77" s="52">
        <v>8.6645000000000003</v>
      </c>
      <c r="DL77" s="52">
        <v>8.6645000000000003</v>
      </c>
      <c r="DM77" s="52">
        <v>8.6645000000000003</v>
      </c>
      <c r="DN77" s="52">
        <v>8.6645000000000003</v>
      </c>
      <c r="DO77" s="52">
        <v>8.6645000000000003</v>
      </c>
      <c r="DP77" s="52">
        <v>8.6645000000000003</v>
      </c>
      <c r="DQ77" s="52">
        <v>8.6645000000000003</v>
      </c>
      <c r="DR77" s="52">
        <v>8.6645000000000003</v>
      </c>
      <c r="DS77" s="52">
        <v>8.6645000000000003</v>
      </c>
      <c r="DT77" s="52">
        <v>8.6645000000000003</v>
      </c>
      <c r="DU77" s="52">
        <v>8.6645000000000003</v>
      </c>
      <c r="DV77" s="52">
        <v>8.6645000000000003</v>
      </c>
      <c r="DW77" s="52">
        <v>8.6645000000000003</v>
      </c>
      <c r="DX77" s="52">
        <v>8.6645000000000003</v>
      </c>
      <c r="DY77" s="52">
        <v>8.6645000000000003</v>
      </c>
      <c r="DZ77" s="52">
        <v>8.6645000000000003</v>
      </c>
      <c r="EA77" s="52">
        <v>8.6645000000000003</v>
      </c>
      <c r="EB77" s="52">
        <v>8.6645000000000003</v>
      </c>
      <c r="EC77" s="52">
        <v>8.6645000000000003</v>
      </c>
      <c r="ED77" s="52">
        <v>8.6645000000000003</v>
      </c>
      <c r="EE77" s="52">
        <v>8.6645000000000003</v>
      </c>
      <c r="EF77" s="52">
        <v>8.6645000000000003</v>
      </c>
      <c r="EG77" s="52">
        <v>8.6645000000000003</v>
      </c>
      <c r="EH77" s="52">
        <v>8.6645000000000003</v>
      </c>
      <c r="EI77" s="52">
        <v>8.6645000000000003</v>
      </c>
      <c r="EJ77" s="52">
        <v>8.6645000000000003</v>
      </c>
      <c r="EK77" s="52">
        <v>8.6645000000000003</v>
      </c>
      <c r="EL77" s="52">
        <v>8.6645000000000003</v>
      </c>
      <c r="EM77" s="52">
        <v>8.6645000000000003</v>
      </c>
      <c r="EN77" s="52">
        <v>8.6645000000000003</v>
      </c>
      <c r="EO77" s="52">
        <v>8.6645000000000003</v>
      </c>
      <c r="EP77" s="52">
        <v>8.6645000000000003</v>
      </c>
      <c r="EQ77" s="52">
        <v>8.6645000000000003</v>
      </c>
      <c r="ER77" s="52">
        <v>8.6645000000000003</v>
      </c>
      <c r="ES77" s="52">
        <v>8.6645000000000003</v>
      </c>
      <c r="ET77" s="52">
        <v>8.6645000000000003</v>
      </c>
      <c r="EU77" s="52">
        <v>8.6645000000000003</v>
      </c>
      <c r="EV77" s="52">
        <v>8.6645000000000003</v>
      </c>
      <c r="EW77" s="52">
        <v>8.6645000000000003</v>
      </c>
      <c r="EX77" s="52">
        <v>8.6645000000000003</v>
      </c>
      <c r="EY77" s="52">
        <v>8.6645000000000003</v>
      </c>
      <c r="EZ77" s="52">
        <v>8.6645000000000003</v>
      </c>
      <c r="FA77" s="52">
        <v>8.6645000000000003</v>
      </c>
      <c r="FB77" s="52">
        <v>8.6645000000000003</v>
      </c>
      <c r="FC77" s="52">
        <v>8.6645000000000003</v>
      </c>
      <c r="FD77" s="52">
        <v>8.6645000000000003</v>
      </c>
      <c r="FE77" s="52">
        <v>8.6645000000000003</v>
      </c>
      <c r="FF77" s="52">
        <v>8.6645000000000003</v>
      </c>
      <c r="FG77" s="52">
        <v>8.6645000000000003</v>
      </c>
      <c r="FH77" s="52">
        <v>8.6645000000000003</v>
      </c>
      <c r="FI77" s="52">
        <v>8.6645000000000003</v>
      </c>
      <c r="FJ77" s="52">
        <v>8.6645000000000003</v>
      </c>
      <c r="FK77" s="52">
        <v>8.6645000000000003</v>
      </c>
      <c r="FL77" s="52">
        <v>8.6645000000000003</v>
      </c>
      <c r="FM77" s="52">
        <v>8.6645000000000003</v>
      </c>
      <c r="FN77" s="52">
        <v>8.6645000000000003</v>
      </c>
      <c r="FO77" s="52">
        <v>8.6645000000000003</v>
      </c>
      <c r="FP77" s="52">
        <v>8.6645000000000003</v>
      </c>
      <c r="FQ77" s="52">
        <v>8.6645000000000003</v>
      </c>
      <c r="FR77" s="52">
        <v>8.6645000000000003</v>
      </c>
      <c r="FS77" s="52">
        <v>8.6645000000000003</v>
      </c>
      <c r="FT77" s="52">
        <v>8.6645000000000003</v>
      </c>
      <c r="FU77" s="52">
        <v>8.6645000000000003</v>
      </c>
      <c r="FV77" s="52">
        <v>8.6645000000000003</v>
      </c>
      <c r="FW77" s="52">
        <v>8.6645000000000003</v>
      </c>
      <c r="FX77" s="52">
        <v>8.6645000000000003</v>
      </c>
      <c r="FY77" s="52">
        <v>8.6645000000000003</v>
      </c>
      <c r="FZ77" s="52">
        <v>8.6645000000000003</v>
      </c>
      <c r="GA77" s="52">
        <v>8.6645000000000003</v>
      </c>
      <c r="GB77" s="52">
        <v>8.6645000000000003</v>
      </c>
      <c r="GC77" s="52">
        <v>8.6645000000000003</v>
      </c>
      <c r="GD77" s="52">
        <v>8.6645000000000003</v>
      </c>
      <c r="GE77" s="52">
        <v>8.6645000000000003</v>
      </c>
      <c r="GF77" s="52">
        <v>8.6645000000000003</v>
      </c>
      <c r="GG77" s="52">
        <v>8.6645000000000003</v>
      </c>
      <c r="GH77" s="52">
        <v>8.6645000000000003</v>
      </c>
      <c r="GI77" s="52">
        <v>8.6645000000000003</v>
      </c>
      <c r="GJ77" s="52">
        <v>8.6645000000000003</v>
      </c>
      <c r="GK77" s="52">
        <v>8.6645000000000003</v>
      </c>
      <c r="GL77" s="52">
        <v>8.6645000000000003</v>
      </c>
      <c r="GM77" s="52">
        <v>8.6645000000000003</v>
      </c>
      <c r="GN77" s="52">
        <v>8.6645000000000003</v>
      </c>
      <c r="GO77" s="52">
        <v>8.6645000000000003</v>
      </c>
      <c r="GP77" s="52">
        <v>8.6645000000000003</v>
      </c>
      <c r="GQ77" s="52">
        <v>8.6645000000000003</v>
      </c>
      <c r="GR77" s="52">
        <v>8.6645000000000003</v>
      </c>
      <c r="GS77" s="52">
        <v>8.6645000000000003</v>
      </c>
      <c r="GT77" s="52">
        <v>8.6645000000000003</v>
      </c>
      <c r="GU77" s="52">
        <v>8.6645000000000003</v>
      </c>
      <c r="GV77" s="52">
        <v>8.6645000000000003</v>
      </c>
      <c r="GW77" s="52">
        <v>8.6645000000000003</v>
      </c>
      <c r="GX77" s="52">
        <v>8.6645000000000003</v>
      </c>
      <c r="GY77" s="52">
        <v>8.6645000000000003</v>
      </c>
      <c r="GZ77" s="52">
        <v>8.6645000000000003</v>
      </c>
      <c r="HA77" s="52">
        <v>8.6645000000000003</v>
      </c>
      <c r="HB77" s="52">
        <v>8.6645000000000003</v>
      </c>
      <c r="HC77" s="52">
        <v>8.6645000000000003</v>
      </c>
      <c r="HD77" s="52">
        <v>8.6645000000000003</v>
      </c>
      <c r="HE77" s="52">
        <v>8.6645000000000003</v>
      </c>
      <c r="HF77" s="52">
        <v>8.6645000000000003</v>
      </c>
      <c r="HG77" s="52">
        <v>8.6645000000000003</v>
      </c>
      <c r="HH77" s="52">
        <v>8.6645000000000003</v>
      </c>
      <c r="HI77" s="52">
        <v>8.6645000000000003</v>
      </c>
      <c r="HJ77" s="52">
        <v>8.6645000000000003</v>
      </c>
      <c r="HK77" s="52">
        <v>8.6645000000000003</v>
      </c>
      <c r="HL77" s="52">
        <v>8.6645000000000003</v>
      </c>
      <c r="HM77" s="52">
        <v>8.6645000000000003</v>
      </c>
      <c r="HN77" s="52">
        <v>8.6645000000000003</v>
      </c>
      <c r="HO77" s="52">
        <v>8.6645000000000003</v>
      </c>
      <c r="HP77" s="52">
        <v>8.6645000000000003</v>
      </c>
      <c r="HQ77" s="52">
        <v>8.6645000000000003</v>
      </c>
      <c r="HR77" s="52">
        <v>8.6645000000000003</v>
      </c>
      <c r="HS77" s="52">
        <v>8.6645000000000003</v>
      </c>
      <c r="HT77" s="52">
        <v>8.6645000000000003</v>
      </c>
      <c r="HU77" s="52">
        <v>8.6645000000000003</v>
      </c>
      <c r="HV77" s="52">
        <v>8.6645000000000003</v>
      </c>
      <c r="HW77" s="52">
        <v>8.6645000000000003</v>
      </c>
      <c r="HX77" s="52">
        <v>8.6645000000000003</v>
      </c>
      <c r="HY77" s="52">
        <v>8.6645000000000003</v>
      </c>
      <c r="HZ77" s="52">
        <v>8.6645000000000003</v>
      </c>
      <c r="IA77" s="52">
        <v>8.6645000000000003</v>
      </c>
      <c r="IB77" s="52">
        <v>8.6645000000000003</v>
      </c>
      <c r="IC77" s="52">
        <v>8.6645000000000003</v>
      </c>
      <c r="ID77" s="52">
        <v>8.6645000000000003</v>
      </c>
      <c r="IE77" s="52">
        <v>8.6645000000000003</v>
      </c>
      <c r="IF77" s="52">
        <v>8.6645000000000003</v>
      </c>
      <c r="IG77" s="52">
        <v>8.6645000000000003</v>
      </c>
      <c r="IH77" s="52">
        <v>8.6645000000000003</v>
      </c>
      <c r="II77" s="52">
        <v>8.6645000000000003</v>
      </c>
      <c r="IJ77" s="52">
        <v>8.6645000000000003</v>
      </c>
      <c r="IK77" s="52">
        <v>8.6645000000000003</v>
      </c>
      <c r="IL77" s="52">
        <v>8.6645000000000003</v>
      </c>
      <c r="IM77" s="52">
        <v>8.6645000000000003</v>
      </c>
      <c r="IN77" s="52">
        <v>8.6645000000000003</v>
      </c>
      <c r="IO77" s="52">
        <v>8.6645000000000003</v>
      </c>
      <c r="IP77" s="52">
        <v>8.6645000000000003</v>
      </c>
      <c r="IQ77" s="52">
        <v>8.6645000000000003</v>
      </c>
      <c r="IR77" s="52">
        <v>8.6645000000000003</v>
      </c>
      <c r="IS77" s="52">
        <v>8.6645000000000003</v>
      </c>
      <c r="IT77" s="52">
        <v>8.6645000000000003</v>
      </c>
      <c r="IU77" s="52">
        <v>8.6645000000000003</v>
      </c>
      <c r="IV77" s="52">
        <v>8.6645000000000003</v>
      </c>
      <c r="IW77" s="52">
        <v>8.6645000000000003</v>
      </c>
      <c r="IX77" s="52">
        <v>8.6645000000000003</v>
      </c>
      <c r="IY77" s="52">
        <v>8.6645000000000003</v>
      </c>
      <c r="IZ77" s="52">
        <v>8.6645000000000003</v>
      </c>
      <c r="JA77" s="52">
        <v>8.6645000000000003</v>
      </c>
      <c r="JB77" s="52">
        <v>8.6645000000000003</v>
      </c>
      <c r="JC77" s="52">
        <v>8.6645000000000003</v>
      </c>
      <c r="JD77" s="52">
        <v>8.6645000000000003</v>
      </c>
      <c r="JE77" s="52">
        <v>8.6645000000000003</v>
      </c>
      <c r="JF77" s="52">
        <v>8.6645000000000003</v>
      </c>
      <c r="JG77" s="52">
        <v>8.6645000000000003</v>
      </c>
      <c r="JH77" s="52">
        <v>8.6645000000000003</v>
      </c>
      <c r="JI77" s="52">
        <v>8.6645000000000003</v>
      </c>
      <c r="JJ77" s="52">
        <v>8.6645000000000003</v>
      </c>
      <c r="JK77" s="52">
        <v>8.6645000000000003</v>
      </c>
      <c r="JL77" s="52">
        <v>8.6645000000000003</v>
      </c>
      <c r="JM77" s="52">
        <v>8.6645000000000003</v>
      </c>
      <c r="JN77" s="52">
        <v>8.6645000000000003</v>
      </c>
      <c r="JO77" s="52">
        <v>8.6645000000000003</v>
      </c>
      <c r="JP77" s="52">
        <v>8.6645000000000003</v>
      </c>
      <c r="JQ77" s="52">
        <v>8.6645000000000003</v>
      </c>
      <c r="JR77" s="52">
        <v>8.6645000000000003</v>
      </c>
      <c r="JS77" s="52">
        <v>8.6645000000000003</v>
      </c>
      <c r="JT77" s="52">
        <v>8.6645000000000003</v>
      </c>
      <c r="JU77" s="52">
        <v>8.6645000000000003</v>
      </c>
      <c r="JV77" s="52">
        <v>8.6645000000000003</v>
      </c>
      <c r="JW77" s="52">
        <v>8.6645000000000003</v>
      </c>
      <c r="JX77" s="52">
        <v>8.6645000000000003</v>
      </c>
      <c r="JY77" s="52">
        <v>8.6645000000000003</v>
      </c>
      <c r="JZ77" s="52">
        <v>8.6645000000000003</v>
      </c>
      <c r="KA77" s="52">
        <v>8.6645000000000003</v>
      </c>
      <c r="KB77" s="52">
        <v>8.6645000000000003</v>
      </c>
      <c r="KC77" s="52">
        <v>8.6645000000000003</v>
      </c>
      <c r="KD77" s="52">
        <v>8.6645000000000003</v>
      </c>
      <c r="KE77" s="52">
        <v>8.6645000000000003</v>
      </c>
      <c r="KF77" s="52">
        <v>8.6645000000000003</v>
      </c>
      <c r="KG77" s="52">
        <v>8.6645000000000003</v>
      </c>
      <c r="KH77" s="52">
        <v>8.6645000000000003</v>
      </c>
      <c r="KI77" s="52">
        <v>8.6645000000000003</v>
      </c>
      <c r="KJ77" s="52">
        <v>8.6645000000000003</v>
      </c>
      <c r="KK77" s="52">
        <v>8.6645000000000003</v>
      </c>
      <c r="KL77" s="52">
        <v>8.6645000000000003</v>
      </c>
      <c r="KM77" s="52">
        <v>8.6645000000000003</v>
      </c>
      <c r="KN77" s="52">
        <v>8.6645000000000003</v>
      </c>
      <c r="KO77" s="52">
        <v>8.6645000000000003</v>
      </c>
      <c r="KP77" s="52">
        <v>8.6645000000000003</v>
      </c>
      <c r="KQ77" s="52">
        <v>8.6645000000000003</v>
      </c>
      <c r="KR77" s="52">
        <v>8.6645000000000003</v>
      </c>
      <c r="KS77" s="52">
        <v>8.6645000000000003</v>
      </c>
      <c r="KT77" s="52">
        <v>8.6645000000000003</v>
      </c>
      <c r="KU77" s="52">
        <v>8.6645000000000003</v>
      </c>
      <c r="KV77" s="52">
        <v>8.6645000000000003</v>
      </c>
      <c r="KW77" s="52">
        <v>8.6645000000000003</v>
      </c>
      <c r="KX77" s="52">
        <v>8.6645000000000003</v>
      </c>
      <c r="KY77" s="52">
        <v>8.6645000000000003</v>
      </c>
      <c r="KZ77" s="52">
        <v>8.6645000000000003</v>
      </c>
      <c r="LA77" s="52">
        <v>8.6645000000000003</v>
      </c>
      <c r="LB77" s="52">
        <v>8.6645000000000003</v>
      </c>
      <c r="LC77" s="52">
        <v>8.6645000000000003</v>
      </c>
      <c r="LD77" s="52">
        <v>8.6645000000000003</v>
      </c>
      <c r="LE77" s="52">
        <v>8.6645000000000003</v>
      </c>
      <c r="LF77" s="52">
        <v>8.6645000000000003</v>
      </c>
      <c r="LG77" s="52">
        <v>8.6645000000000003</v>
      </c>
      <c r="LH77" s="52">
        <v>8.6645000000000003</v>
      </c>
      <c r="LI77" s="52">
        <v>8.6645000000000003</v>
      </c>
      <c r="LJ77" s="52">
        <v>8.6645000000000003</v>
      </c>
      <c r="LK77" s="52">
        <v>8.6645000000000003</v>
      </c>
      <c r="LL77" s="52">
        <v>8.6645000000000003</v>
      </c>
      <c r="LM77" s="52">
        <v>8.6645000000000003</v>
      </c>
      <c r="LN77" s="52">
        <v>8.6645000000000003</v>
      </c>
      <c r="LO77" s="52">
        <v>8.6645000000000003</v>
      </c>
      <c r="LP77" s="52">
        <v>8.6645000000000003</v>
      </c>
      <c r="LQ77" s="52">
        <v>8.6645000000000003</v>
      </c>
      <c r="LR77" s="52">
        <v>8.6645000000000003</v>
      </c>
      <c r="LS77" s="52">
        <v>8.6645000000000003</v>
      </c>
      <c r="LT77" s="52">
        <v>8.6645000000000003</v>
      </c>
      <c r="LU77" s="52">
        <v>8.6645000000000003</v>
      </c>
      <c r="LV77" s="52">
        <v>8.6645000000000003</v>
      </c>
      <c r="LW77" s="52">
        <v>8.6645000000000003</v>
      </c>
      <c r="LX77" s="52">
        <v>8.6645000000000003</v>
      </c>
      <c r="LY77" s="52">
        <v>8.6645000000000003</v>
      </c>
      <c r="LZ77" s="52">
        <v>8.6645000000000003</v>
      </c>
      <c r="MA77" s="52">
        <v>8.6645000000000003</v>
      </c>
      <c r="MB77" s="52">
        <v>8.6645000000000003</v>
      </c>
      <c r="MC77" s="52">
        <v>8.6645000000000003</v>
      </c>
      <c r="MD77" s="52">
        <v>8.6645000000000003</v>
      </c>
      <c r="ME77" s="52">
        <v>8.6645000000000003</v>
      </c>
      <c r="MF77" s="52">
        <v>8.6645000000000003</v>
      </c>
      <c r="MG77" s="52">
        <v>8.6645000000000003</v>
      </c>
      <c r="MH77" s="52">
        <v>8.6645000000000003</v>
      </c>
      <c r="MI77" s="52">
        <v>8.6645000000000003</v>
      </c>
      <c r="MJ77" s="52">
        <v>8.6645000000000003</v>
      </c>
      <c r="MK77" s="52">
        <v>8.6645000000000003</v>
      </c>
      <c r="ML77" s="52">
        <v>8.6645000000000003</v>
      </c>
      <c r="MM77" s="52">
        <v>8.6645000000000003</v>
      </c>
      <c r="MN77" s="52">
        <v>8.6645000000000003</v>
      </c>
      <c r="MO77" s="52">
        <v>8.6645000000000003</v>
      </c>
      <c r="MP77" s="52">
        <v>8.6645000000000003</v>
      </c>
      <c r="MQ77" s="52">
        <v>8.6645000000000003</v>
      </c>
      <c r="MR77" s="52">
        <v>8.6645000000000003</v>
      </c>
      <c r="MS77" s="52">
        <v>8.6645000000000003</v>
      </c>
      <c r="MT77" s="52">
        <v>8.6645000000000003</v>
      </c>
      <c r="MU77" s="52">
        <v>8.6645000000000003</v>
      </c>
      <c r="MV77" s="52">
        <v>8.6645000000000003</v>
      </c>
      <c r="MW77" s="52">
        <v>8.6645000000000003</v>
      </c>
      <c r="MX77" s="52">
        <v>8.6645000000000003</v>
      </c>
      <c r="MY77" s="52">
        <v>8.6645000000000003</v>
      </c>
      <c r="MZ77" s="52">
        <v>8.6645000000000003</v>
      </c>
      <c r="NA77" s="52">
        <v>8.6645000000000003</v>
      </c>
      <c r="NB77" s="52">
        <v>8.6645000000000003</v>
      </c>
      <c r="NC77" s="52">
        <v>8.6645000000000003</v>
      </c>
      <c r="ND77" s="52">
        <v>8.6645000000000003</v>
      </c>
      <c r="NE77" s="52">
        <v>8.6645000000000003</v>
      </c>
      <c r="NF77" s="52">
        <v>8.6645000000000003</v>
      </c>
      <c r="NG77" s="37">
        <v>8.6645000000000003</v>
      </c>
      <c r="NH77" s="37">
        <v>8.6645000000000003</v>
      </c>
      <c r="NI77" s="37">
        <v>8.6645000000000003</v>
      </c>
      <c r="NJ77" s="37">
        <v>8.6645000000000003</v>
      </c>
      <c r="NK77" s="37">
        <v>8.6645000000000003</v>
      </c>
      <c r="NL77" s="37">
        <v>8.6645000000000003</v>
      </c>
      <c r="NM77" s="37">
        <v>8.6645000000000003</v>
      </c>
      <c r="NN77" s="37">
        <v>8.6645000000000003</v>
      </c>
      <c r="NO77" s="37">
        <v>8.6645000000000003</v>
      </c>
      <c r="NP77" s="37">
        <v>8.6645000000000003</v>
      </c>
      <c r="NQ77" s="37">
        <v>8.6645000000000003</v>
      </c>
      <c r="NR77" s="37">
        <v>8.6645000000000003</v>
      </c>
      <c r="NS77" s="37">
        <v>8.6645000000000003</v>
      </c>
      <c r="NT77" s="37">
        <v>8.6645000000000003</v>
      </c>
      <c r="NU77" s="37">
        <v>8.6645000000000003</v>
      </c>
      <c r="NV77" s="37">
        <v>8.6645000000000003</v>
      </c>
      <c r="NW77" s="37">
        <v>8.6645000000000003</v>
      </c>
      <c r="NX77" s="37">
        <v>8.6645000000000003</v>
      </c>
      <c r="NY77" s="37">
        <v>8.6645000000000003</v>
      </c>
      <c r="NZ77" s="37">
        <v>8.6645000000000003</v>
      </c>
      <c r="OA77" s="37">
        <v>8.6645000000000003</v>
      </c>
      <c r="OB77" s="37">
        <v>8.6645000000000003</v>
      </c>
      <c r="OC77" s="37">
        <v>8.6645000000000003</v>
      </c>
      <c r="OD77" s="37">
        <v>8.6645000000000003</v>
      </c>
      <c r="OE77" s="37">
        <v>8.6645000000000003</v>
      </c>
      <c r="OF77" s="37">
        <v>8.6645000000000003</v>
      </c>
      <c r="OG77" s="37">
        <v>8.6645000000000003</v>
      </c>
      <c r="OH77" s="37">
        <v>8.6645000000000003</v>
      </c>
      <c r="OI77" s="37">
        <v>8.6645000000000003</v>
      </c>
      <c r="OJ77" s="37">
        <v>8.6645000000000003</v>
      </c>
      <c r="OK77" s="37">
        <v>8.6645000000000003</v>
      </c>
      <c r="OL77" s="37">
        <v>8.6645000000000003</v>
      </c>
      <c r="OM77" s="37">
        <v>8.6645000000000003</v>
      </c>
      <c r="ON77" s="37">
        <v>8.6645000000000003</v>
      </c>
      <c r="OO77" s="37">
        <v>8.6645000000000003</v>
      </c>
      <c r="OP77" s="37">
        <v>8.6645000000000003</v>
      </c>
      <c r="OQ77" s="37">
        <v>8.6645000000000003</v>
      </c>
      <c r="OR77" s="37">
        <v>8.6645000000000003</v>
      </c>
      <c r="OS77" s="37">
        <v>8.6645000000000003</v>
      </c>
      <c r="OT77" s="37">
        <v>8.6645000000000003</v>
      </c>
      <c r="OU77" s="37">
        <v>8.6645000000000003</v>
      </c>
      <c r="OV77" s="37">
        <v>8.6645000000000003</v>
      </c>
      <c r="OW77" s="37">
        <v>8.6645000000000003</v>
      </c>
      <c r="OX77" s="37">
        <v>8.6645000000000003</v>
      </c>
      <c r="OY77" s="37">
        <v>8.6645000000000003</v>
      </c>
      <c r="OZ77" s="37">
        <v>8.6645000000000003</v>
      </c>
      <c r="PA77" s="37">
        <v>8.6645000000000003</v>
      </c>
      <c r="PB77" s="37">
        <v>8.6645000000000003</v>
      </c>
      <c r="PC77" s="37">
        <v>8.6645000000000003</v>
      </c>
      <c r="PD77" s="37">
        <v>8.6645000000000003</v>
      </c>
      <c r="PE77" s="37">
        <v>8.6645000000000003</v>
      </c>
      <c r="PF77" s="37">
        <v>8.6645000000000003</v>
      </c>
      <c r="PG77" s="37">
        <v>8.6645000000000003</v>
      </c>
      <c r="PH77" s="37">
        <v>8.6645000000000003</v>
      </c>
      <c r="PI77" s="37">
        <v>8.6645000000000003</v>
      </c>
      <c r="PJ77" s="37">
        <v>8.6645000000000003</v>
      </c>
      <c r="PK77" s="37">
        <v>8.6645000000000003</v>
      </c>
      <c r="PL77" s="37">
        <v>8.6645000000000003</v>
      </c>
      <c r="PM77" s="37">
        <v>8.6645000000000003</v>
      </c>
      <c r="PN77" s="37">
        <v>8.6645000000000003</v>
      </c>
      <c r="PO77" s="37">
        <v>8.6645000000000003</v>
      </c>
      <c r="PP77" s="37">
        <v>8.6645000000000003</v>
      </c>
      <c r="PQ77" s="37">
        <v>8.6645000000000003</v>
      </c>
      <c r="PR77" s="37">
        <v>8.6645000000000003</v>
      </c>
      <c r="PS77" s="15">
        <v>8.6645000000000003</v>
      </c>
      <c r="PT77" s="15">
        <v>8.6645000000000003</v>
      </c>
      <c r="PU77" s="15">
        <v>8.6645000000000003</v>
      </c>
      <c r="PV77" s="15">
        <v>8.6645000000000003</v>
      </c>
      <c r="PW77" s="15">
        <v>8.6645000000000003</v>
      </c>
      <c r="PX77" s="15">
        <v>8.6645000000000003</v>
      </c>
      <c r="PY77" s="15">
        <v>8.6645000000000003</v>
      </c>
      <c r="PZ77" s="15">
        <v>8.6645000000000003</v>
      </c>
      <c r="QA77" s="15">
        <v>8.6645000000000003</v>
      </c>
      <c r="QB77" s="15">
        <v>8.6645000000000003</v>
      </c>
      <c r="QC77" s="15">
        <v>8.6645000000000003</v>
      </c>
      <c r="QD77" s="15">
        <v>8.6645000000000003</v>
      </c>
      <c r="QE77" s="15">
        <v>8.6645000000000003</v>
      </c>
      <c r="QF77" s="15">
        <v>8.6645000000000003</v>
      </c>
      <c r="QG77" s="15">
        <v>8.6645000000000003</v>
      </c>
      <c r="QH77" s="15">
        <v>8.6645000000000003</v>
      </c>
      <c r="QI77" s="15">
        <v>8.6645000000000003</v>
      </c>
      <c r="QJ77" s="15">
        <v>8.6645000000000003</v>
      </c>
      <c r="QK77" s="15">
        <v>8.6645000000000003</v>
      </c>
      <c r="QL77" s="15">
        <v>8.6645000000000003</v>
      </c>
      <c r="QM77" s="15">
        <v>8.6645000000000003</v>
      </c>
      <c r="QN77" s="15">
        <v>8.6645000000000003</v>
      </c>
      <c r="QO77" s="15">
        <v>8.6645000000000003</v>
      </c>
      <c r="QP77" s="15">
        <v>8.6645000000000003</v>
      </c>
      <c r="QQ77" s="15">
        <v>8.6645000000000003</v>
      </c>
      <c r="QR77" s="15">
        <v>8.6645000000000003</v>
      </c>
      <c r="QS77" s="15">
        <v>8.6645000000000003</v>
      </c>
      <c r="QT77" s="15">
        <v>8.6645000000000003</v>
      </c>
      <c r="QU77" s="15">
        <v>8.6645000000000003</v>
      </c>
      <c r="QV77" s="15">
        <v>8.6645000000000003</v>
      </c>
      <c r="QW77" s="15">
        <v>8.6645000000000003</v>
      </c>
      <c r="QX77" s="15">
        <v>8.6645000000000003</v>
      </c>
      <c r="QY77" s="15">
        <v>8.6645000000000003</v>
      </c>
      <c r="QZ77" s="15">
        <v>8.6645000000000003</v>
      </c>
      <c r="RA77" s="15">
        <v>8.6645000000000003</v>
      </c>
      <c r="RB77" s="15">
        <v>8.6645000000000003</v>
      </c>
      <c r="RC77" s="15">
        <v>8.6645000000000003</v>
      </c>
      <c r="RD77" s="15">
        <v>8.6645000000000003</v>
      </c>
      <c r="RE77" s="15">
        <v>8.6645000000000003</v>
      </c>
      <c r="RF77" s="15">
        <v>8.6645000000000003</v>
      </c>
      <c r="RG77" s="15">
        <v>8.6645000000000003</v>
      </c>
      <c r="RH77" s="15">
        <v>8.6645000000000003</v>
      </c>
      <c r="RI77" s="15">
        <v>8.6645000000000003</v>
      </c>
      <c r="RJ77" s="15">
        <v>8.6645000000000003</v>
      </c>
      <c r="RK77" s="15">
        <v>8.6645000000000003</v>
      </c>
      <c r="RL77" s="15">
        <v>8.6645000000000003</v>
      </c>
      <c r="RM77" s="15">
        <v>8.6645000000000003</v>
      </c>
      <c r="RN77" s="15">
        <v>8.6645000000000003</v>
      </c>
      <c r="RO77" s="15">
        <v>8.6645000000000003</v>
      </c>
      <c r="RP77" s="15">
        <v>8.6645000000000003</v>
      </c>
      <c r="RQ77" s="15">
        <v>8.6645000000000003</v>
      </c>
      <c r="RR77" s="15">
        <v>8.6645000000000003</v>
      </c>
      <c r="RS77" s="15">
        <v>8.6645000000000003</v>
      </c>
      <c r="RT77" s="15">
        <v>8.6645000000000003</v>
      </c>
      <c r="RU77" s="15">
        <v>8.6645000000000003</v>
      </c>
      <c r="RV77" s="15">
        <v>8.6645000000000003</v>
      </c>
      <c r="RW77" s="15">
        <v>8.6645000000000003</v>
      </c>
      <c r="RX77" s="15">
        <v>8.6645000000000003</v>
      </c>
      <c r="RY77" s="15">
        <v>8.6645000000000003</v>
      </c>
      <c r="RZ77" s="15">
        <v>8.6645000000000003</v>
      </c>
      <c r="SA77" s="15">
        <v>8.6645000000000003</v>
      </c>
      <c r="SB77" s="15">
        <v>8.6645000000000003</v>
      </c>
      <c r="SC77" s="15">
        <v>8.6645000000000003</v>
      </c>
      <c r="SD77" s="15">
        <v>8.6645000000000003</v>
      </c>
      <c r="SE77" s="15">
        <v>8.6645000000000003</v>
      </c>
      <c r="SF77" s="15">
        <v>8.6645000000000003</v>
      </c>
      <c r="SG77" s="15">
        <v>8.6645000000000003</v>
      </c>
      <c r="SH77" s="15">
        <v>8.6645000000000003</v>
      </c>
      <c r="SI77" s="15">
        <v>8.6645000000000003</v>
      </c>
      <c r="SJ77" s="15">
        <v>8.6645000000000003</v>
      </c>
      <c r="SK77" s="15">
        <v>8.6645000000000003</v>
      </c>
      <c r="SL77" s="15">
        <v>8.6645000000000003</v>
      </c>
      <c r="SM77" s="15">
        <v>8.6645000000000003</v>
      </c>
      <c r="SN77" s="15">
        <v>7.3346</v>
      </c>
      <c r="SO77" s="15" t="s">
        <v>668</v>
      </c>
    </row>
    <row r="78" spans="1:509" x14ac:dyDescent="0.2">
      <c r="A78" s="37">
        <v>76</v>
      </c>
      <c r="B78" s="37" t="s">
        <v>867</v>
      </c>
      <c r="C78" s="17">
        <f>+'Detalle Compras'!D78</f>
        <v>202509170118</v>
      </c>
      <c r="D78" s="55">
        <f t="shared" si="16"/>
        <v>11.231999999999999</v>
      </c>
      <c r="E78" s="14">
        <f>+IF(B78="","",'Detalle Compras'!S78+0)</f>
        <v>45971</v>
      </c>
      <c r="F78" s="14">
        <f>+IF(B78="","",EOMONTH('Detalle Compras'!S78,G78)+10)</f>
        <v>58785</v>
      </c>
      <c r="G78" s="50">
        <f t="shared" si="17"/>
        <v>420</v>
      </c>
      <c r="H78" s="50">
        <f t="shared" si="18"/>
        <v>417</v>
      </c>
      <c r="AC78" s="37">
        <v>11.231999999999999</v>
      </c>
      <c r="AD78" s="37">
        <v>11.231999999999999</v>
      </c>
      <c r="AE78" s="37">
        <v>11.231999999999999</v>
      </c>
      <c r="AF78" s="37">
        <v>11.231999999999999</v>
      </c>
      <c r="AG78" s="37">
        <v>11.231999999999999</v>
      </c>
      <c r="AH78" s="37">
        <v>11.231999999999999</v>
      </c>
      <c r="AI78" s="37">
        <v>11.231999999999999</v>
      </c>
      <c r="AJ78" s="37">
        <v>11.231999999999999</v>
      </c>
      <c r="AK78" s="37">
        <v>11.231999999999999</v>
      </c>
      <c r="AL78" s="37">
        <v>11.231999999999999</v>
      </c>
      <c r="AM78" s="37">
        <v>11.231999999999999</v>
      </c>
      <c r="AN78" s="37">
        <v>11.231999999999999</v>
      </c>
      <c r="AO78" s="37">
        <v>11.231999999999999</v>
      </c>
      <c r="AP78" s="37">
        <v>11.231999999999999</v>
      </c>
      <c r="AQ78" s="37">
        <v>11.231999999999999</v>
      </c>
      <c r="AR78" s="37">
        <v>11.231999999999999</v>
      </c>
      <c r="AS78" s="37">
        <v>11.231999999999999</v>
      </c>
      <c r="AT78" s="37">
        <v>11.231999999999999</v>
      </c>
      <c r="AU78" s="37">
        <v>11.231999999999999</v>
      </c>
      <c r="AV78" s="37">
        <v>11.231999999999999</v>
      </c>
      <c r="AW78" s="37">
        <v>11.231999999999999</v>
      </c>
      <c r="AX78" s="37">
        <v>11.231999999999999</v>
      </c>
      <c r="AY78" s="37">
        <v>11.231999999999999</v>
      </c>
      <c r="AZ78" s="37">
        <v>11.231999999999999</v>
      </c>
      <c r="BA78" s="37">
        <v>11.231999999999999</v>
      </c>
      <c r="BB78" s="37">
        <v>11.231999999999999</v>
      </c>
      <c r="BC78" s="37">
        <v>11.231999999999999</v>
      </c>
      <c r="BD78" s="37">
        <v>11.231999999999999</v>
      </c>
      <c r="BE78" s="37">
        <v>11.231999999999999</v>
      </c>
      <c r="BF78" s="37">
        <v>11.231999999999999</v>
      </c>
      <c r="BG78" s="37">
        <v>11.231999999999999</v>
      </c>
      <c r="BH78" s="37">
        <v>11.231999999999999</v>
      </c>
      <c r="BI78" s="37">
        <v>11.231999999999999</v>
      </c>
      <c r="BJ78" s="37">
        <v>11.231999999999999</v>
      </c>
      <c r="BK78" s="37">
        <v>11.231999999999999</v>
      </c>
      <c r="BL78" s="37">
        <v>11.231999999999999</v>
      </c>
      <c r="BM78" s="37">
        <v>11.231999999999999</v>
      </c>
      <c r="BN78" s="37">
        <v>11.231999999999999</v>
      </c>
      <c r="BO78" s="37">
        <v>11.231999999999999</v>
      </c>
      <c r="BP78" s="37">
        <v>11.231999999999999</v>
      </c>
      <c r="BQ78" s="37">
        <v>11.231999999999999</v>
      </c>
      <c r="BR78" s="37">
        <v>11.231999999999999</v>
      </c>
      <c r="BS78" s="37">
        <v>11.231999999999999</v>
      </c>
      <c r="BT78" s="37">
        <v>11.231999999999999</v>
      </c>
      <c r="BU78" s="37">
        <v>11.231999999999999</v>
      </c>
      <c r="BV78" s="37">
        <v>11.231999999999999</v>
      </c>
      <c r="BW78" s="37">
        <v>11.231999999999999</v>
      </c>
      <c r="BX78" s="37">
        <v>11.231999999999999</v>
      </c>
      <c r="BY78" s="37">
        <v>11.231999999999999</v>
      </c>
      <c r="BZ78" s="37">
        <v>11.231999999999999</v>
      </c>
      <c r="CA78" s="37">
        <v>11.231999999999999</v>
      </c>
      <c r="CB78" s="37">
        <v>11.231999999999999</v>
      </c>
      <c r="CC78" s="37">
        <v>11.231999999999999</v>
      </c>
      <c r="CD78" s="37">
        <v>11.231999999999999</v>
      </c>
      <c r="CE78" s="37">
        <v>11.231999999999999</v>
      </c>
      <c r="CF78" s="37">
        <v>11.231999999999999</v>
      </c>
      <c r="CG78" s="37">
        <v>11.231999999999999</v>
      </c>
      <c r="CH78" s="37">
        <v>11.231999999999999</v>
      </c>
      <c r="CI78" s="37">
        <v>11.231999999999999</v>
      </c>
      <c r="CJ78" s="37">
        <v>11.231999999999999</v>
      </c>
      <c r="CK78" s="37">
        <v>11.231999999999999</v>
      </c>
      <c r="CL78" s="37">
        <v>11.231999999999999</v>
      </c>
      <c r="CM78" s="37">
        <v>11.231999999999999</v>
      </c>
      <c r="CN78" s="37">
        <v>11.231999999999999</v>
      </c>
      <c r="CO78" s="37">
        <v>11.231999999999999</v>
      </c>
      <c r="CP78" s="37">
        <v>11.231999999999999</v>
      </c>
      <c r="CQ78" s="37">
        <v>11.231999999999999</v>
      </c>
      <c r="CR78" s="37">
        <v>11.231999999999999</v>
      </c>
      <c r="CS78" s="37">
        <v>11.231999999999999</v>
      </c>
      <c r="CT78" s="37">
        <v>11.231999999999999</v>
      </c>
      <c r="CU78" s="37">
        <v>11.231999999999999</v>
      </c>
      <c r="CV78" s="37">
        <v>11.231999999999999</v>
      </c>
      <c r="CW78" s="37">
        <v>11.231999999999999</v>
      </c>
      <c r="CX78" s="37">
        <v>11.231999999999999</v>
      </c>
      <c r="CY78" s="37">
        <v>11.231999999999999</v>
      </c>
      <c r="CZ78" s="37">
        <v>11.231999999999999</v>
      </c>
      <c r="DA78" s="37">
        <v>11.231999999999999</v>
      </c>
      <c r="DB78" s="37">
        <v>11.231999999999999</v>
      </c>
      <c r="DC78" s="37">
        <v>11.231999999999999</v>
      </c>
      <c r="DD78" s="37">
        <v>11.231999999999999</v>
      </c>
      <c r="DE78" s="37">
        <v>11.231999999999999</v>
      </c>
      <c r="DF78" s="37">
        <v>11.231999999999999</v>
      </c>
      <c r="DG78" s="37">
        <v>11.231999999999999</v>
      </c>
      <c r="DH78" s="37">
        <v>11.231999999999999</v>
      </c>
      <c r="DI78" s="37">
        <v>11.231999999999999</v>
      </c>
      <c r="DJ78" s="37">
        <v>11.231999999999999</v>
      </c>
      <c r="DK78" s="37">
        <v>11.231999999999999</v>
      </c>
      <c r="DL78" s="37">
        <v>11.231999999999999</v>
      </c>
      <c r="DM78" s="37">
        <v>11.231999999999999</v>
      </c>
      <c r="DN78" s="37">
        <v>11.231999999999999</v>
      </c>
      <c r="DO78" s="37">
        <v>11.231999999999999</v>
      </c>
      <c r="DP78" s="37">
        <v>11.231999999999999</v>
      </c>
      <c r="DQ78" s="37">
        <v>11.231999999999999</v>
      </c>
      <c r="DR78" s="37">
        <v>11.231999999999999</v>
      </c>
      <c r="DS78" s="37">
        <v>11.231999999999999</v>
      </c>
      <c r="DT78" s="37">
        <v>11.231999999999999</v>
      </c>
      <c r="DU78" s="37">
        <v>11.231999999999999</v>
      </c>
      <c r="DV78" s="37">
        <v>11.231999999999999</v>
      </c>
      <c r="DW78" s="37">
        <v>11.231999999999999</v>
      </c>
      <c r="DX78" s="37">
        <v>11.231999999999999</v>
      </c>
      <c r="DY78" s="37">
        <v>11.231999999999999</v>
      </c>
      <c r="DZ78" s="37">
        <v>11.231999999999999</v>
      </c>
      <c r="EA78" s="37">
        <v>11.231999999999999</v>
      </c>
      <c r="EB78" s="37">
        <v>11.231999999999999</v>
      </c>
      <c r="EC78" s="37">
        <v>11.231999999999999</v>
      </c>
      <c r="ED78" s="37">
        <v>11.231999999999999</v>
      </c>
      <c r="EE78" s="37">
        <v>11.231999999999999</v>
      </c>
      <c r="EF78" s="37">
        <v>11.231999999999999</v>
      </c>
      <c r="EG78" s="37">
        <v>11.231999999999999</v>
      </c>
      <c r="EH78" s="37">
        <v>11.231999999999999</v>
      </c>
      <c r="EI78" s="37">
        <v>11.231999999999999</v>
      </c>
      <c r="EJ78" s="37">
        <v>11.231999999999999</v>
      </c>
      <c r="EK78" s="37">
        <v>11.231999999999999</v>
      </c>
      <c r="EL78" s="37">
        <v>11.231999999999999</v>
      </c>
      <c r="EM78" s="37">
        <v>11.231999999999999</v>
      </c>
      <c r="EN78" s="37">
        <v>11.231999999999999</v>
      </c>
      <c r="EO78" s="37">
        <v>11.231999999999999</v>
      </c>
      <c r="EP78" s="37">
        <v>11.231999999999999</v>
      </c>
      <c r="EQ78" s="37">
        <v>11.231999999999999</v>
      </c>
      <c r="ER78" s="37">
        <v>11.231999999999999</v>
      </c>
      <c r="ES78" s="37">
        <v>11.231999999999999</v>
      </c>
      <c r="ET78" s="37">
        <v>11.231999999999999</v>
      </c>
      <c r="EU78" s="37">
        <v>11.231999999999999</v>
      </c>
      <c r="EV78" s="37">
        <v>11.231999999999999</v>
      </c>
      <c r="EW78" s="37">
        <v>11.231999999999999</v>
      </c>
      <c r="EX78" s="37">
        <v>11.231999999999999</v>
      </c>
      <c r="EY78" s="37">
        <v>11.231999999999999</v>
      </c>
      <c r="EZ78" s="37">
        <v>11.231999999999999</v>
      </c>
      <c r="FA78" s="37">
        <v>11.231999999999999</v>
      </c>
      <c r="FB78" s="37">
        <v>11.231999999999999</v>
      </c>
      <c r="FC78" s="37">
        <v>11.231999999999999</v>
      </c>
      <c r="FD78" s="37">
        <v>11.231999999999999</v>
      </c>
      <c r="FE78" s="37">
        <v>11.231999999999999</v>
      </c>
      <c r="FF78" s="37">
        <v>11.231999999999999</v>
      </c>
      <c r="FG78" s="37">
        <v>11.231999999999999</v>
      </c>
      <c r="FH78" s="37">
        <v>11.231999999999999</v>
      </c>
      <c r="FI78" s="37">
        <v>11.231999999999999</v>
      </c>
      <c r="FJ78" s="37">
        <v>11.231999999999999</v>
      </c>
      <c r="FK78" s="37">
        <v>11.231999999999999</v>
      </c>
      <c r="FL78" s="37">
        <v>11.231999999999999</v>
      </c>
      <c r="FM78" s="37">
        <v>11.231999999999999</v>
      </c>
      <c r="FN78" s="37">
        <v>11.231999999999999</v>
      </c>
      <c r="FO78" s="37">
        <v>11.231999999999999</v>
      </c>
      <c r="FP78" s="37">
        <v>11.231999999999999</v>
      </c>
      <c r="FQ78" s="37">
        <v>11.231999999999999</v>
      </c>
      <c r="FR78" s="37">
        <v>11.231999999999999</v>
      </c>
      <c r="FS78" s="37">
        <v>11.231999999999999</v>
      </c>
      <c r="FT78" s="37">
        <v>11.231999999999999</v>
      </c>
      <c r="FU78" s="37">
        <v>11.231999999999999</v>
      </c>
      <c r="FV78" s="37">
        <v>11.231999999999999</v>
      </c>
      <c r="FW78" s="37">
        <v>11.231999999999999</v>
      </c>
      <c r="FX78" s="37">
        <v>11.231999999999999</v>
      </c>
      <c r="FY78" s="37">
        <v>11.231999999999999</v>
      </c>
      <c r="FZ78" s="37">
        <v>11.231999999999999</v>
      </c>
      <c r="GA78" s="37">
        <v>11.231999999999999</v>
      </c>
      <c r="GB78" s="37">
        <v>11.231999999999999</v>
      </c>
      <c r="GC78" s="37">
        <v>11.231999999999999</v>
      </c>
      <c r="GD78" s="37">
        <v>11.231999999999999</v>
      </c>
      <c r="GE78" s="37">
        <v>11.231999999999999</v>
      </c>
      <c r="GF78" s="37">
        <v>11.231999999999999</v>
      </c>
      <c r="GG78" s="37">
        <v>11.231999999999999</v>
      </c>
      <c r="GH78" s="37">
        <v>11.231999999999999</v>
      </c>
      <c r="GI78" s="37">
        <v>11.231999999999999</v>
      </c>
      <c r="GJ78" s="37">
        <v>11.231999999999999</v>
      </c>
      <c r="GK78" s="37">
        <v>11.231999999999999</v>
      </c>
      <c r="GL78" s="37">
        <v>11.231999999999999</v>
      </c>
      <c r="GM78" s="37">
        <v>11.231999999999999</v>
      </c>
      <c r="GN78" s="37">
        <v>11.231999999999999</v>
      </c>
      <c r="GO78" s="37">
        <v>11.231999999999999</v>
      </c>
      <c r="GP78" s="37">
        <v>11.231999999999999</v>
      </c>
      <c r="GQ78" s="37">
        <v>11.231999999999999</v>
      </c>
      <c r="GR78" s="37">
        <v>11.231999999999999</v>
      </c>
      <c r="GS78" s="37">
        <v>11.231999999999999</v>
      </c>
      <c r="GT78" s="37">
        <v>11.231999999999999</v>
      </c>
      <c r="GU78" s="37">
        <v>11.231999999999999</v>
      </c>
      <c r="GV78" s="37">
        <v>11.231999999999999</v>
      </c>
      <c r="GW78" s="37">
        <v>11.231999999999999</v>
      </c>
      <c r="GX78" s="37">
        <v>11.231999999999999</v>
      </c>
      <c r="GY78" s="37">
        <v>11.231999999999999</v>
      </c>
      <c r="GZ78" s="37">
        <v>11.231999999999999</v>
      </c>
      <c r="HA78" s="37">
        <v>11.231999999999999</v>
      </c>
      <c r="HB78" s="37">
        <v>11.231999999999999</v>
      </c>
      <c r="HC78" s="37">
        <v>11.231999999999999</v>
      </c>
      <c r="HD78" s="37">
        <v>11.231999999999999</v>
      </c>
      <c r="HE78" s="37">
        <v>11.231999999999999</v>
      </c>
      <c r="HF78" s="37">
        <v>11.231999999999999</v>
      </c>
      <c r="HG78" s="37">
        <v>11.231999999999999</v>
      </c>
      <c r="HH78" s="37">
        <v>11.231999999999999</v>
      </c>
      <c r="HI78" s="37">
        <v>11.231999999999999</v>
      </c>
      <c r="HJ78" s="37">
        <v>11.231999999999999</v>
      </c>
      <c r="HK78" s="37">
        <v>11.231999999999999</v>
      </c>
      <c r="HL78" s="37">
        <v>11.231999999999999</v>
      </c>
      <c r="HM78" s="37">
        <v>11.231999999999999</v>
      </c>
      <c r="HN78" s="37">
        <v>11.231999999999999</v>
      </c>
      <c r="HO78" s="37">
        <v>11.231999999999999</v>
      </c>
      <c r="HP78" s="37">
        <v>11.231999999999999</v>
      </c>
      <c r="HQ78" s="37">
        <v>11.231999999999999</v>
      </c>
      <c r="HR78" s="37">
        <v>11.231999999999999</v>
      </c>
      <c r="HS78" s="37">
        <v>11.231999999999999</v>
      </c>
      <c r="HT78" s="37">
        <v>11.231999999999999</v>
      </c>
      <c r="HU78" s="37">
        <v>11.231999999999999</v>
      </c>
      <c r="HV78" s="37">
        <v>11.231999999999999</v>
      </c>
      <c r="HW78" s="37">
        <v>11.231999999999999</v>
      </c>
      <c r="HX78" s="37">
        <v>11.231999999999999</v>
      </c>
      <c r="HY78" s="37">
        <v>11.231999999999999</v>
      </c>
      <c r="HZ78" s="37">
        <v>11.231999999999999</v>
      </c>
      <c r="IA78" s="37">
        <v>11.231999999999999</v>
      </c>
      <c r="IB78" s="37">
        <v>11.231999999999999</v>
      </c>
      <c r="IC78" s="37">
        <v>11.231999999999999</v>
      </c>
      <c r="ID78" s="37">
        <v>11.231999999999999</v>
      </c>
      <c r="IE78" s="37">
        <v>11.231999999999999</v>
      </c>
      <c r="IF78" s="37">
        <v>11.231999999999999</v>
      </c>
      <c r="IG78" s="37">
        <v>11.231999999999999</v>
      </c>
      <c r="IH78" s="37">
        <v>11.231999999999999</v>
      </c>
      <c r="II78" s="37">
        <v>11.231999999999999</v>
      </c>
      <c r="IJ78" s="37">
        <v>11.231999999999999</v>
      </c>
      <c r="IK78" s="37">
        <v>11.231999999999999</v>
      </c>
      <c r="IL78" s="37">
        <v>11.231999999999999</v>
      </c>
      <c r="IM78" s="37">
        <v>11.231999999999999</v>
      </c>
      <c r="IN78" s="37">
        <v>11.231999999999999</v>
      </c>
      <c r="IO78" s="37">
        <v>11.231999999999999</v>
      </c>
      <c r="IP78" s="37">
        <v>11.231999999999999</v>
      </c>
      <c r="IQ78" s="37">
        <v>11.231999999999999</v>
      </c>
      <c r="IR78" s="37">
        <v>11.231999999999999</v>
      </c>
      <c r="IS78" s="37">
        <v>11.231999999999999</v>
      </c>
      <c r="IT78" s="37">
        <v>11.231999999999999</v>
      </c>
      <c r="IU78" s="37">
        <v>11.231999999999999</v>
      </c>
      <c r="IV78" s="37">
        <v>11.231999999999999</v>
      </c>
      <c r="IW78" s="37">
        <v>11.231999999999999</v>
      </c>
      <c r="IX78" s="37">
        <v>11.231999999999999</v>
      </c>
      <c r="IY78" s="37">
        <v>11.231999999999999</v>
      </c>
      <c r="IZ78" s="37">
        <v>11.231999999999999</v>
      </c>
      <c r="JA78" s="37">
        <v>11.231999999999999</v>
      </c>
      <c r="JB78" s="37">
        <v>11.231999999999999</v>
      </c>
      <c r="JC78" s="37">
        <v>11.231999999999999</v>
      </c>
      <c r="JD78" s="37">
        <v>11.231999999999999</v>
      </c>
      <c r="JE78" s="37">
        <v>11.231999999999999</v>
      </c>
      <c r="JF78" s="37">
        <v>11.231999999999999</v>
      </c>
      <c r="JG78" s="37">
        <v>11.231999999999999</v>
      </c>
      <c r="JH78" s="37">
        <v>11.231999999999999</v>
      </c>
      <c r="JI78" s="37">
        <v>11.231999999999999</v>
      </c>
      <c r="JJ78" s="37">
        <v>11.231999999999999</v>
      </c>
      <c r="JK78" s="37">
        <v>11.231999999999999</v>
      </c>
      <c r="JL78" s="37">
        <v>11.231999999999999</v>
      </c>
      <c r="JM78" s="37">
        <v>11.231999999999999</v>
      </c>
      <c r="JN78" s="37">
        <v>11.231999999999999</v>
      </c>
      <c r="JO78" s="37">
        <v>11.231999999999999</v>
      </c>
      <c r="JP78" s="37">
        <v>11.231999999999999</v>
      </c>
      <c r="JQ78" s="37">
        <v>11.231999999999999</v>
      </c>
      <c r="JR78" s="37">
        <v>11.231999999999999</v>
      </c>
      <c r="JS78" s="37">
        <v>11.231999999999999</v>
      </c>
      <c r="JT78" s="37">
        <v>11.231999999999999</v>
      </c>
      <c r="JU78" s="37">
        <v>11.231999999999999</v>
      </c>
      <c r="JV78" s="37">
        <v>11.231999999999999</v>
      </c>
      <c r="JW78" s="37">
        <v>11.231999999999999</v>
      </c>
      <c r="JX78" s="37">
        <v>11.231999999999999</v>
      </c>
      <c r="JY78" s="37">
        <v>11.231999999999999</v>
      </c>
      <c r="JZ78" s="37">
        <v>11.231999999999999</v>
      </c>
      <c r="KA78" s="37">
        <v>11.231999999999999</v>
      </c>
      <c r="KB78" s="37">
        <v>11.231999999999999</v>
      </c>
      <c r="KC78" s="37">
        <v>11.231999999999999</v>
      </c>
      <c r="KD78" s="37">
        <v>11.231999999999999</v>
      </c>
      <c r="KE78" s="37">
        <v>11.231999999999999</v>
      </c>
      <c r="KF78" s="37">
        <v>11.231999999999999</v>
      </c>
      <c r="KG78" s="37">
        <v>11.231999999999999</v>
      </c>
      <c r="KH78" s="37">
        <v>11.231999999999999</v>
      </c>
      <c r="KI78" s="37">
        <v>11.231999999999999</v>
      </c>
      <c r="KJ78" s="37">
        <v>11.231999999999999</v>
      </c>
      <c r="KK78" s="37">
        <v>11.231999999999999</v>
      </c>
      <c r="KL78" s="37">
        <v>11.231999999999999</v>
      </c>
      <c r="KM78" s="37">
        <v>11.231999999999999</v>
      </c>
      <c r="KN78" s="37">
        <v>11.231999999999999</v>
      </c>
      <c r="KO78" s="37">
        <v>11.231999999999999</v>
      </c>
      <c r="KP78" s="37">
        <v>11.231999999999999</v>
      </c>
      <c r="KQ78" s="37">
        <v>11.231999999999999</v>
      </c>
      <c r="KR78" s="37">
        <v>11.231999999999999</v>
      </c>
      <c r="KS78" s="37">
        <v>11.231999999999999</v>
      </c>
      <c r="KT78" s="37">
        <v>11.231999999999999</v>
      </c>
      <c r="KU78" s="37">
        <v>11.231999999999999</v>
      </c>
      <c r="KV78" s="37">
        <v>11.231999999999999</v>
      </c>
      <c r="KW78" s="37">
        <v>11.231999999999999</v>
      </c>
      <c r="KX78" s="37">
        <v>11.231999999999999</v>
      </c>
      <c r="KY78" s="37">
        <v>11.231999999999999</v>
      </c>
      <c r="KZ78" s="37">
        <v>11.231999999999999</v>
      </c>
      <c r="LA78" s="37">
        <v>11.231999999999999</v>
      </c>
      <c r="LB78" s="37">
        <v>11.231999999999999</v>
      </c>
      <c r="LC78" s="37">
        <v>11.231999999999999</v>
      </c>
      <c r="LD78" s="37">
        <v>11.231999999999999</v>
      </c>
      <c r="LE78" s="37">
        <v>11.231999999999999</v>
      </c>
      <c r="LF78" s="37">
        <v>11.231999999999999</v>
      </c>
      <c r="LG78" s="37">
        <v>11.231999999999999</v>
      </c>
      <c r="LH78" s="37">
        <v>11.231999999999999</v>
      </c>
      <c r="LI78" s="37">
        <v>11.231999999999999</v>
      </c>
      <c r="LJ78" s="37">
        <v>11.231999999999999</v>
      </c>
      <c r="LK78" s="37">
        <v>11.231999999999999</v>
      </c>
      <c r="LL78" s="37">
        <v>11.231999999999999</v>
      </c>
      <c r="LM78" s="37">
        <v>11.231999999999999</v>
      </c>
      <c r="LN78" s="37">
        <v>11.231999999999999</v>
      </c>
      <c r="LO78" s="37">
        <v>11.231999999999999</v>
      </c>
      <c r="LP78" s="37">
        <v>11.231999999999999</v>
      </c>
      <c r="LQ78" s="37">
        <v>11.231999999999999</v>
      </c>
      <c r="LR78" s="37">
        <v>11.231999999999999</v>
      </c>
      <c r="LS78" s="37">
        <v>11.231999999999999</v>
      </c>
      <c r="LT78" s="37">
        <v>11.231999999999999</v>
      </c>
      <c r="LU78" s="37">
        <v>11.231999999999999</v>
      </c>
      <c r="LV78" s="37">
        <v>11.231999999999999</v>
      </c>
      <c r="LW78" s="37">
        <v>11.231999999999999</v>
      </c>
      <c r="LX78" s="37">
        <v>11.231999999999999</v>
      </c>
      <c r="LY78" s="37">
        <v>11.231999999999999</v>
      </c>
      <c r="LZ78" s="37">
        <v>11.231999999999999</v>
      </c>
      <c r="MA78" s="37">
        <v>11.231999999999999</v>
      </c>
      <c r="MB78" s="37">
        <v>11.231999999999999</v>
      </c>
      <c r="MC78" s="37">
        <v>11.231999999999999</v>
      </c>
      <c r="MD78" s="37">
        <v>11.231999999999999</v>
      </c>
      <c r="ME78" s="37">
        <v>11.231999999999999</v>
      </c>
      <c r="MF78" s="37">
        <v>11.231999999999999</v>
      </c>
      <c r="MG78" s="37">
        <v>11.231999999999999</v>
      </c>
      <c r="MH78" s="37">
        <v>11.231999999999999</v>
      </c>
      <c r="MI78" s="37">
        <v>11.231999999999999</v>
      </c>
      <c r="MJ78" s="37">
        <v>11.231999999999999</v>
      </c>
      <c r="MK78" s="37">
        <v>11.231999999999999</v>
      </c>
      <c r="ML78" s="37">
        <v>11.231999999999999</v>
      </c>
      <c r="MM78" s="37">
        <v>11.231999999999999</v>
      </c>
      <c r="MN78" s="37">
        <v>11.231999999999999</v>
      </c>
      <c r="MO78" s="37">
        <v>11.231999999999999</v>
      </c>
      <c r="MP78" s="37">
        <v>11.231999999999999</v>
      </c>
      <c r="MQ78" s="37">
        <v>11.231999999999999</v>
      </c>
      <c r="MR78" s="37">
        <v>11.231999999999999</v>
      </c>
      <c r="MS78" s="37">
        <v>11.231999999999999</v>
      </c>
      <c r="MT78" s="37">
        <v>11.231999999999999</v>
      </c>
      <c r="MU78" s="37">
        <v>11.231999999999999</v>
      </c>
      <c r="MV78" s="37">
        <v>11.231999999999999</v>
      </c>
      <c r="MW78" s="37">
        <v>11.231999999999999</v>
      </c>
      <c r="MX78" s="37">
        <v>11.231999999999999</v>
      </c>
      <c r="MY78" s="37">
        <v>11.231999999999999</v>
      </c>
      <c r="MZ78" s="37">
        <v>11.231999999999999</v>
      </c>
      <c r="NA78" s="37">
        <v>11.231999999999999</v>
      </c>
      <c r="NB78" s="37">
        <v>11.231999999999999</v>
      </c>
      <c r="NC78" s="37">
        <v>11.231999999999999</v>
      </c>
      <c r="ND78" s="37">
        <v>11.231999999999999</v>
      </c>
      <c r="NE78" s="37">
        <v>11.231999999999999</v>
      </c>
      <c r="NF78" s="37">
        <v>11.231999999999999</v>
      </c>
      <c r="NG78" s="37">
        <v>11.231999999999999</v>
      </c>
      <c r="NH78" s="37">
        <v>11.231999999999999</v>
      </c>
      <c r="NI78" s="37">
        <v>11.231999999999999</v>
      </c>
      <c r="NJ78" s="37">
        <v>11.231999999999999</v>
      </c>
      <c r="NK78" s="37">
        <v>11.231999999999999</v>
      </c>
      <c r="NL78" s="37">
        <v>11.231999999999999</v>
      </c>
      <c r="NM78" s="37">
        <v>11.231999999999999</v>
      </c>
      <c r="NN78" s="37">
        <v>11.231999999999999</v>
      </c>
      <c r="NO78" s="37">
        <v>11.231999999999999</v>
      </c>
      <c r="NP78" s="37">
        <v>11.231999999999999</v>
      </c>
      <c r="NQ78" s="37">
        <v>11.231999999999999</v>
      </c>
      <c r="NR78" s="37">
        <v>11.231999999999999</v>
      </c>
      <c r="NS78" s="37">
        <v>11.231999999999999</v>
      </c>
      <c r="NT78" s="37">
        <v>11.231999999999999</v>
      </c>
      <c r="NU78" s="37">
        <v>11.231999999999999</v>
      </c>
      <c r="NV78" s="37">
        <v>11.231999999999999</v>
      </c>
      <c r="NW78" s="37">
        <v>11.231999999999999</v>
      </c>
      <c r="NX78" s="37">
        <v>11.231999999999999</v>
      </c>
      <c r="NY78" s="37">
        <v>11.231999999999999</v>
      </c>
      <c r="NZ78" s="37">
        <v>11.231999999999999</v>
      </c>
      <c r="OA78" s="37">
        <v>11.231999999999999</v>
      </c>
      <c r="OB78" s="37">
        <v>11.231999999999999</v>
      </c>
      <c r="OC78" s="37">
        <v>11.231999999999999</v>
      </c>
      <c r="OD78" s="37">
        <v>11.231999999999999</v>
      </c>
      <c r="OE78" s="37">
        <v>11.231999999999999</v>
      </c>
      <c r="OF78" s="37">
        <v>11.231999999999999</v>
      </c>
      <c r="OG78" s="37">
        <v>11.231999999999999</v>
      </c>
      <c r="OH78" s="37">
        <v>11.231999999999999</v>
      </c>
      <c r="OI78" s="37">
        <v>11.231999999999999</v>
      </c>
      <c r="OJ78" s="37">
        <v>11.231999999999999</v>
      </c>
      <c r="OK78" s="37">
        <v>11.231999999999999</v>
      </c>
      <c r="OL78" s="37">
        <v>11.231999999999999</v>
      </c>
      <c r="OM78" s="37">
        <v>11.231999999999999</v>
      </c>
      <c r="ON78" s="37">
        <v>11.231999999999999</v>
      </c>
      <c r="OO78" s="37">
        <v>11.231999999999999</v>
      </c>
      <c r="OP78" s="37">
        <v>11.231999999999999</v>
      </c>
      <c r="OQ78" s="37">
        <v>11.231999999999999</v>
      </c>
      <c r="OR78" s="37">
        <v>11.231999999999999</v>
      </c>
      <c r="OS78" s="37">
        <v>11.231999999999999</v>
      </c>
      <c r="OT78" s="37">
        <v>11.231999999999999</v>
      </c>
      <c r="OU78" s="37">
        <v>11.231999999999999</v>
      </c>
      <c r="OV78" s="37">
        <v>11.231999999999999</v>
      </c>
      <c r="OW78" s="37">
        <v>11.231999999999999</v>
      </c>
      <c r="OX78" s="37">
        <v>11.231999999999999</v>
      </c>
      <c r="OY78" s="37">
        <v>11.231999999999999</v>
      </c>
      <c r="OZ78" s="37">
        <v>11.231999999999999</v>
      </c>
      <c r="PA78" s="37">
        <v>11.231999999999999</v>
      </c>
      <c r="PB78" s="37">
        <v>11.231999999999999</v>
      </c>
      <c r="PC78" s="37">
        <v>11.231999999999999</v>
      </c>
      <c r="PD78" s="37">
        <v>11.231999999999999</v>
      </c>
      <c r="PE78" s="37">
        <v>11.231999999999999</v>
      </c>
      <c r="PF78" s="37">
        <v>11.231999999999999</v>
      </c>
      <c r="PG78" s="37">
        <v>11.231999999999999</v>
      </c>
      <c r="PH78" s="37">
        <v>11.231999999999999</v>
      </c>
      <c r="PI78" s="37">
        <v>11.231999999999999</v>
      </c>
      <c r="PJ78" s="37">
        <v>11.231999999999999</v>
      </c>
      <c r="PK78" s="37">
        <v>11.231999999999999</v>
      </c>
      <c r="PL78" s="37">
        <v>11.231999999999999</v>
      </c>
      <c r="PM78" s="37">
        <v>11.231999999999999</v>
      </c>
      <c r="PN78" s="37">
        <v>11.231999999999999</v>
      </c>
      <c r="PO78" s="37">
        <v>11.231999999999999</v>
      </c>
      <c r="PP78" s="37">
        <v>11.231999999999999</v>
      </c>
      <c r="PQ78" s="37">
        <v>11.231999999999999</v>
      </c>
      <c r="PR78" s="37">
        <v>11.231999999999999</v>
      </c>
      <c r="PS78" s="15">
        <v>11.231999999999999</v>
      </c>
      <c r="PT78" s="15">
        <v>11.231999999999999</v>
      </c>
      <c r="PU78" s="15">
        <v>11.231999999999999</v>
      </c>
      <c r="PV78" s="15">
        <v>11.231999999999999</v>
      </c>
      <c r="PW78" s="15">
        <v>11.231999999999999</v>
      </c>
      <c r="PX78" s="15">
        <v>11.231999999999999</v>
      </c>
      <c r="PY78" s="15">
        <v>11.231999999999999</v>
      </c>
      <c r="PZ78" s="15">
        <v>11.231999999999999</v>
      </c>
      <c r="QA78" s="15">
        <v>11.231999999999999</v>
      </c>
      <c r="QB78" s="15">
        <v>11.231999999999999</v>
      </c>
      <c r="QC78" s="15">
        <v>11.231999999999999</v>
      </c>
      <c r="QD78" s="15">
        <v>11.231999999999999</v>
      </c>
      <c r="QE78" s="15">
        <v>11.231999999999999</v>
      </c>
      <c r="QF78" s="15">
        <v>11.6256</v>
      </c>
      <c r="QG78" s="15" t="s">
        <v>668</v>
      </c>
      <c r="QH78" s="15" t="s">
        <v>668</v>
      </c>
      <c r="QI78" s="15" t="s">
        <v>668</v>
      </c>
      <c r="QJ78" s="15" t="s">
        <v>668</v>
      </c>
      <c r="QK78" s="15" t="s">
        <v>668</v>
      </c>
      <c r="QL78" s="15" t="s">
        <v>668</v>
      </c>
      <c r="QM78" s="15" t="s">
        <v>668</v>
      </c>
      <c r="QN78" s="15" t="s">
        <v>668</v>
      </c>
      <c r="QO78" s="15" t="s">
        <v>668</v>
      </c>
      <c r="QP78" s="15" t="s">
        <v>668</v>
      </c>
      <c r="QQ78" s="15" t="s">
        <v>668</v>
      </c>
      <c r="QR78" s="15" t="s">
        <v>668</v>
      </c>
      <c r="QS78" s="15" t="s">
        <v>668</v>
      </c>
      <c r="QT78" s="15" t="s">
        <v>668</v>
      </c>
      <c r="QU78" s="15" t="s">
        <v>668</v>
      </c>
      <c r="QV78" s="15" t="s">
        <v>668</v>
      </c>
      <c r="QW78" s="15" t="s">
        <v>668</v>
      </c>
      <c r="QX78" s="15" t="s">
        <v>668</v>
      </c>
      <c r="QY78" s="15" t="s">
        <v>668</v>
      </c>
      <c r="QZ78" s="15" t="s">
        <v>668</v>
      </c>
      <c r="RA78" s="15" t="s">
        <v>668</v>
      </c>
      <c r="RB78" s="15" t="s">
        <v>668</v>
      </c>
      <c r="RC78" s="15" t="s">
        <v>668</v>
      </c>
      <c r="RD78" s="15" t="s">
        <v>668</v>
      </c>
      <c r="RE78" s="15" t="s">
        <v>668</v>
      </c>
      <c r="RF78" s="15" t="s">
        <v>668</v>
      </c>
      <c r="RG78" s="15" t="s">
        <v>668</v>
      </c>
      <c r="RH78" s="15" t="s">
        <v>668</v>
      </c>
      <c r="RI78" s="15" t="s">
        <v>668</v>
      </c>
      <c r="RJ78" s="15" t="s">
        <v>668</v>
      </c>
      <c r="RK78" s="15" t="s">
        <v>668</v>
      </c>
      <c r="RL78" s="15" t="s">
        <v>668</v>
      </c>
      <c r="RM78" s="15" t="s">
        <v>668</v>
      </c>
      <c r="RN78" s="15" t="s">
        <v>668</v>
      </c>
      <c r="RO78" s="15" t="s">
        <v>668</v>
      </c>
      <c r="RP78" s="15" t="s">
        <v>668</v>
      </c>
      <c r="RQ78" s="15" t="s">
        <v>668</v>
      </c>
      <c r="RR78" s="15" t="s">
        <v>668</v>
      </c>
      <c r="RS78" s="15" t="s">
        <v>668</v>
      </c>
      <c r="RT78" s="15" t="s">
        <v>668</v>
      </c>
      <c r="RU78" s="15" t="s">
        <v>668</v>
      </c>
      <c r="RV78" s="15" t="s">
        <v>668</v>
      </c>
      <c r="RW78" s="15" t="s">
        <v>668</v>
      </c>
      <c r="RX78" s="15" t="s">
        <v>668</v>
      </c>
      <c r="RY78" s="15" t="s">
        <v>668</v>
      </c>
      <c r="RZ78" s="15" t="s">
        <v>668</v>
      </c>
      <c r="SA78" s="15" t="s">
        <v>668</v>
      </c>
      <c r="SB78" s="15" t="s">
        <v>668</v>
      </c>
      <c r="SC78" s="15" t="s">
        <v>668</v>
      </c>
      <c r="SD78" s="15" t="s">
        <v>668</v>
      </c>
      <c r="SE78" s="15" t="s">
        <v>668</v>
      </c>
      <c r="SF78" s="15" t="s">
        <v>668</v>
      </c>
      <c r="SG78" s="15" t="s">
        <v>668</v>
      </c>
      <c r="SH78" s="15" t="s">
        <v>668</v>
      </c>
      <c r="SI78" s="15" t="s">
        <v>668</v>
      </c>
      <c r="SJ78" s="15" t="s">
        <v>668</v>
      </c>
      <c r="SK78" s="15" t="s">
        <v>668</v>
      </c>
      <c r="SL78" s="15" t="s">
        <v>668</v>
      </c>
      <c r="SM78" s="15" t="s">
        <v>668</v>
      </c>
      <c r="SN78" s="15" t="s">
        <v>668</v>
      </c>
      <c r="SO78" s="15" t="s">
        <v>668</v>
      </c>
    </row>
    <row r="79" spans="1:509" x14ac:dyDescent="0.2">
      <c r="A79" s="37">
        <v>77</v>
      </c>
      <c r="B79" s="37" t="s">
        <v>868</v>
      </c>
      <c r="C79" s="17">
        <f>+'Detalle Compras'!D79</f>
        <v>202509150114</v>
      </c>
      <c r="D79" s="55">
        <f t="shared" si="16"/>
        <v>11.7301</v>
      </c>
      <c r="E79" s="14">
        <f>+IF(B79="","",'Detalle Compras'!S79+0)</f>
        <v>45971</v>
      </c>
      <c r="F79" s="14">
        <f>+IF(B79="","",EOMONTH('Detalle Compras'!S79,G79)+10)</f>
        <v>58785</v>
      </c>
      <c r="G79" s="50">
        <f t="shared" si="17"/>
        <v>420</v>
      </c>
      <c r="H79" s="50">
        <f t="shared" si="18"/>
        <v>417</v>
      </c>
      <c r="AC79" s="37">
        <v>11.7301</v>
      </c>
      <c r="AD79" s="37">
        <v>11.7301</v>
      </c>
      <c r="AE79" s="37">
        <v>11.7301</v>
      </c>
      <c r="AF79" s="37">
        <v>11.7301</v>
      </c>
      <c r="AG79" s="37">
        <v>11.7301</v>
      </c>
      <c r="AH79" s="37">
        <v>11.7301</v>
      </c>
      <c r="AI79" s="37">
        <v>11.7301</v>
      </c>
      <c r="AJ79" s="37">
        <v>11.7301</v>
      </c>
      <c r="AK79" s="37">
        <v>11.7301</v>
      </c>
      <c r="AL79" s="37">
        <v>11.7301</v>
      </c>
      <c r="AM79" s="37">
        <v>11.7301</v>
      </c>
      <c r="AN79" s="37">
        <v>11.7301</v>
      </c>
      <c r="AO79" s="37">
        <v>11.7301</v>
      </c>
      <c r="AP79" s="37">
        <v>11.7301</v>
      </c>
      <c r="AQ79" s="37">
        <v>11.7301</v>
      </c>
      <c r="AR79" s="37">
        <v>11.7301</v>
      </c>
      <c r="AS79" s="37">
        <v>11.7301</v>
      </c>
      <c r="AT79" s="37">
        <v>11.7301</v>
      </c>
      <c r="AU79" s="37">
        <v>11.7301</v>
      </c>
      <c r="AV79" s="37">
        <v>11.7301</v>
      </c>
      <c r="AW79" s="37">
        <v>11.7301</v>
      </c>
      <c r="AX79" s="37">
        <v>11.7301</v>
      </c>
      <c r="AY79" s="37">
        <v>11.7301</v>
      </c>
      <c r="AZ79" s="37">
        <v>11.7301</v>
      </c>
      <c r="BA79" s="37">
        <v>11.7301</v>
      </c>
      <c r="BB79" s="37">
        <v>11.7301</v>
      </c>
      <c r="BC79" s="37">
        <v>11.7301</v>
      </c>
      <c r="BD79" s="37">
        <v>11.7301</v>
      </c>
      <c r="BE79" s="37">
        <v>11.7301</v>
      </c>
      <c r="BF79" s="37">
        <v>11.7301</v>
      </c>
      <c r="BG79" s="37">
        <v>11.7301</v>
      </c>
      <c r="BH79" s="37">
        <v>11.7301</v>
      </c>
      <c r="BI79" s="37">
        <v>11.7301</v>
      </c>
      <c r="BJ79" s="37">
        <v>11.7301</v>
      </c>
      <c r="BK79" s="37">
        <v>11.7301</v>
      </c>
      <c r="BL79" s="37">
        <v>11.7301</v>
      </c>
      <c r="BM79" s="37">
        <v>11.7301</v>
      </c>
      <c r="BN79" s="37">
        <v>11.7301</v>
      </c>
      <c r="BO79" s="37">
        <v>11.7301</v>
      </c>
      <c r="BP79" s="37">
        <v>11.7301</v>
      </c>
      <c r="BQ79" s="37">
        <v>11.7301</v>
      </c>
      <c r="BR79" s="37">
        <v>11.7301</v>
      </c>
      <c r="BS79" s="37">
        <v>11.7301</v>
      </c>
      <c r="BT79" s="37">
        <v>11.7301</v>
      </c>
      <c r="BU79" s="37">
        <v>11.7301</v>
      </c>
      <c r="BV79" s="37">
        <v>11.7301</v>
      </c>
      <c r="BW79" s="37">
        <v>11.7301</v>
      </c>
      <c r="BX79" s="37">
        <v>11.7301</v>
      </c>
      <c r="BY79" s="37">
        <v>11.7301</v>
      </c>
      <c r="BZ79" s="37">
        <v>11.7301</v>
      </c>
      <c r="CA79" s="37">
        <v>11.7301</v>
      </c>
      <c r="CB79" s="37">
        <v>11.7301</v>
      </c>
      <c r="CC79" s="37">
        <v>11.7301</v>
      </c>
      <c r="CD79" s="37">
        <v>11.7301</v>
      </c>
      <c r="CE79" s="37">
        <v>11.7301</v>
      </c>
      <c r="CF79" s="37">
        <v>11.7301</v>
      </c>
      <c r="CG79" s="37">
        <v>11.7301</v>
      </c>
      <c r="CH79" s="37">
        <v>11.7301</v>
      </c>
      <c r="CI79" s="37">
        <v>11.7301</v>
      </c>
      <c r="CJ79" s="37">
        <v>11.7301</v>
      </c>
      <c r="CK79" s="37">
        <v>11.7301</v>
      </c>
      <c r="CL79" s="37">
        <v>11.7301</v>
      </c>
      <c r="CM79" s="37">
        <v>11.7301</v>
      </c>
      <c r="CN79" s="37">
        <v>11.7301</v>
      </c>
      <c r="CO79" s="37">
        <v>11.7301</v>
      </c>
      <c r="CP79" s="37">
        <v>11.7301</v>
      </c>
      <c r="CQ79" s="37">
        <v>11.7301</v>
      </c>
      <c r="CR79" s="37">
        <v>11.7301</v>
      </c>
      <c r="CS79" s="37">
        <v>11.7301</v>
      </c>
      <c r="CT79" s="37">
        <v>11.7301</v>
      </c>
      <c r="CU79" s="37">
        <v>11.7301</v>
      </c>
      <c r="CV79" s="37">
        <v>11.7301</v>
      </c>
      <c r="CW79" s="37">
        <v>11.7301</v>
      </c>
      <c r="CX79" s="37">
        <v>11.7301</v>
      </c>
      <c r="CY79" s="37">
        <v>11.7301</v>
      </c>
      <c r="CZ79" s="37">
        <v>11.7301</v>
      </c>
      <c r="DA79" s="37">
        <v>11.7301</v>
      </c>
      <c r="DB79" s="37">
        <v>11.7301</v>
      </c>
      <c r="DC79" s="37">
        <v>11.7301</v>
      </c>
      <c r="DD79" s="37">
        <v>11.7301</v>
      </c>
      <c r="DE79" s="37">
        <v>11.7301</v>
      </c>
      <c r="DF79" s="37">
        <v>11.7301</v>
      </c>
      <c r="DG79" s="37">
        <v>11.7301</v>
      </c>
      <c r="DH79" s="37">
        <v>11.7301</v>
      </c>
      <c r="DI79" s="37">
        <v>11.7301</v>
      </c>
      <c r="DJ79" s="37">
        <v>11.7301</v>
      </c>
      <c r="DK79" s="37">
        <v>11.7301</v>
      </c>
      <c r="DL79" s="37">
        <v>11.7301</v>
      </c>
      <c r="DM79" s="37">
        <v>11.7301</v>
      </c>
      <c r="DN79" s="37">
        <v>11.7301</v>
      </c>
      <c r="DO79" s="37">
        <v>11.7301</v>
      </c>
      <c r="DP79" s="37">
        <v>11.7301</v>
      </c>
      <c r="DQ79" s="37">
        <v>11.7301</v>
      </c>
      <c r="DR79" s="37">
        <v>11.7301</v>
      </c>
      <c r="DS79" s="37">
        <v>11.7301</v>
      </c>
      <c r="DT79" s="37">
        <v>11.7301</v>
      </c>
      <c r="DU79" s="37">
        <v>11.7301</v>
      </c>
      <c r="DV79" s="37">
        <v>11.7301</v>
      </c>
      <c r="DW79" s="37">
        <v>11.7301</v>
      </c>
      <c r="DX79" s="37">
        <v>11.7301</v>
      </c>
      <c r="DY79" s="37">
        <v>11.7301</v>
      </c>
      <c r="DZ79" s="37">
        <v>11.7301</v>
      </c>
      <c r="EA79" s="37">
        <v>11.7301</v>
      </c>
      <c r="EB79" s="37">
        <v>11.7301</v>
      </c>
      <c r="EC79" s="37">
        <v>11.7301</v>
      </c>
      <c r="ED79" s="37">
        <v>11.7301</v>
      </c>
      <c r="EE79" s="37">
        <v>11.7301</v>
      </c>
      <c r="EF79" s="37">
        <v>11.7301</v>
      </c>
      <c r="EG79" s="37">
        <v>11.7301</v>
      </c>
      <c r="EH79" s="37">
        <v>11.7301</v>
      </c>
      <c r="EI79" s="37">
        <v>11.7301</v>
      </c>
      <c r="EJ79" s="37">
        <v>11.7301</v>
      </c>
      <c r="EK79" s="37">
        <v>11.7301</v>
      </c>
      <c r="EL79" s="37">
        <v>11.7301</v>
      </c>
      <c r="EM79" s="37">
        <v>11.7301</v>
      </c>
      <c r="EN79" s="37">
        <v>11.7301</v>
      </c>
      <c r="EO79" s="37">
        <v>11.7301</v>
      </c>
      <c r="EP79" s="37">
        <v>11.7301</v>
      </c>
      <c r="EQ79" s="37">
        <v>11.7301</v>
      </c>
      <c r="ER79" s="37">
        <v>11.7301</v>
      </c>
      <c r="ES79" s="37">
        <v>11.7301</v>
      </c>
      <c r="ET79" s="37">
        <v>11.7301</v>
      </c>
      <c r="EU79" s="37">
        <v>11.7301</v>
      </c>
      <c r="EV79" s="37">
        <v>11.7301</v>
      </c>
      <c r="EW79" s="37">
        <v>11.7301</v>
      </c>
      <c r="EX79" s="37">
        <v>11.7301</v>
      </c>
      <c r="EY79" s="37">
        <v>11.7301</v>
      </c>
      <c r="EZ79" s="37">
        <v>11.7301</v>
      </c>
      <c r="FA79" s="37">
        <v>11.7301</v>
      </c>
      <c r="FB79" s="37">
        <v>11.7301</v>
      </c>
      <c r="FC79" s="37">
        <v>11.7301</v>
      </c>
      <c r="FD79" s="37">
        <v>11.7301</v>
      </c>
      <c r="FE79" s="37">
        <v>11.7301</v>
      </c>
      <c r="FF79" s="37">
        <v>11.7301</v>
      </c>
      <c r="FG79" s="37">
        <v>11.7301</v>
      </c>
      <c r="FH79" s="37">
        <v>11.7301</v>
      </c>
      <c r="FI79" s="37">
        <v>11.7301</v>
      </c>
      <c r="FJ79" s="37">
        <v>11.7301</v>
      </c>
      <c r="FK79" s="37">
        <v>11.7301</v>
      </c>
      <c r="FL79" s="37">
        <v>11.7301</v>
      </c>
      <c r="FM79" s="37">
        <v>11.7301</v>
      </c>
      <c r="FN79" s="37">
        <v>11.7301</v>
      </c>
      <c r="FO79" s="37">
        <v>11.7301</v>
      </c>
      <c r="FP79" s="37">
        <v>11.7301</v>
      </c>
      <c r="FQ79" s="37">
        <v>11.7301</v>
      </c>
      <c r="FR79" s="37">
        <v>11.7301</v>
      </c>
      <c r="FS79" s="37">
        <v>11.7301</v>
      </c>
      <c r="FT79" s="37">
        <v>11.7301</v>
      </c>
      <c r="FU79" s="37">
        <v>11.7301</v>
      </c>
      <c r="FV79" s="37">
        <v>11.7301</v>
      </c>
      <c r="FW79" s="37">
        <v>11.7301</v>
      </c>
      <c r="FX79" s="37">
        <v>11.7301</v>
      </c>
      <c r="FY79" s="37">
        <v>11.7301</v>
      </c>
      <c r="FZ79" s="37">
        <v>11.7301</v>
      </c>
      <c r="GA79" s="37">
        <v>11.7301</v>
      </c>
      <c r="GB79" s="37">
        <v>11.7301</v>
      </c>
      <c r="GC79" s="37">
        <v>11.7301</v>
      </c>
      <c r="GD79" s="37">
        <v>11.7301</v>
      </c>
      <c r="GE79" s="37">
        <v>11.7301</v>
      </c>
      <c r="GF79" s="37">
        <v>11.7301</v>
      </c>
      <c r="GG79" s="37">
        <v>11.7301</v>
      </c>
      <c r="GH79" s="37">
        <v>11.7301</v>
      </c>
      <c r="GI79" s="37">
        <v>11.7301</v>
      </c>
      <c r="GJ79" s="37">
        <v>11.7301</v>
      </c>
      <c r="GK79" s="37">
        <v>11.7301</v>
      </c>
      <c r="GL79" s="37">
        <v>11.7301</v>
      </c>
      <c r="GM79" s="37">
        <v>11.7301</v>
      </c>
      <c r="GN79" s="37">
        <v>11.7301</v>
      </c>
      <c r="GO79" s="37">
        <v>11.7301</v>
      </c>
      <c r="GP79" s="37">
        <v>11.7301</v>
      </c>
      <c r="GQ79" s="37">
        <v>11.7301</v>
      </c>
      <c r="GR79" s="37">
        <v>11.7301</v>
      </c>
      <c r="GS79" s="37">
        <v>11.7301</v>
      </c>
      <c r="GT79" s="37">
        <v>11.7301</v>
      </c>
      <c r="GU79" s="37">
        <v>11.7301</v>
      </c>
      <c r="GV79" s="37">
        <v>11.7301</v>
      </c>
      <c r="GW79" s="37">
        <v>11.7301</v>
      </c>
      <c r="GX79" s="37">
        <v>11.7301</v>
      </c>
      <c r="GY79" s="37">
        <v>11.7301</v>
      </c>
      <c r="GZ79" s="37">
        <v>11.7301</v>
      </c>
      <c r="HA79" s="37">
        <v>11.7301</v>
      </c>
      <c r="HB79" s="37">
        <v>11.7301</v>
      </c>
      <c r="HC79" s="37">
        <v>11.7301</v>
      </c>
      <c r="HD79" s="37">
        <v>11.7301</v>
      </c>
      <c r="HE79" s="37">
        <v>11.7301</v>
      </c>
      <c r="HF79" s="37">
        <v>11.7301</v>
      </c>
      <c r="HG79" s="37">
        <v>11.7301</v>
      </c>
      <c r="HH79" s="37">
        <v>11.7301</v>
      </c>
      <c r="HI79" s="37">
        <v>11.7301</v>
      </c>
      <c r="HJ79" s="37">
        <v>11.7301</v>
      </c>
      <c r="HK79" s="37">
        <v>11.7301</v>
      </c>
      <c r="HL79" s="37">
        <v>11.7301</v>
      </c>
      <c r="HM79" s="37">
        <v>11.7301</v>
      </c>
      <c r="HN79" s="37">
        <v>11.7301</v>
      </c>
      <c r="HO79" s="37">
        <v>11.7301</v>
      </c>
      <c r="HP79" s="37">
        <v>11.7301</v>
      </c>
      <c r="HQ79" s="37">
        <v>11.7301</v>
      </c>
      <c r="HR79" s="37">
        <v>11.7301</v>
      </c>
      <c r="HS79" s="37">
        <v>11.7301</v>
      </c>
      <c r="HT79" s="37">
        <v>11.7301</v>
      </c>
      <c r="HU79" s="37">
        <v>11.7301</v>
      </c>
      <c r="HV79" s="37">
        <v>11.7301</v>
      </c>
      <c r="HW79" s="37">
        <v>11.7301</v>
      </c>
      <c r="HX79" s="37">
        <v>11.7301</v>
      </c>
      <c r="HY79" s="37">
        <v>11.7301</v>
      </c>
      <c r="HZ79" s="37">
        <v>11.7301</v>
      </c>
      <c r="IA79" s="37">
        <v>11.7301</v>
      </c>
      <c r="IB79" s="37">
        <v>11.7301</v>
      </c>
      <c r="IC79" s="37">
        <v>11.7301</v>
      </c>
      <c r="ID79" s="37">
        <v>11.7301</v>
      </c>
      <c r="IE79" s="37">
        <v>11.7301</v>
      </c>
      <c r="IF79" s="37">
        <v>11.7301</v>
      </c>
      <c r="IG79" s="37">
        <v>11.7301</v>
      </c>
      <c r="IH79" s="37">
        <v>11.7301</v>
      </c>
      <c r="II79" s="37">
        <v>11.7301</v>
      </c>
      <c r="IJ79" s="37">
        <v>11.7301</v>
      </c>
      <c r="IK79" s="37">
        <v>11.7301</v>
      </c>
      <c r="IL79" s="37">
        <v>11.7301</v>
      </c>
      <c r="IM79" s="37">
        <v>11.7301</v>
      </c>
      <c r="IN79" s="37">
        <v>11.7301</v>
      </c>
      <c r="IO79" s="37">
        <v>11.7301</v>
      </c>
      <c r="IP79" s="37">
        <v>11.7301</v>
      </c>
      <c r="IQ79" s="37">
        <v>11.7301</v>
      </c>
      <c r="IR79" s="37">
        <v>11.7301</v>
      </c>
      <c r="IS79" s="37">
        <v>11.7301</v>
      </c>
      <c r="IT79" s="37">
        <v>11.7301</v>
      </c>
      <c r="IU79" s="37">
        <v>11.7301</v>
      </c>
      <c r="IV79" s="37">
        <v>11.7301</v>
      </c>
      <c r="IW79" s="37">
        <v>11.7301</v>
      </c>
      <c r="IX79" s="37">
        <v>11.7301</v>
      </c>
      <c r="IY79" s="37">
        <v>11.7301</v>
      </c>
      <c r="IZ79" s="37">
        <v>11.7301</v>
      </c>
      <c r="JA79" s="37">
        <v>11.7301</v>
      </c>
      <c r="JB79" s="37">
        <v>11.7301</v>
      </c>
      <c r="JC79" s="37">
        <v>11.7301</v>
      </c>
      <c r="JD79" s="37">
        <v>11.7301</v>
      </c>
      <c r="JE79" s="37">
        <v>11.7301</v>
      </c>
      <c r="JF79" s="37">
        <v>11.7301</v>
      </c>
      <c r="JG79" s="37">
        <v>11.7301</v>
      </c>
      <c r="JH79" s="37">
        <v>11.7301</v>
      </c>
      <c r="JI79" s="37">
        <v>11.7301</v>
      </c>
      <c r="JJ79" s="37">
        <v>11.7301</v>
      </c>
      <c r="JK79" s="37">
        <v>11.7301</v>
      </c>
      <c r="JL79" s="37">
        <v>11.7301</v>
      </c>
      <c r="JM79" s="37">
        <v>11.7301</v>
      </c>
      <c r="JN79" s="37">
        <v>11.7301</v>
      </c>
      <c r="JO79" s="37">
        <v>11.7301</v>
      </c>
      <c r="JP79" s="37">
        <v>11.7301</v>
      </c>
      <c r="JQ79" s="37">
        <v>11.7301</v>
      </c>
      <c r="JR79" s="37">
        <v>11.7301</v>
      </c>
      <c r="JS79" s="37">
        <v>11.7301</v>
      </c>
      <c r="JT79" s="37">
        <v>11.7301</v>
      </c>
      <c r="JU79" s="37">
        <v>11.7301</v>
      </c>
      <c r="JV79" s="37">
        <v>11.7301</v>
      </c>
      <c r="JW79" s="37">
        <v>11.7301</v>
      </c>
      <c r="JX79" s="37">
        <v>11.7301</v>
      </c>
      <c r="JY79" s="37">
        <v>11.7301</v>
      </c>
      <c r="JZ79" s="37">
        <v>11.7301</v>
      </c>
      <c r="KA79" s="37">
        <v>11.7301</v>
      </c>
      <c r="KB79" s="37">
        <v>11.7301</v>
      </c>
      <c r="KC79" s="37">
        <v>11.7301</v>
      </c>
      <c r="KD79" s="37">
        <v>11.7301</v>
      </c>
      <c r="KE79" s="37">
        <v>11.7301</v>
      </c>
      <c r="KF79" s="37">
        <v>11.7301</v>
      </c>
      <c r="KG79" s="37">
        <v>11.7301</v>
      </c>
      <c r="KH79" s="37">
        <v>11.7301</v>
      </c>
      <c r="KI79" s="37">
        <v>11.7301</v>
      </c>
      <c r="KJ79" s="37">
        <v>11.7301</v>
      </c>
      <c r="KK79" s="37">
        <v>11.7301</v>
      </c>
      <c r="KL79" s="37">
        <v>11.7301</v>
      </c>
      <c r="KM79" s="37">
        <v>11.7301</v>
      </c>
      <c r="KN79" s="37">
        <v>11.7301</v>
      </c>
      <c r="KO79" s="37">
        <v>11.7301</v>
      </c>
      <c r="KP79" s="37">
        <v>11.7301</v>
      </c>
      <c r="KQ79" s="37">
        <v>11.7301</v>
      </c>
      <c r="KR79" s="37">
        <v>11.7301</v>
      </c>
      <c r="KS79" s="37">
        <v>11.7301</v>
      </c>
      <c r="KT79" s="37">
        <v>11.7301</v>
      </c>
      <c r="KU79" s="37">
        <v>11.7301</v>
      </c>
      <c r="KV79" s="37">
        <v>11.7301</v>
      </c>
      <c r="KW79" s="37">
        <v>11.7301</v>
      </c>
      <c r="KX79" s="37">
        <v>11.7301</v>
      </c>
      <c r="KY79" s="37">
        <v>11.7301</v>
      </c>
      <c r="KZ79" s="37">
        <v>11.7301</v>
      </c>
      <c r="LA79" s="37">
        <v>11.7301</v>
      </c>
      <c r="LB79" s="37">
        <v>11.7301</v>
      </c>
      <c r="LC79" s="37">
        <v>11.7301</v>
      </c>
      <c r="LD79" s="37">
        <v>11.7301</v>
      </c>
      <c r="LE79" s="37">
        <v>11.7301</v>
      </c>
      <c r="LF79" s="37">
        <v>11.7301</v>
      </c>
      <c r="LG79" s="37">
        <v>11.7301</v>
      </c>
      <c r="LH79" s="37">
        <v>11.7301</v>
      </c>
      <c r="LI79" s="37">
        <v>11.7301</v>
      </c>
      <c r="LJ79" s="37">
        <v>11.7301</v>
      </c>
      <c r="LK79" s="37">
        <v>11.7301</v>
      </c>
      <c r="LL79" s="37">
        <v>11.7301</v>
      </c>
      <c r="LM79" s="37">
        <v>11.7301</v>
      </c>
      <c r="LN79" s="37">
        <v>11.7301</v>
      </c>
      <c r="LO79" s="37">
        <v>11.7301</v>
      </c>
      <c r="LP79" s="37">
        <v>11.7301</v>
      </c>
      <c r="LQ79" s="37">
        <v>11.7301</v>
      </c>
      <c r="LR79" s="37">
        <v>11.7301</v>
      </c>
      <c r="LS79" s="37">
        <v>11.7301</v>
      </c>
      <c r="LT79" s="37">
        <v>11.7301</v>
      </c>
      <c r="LU79" s="37">
        <v>11.7301</v>
      </c>
      <c r="LV79" s="37">
        <v>11.7301</v>
      </c>
      <c r="LW79" s="37">
        <v>11.7301</v>
      </c>
      <c r="LX79" s="37">
        <v>11.7301</v>
      </c>
      <c r="LY79" s="37">
        <v>11.7301</v>
      </c>
      <c r="LZ79" s="37">
        <v>11.7301</v>
      </c>
      <c r="MA79" s="37">
        <v>11.7301</v>
      </c>
      <c r="MB79" s="37">
        <v>11.7301</v>
      </c>
      <c r="MC79" s="37">
        <v>11.7301</v>
      </c>
      <c r="MD79" s="37">
        <v>11.7301</v>
      </c>
      <c r="ME79" s="37">
        <v>11.7301</v>
      </c>
      <c r="MF79" s="37">
        <v>11.7301</v>
      </c>
      <c r="MG79" s="37">
        <v>11.7301</v>
      </c>
      <c r="MH79" s="37">
        <v>11.7301</v>
      </c>
      <c r="MI79" s="37">
        <v>11.7301</v>
      </c>
      <c r="MJ79" s="37">
        <v>11.7301</v>
      </c>
      <c r="MK79" s="37">
        <v>11.7301</v>
      </c>
      <c r="ML79" s="37">
        <v>11.7301</v>
      </c>
      <c r="MM79" s="37">
        <v>11.7301</v>
      </c>
      <c r="MN79" s="37">
        <v>11.7301</v>
      </c>
      <c r="MO79" s="37">
        <v>11.7301</v>
      </c>
      <c r="MP79" s="37">
        <v>11.7301</v>
      </c>
      <c r="MQ79" s="37">
        <v>11.7301</v>
      </c>
      <c r="MR79" s="37">
        <v>11.7301</v>
      </c>
      <c r="MS79" s="37">
        <v>11.7301</v>
      </c>
      <c r="MT79" s="37">
        <v>11.7301</v>
      </c>
      <c r="MU79" s="37">
        <v>11.7301</v>
      </c>
      <c r="MV79" s="37">
        <v>11.7301</v>
      </c>
      <c r="MW79" s="37">
        <v>11.7301</v>
      </c>
      <c r="MX79" s="37">
        <v>11.7301</v>
      </c>
      <c r="MY79" s="37">
        <v>11.7301</v>
      </c>
      <c r="MZ79" s="37">
        <v>11.7301</v>
      </c>
      <c r="NA79" s="37">
        <v>11.7301</v>
      </c>
      <c r="NB79" s="37">
        <v>11.7301</v>
      </c>
      <c r="NC79" s="37">
        <v>11.7301</v>
      </c>
      <c r="ND79" s="37">
        <v>11.7301</v>
      </c>
      <c r="NE79" s="37">
        <v>11.7301</v>
      </c>
      <c r="NF79" s="37">
        <v>11.7301</v>
      </c>
      <c r="NG79" s="37">
        <v>11.7301</v>
      </c>
      <c r="NH79" s="37">
        <v>11.7301</v>
      </c>
      <c r="NI79" s="37">
        <v>11.7301</v>
      </c>
      <c r="NJ79" s="37">
        <v>11.7301</v>
      </c>
      <c r="NK79" s="37">
        <v>11.7301</v>
      </c>
      <c r="NL79" s="37">
        <v>11.7301</v>
      </c>
      <c r="NM79" s="37">
        <v>11.7301</v>
      </c>
      <c r="NN79" s="37">
        <v>11.7301</v>
      </c>
      <c r="NO79" s="37">
        <v>11.7301</v>
      </c>
      <c r="NP79" s="37">
        <v>11.7301</v>
      </c>
      <c r="NQ79" s="37">
        <v>11.7301</v>
      </c>
      <c r="NR79" s="37">
        <v>11.7301</v>
      </c>
      <c r="NS79" s="37">
        <v>11.7301</v>
      </c>
      <c r="NT79" s="37">
        <v>11.7301</v>
      </c>
      <c r="NU79" s="37">
        <v>11.7301</v>
      </c>
      <c r="NV79" s="37">
        <v>11.7301</v>
      </c>
      <c r="NW79" s="37">
        <v>11.7301</v>
      </c>
      <c r="NX79" s="37">
        <v>11.7301</v>
      </c>
      <c r="NY79" s="37">
        <v>11.7301</v>
      </c>
      <c r="NZ79" s="37">
        <v>11.7301</v>
      </c>
      <c r="OA79" s="37">
        <v>11.7301</v>
      </c>
      <c r="OB79" s="37">
        <v>11.7301</v>
      </c>
      <c r="OC79" s="37">
        <v>11.7301</v>
      </c>
      <c r="OD79" s="37">
        <v>11.7301</v>
      </c>
      <c r="OE79" s="37">
        <v>11.7301</v>
      </c>
      <c r="OF79" s="37">
        <v>11.7301</v>
      </c>
      <c r="OG79" s="37">
        <v>11.7301</v>
      </c>
      <c r="OH79" s="37">
        <v>11.7301</v>
      </c>
      <c r="OI79" s="37">
        <v>11.7301</v>
      </c>
      <c r="OJ79" s="37">
        <v>11.7301</v>
      </c>
      <c r="OK79" s="37">
        <v>11.7301</v>
      </c>
      <c r="OL79" s="37">
        <v>11.7301</v>
      </c>
      <c r="OM79" s="37">
        <v>11.7301</v>
      </c>
      <c r="ON79" s="37">
        <v>11.7301</v>
      </c>
      <c r="OO79" s="37">
        <v>11.7301</v>
      </c>
      <c r="OP79" s="37">
        <v>11.7301</v>
      </c>
      <c r="OQ79" s="37">
        <v>11.7301</v>
      </c>
      <c r="OR79" s="37">
        <v>11.7301</v>
      </c>
      <c r="OS79" s="37">
        <v>11.7301</v>
      </c>
      <c r="OT79" s="37">
        <v>11.7301</v>
      </c>
      <c r="OU79" s="37">
        <v>11.7301</v>
      </c>
      <c r="OV79" s="37">
        <v>11.7301</v>
      </c>
      <c r="OW79" s="37">
        <v>11.7301</v>
      </c>
      <c r="OX79" s="37">
        <v>11.7301</v>
      </c>
      <c r="OY79" s="37">
        <v>11.7301</v>
      </c>
      <c r="OZ79" s="37">
        <v>11.7301</v>
      </c>
      <c r="PA79" s="37">
        <v>11.7301</v>
      </c>
      <c r="PB79" s="37">
        <v>11.7301</v>
      </c>
      <c r="PC79" s="37">
        <v>11.7301</v>
      </c>
      <c r="PD79" s="37">
        <v>11.7301</v>
      </c>
      <c r="PE79" s="37">
        <v>11.7301</v>
      </c>
      <c r="PF79" s="37">
        <v>11.7301</v>
      </c>
      <c r="PG79" s="37">
        <v>11.7301</v>
      </c>
      <c r="PH79" s="37">
        <v>11.7301</v>
      </c>
      <c r="PI79" s="37">
        <v>11.7301</v>
      </c>
      <c r="PJ79" s="37">
        <v>11.7301</v>
      </c>
      <c r="PK79" s="37">
        <v>11.7301</v>
      </c>
      <c r="PL79" s="37">
        <v>11.7301</v>
      </c>
      <c r="PM79" s="37">
        <v>11.7301</v>
      </c>
      <c r="PN79" s="37">
        <v>11.7301</v>
      </c>
      <c r="PO79" s="37">
        <v>11.7301</v>
      </c>
      <c r="PP79" s="37">
        <v>11.7301</v>
      </c>
      <c r="PQ79" s="37">
        <v>11.7301</v>
      </c>
      <c r="PR79" s="37">
        <v>11.7301</v>
      </c>
      <c r="PS79" s="15">
        <v>11.7301</v>
      </c>
      <c r="PT79" s="15">
        <v>11.7301</v>
      </c>
      <c r="PU79" s="15">
        <v>11.7301</v>
      </c>
      <c r="PV79" s="15">
        <v>11.7301</v>
      </c>
      <c r="PW79" s="15">
        <v>11.7301</v>
      </c>
      <c r="PX79" s="15">
        <v>11.7301</v>
      </c>
      <c r="PY79" s="15">
        <v>11.7301</v>
      </c>
      <c r="PZ79" s="15">
        <v>11.7301</v>
      </c>
      <c r="QA79" s="15">
        <v>11.7301</v>
      </c>
      <c r="QB79" s="15">
        <v>11.7301</v>
      </c>
      <c r="QC79" s="15">
        <v>11.7301</v>
      </c>
      <c r="QD79" s="15">
        <v>11.7301</v>
      </c>
      <c r="QE79" s="15">
        <v>11.7301</v>
      </c>
      <c r="QF79" s="15">
        <v>12.783799999999999</v>
      </c>
      <c r="QG79" s="15" t="s">
        <v>668</v>
      </c>
      <c r="QH79" s="15" t="s">
        <v>668</v>
      </c>
      <c r="QI79" s="15" t="s">
        <v>668</v>
      </c>
      <c r="QJ79" s="15" t="s">
        <v>668</v>
      </c>
      <c r="QK79" s="15" t="s">
        <v>668</v>
      </c>
      <c r="QL79" s="15" t="s">
        <v>668</v>
      </c>
      <c r="QM79" s="15" t="s">
        <v>668</v>
      </c>
      <c r="QN79" s="15" t="s">
        <v>668</v>
      </c>
      <c r="QO79" s="15" t="s">
        <v>668</v>
      </c>
      <c r="QP79" s="15" t="s">
        <v>668</v>
      </c>
      <c r="QQ79" s="15" t="s">
        <v>668</v>
      </c>
      <c r="QR79" s="15" t="s">
        <v>668</v>
      </c>
      <c r="QS79" s="15" t="s">
        <v>668</v>
      </c>
      <c r="QT79" s="15" t="s">
        <v>668</v>
      </c>
      <c r="QU79" s="15" t="s">
        <v>668</v>
      </c>
      <c r="QV79" s="15" t="s">
        <v>668</v>
      </c>
      <c r="QW79" s="15" t="s">
        <v>668</v>
      </c>
      <c r="QX79" s="15" t="s">
        <v>668</v>
      </c>
      <c r="QY79" s="15" t="s">
        <v>668</v>
      </c>
      <c r="QZ79" s="15" t="s">
        <v>668</v>
      </c>
      <c r="RA79" s="15" t="s">
        <v>668</v>
      </c>
      <c r="RB79" s="15" t="s">
        <v>668</v>
      </c>
      <c r="RC79" s="15" t="s">
        <v>668</v>
      </c>
      <c r="RD79" s="15" t="s">
        <v>668</v>
      </c>
      <c r="RE79" s="15" t="s">
        <v>668</v>
      </c>
      <c r="RF79" s="15" t="s">
        <v>668</v>
      </c>
      <c r="RG79" s="15" t="s">
        <v>668</v>
      </c>
      <c r="RH79" s="15" t="s">
        <v>668</v>
      </c>
      <c r="RI79" s="15" t="s">
        <v>668</v>
      </c>
      <c r="RJ79" s="15" t="s">
        <v>668</v>
      </c>
      <c r="RK79" s="15" t="s">
        <v>668</v>
      </c>
      <c r="RL79" s="15" t="s">
        <v>668</v>
      </c>
      <c r="RM79" s="15" t="s">
        <v>668</v>
      </c>
      <c r="RN79" s="15" t="s">
        <v>668</v>
      </c>
      <c r="RO79" s="15" t="s">
        <v>668</v>
      </c>
      <c r="RP79" s="15" t="s">
        <v>668</v>
      </c>
      <c r="RQ79" s="15" t="s">
        <v>668</v>
      </c>
      <c r="RR79" s="15" t="s">
        <v>668</v>
      </c>
      <c r="RS79" s="15" t="s">
        <v>668</v>
      </c>
      <c r="RT79" s="15" t="s">
        <v>668</v>
      </c>
      <c r="RU79" s="15" t="s">
        <v>668</v>
      </c>
      <c r="RV79" s="15" t="s">
        <v>668</v>
      </c>
      <c r="RW79" s="15" t="s">
        <v>668</v>
      </c>
      <c r="RX79" s="15" t="s">
        <v>668</v>
      </c>
      <c r="RY79" s="15" t="s">
        <v>668</v>
      </c>
      <c r="RZ79" s="15" t="s">
        <v>668</v>
      </c>
      <c r="SA79" s="15" t="s">
        <v>668</v>
      </c>
      <c r="SB79" s="15" t="s">
        <v>668</v>
      </c>
      <c r="SC79" s="15" t="s">
        <v>668</v>
      </c>
      <c r="SD79" s="15" t="s">
        <v>668</v>
      </c>
      <c r="SE79" s="15" t="s">
        <v>668</v>
      </c>
      <c r="SF79" s="15" t="s">
        <v>668</v>
      </c>
      <c r="SG79" s="15" t="s">
        <v>668</v>
      </c>
      <c r="SH79" s="15" t="s">
        <v>668</v>
      </c>
      <c r="SI79" s="15" t="s">
        <v>668</v>
      </c>
      <c r="SJ79" s="15" t="s">
        <v>668</v>
      </c>
      <c r="SK79" s="15" t="s">
        <v>668</v>
      </c>
      <c r="SL79" s="15" t="s">
        <v>668</v>
      </c>
      <c r="SM79" s="15" t="s">
        <v>668</v>
      </c>
      <c r="SN79" s="15" t="s">
        <v>668</v>
      </c>
      <c r="SO79" s="15" t="s">
        <v>668</v>
      </c>
    </row>
    <row r="80" spans="1:509" x14ac:dyDescent="0.2">
      <c r="A80" s="37">
        <v>78</v>
      </c>
      <c r="B80" s="37" t="s">
        <v>869</v>
      </c>
      <c r="C80" s="17">
        <f>+'Detalle Compras'!D80</f>
        <v>202509160115</v>
      </c>
      <c r="D80" s="55">
        <f t="shared" si="16"/>
        <v>8.0732400000000002</v>
      </c>
      <c r="E80" s="14">
        <f>+IF(B80="","",'Detalle Compras'!S80+0)</f>
        <v>45971</v>
      </c>
      <c r="F80" s="14">
        <f>+IF(B80="","",EOMONTH('Detalle Compras'!S80,G80)+10)</f>
        <v>60246</v>
      </c>
      <c r="G80" s="50">
        <f t="shared" si="17"/>
        <v>468</v>
      </c>
      <c r="H80" s="50">
        <f t="shared" si="18"/>
        <v>465</v>
      </c>
      <c r="AC80" s="37">
        <v>8.0732400000000002</v>
      </c>
      <c r="AD80" s="37">
        <v>8.0732400000000002</v>
      </c>
      <c r="AE80" s="37">
        <v>8.0732400000000002</v>
      </c>
      <c r="AF80" s="37">
        <v>8.0732400000000002</v>
      </c>
      <c r="AG80" s="37">
        <v>8.0732400000000002</v>
      </c>
      <c r="AH80" s="37">
        <v>8.0732400000000002</v>
      </c>
      <c r="AI80" s="37">
        <v>8.0732400000000002</v>
      </c>
      <c r="AJ80" s="37">
        <v>8.0732400000000002</v>
      </c>
      <c r="AK80" s="37">
        <v>8.0732400000000002</v>
      </c>
      <c r="AL80" s="37">
        <v>8.0732400000000002</v>
      </c>
      <c r="AM80" s="37">
        <v>8.0732400000000002</v>
      </c>
      <c r="AN80" s="37">
        <v>8.0732400000000002</v>
      </c>
      <c r="AO80" s="37">
        <v>8.0732400000000002</v>
      </c>
      <c r="AP80" s="37">
        <v>8.0732400000000002</v>
      </c>
      <c r="AQ80" s="37">
        <v>8.0732400000000002</v>
      </c>
      <c r="AR80" s="37">
        <v>8.0732400000000002</v>
      </c>
      <c r="AS80" s="37">
        <v>8.0732400000000002</v>
      </c>
      <c r="AT80" s="37">
        <v>8.0732400000000002</v>
      </c>
      <c r="AU80" s="37">
        <v>8.0732400000000002</v>
      </c>
      <c r="AV80" s="37">
        <v>8.0732400000000002</v>
      </c>
      <c r="AW80" s="37">
        <v>8.0732400000000002</v>
      </c>
      <c r="AX80" s="37">
        <v>8.0732400000000002</v>
      </c>
      <c r="AY80" s="37">
        <v>8.0732400000000002</v>
      </c>
      <c r="AZ80" s="37">
        <v>8.0732400000000002</v>
      </c>
      <c r="BA80" s="37">
        <v>8.0732400000000002</v>
      </c>
      <c r="BB80" s="37">
        <v>8.0732400000000002</v>
      </c>
      <c r="BC80" s="37">
        <v>8.0732400000000002</v>
      </c>
      <c r="BD80" s="37">
        <v>8.0732400000000002</v>
      </c>
      <c r="BE80" s="37">
        <v>8.0732400000000002</v>
      </c>
      <c r="BF80" s="37">
        <v>8.0732400000000002</v>
      </c>
      <c r="BG80" s="37">
        <v>8.0732400000000002</v>
      </c>
      <c r="BH80" s="37">
        <v>8.0732400000000002</v>
      </c>
      <c r="BI80" s="37">
        <v>8.0732400000000002</v>
      </c>
      <c r="BJ80" s="37">
        <v>8.0732400000000002</v>
      </c>
      <c r="BK80" s="37">
        <v>8.0732400000000002</v>
      </c>
      <c r="BL80" s="37">
        <v>8.0732400000000002</v>
      </c>
      <c r="BM80" s="37">
        <v>8.0732400000000002</v>
      </c>
      <c r="BN80" s="37">
        <v>8.0732400000000002</v>
      </c>
      <c r="BO80" s="37">
        <v>8.0732400000000002</v>
      </c>
      <c r="BP80" s="37">
        <v>8.0732400000000002</v>
      </c>
      <c r="BQ80" s="37">
        <v>8.0732400000000002</v>
      </c>
      <c r="BR80" s="37">
        <v>8.0732400000000002</v>
      </c>
      <c r="BS80" s="37">
        <v>8.0732400000000002</v>
      </c>
      <c r="BT80" s="37">
        <v>8.0732400000000002</v>
      </c>
      <c r="BU80" s="37">
        <v>8.0732400000000002</v>
      </c>
      <c r="BV80" s="37">
        <v>8.0732400000000002</v>
      </c>
      <c r="BW80" s="37">
        <v>8.0732400000000002</v>
      </c>
      <c r="BX80" s="37">
        <v>8.0732400000000002</v>
      </c>
      <c r="BY80" s="37">
        <v>8.0732400000000002</v>
      </c>
      <c r="BZ80" s="37">
        <v>8.0732400000000002</v>
      </c>
      <c r="CA80" s="37">
        <v>8.0732400000000002</v>
      </c>
      <c r="CB80" s="37">
        <v>8.0732400000000002</v>
      </c>
      <c r="CC80" s="37">
        <v>8.0732400000000002</v>
      </c>
      <c r="CD80" s="37">
        <v>8.0732400000000002</v>
      </c>
      <c r="CE80" s="37">
        <v>8.0732400000000002</v>
      </c>
      <c r="CF80" s="37">
        <v>8.0732400000000002</v>
      </c>
      <c r="CG80" s="37">
        <v>8.0732400000000002</v>
      </c>
      <c r="CH80" s="37">
        <v>8.0732400000000002</v>
      </c>
      <c r="CI80" s="37">
        <v>8.0732400000000002</v>
      </c>
      <c r="CJ80" s="37">
        <v>8.0732400000000002</v>
      </c>
      <c r="CK80" s="37">
        <v>8.0732400000000002</v>
      </c>
      <c r="CL80" s="37">
        <v>8.0732400000000002</v>
      </c>
      <c r="CM80" s="37">
        <v>8.0732400000000002</v>
      </c>
      <c r="CN80" s="37">
        <v>8.0732400000000002</v>
      </c>
      <c r="CO80" s="37">
        <v>8.0732400000000002</v>
      </c>
      <c r="CP80" s="37">
        <v>8.0732400000000002</v>
      </c>
      <c r="CQ80" s="37">
        <v>8.0732400000000002</v>
      </c>
      <c r="CR80" s="37">
        <v>8.0732400000000002</v>
      </c>
      <c r="CS80" s="37">
        <v>8.0732400000000002</v>
      </c>
      <c r="CT80" s="37">
        <v>8.0732400000000002</v>
      </c>
      <c r="CU80" s="37">
        <v>8.0732400000000002</v>
      </c>
      <c r="CV80" s="37">
        <v>8.0732400000000002</v>
      </c>
      <c r="CW80" s="37">
        <v>8.0732400000000002</v>
      </c>
      <c r="CX80" s="37">
        <v>8.0732400000000002</v>
      </c>
      <c r="CY80" s="37">
        <v>8.0732400000000002</v>
      </c>
      <c r="CZ80" s="37">
        <v>8.0732400000000002</v>
      </c>
      <c r="DA80" s="37">
        <v>8.0732400000000002</v>
      </c>
      <c r="DB80" s="37">
        <v>8.0732400000000002</v>
      </c>
      <c r="DC80" s="37">
        <v>8.0732400000000002</v>
      </c>
      <c r="DD80" s="37">
        <v>8.0732400000000002</v>
      </c>
      <c r="DE80" s="37">
        <v>8.0732400000000002</v>
      </c>
      <c r="DF80" s="37">
        <v>8.0732400000000002</v>
      </c>
      <c r="DG80" s="37">
        <v>8.0732400000000002</v>
      </c>
      <c r="DH80" s="37">
        <v>8.0732400000000002</v>
      </c>
      <c r="DI80" s="37">
        <v>8.0732400000000002</v>
      </c>
      <c r="DJ80" s="37">
        <v>8.0732400000000002</v>
      </c>
      <c r="DK80" s="37">
        <v>8.0732400000000002</v>
      </c>
      <c r="DL80" s="37">
        <v>8.0732400000000002</v>
      </c>
      <c r="DM80" s="37">
        <v>8.0732400000000002</v>
      </c>
      <c r="DN80" s="37">
        <v>8.0732400000000002</v>
      </c>
      <c r="DO80" s="37">
        <v>8.0732400000000002</v>
      </c>
      <c r="DP80" s="37">
        <v>8.0732400000000002</v>
      </c>
      <c r="DQ80" s="37">
        <v>8.0732400000000002</v>
      </c>
      <c r="DR80" s="37">
        <v>8.0732400000000002</v>
      </c>
      <c r="DS80" s="37">
        <v>8.0732400000000002</v>
      </c>
      <c r="DT80" s="37">
        <v>8.0732400000000002</v>
      </c>
      <c r="DU80" s="37">
        <v>8.0732400000000002</v>
      </c>
      <c r="DV80" s="37">
        <v>8.0732400000000002</v>
      </c>
      <c r="DW80" s="37">
        <v>8.0732400000000002</v>
      </c>
      <c r="DX80" s="37">
        <v>8.0732400000000002</v>
      </c>
      <c r="DY80" s="37">
        <v>8.0732400000000002</v>
      </c>
      <c r="DZ80" s="37">
        <v>8.0732400000000002</v>
      </c>
      <c r="EA80" s="37">
        <v>8.0732400000000002</v>
      </c>
      <c r="EB80" s="37">
        <v>8.0732400000000002</v>
      </c>
      <c r="EC80" s="37">
        <v>8.0732400000000002</v>
      </c>
      <c r="ED80" s="37">
        <v>8.0732400000000002</v>
      </c>
      <c r="EE80" s="37">
        <v>8.0732400000000002</v>
      </c>
      <c r="EF80" s="37">
        <v>8.0732400000000002</v>
      </c>
      <c r="EG80" s="37">
        <v>8.0732400000000002</v>
      </c>
      <c r="EH80" s="37">
        <v>8.0732400000000002</v>
      </c>
      <c r="EI80" s="37">
        <v>8.0732400000000002</v>
      </c>
      <c r="EJ80" s="37">
        <v>8.0732400000000002</v>
      </c>
      <c r="EK80" s="37">
        <v>8.0732400000000002</v>
      </c>
      <c r="EL80" s="37">
        <v>8.0732400000000002</v>
      </c>
      <c r="EM80" s="37">
        <v>8.0732400000000002</v>
      </c>
      <c r="EN80" s="37">
        <v>8.0732400000000002</v>
      </c>
      <c r="EO80" s="37">
        <v>8.0732400000000002</v>
      </c>
      <c r="EP80" s="37">
        <v>8.0732400000000002</v>
      </c>
      <c r="EQ80" s="37">
        <v>8.0732400000000002</v>
      </c>
      <c r="ER80" s="37">
        <v>8.0732400000000002</v>
      </c>
      <c r="ES80" s="37">
        <v>8.0732400000000002</v>
      </c>
      <c r="ET80" s="37">
        <v>8.0732400000000002</v>
      </c>
      <c r="EU80" s="37">
        <v>8.0732400000000002</v>
      </c>
      <c r="EV80" s="37">
        <v>8.0732400000000002</v>
      </c>
      <c r="EW80" s="37">
        <v>8.0732400000000002</v>
      </c>
      <c r="EX80" s="37">
        <v>8.0732400000000002</v>
      </c>
      <c r="EY80" s="37">
        <v>8.0732400000000002</v>
      </c>
      <c r="EZ80" s="37">
        <v>8.0732400000000002</v>
      </c>
      <c r="FA80" s="37">
        <v>8.0732400000000002</v>
      </c>
      <c r="FB80" s="37">
        <v>8.0732400000000002</v>
      </c>
      <c r="FC80" s="37">
        <v>8.0732400000000002</v>
      </c>
      <c r="FD80" s="37">
        <v>8.0732400000000002</v>
      </c>
      <c r="FE80" s="37">
        <v>8.0732400000000002</v>
      </c>
      <c r="FF80" s="37">
        <v>8.0732400000000002</v>
      </c>
      <c r="FG80" s="37">
        <v>8.0732400000000002</v>
      </c>
      <c r="FH80" s="37">
        <v>8.0732400000000002</v>
      </c>
      <c r="FI80" s="37">
        <v>8.0732400000000002</v>
      </c>
      <c r="FJ80" s="37">
        <v>8.0732400000000002</v>
      </c>
      <c r="FK80" s="37">
        <v>8.0732400000000002</v>
      </c>
      <c r="FL80" s="37">
        <v>8.0732400000000002</v>
      </c>
      <c r="FM80" s="37">
        <v>8.0732400000000002</v>
      </c>
      <c r="FN80" s="37">
        <v>8.0732400000000002</v>
      </c>
      <c r="FO80" s="37">
        <v>8.0732400000000002</v>
      </c>
      <c r="FP80" s="37">
        <v>8.0732400000000002</v>
      </c>
      <c r="FQ80" s="37">
        <v>8.0732400000000002</v>
      </c>
      <c r="FR80" s="37">
        <v>8.0732400000000002</v>
      </c>
      <c r="FS80" s="37">
        <v>8.0732400000000002</v>
      </c>
      <c r="FT80" s="37">
        <v>8.0732400000000002</v>
      </c>
      <c r="FU80" s="37">
        <v>8.0732400000000002</v>
      </c>
      <c r="FV80" s="37">
        <v>8.0732400000000002</v>
      </c>
      <c r="FW80" s="37">
        <v>8.0732400000000002</v>
      </c>
      <c r="FX80" s="37">
        <v>8.0732400000000002</v>
      </c>
      <c r="FY80" s="37">
        <v>8.0732400000000002</v>
      </c>
      <c r="FZ80" s="37">
        <v>8.0732400000000002</v>
      </c>
      <c r="GA80" s="37">
        <v>8.0732400000000002</v>
      </c>
      <c r="GB80" s="37">
        <v>8.0732400000000002</v>
      </c>
      <c r="GC80" s="37">
        <v>8.0732400000000002</v>
      </c>
      <c r="GD80" s="37">
        <v>8.0732400000000002</v>
      </c>
      <c r="GE80" s="37">
        <v>8.0732400000000002</v>
      </c>
      <c r="GF80" s="37">
        <v>8.0732400000000002</v>
      </c>
      <c r="GG80" s="37">
        <v>8.0732400000000002</v>
      </c>
      <c r="GH80" s="37">
        <v>8.0732400000000002</v>
      </c>
      <c r="GI80" s="37">
        <v>8.0732400000000002</v>
      </c>
      <c r="GJ80" s="37">
        <v>8.0732400000000002</v>
      </c>
      <c r="GK80" s="37">
        <v>8.0732400000000002</v>
      </c>
      <c r="GL80" s="37">
        <v>8.0732400000000002</v>
      </c>
      <c r="GM80" s="37">
        <v>8.0732400000000002</v>
      </c>
      <c r="GN80" s="37">
        <v>8.0732400000000002</v>
      </c>
      <c r="GO80" s="37">
        <v>8.0732400000000002</v>
      </c>
      <c r="GP80" s="37">
        <v>8.0732400000000002</v>
      </c>
      <c r="GQ80" s="37">
        <v>8.0732400000000002</v>
      </c>
      <c r="GR80" s="37">
        <v>8.0732400000000002</v>
      </c>
      <c r="GS80" s="37">
        <v>8.0732400000000002</v>
      </c>
      <c r="GT80" s="37">
        <v>8.0732400000000002</v>
      </c>
      <c r="GU80" s="37">
        <v>8.0732400000000002</v>
      </c>
      <c r="GV80" s="37">
        <v>8.0732400000000002</v>
      </c>
      <c r="GW80" s="37">
        <v>8.0732400000000002</v>
      </c>
      <c r="GX80" s="37">
        <v>8.0732400000000002</v>
      </c>
      <c r="GY80" s="37">
        <v>8.0732400000000002</v>
      </c>
      <c r="GZ80" s="37">
        <v>8.0732400000000002</v>
      </c>
      <c r="HA80" s="37">
        <v>8.0732400000000002</v>
      </c>
      <c r="HB80" s="37">
        <v>8.0732400000000002</v>
      </c>
      <c r="HC80" s="37">
        <v>8.0732400000000002</v>
      </c>
      <c r="HD80" s="37">
        <v>8.0732400000000002</v>
      </c>
      <c r="HE80" s="37">
        <v>8.0732400000000002</v>
      </c>
      <c r="HF80" s="37">
        <v>8.0732400000000002</v>
      </c>
      <c r="HG80" s="37">
        <v>8.0732400000000002</v>
      </c>
      <c r="HH80" s="37">
        <v>8.0732400000000002</v>
      </c>
      <c r="HI80" s="37">
        <v>8.0732400000000002</v>
      </c>
      <c r="HJ80" s="37">
        <v>8.0732400000000002</v>
      </c>
      <c r="HK80" s="37">
        <v>8.0732400000000002</v>
      </c>
      <c r="HL80" s="37">
        <v>8.0732400000000002</v>
      </c>
      <c r="HM80" s="37">
        <v>8.0732400000000002</v>
      </c>
      <c r="HN80" s="37">
        <v>8.0732400000000002</v>
      </c>
      <c r="HO80" s="37">
        <v>8.0732400000000002</v>
      </c>
      <c r="HP80" s="37">
        <v>8.0732400000000002</v>
      </c>
      <c r="HQ80" s="37">
        <v>8.0732400000000002</v>
      </c>
      <c r="HR80" s="37">
        <v>8.0732400000000002</v>
      </c>
      <c r="HS80" s="37">
        <v>8.0732400000000002</v>
      </c>
      <c r="HT80" s="37">
        <v>8.0732400000000002</v>
      </c>
      <c r="HU80" s="37">
        <v>8.0732400000000002</v>
      </c>
      <c r="HV80" s="37">
        <v>8.0732400000000002</v>
      </c>
      <c r="HW80" s="37">
        <v>8.0732400000000002</v>
      </c>
      <c r="HX80" s="37">
        <v>8.0732400000000002</v>
      </c>
      <c r="HY80" s="37">
        <v>8.0732400000000002</v>
      </c>
      <c r="HZ80" s="37">
        <v>8.0732400000000002</v>
      </c>
      <c r="IA80" s="37">
        <v>8.0732400000000002</v>
      </c>
      <c r="IB80" s="37">
        <v>8.0732400000000002</v>
      </c>
      <c r="IC80" s="37">
        <v>8.0732400000000002</v>
      </c>
      <c r="ID80" s="37">
        <v>8.0732400000000002</v>
      </c>
      <c r="IE80" s="37">
        <v>8.0732400000000002</v>
      </c>
      <c r="IF80" s="37">
        <v>8.0732400000000002</v>
      </c>
      <c r="IG80" s="37">
        <v>8.0732400000000002</v>
      </c>
      <c r="IH80" s="37">
        <v>8.0732400000000002</v>
      </c>
      <c r="II80" s="37">
        <v>8.0732400000000002</v>
      </c>
      <c r="IJ80" s="37">
        <v>8.0732400000000002</v>
      </c>
      <c r="IK80" s="37">
        <v>8.0732400000000002</v>
      </c>
      <c r="IL80" s="37">
        <v>8.0732400000000002</v>
      </c>
      <c r="IM80" s="37">
        <v>8.0732400000000002</v>
      </c>
      <c r="IN80" s="37">
        <v>8.0732400000000002</v>
      </c>
      <c r="IO80" s="37">
        <v>8.0732400000000002</v>
      </c>
      <c r="IP80" s="37">
        <v>8.0732400000000002</v>
      </c>
      <c r="IQ80" s="37">
        <v>8.0732400000000002</v>
      </c>
      <c r="IR80" s="37">
        <v>8.0732400000000002</v>
      </c>
      <c r="IS80" s="37">
        <v>8.0732400000000002</v>
      </c>
      <c r="IT80" s="37">
        <v>8.0732400000000002</v>
      </c>
      <c r="IU80" s="37">
        <v>8.0732400000000002</v>
      </c>
      <c r="IV80" s="37">
        <v>8.0732400000000002</v>
      </c>
      <c r="IW80" s="37">
        <v>8.0732400000000002</v>
      </c>
      <c r="IX80" s="37">
        <v>8.0732400000000002</v>
      </c>
      <c r="IY80" s="37">
        <v>8.0732400000000002</v>
      </c>
      <c r="IZ80" s="37">
        <v>8.0732400000000002</v>
      </c>
      <c r="JA80" s="37">
        <v>8.0732400000000002</v>
      </c>
      <c r="JB80" s="37">
        <v>8.0732400000000002</v>
      </c>
      <c r="JC80" s="37">
        <v>8.0732400000000002</v>
      </c>
      <c r="JD80" s="37">
        <v>8.0732400000000002</v>
      </c>
      <c r="JE80" s="37">
        <v>8.0732400000000002</v>
      </c>
      <c r="JF80" s="37">
        <v>8.0732400000000002</v>
      </c>
      <c r="JG80" s="37">
        <v>8.0732400000000002</v>
      </c>
      <c r="JH80" s="37">
        <v>8.0732400000000002</v>
      </c>
      <c r="JI80" s="37">
        <v>8.0732400000000002</v>
      </c>
      <c r="JJ80" s="37">
        <v>8.0732400000000002</v>
      </c>
      <c r="JK80" s="37">
        <v>8.0732400000000002</v>
      </c>
      <c r="JL80" s="37">
        <v>8.0732400000000002</v>
      </c>
      <c r="JM80" s="37">
        <v>8.0732400000000002</v>
      </c>
      <c r="JN80" s="37">
        <v>8.0732400000000002</v>
      </c>
      <c r="JO80" s="37">
        <v>8.0732400000000002</v>
      </c>
      <c r="JP80" s="37">
        <v>8.0732400000000002</v>
      </c>
      <c r="JQ80" s="37">
        <v>8.0732400000000002</v>
      </c>
      <c r="JR80" s="37">
        <v>8.0732400000000002</v>
      </c>
      <c r="JS80" s="37">
        <v>8.0732400000000002</v>
      </c>
      <c r="JT80" s="37">
        <v>8.0732400000000002</v>
      </c>
      <c r="JU80" s="37">
        <v>8.0732400000000002</v>
      </c>
      <c r="JV80" s="37">
        <v>8.0732400000000002</v>
      </c>
      <c r="JW80" s="37">
        <v>8.0732400000000002</v>
      </c>
      <c r="JX80" s="37">
        <v>8.0732400000000002</v>
      </c>
      <c r="JY80" s="37">
        <v>8.0732400000000002</v>
      </c>
      <c r="JZ80" s="37">
        <v>8.0732400000000002</v>
      </c>
      <c r="KA80" s="37">
        <v>8.0732400000000002</v>
      </c>
      <c r="KB80" s="37">
        <v>8.0732400000000002</v>
      </c>
      <c r="KC80" s="37">
        <v>8.0732400000000002</v>
      </c>
      <c r="KD80" s="37">
        <v>8.0732400000000002</v>
      </c>
      <c r="KE80" s="37">
        <v>8.0732400000000002</v>
      </c>
      <c r="KF80" s="37">
        <v>8.0732400000000002</v>
      </c>
      <c r="KG80" s="37">
        <v>8.0732400000000002</v>
      </c>
      <c r="KH80" s="37">
        <v>8.0732400000000002</v>
      </c>
      <c r="KI80" s="37">
        <v>8.0732400000000002</v>
      </c>
      <c r="KJ80" s="37">
        <v>8.0732400000000002</v>
      </c>
      <c r="KK80" s="37">
        <v>8.0732400000000002</v>
      </c>
      <c r="KL80" s="37">
        <v>8.0732400000000002</v>
      </c>
      <c r="KM80" s="37">
        <v>8.0732400000000002</v>
      </c>
      <c r="KN80" s="37">
        <v>8.0732400000000002</v>
      </c>
      <c r="KO80" s="37">
        <v>8.0732400000000002</v>
      </c>
      <c r="KP80" s="37">
        <v>8.0732400000000002</v>
      </c>
      <c r="KQ80" s="37">
        <v>8.0732400000000002</v>
      </c>
      <c r="KR80" s="37">
        <v>8.0732400000000002</v>
      </c>
      <c r="KS80" s="37">
        <v>8.0732400000000002</v>
      </c>
      <c r="KT80" s="37">
        <v>8.0732400000000002</v>
      </c>
      <c r="KU80" s="37">
        <v>8.0732400000000002</v>
      </c>
      <c r="KV80" s="37">
        <v>8.0732400000000002</v>
      </c>
      <c r="KW80" s="37">
        <v>8.0732400000000002</v>
      </c>
      <c r="KX80" s="37">
        <v>8.0732400000000002</v>
      </c>
      <c r="KY80" s="37">
        <v>8.0732400000000002</v>
      </c>
      <c r="KZ80" s="37">
        <v>8.0732400000000002</v>
      </c>
      <c r="LA80" s="37">
        <v>8.0732400000000002</v>
      </c>
      <c r="LB80" s="37">
        <v>8.0732400000000002</v>
      </c>
      <c r="LC80" s="37">
        <v>8.0732400000000002</v>
      </c>
      <c r="LD80" s="37">
        <v>8.0732400000000002</v>
      </c>
      <c r="LE80" s="37">
        <v>8.0732400000000002</v>
      </c>
      <c r="LF80" s="37">
        <v>8.0732400000000002</v>
      </c>
      <c r="LG80" s="37">
        <v>8.0732400000000002</v>
      </c>
      <c r="LH80" s="37">
        <v>8.0732400000000002</v>
      </c>
      <c r="LI80" s="37">
        <v>8.0732400000000002</v>
      </c>
      <c r="LJ80" s="37">
        <v>8.0732400000000002</v>
      </c>
      <c r="LK80" s="37">
        <v>8.0732400000000002</v>
      </c>
      <c r="LL80" s="37">
        <v>8.0732400000000002</v>
      </c>
      <c r="LM80" s="37">
        <v>8.0732400000000002</v>
      </c>
      <c r="LN80" s="37">
        <v>8.0732400000000002</v>
      </c>
      <c r="LO80" s="37">
        <v>8.0732400000000002</v>
      </c>
      <c r="LP80" s="37">
        <v>8.0732400000000002</v>
      </c>
      <c r="LQ80" s="37">
        <v>8.0732400000000002</v>
      </c>
      <c r="LR80" s="37">
        <v>8.0732400000000002</v>
      </c>
      <c r="LS80" s="37">
        <v>8.0732400000000002</v>
      </c>
      <c r="LT80" s="37">
        <v>8.0732400000000002</v>
      </c>
      <c r="LU80" s="37">
        <v>8.0732400000000002</v>
      </c>
      <c r="LV80" s="37">
        <v>8.0732400000000002</v>
      </c>
      <c r="LW80" s="37">
        <v>8.0732400000000002</v>
      </c>
      <c r="LX80" s="37">
        <v>8.0732400000000002</v>
      </c>
      <c r="LY80" s="37">
        <v>8.0732400000000002</v>
      </c>
      <c r="LZ80" s="37">
        <v>8.0732400000000002</v>
      </c>
      <c r="MA80" s="37">
        <v>8.0732400000000002</v>
      </c>
      <c r="MB80" s="37">
        <v>8.0732400000000002</v>
      </c>
      <c r="MC80" s="37">
        <v>8.0732400000000002</v>
      </c>
      <c r="MD80" s="37">
        <v>8.0732400000000002</v>
      </c>
      <c r="ME80" s="37">
        <v>8.0732400000000002</v>
      </c>
      <c r="MF80" s="37">
        <v>8.0732400000000002</v>
      </c>
      <c r="MG80" s="37">
        <v>8.0732400000000002</v>
      </c>
      <c r="MH80" s="37">
        <v>8.0732400000000002</v>
      </c>
      <c r="MI80" s="37">
        <v>8.0732400000000002</v>
      </c>
      <c r="MJ80" s="37">
        <v>8.0732400000000002</v>
      </c>
      <c r="MK80" s="37">
        <v>8.0732400000000002</v>
      </c>
      <c r="ML80" s="37">
        <v>8.0732400000000002</v>
      </c>
      <c r="MM80" s="37">
        <v>8.0732400000000002</v>
      </c>
      <c r="MN80" s="37">
        <v>8.0732400000000002</v>
      </c>
      <c r="MO80" s="37">
        <v>8.0732400000000002</v>
      </c>
      <c r="MP80" s="37">
        <v>8.0732400000000002</v>
      </c>
      <c r="MQ80" s="37">
        <v>8.0732400000000002</v>
      </c>
      <c r="MR80" s="37">
        <v>8.0732400000000002</v>
      </c>
      <c r="MS80" s="37">
        <v>8.0732400000000002</v>
      </c>
      <c r="MT80" s="37">
        <v>8.0732400000000002</v>
      </c>
      <c r="MU80" s="37">
        <v>8.0732400000000002</v>
      </c>
      <c r="MV80" s="37">
        <v>8.0732400000000002</v>
      </c>
      <c r="MW80" s="37">
        <v>8.0732400000000002</v>
      </c>
      <c r="MX80" s="37">
        <v>8.0732400000000002</v>
      </c>
      <c r="MY80" s="37">
        <v>8.0732400000000002</v>
      </c>
      <c r="MZ80" s="37">
        <v>8.0732400000000002</v>
      </c>
      <c r="NA80" s="37">
        <v>8.0732400000000002</v>
      </c>
      <c r="NB80" s="37">
        <v>8.0732400000000002</v>
      </c>
      <c r="NC80" s="37">
        <v>8.0732400000000002</v>
      </c>
      <c r="ND80" s="37">
        <v>8.0732400000000002</v>
      </c>
      <c r="NE80" s="37">
        <v>8.0732400000000002</v>
      </c>
      <c r="NF80" s="37">
        <v>8.0732400000000002</v>
      </c>
      <c r="NG80" s="37">
        <v>8.0732400000000002</v>
      </c>
      <c r="NH80" s="37">
        <v>8.0732400000000002</v>
      </c>
      <c r="NI80" s="37">
        <v>8.0732400000000002</v>
      </c>
      <c r="NJ80" s="37">
        <v>8.0732400000000002</v>
      </c>
      <c r="NK80" s="37">
        <v>8.0732400000000002</v>
      </c>
      <c r="NL80" s="37">
        <v>8.0732400000000002</v>
      </c>
      <c r="NM80" s="37">
        <v>8.0732400000000002</v>
      </c>
      <c r="NN80" s="37">
        <v>8.0732400000000002</v>
      </c>
      <c r="NO80" s="37">
        <v>8.0732400000000002</v>
      </c>
      <c r="NP80" s="37">
        <v>8.0732400000000002</v>
      </c>
      <c r="NQ80" s="37">
        <v>8.0732400000000002</v>
      </c>
      <c r="NR80" s="37">
        <v>8.0732400000000002</v>
      </c>
      <c r="NS80" s="37">
        <v>8.0732400000000002</v>
      </c>
      <c r="NT80" s="37">
        <v>8.0732400000000002</v>
      </c>
      <c r="NU80" s="37">
        <v>8.0732400000000002</v>
      </c>
      <c r="NV80" s="37">
        <v>8.0732400000000002</v>
      </c>
      <c r="NW80" s="37">
        <v>8.0732400000000002</v>
      </c>
      <c r="NX80" s="37">
        <v>8.0732400000000002</v>
      </c>
      <c r="NY80" s="37">
        <v>8.0732400000000002</v>
      </c>
      <c r="NZ80" s="37">
        <v>8.0732400000000002</v>
      </c>
      <c r="OA80" s="37">
        <v>8.0732400000000002</v>
      </c>
      <c r="OB80" s="37">
        <v>8.0732400000000002</v>
      </c>
      <c r="OC80" s="37">
        <v>8.0732400000000002</v>
      </c>
      <c r="OD80" s="37">
        <v>8.0732400000000002</v>
      </c>
      <c r="OE80" s="37">
        <v>8.0732400000000002</v>
      </c>
      <c r="OF80" s="37">
        <v>8.0732400000000002</v>
      </c>
      <c r="OG80" s="37">
        <v>8.0732400000000002</v>
      </c>
      <c r="OH80" s="37">
        <v>8.0732400000000002</v>
      </c>
      <c r="OI80" s="37">
        <v>8.0732400000000002</v>
      </c>
      <c r="OJ80" s="37">
        <v>8.0732400000000002</v>
      </c>
      <c r="OK80" s="37">
        <v>8.0732400000000002</v>
      </c>
      <c r="OL80" s="37">
        <v>8.0732400000000002</v>
      </c>
      <c r="OM80" s="37">
        <v>8.0732400000000002</v>
      </c>
      <c r="ON80" s="37">
        <v>8.0732400000000002</v>
      </c>
      <c r="OO80" s="37">
        <v>8.0732400000000002</v>
      </c>
      <c r="OP80" s="37">
        <v>8.0732400000000002</v>
      </c>
      <c r="OQ80" s="37">
        <v>8.0732400000000002</v>
      </c>
      <c r="OR80" s="37">
        <v>8.0732400000000002</v>
      </c>
      <c r="OS80" s="37">
        <v>8.0732400000000002</v>
      </c>
      <c r="OT80" s="37">
        <v>8.0732400000000002</v>
      </c>
      <c r="OU80" s="37">
        <v>8.0732400000000002</v>
      </c>
      <c r="OV80" s="37">
        <v>8.0732400000000002</v>
      </c>
      <c r="OW80" s="37">
        <v>8.0732400000000002</v>
      </c>
      <c r="OX80" s="37">
        <v>8.0732400000000002</v>
      </c>
      <c r="OY80" s="37">
        <v>8.0732400000000002</v>
      </c>
      <c r="OZ80" s="37">
        <v>8.0732400000000002</v>
      </c>
      <c r="PA80" s="37">
        <v>8.0732400000000002</v>
      </c>
      <c r="PB80" s="37">
        <v>8.0732400000000002</v>
      </c>
      <c r="PC80" s="37">
        <v>8.0732400000000002</v>
      </c>
      <c r="PD80" s="37">
        <v>8.0732400000000002</v>
      </c>
      <c r="PE80" s="37">
        <v>8.0732400000000002</v>
      </c>
      <c r="PF80" s="37">
        <v>8.0732400000000002</v>
      </c>
      <c r="PG80" s="37">
        <v>8.0732400000000002</v>
      </c>
      <c r="PH80" s="37">
        <v>8.0732400000000002</v>
      </c>
      <c r="PI80" s="37">
        <v>8.0732400000000002</v>
      </c>
      <c r="PJ80" s="37">
        <v>8.0732400000000002</v>
      </c>
      <c r="PK80" s="37">
        <v>8.0732400000000002</v>
      </c>
      <c r="PL80" s="37">
        <v>8.0732400000000002</v>
      </c>
      <c r="PM80" s="37">
        <v>8.0732400000000002</v>
      </c>
      <c r="PN80" s="37">
        <v>8.0732400000000002</v>
      </c>
      <c r="PO80" s="37">
        <v>8.0732400000000002</v>
      </c>
      <c r="PP80" s="37">
        <v>8.0732400000000002</v>
      </c>
      <c r="PQ80" s="37">
        <v>8.0732400000000002</v>
      </c>
      <c r="PR80" s="37">
        <v>8.0732400000000002</v>
      </c>
      <c r="PS80" s="15">
        <v>8.0732400000000002</v>
      </c>
      <c r="PT80" s="15">
        <v>8.0732400000000002</v>
      </c>
      <c r="PU80" s="15">
        <v>8.0732400000000002</v>
      </c>
      <c r="PV80" s="15">
        <v>8.0732400000000002</v>
      </c>
      <c r="PW80" s="15">
        <v>8.0732400000000002</v>
      </c>
      <c r="PX80" s="15">
        <v>8.0732400000000002</v>
      </c>
      <c r="PY80" s="15">
        <v>8.0732400000000002</v>
      </c>
      <c r="PZ80" s="15">
        <v>8.0732400000000002</v>
      </c>
      <c r="QA80" s="15">
        <v>8.0732400000000002</v>
      </c>
      <c r="QB80" s="15">
        <v>8.0732400000000002</v>
      </c>
      <c r="QC80" s="15">
        <v>8.0732400000000002</v>
      </c>
      <c r="QD80" s="15">
        <v>8.0732400000000002</v>
      </c>
      <c r="QE80" s="15">
        <v>8.0732400000000002</v>
      </c>
      <c r="QF80" s="15">
        <v>8.0732400000000002</v>
      </c>
      <c r="QG80" s="15">
        <v>8.0732400000000002</v>
      </c>
      <c r="QH80" s="15">
        <v>8.0732400000000002</v>
      </c>
      <c r="QI80" s="15">
        <v>8.0732400000000002</v>
      </c>
      <c r="QJ80" s="15">
        <v>8.0732400000000002</v>
      </c>
      <c r="QK80" s="15">
        <v>8.0732400000000002</v>
      </c>
      <c r="QL80" s="15">
        <v>8.0732400000000002</v>
      </c>
      <c r="QM80" s="15">
        <v>8.0732400000000002</v>
      </c>
      <c r="QN80" s="15">
        <v>8.0732400000000002</v>
      </c>
      <c r="QO80" s="15">
        <v>8.0732400000000002</v>
      </c>
      <c r="QP80" s="15">
        <v>8.0732400000000002</v>
      </c>
      <c r="QQ80" s="15">
        <v>8.0732400000000002</v>
      </c>
      <c r="QR80" s="15">
        <v>8.0732400000000002</v>
      </c>
      <c r="QS80" s="15">
        <v>8.0732400000000002</v>
      </c>
      <c r="QT80" s="15">
        <v>8.0732400000000002</v>
      </c>
      <c r="QU80" s="15">
        <v>8.0732400000000002</v>
      </c>
      <c r="QV80" s="15">
        <v>8.0732400000000002</v>
      </c>
      <c r="QW80" s="15">
        <v>8.0732400000000002</v>
      </c>
      <c r="QX80" s="15">
        <v>8.0732400000000002</v>
      </c>
      <c r="QY80" s="15">
        <v>8.0732400000000002</v>
      </c>
      <c r="QZ80" s="15">
        <v>8.0732400000000002</v>
      </c>
      <c r="RA80" s="15">
        <v>8.0732400000000002</v>
      </c>
      <c r="RB80" s="15">
        <v>8.0732400000000002</v>
      </c>
      <c r="RC80" s="15">
        <v>8.0732400000000002</v>
      </c>
      <c r="RD80" s="15">
        <v>8.0732400000000002</v>
      </c>
      <c r="RE80" s="15">
        <v>8.0732400000000002</v>
      </c>
      <c r="RF80" s="15">
        <v>8.0732400000000002</v>
      </c>
      <c r="RG80" s="15">
        <v>8.0732400000000002</v>
      </c>
      <c r="RH80" s="15">
        <v>8.0732400000000002</v>
      </c>
      <c r="RI80" s="15">
        <v>8.0732400000000002</v>
      </c>
      <c r="RJ80" s="15">
        <v>8.0732400000000002</v>
      </c>
      <c r="RK80" s="15">
        <v>8.0732400000000002</v>
      </c>
      <c r="RL80" s="15">
        <v>8.0732400000000002</v>
      </c>
      <c r="RM80" s="15">
        <v>8.0732400000000002</v>
      </c>
      <c r="RN80" s="15">
        <v>8.0732400000000002</v>
      </c>
      <c r="RO80" s="15">
        <v>8.0732400000000002</v>
      </c>
      <c r="RP80" s="15">
        <v>8.0732400000000002</v>
      </c>
      <c r="RQ80" s="15">
        <v>8.0732400000000002</v>
      </c>
      <c r="RR80" s="15">
        <v>8.0732400000000002</v>
      </c>
      <c r="RS80" s="15">
        <v>8.0732400000000002</v>
      </c>
      <c r="RT80" s="15">
        <v>8.0732400000000002</v>
      </c>
      <c r="RU80" s="15">
        <v>8.0732400000000002</v>
      </c>
      <c r="RV80" s="15">
        <v>8.0732400000000002</v>
      </c>
      <c r="RW80" s="15">
        <v>8.0732400000000002</v>
      </c>
      <c r="RX80" s="15">
        <v>8.0732400000000002</v>
      </c>
      <c r="RY80" s="15">
        <v>8.0732400000000002</v>
      </c>
      <c r="RZ80" s="15">
        <v>8.0732400000000002</v>
      </c>
      <c r="SA80" s="15">
        <v>8.0732400000000002</v>
      </c>
      <c r="SB80" s="15">
        <v>8.2702200000000001</v>
      </c>
      <c r="SC80" s="15" t="s">
        <v>668</v>
      </c>
      <c r="SD80" s="15" t="s">
        <v>668</v>
      </c>
      <c r="SE80" s="15" t="s">
        <v>668</v>
      </c>
      <c r="SF80" s="15" t="s">
        <v>668</v>
      </c>
      <c r="SG80" s="15" t="s">
        <v>668</v>
      </c>
      <c r="SH80" s="15" t="s">
        <v>668</v>
      </c>
      <c r="SI80" s="15" t="s">
        <v>668</v>
      </c>
      <c r="SJ80" s="15" t="s">
        <v>668</v>
      </c>
      <c r="SK80" s="15" t="s">
        <v>668</v>
      </c>
      <c r="SL80" s="15" t="s">
        <v>668</v>
      </c>
      <c r="SM80" s="15" t="s">
        <v>668</v>
      </c>
      <c r="SN80" s="15" t="s">
        <v>668</v>
      </c>
      <c r="SO80" s="15" t="s">
        <v>668</v>
      </c>
    </row>
    <row r="81" spans="1:510" x14ac:dyDescent="0.2">
      <c r="A81" s="37">
        <v>79</v>
      </c>
      <c r="B81" s="37" t="s">
        <v>870</v>
      </c>
      <c r="C81" s="17">
        <f>+'Detalle Compras'!D81</f>
        <v>202509110112</v>
      </c>
      <c r="D81" s="55">
        <f t="shared" si="16"/>
        <v>10.851459999999999</v>
      </c>
      <c r="E81" s="14">
        <f>+IF(B81="","",'Detalle Compras'!S81+0)</f>
        <v>45971</v>
      </c>
      <c r="F81" s="14">
        <f>+IF(B81="","",EOMONTH('Detalle Compras'!S81,G81)+10)</f>
        <v>56958</v>
      </c>
      <c r="G81" s="50">
        <f t="shared" si="17"/>
        <v>360</v>
      </c>
      <c r="H81" s="50">
        <f t="shared" si="18"/>
        <v>357</v>
      </c>
      <c r="AC81" s="37">
        <v>10.851459999999999</v>
      </c>
      <c r="AD81" s="37">
        <v>10.851459999999999</v>
      </c>
      <c r="AE81" s="37">
        <v>10.851459999999999</v>
      </c>
      <c r="AF81" s="37">
        <v>10.851459999999999</v>
      </c>
      <c r="AG81" s="37">
        <v>10.851459999999999</v>
      </c>
      <c r="AH81" s="37">
        <v>10.851459999999999</v>
      </c>
      <c r="AI81" s="37">
        <v>10.851459999999999</v>
      </c>
      <c r="AJ81" s="37">
        <v>10.851459999999999</v>
      </c>
      <c r="AK81" s="37">
        <v>10.851459999999999</v>
      </c>
      <c r="AL81" s="37">
        <v>10.851459999999999</v>
      </c>
      <c r="AM81" s="37">
        <v>10.851459999999999</v>
      </c>
      <c r="AN81" s="37">
        <v>10.851459999999999</v>
      </c>
      <c r="AO81" s="37">
        <v>10.851459999999999</v>
      </c>
      <c r="AP81" s="37">
        <v>10.851459999999999</v>
      </c>
      <c r="AQ81" s="37">
        <v>10.851459999999999</v>
      </c>
      <c r="AR81" s="37">
        <v>10.851459999999999</v>
      </c>
      <c r="AS81" s="37">
        <v>10.851459999999999</v>
      </c>
      <c r="AT81" s="37">
        <v>10.851459999999999</v>
      </c>
      <c r="AU81" s="37">
        <v>10.851459999999999</v>
      </c>
      <c r="AV81" s="37">
        <v>10.851459999999999</v>
      </c>
      <c r="AW81" s="37">
        <v>10.851459999999999</v>
      </c>
      <c r="AX81" s="37">
        <v>10.851459999999999</v>
      </c>
      <c r="AY81" s="37">
        <v>10.851459999999999</v>
      </c>
      <c r="AZ81" s="37">
        <v>10.851459999999999</v>
      </c>
      <c r="BA81" s="37">
        <v>10.851459999999999</v>
      </c>
      <c r="BB81" s="37">
        <v>10.851459999999999</v>
      </c>
      <c r="BC81" s="37">
        <v>10.851459999999999</v>
      </c>
      <c r="BD81" s="37">
        <v>10.851459999999999</v>
      </c>
      <c r="BE81" s="37">
        <v>10.851459999999999</v>
      </c>
      <c r="BF81" s="37">
        <v>10.851459999999999</v>
      </c>
      <c r="BG81" s="37">
        <v>10.851459999999999</v>
      </c>
      <c r="BH81" s="37">
        <v>10.851459999999999</v>
      </c>
      <c r="BI81" s="37">
        <v>10.851459999999999</v>
      </c>
      <c r="BJ81" s="37">
        <v>10.851459999999999</v>
      </c>
      <c r="BK81" s="37">
        <v>10.851459999999999</v>
      </c>
      <c r="BL81" s="37">
        <v>10.851459999999999</v>
      </c>
      <c r="BM81" s="37">
        <v>10.851459999999999</v>
      </c>
      <c r="BN81" s="37">
        <v>10.851459999999999</v>
      </c>
      <c r="BO81" s="37">
        <v>10.851459999999999</v>
      </c>
      <c r="BP81" s="37">
        <v>10.851459999999999</v>
      </c>
      <c r="BQ81" s="37">
        <v>10.851459999999999</v>
      </c>
      <c r="BR81" s="37">
        <v>10.851459999999999</v>
      </c>
      <c r="BS81" s="37">
        <v>10.851459999999999</v>
      </c>
      <c r="BT81" s="37">
        <v>10.851459999999999</v>
      </c>
      <c r="BU81" s="37">
        <v>10.851459999999999</v>
      </c>
      <c r="BV81" s="37">
        <v>10.851459999999999</v>
      </c>
      <c r="BW81" s="37">
        <v>10.851459999999999</v>
      </c>
      <c r="BX81" s="37">
        <v>10.851459999999999</v>
      </c>
      <c r="BY81" s="37">
        <v>10.851459999999999</v>
      </c>
      <c r="BZ81" s="37">
        <v>10.851459999999999</v>
      </c>
      <c r="CA81" s="37">
        <v>10.851459999999999</v>
      </c>
      <c r="CB81" s="37">
        <v>10.851459999999999</v>
      </c>
      <c r="CC81" s="37">
        <v>10.851459999999999</v>
      </c>
      <c r="CD81" s="37">
        <v>10.851459999999999</v>
      </c>
      <c r="CE81" s="37">
        <v>10.851459999999999</v>
      </c>
      <c r="CF81" s="37">
        <v>10.851459999999999</v>
      </c>
      <c r="CG81" s="37">
        <v>10.851459999999999</v>
      </c>
      <c r="CH81" s="37">
        <v>10.851459999999999</v>
      </c>
      <c r="CI81" s="37">
        <v>10.851459999999999</v>
      </c>
      <c r="CJ81" s="37">
        <v>10.851459999999999</v>
      </c>
      <c r="CK81" s="37">
        <v>10.851459999999999</v>
      </c>
      <c r="CL81" s="37">
        <v>10.851459999999999</v>
      </c>
      <c r="CM81" s="37">
        <v>10.851459999999999</v>
      </c>
      <c r="CN81" s="37">
        <v>10.851459999999999</v>
      </c>
      <c r="CO81" s="37">
        <v>10.851459999999999</v>
      </c>
      <c r="CP81" s="37">
        <v>10.851459999999999</v>
      </c>
      <c r="CQ81" s="37">
        <v>10.851459999999999</v>
      </c>
      <c r="CR81" s="37">
        <v>10.851459999999999</v>
      </c>
      <c r="CS81" s="37">
        <v>10.851459999999999</v>
      </c>
      <c r="CT81" s="37">
        <v>10.851459999999999</v>
      </c>
      <c r="CU81" s="37">
        <v>10.851459999999999</v>
      </c>
      <c r="CV81" s="37">
        <v>10.851459999999999</v>
      </c>
      <c r="CW81" s="37">
        <v>10.851459999999999</v>
      </c>
      <c r="CX81" s="37">
        <v>10.851459999999999</v>
      </c>
      <c r="CY81" s="37">
        <v>10.851459999999999</v>
      </c>
      <c r="CZ81" s="37">
        <v>10.851459999999999</v>
      </c>
      <c r="DA81" s="37">
        <v>10.851459999999999</v>
      </c>
      <c r="DB81" s="37">
        <v>10.851459999999999</v>
      </c>
      <c r="DC81" s="37">
        <v>10.851459999999999</v>
      </c>
      <c r="DD81" s="37">
        <v>10.851459999999999</v>
      </c>
      <c r="DE81" s="37">
        <v>10.851459999999999</v>
      </c>
      <c r="DF81" s="37">
        <v>10.851459999999999</v>
      </c>
      <c r="DG81" s="37">
        <v>10.851459999999999</v>
      </c>
      <c r="DH81" s="37">
        <v>10.851459999999999</v>
      </c>
      <c r="DI81" s="37">
        <v>10.851459999999999</v>
      </c>
      <c r="DJ81" s="37">
        <v>10.851459999999999</v>
      </c>
      <c r="DK81" s="37">
        <v>10.851459999999999</v>
      </c>
      <c r="DL81" s="37">
        <v>10.851459999999999</v>
      </c>
      <c r="DM81" s="37">
        <v>10.851459999999999</v>
      </c>
      <c r="DN81" s="37">
        <v>10.851459999999999</v>
      </c>
      <c r="DO81" s="37">
        <v>10.851459999999999</v>
      </c>
      <c r="DP81" s="37">
        <v>10.851459999999999</v>
      </c>
      <c r="DQ81" s="37">
        <v>10.851459999999999</v>
      </c>
      <c r="DR81" s="37">
        <v>10.851459999999999</v>
      </c>
      <c r="DS81" s="37">
        <v>10.851459999999999</v>
      </c>
      <c r="DT81" s="37">
        <v>10.851459999999999</v>
      </c>
      <c r="DU81" s="37">
        <v>10.851459999999999</v>
      </c>
      <c r="DV81" s="37">
        <v>10.851459999999999</v>
      </c>
      <c r="DW81" s="37">
        <v>10.851459999999999</v>
      </c>
      <c r="DX81" s="37">
        <v>10.851459999999999</v>
      </c>
      <c r="DY81" s="37">
        <v>10.851459999999999</v>
      </c>
      <c r="DZ81" s="37">
        <v>10.851459999999999</v>
      </c>
      <c r="EA81" s="37">
        <v>10.851459999999999</v>
      </c>
      <c r="EB81" s="37">
        <v>10.851459999999999</v>
      </c>
      <c r="EC81" s="37">
        <v>10.851459999999999</v>
      </c>
      <c r="ED81" s="37">
        <v>10.851459999999999</v>
      </c>
      <c r="EE81" s="37">
        <v>10.851459999999999</v>
      </c>
      <c r="EF81" s="37">
        <v>10.851459999999999</v>
      </c>
      <c r="EG81" s="37">
        <v>10.851459999999999</v>
      </c>
      <c r="EH81" s="37">
        <v>10.851459999999999</v>
      </c>
      <c r="EI81" s="37">
        <v>10.851459999999999</v>
      </c>
      <c r="EJ81" s="37">
        <v>10.851459999999999</v>
      </c>
      <c r="EK81" s="37">
        <v>10.851459999999999</v>
      </c>
      <c r="EL81" s="37">
        <v>10.851459999999999</v>
      </c>
      <c r="EM81" s="37">
        <v>10.851459999999999</v>
      </c>
      <c r="EN81" s="37">
        <v>10.851459999999999</v>
      </c>
      <c r="EO81" s="37">
        <v>10.851459999999999</v>
      </c>
      <c r="EP81" s="37">
        <v>10.851459999999999</v>
      </c>
      <c r="EQ81" s="37">
        <v>10.851459999999999</v>
      </c>
      <c r="ER81" s="37">
        <v>10.851459999999999</v>
      </c>
      <c r="ES81" s="37">
        <v>10.851459999999999</v>
      </c>
      <c r="ET81" s="37">
        <v>10.851459999999999</v>
      </c>
      <c r="EU81" s="37">
        <v>10.851459999999999</v>
      </c>
      <c r="EV81" s="37">
        <v>10.851459999999999</v>
      </c>
      <c r="EW81" s="37">
        <v>10.851459999999999</v>
      </c>
      <c r="EX81" s="37">
        <v>10.851459999999999</v>
      </c>
      <c r="EY81" s="37">
        <v>10.851459999999999</v>
      </c>
      <c r="EZ81" s="37">
        <v>10.851459999999999</v>
      </c>
      <c r="FA81" s="37">
        <v>10.851459999999999</v>
      </c>
      <c r="FB81" s="37">
        <v>10.851459999999999</v>
      </c>
      <c r="FC81" s="37">
        <v>10.851459999999999</v>
      </c>
      <c r="FD81" s="37">
        <v>10.851459999999999</v>
      </c>
      <c r="FE81" s="37">
        <v>10.851459999999999</v>
      </c>
      <c r="FF81" s="37">
        <v>10.851459999999999</v>
      </c>
      <c r="FG81" s="37">
        <v>10.851459999999999</v>
      </c>
      <c r="FH81" s="37">
        <v>10.851459999999999</v>
      </c>
      <c r="FI81" s="37">
        <v>10.851459999999999</v>
      </c>
      <c r="FJ81" s="37">
        <v>10.851459999999999</v>
      </c>
      <c r="FK81" s="37">
        <v>10.851459999999999</v>
      </c>
      <c r="FL81" s="37">
        <v>10.851459999999999</v>
      </c>
      <c r="FM81" s="37">
        <v>10.851459999999999</v>
      </c>
      <c r="FN81" s="37">
        <v>10.851459999999999</v>
      </c>
      <c r="FO81" s="37">
        <v>10.851459999999999</v>
      </c>
      <c r="FP81" s="37">
        <v>10.851459999999999</v>
      </c>
      <c r="FQ81" s="37">
        <v>10.851459999999999</v>
      </c>
      <c r="FR81" s="37">
        <v>10.851459999999999</v>
      </c>
      <c r="FS81" s="37">
        <v>10.851459999999999</v>
      </c>
      <c r="FT81" s="37">
        <v>10.851459999999999</v>
      </c>
      <c r="FU81" s="37">
        <v>10.851459999999999</v>
      </c>
      <c r="FV81" s="37">
        <v>10.851459999999999</v>
      </c>
      <c r="FW81" s="37">
        <v>10.851459999999999</v>
      </c>
      <c r="FX81" s="37">
        <v>10.851459999999999</v>
      </c>
      <c r="FY81" s="37">
        <v>10.851459999999999</v>
      </c>
      <c r="FZ81" s="37">
        <v>10.851459999999999</v>
      </c>
      <c r="GA81" s="37">
        <v>10.851459999999999</v>
      </c>
      <c r="GB81" s="37">
        <v>10.851459999999999</v>
      </c>
      <c r="GC81" s="37">
        <v>10.851459999999999</v>
      </c>
      <c r="GD81" s="37">
        <v>10.851459999999999</v>
      </c>
      <c r="GE81" s="37">
        <v>10.851459999999999</v>
      </c>
      <c r="GF81" s="37">
        <v>10.851459999999999</v>
      </c>
      <c r="GG81" s="37">
        <v>10.851459999999999</v>
      </c>
      <c r="GH81" s="37">
        <v>10.851459999999999</v>
      </c>
      <c r="GI81" s="37">
        <v>10.851459999999999</v>
      </c>
      <c r="GJ81" s="37">
        <v>10.851459999999999</v>
      </c>
      <c r="GK81" s="37">
        <v>10.851459999999999</v>
      </c>
      <c r="GL81" s="37">
        <v>10.851459999999999</v>
      </c>
      <c r="GM81" s="37">
        <v>10.851459999999999</v>
      </c>
      <c r="GN81" s="37">
        <v>10.851459999999999</v>
      </c>
      <c r="GO81" s="37">
        <v>10.851459999999999</v>
      </c>
      <c r="GP81" s="37">
        <v>10.851459999999999</v>
      </c>
      <c r="GQ81" s="37">
        <v>10.851459999999999</v>
      </c>
      <c r="GR81" s="37">
        <v>10.851459999999999</v>
      </c>
      <c r="GS81" s="37">
        <v>10.851459999999999</v>
      </c>
      <c r="GT81" s="37">
        <v>10.851459999999999</v>
      </c>
      <c r="GU81" s="37">
        <v>10.851459999999999</v>
      </c>
      <c r="GV81" s="37">
        <v>10.851459999999999</v>
      </c>
      <c r="GW81" s="37">
        <v>10.851459999999999</v>
      </c>
      <c r="GX81" s="37">
        <v>10.851459999999999</v>
      </c>
      <c r="GY81" s="37">
        <v>10.851459999999999</v>
      </c>
      <c r="GZ81" s="37">
        <v>10.851459999999999</v>
      </c>
      <c r="HA81" s="37">
        <v>10.851459999999999</v>
      </c>
      <c r="HB81" s="37">
        <v>10.851459999999999</v>
      </c>
      <c r="HC81" s="37">
        <v>10.851459999999999</v>
      </c>
      <c r="HD81" s="37">
        <v>10.851459999999999</v>
      </c>
      <c r="HE81" s="37">
        <v>10.851459999999999</v>
      </c>
      <c r="HF81" s="37">
        <v>10.851459999999999</v>
      </c>
      <c r="HG81" s="37">
        <v>10.851459999999999</v>
      </c>
      <c r="HH81" s="37">
        <v>10.851459999999999</v>
      </c>
      <c r="HI81" s="37">
        <v>10.851459999999999</v>
      </c>
      <c r="HJ81" s="37">
        <v>10.851459999999999</v>
      </c>
      <c r="HK81" s="37">
        <v>10.851459999999999</v>
      </c>
      <c r="HL81" s="37">
        <v>10.851459999999999</v>
      </c>
      <c r="HM81" s="37">
        <v>10.851459999999999</v>
      </c>
      <c r="HN81" s="37">
        <v>10.851459999999999</v>
      </c>
      <c r="HO81" s="37">
        <v>10.851459999999999</v>
      </c>
      <c r="HP81" s="37">
        <v>10.851459999999999</v>
      </c>
      <c r="HQ81" s="37">
        <v>10.851459999999999</v>
      </c>
      <c r="HR81" s="37">
        <v>10.851459999999999</v>
      </c>
      <c r="HS81" s="37">
        <v>10.851459999999999</v>
      </c>
      <c r="HT81" s="37">
        <v>10.851459999999999</v>
      </c>
      <c r="HU81" s="37">
        <v>10.851459999999999</v>
      </c>
      <c r="HV81" s="37">
        <v>10.851459999999999</v>
      </c>
      <c r="HW81" s="37">
        <v>10.851459999999999</v>
      </c>
      <c r="HX81" s="37">
        <v>10.851459999999999</v>
      </c>
      <c r="HY81" s="37">
        <v>10.851459999999999</v>
      </c>
      <c r="HZ81" s="37">
        <v>10.851459999999999</v>
      </c>
      <c r="IA81" s="37">
        <v>10.851459999999999</v>
      </c>
      <c r="IB81" s="37">
        <v>10.851459999999999</v>
      </c>
      <c r="IC81" s="37">
        <v>10.851459999999999</v>
      </c>
      <c r="ID81" s="37">
        <v>10.851459999999999</v>
      </c>
      <c r="IE81" s="37">
        <v>10.851459999999999</v>
      </c>
      <c r="IF81" s="37">
        <v>10.851459999999999</v>
      </c>
      <c r="IG81" s="37">
        <v>10.851459999999999</v>
      </c>
      <c r="IH81" s="37">
        <v>10.851459999999999</v>
      </c>
      <c r="II81" s="37">
        <v>10.851459999999999</v>
      </c>
      <c r="IJ81" s="37">
        <v>10.851459999999999</v>
      </c>
      <c r="IK81" s="37">
        <v>10.851459999999999</v>
      </c>
      <c r="IL81" s="37">
        <v>10.851459999999999</v>
      </c>
      <c r="IM81" s="37">
        <v>10.851459999999999</v>
      </c>
      <c r="IN81" s="37">
        <v>10.851459999999999</v>
      </c>
      <c r="IO81" s="37">
        <v>10.851459999999999</v>
      </c>
      <c r="IP81" s="37">
        <v>10.851459999999999</v>
      </c>
      <c r="IQ81" s="37">
        <v>10.851459999999999</v>
      </c>
      <c r="IR81" s="37">
        <v>10.851459999999999</v>
      </c>
      <c r="IS81" s="37">
        <v>10.851459999999999</v>
      </c>
      <c r="IT81" s="37">
        <v>10.851459999999999</v>
      </c>
      <c r="IU81" s="37">
        <v>10.851459999999999</v>
      </c>
      <c r="IV81" s="37">
        <v>10.851459999999999</v>
      </c>
      <c r="IW81" s="37">
        <v>10.851459999999999</v>
      </c>
      <c r="IX81" s="37">
        <v>10.851459999999999</v>
      </c>
      <c r="IY81" s="37">
        <v>10.851459999999999</v>
      </c>
      <c r="IZ81" s="37">
        <v>10.851459999999999</v>
      </c>
      <c r="JA81" s="37">
        <v>10.851459999999999</v>
      </c>
      <c r="JB81" s="37">
        <v>10.851459999999999</v>
      </c>
      <c r="JC81" s="37">
        <v>10.851459999999999</v>
      </c>
      <c r="JD81" s="37">
        <v>10.851459999999999</v>
      </c>
      <c r="JE81" s="37">
        <v>10.851459999999999</v>
      </c>
      <c r="JF81" s="37">
        <v>10.851459999999999</v>
      </c>
      <c r="JG81" s="37">
        <v>10.851459999999999</v>
      </c>
      <c r="JH81" s="37">
        <v>10.851459999999999</v>
      </c>
      <c r="JI81" s="37">
        <v>10.851459999999999</v>
      </c>
      <c r="JJ81" s="37">
        <v>10.851459999999999</v>
      </c>
      <c r="JK81" s="37">
        <v>10.851459999999999</v>
      </c>
      <c r="JL81" s="37">
        <v>10.851459999999999</v>
      </c>
      <c r="JM81" s="37">
        <v>10.851459999999999</v>
      </c>
      <c r="JN81" s="37">
        <v>10.851459999999999</v>
      </c>
      <c r="JO81" s="37">
        <v>10.851459999999999</v>
      </c>
      <c r="JP81" s="37">
        <v>10.851459999999999</v>
      </c>
      <c r="JQ81" s="37">
        <v>10.851459999999999</v>
      </c>
      <c r="JR81" s="37">
        <v>10.851459999999999</v>
      </c>
      <c r="JS81" s="37">
        <v>10.851459999999999</v>
      </c>
      <c r="JT81" s="37">
        <v>10.851459999999999</v>
      </c>
      <c r="JU81" s="37">
        <v>10.851459999999999</v>
      </c>
      <c r="JV81" s="37">
        <v>10.851459999999999</v>
      </c>
      <c r="JW81" s="37">
        <v>10.851459999999999</v>
      </c>
      <c r="JX81" s="37">
        <v>10.851459999999999</v>
      </c>
      <c r="JY81" s="37">
        <v>10.851459999999999</v>
      </c>
      <c r="JZ81" s="37">
        <v>10.851459999999999</v>
      </c>
      <c r="KA81" s="37">
        <v>10.851459999999999</v>
      </c>
      <c r="KB81" s="37">
        <v>10.851459999999999</v>
      </c>
      <c r="KC81" s="37">
        <v>10.851459999999999</v>
      </c>
      <c r="KD81" s="37">
        <v>10.851459999999999</v>
      </c>
      <c r="KE81" s="37">
        <v>10.851459999999999</v>
      </c>
      <c r="KF81" s="37">
        <v>10.851459999999999</v>
      </c>
      <c r="KG81" s="37">
        <v>10.851459999999999</v>
      </c>
      <c r="KH81" s="37">
        <v>10.851459999999999</v>
      </c>
      <c r="KI81" s="37">
        <v>10.851459999999999</v>
      </c>
      <c r="KJ81" s="37">
        <v>10.851459999999999</v>
      </c>
      <c r="KK81" s="37">
        <v>10.851459999999999</v>
      </c>
      <c r="KL81" s="37">
        <v>10.851459999999999</v>
      </c>
      <c r="KM81" s="37">
        <v>10.851459999999999</v>
      </c>
      <c r="KN81" s="37">
        <v>10.851459999999999</v>
      </c>
      <c r="KO81" s="37">
        <v>10.851459999999999</v>
      </c>
      <c r="KP81" s="37">
        <v>10.851459999999999</v>
      </c>
      <c r="KQ81" s="37">
        <v>10.851459999999999</v>
      </c>
      <c r="KR81" s="37">
        <v>10.851459999999999</v>
      </c>
      <c r="KS81" s="37">
        <v>10.851459999999999</v>
      </c>
      <c r="KT81" s="37">
        <v>10.851459999999999</v>
      </c>
      <c r="KU81" s="37">
        <v>10.851459999999999</v>
      </c>
      <c r="KV81" s="37">
        <v>10.851459999999999</v>
      </c>
      <c r="KW81" s="37">
        <v>10.851459999999999</v>
      </c>
      <c r="KX81" s="37">
        <v>10.851459999999999</v>
      </c>
      <c r="KY81" s="37">
        <v>10.851459999999999</v>
      </c>
      <c r="KZ81" s="37">
        <v>10.851459999999999</v>
      </c>
      <c r="LA81" s="37">
        <v>10.851459999999999</v>
      </c>
      <c r="LB81" s="37">
        <v>10.851459999999999</v>
      </c>
      <c r="LC81" s="37">
        <v>10.851459999999999</v>
      </c>
      <c r="LD81" s="37">
        <v>10.851459999999999</v>
      </c>
      <c r="LE81" s="37">
        <v>10.851459999999999</v>
      </c>
      <c r="LF81" s="37">
        <v>10.851459999999999</v>
      </c>
      <c r="LG81" s="37">
        <v>10.851459999999999</v>
      </c>
      <c r="LH81" s="37">
        <v>10.851459999999999</v>
      </c>
      <c r="LI81" s="37">
        <v>10.851459999999999</v>
      </c>
      <c r="LJ81" s="37">
        <v>10.851459999999999</v>
      </c>
      <c r="LK81" s="37">
        <v>10.851459999999999</v>
      </c>
      <c r="LL81" s="37">
        <v>10.851459999999999</v>
      </c>
      <c r="LM81" s="37">
        <v>10.851459999999999</v>
      </c>
      <c r="LN81" s="37">
        <v>10.851459999999999</v>
      </c>
      <c r="LO81" s="37">
        <v>10.851459999999999</v>
      </c>
      <c r="LP81" s="37">
        <v>10.851459999999999</v>
      </c>
      <c r="LQ81" s="37">
        <v>10.851459999999999</v>
      </c>
      <c r="LR81" s="37">
        <v>10.851459999999999</v>
      </c>
      <c r="LS81" s="37">
        <v>10.851459999999999</v>
      </c>
      <c r="LT81" s="37">
        <v>10.851459999999999</v>
      </c>
      <c r="LU81" s="37">
        <v>10.851459999999999</v>
      </c>
      <c r="LV81" s="37">
        <v>10.851459999999999</v>
      </c>
      <c r="LW81" s="37">
        <v>10.851459999999999</v>
      </c>
      <c r="LX81" s="37">
        <v>10.851459999999999</v>
      </c>
      <c r="LY81" s="37">
        <v>10.851459999999999</v>
      </c>
      <c r="LZ81" s="37">
        <v>10.851459999999999</v>
      </c>
      <c r="MA81" s="37">
        <v>10.851459999999999</v>
      </c>
      <c r="MB81" s="37">
        <v>10.851459999999999</v>
      </c>
      <c r="MC81" s="37">
        <v>10.851459999999999</v>
      </c>
      <c r="MD81" s="37">
        <v>10.851459999999999</v>
      </c>
      <c r="ME81" s="37">
        <v>10.851459999999999</v>
      </c>
      <c r="MF81" s="37">
        <v>10.851459999999999</v>
      </c>
      <c r="MG81" s="37">
        <v>10.851459999999999</v>
      </c>
      <c r="MH81" s="37">
        <v>10.851459999999999</v>
      </c>
      <c r="MI81" s="37">
        <v>10.851459999999999</v>
      </c>
      <c r="MJ81" s="37">
        <v>10.851459999999999</v>
      </c>
      <c r="MK81" s="37">
        <v>10.851459999999999</v>
      </c>
      <c r="ML81" s="37">
        <v>10.851459999999999</v>
      </c>
      <c r="MM81" s="37">
        <v>10.851459999999999</v>
      </c>
      <c r="MN81" s="37">
        <v>10.851459999999999</v>
      </c>
      <c r="MO81" s="37">
        <v>10.851459999999999</v>
      </c>
      <c r="MP81" s="37">
        <v>10.851459999999999</v>
      </c>
      <c r="MQ81" s="37">
        <v>10.851459999999999</v>
      </c>
      <c r="MR81" s="37">
        <v>10.851459999999999</v>
      </c>
      <c r="MS81" s="37">
        <v>10.851459999999999</v>
      </c>
      <c r="MT81" s="37">
        <v>10.851459999999999</v>
      </c>
      <c r="MU81" s="37">
        <v>10.851459999999999</v>
      </c>
      <c r="MV81" s="37">
        <v>10.851459999999999</v>
      </c>
      <c r="MW81" s="37">
        <v>10.851459999999999</v>
      </c>
      <c r="MX81" s="37">
        <v>10.851459999999999</v>
      </c>
      <c r="MY81" s="37">
        <v>10.851459999999999</v>
      </c>
      <c r="MZ81" s="37">
        <v>10.851459999999999</v>
      </c>
      <c r="NA81" s="37">
        <v>10.851459999999999</v>
      </c>
      <c r="NB81" s="37">
        <v>10.851459999999999</v>
      </c>
      <c r="NC81" s="37">
        <v>10.851459999999999</v>
      </c>
      <c r="ND81" s="37">
        <v>10.851459999999999</v>
      </c>
      <c r="NE81" s="37">
        <v>10.851459999999999</v>
      </c>
      <c r="NF81" s="37">
        <v>10.851459999999999</v>
      </c>
      <c r="NG81" s="37">
        <v>10.851459999999999</v>
      </c>
      <c r="NH81" s="37">
        <v>10.851459999999999</v>
      </c>
      <c r="NI81" s="37">
        <v>10.851459999999999</v>
      </c>
      <c r="NJ81" s="37">
        <v>10.851459999999999</v>
      </c>
      <c r="NK81" s="37">
        <v>10.851459999999999</v>
      </c>
      <c r="NL81" s="37">
        <v>10.851459999999999</v>
      </c>
      <c r="NM81" s="37">
        <v>10.851459999999999</v>
      </c>
      <c r="NN81" s="37">
        <v>10.851459999999999</v>
      </c>
      <c r="NO81" s="37">
        <v>10.851459999999999</v>
      </c>
      <c r="NP81" s="37">
        <v>10.851459999999999</v>
      </c>
      <c r="NQ81" s="37">
        <v>10.851459999999999</v>
      </c>
      <c r="NR81" s="37">
        <v>10.851459999999999</v>
      </c>
      <c r="NS81" s="37">
        <v>10.851459999999999</v>
      </c>
      <c r="NT81" s="37">
        <v>10.851459999999999</v>
      </c>
      <c r="NU81" s="37">
        <v>10.851459999999999</v>
      </c>
      <c r="NV81" s="37">
        <v>10.851459999999999</v>
      </c>
      <c r="NW81" s="37">
        <v>10.851459999999999</v>
      </c>
      <c r="NX81" s="37">
        <v>11.689093</v>
      </c>
      <c r="NY81" s="37" t="s">
        <v>668</v>
      </c>
      <c r="NZ81" s="37" t="s">
        <v>668</v>
      </c>
      <c r="OA81" s="37" t="s">
        <v>668</v>
      </c>
      <c r="OB81" s="37" t="s">
        <v>668</v>
      </c>
      <c r="OC81" s="37" t="s">
        <v>668</v>
      </c>
      <c r="OD81" s="37" t="s">
        <v>668</v>
      </c>
      <c r="OE81" s="37" t="s">
        <v>668</v>
      </c>
      <c r="OF81" s="37" t="s">
        <v>668</v>
      </c>
      <c r="OG81" s="37" t="s">
        <v>668</v>
      </c>
      <c r="OH81" s="37" t="s">
        <v>668</v>
      </c>
      <c r="OI81" s="37" t="s">
        <v>668</v>
      </c>
      <c r="OJ81" s="37" t="s">
        <v>668</v>
      </c>
      <c r="OK81" s="37" t="s">
        <v>668</v>
      </c>
      <c r="OL81" s="37" t="s">
        <v>668</v>
      </c>
      <c r="OM81" s="37" t="s">
        <v>668</v>
      </c>
      <c r="ON81" s="37" t="s">
        <v>668</v>
      </c>
      <c r="OO81" s="37" t="s">
        <v>668</v>
      </c>
      <c r="OP81" s="37" t="s">
        <v>668</v>
      </c>
      <c r="OQ81" s="37" t="s">
        <v>668</v>
      </c>
      <c r="OR81" s="37" t="s">
        <v>668</v>
      </c>
      <c r="OS81" s="37" t="s">
        <v>668</v>
      </c>
      <c r="OT81" s="37" t="s">
        <v>668</v>
      </c>
      <c r="OU81" s="37" t="s">
        <v>668</v>
      </c>
      <c r="OV81" s="37" t="s">
        <v>668</v>
      </c>
      <c r="OW81" s="37" t="s">
        <v>668</v>
      </c>
      <c r="OX81" s="37" t="s">
        <v>668</v>
      </c>
      <c r="OY81" s="37" t="s">
        <v>668</v>
      </c>
      <c r="OZ81" s="37" t="s">
        <v>668</v>
      </c>
      <c r="PA81" s="37" t="s">
        <v>668</v>
      </c>
      <c r="PB81" s="37" t="s">
        <v>668</v>
      </c>
      <c r="PC81" s="37" t="s">
        <v>668</v>
      </c>
      <c r="PD81" s="37" t="s">
        <v>668</v>
      </c>
      <c r="PE81" s="37" t="s">
        <v>668</v>
      </c>
      <c r="PF81" s="37" t="s">
        <v>668</v>
      </c>
      <c r="PG81" s="37" t="s">
        <v>668</v>
      </c>
      <c r="PH81" s="37" t="s">
        <v>668</v>
      </c>
      <c r="PI81" s="37" t="s">
        <v>668</v>
      </c>
      <c r="PJ81" s="37" t="s">
        <v>668</v>
      </c>
      <c r="PK81" s="37" t="s">
        <v>668</v>
      </c>
      <c r="PL81" s="37" t="s">
        <v>668</v>
      </c>
      <c r="PM81" s="37" t="s">
        <v>668</v>
      </c>
      <c r="PN81" s="37" t="s">
        <v>668</v>
      </c>
      <c r="PO81" s="37" t="s">
        <v>668</v>
      </c>
      <c r="PP81" s="37" t="s">
        <v>668</v>
      </c>
      <c r="PQ81" s="37" t="s">
        <v>668</v>
      </c>
      <c r="PR81" s="37" t="s">
        <v>668</v>
      </c>
      <c r="PS81" s="15" t="s">
        <v>668</v>
      </c>
      <c r="PT81" s="15" t="s">
        <v>668</v>
      </c>
      <c r="PU81" s="15" t="s">
        <v>668</v>
      </c>
      <c r="PV81" s="15" t="s">
        <v>668</v>
      </c>
      <c r="PW81" s="15" t="s">
        <v>668</v>
      </c>
      <c r="PX81" s="15" t="s">
        <v>668</v>
      </c>
      <c r="PY81" s="15" t="s">
        <v>668</v>
      </c>
      <c r="PZ81" s="15" t="s">
        <v>668</v>
      </c>
      <c r="QA81" s="15" t="s">
        <v>668</v>
      </c>
      <c r="QB81" s="15" t="s">
        <v>668</v>
      </c>
      <c r="QC81" s="15" t="s">
        <v>668</v>
      </c>
      <c r="QD81" s="15" t="s">
        <v>668</v>
      </c>
      <c r="QE81" s="15" t="s">
        <v>668</v>
      </c>
      <c r="QF81" s="15" t="s">
        <v>668</v>
      </c>
      <c r="QG81" s="15" t="s">
        <v>668</v>
      </c>
      <c r="QH81" s="15" t="s">
        <v>668</v>
      </c>
      <c r="QI81" s="15" t="s">
        <v>668</v>
      </c>
      <c r="QJ81" s="15" t="s">
        <v>668</v>
      </c>
      <c r="QK81" s="15" t="s">
        <v>668</v>
      </c>
      <c r="QL81" s="15" t="s">
        <v>668</v>
      </c>
      <c r="QM81" s="15" t="s">
        <v>668</v>
      </c>
      <c r="QN81" s="15" t="s">
        <v>668</v>
      </c>
      <c r="QO81" s="15" t="s">
        <v>668</v>
      </c>
      <c r="QP81" s="15" t="s">
        <v>668</v>
      </c>
      <c r="QQ81" s="15" t="s">
        <v>668</v>
      </c>
      <c r="QR81" s="15" t="s">
        <v>668</v>
      </c>
      <c r="QS81" s="15" t="s">
        <v>668</v>
      </c>
      <c r="QT81" s="15" t="s">
        <v>668</v>
      </c>
      <c r="QU81" s="15" t="s">
        <v>668</v>
      </c>
      <c r="QV81" s="15" t="s">
        <v>668</v>
      </c>
      <c r="QW81" s="15" t="s">
        <v>668</v>
      </c>
      <c r="QX81" s="15" t="s">
        <v>668</v>
      </c>
      <c r="QY81" s="15" t="s">
        <v>668</v>
      </c>
      <c r="QZ81" s="15" t="s">
        <v>668</v>
      </c>
      <c r="RA81" s="15" t="s">
        <v>668</v>
      </c>
      <c r="RB81" s="15" t="s">
        <v>668</v>
      </c>
      <c r="RC81" s="15" t="s">
        <v>668</v>
      </c>
      <c r="RD81" s="15" t="s">
        <v>668</v>
      </c>
      <c r="RE81" s="15" t="s">
        <v>668</v>
      </c>
      <c r="RF81" s="15" t="s">
        <v>668</v>
      </c>
      <c r="RG81" s="15" t="s">
        <v>668</v>
      </c>
      <c r="RH81" s="15" t="s">
        <v>668</v>
      </c>
      <c r="RI81" s="15" t="s">
        <v>668</v>
      </c>
      <c r="RJ81" s="15" t="s">
        <v>668</v>
      </c>
      <c r="RK81" s="15" t="s">
        <v>668</v>
      </c>
      <c r="RL81" s="15" t="s">
        <v>668</v>
      </c>
      <c r="RM81" s="15" t="s">
        <v>668</v>
      </c>
      <c r="RN81" s="15" t="s">
        <v>668</v>
      </c>
      <c r="RO81" s="15" t="s">
        <v>668</v>
      </c>
      <c r="RP81" s="15" t="s">
        <v>668</v>
      </c>
      <c r="RQ81" s="15" t="s">
        <v>668</v>
      </c>
      <c r="RR81" s="15" t="s">
        <v>668</v>
      </c>
      <c r="RS81" s="15" t="s">
        <v>668</v>
      </c>
      <c r="RT81" s="15" t="s">
        <v>668</v>
      </c>
      <c r="RU81" s="15" t="s">
        <v>668</v>
      </c>
      <c r="RV81" s="15" t="s">
        <v>668</v>
      </c>
      <c r="RW81" s="15" t="s">
        <v>668</v>
      </c>
      <c r="RX81" s="15" t="s">
        <v>668</v>
      </c>
      <c r="RY81" s="15" t="s">
        <v>668</v>
      </c>
      <c r="RZ81" s="15" t="s">
        <v>668</v>
      </c>
      <c r="SA81" s="15" t="s">
        <v>668</v>
      </c>
      <c r="SB81" s="15" t="s">
        <v>668</v>
      </c>
      <c r="SC81" s="15" t="s">
        <v>668</v>
      </c>
      <c r="SD81" s="15" t="s">
        <v>668</v>
      </c>
      <c r="SE81" s="15" t="s">
        <v>668</v>
      </c>
      <c r="SF81" s="15" t="s">
        <v>668</v>
      </c>
      <c r="SG81" s="15" t="s">
        <v>668</v>
      </c>
      <c r="SH81" s="15" t="s">
        <v>668</v>
      </c>
      <c r="SI81" s="15" t="s">
        <v>668</v>
      </c>
      <c r="SJ81" s="15" t="s">
        <v>668</v>
      </c>
      <c r="SK81" s="15" t="s">
        <v>668</v>
      </c>
      <c r="SL81" s="15" t="s">
        <v>668</v>
      </c>
      <c r="SM81" s="15" t="s">
        <v>668</v>
      </c>
      <c r="SN81" s="15" t="s">
        <v>668</v>
      </c>
      <c r="SO81" s="15" t="s">
        <v>668</v>
      </c>
    </row>
    <row r="82" spans="1:510" x14ac:dyDescent="0.2">
      <c r="A82" s="37">
        <v>80</v>
      </c>
      <c r="B82" s="37" t="s">
        <v>871</v>
      </c>
      <c r="C82" s="17">
        <f>+'Detalle Compras'!D82</f>
        <v>202509160113</v>
      </c>
      <c r="D82" s="55">
        <f t="shared" si="16"/>
        <v>12.93225</v>
      </c>
      <c r="E82" s="14">
        <f>+IF(B82="","",'Detalle Compras'!S82+0)</f>
        <v>45971</v>
      </c>
      <c r="F82" s="14">
        <f>+IF(B82="","",EOMONTH('Detalle Compras'!S82,G82)+10)</f>
        <v>56958</v>
      </c>
      <c r="G82" s="50">
        <f t="shared" si="17"/>
        <v>360</v>
      </c>
      <c r="H82" s="50">
        <f t="shared" si="18"/>
        <v>357</v>
      </c>
      <c r="K82" s="52"/>
      <c r="L82" s="52"/>
      <c r="M82" s="52"/>
      <c r="N82" s="52"/>
      <c r="O82" s="52"/>
      <c r="P82" s="52"/>
      <c r="Q82" s="52"/>
      <c r="R82" s="52"/>
      <c r="S82" s="52"/>
      <c r="T82" s="52"/>
      <c r="U82" s="52"/>
      <c r="V82" s="52"/>
      <c r="W82" s="52"/>
      <c r="X82" s="52"/>
      <c r="Y82" s="52"/>
      <c r="Z82" s="52"/>
      <c r="AA82" s="52"/>
      <c r="AB82" s="52"/>
      <c r="AC82" s="52">
        <v>12.93225</v>
      </c>
      <c r="AD82" s="52">
        <v>12.93225</v>
      </c>
      <c r="AE82" s="52">
        <v>12.93225</v>
      </c>
      <c r="AF82" s="52">
        <v>12.93225</v>
      </c>
      <c r="AG82" s="52">
        <v>12.93225</v>
      </c>
      <c r="AH82" s="52">
        <v>12.93225</v>
      </c>
      <c r="AI82" s="52">
        <v>12.93225</v>
      </c>
      <c r="AJ82" s="52">
        <v>12.93225</v>
      </c>
      <c r="AK82" s="52">
        <v>12.93225</v>
      </c>
      <c r="AL82" s="52">
        <v>12.93225</v>
      </c>
      <c r="AM82" s="52">
        <v>12.93225</v>
      </c>
      <c r="AN82" s="52">
        <v>12.93225</v>
      </c>
      <c r="AO82" s="52">
        <v>12.93225</v>
      </c>
      <c r="AP82" s="52">
        <v>12.93225</v>
      </c>
      <c r="AQ82" s="52">
        <v>12.93225</v>
      </c>
      <c r="AR82" s="52">
        <v>12.93225</v>
      </c>
      <c r="AS82" s="52">
        <v>12.93225</v>
      </c>
      <c r="AT82" s="52">
        <v>12.93225</v>
      </c>
      <c r="AU82" s="52">
        <v>12.93225</v>
      </c>
      <c r="AV82" s="52">
        <v>12.93225</v>
      </c>
      <c r="AW82" s="52">
        <v>12.93225</v>
      </c>
      <c r="AX82" s="52">
        <v>12.93225</v>
      </c>
      <c r="AY82" s="52">
        <v>12.93225</v>
      </c>
      <c r="AZ82" s="52">
        <v>12.93225</v>
      </c>
      <c r="BA82" s="52">
        <v>12.93225</v>
      </c>
      <c r="BB82" s="52">
        <v>12.93225</v>
      </c>
      <c r="BC82" s="52">
        <v>12.93225</v>
      </c>
      <c r="BD82" s="52">
        <v>12.93225</v>
      </c>
      <c r="BE82" s="52">
        <v>12.93225</v>
      </c>
      <c r="BF82" s="52">
        <v>12.93225</v>
      </c>
      <c r="BG82" s="52">
        <v>12.93225</v>
      </c>
      <c r="BH82" s="52">
        <v>12.93225</v>
      </c>
      <c r="BI82" s="52">
        <v>12.93225</v>
      </c>
      <c r="BJ82" s="52">
        <v>12.93225</v>
      </c>
      <c r="BK82" s="52">
        <v>12.93225</v>
      </c>
      <c r="BL82" s="52">
        <v>12.93225</v>
      </c>
      <c r="BM82" s="52">
        <v>12.93225</v>
      </c>
      <c r="BN82" s="52">
        <v>12.93225</v>
      </c>
      <c r="BO82" s="52">
        <v>12.93225</v>
      </c>
      <c r="BP82" s="52">
        <v>12.93225</v>
      </c>
      <c r="BQ82" s="52">
        <v>12.93225</v>
      </c>
      <c r="BR82" s="52">
        <v>12.93225</v>
      </c>
      <c r="BS82" s="52">
        <v>12.93225</v>
      </c>
      <c r="BT82" s="52">
        <v>12.93225</v>
      </c>
      <c r="BU82" s="52">
        <v>12.93225</v>
      </c>
      <c r="BV82" s="52">
        <v>12.93225</v>
      </c>
      <c r="BW82" s="52">
        <v>12.93225</v>
      </c>
      <c r="BX82" s="52">
        <v>12.93225</v>
      </c>
      <c r="BY82" s="52">
        <v>12.93225</v>
      </c>
      <c r="BZ82" s="52">
        <v>12.93225</v>
      </c>
      <c r="CA82" s="52">
        <v>12.93225</v>
      </c>
      <c r="CB82" s="52">
        <v>12.93225</v>
      </c>
      <c r="CC82" s="52">
        <v>12.93225</v>
      </c>
      <c r="CD82" s="52">
        <v>12.93225</v>
      </c>
      <c r="CE82" s="52">
        <v>12.93225</v>
      </c>
      <c r="CF82" s="52">
        <v>12.93225</v>
      </c>
      <c r="CG82" s="52">
        <v>12.93225</v>
      </c>
      <c r="CH82" s="52">
        <v>12.93225</v>
      </c>
      <c r="CI82" s="52">
        <v>12.93225</v>
      </c>
      <c r="CJ82" s="52">
        <v>12.93225</v>
      </c>
      <c r="CK82" s="52">
        <v>12.93225</v>
      </c>
      <c r="CL82" s="52">
        <v>12.93225</v>
      </c>
      <c r="CM82" s="52">
        <v>12.93225</v>
      </c>
      <c r="CN82" s="52">
        <v>12.93225</v>
      </c>
      <c r="CO82" s="52">
        <v>12.93225</v>
      </c>
      <c r="CP82" s="52">
        <v>12.93225</v>
      </c>
      <c r="CQ82" s="52">
        <v>12.93225</v>
      </c>
      <c r="CR82" s="52">
        <v>12.93225</v>
      </c>
      <c r="CS82" s="52">
        <v>12.93225</v>
      </c>
      <c r="CT82" s="52">
        <v>12.93225</v>
      </c>
      <c r="CU82" s="52">
        <v>12.93225</v>
      </c>
      <c r="CV82" s="52">
        <v>12.93225</v>
      </c>
      <c r="CW82" s="52">
        <v>12.93225</v>
      </c>
      <c r="CX82" s="52">
        <v>12.93225</v>
      </c>
      <c r="CY82" s="52">
        <v>12.93225</v>
      </c>
      <c r="CZ82" s="52">
        <v>12.93225</v>
      </c>
      <c r="DA82" s="52">
        <v>12.93225</v>
      </c>
      <c r="DB82" s="52">
        <v>12.93225</v>
      </c>
      <c r="DC82" s="52">
        <v>12.93225</v>
      </c>
      <c r="DD82" s="52">
        <v>12.93225</v>
      </c>
      <c r="DE82" s="52">
        <v>12.93225</v>
      </c>
      <c r="DF82" s="52">
        <v>12.93225</v>
      </c>
      <c r="DG82" s="52">
        <v>12.93225</v>
      </c>
      <c r="DH82" s="52">
        <v>12.93225</v>
      </c>
      <c r="DI82" s="52">
        <v>12.93225</v>
      </c>
      <c r="DJ82" s="52">
        <v>12.93225</v>
      </c>
      <c r="DK82" s="52">
        <v>12.93225</v>
      </c>
      <c r="DL82" s="52">
        <v>12.93225</v>
      </c>
      <c r="DM82" s="52">
        <v>12.93225</v>
      </c>
      <c r="DN82" s="52">
        <v>12.93225</v>
      </c>
      <c r="DO82" s="52">
        <v>12.93225</v>
      </c>
      <c r="DP82" s="52">
        <v>12.93225</v>
      </c>
      <c r="DQ82" s="52">
        <v>12.93225</v>
      </c>
      <c r="DR82" s="52">
        <v>12.93225</v>
      </c>
      <c r="DS82" s="52">
        <v>12.93225</v>
      </c>
      <c r="DT82" s="52">
        <v>12.93225</v>
      </c>
      <c r="DU82" s="52">
        <v>12.93225</v>
      </c>
      <c r="DV82" s="52">
        <v>12.93225</v>
      </c>
      <c r="DW82" s="52">
        <v>12.93225</v>
      </c>
      <c r="DX82" s="52">
        <v>12.93225</v>
      </c>
      <c r="DY82" s="52">
        <v>12.93225</v>
      </c>
      <c r="DZ82" s="52">
        <v>12.93225</v>
      </c>
      <c r="EA82" s="52">
        <v>12.93225</v>
      </c>
      <c r="EB82" s="52">
        <v>12.93225</v>
      </c>
      <c r="EC82" s="52">
        <v>12.93225</v>
      </c>
      <c r="ED82" s="52">
        <v>12.93225</v>
      </c>
      <c r="EE82" s="52">
        <v>12.93225</v>
      </c>
      <c r="EF82" s="52">
        <v>12.93225</v>
      </c>
      <c r="EG82" s="52">
        <v>12.93225</v>
      </c>
      <c r="EH82" s="52">
        <v>12.93225</v>
      </c>
      <c r="EI82" s="52">
        <v>12.93225</v>
      </c>
      <c r="EJ82" s="52">
        <v>12.93225</v>
      </c>
      <c r="EK82" s="52">
        <v>12.93225</v>
      </c>
      <c r="EL82" s="52">
        <v>12.93225</v>
      </c>
      <c r="EM82" s="52">
        <v>12.93225</v>
      </c>
      <c r="EN82" s="52">
        <v>12.93225</v>
      </c>
      <c r="EO82" s="52">
        <v>12.93225</v>
      </c>
      <c r="EP82" s="52">
        <v>12.93225</v>
      </c>
      <c r="EQ82" s="52">
        <v>12.93225</v>
      </c>
      <c r="ER82" s="52">
        <v>12.93225</v>
      </c>
      <c r="ES82" s="52">
        <v>12.93225</v>
      </c>
      <c r="ET82" s="52">
        <v>12.93225</v>
      </c>
      <c r="EU82" s="52">
        <v>12.93225</v>
      </c>
      <c r="EV82" s="52">
        <v>12.93225</v>
      </c>
      <c r="EW82" s="52">
        <v>12.93225</v>
      </c>
      <c r="EX82" s="52">
        <v>12.93225</v>
      </c>
      <c r="EY82" s="52">
        <v>12.93225</v>
      </c>
      <c r="EZ82" s="52">
        <v>12.93225</v>
      </c>
      <c r="FA82" s="52">
        <v>12.93225</v>
      </c>
      <c r="FB82" s="52">
        <v>12.93225</v>
      </c>
      <c r="FC82" s="52">
        <v>12.93225</v>
      </c>
      <c r="FD82" s="52">
        <v>12.93225</v>
      </c>
      <c r="FE82" s="52">
        <v>12.93225</v>
      </c>
      <c r="FF82" s="52">
        <v>12.93225</v>
      </c>
      <c r="FG82" s="52">
        <v>12.93225</v>
      </c>
      <c r="FH82" s="52">
        <v>12.93225</v>
      </c>
      <c r="FI82" s="52">
        <v>12.93225</v>
      </c>
      <c r="FJ82" s="52">
        <v>12.93225</v>
      </c>
      <c r="FK82" s="52">
        <v>12.93225</v>
      </c>
      <c r="FL82" s="52">
        <v>12.93225</v>
      </c>
      <c r="FM82" s="52">
        <v>12.93225</v>
      </c>
      <c r="FN82" s="52">
        <v>12.93225</v>
      </c>
      <c r="FO82" s="52">
        <v>12.93225</v>
      </c>
      <c r="FP82" s="52">
        <v>12.93225</v>
      </c>
      <c r="FQ82" s="52">
        <v>12.93225</v>
      </c>
      <c r="FR82" s="52">
        <v>12.93225</v>
      </c>
      <c r="FS82" s="52">
        <v>12.93225</v>
      </c>
      <c r="FT82" s="52">
        <v>12.93225</v>
      </c>
      <c r="FU82" s="52">
        <v>12.93225</v>
      </c>
      <c r="FV82" s="52">
        <v>12.93225</v>
      </c>
      <c r="FW82" s="52">
        <v>12.93225</v>
      </c>
      <c r="FX82" s="52">
        <v>12.93225</v>
      </c>
      <c r="FY82" s="52">
        <v>12.93225</v>
      </c>
      <c r="FZ82" s="52">
        <v>12.93225</v>
      </c>
      <c r="GA82" s="52">
        <v>12.93225</v>
      </c>
      <c r="GB82" s="52">
        <v>12.93225</v>
      </c>
      <c r="GC82" s="52">
        <v>12.93225</v>
      </c>
      <c r="GD82" s="52">
        <v>12.93225</v>
      </c>
      <c r="GE82" s="52">
        <v>12.93225</v>
      </c>
      <c r="GF82" s="52">
        <v>12.93225</v>
      </c>
      <c r="GG82" s="52">
        <v>12.93225</v>
      </c>
      <c r="GH82" s="52">
        <v>12.93225</v>
      </c>
      <c r="GI82" s="52">
        <v>12.93225</v>
      </c>
      <c r="GJ82" s="52">
        <v>12.93225</v>
      </c>
      <c r="GK82" s="52">
        <v>12.93225</v>
      </c>
      <c r="GL82" s="52">
        <v>12.93225</v>
      </c>
      <c r="GM82" s="52">
        <v>12.93225</v>
      </c>
      <c r="GN82" s="52">
        <v>12.93225</v>
      </c>
      <c r="GO82" s="52">
        <v>12.93225</v>
      </c>
      <c r="GP82" s="52">
        <v>12.93225</v>
      </c>
      <c r="GQ82" s="52">
        <v>12.93225</v>
      </c>
      <c r="GR82" s="52">
        <v>12.93225</v>
      </c>
      <c r="GS82" s="52">
        <v>12.93225</v>
      </c>
      <c r="GT82" s="52">
        <v>12.93225</v>
      </c>
      <c r="GU82" s="52">
        <v>12.93225</v>
      </c>
      <c r="GV82" s="52">
        <v>12.93225</v>
      </c>
      <c r="GW82" s="52">
        <v>12.93225</v>
      </c>
      <c r="GX82" s="52">
        <v>12.93225</v>
      </c>
      <c r="GY82" s="52">
        <v>12.93225</v>
      </c>
      <c r="GZ82" s="52">
        <v>12.93225</v>
      </c>
      <c r="HA82" s="52">
        <v>12.93225</v>
      </c>
      <c r="HB82" s="52">
        <v>12.93225</v>
      </c>
      <c r="HC82" s="52">
        <v>12.93225</v>
      </c>
      <c r="HD82" s="52">
        <v>12.93225</v>
      </c>
      <c r="HE82" s="52">
        <v>12.93225</v>
      </c>
      <c r="HF82" s="52">
        <v>12.93225</v>
      </c>
      <c r="HG82" s="52">
        <v>12.93225</v>
      </c>
      <c r="HH82" s="52">
        <v>12.93225</v>
      </c>
      <c r="HI82" s="52">
        <v>12.93225</v>
      </c>
      <c r="HJ82" s="52">
        <v>12.93225</v>
      </c>
      <c r="HK82" s="52">
        <v>12.93225</v>
      </c>
      <c r="HL82" s="52">
        <v>12.93225</v>
      </c>
      <c r="HM82" s="52">
        <v>12.93225</v>
      </c>
      <c r="HN82" s="52">
        <v>12.93225</v>
      </c>
      <c r="HO82" s="52">
        <v>12.93225</v>
      </c>
      <c r="HP82" s="52">
        <v>12.93225</v>
      </c>
      <c r="HQ82" s="52">
        <v>12.93225</v>
      </c>
      <c r="HR82" s="52">
        <v>12.93225</v>
      </c>
      <c r="HS82" s="52">
        <v>12.93225</v>
      </c>
      <c r="HT82" s="52">
        <v>12.93225</v>
      </c>
      <c r="HU82" s="52">
        <v>12.93225</v>
      </c>
      <c r="HV82" s="52">
        <v>12.93225</v>
      </c>
      <c r="HW82" s="52">
        <v>12.93225</v>
      </c>
      <c r="HX82" s="52">
        <v>12.93225</v>
      </c>
      <c r="HY82" s="52">
        <v>12.93225</v>
      </c>
      <c r="HZ82" s="52">
        <v>12.93225</v>
      </c>
      <c r="IA82" s="52">
        <v>12.93225</v>
      </c>
      <c r="IB82" s="52">
        <v>12.93225</v>
      </c>
      <c r="IC82" s="52">
        <v>12.93225</v>
      </c>
      <c r="ID82" s="52">
        <v>12.93225</v>
      </c>
      <c r="IE82" s="52">
        <v>12.93225</v>
      </c>
      <c r="IF82" s="52">
        <v>12.93225</v>
      </c>
      <c r="IG82" s="52">
        <v>12.93225</v>
      </c>
      <c r="IH82" s="52">
        <v>12.93225</v>
      </c>
      <c r="II82" s="52">
        <v>12.93225</v>
      </c>
      <c r="IJ82" s="52">
        <v>12.93225</v>
      </c>
      <c r="IK82" s="52">
        <v>12.93225</v>
      </c>
      <c r="IL82" s="52">
        <v>12.93225</v>
      </c>
      <c r="IM82" s="52">
        <v>12.93225</v>
      </c>
      <c r="IN82" s="52">
        <v>12.93225</v>
      </c>
      <c r="IO82" s="52">
        <v>12.93225</v>
      </c>
      <c r="IP82" s="52">
        <v>12.93225</v>
      </c>
      <c r="IQ82" s="52">
        <v>12.93225</v>
      </c>
      <c r="IR82" s="52">
        <v>12.93225</v>
      </c>
      <c r="IS82" s="52">
        <v>12.93225</v>
      </c>
      <c r="IT82" s="52">
        <v>12.93225</v>
      </c>
      <c r="IU82" s="52">
        <v>12.93225</v>
      </c>
      <c r="IV82" s="52">
        <v>12.93225</v>
      </c>
      <c r="IW82" s="52">
        <v>12.93225</v>
      </c>
      <c r="IX82" s="52">
        <v>12.93225</v>
      </c>
      <c r="IY82" s="52">
        <v>12.93225</v>
      </c>
      <c r="IZ82" s="52">
        <v>12.93225</v>
      </c>
      <c r="JA82" s="52">
        <v>12.93225</v>
      </c>
      <c r="JB82" s="52">
        <v>12.93225</v>
      </c>
      <c r="JC82" s="52">
        <v>12.93225</v>
      </c>
      <c r="JD82" s="52">
        <v>12.93225</v>
      </c>
      <c r="JE82" s="52">
        <v>12.93225</v>
      </c>
      <c r="JF82" s="52">
        <v>12.93225</v>
      </c>
      <c r="JG82" s="52">
        <v>12.93225</v>
      </c>
      <c r="JH82" s="52">
        <v>12.93225</v>
      </c>
      <c r="JI82" s="52">
        <v>12.93225</v>
      </c>
      <c r="JJ82" s="52">
        <v>12.93225</v>
      </c>
      <c r="JK82" s="52">
        <v>12.93225</v>
      </c>
      <c r="JL82" s="52">
        <v>12.93225</v>
      </c>
      <c r="JM82" s="52">
        <v>12.93225</v>
      </c>
      <c r="JN82" s="52">
        <v>12.93225</v>
      </c>
      <c r="JO82" s="52">
        <v>12.93225</v>
      </c>
      <c r="JP82" s="52">
        <v>12.93225</v>
      </c>
      <c r="JQ82" s="52">
        <v>12.93225</v>
      </c>
      <c r="JR82" s="52">
        <v>12.93225</v>
      </c>
      <c r="JS82" s="52">
        <v>12.93225</v>
      </c>
      <c r="JT82" s="52">
        <v>12.93225</v>
      </c>
      <c r="JU82" s="52">
        <v>12.93225</v>
      </c>
      <c r="JV82" s="52">
        <v>12.93225</v>
      </c>
      <c r="JW82" s="52">
        <v>12.93225</v>
      </c>
      <c r="JX82" s="52">
        <v>12.93225</v>
      </c>
      <c r="JY82" s="52">
        <v>12.93225</v>
      </c>
      <c r="JZ82" s="52">
        <v>12.93225</v>
      </c>
      <c r="KA82" s="52">
        <v>12.93225</v>
      </c>
      <c r="KB82" s="52">
        <v>12.93225</v>
      </c>
      <c r="KC82" s="52">
        <v>12.93225</v>
      </c>
      <c r="KD82" s="52">
        <v>12.93225</v>
      </c>
      <c r="KE82" s="52">
        <v>12.93225</v>
      </c>
      <c r="KF82" s="52">
        <v>12.93225</v>
      </c>
      <c r="KG82" s="52">
        <v>12.93225</v>
      </c>
      <c r="KH82" s="52">
        <v>12.93225</v>
      </c>
      <c r="KI82" s="52">
        <v>12.93225</v>
      </c>
      <c r="KJ82" s="52">
        <v>12.93225</v>
      </c>
      <c r="KK82" s="52">
        <v>12.93225</v>
      </c>
      <c r="KL82" s="52">
        <v>12.93225</v>
      </c>
      <c r="KM82" s="52">
        <v>12.93225</v>
      </c>
      <c r="KN82" s="52">
        <v>12.93225</v>
      </c>
      <c r="KO82" s="52">
        <v>12.93225</v>
      </c>
      <c r="KP82" s="52">
        <v>12.93225</v>
      </c>
      <c r="KQ82" s="52">
        <v>12.93225</v>
      </c>
      <c r="KR82" s="52">
        <v>12.93225</v>
      </c>
      <c r="KS82" s="52">
        <v>12.93225</v>
      </c>
      <c r="KT82" s="52">
        <v>12.93225</v>
      </c>
      <c r="KU82" s="52">
        <v>12.93225</v>
      </c>
      <c r="KV82" s="52">
        <v>12.93225</v>
      </c>
      <c r="KW82" s="52">
        <v>12.93225</v>
      </c>
      <c r="KX82" s="52">
        <v>12.93225</v>
      </c>
      <c r="KY82" s="52">
        <v>12.93225</v>
      </c>
      <c r="KZ82" s="52">
        <v>12.93225</v>
      </c>
      <c r="LA82" s="52">
        <v>12.93225</v>
      </c>
      <c r="LB82" s="52">
        <v>12.93225</v>
      </c>
      <c r="LC82" s="52">
        <v>12.93225</v>
      </c>
      <c r="LD82" s="52">
        <v>12.93225</v>
      </c>
      <c r="LE82" s="52">
        <v>12.93225</v>
      </c>
      <c r="LF82" s="52">
        <v>12.93225</v>
      </c>
      <c r="LG82" s="52">
        <v>12.93225</v>
      </c>
      <c r="LH82" s="52">
        <v>12.93225</v>
      </c>
      <c r="LI82" s="52">
        <v>12.93225</v>
      </c>
      <c r="LJ82" s="52">
        <v>12.93225</v>
      </c>
      <c r="LK82" s="52">
        <v>12.93225</v>
      </c>
      <c r="LL82" s="52">
        <v>12.93225</v>
      </c>
      <c r="LM82" s="52">
        <v>12.93225</v>
      </c>
      <c r="LN82" s="52">
        <v>12.93225</v>
      </c>
      <c r="LO82" s="52">
        <v>12.93225</v>
      </c>
      <c r="LP82" s="52">
        <v>12.93225</v>
      </c>
      <c r="LQ82" s="52">
        <v>12.93225</v>
      </c>
      <c r="LR82" s="52">
        <v>12.93225</v>
      </c>
      <c r="LS82" s="52">
        <v>12.93225</v>
      </c>
      <c r="LT82" s="52">
        <v>12.93225</v>
      </c>
      <c r="LU82" s="52">
        <v>12.93225</v>
      </c>
      <c r="LV82" s="52">
        <v>12.93225</v>
      </c>
      <c r="LW82" s="52">
        <v>12.93225</v>
      </c>
      <c r="LX82" s="52">
        <v>12.93225</v>
      </c>
      <c r="LY82" s="52">
        <v>12.93225</v>
      </c>
      <c r="LZ82" s="52">
        <v>12.93225</v>
      </c>
      <c r="MA82" s="52">
        <v>12.93225</v>
      </c>
      <c r="MB82" s="52">
        <v>12.93225</v>
      </c>
      <c r="MC82" s="52">
        <v>12.93225</v>
      </c>
      <c r="MD82" s="52">
        <v>12.93225</v>
      </c>
      <c r="ME82" s="52">
        <v>12.93225</v>
      </c>
      <c r="MF82" s="52">
        <v>12.93225</v>
      </c>
      <c r="MG82" s="52">
        <v>12.93225</v>
      </c>
      <c r="MH82" s="52">
        <v>12.93225</v>
      </c>
      <c r="MI82" s="52">
        <v>12.93225</v>
      </c>
      <c r="MJ82" s="52">
        <v>12.93225</v>
      </c>
      <c r="MK82" s="52">
        <v>12.93225</v>
      </c>
      <c r="ML82" s="52">
        <v>12.93225</v>
      </c>
      <c r="MM82" s="52">
        <v>12.93225</v>
      </c>
      <c r="MN82" s="52">
        <v>12.93225</v>
      </c>
      <c r="MO82" s="52">
        <v>12.93225</v>
      </c>
      <c r="MP82" s="52">
        <v>12.93225</v>
      </c>
      <c r="MQ82" s="52">
        <v>12.93225</v>
      </c>
      <c r="MR82" s="52">
        <v>12.93225</v>
      </c>
      <c r="MS82" s="52">
        <v>12.93225</v>
      </c>
      <c r="MT82" s="52">
        <v>12.93225</v>
      </c>
      <c r="MU82" s="52">
        <v>12.93225</v>
      </c>
      <c r="MV82" s="52">
        <v>12.93225</v>
      </c>
      <c r="MW82" s="52">
        <v>12.93225</v>
      </c>
      <c r="MX82" s="52">
        <v>12.93225</v>
      </c>
      <c r="MY82" s="52">
        <v>12.93225</v>
      </c>
      <c r="MZ82" s="52">
        <v>12.93225</v>
      </c>
      <c r="NA82" s="52">
        <v>12.93225</v>
      </c>
      <c r="NB82" s="52">
        <v>12.93225</v>
      </c>
      <c r="NC82" s="52">
        <v>12.93225</v>
      </c>
      <c r="ND82" s="52">
        <v>12.93225</v>
      </c>
      <c r="NE82" s="52">
        <v>12.93225</v>
      </c>
      <c r="NF82" s="52">
        <v>12.93225</v>
      </c>
      <c r="NG82" s="52">
        <v>12.93225</v>
      </c>
      <c r="NH82" s="37">
        <v>12.93225</v>
      </c>
      <c r="NI82" s="37">
        <v>12.93225</v>
      </c>
      <c r="NJ82" s="37">
        <v>12.93225</v>
      </c>
      <c r="NK82" s="37">
        <v>12.93225</v>
      </c>
      <c r="NL82" s="37">
        <v>12.93225</v>
      </c>
      <c r="NM82" s="37">
        <v>12.93225</v>
      </c>
      <c r="NN82" s="37">
        <v>12.93225</v>
      </c>
      <c r="NO82" s="37">
        <v>12.93225</v>
      </c>
      <c r="NP82" s="37">
        <v>12.93225</v>
      </c>
      <c r="NQ82" s="37">
        <v>12.93225</v>
      </c>
      <c r="NR82" s="37">
        <v>12.93225</v>
      </c>
      <c r="NS82" s="37">
        <v>12.93225</v>
      </c>
      <c r="NT82" s="37">
        <v>12.93225</v>
      </c>
      <c r="NU82" s="37">
        <v>12.93225</v>
      </c>
      <c r="NV82" s="37">
        <v>12.93225</v>
      </c>
      <c r="NW82" s="37">
        <v>12.93225</v>
      </c>
      <c r="NX82" s="37">
        <v>13.252599999999999</v>
      </c>
      <c r="NY82" s="37" t="s">
        <v>668</v>
      </c>
      <c r="NZ82" s="37" t="s">
        <v>668</v>
      </c>
      <c r="OA82" s="37" t="s">
        <v>668</v>
      </c>
      <c r="OB82" s="37" t="s">
        <v>668</v>
      </c>
      <c r="OC82" s="37" t="s">
        <v>668</v>
      </c>
      <c r="OD82" s="37" t="s">
        <v>668</v>
      </c>
      <c r="OE82" s="37" t="s">
        <v>668</v>
      </c>
      <c r="OF82" s="37" t="s">
        <v>668</v>
      </c>
      <c r="OG82" s="37" t="s">
        <v>668</v>
      </c>
      <c r="OH82" s="37" t="s">
        <v>668</v>
      </c>
      <c r="OI82" s="37" t="s">
        <v>668</v>
      </c>
      <c r="OJ82" s="37" t="s">
        <v>668</v>
      </c>
      <c r="OK82" s="37" t="s">
        <v>668</v>
      </c>
      <c r="OL82" s="37" t="s">
        <v>668</v>
      </c>
      <c r="OM82" s="37" t="s">
        <v>668</v>
      </c>
      <c r="ON82" s="37" t="s">
        <v>668</v>
      </c>
      <c r="OO82" s="37" t="s">
        <v>668</v>
      </c>
      <c r="OP82" s="37" t="s">
        <v>668</v>
      </c>
      <c r="OQ82" s="37" t="s">
        <v>668</v>
      </c>
      <c r="OR82" s="37" t="s">
        <v>668</v>
      </c>
      <c r="OS82" s="37" t="s">
        <v>668</v>
      </c>
      <c r="OT82" s="37" t="s">
        <v>668</v>
      </c>
      <c r="OU82" s="37" t="s">
        <v>668</v>
      </c>
      <c r="OV82" s="37" t="s">
        <v>668</v>
      </c>
      <c r="OW82" s="37" t="s">
        <v>668</v>
      </c>
      <c r="OX82" s="37" t="s">
        <v>668</v>
      </c>
      <c r="OY82" s="37" t="s">
        <v>668</v>
      </c>
      <c r="OZ82" s="37" t="s">
        <v>668</v>
      </c>
      <c r="PA82" s="37" t="s">
        <v>668</v>
      </c>
      <c r="PB82" s="37" t="s">
        <v>668</v>
      </c>
      <c r="PC82" s="37" t="s">
        <v>668</v>
      </c>
      <c r="PD82" s="37" t="s">
        <v>668</v>
      </c>
      <c r="PE82" s="37" t="s">
        <v>668</v>
      </c>
      <c r="PF82" s="37" t="s">
        <v>668</v>
      </c>
      <c r="PG82" s="37" t="s">
        <v>668</v>
      </c>
      <c r="PH82" s="37" t="s">
        <v>668</v>
      </c>
      <c r="PI82" s="37" t="s">
        <v>668</v>
      </c>
      <c r="PJ82" s="37" t="s">
        <v>668</v>
      </c>
      <c r="PK82" s="37" t="s">
        <v>668</v>
      </c>
      <c r="PL82" s="37" t="s">
        <v>668</v>
      </c>
      <c r="PM82" s="37" t="s">
        <v>668</v>
      </c>
      <c r="PN82" s="37" t="s">
        <v>668</v>
      </c>
      <c r="PO82" s="37" t="s">
        <v>668</v>
      </c>
      <c r="PP82" s="37" t="s">
        <v>668</v>
      </c>
      <c r="PQ82" s="37" t="s">
        <v>668</v>
      </c>
      <c r="PR82" s="37" t="s">
        <v>668</v>
      </c>
      <c r="PS82" s="15" t="s">
        <v>668</v>
      </c>
      <c r="PT82" s="15" t="s">
        <v>668</v>
      </c>
      <c r="PU82" s="15" t="s">
        <v>668</v>
      </c>
      <c r="PV82" s="15" t="s">
        <v>668</v>
      </c>
      <c r="PW82" s="15" t="s">
        <v>668</v>
      </c>
      <c r="PX82" s="15" t="s">
        <v>668</v>
      </c>
      <c r="PY82" s="15" t="s">
        <v>668</v>
      </c>
      <c r="PZ82" s="15" t="s">
        <v>668</v>
      </c>
      <c r="QA82" s="15" t="s">
        <v>668</v>
      </c>
      <c r="QB82" s="15" t="s">
        <v>668</v>
      </c>
      <c r="QC82" s="15" t="s">
        <v>668</v>
      </c>
      <c r="QD82" s="15" t="s">
        <v>668</v>
      </c>
      <c r="QE82" s="15" t="s">
        <v>668</v>
      </c>
      <c r="QF82" s="15" t="s">
        <v>668</v>
      </c>
      <c r="QG82" s="15" t="s">
        <v>668</v>
      </c>
      <c r="QH82" s="15" t="s">
        <v>668</v>
      </c>
      <c r="QI82" s="15" t="s">
        <v>668</v>
      </c>
      <c r="QJ82" s="15" t="s">
        <v>668</v>
      </c>
      <c r="QK82" s="15" t="s">
        <v>668</v>
      </c>
      <c r="QL82" s="15" t="s">
        <v>668</v>
      </c>
      <c r="QM82" s="15" t="s">
        <v>668</v>
      </c>
      <c r="QN82" s="15" t="s">
        <v>668</v>
      </c>
      <c r="QO82" s="15" t="s">
        <v>668</v>
      </c>
      <c r="QP82" s="15" t="s">
        <v>668</v>
      </c>
      <c r="QQ82" s="15" t="s">
        <v>668</v>
      </c>
      <c r="QR82" s="15" t="s">
        <v>668</v>
      </c>
      <c r="QS82" s="15" t="s">
        <v>668</v>
      </c>
      <c r="QT82" s="15" t="s">
        <v>668</v>
      </c>
      <c r="QU82" s="15" t="s">
        <v>668</v>
      </c>
      <c r="QV82" s="15" t="s">
        <v>668</v>
      </c>
      <c r="QW82" s="15" t="s">
        <v>668</v>
      </c>
      <c r="QX82" s="15" t="s">
        <v>668</v>
      </c>
      <c r="QY82" s="15" t="s">
        <v>668</v>
      </c>
      <c r="QZ82" s="15" t="s">
        <v>668</v>
      </c>
      <c r="RA82" s="15" t="s">
        <v>668</v>
      </c>
      <c r="RB82" s="15" t="s">
        <v>668</v>
      </c>
      <c r="RC82" s="15" t="s">
        <v>668</v>
      </c>
      <c r="RD82" s="15" t="s">
        <v>668</v>
      </c>
      <c r="RE82" s="15" t="s">
        <v>668</v>
      </c>
      <c r="RF82" s="15" t="s">
        <v>668</v>
      </c>
      <c r="RG82" s="15" t="s">
        <v>668</v>
      </c>
      <c r="RH82" s="15" t="s">
        <v>668</v>
      </c>
      <c r="RI82" s="15" t="s">
        <v>668</v>
      </c>
      <c r="RJ82" s="15" t="s">
        <v>668</v>
      </c>
      <c r="RK82" s="15" t="s">
        <v>668</v>
      </c>
      <c r="RL82" s="15" t="s">
        <v>668</v>
      </c>
      <c r="RM82" s="15" t="s">
        <v>668</v>
      </c>
      <c r="RN82" s="15" t="s">
        <v>668</v>
      </c>
      <c r="RO82" s="15" t="s">
        <v>668</v>
      </c>
      <c r="RP82" s="15" t="s">
        <v>668</v>
      </c>
      <c r="RQ82" s="15" t="s">
        <v>668</v>
      </c>
      <c r="RR82" s="15" t="s">
        <v>668</v>
      </c>
      <c r="RS82" s="15" t="s">
        <v>668</v>
      </c>
      <c r="RT82" s="15" t="s">
        <v>668</v>
      </c>
      <c r="RU82" s="15" t="s">
        <v>668</v>
      </c>
      <c r="RV82" s="15" t="s">
        <v>668</v>
      </c>
      <c r="RW82" s="15" t="s">
        <v>668</v>
      </c>
      <c r="RX82" s="15" t="s">
        <v>668</v>
      </c>
      <c r="RY82" s="15" t="s">
        <v>668</v>
      </c>
      <c r="RZ82" s="15" t="s">
        <v>668</v>
      </c>
      <c r="SA82" s="15" t="s">
        <v>668</v>
      </c>
      <c r="SB82" s="15" t="s">
        <v>668</v>
      </c>
      <c r="SC82" s="15" t="s">
        <v>668</v>
      </c>
      <c r="SD82" s="15" t="s">
        <v>668</v>
      </c>
      <c r="SE82" s="15" t="s">
        <v>668</v>
      </c>
      <c r="SF82" s="15" t="s">
        <v>668</v>
      </c>
      <c r="SG82" s="15" t="s">
        <v>668</v>
      </c>
      <c r="SH82" s="15" t="s">
        <v>668</v>
      </c>
      <c r="SI82" s="15" t="s">
        <v>668</v>
      </c>
      <c r="SJ82" s="15" t="s">
        <v>668</v>
      </c>
      <c r="SK82" s="15" t="s">
        <v>668</v>
      </c>
      <c r="SL82" s="15" t="s">
        <v>668</v>
      </c>
      <c r="SM82" s="15" t="s">
        <v>668</v>
      </c>
      <c r="SN82" s="15" t="s">
        <v>668</v>
      </c>
      <c r="SO82" s="15" t="s">
        <v>668</v>
      </c>
    </row>
    <row r="83" spans="1:510" x14ac:dyDescent="0.2">
      <c r="A83" s="37">
        <v>81</v>
      </c>
      <c r="B83" s="37" t="s">
        <v>872</v>
      </c>
      <c r="C83" s="17">
        <f>+'Detalle Compras'!D83</f>
        <v>202509170117</v>
      </c>
      <c r="D83" s="55">
        <f t="shared" si="16"/>
        <v>7.1122500000000004</v>
      </c>
      <c r="E83" s="14">
        <f>+IF(B83="","",'Detalle Compras'!S83+0)</f>
        <v>45971</v>
      </c>
      <c r="F83" s="14">
        <f>+IF(B83="","",EOMONTH('Detalle Compras'!S83,G83)+10)</f>
        <v>56958</v>
      </c>
      <c r="G83" s="50">
        <f t="shared" si="17"/>
        <v>360</v>
      </c>
      <c r="H83" s="50">
        <f t="shared" si="18"/>
        <v>357</v>
      </c>
      <c r="K83" s="52"/>
      <c r="L83" s="52"/>
      <c r="M83" s="52"/>
      <c r="N83" s="52"/>
      <c r="O83" s="52"/>
      <c r="P83" s="52"/>
      <c r="Q83" s="52"/>
      <c r="R83" s="52"/>
      <c r="S83" s="52"/>
      <c r="T83" s="52"/>
      <c r="U83" s="52"/>
      <c r="V83" s="52"/>
      <c r="W83" s="52"/>
      <c r="X83" s="52"/>
      <c r="Y83" s="52"/>
      <c r="Z83" s="52"/>
      <c r="AA83" s="52"/>
      <c r="AB83" s="52"/>
      <c r="AC83" s="52">
        <v>7.1122500000000004</v>
      </c>
      <c r="AD83" s="52">
        <v>7.1122500000000004</v>
      </c>
      <c r="AE83" s="52">
        <v>7.1122500000000004</v>
      </c>
      <c r="AF83" s="52">
        <v>7.1122500000000004</v>
      </c>
      <c r="AG83" s="52">
        <v>7.1122500000000004</v>
      </c>
      <c r="AH83" s="52">
        <v>7.1122500000000004</v>
      </c>
      <c r="AI83" s="52">
        <v>7.1122500000000004</v>
      </c>
      <c r="AJ83" s="52">
        <v>7.1122500000000004</v>
      </c>
      <c r="AK83" s="52">
        <v>7.1122500000000004</v>
      </c>
      <c r="AL83" s="52">
        <v>7.1122500000000004</v>
      </c>
      <c r="AM83" s="52">
        <v>7.1122500000000004</v>
      </c>
      <c r="AN83" s="52">
        <v>7.1122500000000004</v>
      </c>
      <c r="AO83" s="52">
        <v>7.1122500000000004</v>
      </c>
      <c r="AP83" s="52">
        <v>7.1122500000000004</v>
      </c>
      <c r="AQ83" s="52">
        <v>7.1122500000000004</v>
      </c>
      <c r="AR83" s="52">
        <v>7.1122500000000004</v>
      </c>
      <c r="AS83" s="52">
        <v>7.1122500000000004</v>
      </c>
      <c r="AT83" s="52">
        <v>7.1122500000000004</v>
      </c>
      <c r="AU83" s="52">
        <v>7.1122500000000004</v>
      </c>
      <c r="AV83" s="52">
        <v>7.1122500000000004</v>
      </c>
      <c r="AW83" s="52">
        <v>7.1122500000000004</v>
      </c>
      <c r="AX83" s="52">
        <v>7.1122500000000004</v>
      </c>
      <c r="AY83" s="52">
        <v>7.1122500000000004</v>
      </c>
      <c r="AZ83" s="52">
        <v>7.1122500000000004</v>
      </c>
      <c r="BA83" s="52">
        <v>7.1122500000000004</v>
      </c>
      <c r="BB83" s="52">
        <v>7.1122500000000004</v>
      </c>
      <c r="BC83" s="52">
        <v>7.1122500000000004</v>
      </c>
      <c r="BD83" s="52">
        <v>7.1122500000000004</v>
      </c>
      <c r="BE83" s="52">
        <v>7.1122500000000004</v>
      </c>
      <c r="BF83" s="52">
        <v>7.1122500000000004</v>
      </c>
      <c r="BG83" s="52">
        <v>7.1122500000000004</v>
      </c>
      <c r="BH83" s="52">
        <v>7.1122500000000004</v>
      </c>
      <c r="BI83" s="52">
        <v>7.1122500000000004</v>
      </c>
      <c r="BJ83" s="52">
        <v>7.1122500000000004</v>
      </c>
      <c r="BK83" s="52">
        <v>7.1122500000000004</v>
      </c>
      <c r="BL83" s="52">
        <v>7.1122500000000004</v>
      </c>
      <c r="BM83" s="52">
        <v>7.1122500000000004</v>
      </c>
      <c r="BN83" s="52">
        <v>7.1122500000000004</v>
      </c>
      <c r="BO83" s="52">
        <v>7.1122500000000004</v>
      </c>
      <c r="BP83" s="52">
        <v>7.1122500000000004</v>
      </c>
      <c r="BQ83" s="52">
        <v>7.1122500000000004</v>
      </c>
      <c r="BR83" s="52">
        <v>7.1122500000000004</v>
      </c>
      <c r="BS83" s="52">
        <v>7.1122500000000004</v>
      </c>
      <c r="BT83" s="52">
        <v>7.1122500000000004</v>
      </c>
      <c r="BU83" s="52">
        <v>7.1122500000000004</v>
      </c>
      <c r="BV83" s="52">
        <v>7.1122500000000004</v>
      </c>
      <c r="BW83" s="52">
        <v>7.1122500000000004</v>
      </c>
      <c r="BX83" s="52">
        <v>7.1122500000000004</v>
      </c>
      <c r="BY83" s="52">
        <v>7.1122500000000004</v>
      </c>
      <c r="BZ83" s="52">
        <v>7.1122500000000004</v>
      </c>
      <c r="CA83" s="52">
        <v>7.1122500000000004</v>
      </c>
      <c r="CB83" s="52">
        <v>7.1122500000000004</v>
      </c>
      <c r="CC83" s="52">
        <v>7.1122500000000004</v>
      </c>
      <c r="CD83" s="52">
        <v>7.1122500000000004</v>
      </c>
      <c r="CE83" s="52">
        <v>7.1122500000000004</v>
      </c>
      <c r="CF83" s="52">
        <v>7.1122500000000004</v>
      </c>
      <c r="CG83" s="52">
        <v>7.1122500000000004</v>
      </c>
      <c r="CH83" s="52">
        <v>7.1122500000000004</v>
      </c>
      <c r="CI83" s="52">
        <v>7.1122500000000004</v>
      </c>
      <c r="CJ83" s="52">
        <v>7.1122500000000004</v>
      </c>
      <c r="CK83" s="52">
        <v>7.1122500000000004</v>
      </c>
      <c r="CL83" s="52">
        <v>7.1122500000000004</v>
      </c>
      <c r="CM83" s="52">
        <v>7.1122500000000004</v>
      </c>
      <c r="CN83" s="52">
        <v>7.1122500000000004</v>
      </c>
      <c r="CO83" s="52">
        <v>7.1122500000000004</v>
      </c>
      <c r="CP83" s="52">
        <v>7.1122500000000004</v>
      </c>
      <c r="CQ83" s="52">
        <v>7.1122500000000004</v>
      </c>
      <c r="CR83" s="52">
        <v>7.1122500000000004</v>
      </c>
      <c r="CS83" s="52">
        <v>7.1122500000000004</v>
      </c>
      <c r="CT83" s="52">
        <v>7.1122500000000004</v>
      </c>
      <c r="CU83" s="52">
        <v>7.1122500000000004</v>
      </c>
      <c r="CV83" s="52">
        <v>7.1122500000000004</v>
      </c>
      <c r="CW83" s="52">
        <v>7.1122500000000004</v>
      </c>
      <c r="CX83" s="52">
        <v>7.1122500000000004</v>
      </c>
      <c r="CY83" s="52">
        <v>7.1122500000000004</v>
      </c>
      <c r="CZ83" s="52">
        <v>7.1122500000000004</v>
      </c>
      <c r="DA83" s="52">
        <v>7.1122500000000004</v>
      </c>
      <c r="DB83" s="52">
        <v>7.1122500000000004</v>
      </c>
      <c r="DC83" s="52">
        <v>7.1122500000000004</v>
      </c>
      <c r="DD83" s="52">
        <v>7.1122500000000004</v>
      </c>
      <c r="DE83" s="52">
        <v>7.1122500000000004</v>
      </c>
      <c r="DF83" s="52">
        <v>7.1122500000000004</v>
      </c>
      <c r="DG83" s="52">
        <v>7.1122500000000004</v>
      </c>
      <c r="DH83" s="52">
        <v>7.1122500000000004</v>
      </c>
      <c r="DI83" s="52">
        <v>7.1122500000000004</v>
      </c>
      <c r="DJ83" s="52">
        <v>7.1122500000000004</v>
      </c>
      <c r="DK83" s="52">
        <v>7.1122500000000004</v>
      </c>
      <c r="DL83" s="52">
        <v>7.1122500000000004</v>
      </c>
      <c r="DM83" s="52">
        <v>7.1122500000000004</v>
      </c>
      <c r="DN83" s="52">
        <v>7.1122500000000004</v>
      </c>
      <c r="DO83" s="52">
        <v>7.1122500000000004</v>
      </c>
      <c r="DP83" s="52">
        <v>7.1122500000000004</v>
      </c>
      <c r="DQ83" s="52">
        <v>7.1122500000000004</v>
      </c>
      <c r="DR83" s="52">
        <v>7.1122500000000004</v>
      </c>
      <c r="DS83" s="52">
        <v>7.1122500000000004</v>
      </c>
      <c r="DT83" s="52">
        <v>7.1122500000000004</v>
      </c>
      <c r="DU83" s="52">
        <v>7.1122500000000004</v>
      </c>
      <c r="DV83" s="52">
        <v>7.1122500000000004</v>
      </c>
      <c r="DW83" s="52">
        <v>7.1122500000000004</v>
      </c>
      <c r="DX83" s="52">
        <v>7.1122500000000004</v>
      </c>
      <c r="DY83" s="52">
        <v>7.1122500000000004</v>
      </c>
      <c r="DZ83" s="52">
        <v>7.1122500000000004</v>
      </c>
      <c r="EA83" s="52">
        <v>7.1122500000000004</v>
      </c>
      <c r="EB83" s="52">
        <v>7.1122500000000004</v>
      </c>
      <c r="EC83" s="52">
        <v>7.1122500000000004</v>
      </c>
      <c r="ED83" s="52">
        <v>7.1122500000000004</v>
      </c>
      <c r="EE83" s="52">
        <v>7.1122500000000004</v>
      </c>
      <c r="EF83" s="52">
        <v>7.1122500000000004</v>
      </c>
      <c r="EG83" s="52">
        <v>7.1122500000000004</v>
      </c>
      <c r="EH83" s="52">
        <v>7.1122500000000004</v>
      </c>
      <c r="EI83" s="52">
        <v>7.1122500000000004</v>
      </c>
      <c r="EJ83" s="52">
        <v>7.1122500000000004</v>
      </c>
      <c r="EK83" s="52">
        <v>7.1122500000000004</v>
      </c>
      <c r="EL83" s="52">
        <v>7.1122500000000004</v>
      </c>
      <c r="EM83" s="52">
        <v>7.1122500000000004</v>
      </c>
      <c r="EN83" s="52">
        <v>7.1122500000000004</v>
      </c>
      <c r="EO83" s="52">
        <v>7.1122500000000004</v>
      </c>
      <c r="EP83" s="52">
        <v>7.1122500000000004</v>
      </c>
      <c r="EQ83" s="52">
        <v>7.1122500000000004</v>
      </c>
      <c r="ER83" s="52">
        <v>7.1122500000000004</v>
      </c>
      <c r="ES83" s="52">
        <v>7.1122500000000004</v>
      </c>
      <c r="ET83" s="52">
        <v>7.1122500000000004</v>
      </c>
      <c r="EU83" s="52">
        <v>7.1122500000000004</v>
      </c>
      <c r="EV83" s="52">
        <v>7.1122500000000004</v>
      </c>
      <c r="EW83" s="52">
        <v>7.1122500000000004</v>
      </c>
      <c r="EX83" s="52">
        <v>7.1122500000000004</v>
      </c>
      <c r="EY83" s="52">
        <v>7.1122500000000004</v>
      </c>
      <c r="EZ83" s="52">
        <v>7.1122500000000004</v>
      </c>
      <c r="FA83" s="52">
        <v>7.1122500000000004</v>
      </c>
      <c r="FB83" s="52">
        <v>7.1122500000000004</v>
      </c>
      <c r="FC83" s="52">
        <v>7.1122500000000004</v>
      </c>
      <c r="FD83" s="52">
        <v>7.1122500000000004</v>
      </c>
      <c r="FE83" s="52">
        <v>7.1122500000000004</v>
      </c>
      <c r="FF83" s="52">
        <v>7.1122500000000004</v>
      </c>
      <c r="FG83" s="52">
        <v>7.1122500000000004</v>
      </c>
      <c r="FH83" s="52">
        <v>7.1122500000000004</v>
      </c>
      <c r="FI83" s="52">
        <v>7.1122500000000004</v>
      </c>
      <c r="FJ83" s="52">
        <v>7.1122500000000004</v>
      </c>
      <c r="FK83" s="52">
        <v>7.1122500000000004</v>
      </c>
      <c r="FL83" s="52">
        <v>7.1122500000000004</v>
      </c>
      <c r="FM83" s="52">
        <v>7.1122500000000004</v>
      </c>
      <c r="FN83" s="52">
        <v>7.1122500000000004</v>
      </c>
      <c r="FO83" s="52">
        <v>7.1122500000000004</v>
      </c>
      <c r="FP83" s="52">
        <v>7.1122500000000004</v>
      </c>
      <c r="FQ83" s="52">
        <v>7.1122500000000004</v>
      </c>
      <c r="FR83" s="52">
        <v>7.1122500000000004</v>
      </c>
      <c r="FS83" s="52">
        <v>7.1122500000000004</v>
      </c>
      <c r="FT83" s="52">
        <v>7.1122500000000004</v>
      </c>
      <c r="FU83" s="52">
        <v>7.1122500000000004</v>
      </c>
      <c r="FV83" s="52">
        <v>7.1122500000000004</v>
      </c>
      <c r="FW83" s="52">
        <v>7.1122500000000004</v>
      </c>
      <c r="FX83" s="52">
        <v>7.1122500000000004</v>
      </c>
      <c r="FY83" s="52">
        <v>7.1122500000000004</v>
      </c>
      <c r="FZ83" s="52">
        <v>7.1122500000000004</v>
      </c>
      <c r="GA83" s="52">
        <v>7.1122500000000004</v>
      </c>
      <c r="GB83" s="52">
        <v>7.1122500000000004</v>
      </c>
      <c r="GC83" s="52">
        <v>7.1122500000000004</v>
      </c>
      <c r="GD83" s="52">
        <v>7.1122500000000004</v>
      </c>
      <c r="GE83" s="52">
        <v>7.1122500000000004</v>
      </c>
      <c r="GF83" s="52">
        <v>7.1122500000000004</v>
      </c>
      <c r="GG83" s="52">
        <v>7.1122500000000004</v>
      </c>
      <c r="GH83" s="52">
        <v>7.1122500000000004</v>
      </c>
      <c r="GI83" s="52">
        <v>7.1122500000000004</v>
      </c>
      <c r="GJ83" s="52">
        <v>7.1122500000000004</v>
      </c>
      <c r="GK83" s="52">
        <v>7.1122500000000004</v>
      </c>
      <c r="GL83" s="52">
        <v>7.1122500000000004</v>
      </c>
      <c r="GM83" s="52">
        <v>7.1122500000000004</v>
      </c>
      <c r="GN83" s="52">
        <v>7.1122500000000004</v>
      </c>
      <c r="GO83" s="52">
        <v>7.1122500000000004</v>
      </c>
      <c r="GP83" s="52">
        <v>7.1122500000000004</v>
      </c>
      <c r="GQ83" s="52">
        <v>7.1122500000000004</v>
      </c>
      <c r="GR83" s="52">
        <v>7.1122500000000004</v>
      </c>
      <c r="GS83" s="52">
        <v>7.1122500000000004</v>
      </c>
      <c r="GT83" s="52">
        <v>7.1122500000000004</v>
      </c>
      <c r="GU83" s="52">
        <v>7.1122500000000004</v>
      </c>
      <c r="GV83" s="52">
        <v>7.1122500000000004</v>
      </c>
      <c r="GW83" s="52">
        <v>7.1122500000000004</v>
      </c>
      <c r="GX83" s="52">
        <v>7.1122500000000004</v>
      </c>
      <c r="GY83" s="52">
        <v>7.1122500000000004</v>
      </c>
      <c r="GZ83" s="52">
        <v>7.1122500000000004</v>
      </c>
      <c r="HA83" s="52">
        <v>7.1122500000000004</v>
      </c>
      <c r="HB83" s="52">
        <v>7.1122500000000004</v>
      </c>
      <c r="HC83" s="52">
        <v>7.1122500000000004</v>
      </c>
      <c r="HD83" s="52">
        <v>7.1122500000000004</v>
      </c>
      <c r="HE83" s="52">
        <v>7.1122500000000004</v>
      </c>
      <c r="HF83" s="52">
        <v>7.1122500000000004</v>
      </c>
      <c r="HG83" s="52">
        <v>7.1122500000000004</v>
      </c>
      <c r="HH83" s="52">
        <v>7.1122500000000004</v>
      </c>
      <c r="HI83" s="52">
        <v>7.1122500000000004</v>
      </c>
      <c r="HJ83" s="52">
        <v>7.1122500000000004</v>
      </c>
      <c r="HK83" s="52">
        <v>7.1122500000000004</v>
      </c>
      <c r="HL83" s="52">
        <v>7.1122500000000004</v>
      </c>
      <c r="HM83" s="52">
        <v>7.1122500000000004</v>
      </c>
      <c r="HN83" s="52">
        <v>7.1122500000000004</v>
      </c>
      <c r="HO83" s="52">
        <v>7.1122500000000004</v>
      </c>
      <c r="HP83" s="52">
        <v>7.1122500000000004</v>
      </c>
      <c r="HQ83" s="52">
        <v>7.1122500000000004</v>
      </c>
      <c r="HR83" s="52">
        <v>7.1122500000000004</v>
      </c>
      <c r="HS83" s="52">
        <v>7.1122500000000004</v>
      </c>
      <c r="HT83" s="52">
        <v>7.1122500000000004</v>
      </c>
      <c r="HU83" s="52">
        <v>7.1122500000000004</v>
      </c>
      <c r="HV83" s="52">
        <v>7.1122500000000004</v>
      </c>
      <c r="HW83" s="52">
        <v>7.1122500000000004</v>
      </c>
      <c r="HX83" s="52">
        <v>7.1122500000000004</v>
      </c>
      <c r="HY83" s="52">
        <v>7.1122500000000004</v>
      </c>
      <c r="HZ83" s="52">
        <v>7.1122500000000004</v>
      </c>
      <c r="IA83" s="52">
        <v>7.1122500000000004</v>
      </c>
      <c r="IB83" s="52">
        <v>7.1122500000000004</v>
      </c>
      <c r="IC83" s="52">
        <v>7.1122500000000004</v>
      </c>
      <c r="ID83" s="52">
        <v>7.1122500000000004</v>
      </c>
      <c r="IE83" s="52">
        <v>7.1122500000000004</v>
      </c>
      <c r="IF83" s="52">
        <v>7.1122500000000004</v>
      </c>
      <c r="IG83" s="52">
        <v>7.1122500000000004</v>
      </c>
      <c r="IH83" s="52">
        <v>7.1122500000000004</v>
      </c>
      <c r="II83" s="52">
        <v>7.1122500000000004</v>
      </c>
      <c r="IJ83" s="52">
        <v>7.1122500000000004</v>
      </c>
      <c r="IK83" s="52">
        <v>7.1122500000000004</v>
      </c>
      <c r="IL83" s="52">
        <v>7.1122500000000004</v>
      </c>
      <c r="IM83" s="52">
        <v>7.1122500000000004</v>
      </c>
      <c r="IN83" s="52">
        <v>7.1122500000000004</v>
      </c>
      <c r="IO83" s="52">
        <v>7.1122500000000004</v>
      </c>
      <c r="IP83" s="52">
        <v>7.1122500000000004</v>
      </c>
      <c r="IQ83" s="52">
        <v>7.1122500000000004</v>
      </c>
      <c r="IR83" s="52">
        <v>7.1122500000000004</v>
      </c>
      <c r="IS83" s="52">
        <v>7.1122500000000004</v>
      </c>
      <c r="IT83" s="52">
        <v>7.1122500000000004</v>
      </c>
      <c r="IU83" s="52">
        <v>7.1122500000000004</v>
      </c>
      <c r="IV83" s="52">
        <v>7.1122500000000004</v>
      </c>
      <c r="IW83" s="52">
        <v>7.1122500000000004</v>
      </c>
      <c r="IX83" s="52">
        <v>7.1122500000000004</v>
      </c>
      <c r="IY83" s="52">
        <v>7.1122500000000004</v>
      </c>
      <c r="IZ83" s="52">
        <v>7.1122500000000004</v>
      </c>
      <c r="JA83" s="52">
        <v>7.1122500000000004</v>
      </c>
      <c r="JB83" s="52">
        <v>7.1122500000000004</v>
      </c>
      <c r="JC83" s="52">
        <v>7.1122500000000004</v>
      </c>
      <c r="JD83" s="52">
        <v>7.1122500000000004</v>
      </c>
      <c r="JE83" s="52">
        <v>7.1122500000000004</v>
      </c>
      <c r="JF83" s="52">
        <v>7.1122500000000004</v>
      </c>
      <c r="JG83" s="52">
        <v>7.1122500000000004</v>
      </c>
      <c r="JH83" s="52">
        <v>7.1122500000000004</v>
      </c>
      <c r="JI83" s="52">
        <v>7.1122500000000004</v>
      </c>
      <c r="JJ83" s="52">
        <v>7.1122500000000004</v>
      </c>
      <c r="JK83" s="52">
        <v>7.1122500000000004</v>
      </c>
      <c r="JL83" s="52">
        <v>7.1122500000000004</v>
      </c>
      <c r="JM83" s="52">
        <v>7.1122500000000004</v>
      </c>
      <c r="JN83" s="52">
        <v>7.1122500000000004</v>
      </c>
      <c r="JO83" s="52">
        <v>7.1122500000000004</v>
      </c>
      <c r="JP83" s="52">
        <v>7.1122500000000004</v>
      </c>
      <c r="JQ83" s="52">
        <v>7.1122500000000004</v>
      </c>
      <c r="JR83" s="52">
        <v>7.1122500000000004</v>
      </c>
      <c r="JS83" s="52">
        <v>7.1122500000000004</v>
      </c>
      <c r="JT83" s="52">
        <v>7.1122500000000004</v>
      </c>
      <c r="JU83" s="52">
        <v>7.1122500000000004</v>
      </c>
      <c r="JV83" s="52">
        <v>7.1122500000000004</v>
      </c>
      <c r="JW83" s="52">
        <v>7.1122500000000004</v>
      </c>
      <c r="JX83" s="52">
        <v>7.1122500000000004</v>
      </c>
      <c r="JY83" s="52">
        <v>7.1122500000000004</v>
      </c>
      <c r="JZ83" s="52">
        <v>7.1122500000000004</v>
      </c>
      <c r="KA83" s="52">
        <v>7.1122500000000004</v>
      </c>
      <c r="KB83" s="52">
        <v>7.1122500000000004</v>
      </c>
      <c r="KC83" s="52">
        <v>7.1122500000000004</v>
      </c>
      <c r="KD83" s="52">
        <v>7.1122500000000004</v>
      </c>
      <c r="KE83" s="52">
        <v>7.1122500000000004</v>
      </c>
      <c r="KF83" s="52">
        <v>7.1122500000000004</v>
      </c>
      <c r="KG83" s="52">
        <v>7.1122500000000004</v>
      </c>
      <c r="KH83" s="52">
        <v>7.1122500000000004</v>
      </c>
      <c r="KI83" s="52">
        <v>7.1122500000000004</v>
      </c>
      <c r="KJ83" s="52">
        <v>7.1122500000000004</v>
      </c>
      <c r="KK83" s="52">
        <v>7.1122500000000004</v>
      </c>
      <c r="KL83" s="52">
        <v>7.1122500000000004</v>
      </c>
      <c r="KM83" s="52">
        <v>7.1122500000000004</v>
      </c>
      <c r="KN83" s="52">
        <v>7.1122500000000004</v>
      </c>
      <c r="KO83" s="52">
        <v>7.1122500000000004</v>
      </c>
      <c r="KP83" s="52">
        <v>7.1122500000000004</v>
      </c>
      <c r="KQ83" s="52">
        <v>7.1122500000000004</v>
      </c>
      <c r="KR83" s="52">
        <v>7.1122500000000004</v>
      </c>
      <c r="KS83" s="52">
        <v>7.1122500000000004</v>
      </c>
      <c r="KT83" s="52">
        <v>7.1122500000000004</v>
      </c>
      <c r="KU83" s="52">
        <v>7.1122500000000004</v>
      </c>
      <c r="KV83" s="52">
        <v>7.1122500000000004</v>
      </c>
      <c r="KW83" s="52">
        <v>7.1122500000000004</v>
      </c>
      <c r="KX83" s="52">
        <v>7.1122500000000004</v>
      </c>
      <c r="KY83" s="52">
        <v>7.1122500000000004</v>
      </c>
      <c r="KZ83" s="52">
        <v>7.1122500000000004</v>
      </c>
      <c r="LA83" s="52">
        <v>7.1122500000000004</v>
      </c>
      <c r="LB83" s="52">
        <v>7.1122500000000004</v>
      </c>
      <c r="LC83" s="52">
        <v>7.1122500000000004</v>
      </c>
      <c r="LD83" s="52">
        <v>7.1122500000000004</v>
      </c>
      <c r="LE83" s="52">
        <v>7.1122500000000004</v>
      </c>
      <c r="LF83" s="52">
        <v>7.1122500000000004</v>
      </c>
      <c r="LG83" s="52">
        <v>7.1122500000000004</v>
      </c>
      <c r="LH83" s="52">
        <v>7.1122500000000004</v>
      </c>
      <c r="LI83" s="52">
        <v>7.1122500000000004</v>
      </c>
      <c r="LJ83" s="52">
        <v>7.1122500000000004</v>
      </c>
      <c r="LK83" s="52">
        <v>7.1122500000000004</v>
      </c>
      <c r="LL83" s="52">
        <v>7.1122500000000004</v>
      </c>
      <c r="LM83" s="52">
        <v>7.1122500000000004</v>
      </c>
      <c r="LN83" s="52">
        <v>7.1122500000000004</v>
      </c>
      <c r="LO83" s="52">
        <v>7.1122500000000004</v>
      </c>
      <c r="LP83" s="52">
        <v>7.1122500000000004</v>
      </c>
      <c r="LQ83" s="52">
        <v>7.1122500000000004</v>
      </c>
      <c r="LR83" s="52">
        <v>7.1122500000000004</v>
      </c>
      <c r="LS83" s="52">
        <v>7.1122500000000004</v>
      </c>
      <c r="LT83" s="52">
        <v>7.1122500000000004</v>
      </c>
      <c r="LU83" s="52">
        <v>7.1122500000000004</v>
      </c>
      <c r="LV83" s="52">
        <v>7.1122500000000004</v>
      </c>
      <c r="LW83" s="52">
        <v>7.1122500000000004</v>
      </c>
      <c r="LX83" s="52">
        <v>7.1122500000000004</v>
      </c>
      <c r="LY83" s="52">
        <v>7.1122500000000004</v>
      </c>
      <c r="LZ83" s="52">
        <v>7.1122500000000004</v>
      </c>
      <c r="MA83" s="52">
        <v>7.1122500000000004</v>
      </c>
      <c r="MB83" s="52">
        <v>7.1122500000000004</v>
      </c>
      <c r="MC83" s="52">
        <v>7.1122500000000004</v>
      </c>
      <c r="MD83" s="52">
        <v>7.1122500000000004</v>
      </c>
      <c r="ME83" s="52">
        <v>7.1122500000000004</v>
      </c>
      <c r="MF83" s="52">
        <v>7.1122500000000004</v>
      </c>
      <c r="MG83" s="52">
        <v>7.1122500000000004</v>
      </c>
      <c r="MH83" s="52">
        <v>7.1122500000000004</v>
      </c>
      <c r="MI83" s="52">
        <v>7.1122500000000004</v>
      </c>
      <c r="MJ83" s="52">
        <v>7.1122500000000004</v>
      </c>
      <c r="MK83" s="52">
        <v>7.1122500000000004</v>
      </c>
      <c r="ML83" s="52">
        <v>7.1122500000000004</v>
      </c>
      <c r="MM83" s="52">
        <v>7.1122500000000004</v>
      </c>
      <c r="MN83" s="52">
        <v>7.1122500000000004</v>
      </c>
      <c r="MO83" s="52">
        <v>7.1122500000000004</v>
      </c>
      <c r="MP83" s="52">
        <v>7.1122500000000004</v>
      </c>
      <c r="MQ83" s="52">
        <v>7.1122500000000004</v>
      </c>
      <c r="MR83" s="52">
        <v>7.1122500000000004</v>
      </c>
      <c r="MS83" s="52">
        <v>7.1122500000000004</v>
      </c>
      <c r="MT83" s="52">
        <v>7.1122500000000004</v>
      </c>
      <c r="MU83" s="52">
        <v>7.1122500000000004</v>
      </c>
      <c r="MV83" s="52">
        <v>7.1122500000000004</v>
      </c>
      <c r="MW83" s="52">
        <v>7.1122500000000004</v>
      </c>
      <c r="MX83" s="52">
        <v>7.1122500000000004</v>
      </c>
      <c r="MY83" s="52">
        <v>7.1122500000000004</v>
      </c>
      <c r="MZ83" s="52">
        <v>7.1122500000000004</v>
      </c>
      <c r="NA83" s="52">
        <v>7.1122500000000004</v>
      </c>
      <c r="NB83" s="52">
        <v>7.1122500000000004</v>
      </c>
      <c r="NC83" s="52">
        <v>7.1122500000000004</v>
      </c>
      <c r="ND83" s="52">
        <v>7.1122500000000004</v>
      </c>
      <c r="NE83" s="52">
        <v>7.1122500000000004</v>
      </c>
      <c r="NF83" s="52">
        <v>7.1122500000000004</v>
      </c>
      <c r="NG83" s="52">
        <v>7.1122500000000004</v>
      </c>
      <c r="NH83" s="37">
        <v>7.1122500000000004</v>
      </c>
      <c r="NI83" s="37">
        <v>7.1122500000000004</v>
      </c>
      <c r="NJ83" s="37">
        <v>7.1122500000000004</v>
      </c>
      <c r="NK83" s="37">
        <v>7.1122500000000004</v>
      </c>
      <c r="NL83" s="37">
        <v>7.1122500000000004</v>
      </c>
      <c r="NM83" s="37">
        <v>7.1122500000000004</v>
      </c>
      <c r="NN83" s="37">
        <v>7.1122500000000004</v>
      </c>
      <c r="NO83" s="37">
        <v>7.1122500000000004</v>
      </c>
      <c r="NP83" s="37">
        <v>7.1122500000000004</v>
      </c>
      <c r="NQ83" s="37">
        <v>7.1122500000000004</v>
      </c>
      <c r="NR83" s="37">
        <v>7.1122500000000004</v>
      </c>
      <c r="NS83" s="37">
        <v>7.1122500000000004</v>
      </c>
      <c r="NT83" s="37">
        <v>7.1122500000000004</v>
      </c>
      <c r="NU83" s="37">
        <v>7.1122500000000004</v>
      </c>
      <c r="NV83" s="37">
        <v>7.1122500000000004</v>
      </c>
      <c r="NW83" s="37">
        <v>7.1122500000000004</v>
      </c>
      <c r="NX83" s="37">
        <v>7.6612499999999999</v>
      </c>
      <c r="NY83" s="37" t="s">
        <v>668</v>
      </c>
      <c r="NZ83" s="37" t="s">
        <v>668</v>
      </c>
      <c r="OA83" s="37" t="s">
        <v>668</v>
      </c>
      <c r="OB83" s="37" t="s">
        <v>668</v>
      </c>
      <c r="OC83" s="37" t="s">
        <v>668</v>
      </c>
      <c r="OD83" s="37" t="s">
        <v>668</v>
      </c>
      <c r="OE83" s="37" t="s">
        <v>668</v>
      </c>
      <c r="OF83" s="37" t="s">
        <v>668</v>
      </c>
      <c r="OG83" s="37" t="s">
        <v>668</v>
      </c>
      <c r="OH83" s="37" t="s">
        <v>668</v>
      </c>
      <c r="OI83" s="37" t="s">
        <v>668</v>
      </c>
      <c r="OJ83" s="37" t="s">
        <v>668</v>
      </c>
      <c r="OK83" s="37" t="s">
        <v>668</v>
      </c>
      <c r="OL83" s="37" t="s">
        <v>668</v>
      </c>
      <c r="OM83" s="37" t="s">
        <v>668</v>
      </c>
      <c r="ON83" s="37" t="s">
        <v>668</v>
      </c>
      <c r="OO83" s="37" t="s">
        <v>668</v>
      </c>
      <c r="OP83" s="37" t="s">
        <v>668</v>
      </c>
      <c r="OQ83" s="37" t="s">
        <v>668</v>
      </c>
      <c r="OR83" s="37" t="s">
        <v>668</v>
      </c>
      <c r="OS83" s="37" t="s">
        <v>668</v>
      </c>
      <c r="OT83" s="37" t="s">
        <v>668</v>
      </c>
      <c r="OU83" s="37" t="s">
        <v>668</v>
      </c>
      <c r="OV83" s="37" t="s">
        <v>668</v>
      </c>
      <c r="OW83" s="37" t="s">
        <v>668</v>
      </c>
      <c r="OX83" s="37" t="s">
        <v>668</v>
      </c>
      <c r="OY83" s="37" t="s">
        <v>668</v>
      </c>
      <c r="OZ83" s="37" t="s">
        <v>668</v>
      </c>
      <c r="PA83" s="37" t="s">
        <v>668</v>
      </c>
      <c r="PB83" s="37" t="s">
        <v>668</v>
      </c>
      <c r="PC83" s="37" t="s">
        <v>668</v>
      </c>
      <c r="PD83" s="37" t="s">
        <v>668</v>
      </c>
      <c r="PE83" s="37" t="s">
        <v>668</v>
      </c>
      <c r="PF83" s="37" t="s">
        <v>668</v>
      </c>
      <c r="PG83" s="37" t="s">
        <v>668</v>
      </c>
      <c r="PH83" s="37" t="s">
        <v>668</v>
      </c>
      <c r="PI83" s="37" t="s">
        <v>668</v>
      </c>
      <c r="PJ83" s="37" t="s">
        <v>668</v>
      </c>
      <c r="PK83" s="37" t="s">
        <v>668</v>
      </c>
      <c r="PL83" s="37" t="s">
        <v>668</v>
      </c>
      <c r="PM83" s="37" t="s">
        <v>668</v>
      </c>
      <c r="PN83" s="37" t="s">
        <v>668</v>
      </c>
      <c r="PO83" s="37" t="s">
        <v>668</v>
      </c>
      <c r="PP83" s="37" t="s">
        <v>668</v>
      </c>
      <c r="PQ83" s="37" t="s">
        <v>668</v>
      </c>
      <c r="PR83" s="37" t="s">
        <v>668</v>
      </c>
      <c r="PS83" s="15" t="s">
        <v>668</v>
      </c>
      <c r="PT83" s="15" t="s">
        <v>668</v>
      </c>
      <c r="PU83" s="15" t="s">
        <v>668</v>
      </c>
      <c r="PV83" s="15" t="s">
        <v>668</v>
      </c>
      <c r="PW83" s="15" t="s">
        <v>668</v>
      </c>
      <c r="PX83" s="15" t="s">
        <v>668</v>
      </c>
      <c r="PY83" s="15" t="s">
        <v>668</v>
      </c>
      <c r="PZ83" s="15" t="s">
        <v>668</v>
      </c>
      <c r="QA83" s="15" t="s">
        <v>668</v>
      </c>
      <c r="QB83" s="15" t="s">
        <v>668</v>
      </c>
      <c r="QC83" s="15" t="s">
        <v>668</v>
      </c>
      <c r="QD83" s="15" t="s">
        <v>668</v>
      </c>
      <c r="QE83" s="15" t="s">
        <v>668</v>
      </c>
      <c r="QF83" s="15" t="s">
        <v>668</v>
      </c>
      <c r="QG83" s="15" t="s">
        <v>668</v>
      </c>
      <c r="QH83" s="15" t="s">
        <v>668</v>
      </c>
      <c r="QI83" s="15" t="s">
        <v>668</v>
      </c>
      <c r="QJ83" s="15" t="s">
        <v>668</v>
      </c>
      <c r="QK83" s="15" t="s">
        <v>668</v>
      </c>
      <c r="QL83" s="15" t="s">
        <v>668</v>
      </c>
      <c r="QM83" s="15" t="s">
        <v>668</v>
      </c>
      <c r="QN83" s="15" t="s">
        <v>668</v>
      </c>
      <c r="QO83" s="15" t="s">
        <v>668</v>
      </c>
      <c r="QP83" s="15" t="s">
        <v>668</v>
      </c>
      <c r="QQ83" s="15" t="s">
        <v>668</v>
      </c>
      <c r="QR83" s="15" t="s">
        <v>668</v>
      </c>
      <c r="QS83" s="15" t="s">
        <v>668</v>
      </c>
      <c r="QT83" s="15" t="s">
        <v>668</v>
      </c>
      <c r="QU83" s="15" t="s">
        <v>668</v>
      </c>
      <c r="QV83" s="15" t="s">
        <v>668</v>
      </c>
      <c r="QW83" s="15" t="s">
        <v>668</v>
      </c>
      <c r="QX83" s="15" t="s">
        <v>668</v>
      </c>
      <c r="QY83" s="15" t="s">
        <v>668</v>
      </c>
      <c r="QZ83" s="15" t="s">
        <v>668</v>
      </c>
      <c r="RA83" s="15" t="s">
        <v>668</v>
      </c>
      <c r="RB83" s="15" t="s">
        <v>668</v>
      </c>
      <c r="RC83" s="15" t="s">
        <v>668</v>
      </c>
      <c r="RD83" s="15" t="s">
        <v>668</v>
      </c>
      <c r="RE83" s="15" t="s">
        <v>668</v>
      </c>
      <c r="RF83" s="15" t="s">
        <v>668</v>
      </c>
      <c r="RG83" s="15" t="s">
        <v>668</v>
      </c>
      <c r="RH83" s="15" t="s">
        <v>668</v>
      </c>
      <c r="RI83" s="15" t="s">
        <v>668</v>
      </c>
      <c r="RJ83" s="15" t="s">
        <v>668</v>
      </c>
      <c r="RK83" s="15" t="s">
        <v>668</v>
      </c>
      <c r="RL83" s="15" t="s">
        <v>668</v>
      </c>
      <c r="RM83" s="15" t="s">
        <v>668</v>
      </c>
      <c r="RN83" s="15" t="s">
        <v>668</v>
      </c>
      <c r="RO83" s="15" t="s">
        <v>668</v>
      </c>
      <c r="RP83" s="15" t="s">
        <v>668</v>
      </c>
      <c r="RQ83" s="15" t="s">
        <v>668</v>
      </c>
      <c r="RR83" s="15" t="s">
        <v>668</v>
      </c>
      <c r="RS83" s="15" t="s">
        <v>668</v>
      </c>
      <c r="RT83" s="15" t="s">
        <v>668</v>
      </c>
      <c r="RU83" s="15" t="s">
        <v>668</v>
      </c>
      <c r="RV83" s="15" t="s">
        <v>668</v>
      </c>
      <c r="RW83" s="15" t="s">
        <v>668</v>
      </c>
      <c r="RX83" s="15" t="s">
        <v>668</v>
      </c>
      <c r="RY83" s="15" t="s">
        <v>668</v>
      </c>
      <c r="RZ83" s="15" t="s">
        <v>668</v>
      </c>
      <c r="SA83" s="15" t="s">
        <v>668</v>
      </c>
      <c r="SB83" s="15" t="s">
        <v>668</v>
      </c>
      <c r="SC83" s="15" t="s">
        <v>668</v>
      </c>
      <c r="SD83" s="15" t="s">
        <v>668</v>
      </c>
      <c r="SE83" s="15" t="s">
        <v>668</v>
      </c>
      <c r="SF83" s="15" t="s">
        <v>668</v>
      </c>
      <c r="SG83" s="15" t="s">
        <v>668</v>
      </c>
      <c r="SH83" s="15" t="s">
        <v>668</v>
      </c>
      <c r="SI83" s="15" t="s">
        <v>668</v>
      </c>
      <c r="SJ83" s="15" t="s">
        <v>668</v>
      </c>
      <c r="SK83" s="15" t="s">
        <v>668</v>
      </c>
      <c r="SL83" s="15" t="s">
        <v>668</v>
      </c>
      <c r="SM83" s="15" t="s">
        <v>668</v>
      </c>
      <c r="SN83" s="15" t="s">
        <v>668</v>
      </c>
      <c r="SO83" s="15" t="s">
        <v>668</v>
      </c>
    </row>
    <row r="84" spans="1:510" x14ac:dyDescent="0.2">
      <c r="A84" s="37">
        <v>82</v>
      </c>
      <c r="B84" s="37" t="s">
        <v>873</v>
      </c>
      <c r="C84" s="17">
        <f>+'Detalle Compras'!D84</f>
        <v>202509160116</v>
      </c>
      <c r="D84" s="55">
        <f t="shared" si="16"/>
        <v>10.31733</v>
      </c>
      <c r="E84" s="14">
        <f>+IF(B84="","",'Detalle Compras'!S84+0)</f>
        <v>45971</v>
      </c>
      <c r="F84" s="14">
        <f>+IF(B84="","",EOMONTH('Detalle Compras'!S84,G84)+10)</f>
        <v>59515</v>
      </c>
      <c r="G84" s="50">
        <f t="shared" si="17"/>
        <v>444</v>
      </c>
      <c r="H84" s="50">
        <f t="shared" si="18"/>
        <v>441</v>
      </c>
      <c r="K84" s="52"/>
      <c r="L84" s="52"/>
      <c r="M84" s="52"/>
      <c r="N84" s="52"/>
      <c r="O84" s="52"/>
      <c r="P84" s="52"/>
      <c r="Q84" s="52"/>
      <c r="R84" s="52"/>
      <c r="S84" s="52"/>
      <c r="T84" s="52"/>
      <c r="U84" s="52"/>
      <c r="V84" s="52"/>
      <c r="W84" s="52"/>
      <c r="X84" s="52"/>
      <c r="Y84" s="52"/>
      <c r="Z84" s="52"/>
      <c r="AA84" s="52"/>
      <c r="AB84" s="52"/>
      <c r="AC84" s="52">
        <v>10.31733</v>
      </c>
      <c r="AD84" s="52">
        <v>10.31733</v>
      </c>
      <c r="AE84" s="52">
        <v>10.31733</v>
      </c>
      <c r="AF84" s="52">
        <v>10.31733</v>
      </c>
      <c r="AG84" s="52">
        <v>10.31733</v>
      </c>
      <c r="AH84" s="52">
        <v>10.31733</v>
      </c>
      <c r="AI84" s="52">
        <v>10.31733</v>
      </c>
      <c r="AJ84" s="52">
        <v>10.31733</v>
      </c>
      <c r="AK84" s="52">
        <v>10.31733</v>
      </c>
      <c r="AL84" s="52">
        <v>10.31733</v>
      </c>
      <c r="AM84" s="52">
        <v>10.31733</v>
      </c>
      <c r="AN84" s="52">
        <v>10.31733</v>
      </c>
      <c r="AO84" s="52">
        <v>10.31733</v>
      </c>
      <c r="AP84" s="52">
        <v>10.31733</v>
      </c>
      <c r="AQ84" s="52">
        <v>10.31733</v>
      </c>
      <c r="AR84" s="52">
        <v>10.31733</v>
      </c>
      <c r="AS84" s="52">
        <v>10.31733</v>
      </c>
      <c r="AT84" s="52">
        <v>10.31733</v>
      </c>
      <c r="AU84" s="52">
        <v>10.31733</v>
      </c>
      <c r="AV84" s="52">
        <v>10.31733</v>
      </c>
      <c r="AW84" s="52">
        <v>10.31733</v>
      </c>
      <c r="AX84" s="52">
        <v>10.31733</v>
      </c>
      <c r="AY84" s="52">
        <v>10.31733</v>
      </c>
      <c r="AZ84" s="52">
        <v>10.31733</v>
      </c>
      <c r="BA84" s="52">
        <v>10.31733</v>
      </c>
      <c r="BB84" s="52">
        <v>10.31733</v>
      </c>
      <c r="BC84" s="52">
        <v>10.31733</v>
      </c>
      <c r="BD84" s="52">
        <v>10.31733</v>
      </c>
      <c r="BE84" s="52">
        <v>10.31733</v>
      </c>
      <c r="BF84" s="52">
        <v>10.31733</v>
      </c>
      <c r="BG84" s="52">
        <v>10.31733</v>
      </c>
      <c r="BH84" s="52">
        <v>10.31733</v>
      </c>
      <c r="BI84" s="52">
        <v>10.31733</v>
      </c>
      <c r="BJ84" s="52">
        <v>10.31733</v>
      </c>
      <c r="BK84" s="52">
        <v>10.31733</v>
      </c>
      <c r="BL84" s="52">
        <v>10.31733</v>
      </c>
      <c r="BM84" s="52">
        <v>10.31733</v>
      </c>
      <c r="BN84" s="52">
        <v>10.31733</v>
      </c>
      <c r="BO84" s="52">
        <v>10.31733</v>
      </c>
      <c r="BP84" s="52">
        <v>10.31733</v>
      </c>
      <c r="BQ84" s="52">
        <v>10.31733</v>
      </c>
      <c r="BR84" s="52">
        <v>10.31733</v>
      </c>
      <c r="BS84" s="52">
        <v>10.31733</v>
      </c>
      <c r="BT84" s="52">
        <v>10.31733</v>
      </c>
      <c r="BU84" s="52">
        <v>10.31733</v>
      </c>
      <c r="BV84" s="52">
        <v>10.31733</v>
      </c>
      <c r="BW84" s="52">
        <v>10.31733</v>
      </c>
      <c r="BX84" s="52">
        <v>10.31733</v>
      </c>
      <c r="BY84" s="52">
        <v>10.31733</v>
      </c>
      <c r="BZ84" s="52">
        <v>10.31733</v>
      </c>
      <c r="CA84" s="52">
        <v>10.31733</v>
      </c>
      <c r="CB84" s="52">
        <v>10.31733</v>
      </c>
      <c r="CC84" s="52">
        <v>10.31733</v>
      </c>
      <c r="CD84" s="52">
        <v>10.31733</v>
      </c>
      <c r="CE84" s="52">
        <v>10.31733</v>
      </c>
      <c r="CF84" s="52">
        <v>10.31733</v>
      </c>
      <c r="CG84" s="52">
        <v>10.31733</v>
      </c>
      <c r="CH84" s="52">
        <v>10.31733</v>
      </c>
      <c r="CI84" s="52">
        <v>10.31733</v>
      </c>
      <c r="CJ84" s="52">
        <v>10.31733</v>
      </c>
      <c r="CK84" s="52">
        <v>10.31733</v>
      </c>
      <c r="CL84" s="52">
        <v>10.31733</v>
      </c>
      <c r="CM84" s="52">
        <v>10.31733</v>
      </c>
      <c r="CN84" s="52">
        <v>10.31733</v>
      </c>
      <c r="CO84" s="52">
        <v>10.31733</v>
      </c>
      <c r="CP84" s="52">
        <v>10.31733</v>
      </c>
      <c r="CQ84" s="52">
        <v>10.31733</v>
      </c>
      <c r="CR84" s="52">
        <v>10.31733</v>
      </c>
      <c r="CS84" s="52">
        <v>10.31733</v>
      </c>
      <c r="CT84" s="52">
        <v>10.31733</v>
      </c>
      <c r="CU84" s="52">
        <v>10.31733</v>
      </c>
      <c r="CV84" s="52">
        <v>10.31733</v>
      </c>
      <c r="CW84" s="52">
        <v>10.31733</v>
      </c>
      <c r="CX84" s="52">
        <v>10.31733</v>
      </c>
      <c r="CY84" s="52">
        <v>10.31733</v>
      </c>
      <c r="CZ84" s="52">
        <v>10.31733</v>
      </c>
      <c r="DA84" s="52">
        <v>10.31733</v>
      </c>
      <c r="DB84" s="52">
        <v>10.31733</v>
      </c>
      <c r="DC84" s="52">
        <v>10.31733</v>
      </c>
      <c r="DD84" s="52">
        <v>10.31733</v>
      </c>
      <c r="DE84" s="52">
        <v>10.31733</v>
      </c>
      <c r="DF84" s="52">
        <v>10.31733</v>
      </c>
      <c r="DG84" s="52">
        <v>10.31733</v>
      </c>
      <c r="DH84" s="52">
        <v>10.31733</v>
      </c>
      <c r="DI84" s="52">
        <v>10.31733</v>
      </c>
      <c r="DJ84" s="52">
        <v>10.31733</v>
      </c>
      <c r="DK84" s="52">
        <v>10.31733</v>
      </c>
      <c r="DL84" s="52">
        <v>10.31733</v>
      </c>
      <c r="DM84" s="52">
        <v>10.31733</v>
      </c>
      <c r="DN84" s="52">
        <v>10.31733</v>
      </c>
      <c r="DO84" s="52">
        <v>10.31733</v>
      </c>
      <c r="DP84" s="52">
        <v>10.31733</v>
      </c>
      <c r="DQ84" s="52">
        <v>10.31733</v>
      </c>
      <c r="DR84" s="52">
        <v>10.31733</v>
      </c>
      <c r="DS84" s="52">
        <v>10.31733</v>
      </c>
      <c r="DT84" s="52">
        <v>10.31733</v>
      </c>
      <c r="DU84" s="52">
        <v>10.31733</v>
      </c>
      <c r="DV84" s="52">
        <v>10.31733</v>
      </c>
      <c r="DW84" s="52">
        <v>10.31733</v>
      </c>
      <c r="DX84" s="52">
        <v>10.31733</v>
      </c>
      <c r="DY84" s="52">
        <v>10.31733</v>
      </c>
      <c r="DZ84" s="52">
        <v>10.31733</v>
      </c>
      <c r="EA84" s="52">
        <v>10.31733</v>
      </c>
      <c r="EB84" s="52">
        <v>10.31733</v>
      </c>
      <c r="EC84" s="52">
        <v>10.31733</v>
      </c>
      <c r="ED84" s="52">
        <v>10.31733</v>
      </c>
      <c r="EE84" s="52">
        <v>10.31733</v>
      </c>
      <c r="EF84" s="52">
        <v>10.31733</v>
      </c>
      <c r="EG84" s="52">
        <v>10.31733</v>
      </c>
      <c r="EH84" s="52">
        <v>10.31733</v>
      </c>
      <c r="EI84" s="52">
        <v>10.31733</v>
      </c>
      <c r="EJ84" s="52">
        <v>10.31733</v>
      </c>
      <c r="EK84" s="52">
        <v>10.31733</v>
      </c>
      <c r="EL84" s="52">
        <v>10.31733</v>
      </c>
      <c r="EM84" s="52">
        <v>10.31733</v>
      </c>
      <c r="EN84" s="52">
        <v>10.31733</v>
      </c>
      <c r="EO84" s="52">
        <v>10.31733</v>
      </c>
      <c r="EP84" s="52">
        <v>10.31733</v>
      </c>
      <c r="EQ84" s="52">
        <v>10.31733</v>
      </c>
      <c r="ER84" s="52">
        <v>10.31733</v>
      </c>
      <c r="ES84" s="52">
        <v>10.31733</v>
      </c>
      <c r="ET84" s="52">
        <v>10.31733</v>
      </c>
      <c r="EU84" s="52">
        <v>10.31733</v>
      </c>
      <c r="EV84" s="52">
        <v>10.31733</v>
      </c>
      <c r="EW84" s="52">
        <v>10.31733</v>
      </c>
      <c r="EX84" s="52">
        <v>10.31733</v>
      </c>
      <c r="EY84" s="52">
        <v>10.31733</v>
      </c>
      <c r="EZ84" s="52">
        <v>10.31733</v>
      </c>
      <c r="FA84" s="52">
        <v>10.31733</v>
      </c>
      <c r="FB84" s="52">
        <v>10.31733</v>
      </c>
      <c r="FC84" s="52">
        <v>10.31733</v>
      </c>
      <c r="FD84" s="52">
        <v>10.31733</v>
      </c>
      <c r="FE84" s="52">
        <v>10.31733</v>
      </c>
      <c r="FF84" s="52">
        <v>10.31733</v>
      </c>
      <c r="FG84" s="52">
        <v>10.31733</v>
      </c>
      <c r="FH84" s="52">
        <v>10.31733</v>
      </c>
      <c r="FI84" s="52">
        <v>10.31733</v>
      </c>
      <c r="FJ84" s="52">
        <v>10.31733</v>
      </c>
      <c r="FK84" s="52">
        <v>10.31733</v>
      </c>
      <c r="FL84" s="52">
        <v>10.31733</v>
      </c>
      <c r="FM84" s="52">
        <v>10.31733</v>
      </c>
      <c r="FN84" s="52">
        <v>10.31733</v>
      </c>
      <c r="FO84" s="52">
        <v>10.31733</v>
      </c>
      <c r="FP84" s="52">
        <v>10.31733</v>
      </c>
      <c r="FQ84" s="52">
        <v>10.31733</v>
      </c>
      <c r="FR84" s="52">
        <v>10.31733</v>
      </c>
      <c r="FS84" s="52">
        <v>10.31733</v>
      </c>
      <c r="FT84" s="52">
        <v>10.31733</v>
      </c>
      <c r="FU84" s="52">
        <v>10.31733</v>
      </c>
      <c r="FV84" s="52">
        <v>10.31733</v>
      </c>
      <c r="FW84" s="52">
        <v>10.31733</v>
      </c>
      <c r="FX84" s="52">
        <v>10.31733</v>
      </c>
      <c r="FY84" s="52">
        <v>10.31733</v>
      </c>
      <c r="FZ84" s="52">
        <v>10.31733</v>
      </c>
      <c r="GA84" s="52">
        <v>10.31733</v>
      </c>
      <c r="GB84" s="52">
        <v>10.31733</v>
      </c>
      <c r="GC84" s="52">
        <v>10.31733</v>
      </c>
      <c r="GD84" s="52">
        <v>10.31733</v>
      </c>
      <c r="GE84" s="52">
        <v>10.31733</v>
      </c>
      <c r="GF84" s="52">
        <v>10.31733</v>
      </c>
      <c r="GG84" s="52">
        <v>10.31733</v>
      </c>
      <c r="GH84" s="52">
        <v>10.31733</v>
      </c>
      <c r="GI84" s="52">
        <v>10.31733</v>
      </c>
      <c r="GJ84" s="52">
        <v>10.31733</v>
      </c>
      <c r="GK84" s="52">
        <v>10.31733</v>
      </c>
      <c r="GL84" s="52">
        <v>10.31733</v>
      </c>
      <c r="GM84" s="52">
        <v>10.31733</v>
      </c>
      <c r="GN84" s="52">
        <v>10.31733</v>
      </c>
      <c r="GO84" s="52">
        <v>10.31733</v>
      </c>
      <c r="GP84" s="52">
        <v>10.31733</v>
      </c>
      <c r="GQ84" s="52">
        <v>10.31733</v>
      </c>
      <c r="GR84" s="52">
        <v>10.31733</v>
      </c>
      <c r="GS84" s="52">
        <v>10.31733</v>
      </c>
      <c r="GT84" s="52">
        <v>10.31733</v>
      </c>
      <c r="GU84" s="52">
        <v>10.31733</v>
      </c>
      <c r="GV84" s="52">
        <v>10.31733</v>
      </c>
      <c r="GW84" s="52">
        <v>10.31733</v>
      </c>
      <c r="GX84" s="52">
        <v>10.31733</v>
      </c>
      <c r="GY84" s="52">
        <v>10.31733</v>
      </c>
      <c r="GZ84" s="52">
        <v>10.31733</v>
      </c>
      <c r="HA84" s="52">
        <v>10.31733</v>
      </c>
      <c r="HB84" s="52">
        <v>10.31733</v>
      </c>
      <c r="HC84" s="52">
        <v>10.31733</v>
      </c>
      <c r="HD84" s="52">
        <v>10.31733</v>
      </c>
      <c r="HE84" s="52">
        <v>10.31733</v>
      </c>
      <c r="HF84" s="52">
        <v>10.31733</v>
      </c>
      <c r="HG84" s="52">
        <v>10.31733</v>
      </c>
      <c r="HH84" s="52">
        <v>10.31733</v>
      </c>
      <c r="HI84" s="52">
        <v>10.31733</v>
      </c>
      <c r="HJ84" s="52">
        <v>10.31733</v>
      </c>
      <c r="HK84" s="52">
        <v>10.31733</v>
      </c>
      <c r="HL84" s="52">
        <v>10.31733</v>
      </c>
      <c r="HM84" s="52">
        <v>10.31733</v>
      </c>
      <c r="HN84" s="52">
        <v>10.31733</v>
      </c>
      <c r="HO84" s="52">
        <v>10.31733</v>
      </c>
      <c r="HP84" s="52">
        <v>10.31733</v>
      </c>
      <c r="HQ84" s="52">
        <v>10.31733</v>
      </c>
      <c r="HR84" s="52">
        <v>10.31733</v>
      </c>
      <c r="HS84" s="52">
        <v>10.31733</v>
      </c>
      <c r="HT84" s="52">
        <v>10.31733</v>
      </c>
      <c r="HU84" s="52">
        <v>10.31733</v>
      </c>
      <c r="HV84" s="52">
        <v>10.31733</v>
      </c>
      <c r="HW84" s="52">
        <v>10.31733</v>
      </c>
      <c r="HX84" s="52">
        <v>10.31733</v>
      </c>
      <c r="HY84" s="52">
        <v>10.31733</v>
      </c>
      <c r="HZ84" s="52">
        <v>10.31733</v>
      </c>
      <c r="IA84" s="52">
        <v>10.31733</v>
      </c>
      <c r="IB84" s="52">
        <v>10.31733</v>
      </c>
      <c r="IC84" s="52">
        <v>10.31733</v>
      </c>
      <c r="ID84" s="52">
        <v>10.31733</v>
      </c>
      <c r="IE84" s="52">
        <v>10.31733</v>
      </c>
      <c r="IF84" s="52">
        <v>10.31733</v>
      </c>
      <c r="IG84" s="52">
        <v>10.31733</v>
      </c>
      <c r="IH84" s="52">
        <v>10.31733</v>
      </c>
      <c r="II84" s="52">
        <v>10.31733</v>
      </c>
      <c r="IJ84" s="52">
        <v>10.31733</v>
      </c>
      <c r="IK84" s="52">
        <v>10.31733</v>
      </c>
      <c r="IL84" s="52">
        <v>10.31733</v>
      </c>
      <c r="IM84" s="52">
        <v>10.31733</v>
      </c>
      <c r="IN84" s="52">
        <v>10.31733</v>
      </c>
      <c r="IO84" s="52">
        <v>10.31733</v>
      </c>
      <c r="IP84" s="52">
        <v>10.31733</v>
      </c>
      <c r="IQ84" s="52">
        <v>10.31733</v>
      </c>
      <c r="IR84" s="52">
        <v>10.31733</v>
      </c>
      <c r="IS84" s="52">
        <v>10.31733</v>
      </c>
      <c r="IT84" s="52">
        <v>10.31733</v>
      </c>
      <c r="IU84" s="52">
        <v>10.31733</v>
      </c>
      <c r="IV84" s="52">
        <v>10.31733</v>
      </c>
      <c r="IW84" s="52">
        <v>10.31733</v>
      </c>
      <c r="IX84" s="52">
        <v>10.31733</v>
      </c>
      <c r="IY84" s="52">
        <v>10.31733</v>
      </c>
      <c r="IZ84" s="52">
        <v>10.31733</v>
      </c>
      <c r="JA84" s="52">
        <v>10.31733</v>
      </c>
      <c r="JB84" s="52">
        <v>10.31733</v>
      </c>
      <c r="JC84" s="52">
        <v>10.31733</v>
      </c>
      <c r="JD84" s="52">
        <v>10.31733</v>
      </c>
      <c r="JE84" s="52">
        <v>10.31733</v>
      </c>
      <c r="JF84" s="52">
        <v>10.31733</v>
      </c>
      <c r="JG84" s="52">
        <v>10.31733</v>
      </c>
      <c r="JH84" s="52">
        <v>10.31733</v>
      </c>
      <c r="JI84" s="52">
        <v>10.31733</v>
      </c>
      <c r="JJ84" s="52">
        <v>10.31733</v>
      </c>
      <c r="JK84" s="52">
        <v>10.31733</v>
      </c>
      <c r="JL84" s="52">
        <v>10.31733</v>
      </c>
      <c r="JM84" s="52">
        <v>10.31733</v>
      </c>
      <c r="JN84" s="52">
        <v>10.31733</v>
      </c>
      <c r="JO84" s="52">
        <v>10.31733</v>
      </c>
      <c r="JP84" s="52">
        <v>10.31733</v>
      </c>
      <c r="JQ84" s="52">
        <v>10.31733</v>
      </c>
      <c r="JR84" s="52">
        <v>10.31733</v>
      </c>
      <c r="JS84" s="52">
        <v>10.31733</v>
      </c>
      <c r="JT84" s="52">
        <v>10.31733</v>
      </c>
      <c r="JU84" s="52">
        <v>10.31733</v>
      </c>
      <c r="JV84" s="52">
        <v>10.31733</v>
      </c>
      <c r="JW84" s="52">
        <v>10.31733</v>
      </c>
      <c r="JX84" s="52">
        <v>10.31733</v>
      </c>
      <c r="JY84" s="52">
        <v>10.31733</v>
      </c>
      <c r="JZ84" s="52">
        <v>10.31733</v>
      </c>
      <c r="KA84" s="52">
        <v>10.31733</v>
      </c>
      <c r="KB84" s="52">
        <v>10.31733</v>
      </c>
      <c r="KC84" s="52">
        <v>10.31733</v>
      </c>
      <c r="KD84" s="52">
        <v>10.31733</v>
      </c>
      <c r="KE84" s="52">
        <v>10.31733</v>
      </c>
      <c r="KF84" s="52">
        <v>10.31733</v>
      </c>
      <c r="KG84" s="52">
        <v>10.31733</v>
      </c>
      <c r="KH84" s="52">
        <v>10.31733</v>
      </c>
      <c r="KI84" s="52">
        <v>10.31733</v>
      </c>
      <c r="KJ84" s="52">
        <v>10.31733</v>
      </c>
      <c r="KK84" s="52">
        <v>10.31733</v>
      </c>
      <c r="KL84" s="52">
        <v>10.31733</v>
      </c>
      <c r="KM84" s="52">
        <v>10.31733</v>
      </c>
      <c r="KN84" s="52">
        <v>10.31733</v>
      </c>
      <c r="KO84" s="52">
        <v>10.31733</v>
      </c>
      <c r="KP84" s="52">
        <v>10.31733</v>
      </c>
      <c r="KQ84" s="52">
        <v>10.31733</v>
      </c>
      <c r="KR84" s="52">
        <v>10.31733</v>
      </c>
      <c r="KS84" s="52">
        <v>10.31733</v>
      </c>
      <c r="KT84" s="52">
        <v>10.31733</v>
      </c>
      <c r="KU84" s="52">
        <v>10.31733</v>
      </c>
      <c r="KV84" s="52">
        <v>10.31733</v>
      </c>
      <c r="KW84" s="52">
        <v>10.31733</v>
      </c>
      <c r="KX84" s="52">
        <v>10.31733</v>
      </c>
      <c r="KY84" s="52">
        <v>10.31733</v>
      </c>
      <c r="KZ84" s="52">
        <v>10.31733</v>
      </c>
      <c r="LA84" s="52">
        <v>10.31733</v>
      </c>
      <c r="LB84" s="52">
        <v>10.31733</v>
      </c>
      <c r="LC84" s="52">
        <v>10.31733</v>
      </c>
      <c r="LD84" s="52">
        <v>10.31733</v>
      </c>
      <c r="LE84" s="52">
        <v>10.31733</v>
      </c>
      <c r="LF84" s="52">
        <v>10.31733</v>
      </c>
      <c r="LG84" s="52">
        <v>10.31733</v>
      </c>
      <c r="LH84" s="52">
        <v>10.31733</v>
      </c>
      <c r="LI84" s="52">
        <v>10.31733</v>
      </c>
      <c r="LJ84" s="52">
        <v>10.31733</v>
      </c>
      <c r="LK84" s="52">
        <v>10.31733</v>
      </c>
      <c r="LL84" s="52">
        <v>10.31733</v>
      </c>
      <c r="LM84" s="52">
        <v>10.31733</v>
      </c>
      <c r="LN84" s="52">
        <v>10.31733</v>
      </c>
      <c r="LO84" s="52">
        <v>10.31733</v>
      </c>
      <c r="LP84" s="52">
        <v>10.31733</v>
      </c>
      <c r="LQ84" s="52">
        <v>10.31733</v>
      </c>
      <c r="LR84" s="52">
        <v>10.31733</v>
      </c>
      <c r="LS84" s="52">
        <v>10.31733</v>
      </c>
      <c r="LT84" s="52">
        <v>10.31733</v>
      </c>
      <c r="LU84" s="52">
        <v>10.31733</v>
      </c>
      <c r="LV84" s="52">
        <v>10.31733</v>
      </c>
      <c r="LW84" s="52">
        <v>10.31733</v>
      </c>
      <c r="LX84" s="52">
        <v>10.31733</v>
      </c>
      <c r="LY84" s="52">
        <v>10.31733</v>
      </c>
      <c r="LZ84" s="52">
        <v>10.31733</v>
      </c>
      <c r="MA84" s="52">
        <v>10.31733</v>
      </c>
      <c r="MB84" s="52">
        <v>10.31733</v>
      </c>
      <c r="MC84" s="52">
        <v>10.31733</v>
      </c>
      <c r="MD84" s="52">
        <v>10.31733</v>
      </c>
      <c r="ME84" s="52">
        <v>10.31733</v>
      </c>
      <c r="MF84" s="52">
        <v>10.31733</v>
      </c>
      <c r="MG84" s="52">
        <v>10.31733</v>
      </c>
      <c r="MH84" s="52">
        <v>10.31733</v>
      </c>
      <c r="MI84" s="52">
        <v>10.31733</v>
      </c>
      <c r="MJ84" s="52">
        <v>10.31733</v>
      </c>
      <c r="MK84" s="52">
        <v>10.31733</v>
      </c>
      <c r="ML84" s="52">
        <v>10.31733</v>
      </c>
      <c r="MM84" s="52">
        <v>10.31733</v>
      </c>
      <c r="MN84" s="52">
        <v>10.31733</v>
      </c>
      <c r="MO84" s="52">
        <v>10.31733</v>
      </c>
      <c r="MP84" s="52">
        <v>10.31733</v>
      </c>
      <c r="MQ84" s="52">
        <v>10.31733</v>
      </c>
      <c r="MR84" s="52">
        <v>10.31733</v>
      </c>
      <c r="MS84" s="52">
        <v>10.31733</v>
      </c>
      <c r="MT84" s="52">
        <v>10.31733</v>
      </c>
      <c r="MU84" s="52">
        <v>10.31733</v>
      </c>
      <c r="MV84" s="52">
        <v>10.31733</v>
      </c>
      <c r="MW84" s="52">
        <v>10.31733</v>
      </c>
      <c r="MX84" s="52">
        <v>10.31733</v>
      </c>
      <c r="MY84" s="52">
        <v>10.31733</v>
      </c>
      <c r="MZ84" s="52">
        <v>10.31733</v>
      </c>
      <c r="NA84" s="52">
        <v>10.31733</v>
      </c>
      <c r="NB84" s="52">
        <v>10.31733</v>
      </c>
      <c r="NC84" s="52">
        <v>10.31733</v>
      </c>
      <c r="ND84" s="52">
        <v>10.31733</v>
      </c>
      <c r="NE84" s="52">
        <v>10.31733</v>
      </c>
      <c r="NF84" s="52">
        <v>10.31733</v>
      </c>
      <c r="NG84" s="52">
        <v>10.31733</v>
      </c>
      <c r="NH84" s="37">
        <v>10.31733</v>
      </c>
      <c r="NI84" s="37">
        <v>10.31733</v>
      </c>
      <c r="NJ84" s="37">
        <v>10.31733</v>
      </c>
      <c r="NK84" s="37">
        <v>10.31733</v>
      </c>
      <c r="NL84" s="37">
        <v>10.31733</v>
      </c>
      <c r="NM84" s="37">
        <v>10.31733</v>
      </c>
      <c r="NN84" s="37">
        <v>10.31733</v>
      </c>
      <c r="NO84" s="37">
        <v>10.31733</v>
      </c>
      <c r="NP84" s="37">
        <v>10.31733</v>
      </c>
      <c r="NQ84" s="37">
        <v>10.31733</v>
      </c>
      <c r="NR84" s="37">
        <v>10.31733</v>
      </c>
      <c r="NS84" s="37">
        <v>10.31733</v>
      </c>
      <c r="NT84" s="37">
        <v>10.31733</v>
      </c>
      <c r="NU84" s="37">
        <v>10.31733</v>
      </c>
      <c r="NV84" s="37">
        <v>10.31733</v>
      </c>
      <c r="NW84" s="37">
        <v>10.31733</v>
      </c>
      <c r="NX84" s="37">
        <v>10.31733</v>
      </c>
      <c r="NY84" s="37">
        <v>10.31733</v>
      </c>
      <c r="NZ84" s="37">
        <v>10.31733</v>
      </c>
      <c r="OA84" s="37">
        <v>10.31733</v>
      </c>
      <c r="OB84" s="37">
        <v>10.31733</v>
      </c>
      <c r="OC84" s="37">
        <v>10.31733</v>
      </c>
      <c r="OD84" s="37">
        <v>10.31733</v>
      </c>
      <c r="OE84" s="37">
        <v>10.31733</v>
      </c>
      <c r="OF84" s="37">
        <v>10.31733</v>
      </c>
      <c r="OG84" s="37">
        <v>10.31733</v>
      </c>
      <c r="OH84" s="37">
        <v>10.31733</v>
      </c>
      <c r="OI84" s="37">
        <v>10.31733</v>
      </c>
      <c r="OJ84" s="37">
        <v>10.31733</v>
      </c>
      <c r="OK84" s="37">
        <v>10.31733</v>
      </c>
      <c r="OL84" s="37">
        <v>10.31733</v>
      </c>
      <c r="OM84" s="37">
        <v>10.31733</v>
      </c>
      <c r="ON84" s="37">
        <v>10.31733</v>
      </c>
      <c r="OO84" s="37">
        <v>10.31733</v>
      </c>
      <c r="OP84" s="37">
        <v>10.31733</v>
      </c>
      <c r="OQ84" s="37">
        <v>10.31733</v>
      </c>
      <c r="OR84" s="37">
        <v>10.31733</v>
      </c>
      <c r="OS84" s="37">
        <v>10.31733</v>
      </c>
      <c r="OT84" s="37">
        <v>10.31733</v>
      </c>
      <c r="OU84" s="37">
        <v>10.31733</v>
      </c>
      <c r="OV84" s="37">
        <v>10.31733</v>
      </c>
      <c r="OW84" s="37">
        <v>10.31733</v>
      </c>
      <c r="OX84" s="37">
        <v>10.31733</v>
      </c>
      <c r="OY84" s="37">
        <v>10.31733</v>
      </c>
      <c r="OZ84" s="37">
        <v>10.31733</v>
      </c>
      <c r="PA84" s="37">
        <v>10.31733</v>
      </c>
      <c r="PB84" s="37">
        <v>10.31733</v>
      </c>
      <c r="PC84" s="37">
        <v>10.31733</v>
      </c>
      <c r="PD84" s="37">
        <v>10.31733</v>
      </c>
      <c r="PE84" s="37">
        <v>10.31733</v>
      </c>
      <c r="PF84" s="37">
        <v>10.31733</v>
      </c>
      <c r="PG84" s="37">
        <v>10.31733</v>
      </c>
      <c r="PH84" s="37">
        <v>10.31733</v>
      </c>
      <c r="PI84" s="37">
        <v>10.31733</v>
      </c>
      <c r="PJ84" s="37">
        <v>10.31733</v>
      </c>
      <c r="PK84" s="37">
        <v>10.31733</v>
      </c>
      <c r="PL84" s="37">
        <v>10.31733</v>
      </c>
      <c r="PM84" s="37">
        <v>10.31733</v>
      </c>
      <c r="PN84" s="37">
        <v>10.31733</v>
      </c>
      <c r="PO84" s="37">
        <v>10.31733</v>
      </c>
      <c r="PP84" s="37">
        <v>10.31733</v>
      </c>
      <c r="PQ84" s="37">
        <v>10.31733</v>
      </c>
      <c r="PR84" s="37">
        <v>10.31733</v>
      </c>
      <c r="PS84" s="15">
        <v>10.31733</v>
      </c>
      <c r="PT84" s="15">
        <v>10.31733</v>
      </c>
      <c r="PU84" s="15">
        <v>10.31733</v>
      </c>
      <c r="PV84" s="15">
        <v>10.31733</v>
      </c>
      <c r="PW84" s="15">
        <v>10.31733</v>
      </c>
      <c r="PX84" s="15">
        <v>10.31733</v>
      </c>
      <c r="PY84" s="15">
        <v>10.31733</v>
      </c>
      <c r="PZ84" s="15">
        <v>10.31733</v>
      </c>
      <c r="QA84" s="15">
        <v>10.31733</v>
      </c>
      <c r="QB84" s="15">
        <v>10.31733</v>
      </c>
      <c r="QC84" s="15">
        <v>10.31733</v>
      </c>
      <c r="QD84" s="15">
        <v>10.31733</v>
      </c>
      <c r="QE84" s="15">
        <v>10.31733</v>
      </c>
      <c r="QF84" s="15">
        <v>10.31733</v>
      </c>
      <c r="QG84" s="15">
        <v>10.31733</v>
      </c>
      <c r="QH84" s="15">
        <v>10.31733</v>
      </c>
      <c r="QI84" s="15">
        <v>10.31733</v>
      </c>
      <c r="QJ84" s="15">
        <v>10.31733</v>
      </c>
      <c r="QK84" s="15">
        <v>10.31733</v>
      </c>
      <c r="QL84" s="15">
        <v>10.31733</v>
      </c>
      <c r="QM84" s="15">
        <v>10.31733</v>
      </c>
      <c r="QN84" s="15">
        <v>10.31733</v>
      </c>
      <c r="QO84" s="15">
        <v>10.31733</v>
      </c>
      <c r="QP84" s="15">
        <v>10.31733</v>
      </c>
      <c r="QQ84" s="15">
        <v>10.31733</v>
      </c>
      <c r="QR84" s="15">
        <v>10.31733</v>
      </c>
      <c r="QS84" s="15">
        <v>10.31733</v>
      </c>
      <c r="QT84" s="15">
        <v>10.31733</v>
      </c>
      <c r="QU84" s="15">
        <v>10.31733</v>
      </c>
      <c r="QV84" s="15">
        <v>10.31733</v>
      </c>
      <c r="QW84" s="15">
        <v>10.31733</v>
      </c>
      <c r="QX84" s="15">
        <v>10.31733</v>
      </c>
      <c r="QY84" s="15">
        <v>10.31733</v>
      </c>
      <c r="QZ84" s="15">
        <v>10.31733</v>
      </c>
      <c r="RA84" s="15">
        <v>10.31733</v>
      </c>
      <c r="RB84" s="15">
        <v>10.31733</v>
      </c>
      <c r="RC84" s="15">
        <v>10.31733</v>
      </c>
      <c r="RD84" s="15">
        <v>9.6004799999999992</v>
      </c>
      <c r="RE84" s="15" t="s">
        <v>668</v>
      </c>
      <c r="RF84" s="15" t="s">
        <v>668</v>
      </c>
      <c r="RG84" s="15" t="s">
        <v>668</v>
      </c>
      <c r="RH84" s="15" t="s">
        <v>668</v>
      </c>
      <c r="RI84" s="15" t="s">
        <v>668</v>
      </c>
      <c r="RJ84" s="15" t="s">
        <v>668</v>
      </c>
      <c r="RK84" s="15" t="s">
        <v>668</v>
      </c>
      <c r="RL84" s="15" t="s">
        <v>668</v>
      </c>
      <c r="RM84" s="15" t="s">
        <v>668</v>
      </c>
      <c r="RN84" s="15" t="s">
        <v>668</v>
      </c>
      <c r="RO84" s="15" t="s">
        <v>668</v>
      </c>
      <c r="RP84" s="15" t="s">
        <v>668</v>
      </c>
      <c r="RQ84" s="15" t="s">
        <v>668</v>
      </c>
      <c r="RR84" s="15" t="s">
        <v>668</v>
      </c>
      <c r="RS84" s="15" t="s">
        <v>668</v>
      </c>
      <c r="RT84" s="15" t="s">
        <v>668</v>
      </c>
      <c r="RU84" s="15" t="s">
        <v>668</v>
      </c>
      <c r="RV84" s="15" t="s">
        <v>668</v>
      </c>
      <c r="RW84" s="15" t="s">
        <v>668</v>
      </c>
      <c r="RX84" s="15" t="s">
        <v>668</v>
      </c>
      <c r="RY84" s="15" t="s">
        <v>668</v>
      </c>
      <c r="RZ84" s="15" t="s">
        <v>668</v>
      </c>
      <c r="SA84" s="15" t="s">
        <v>668</v>
      </c>
      <c r="SB84" s="15" t="s">
        <v>668</v>
      </c>
      <c r="SC84" s="15" t="s">
        <v>668</v>
      </c>
      <c r="SD84" s="15" t="s">
        <v>668</v>
      </c>
      <c r="SE84" s="15" t="s">
        <v>668</v>
      </c>
      <c r="SF84" s="15" t="s">
        <v>668</v>
      </c>
      <c r="SG84" s="15" t="s">
        <v>668</v>
      </c>
      <c r="SH84" s="15" t="s">
        <v>668</v>
      </c>
      <c r="SI84" s="15" t="s">
        <v>668</v>
      </c>
      <c r="SJ84" s="15" t="s">
        <v>668</v>
      </c>
      <c r="SK84" s="15" t="s">
        <v>668</v>
      </c>
      <c r="SL84" s="15" t="s">
        <v>668</v>
      </c>
      <c r="SM84" s="15" t="s">
        <v>668</v>
      </c>
      <c r="SN84" s="15" t="s">
        <v>668</v>
      </c>
      <c r="SO84" s="15" t="s">
        <v>668</v>
      </c>
    </row>
    <row r="85" spans="1:510" x14ac:dyDescent="0.2">
      <c r="A85" s="37">
        <v>83</v>
      </c>
      <c r="B85" s="37" t="s">
        <v>905</v>
      </c>
      <c r="C85" s="17">
        <f>+'Detalle Compras'!D85</f>
        <v>202509260120</v>
      </c>
      <c r="D85" s="55">
        <f t="shared" si="16"/>
        <v>11.68113</v>
      </c>
      <c r="E85" s="14">
        <f>+IF(B85="","",'Detalle Compras'!S85+0)</f>
        <v>45971</v>
      </c>
      <c r="F85" s="14">
        <f>+IF(B85="","",EOMONTH('Detalle Compras'!S85,G85)+10)</f>
        <v>56958</v>
      </c>
      <c r="G85" s="50">
        <f t="shared" si="17"/>
        <v>360</v>
      </c>
      <c r="H85" s="50">
        <f>+COUNT(AF85:ADF85)</f>
        <v>357</v>
      </c>
      <c r="K85" s="52"/>
      <c r="L85" s="52"/>
      <c r="M85" s="52"/>
      <c r="N85" s="52"/>
      <c r="O85" s="52"/>
      <c r="P85" s="52"/>
      <c r="Q85" s="52"/>
      <c r="R85" s="52"/>
      <c r="S85" s="52"/>
      <c r="T85" s="52"/>
      <c r="U85" s="52"/>
      <c r="V85" s="52"/>
      <c r="W85" s="52"/>
      <c r="X85" s="52"/>
      <c r="Y85" s="52"/>
      <c r="Z85" s="52"/>
      <c r="AA85" s="52"/>
      <c r="AB85" s="52"/>
      <c r="AC85" s="52">
        <v>11.68113</v>
      </c>
      <c r="AD85" s="52">
        <v>11.68113</v>
      </c>
      <c r="AE85" s="52">
        <v>11.68113</v>
      </c>
      <c r="AF85" s="52">
        <v>11.68113</v>
      </c>
      <c r="AG85" s="52">
        <v>11.68113</v>
      </c>
      <c r="AH85" s="52">
        <v>11.68113</v>
      </c>
      <c r="AI85" s="52">
        <v>11.68113</v>
      </c>
      <c r="AJ85" s="52">
        <v>11.68113</v>
      </c>
      <c r="AK85" s="52">
        <v>11.68113</v>
      </c>
      <c r="AL85" s="52">
        <v>11.68113</v>
      </c>
      <c r="AM85" s="52">
        <v>11.68113</v>
      </c>
      <c r="AN85" s="52">
        <v>11.68113</v>
      </c>
      <c r="AO85" s="52">
        <v>11.68113</v>
      </c>
      <c r="AP85" s="52">
        <v>11.68113</v>
      </c>
      <c r="AQ85" s="52">
        <v>11.68113</v>
      </c>
      <c r="AR85" s="52">
        <v>11.68113</v>
      </c>
      <c r="AS85" s="52">
        <v>11.68113</v>
      </c>
      <c r="AT85" s="52">
        <v>11.68113</v>
      </c>
      <c r="AU85" s="52">
        <v>11.68113</v>
      </c>
      <c r="AV85" s="52">
        <v>11.68113</v>
      </c>
      <c r="AW85" s="52">
        <v>11.68113</v>
      </c>
      <c r="AX85" s="52">
        <v>11.68113</v>
      </c>
      <c r="AY85" s="52">
        <v>11.68113</v>
      </c>
      <c r="AZ85" s="52">
        <v>11.68113</v>
      </c>
      <c r="BA85" s="52">
        <v>11.68113</v>
      </c>
      <c r="BB85" s="52">
        <v>11.68113</v>
      </c>
      <c r="BC85" s="52">
        <v>11.68113</v>
      </c>
      <c r="BD85" s="52">
        <v>11.68113</v>
      </c>
      <c r="BE85" s="52">
        <v>11.68113</v>
      </c>
      <c r="BF85" s="52">
        <v>11.68113</v>
      </c>
      <c r="BG85" s="52">
        <v>11.68113</v>
      </c>
      <c r="BH85" s="52">
        <v>11.68113</v>
      </c>
      <c r="BI85" s="52">
        <v>11.68113</v>
      </c>
      <c r="BJ85" s="52">
        <v>11.68113</v>
      </c>
      <c r="BK85" s="52">
        <v>11.68113</v>
      </c>
      <c r="BL85" s="52">
        <v>11.68113</v>
      </c>
      <c r="BM85" s="52">
        <v>11.68113</v>
      </c>
      <c r="BN85" s="52">
        <v>11.68113</v>
      </c>
      <c r="BO85" s="52">
        <v>11.68113</v>
      </c>
      <c r="BP85" s="52">
        <v>11.68113</v>
      </c>
      <c r="BQ85" s="52">
        <v>11.68113</v>
      </c>
      <c r="BR85" s="52">
        <v>11.68113</v>
      </c>
      <c r="BS85" s="52">
        <v>11.68113</v>
      </c>
      <c r="BT85" s="52">
        <v>11.68113</v>
      </c>
      <c r="BU85" s="52">
        <v>11.68113</v>
      </c>
      <c r="BV85" s="52">
        <v>11.68113</v>
      </c>
      <c r="BW85" s="52">
        <v>11.68113</v>
      </c>
      <c r="BX85" s="52">
        <v>11.68113</v>
      </c>
      <c r="BY85" s="52">
        <v>11.68113</v>
      </c>
      <c r="BZ85" s="52">
        <v>11.68113</v>
      </c>
      <c r="CA85" s="52">
        <v>11.68113</v>
      </c>
      <c r="CB85" s="52">
        <v>11.68113</v>
      </c>
      <c r="CC85" s="52">
        <v>11.68113</v>
      </c>
      <c r="CD85" s="52">
        <v>11.68113</v>
      </c>
      <c r="CE85" s="52">
        <v>11.68113</v>
      </c>
      <c r="CF85" s="52">
        <v>11.68113</v>
      </c>
      <c r="CG85" s="52">
        <v>11.68113</v>
      </c>
      <c r="CH85" s="52">
        <v>11.68113</v>
      </c>
      <c r="CI85" s="52">
        <v>11.68113</v>
      </c>
      <c r="CJ85" s="52">
        <v>11.68113</v>
      </c>
      <c r="CK85" s="52">
        <v>11.68113</v>
      </c>
      <c r="CL85" s="52">
        <v>11.68113</v>
      </c>
      <c r="CM85" s="52">
        <v>11.68113</v>
      </c>
      <c r="CN85" s="52">
        <v>11.68113</v>
      </c>
      <c r="CO85" s="52">
        <v>11.68113</v>
      </c>
      <c r="CP85" s="52">
        <v>11.68113</v>
      </c>
      <c r="CQ85" s="52">
        <v>11.68113</v>
      </c>
      <c r="CR85" s="52">
        <v>11.68113</v>
      </c>
      <c r="CS85" s="52">
        <v>11.68113</v>
      </c>
      <c r="CT85" s="52">
        <v>11.68113</v>
      </c>
      <c r="CU85" s="52">
        <v>11.68113</v>
      </c>
      <c r="CV85" s="52">
        <v>11.68113</v>
      </c>
      <c r="CW85" s="52">
        <v>11.68113</v>
      </c>
      <c r="CX85" s="52">
        <v>11.68113</v>
      </c>
      <c r="CY85" s="52">
        <v>11.68113</v>
      </c>
      <c r="CZ85" s="52">
        <v>11.68113</v>
      </c>
      <c r="DA85" s="52">
        <v>11.68113</v>
      </c>
      <c r="DB85" s="52">
        <v>11.68113</v>
      </c>
      <c r="DC85" s="52">
        <v>11.68113</v>
      </c>
      <c r="DD85" s="52">
        <v>11.68113</v>
      </c>
      <c r="DE85" s="52">
        <v>11.68113</v>
      </c>
      <c r="DF85" s="52">
        <v>11.68113</v>
      </c>
      <c r="DG85" s="52">
        <v>11.68113</v>
      </c>
      <c r="DH85" s="52">
        <v>11.68113</v>
      </c>
      <c r="DI85" s="52">
        <v>11.68113</v>
      </c>
      <c r="DJ85" s="52">
        <v>11.68113</v>
      </c>
      <c r="DK85" s="52">
        <v>11.68113</v>
      </c>
      <c r="DL85" s="52">
        <v>11.68113</v>
      </c>
      <c r="DM85" s="52">
        <v>11.68113</v>
      </c>
      <c r="DN85" s="52">
        <v>11.68113</v>
      </c>
      <c r="DO85" s="52">
        <v>11.68113</v>
      </c>
      <c r="DP85" s="52">
        <v>11.68113</v>
      </c>
      <c r="DQ85" s="52">
        <v>11.68113</v>
      </c>
      <c r="DR85" s="52">
        <v>11.68113</v>
      </c>
      <c r="DS85" s="52">
        <v>11.68113</v>
      </c>
      <c r="DT85" s="52">
        <v>11.68113</v>
      </c>
      <c r="DU85" s="52">
        <v>11.68113</v>
      </c>
      <c r="DV85" s="52">
        <v>11.68113</v>
      </c>
      <c r="DW85" s="52">
        <v>11.68113</v>
      </c>
      <c r="DX85" s="52">
        <v>11.68113</v>
      </c>
      <c r="DY85" s="52">
        <v>11.68113</v>
      </c>
      <c r="DZ85" s="52">
        <v>11.68113</v>
      </c>
      <c r="EA85" s="52">
        <v>11.68113</v>
      </c>
      <c r="EB85" s="52">
        <v>11.68113</v>
      </c>
      <c r="EC85" s="52">
        <v>11.68113</v>
      </c>
      <c r="ED85" s="52">
        <v>11.68113</v>
      </c>
      <c r="EE85" s="52">
        <v>11.68113</v>
      </c>
      <c r="EF85" s="52">
        <v>11.68113</v>
      </c>
      <c r="EG85" s="52">
        <v>11.68113</v>
      </c>
      <c r="EH85" s="52">
        <v>11.68113</v>
      </c>
      <c r="EI85" s="52">
        <v>11.68113</v>
      </c>
      <c r="EJ85" s="52">
        <v>11.68113</v>
      </c>
      <c r="EK85" s="52">
        <v>11.68113</v>
      </c>
      <c r="EL85" s="52">
        <v>11.68113</v>
      </c>
      <c r="EM85" s="52">
        <v>11.68113</v>
      </c>
      <c r="EN85" s="52">
        <v>11.68113</v>
      </c>
      <c r="EO85" s="52">
        <v>11.68113</v>
      </c>
      <c r="EP85" s="52">
        <v>11.68113</v>
      </c>
      <c r="EQ85" s="52">
        <v>11.68113</v>
      </c>
      <c r="ER85" s="52">
        <v>11.68113</v>
      </c>
      <c r="ES85" s="52">
        <v>11.68113</v>
      </c>
      <c r="ET85" s="52">
        <v>11.68113</v>
      </c>
      <c r="EU85" s="52">
        <v>11.68113</v>
      </c>
      <c r="EV85" s="52">
        <v>11.68113</v>
      </c>
      <c r="EW85" s="52">
        <v>11.68113</v>
      </c>
      <c r="EX85" s="52">
        <v>11.68113</v>
      </c>
      <c r="EY85" s="52">
        <v>11.68113</v>
      </c>
      <c r="EZ85" s="52">
        <v>11.68113</v>
      </c>
      <c r="FA85" s="52">
        <v>11.68113</v>
      </c>
      <c r="FB85" s="52">
        <v>11.68113</v>
      </c>
      <c r="FC85" s="52">
        <v>11.68113</v>
      </c>
      <c r="FD85" s="52">
        <v>11.68113</v>
      </c>
      <c r="FE85" s="52">
        <v>11.68113</v>
      </c>
      <c r="FF85" s="52">
        <v>11.68113</v>
      </c>
      <c r="FG85" s="52">
        <v>11.68113</v>
      </c>
      <c r="FH85" s="52">
        <v>11.68113</v>
      </c>
      <c r="FI85" s="52">
        <v>11.68113</v>
      </c>
      <c r="FJ85" s="52">
        <v>11.68113</v>
      </c>
      <c r="FK85" s="52">
        <v>11.68113</v>
      </c>
      <c r="FL85" s="52">
        <v>11.68113</v>
      </c>
      <c r="FM85" s="52">
        <v>11.68113</v>
      </c>
      <c r="FN85" s="52">
        <v>11.68113</v>
      </c>
      <c r="FO85" s="52">
        <v>11.68113</v>
      </c>
      <c r="FP85" s="52">
        <v>11.68113</v>
      </c>
      <c r="FQ85" s="52">
        <v>11.68113</v>
      </c>
      <c r="FR85" s="52">
        <v>11.68113</v>
      </c>
      <c r="FS85" s="52">
        <v>11.68113</v>
      </c>
      <c r="FT85" s="52">
        <v>11.68113</v>
      </c>
      <c r="FU85" s="52">
        <v>11.68113</v>
      </c>
      <c r="FV85" s="52">
        <v>11.68113</v>
      </c>
      <c r="FW85" s="52">
        <v>11.68113</v>
      </c>
      <c r="FX85" s="52">
        <v>11.68113</v>
      </c>
      <c r="FY85" s="52">
        <v>11.68113</v>
      </c>
      <c r="FZ85" s="52">
        <v>11.68113</v>
      </c>
      <c r="GA85" s="52">
        <v>11.68113</v>
      </c>
      <c r="GB85" s="52">
        <v>11.68113</v>
      </c>
      <c r="GC85" s="52">
        <v>11.68113</v>
      </c>
      <c r="GD85" s="52">
        <v>11.68113</v>
      </c>
      <c r="GE85" s="52">
        <v>11.68113</v>
      </c>
      <c r="GF85" s="52">
        <v>11.68113</v>
      </c>
      <c r="GG85" s="52">
        <v>11.68113</v>
      </c>
      <c r="GH85" s="52">
        <v>11.68113</v>
      </c>
      <c r="GI85" s="52">
        <v>11.68113</v>
      </c>
      <c r="GJ85" s="52">
        <v>11.68113</v>
      </c>
      <c r="GK85" s="52">
        <v>11.68113</v>
      </c>
      <c r="GL85" s="52">
        <v>11.68113</v>
      </c>
      <c r="GM85" s="52">
        <v>11.68113</v>
      </c>
      <c r="GN85" s="52">
        <v>11.68113</v>
      </c>
      <c r="GO85" s="52">
        <v>11.68113</v>
      </c>
      <c r="GP85" s="52">
        <v>11.68113</v>
      </c>
      <c r="GQ85" s="52">
        <v>11.68113</v>
      </c>
      <c r="GR85" s="52">
        <v>11.68113</v>
      </c>
      <c r="GS85" s="52">
        <v>11.68113</v>
      </c>
      <c r="GT85" s="52">
        <v>11.68113</v>
      </c>
      <c r="GU85" s="52">
        <v>11.68113</v>
      </c>
      <c r="GV85" s="52">
        <v>11.68113</v>
      </c>
      <c r="GW85" s="52">
        <v>11.68113</v>
      </c>
      <c r="GX85" s="52">
        <v>11.68113</v>
      </c>
      <c r="GY85" s="52">
        <v>11.68113</v>
      </c>
      <c r="GZ85" s="52">
        <v>11.68113</v>
      </c>
      <c r="HA85" s="52">
        <v>11.68113</v>
      </c>
      <c r="HB85" s="52">
        <v>11.68113</v>
      </c>
      <c r="HC85" s="52">
        <v>11.68113</v>
      </c>
      <c r="HD85" s="52">
        <v>11.68113</v>
      </c>
      <c r="HE85" s="52">
        <v>11.68113</v>
      </c>
      <c r="HF85" s="52">
        <v>11.68113</v>
      </c>
      <c r="HG85" s="52">
        <v>11.68113</v>
      </c>
      <c r="HH85" s="52">
        <v>11.68113</v>
      </c>
      <c r="HI85" s="52">
        <v>11.68113</v>
      </c>
      <c r="HJ85" s="52">
        <v>11.68113</v>
      </c>
      <c r="HK85" s="52">
        <v>11.68113</v>
      </c>
      <c r="HL85" s="52">
        <v>11.68113</v>
      </c>
      <c r="HM85" s="52">
        <v>11.68113</v>
      </c>
      <c r="HN85" s="52">
        <v>11.68113</v>
      </c>
      <c r="HO85" s="52">
        <v>11.68113</v>
      </c>
      <c r="HP85" s="52">
        <v>11.68113</v>
      </c>
      <c r="HQ85" s="52">
        <v>11.68113</v>
      </c>
      <c r="HR85" s="52">
        <v>11.68113</v>
      </c>
      <c r="HS85" s="52">
        <v>11.68113</v>
      </c>
      <c r="HT85" s="52">
        <v>11.68113</v>
      </c>
      <c r="HU85" s="52">
        <v>11.68113</v>
      </c>
      <c r="HV85" s="52">
        <v>11.68113</v>
      </c>
      <c r="HW85" s="52">
        <v>11.68113</v>
      </c>
      <c r="HX85" s="52">
        <v>11.68113</v>
      </c>
      <c r="HY85" s="52">
        <v>11.68113</v>
      </c>
      <c r="HZ85" s="52">
        <v>11.68113</v>
      </c>
      <c r="IA85" s="52">
        <v>11.68113</v>
      </c>
      <c r="IB85" s="52">
        <v>11.68113</v>
      </c>
      <c r="IC85" s="52">
        <v>11.68113</v>
      </c>
      <c r="ID85" s="52">
        <v>11.68113</v>
      </c>
      <c r="IE85" s="52">
        <v>11.68113</v>
      </c>
      <c r="IF85" s="52">
        <v>11.68113</v>
      </c>
      <c r="IG85" s="52">
        <v>11.68113</v>
      </c>
      <c r="IH85" s="52">
        <v>11.68113</v>
      </c>
      <c r="II85" s="52">
        <v>11.68113</v>
      </c>
      <c r="IJ85" s="52">
        <v>11.68113</v>
      </c>
      <c r="IK85" s="52">
        <v>11.68113</v>
      </c>
      <c r="IL85" s="52">
        <v>11.68113</v>
      </c>
      <c r="IM85" s="52">
        <v>11.68113</v>
      </c>
      <c r="IN85" s="52">
        <v>11.68113</v>
      </c>
      <c r="IO85" s="52">
        <v>11.68113</v>
      </c>
      <c r="IP85" s="52">
        <v>11.68113</v>
      </c>
      <c r="IQ85" s="52">
        <v>11.68113</v>
      </c>
      <c r="IR85" s="52">
        <v>11.68113</v>
      </c>
      <c r="IS85" s="52">
        <v>11.68113</v>
      </c>
      <c r="IT85" s="52">
        <v>11.68113</v>
      </c>
      <c r="IU85" s="52">
        <v>11.68113</v>
      </c>
      <c r="IV85" s="52">
        <v>11.68113</v>
      </c>
      <c r="IW85" s="52">
        <v>11.68113</v>
      </c>
      <c r="IX85" s="52">
        <v>11.68113</v>
      </c>
      <c r="IY85" s="52">
        <v>11.68113</v>
      </c>
      <c r="IZ85" s="52">
        <v>11.68113</v>
      </c>
      <c r="JA85" s="52">
        <v>11.68113</v>
      </c>
      <c r="JB85" s="52">
        <v>11.68113</v>
      </c>
      <c r="JC85" s="52">
        <v>11.68113</v>
      </c>
      <c r="JD85" s="52">
        <v>11.68113</v>
      </c>
      <c r="JE85" s="52">
        <v>11.68113</v>
      </c>
      <c r="JF85" s="52">
        <v>11.68113</v>
      </c>
      <c r="JG85" s="52">
        <v>11.68113</v>
      </c>
      <c r="JH85" s="52">
        <v>11.68113</v>
      </c>
      <c r="JI85" s="52">
        <v>11.68113</v>
      </c>
      <c r="JJ85" s="52">
        <v>11.68113</v>
      </c>
      <c r="JK85" s="52">
        <v>11.68113</v>
      </c>
      <c r="JL85" s="52">
        <v>11.68113</v>
      </c>
      <c r="JM85" s="52">
        <v>11.68113</v>
      </c>
      <c r="JN85" s="52">
        <v>11.68113</v>
      </c>
      <c r="JO85" s="52">
        <v>11.68113</v>
      </c>
      <c r="JP85" s="52">
        <v>11.68113</v>
      </c>
      <c r="JQ85" s="52">
        <v>11.68113</v>
      </c>
      <c r="JR85" s="52">
        <v>11.68113</v>
      </c>
      <c r="JS85" s="52">
        <v>11.68113</v>
      </c>
      <c r="JT85" s="52">
        <v>11.68113</v>
      </c>
      <c r="JU85" s="52">
        <v>11.68113</v>
      </c>
      <c r="JV85" s="52">
        <v>11.68113</v>
      </c>
      <c r="JW85" s="52">
        <v>11.68113</v>
      </c>
      <c r="JX85" s="52">
        <v>11.68113</v>
      </c>
      <c r="JY85" s="52">
        <v>11.68113</v>
      </c>
      <c r="JZ85" s="52">
        <v>11.68113</v>
      </c>
      <c r="KA85" s="52">
        <v>11.68113</v>
      </c>
      <c r="KB85" s="52">
        <v>11.68113</v>
      </c>
      <c r="KC85" s="52">
        <v>11.68113</v>
      </c>
      <c r="KD85" s="52">
        <v>11.68113</v>
      </c>
      <c r="KE85" s="52">
        <v>11.68113</v>
      </c>
      <c r="KF85" s="52">
        <v>11.68113</v>
      </c>
      <c r="KG85" s="52">
        <v>11.68113</v>
      </c>
      <c r="KH85" s="52">
        <v>11.68113</v>
      </c>
      <c r="KI85" s="52">
        <v>11.68113</v>
      </c>
      <c r="KJ85" s="52">
        <v>11.68113</v>
      </c>
      <c r="KK85" s="52">
        <v>11.68113</v>
      </c>
      <c r="KL85" s="52">
        <v>11.68113</v>
      </c>
      <c r="KM85" s="52">
        <v>11.68113</v>
      </c>
      <c r="KN85" s="52">
        <v>11.68113</v>
      </c>
      <c r="KO85" s="52">
        <v>11.68113</v>
      </c>
      <c r="KP85" s="52">
        <v>11.68113</v>
      </c>
      <c r="KQ85" s="52">
        <v>11.68113</v>
      </c>
      <c r="KR85" s="52">
        <v>11.68113</v>
      </c>
      <c r="KS85" s="52">
        <v>11.68113</v>
      </c>
      <c r="KT85" s="52">
        <v>11.68113</v>
      </c>
      <c r="KU85" s="52">
        <v>11.68113</v>
      </c>
      <c r="KV85" s="52">
        <v>11.68113</v>
      </c>
      <c r="KW85" s="52">
        <v>11.68113</v>
      </c>
      <c r="KX85" s="52">
        <v>11.68113</v>
      </c>
      <c r="KY85" s="52">
        <v>11.68113</v>
      </c>
      <c r="KZ85" s="52">
        <v>11.68113</v>
      </c>
      <c r="LA85" s="52">
        <v>11.68113</v>
      </c>
      <c r="LB85" s="52">
        <v>11.68113</v>
      </c>
      <c r="LC85" s="52">
        <v>11.68113</v>
      </c>
      <c r="LD85" s="52">
        <v>11.68113</v>
      </c>
      <c r="LE85" s="52">
        <v>11.68113</v>
      </c>
      <c r="LF85" s="52">
        <v>11.68113</v>
      </c>
      <c r="LG85" s="52">
        <v>11.68113</v>
      </c>
      <c r="LH85" s="52">
        <v>11.68113</v>
      </c>
      <c r="LI85" s="52">
        <v>11.68113</v>
      </c>
      <c r="LJ85" s="52">
        <v>11.68113</v>
      </c>
      <c r="LK85" s="52">
        <v>11.68113</v>
      </c>
      <c r="LL85" s="52">
        <v>11.68113</v>
      </c>
      <c r="LM85" s="52">
        <v>11.68113</v>
      </c>
      <c r="LN85" s="52">
        <v>11.68113</v>
      </c>
      <c r="LO85" s="52">
        <v>11.68113</v>
      </c>
      <c r="LP85" s="52">
        <v>11.68113</v>
      </c>
      <c r="LQ85" s="52">
        <v>11.68113</v>
      </c>
      <c r="LR85" s="52">
        <v>11.68113</v>
      </c>
      <c r="LS85" s="52">
        <v>11.68113</v>
      </c>
      <c r="LT85" s="52">
        <v>11.68113</v>
      </c>
      <c r="LU85" s="52">
        <v>11.68113</v>
      </c>
      <c r="LV85" s="52">
        <v>11.68113</v>
      </c>
      <c r="LW85" s="52">
        <v>11.68113</v>
      </c>
      <c r="LX85" s="52">
        <v>11.68113</v>
      </c>
      <c r="LY85" s="52">
        <v>11.68113</v>
      </c>
      <c r="LZ85" s="52">
        <v>11.68113</v>
      </c>
      <c r="MA85" s="52">
        <v>11.68113</v>
      </c>
      <c r="MB85" s="52">
        <v>11.68113</v>
      </c>
      <c r="MC85" s="52">
        <v>11.68113</v>
      </c>
      <c r="MD85" s="52">
        <v>11.68113</v>
      </c>
      <c r="ME85" s="52">
        <v>11.68113</v>
      </c>
      <c r="MF85" s="52">
        <v>11.68113</v>
      </c>
      <c r="MG85" s="52">
        <v>11.68113</v>
      </c>
      <c r="MH85" s="52">
        <v>11.68113</v>
      </c>
      <c r="MI85" s="52">
        <v>11.68113</v>
      </c>
      <c r="MJ85" s="52">
        <v>11.68113</v>
      </c>
      <c r="MK85" s="52">
        <v>11.68113</v>
      </c>
      <c r="ML85" s="52">
        <v>11.68113</v>
      </c>
      <c r="MM85" s="52">
        <v>11.68113</v>
      </c>
      <c r="MN85" s="52">
        <v>11.68113</v>
      </c>
      <c r="MO85" s="52">
        <v>11.68113</v>
      </c>
      <c r="MP85" s="52">
        <v>11.68113</v>
      </c>
      <c r="MQ85" s="52">
        <v>11.68113</v>
      </c>
      <c r="MR85" s="52">
        <v>11.68113</v>
      </c>
      <c r="MS85" s="52">
        <v>11.68113</v>
      </c>
      <c r="MT85" s="52">
        <v>11.68113</v>
      </c>
      <c r="MU85" s="52">
        <v>11.68113</v>
      </c>
      <c r="MV85" s="52">
        <v>11.68113</v>
      </c>
      <c r="MW85" s="52">
        <v>11.68113</v>
      </c>
      <c r="MX85" s="52">
        <v>11.68113</v>
      </c>
      <c r="MY85" s="52">
        <v>11.68113</v>
      </c>
      <c r="MZ85" s="52">
        <v>11.68113</v>
      </c>
      <c r="NA85" s="52">
        <v>11.68113</v>
      </c>
      <c r="NB85" s="52">
        <v>11.68113</v>
      </c>
      <c r="NC85" s="52">
        <v>11.68113</v>
      </c>
      <c r="ND85" s="52">
        <v>11.68113</v>
      </c>
      <c r="NE85" s="52">
        <v>11.68113</v>
      </c>
      <c r="NF85" s="52">
        <v>11.68113</v>
      </c>
      <c r="NG85" s="52">
        <v>11.68113</v>
      </c>
      <c r="NH85" s="37">
        <v>11.68113</v>
      </c>
      <c r="NI85" s="37">
        <v>11.68113</v>
      </c>
      <c r="NJ85" s="37">
        <v>11.68113</v>
      </c>
      <c r="NK85" s="37">
        <v>11.68113</v>
      </c>
      <c r="NL85" s="37">
        <v>11.68113</v>
      </c>
      <c r="NM85" s="37">
        <v>11.68113</v>
      </c>
      <c r="NN85" s="37">
        <v>11.68113</v>
      </c>
      <c r="NO85" s="37">
        <v>11.68113</v>
      </c>
      <c r="NP85" s="37">
        <v>11.68113</v>
      </c>
      <c r="NQ85" s="37">
        <v>11.68113</v>
      </c>
      <c r="NR85" s="37">
        <v>11.68113</v>
      </c>
      <c r="NS85" s="37">
        <v>11.68113</v>
      </c>
      <c r="NT85" s="37">
        <v>11.68113</v>
      </c>
      <c r="NU85" s="37">
        <v>11.68113</v>
      </c>
      <c r="NV85" s="37">
        <v>11.68113</v>
      </c>
      <c r="NW85" s="37">
        <v>11.68113</v>
      </c>
      <c r="NX85" s="37">
        <v>11.970488</v>
      </c>
    </row>
    <row r="86" spans="1:510" x14ac:dyDescent="0.2">
      <c r="A86" s="37">
        <v>84</v>
      </c>
      <c r="B86" s="37" t="s">
        <v>906</v>
      </c>
      <c r="C86" s="17">
        <f>+'Detalle Compras'!D86</f>
        <v>202510010122</v>
      </c>
      <c r="D86" s="55">
        <f t="shared" si="16"/>
        <v>11.5983</v>
      </c>
      <c r="E86" s="14">
        <f>+IF(B86="","",'Detalle Compras'!S86+0)</f>
        <v>46001</v>
      </c>
      <c r="F86" s="14">
        <f>+IF(B86="","",EOMONTH('Detalle Compras'!S86,G86)+10)</f>
        <v>60642</v>
      </c>
      <c r="G86" s="50">
        <f t="shared" si="17"/>
        <v>480</v>
      </c>
      <c r="H86" s="50">
        <f t="shared" si="18"/>
        <v>478</v>
      </c>
      <c r="K86" s="52"/>
      <c r="L86" s="52"/>
      <c r="M86" s="52"/>
      <c r="N86" s="52"/>
      <c r="O86" s="52"/>
      <c r="P86" s="52"/>
      <c r="Q86" s="52"/>
      <c r="R86" s="52"/>
      <c r="S86" s="52"/>
      <c r="T86" s="52"/>
      <c r="U86" s="52"/>
      <c r="V86" s="52"/>
      <c r="W86" s="52"/>
      <c r="X86" s="52"/>
      <c r="Y86" s="52"/>
      <c r="Z86" s="52"/>
      <c r="AA86" s="52"/>
      <c r="AB86" s="52"/>
      <c r="AC86" s="52"/>
      <c r="AD86" s="52">
        <v>11.5983</v>
      </c>
      <c r="AE86" s="52">
        <v>11.5983</v>
      </c>
      <c r="AF86" s="52">
        <v>11.5983</v>
      </c>
      <c r="AG86" s="52">
        <v>11.5983</v>
      </c>
      <c r="AH86" s="52">
        <v>11.5983</v>
      </c>
      <c r="AI86" s="52">
        <v>11.5983</v>
      </c>
      <c r="AJ86" s="52">
        <v>11.5983</v>
      </c>
      <c r="AK86" s="52">
        <v>11.5983</v>
      </c>
      <c r="AL86" s="52">
        <v>11.5983</v>
      </c>
      <c r="AM86" s="52">
        <v>11.5983</v>
      </c>
      <c r="AN86" s="52">
        <v>11.5983</v>
      </c>
      <c r="AO86" s="52">
        <v>11.5983</v>
      </c>
      <c r="AP86" s="52">
        <v>11.5983</v>
      </c>
      <c r="AQ86" s="52">
        <v>11.5983</v>
      </c>
      <c r="AR86" s="52">
        <v>11.5983</v>
      </c>
      <c r="AS86" s="52">
        <v>11.5983</v>
      </c>
      <c r="AT86" s="52">
        <v>11.5983</v>
      </c>
      <c r="AU86" s="52">
        <v>11.5983</v>
      </c>
      <c r="AV86" s="52">
        <v>11.5983</v>
      </c>
      <c r="AW86" s="52">
        <v>11.5983</v>
      </c>
      <c r="AX86" s="52">
        <v>11.5983</v>
      </c>
      <c r="AY86" s="52">
        <v>11.5983</v>
      </c>
      <c r="AZ86" s="52">
        <v>11.5983</v>
      </c>
      <c r="BA86" s="52">
        <v>11.5983</v>
      </c>
      <c r="BB86" s="52">
        <v>11.5983</v>
      </c>
      <c r="BC86" s="52">
        <v>11.5983</v>
      </c>
      <c r="BD86" s="52">
        <v>11.5983</v>
      </c>
      <c r="BE86" s="52">
        <v>11.5983</v>
      </c>
      <c r="BF86" s="52">
        <v>11.5983</v>
      </c>
      <c r="BG86" s="52">
        <v>11.5983</v>
      </c>
      <c r="BH86" s="52">
        <v>11.5983</v>
      </c>
      <c r="BI86" s="52">
        <v>11.5983</v>
      </c>
      <c r="BJ86" s="52">
        <v>11.5983</v>
      </c>
      <c r="BK86" s="52">
        <v>11.5983</v>
      </c>
      <c r="BL86" s="52">
        <v>11.5983</v>
      </c>
      <c r="BM86" s="52">
        <v>11.5983</v>
      </c>
      <c r="BN86" s="52">
        <v>11.5983</v>
      </c>
      <c r="BO86" s="52">
        <v>11.5983</v>
      </c>
      <c r="BP86" s="52">
        <v>11.5983</v>
      </c>
      <c r="BQ86" s="52">
        <v>11.5983</v>
      </c>
      <c r="BR86" s="52">
        <v>11.5983</v>
      </c>
      <c r="BS86" s="52">
        <v>11.5983</v>
      </c>
      <c r="BT86" s="52">
        <v>11.5983</v>
      </c>
      <c r="BU86" s="52">
        <v>11.5983</v>
      </c>
      <c r="BV86" s="52">
        <v>11.5983</v>
      </c>
      <c r="BW86" s="52">
        <v>11.5983</v>
      </c>
      <c r="BX86" s="52">
        <v>11.5983</v>
      </c>
      <c r="BY86" s="52">
        <v>11.5983</v>
      </c>
      <c r="BZ86" s="52">
        <v>11.5983</v>
      </c>
      <c r="CA86" s="52">
        <v>11.5983</v>
      </c>
      <c r="CB86" s="52">
        <v>11.5983</v>
      </c>
      <c r="CC86" s="52">
        <v>11.5983</v>
      </c>
      <c r="CD86" s="52">
        <v>11.5983</v>
      </c>
      <c r="CE86" s="52">
        <v>11.5983</v>
      </c>
      <c r="CF86" s="52">
        <v>11.5983</v>
      </c>
      <c r="CG86" s="52">
        <v>11.5983</v>
      </c>
      <c r="CH86" s="52">
        <v>11.5983</v>
      </c>
      <c r="CI86" s="52">
        <v>11.5983</v>
      </c>
      <c r="CJ86" s="52">
        <v>11.5983</v>
      </c>
      <c r="CK86" s="52">
        <v>11.5983</v>
      </c>
      <c r="CL86" s="52">
        <v>11.5983</v>
      </c>
      <c r="CM86" s="52">
        <v>11.5983</v>
      </c>
      <c r="CN86" s="52">
        <v>11.5983</v>
      </c>
      <c r="CO86" s="52">
        <v>11.5983</v>
      </c>
      <c r="CP86" s="52">
        <v>11.5983</v>
      </c>
      <c r="CQ86" s="52">
        <v>11.5983</v>
      </c>
      <c r="CR86" s="52">
        <v>11.5983</v>
      </c>
      <c r="CS86" s="52">
        <v>11.5983</v>
      </c>
      <c r="CT86" s="52">
        <v>11.5983</v>
      </c>
      <c r="CU86" s="52">
        <v>11.5983</v>
      </c>
      <c r="CV86" s="52">
        <v>11.5983</v>
      </c>
      <c r="CW86" s="52">
        <v>11.5983</v>
      </c>
      <c r="CX86" s="52">
        <v>11.5983</v>
      </c>
      <c r="CY86" s="52">
        <v>11.5983</v>
      </c>
      <c r="CZ86" s="52">
        <v>11.5983</v>
      </c>
      <c r="DA86" s="52">
        <v>11.5983</v>
      </c>
      <c r="DB86" s="52">
        <v>11.5983</v>
      </c>
      <c r="DC86" s="52">
        <v>11.5983</v>
      </c>
      <c r="DD86" s="52">
        <v>11.5983</v>
      </c>
      <c r="DE86" s="52">
        <v>11.5983</v>
      </c>
      <c r="DF86" s="52">
        <v>11.5983</v>
      </c>
      <c r="DG86" s="52">
        <v>11.5983</v>
      </c>
      <c r="DH86" s="52">
        <v>11.5983</v>
      </c>
      <c r="DI86" s="52">
        <v>11.5983</v>
      </c>
      <c r="DJ86" s="52">
        <v>11.5983</v>
      </c>
      <c r="DK86" s="52">
        <v>11.5983</v>
      </c>
      <c r="DL86" s="52">
        <v>11.5983</v>
      </c>
      <c r="DM86" s="52">
        <v>11.5983</v>
      </c>
      <c r="DN86" s="52">
        <v>11.5983</v>
      </c>
      <c r="DO86" s="52">
        <v>11.5983</v>
      </c>
      <c r="DP86" s="52">
        <v>11.5983</v>
      </c>
      <c r="DQ86" s="52">
        <v>11.5983</v>
      </c>
      <c r="DR86" s="52">
        <v>11.5983</v>
      </c>
      <c r="DS86" s="52">
        <v>11.5983</v>
      </c>
      <c r="DT86" s="52">
        <v>11.5983</v>
      </c>
      <c r="DU86" s="52">
        <v>11.5983</v>
      </c>
      <c r="DV86" s="52">
        <v>11.5983</v>
      </c>
      <c r="DW86" s="52">
        <v>11.5983</v>
      </c>
      <c r="DX86" s="52">
        <v>11.5983</v>
      </c>
      <c r="DY86" s="52">
        <v>11.5983</v>
      </c>
      <c r="DZ86" s="52">
        <v>11.5983</v>
      </c>
      <c r="EA86" s="52">
        <v>11.5983</v>
      </c>
      <c r="EB86" s="52">
        <v>11.5983</v>
      </c>
      <c r="EC86" s="52">
        <v>11.5983</v>
      </c>
      <c r="ED86" s="52">
        <v>11.5983</v>
      </c>
      <c r="EE86" s="52">
        <v>11.5983</v>
      </c>
      <c r="EF86" s="52">
        <v>11.5983</v>
      </c>
      <c r="EG86" s="52">
        <v>11.5983</v>
      </c>
      <c r="EH86" s="52">
        <v>11.5983</v>
      </c>
      <c r="EI86" s="52">
        <v>11.5983</v>
      </c>
      <c r="EJ86" s="52">
        <v>11.5983</v>
      </c>
      <c r="EK86" s="52">
        <v>11.5983</v>
      </c>
      <c r="EL86" s="52">
        <v>11.5983</v>
      </c>
      <c r="EM86" s="52">
        <v>11.5983</v>
      </c>
      <c r="EN86" s="52">
        <v>11.5983</v>
      </c>
      <c r="EO86" s="52">
        <v>11.5983</v>
      </c>
      <c r="EP86" s="52">
        <v>11.5983</v>
      </c>
      <c r="EQ86" s="52">
        <v>11.5983</v>
      </c>
      <c r="ER86" s="52">
        <v>11.5983</v>
      </c>
      <c r="ES86" s="52">
        <v>11.5983</v>
      </c>
      <c r="ET86" s="52">
        <v>11.5983</v>
      </c>
      <c r="EU86" s="52">
        <v>11.5983</v>
      </c>
      <c r="EV86" s="52">
        <v>11.5983</v>
      </c>
      <c r="EW86" s="52">
        <v>11.5983</v>
      </c>
      <c r="EX86" s="52">
        <v>11.5983</v>
      </c>
      <c r="EY86" s="52">
        <v>11.5983</v>
      </c>
      <c r="EZ86" s="52">
        <v>11.5983</v>
      </c>
      <c r="FA86" s="52">
        <v>11.5983</v>
      </c>
      <c r="FB86" s="52">
        <v>11.5983</v>
      </c>
      <c r="FC86" s="52">
        <v>11.5983</v>
      </c>
      <c r="FD86" s="52">
        <v>11.5983</v>
      </c>
      <c r="FE86" s="52">
        <v>11.5983</v>
      </c>
      <c r="FF86" s="52">
        <v>11.5983</v>
      </c>
      <c r="FG86" s="52">
        <v>11.5983</v>
      </c>
      <c r="FH86" s="52">
        <v>11.5983</v>
      </c>
      <c r="FI86" s="52">
        <v>11.5983</v>
      </c>
      <c r="FJ86" s="52">
        <v>11.5983</v>
      </c>
      <c r="FK86" s="52">
        <v>11.5983</v>
      </c>
      <c r="FL86" s="52">
        <v>11.5983</v>
      </c>
      <c r="FM86" s="52">
        <v>11.5983</v>
      </c>
      <c r="FN86" s="52">
        <v>11.5983</v>
      </c>
      <c r="FO86" s="52">
        <v>11.5983</v>
      </c>
      <c r="FP86" s="52">
        <v>11.5983</v>
      </c>
      <c r="FQ86" s="52">
        <v>11.5983</v>
      </c>
      <c r="FR86" s="52">
        <v>11.5983</v>
      </c>
      <c r="FS86" s="52">
        <v>11.5983</v>
      </c>
      <c r="FT86" s="52">
        <v>11.5983</v>
      </c>
      <c r="FU86" s="52">
        <v>11.5983</v>
      </c>
      <c r="FV86" s="52">
        <v>11.5983</v>
      </c>
      <c r="FW86" s="52">
        <v>11.5983</v>
      </c>
      <c r="FX86" s="52">
        <v>11.5983</v>
      </c>
      <c r="FY86" s="52">
        <v>11.5983</v>
      </c>
      <c r="FZ86" s="52">
        <v>11.5983</v>
      </c>
      <c r="GA86" s="52">
        <v>11.5983</v>
      </c>
      <c r="GB86" s="52">
        <v>11.5983</v>
      </c>
      <c r="GC86" s="52">
        <v>11.5983</v>
      </c>
      <c r="GD86" s="52">
        <v>11.5983</v>
      </c>
      <c r="GE86" s="52">
        <v>11.5983</v>
      </c>
      <c r="GF86" s="52">
        <v>11.5983</v>
      </c>
      <c r="GG86" s="52">
        <v>11.5983</v>
      </c>
      <c r="GH86" s="52">
        <v>11.5983</v>
      </c>
      <c r="GI86" s="52">
        <v>11.5983</v>
      </c>
      <c r="GJ86" s="52">
        <v>11.5983</v>
      </c>
      <c r="GK86" s="52">
        <v>11.5983</v>
      </c>
      <c r="GL86" s="52">
        <v>11.5983</v>
      </c>
      <c r="GM86" s="52">
        <v>11.5983</v>
      </c>
      <c r="GN86" s="52">
        <v>11.5983</v>
      </c>
      <c r="GO86" s="52">
        <v>11.5983</v>
      </c>
      <c r="GP86" s="52">
        <v>11.5983</v>
      </c>
      <c r="GQ86" s="52">
        <v>11.5983</v>
      </c>
      <c r="GR86" s="52">
        <v>11.5983</v>
      </c>
      <c r="GS86" s="52">
        <v>11.5983</v>
      </c>
      <c r="GT86" s="52">
        <v>11.5983</v>
      </c>
      <c r="GU86" s="52">
        <v>11.5983</v>
      </c>
      <c r="GV86" s="52">
        <v>11.5983</v>
      </c>
      <c r="GW86" s="52">
        <v>11.5983</v>
      </c>
      <c r="GX86" s="52">
        <v>11.5983</v>
      </c>
      <c r="GY86" s="52">
        <v>11.5983</v>
      </c>
      <c r="GZ86" s="52">
        <v>11.5983</v>
      </c>
      <c r="HA86" s="52">
        <v>11.5983</v>
      </c>
      <c r="HB86" s="52">
        <v>11.5983</v>
      </c>
      <c r="HC86" s="52">
        <v>11.5983</v>
      </c>
      <c r="HD86" s="52">
        <v>11.5983</v>
      </c>
      <c r="HE86" s="52">
        <v>11.5983</v>
      </c>
      <c r="HF86" s="52">
        <v>11.5983</v>
      </c>
      <c r="HG86" s="52">
        <v>11.5983</v>
      </c>
      <c r="HH86" s="52">
        <v>11.5983</v>
      </c>
      <c r="HI86" s="52">
        <v>11.5983</v>
      </c>
      <c r="HJ86" s="52">
        <v>11.5983</v>
      </c>
      <c r="HK86" s="52">
        <v>11.5983</v>
      </c>
      <c r="HL86" s="52">
        <v>11.5983</v>
      </c>
      <c r="HM86" s="52">
        <v>11.5983</v>
      </c>
      <c r="HN86" s="52">
        <v>11.5983</v>
      </c>
      <c r="HO86" s="52">
        <v>11.5983</v>
      </c>
      <c r="HP86" s="52">
        <v>11.5983</v>
      </c>
      <c r="HQ86" s="52">
        <v>11.5983</v>
      </c>
      <c r="HR86" s="52">
        <v>11.5983</v>
      </c>
      <c r="HS86" s="52">
        <v>11.5983</v>
      </c>
      <c r="HT86" s="52">
        <v>11.5983</v>
      </c>
      <c r="HU86" s="52">
        <v>11.5983</v>
      </c>
      <c r="HV86" s="52">
        <v>11.5983</v>
      </c>
      <c r="HW86" s="52">
        <v>11.5983</v>
      </c>
      <c r="HX86" s="52">
        <v>11.5983</v>
      </c>
      <c r="HY86" s="52">
        <v>11.5983</v>
      </c>
      <c r="HZ86" s="52">
        <v>11.5983</v>
      </c>
      <c r="IA86" s="52">
        <v>11.5983</v>
      </c>
      <c r="IB86" s="52">
        <v>11.5983</v>
      </c>
      <c r="IC86" s="52">
        <v>11.5983</v>
      </c>
      <c r="ID86" s="52">
        <v>11.5983</v>
      </c>
      <c r="IE86" s="52">
        <v>11.5983</v>
      </c>
      <c r="IF86" s="52">
        <v>11.5983</v>
      </c>
      <c r="IG86" s="52">
        <v>11.5983</v>
      </c>
      <c r="IH86" s="52">
        <v>11.5983</v>
      </c>
      <c r="II86" s="52">
        <v>11.5983</v>
      </c>
      <c r="IJ86" s="52">
        <v>11.5983</v>
      </c>
      <c r="IK86" s="52">
        <v>11.5983</v>
      </c>
      <c r="IL86" s="52">
        <v>11.5983</v>
      </c>
      <c r="IM86" s="52">
        <v>11.5983</v>
      </c>
      <c r="IN86" s="52">
        <v>11.5983</v>
      </c>
      <c r="IO86" s="52">
        <v>11.5983</v>
      </c>
      <c r="IP86" s="52">
        <v>11.5983</v>
      </c>
      <c r="IQ86" s="52">
        <v>11.5983</v>
      </c>
      <c r="IR86" s="52">
        <v>11.5983</v>
      </c>
      <c r="IS86" s="52">
        <v>11.5983</v>
      </c>
      <c r="IT86" s="52">
        <v>11.5983</v>
      </c>
      <c r="IU86" s="52">
        <v>11.5983</v>
      </c>
      <c r="IV86" s="52">
        <v>11.5983</v>
      </c>
      <c r="IW86" s="52">
        <v>11.5983</v>
      </c>
      <c r="IX86" s="52">
        <v>11.5983</v>
      </c>
      <c r="IY86" s="52">
        <v>11.5983</v>
      </c>
      <c r="IZ86" s="52">
        <v>11.5983</v>
      </c>
      <c r="JA86" s="52">
        <v>11.5983</v>
      </c>
      <c r="JB86" s="52">
        <v>11.5983</v>
      </c>
      <c r="JC86" s="52">
        <v>11.5983</v>
      </c>
      <c r="JD86" s="52">
        <v>11.5983</v>
      </c>
      <c r="JE86" s="52">
        <v>11.5983</v>
      </c>
      <c r="JF86" s="52">
        <v>11.5983</v>
      </c>
      <c r="JG86" s="52">
        <v>11.5983</v>
      </c>
      <c r="JH86" s="52">
        <v>11.5983</v>
      </c>
      <c r="JI86" s="52">
        <v>11.5983</v>
      </c>
      <c r="JJ86" s="52">
        <v>11.5983</v>
      </c>
      <c r="JK86" s="52">
        <v>11.5983</v>
      </c>
      <c r="JL86" s="52">
        <v>11.5983</v>
      </c>
      <c r="JM86" s="52">
        <v>11.5983</v>
      </c>
      <c r="JN86" s="52">
        <v>11.5983</v>
      </c>
      <c r="JO86" s="52">
        <v>11.5983</v>
      </c>
      <c r="JP86" s="52">
        <v>11.5983</v>
      </c>
      <c r="JQ86" s="52">
        <v>11.5983</v>
      </c>
      <c r="JR86" s="52">
        <v>11.5983</v>
      </c>
      <c r="JS86" s="52">
        <v>11.5983</v>
      </c>
      <c r="JT86" s="52">
        <v>11.5983</v>
      </c>
      <c r="JU86" s="52">
        <v>11.5983</v>
      </c>
      <c r="JV86" s="52">
        <v>11.5983</v>
      </c>
      <c r="JW86" s="52">
        <v>11.5983</v>
      </c>
      <c r="JX86" s="52">
        <v>11.5983</v>
      </c>
      <c r="JY86" s="52">
        <v>11.5983</v>
      </c>
      <c r="JZ86" s="52">
        <v>11.5983</v>
      </c>
      <c r="KA86" s="52">
        <v>11.5983</v>
      </c>
      <c r="KB86" s="52">
        <v>11.5983</v>
      </c>
      <c r="KC86" s="52">
        <v>11.5983</v>
      </c>
      <c r="KD86" s="52">
        <v>11.5983</v>
      </c>
      <c r="KE86" s="52">
        <v>11.5983</v>
      </c>
      <c r="KF86" s="52">
        <v>11.5983</v>
      </c>
      <c r="KG86" s="52">
        <v>11.5983</v>
      </c>
      <c r="KH86" s="52">
        <v>11.5983</v>
      </c>
      <c r="KI86" s="52">
        <v>11.5983</v>
      </c>
      <c r="KJ86" s="52">
        <v>11.5983</v>
      </c>
      <c r="KK86" s="52">
        <v>11.5983</v>
      </c>
      <c r="KL86" s="52">
        <v>11.5983</v>
      </c>
      <c r="KM86" s="52">
        <v>11.5983</v>
      </c>
      <c r="KN86" s="52">
        <v>11.5983</v>
      </c>
      <c r="KO86" s="52">
        <v>11.5983</v>
      </c>
      <c r="KP86" s="52">
        <v>11.5983</v>
      </c>
      <c r="KQ86" s="52">
        <v>11.5983</v>
      </c>
      <c r="KR86" s="52">
        <v>11.5983</v>
      </c>
      <c r="KS86" s="52">
        <v>11.5983</v>
      </c>
      <c r="KT86" s="52">
        <v>11.5983</v>
      </c>
      <c r="KU86" s="52">
        <v>11.5983</v>
      </c>
      <c r="KV86" s="52">
        <v>11.5983</v>
      </c>
      <c r="KW86" s="52">
        <v>11.5983</v>
      </c>
      <c r="KX86" s="52">
        <v>11.5983</v>
      </c>
      <c r="KY86" s="52">
        <v>11.5983</v>
      </c>
      <c r="KZ86" s="52">
        <v>11.5983</v>
      </c>
      <c r="LA86" s="52">
        <v>11.5983</v>
      </c>
      <c r="LB86" s="52">
        <v>11.5983</v>
      </c>
      <c r="LC86" s="52">
        <v>11.5983</v>
      </c>
      <c r="LD86" s="52">
        <v>11.5983</v>
      </c>
      <c r="LE86" s="52">
        <v>11.5983</v>
      </c>
      <c r="LF86" s="52">
        <v>11.5983</v>
      </c>
      <c r="LG86" s="52">
        <v>11.5983</v>
      </c>
      <c r="LH86" s="52">
        <v>11.5983</v>
      </c>
      <c r="LI86" s="52">
        <v>11.5983</v>
      </c>
      <c r="LJ86" s="52">
        <v>11.5983</v>
      </c>
      <c r="LK86" s="52">
        <v>11.5983</v>
      </c>
      <c r="LL86" s="52">
        <v>11.5983</v>
      </c>
      <c r="LM86" s="52">
        <v>11.5983</v>
      </c>
      <c r="LN86" s="52">
        <v>11.5983</v>
      </c>
      <c r="LO86" s="52">
        <v>11.5983</v>
      </c>
      <c r="LP86" s="52">
        <v>11.5983</v>
      </c>
      <c r="LQ86" s="52">
        <v>11.5983</v>
      </c>
      <c r="LR86" s="52">
        <v>11.5983</v>
      </c>
      <c r="LS86" s="52">
        <v>11.5983</v>
      </c>
      <c r="LT86" s="52">
        <v>11.5983</v>
      </c>
      <c r="LU86" s="52">
        <v>11.5983</v>
      </c>
      <c r="LV86" s="52">
        <v>11.5983</v>
      </c>
      <c r="LW86" s="52">
        <v>11.5983</v>
      </c>
      <c r="LX86" s="52">
        <v>11.5983</v>
      </c>
      <c r="LY86" s="52">
        <v>11.5983</v>
      </c>
      <c r="LZ86" s="52">
        <v>11.5983</v>
      </c>
      <c r="MA86" s="52">
        <v>11.5983</v>
      </c>
      <c r="MB86" s="52">
        <v>11.5983</v>
      </c>
      <c r="MC86" s="52">
        <v>11.5983</v>
      </c>
      <c r="MD86" s="52">
        <v>11.5983</v>
      </c>
      <c r="ME86" s="52">
        <v>11.5983</v>
      </c>
      <c r="MF86" s="52">
        <v>11.5983</v>
      </c>
      <c r="MG86" s="52">
        <v>11.5983</v>
      </c>
      <c r="MH86" s="52">
        <v>11.5983</v>
      </c>
      <c r="MI86" s="52">
        <v>11.5983</v>
      </c>
      <c r="MJ86" s="52">
        <v>11.5983</v>
      </c>
      <c r="MK86" s="52">
        <v>11.5983</v>
      </c>
      <c r="ML86" s="52">
        <v>11.5983</v>
      </c>
      <c r="MM86" s="52">
        <v>11.5983</v>
      </c>
      <c r="MN86" s="52">
        <v>11.5983</v>
      </c>
      <c r="MO86" s="52">
        <v>11.5983</v>
      </c>
      <c r="MP86" s="52">
        <v>11.5983</v>
      </c>
      <c r="MQ86" s="52">
        <v>11.5983</v>
      </c>
      <c r="MR86" s="52">
        <v>11.5983</v>
      </c>
      <c r="MS86" s="52">
        <v>11.5983</v>
      </c>
      <c r="MT86" s="52">
        <v>11.5983</v>
      </c>
      <c r="MU86" s="52">
        <v>11.5983</v>
      </c>
      <c r="MV86" s="52">
        <v>11.5983</v>
      </c>
      <c r="MW86" s="52">
        <v>11.5983</v>
      </c>
      <c r="MX86" s="52">
        <v>11.5983</v>
      </c>
      <c r="MY86" s="52">
        <v>11.5983</v>
      </c>
      <c r="MZ86" s="52">
        <v>11.5983</v>
      </c>
      <c r="NA86" s="52">
        <v>11.5983</v>
      </c>
      <c r="NB86" s="52">
        <v>11.5983</v>
      </c>
      <c r="NC86" s="52">
        <v>11.5983</v>
      </c>
      <c r="ND86" s="52">
        <v>11.5983</v>
      </c>
      <c r="NE86" s="52">
        <v>11.5983</v>
      </c>
      <c r="NF86" s="52">
        <v>11.5983</v>
      </c>
      <c r="NG86" s="52">
        <v>11.5983</v>
      </c>
      <c r="NH86" s="37">
        <v>11.5983</v>
      </c>
      <c r="NI86" s="37">
        <v>11.5983</v>
      </c>
      <c r="NJ86" s="37">
        <v>11.5983</v>
      </c>
      <c r="NK86" s="37">
        <v>11.5983</v>
      </c>
      <c r="NL86" s="37">
        <v>11.5983</v>
      </c>
      <c r="NM86" s="37">
        <v>11.5983</v>
      </c>
      <c r="NN86" s="37">
        <v>11.5983</v>
      </c>
      <c r="NO86" s="37">
        <v>11.5983</v>
      </c>
      <c r="NP86" s="37">
        <v>11.5983</v>
      </c>
      <c r="NQ86" s="37">
        <v>11.5983</v>
      </c>
      <c r="NR86" s="37">
        <v>11.5983</v>
      </c>
      <c r="NS86" s="37">
        <v>11.5983</v>
      </c>
      <c r="NT86" s="37">
        <v>11.5983</v>
      </c>
      <c r="NU86" s="37">
        <v>11.5983</v>
      </c>
      <c r="NV86" s="37">
        <v>11.5983</v>
      </c>
      <c r="NW86" s="37">
        <v>11.5983</v>
      </c>
      <c r="NX86" s="37">
        <v>11.5983</v>
      </c>
      <c r="NY86" s="37">
        <v>11.5983</v>
      </c>
      <c r="NZ86" s="37">
        <v>11.5983</v>
      </c>
      <c r="OA86" s="37">
        <v>11.5983</v>
      </c>
      <c r="OB86" s="37">
        <v>11.5983</v>
      </c>
      <c r="OC86" s="37">
        <v>11.5983</v>
      </c>
      <c r="OD86" s="37">
        <v>11.5983</v>
      </c>
      <c r="OE86" s="37">
        <v>11.5983</v>
      </c>
      <c r="OF86" s="37">
        <v>11.5983</v>
      </c>
      <c r="OG86" s="37">
        <v>11.5983</v>
      </c>
      <c r="OH86" s="37">
        <v>11.5983</v>
      </c>
      <c r="OI86" s="37">
        <v>11.5983</v>
      </c>
      <c r="OJ86" s="37">
        <v>11.5983</v>
      </c>
      <c r="OK86" s="37">
        <v>11.5983</v>
      </c>
      <c r="OL86" s="37">
        <v>11.5983</v>
      </c>
      <c r="OM86" s="37">
        <v>11.5983</v>
      </c>
      <c r="ON86" s="37">
        <v>11.5983</v>
      </c>
      <c r="OO86" s="37">
        <v>11.5983</v>
      </c>
      <c r="OP86" s="37">
        <v>11.5983</v>
      </c>
      <c r="OQ86" s="37">
        <v>11.5983</v>
      </c>
      <c r="OR86" s="37">
        <v>11.5983</v>
      </c>
      <c r="OS86" s="37">
        <v>11.5983</v>
      </c>
      <c r="OT86" s="37">
        <v>11.5983</v>
      </c>
      <c r="OU86" s="37">
        <v>11.5983</v>
      </c>
      <c r="OV86" s="37">
        <v>11.5983</v>
      </c>
      <c r="OW86" s="37">
        <v>11.5983</v>
      </c>
      <c r="OX86" s="37">
        <v>11.5983</v>
      </c>
      <c r="OY86" s="37">
        <v>11.5983</v>
      </c>
      <c r="OZ86" s="37">
        <v>11.5983</v>
      </c>
      <c r="PA86" s="37">
        <v>11.5983</v>
      </c>
      <c r="PB86" s="37">
        <v>11.5983</v>
      </c>
      <c r="PC86" s="37">
        <v>11.5983</v>
      </c>
      <c r="PD86" s="37">
        <v>11.5983</v>
      </c>
      <c r="PE86" s="37">
        <v>11.5983</v>
      </c>
      <c r="PF86" s="37">
        <v>11.5983</v>
      </c>
      <c r="PG86" s="37">
        <v>11.5983</v>
      </c>
      <c r="PH86" s="37">
        <v>11.5983</v>
      </c>
      <c r="PI86" s="37">
        <v>11.5983</v>
      </c>
      <c r="PJ86" s="37">
        <v>11.5983</v>
      </c>
      <c r="PK86" s="37">
        <v>11.5983</v>
      </c>
      <c r="PL86" s="37">
        <v>11.5983</v>
      </c>
      <c r="PM86" s="37">
        <v>11.5983</v>
      </c>
      <c r="PN86" s="37">
        <v>11.5983</v>
      </c>
      <c r="PO86" s="37">
        <v>11.5983</v>
      </c>
      <c r="PP86" s="37">
        <v>11.5983</v>
      </c>
      <c r="PQ86" s="37">
        <v>11.5983</v>
      </c>
      <c r="PR86" s="37">
        <v>11.5983</v>
      </c>
      <c r="PS86" s="15">
        <v>11.5983</v>
      </c>
      <c r="PT86" s="15">
        <v>11.5983</v>
      </c>
      <c r="PU86" s="15">
        <v>11.5983</v>
      </c>
      <c r="PV86" s="15">
        <v>11.5983</v>
      </c>
      <c r="PW86" s="15">
        <v>11.5983</v>
      </c>
      <c r="PX86" s="15">
        <v>11.5983</v>
      </c>
      <c r="PY86" s="15">
        <v>11.5983</v>
      </c>
      <c r="PZ86" s="15">
        <v>11.5983</v>
      </c>
      <c r="QA86" s="15">
        <v>11.5983</v>
      </c>
      <c r="QB86" s="15">
        <v>11.5983</v>
      </c>
      <c r="QC86" s="15">
        <v>11.5983</v>
      </c>
      <c r="QD86" s="15">
        <v>11.5983</v>
      </c>
      <c r="QE86" s="15">
        <v>11.5983</v>
      </c>
      <c r="QF86" s="15">
        <v>11.5983</v>
      </c>
      <c r="QG86" s="15">
        <v>11.5983</v>
      </c>
      <c r="QH86" s="15">
        <v>11.5983</v>
      </c>
      <c r="QI86" s="15">
        <v>11.5983</v>
      </c>
      <c r="QJ86" s="15">
        <v>11.5983</v>
      </c>
      <c r="QK86" s="15">
        <v>11.5983</v>
      </c>
      <c r="QL86" s="15">
        <v>11.5983</v>
      </c>
      <c r="QM86" s="15">
        <v>11.5983</v>
      </c>
      <c r="QN86" s="15">
        <v>11.5983</v>
      </c>
      <c r="QO86" s="15">
        <v>11.5983</v>
      </c>
      <c r="QP86" s="15">
        <v>11.5983</v>
      </c>
      <c r="QQ86" s="15">
        <v>11.5983</v>
      </c>
      <c r="QR86" s="15">
        <v>11.5983</v>
      </c>
      <c r="QS86" s="15">
        <v>11.5983</v>
      </c>
      <c r="QT86" s="15">
        <v>11.5983</v>
      </c>
      <c r="QU86" s="15">
        <v>11.5983</v>
      </c>
      <c r="QV86" s="15">
        <v>11.5983</v>
      </c>
      <c r="QW86" s="15">
        <v>11.5983</v>
      </c>
      <c r="QX86" s="15">
        <v>11.5983</v>
      </c>
      <c r="QY86" s="15">
        <v>11.5983</v>
      </c>
      <c r="QZ86" s="15">
        <v>11.5983</v>
      </c>
      <c r="RA86" s="15">
        <v>11.5983</v>
      </c>
      <c r="RB86" s="15">
        <v>11.5983</v>
      </c>
      <c r="RC86" s="15">
        <v>11.5983</v>
      </c>
      <c r="RD86" s="15">
        <v>11.5983</v>
      </c>
      <c r="RE86" s="15">
        <v>11.5983</v>
      </c>
      <c r="RF86" s="15">
        <v>11.5983</v>
      </c>
      <c r="RG86" s="15">
        <v>11.5983</v>
      </c>
      <c r="RH86" s="15">
        <v>11.5983</v>
      </c>
      <c r="RI86" s="15">
        <v>11.5983</v>
      </c>
      <c r="RJ86" s="15">
        <v>11.5983</v>
      </c>
      <c r="RK86" s="15">
        <v>11.5983</v>
      </c>
      <c r="RL86" s="15">
        <v>11.5983</v>
      </c>
      <c r="RM86" s="15">
        <v>11.5983</v>
      </c>
      <c r="RN86" s="15">
        <v>11.5983</v>
      </c>
      <c r="RO86" s="15">
        <v>11.5983</v>
      </c>
      <c r="RP86" s="15">
        <v>11.5983</v>
      </c>
      <c r="RQ86" s="15">
        <v>11.5983</v>
      </c>
      <c r="RR86" s="15">
        <v>11.5983</v>
      </c>
      <c r="RS86" s="15">
        <v>11.5983</v>
      </c>
      <c r="RT86" s="15">
        <v>11.5983</v>
      </c>
      <c r="RU86" s="15">
        <v>11.5983</v>
      </c>
      <c r="RV86" s="15">
        <v>11.5983</v>
      </c>
      <c r="RW86" s="15">
        <v>11.5983</v>
      </c>
      <c r="RX86" s="15">
        <v>11.5983</v>
      </c>
      <c r="RY86" s="15">
        <v>11.5983</v>
      </c>
      <c r="RZ86" s="15">
        <v>11.5983</v>
      </c>
      <c r="SA86" s="15">
        <v>11.5983</v>
      </c>
      <c r="SB86" s="15">
        <v>11.5983</v>
      </c>
      <c r="SC86" s="15">
        <v>11.5983</v>
      </c>
      <c r="SD86" s="15">
        <v>11.5983</v>
      </c>
      <c r="SE86" s="15">
        <v>11.5983</v>
      </c>
      <c r="SF86" s="15">
        <v>11.5983</v>
      </c>
      <c r="SG86" s="15">
        <v>11.5983</v>
      </c>
      <c r="SH86" s="15">
        <v>11.5983</v>
      </c>
      <c r="SI86" s="15">
        <v>11.5983</v>
      </c>
      <c r="SJ86" s="15">
        <v>11.5983</v>
      </c>
      <c r="SK86" s="15">
        <v>11.5983</v>
      </c>
      <c r="SL86" s="15">
        <v>11.5983</v>
      </c>
      <c r="SM86" s="15">
        <v>11.5983</v>
      </c>
      <c r="SN86" s="15">
        <v>11.5983</v>
      </c>
      <c r="SO86" s="15">
        <v>13.351800000000001</v>
      </c>
    </row>
    <row r="87" spans="1:510" x14ac:dyDescent="0.2">
      <c r="A87" s="37">
        <v>85</v>
      </c>
      <c r="B87" s="37" t="s">
        <v>907</v>
      </c>
      <c r="C87" s="17">
        <f>+'Detalle Compras'!D87</f>
        <v>202510270128</v>
      </c>
      <c r="D87" s="55">
        <f t="shared" si="16"/>
        <v>12.5259</v>
      </c>
      <c r="E87" s="14">
        <f>+IF(B87="","",'Detalle Compras'!S87+0)</f>
        <v>46001</v>
      </c>
      <c r="F87" s="14">
        <f>+IF(B87="","",EOMONTH('Detalle Compras'!S87,G87)+10)</f>
        <v>58085</v>
      </c>
      <c r="G87" s="50">
        <f t="shared" si="17"/>
        <v>396</v>
      </c>
      <c r="H87" s="50">
        <f t="shared" si="18"/>
        <v>394</v>
      </c>
      <c r="K87" s="52"/>
      <c r="L87" s="52"/>
      <c r="M87" s="52"/>
      <c r="N87" s="52"/>
      <c r="O87" s="52"/>
      <c r="P87" s="52"/>
      <c r="Q87" s="52"/>
      <c r="R87" s="52"/>
      <c r="S87" s="52"/>
      <c r="T87" s="52"/>
      <c r="U87" s="52"/>
      <c r="V87" s="52"/>
      <c r="W87" s="52"/>
      <c r="X87" s="52"/>
      <c r="Y87" s="52"/>
      <c r="Z87" s="52"/>
      <c r="AA87" s="52"/>
      <c r="AB87" s="52"/>
      <c r="AC87" s="52"/>
      <c r="AD87" s="52">
        <v>12.5259</v>
      </c>
      <c r="AE87" s="52">
        <v>12.5259</v>
      </c>
      <c r="AF87" s="52">
        <v>12.5259</v>
      </c>
      <c r="AG87" s="52">
        <v>12.5259</v>
      </c>
      <c r="AH87" s="52">
        <v>12.5259</v>
      </c>
      <c r="AI87" s="52">
        <v>12.5259</v>
      </c>
      <c r="AJ87" s="52">
        <v>12.5259</v>
      </c>
      <c r="AK87" s="52">
        <v>12.5259</v>
      </c>
      <c r="AL87" s="52">
        <v>12.5259</v>
      </c>
      <c r="AM87" s="52">
        <v>12.5259</v>
      </c>
      <c r="AN87" s="52">
        <v>12.5259</v>
      </c>
      <c r="AO87" s="52">
        <v>12.5259</v>
      </c>
      <c r="AP87" s="52">
        <v>12.5259</v>
      </c>
      <c r="AQ87" s="52">
        <v>12.5259</v>
      </c>
      <c r="AR87" s="52">
        <v>12.5259</v>
      </c>
      <c r="AS87" s="52">
        <v>12.5259</v>
      </c>
      <c r="AT87" s="52">
        <v>12.5259</v>
      </c>
      <c r="AU87" s="52">
        <v>12.5259</v>
      </c>
      <c r="AV87" s="52">
        <v>12.5259</v>
      </c>
      <c r="AW87" s="52">
        <v>12.5259</v>
      </c>
      <c r="AX87" s="52">
        <v>12.5259</v>
      </c>
      <c r="AY87" s="52">
        <v>12.5259</v>
      </c>
      <c r="AZ87" s="52">
        <v>12.5259</v>
      </c>
      <c r="BA87" s="52">
        <v>12.5259</v>
      </c>
      <c r="BB87" s="52">
        <v>12.5259</v>
      </c>
      <c r="BC87" s="52">
        <v>12.5259</v>
      </c>
      <c r="BD87" s="52">
        <v>12.5259</v>
      </c>
      <c r="BE87" s="52">
        <v>12.5259</v>
      </c>
      <c r="BF87" s="52">
        <v>12.5259</v>
      </c>
      <c r="BG87" s="52">
        <v>12.5259</v>
      </c>
      <c r="BH87" s="52">
        <v>12.5259</v>
      </c>
      <c r="BI87" s="52">
        <v>12.5259</v>
      </c>
      <c r="BJ87" s="52">
        <v>12.5259</v>
      </c>
      <c r="BK87" s="52">
        <v>12.5259</v>
      </c>
      <c r="BL87" s="52">
        <v>12.5259</v>
      </c>
      <c r="BM87" s="52">
        <v>12.5259</v>
      </c>
      <c r="BN87" s="52">
        <v>12.5259</v>
      </c>
      <c r="BO87" s="52">
        <v>12.5259</v>
      </c>
      <c r="BP87" s="52">
        <v>12.5259</v>
      </c>
      <c r="BQ87" s="52">
        <v>12.5259</v>
      </c>
      <c r="BR87" s="52">
        <v>12.5259</v>
      </c>
      <c r="BS87" s="52">
        <v>12.5259</v>
      </c>
      <c r="BT87" s="52">
        <v>12.5259</v>
      </c>
      <c r="BU87" s="52">
        <v>12.5259</v>
      </c>
      <c r="BV87" s="52">
        <v>12.5259</v>
      </c>
      <c r="BW87" s="52">
        <v>12.5259</v>
      </c>
      <c r="BX87" s="52">
        <v>12.5259</v>
      </c>
      <c r="BY87" s="52">
        <v>12.5259</v>
      </c>
      <c r="BZ87" s="52">
        <v>12.5259</v>
      </c>
      <c r="CA87" s="52">
        <v>12.5259</v>
      </c>
      <c r="CB87" s="52">
        <v>12.5259</v>
      </c>
      <c r="CC87" s="52">
        <v>12.5259</v>
      </c>
      <c r="CD87" s="52">
        <v>12.5259</v>
      </c>
      <c r="CE87" s="52">
        <v>12.5259</v>
      </c>
      <c r="CF87" s="52">
        <v>12.5259</v>
      </c>
      <c r="CG87" s="52">
        <v>12.5259</v>
      </c>
      <c r="CH87" s="52">
        <v>12.5259</v>
      </c>
      <c r="CI87" s="52">
        <v>12.5259</v>
      </c>
      <c r="CJ87" s="52">
        <v>12.5259</v>
      </c>
      <c r="CK87" s="52">
        <v>12.5259</v>
      </c>
      <c r="CL87" s="52">
        <v>12.5259</v>
      </c>
      <c r="CM87" s="52">
        <v>12.5259</v>
      </c>
      <c r="CN87" s="52">
        <v>12.5259</v>
      </c>
      <c r="CO87" s="52">
        <v>12.5259</v>
      </c>
      <c r="CP87" s="52">
        <v>12.5259</v>
      </c>
      <c r="CQ87" s="52">
        <v>12.5259</v>
      </c>
      <c r="CR87" s="52">
        <v>12.5259</v>
      </c>
      <c r="CS87" s="52">
        <v>12.5259</v>
      </c>
      <c r="CT87" s="52">
        <v>12.5259</v>
      </c>
      <c r="CU87" s="52">
        <v>12.5259</v>
      </c>
      <c r="CV87" s="52">
        <v>12.5259</v>
      </c>
      <c r="CW87" s="52">
        <v>12.5259</v>
      </c>
      <c r="CX87" s="52">
        <v>12.5259</v>
      </c>
      <c r="CY87" s="52">
        <v>12.5259</v>
      </c>
      <c r="CZ87" s="52">
        <v>12.5259</v>
      </c>
      <c r="DA87" s="52">
        <v>12.5259</v>
      </c>
      <c r="DB87" s="52">
        <v>12.5259</v>
      </c>
      <c r="DC87" s="52">
        <v>12.5259</v>
      </c>
      <c r="DD87" s="52">
        <v>12.5259</v>
      </c>
      <c r="DE87" s="52">
        <v>12.5259</v>
      </c>
      <c r="DF87" s="52">
        <v>12.5259</v>
      </c>
      <c r="DG87" s="52">
        <v>12.5259</v>
      </c>
      <c r="DH87" s="52">
        <v>12.5259</v>
      </c>
      <c r="DI87" s="52">
        <v>12.5259</v>
      </c>
      <c r="DJ87" s="52">
        <v>12.5259</v>
      </c>
      <c r="DK87" s="52">
        <v>12.5259</v>
      </c>
      <c r="DL87" s="52">
        <v>12.5259</v>
      </c>
      <c r="DM87" s="52">
        <v>12.5259</v>
      </c>
      <c r="DN87" s="52">
        <v>12.5259</v>
      </c>
      <c r="DO87" s="52">
        <v>12.5259</v>
      </c>
      <c r="DP87" s="52">
        <v>12.5259</v>
      </c>
      <c r="DQ87" s="52">
        <v>12.5259</v>
      </c>
      <c r="DR87" s="52">
        <v>12.5259</v>
      </c>
      <c r="DS87" s="52">
        <v>12.5259</v>
      </c>
      <c r="DT87" s="52">
        <v>12.5259</v>
      </c>
      <c r="DU87" s="52">
        <v>12.5259</v>
      </c>
      <c r="DV87" s="52">
        <v>12.5259</v>
      </c>
      <c r="DW87" s="52">
        <v>12.5259</v>
      </c>
      <c r="DX87" s="52">
        <v>12.5259</v>
      </c>
      <c r="DY87" s="52">
        <v>12.5259</v>
      </c>
      <c r="DZ87" s="52">
        <v>12.5259</v>
      </c>
      <c r="EA87" s="52">
        <v>12.5259</v>
      </c>
      <c r="EB87" s="52">
        <v>12.5259</v>
      </c>
      <c r="EC87" s="52">
        <v>12.5259</v>
      </c>
      <c r="ED87" s="52">
        <v>12.5259</v>
      </c>
      <c r="EE87" s="52">
        <v>12.5259</v>
      </c>
      <c r="EF87" s="52">
        <v>12.5259</v>
      </c>
      <c r="EG87" s="52">
        <v>12.5259</v>
      </c>
      <c r="EH87" s="52">
        <v>12.5259</v>
      </c>
      <c r="EI87" s="52">
        <v>12.5259</v>
      </c>
      <c r="EJ87" s="52">
        <v>12.5259</v>
      </c>
      <c r="EK87" s="52">
        <v>12.5259</v>
      </c>
      <c r="EL87" s="52">
        <v>12.5259</v>
      </c>
      <c r="EM87" s="52">
        <v>12.5259</v>
      </c>
      <c r="EN87" s="52">
        <v>12.5259</v>
      </c>
      <c r="EO87" s="52">
        <v>12.5259</v>
      </c>
      <c r="EP87" s="52">
        <v>12.5259</v>
      </c>
      <c r="EQ87" s="52">
        <v>12.5259</v>
      </c>
      <c r="ER87" s="52">
        <v>12.5259</v>
      </c>
      <c r="ES87" s="52">
        <v>12.5259</v>
      </c>
      <c r="ET87" s="52">
        <v>12.5259</v>
      </c>
      <c r="EU87" s="52">
        <v>12.5259</v>
      </c>
      <c r="EV87" s="52">
        <v>12.5259</v>
      </c>
      <c r="EW87" s="52">
        <v>12.5259</v>
      </c>
      <c r="EX87" s="52">
        <v>12.5259</v>
      </c>
      <c r="EY87" s="52">
        <v>12.5259</v>
      </c>
      <c r="EZ87" s="52">
        <v>12.5259</v>
      </c>
      <c r="FA87" s="52">
        <v>12.5259</v>
      </c>
      <c r="FB87" s="52">
        <v>12.5259</v>
      </c>
      <c r="FC87" s="52">
        <v>12.5259</v>
      </c>
      <c r="FD87" s="52">
        <v>12.5259</v>
      </c>
      <c r="FE87" s="52">
        <v>12.5259</v>
      </c>
      <c r="FF87" s="52">
        <v>12.5259</v>
      </c>
      <c r="FG87" s="52">
        <v>12.5259</v>
      </c>
      <c r="FH87" s="52">
        <v>12.5259</v>
      </c>
      <c r="FI87" s="52">
        <v>12.5259</v>
      </c>
      <c r="FJ87" s="52">
        <v>12.5259</v>
      </c>
      <c r="FK87" s="52">
        <v>12.5259</v>
      </c>
      <c r="FL87" s="52">
        <v>12.5259</v>
      </c>
      <c r="FM87" s="52">
        <v>12.5259</v>
      </c>
      <c r="FN87" s="52">
        <v>12.5259</v>
      </c>
      <c r="FO87" s="52">
        <v>12.5259</v>
      </c>
      <c r="FP87" s="52">
        <v>12.5259</v>
      </c>
      <c r="FQ87" s="52">
        <v>12.5259</v>
      </c>
      <c r="FR87" s="52">
        <v>12.5259</v>
      </c>
      <c r="FS87" s="52">
        <v>12.5259</v>
      </c>
      <c r="FT87" s="52">
        <v>12.5259</v>
      </c>
      <c r="FU87" s="52">
        <v>12.5259</v>
      </c>
      <c r="FV87" s="52">
        <v>12.5259</v>
      </c>
      <c r="FW87" s="52">
        <v>12.5259</v>
      </c>
      <c r="FX87" s="52">
        <v>12.5259</v>
      </c>
      <c r="FY87" s="52">
        <v>12.5259</v>
      </c>
      <c r="FZ87" s="52">
        <v>12.5259</v>
      </c>
      <c r="GA87" s="52">
        <v>12.5259</v>
      </c>
      <c r="GB87" s="52">
        <v>12.5259</v>
      </c>
      <c r="GC87" s="52">
        <v>12.5259</v>
      </c>
      <c r="GD87" s="52">
        <v>12.5259</v>
      </c>
      <c r="GE87" s="52">
        <v>12.5259</v>
      </c>
      <c r="GF87" s="52">
        <v>12.5259</v>
      </c>
      <c r="GG87" s="52">
        <v>12.5259</v>
      </c>
      <c r="GH87" s="52">
        <v>12.5259</v>
      </c>
      <c r="GI87" s="52">
        <v>12.5259</v>
      </c>
      <c r="GJ87" s="52">
        <v>12.5259</v>
      </c>
      <c r="GK87" s="52">
        <v>12.5259</v>
      </c>
      <c r="GL87" s="52">
        <v>12.5259</v>
      </c>
      <c r="GM87" s="52">
        <v>12.5259</v>
      </c>
      <c r="GN87" s="52">
        <v>12.5259</v>
      </c>
      <c r="GO87" s="52">
        <v>12.5259</v>
      </c>
      <c r="GP87" s="52">
        <v>12.5259</v>
      </c>
      <c r="GQ87" s="52">
        <v>12.5259</v>
      </c>
      <c r="GR87" s="52">
        <v>12.5259</v>
      </c>
      <c r="GS87" s="52">
        <v>12.5259</v>
      </c>
      <c r="GT87" s="52">
        <v>12.5259</v>
      </c>
      <c r="GU87" s="52">
        <v>12.5259</v>
      </c>
      <c r="GV87" s="52">
        <v>12.5259</v>
      </c>
      <c r="GW87" s="52">
        <v>12.5259</v>
      </c>
      <c r="GX87" s="52">
        <v>12.5259</v>
      </c>
      <c r="GY87" s="52">
        <v>12.5259</v>
      </c>
      <c r="GZ87" s="52">
        <v>12.5259</v>
      </c>
      <c r="HA87" s="52">
        <v>12.5259</v>
      </c>
      <c r="HB87" s="52">
        <v>12.5259</v>
      </c>
      <c r="HC87" s="52">
        <v>12.5259</v>
      </c>
      <c r="HD87" s="52">
        <v>12.5259</v>
      </c>
      <c r="HE87" s="52">
        <v>12.5259</v>
      </c>
      <c r="HF87" s="52">
        <v>12.5259</v>
      </c>
      <c r="HG87" s="52">
        <v>12.5259</v>
      </c>
      <c r="HH87" s="52">
        <v>12.5259</v>
      </c>
      <c r="HI87" s="52">
        <v>12.5259</v>
      </c>
      <c r="HJ87" s="52">
        <v>12.5259</v>
      </c>
      <c r="HK87" s="52">
        <v>12.5259</v>
      </c>
      <c r="HL87" s="52">
        <v>12.5259</v>
      </c>
      <c r="HM87" s="52">
        <v>12.5259</v>
      </c>
      <c r="HN87" s="52">
        <v>12.5259</v>
      </c>
      <c r="HO87" s="52">
        <v>12.5259</v>
      </c>
      <c r="HP87" s="52">
        <v>12.5259</v>
      </c>
      <c r="HQ87" s="52">
        <v>12.5259</v>
      </c>
      <c r="HR87" s="52">
        <v>12.5259</v>
      </c>
      <c r="HS87" s="52">
        <v>12.5259</v>
      </c>
      <c r="HT87" s="52">
        <v>12.5259</v>
      </c>
      <c r="HU87" s="52">
        <v>12.5259</v>
      </c>
      <c r="HV87" s="52">
        <v>12.5259</v>
      </c>
      <c r="HW87" s="52">
        <v>12.5259</v>
      </c>
      <c r="HX87" s="52">
        <v>12.5259</v>
      </c>
      <c r="HY87" s="52">
        <v>12.5259</v>
      </c>
      <c r="HZ87" s="52">
        <v>12.5259</v>
      </c>
      <c r="IA87" s="52">
        <v>12.5259</v>
      </c>
      <c r="IB87" s="52">
        <v>12.5259</v>
      </c>
      <c r="IC87" s="52">
        <v>12.5259</v>
      </c>
      <c r="ID87" s="52">
        <v>12.5259</v>
      </c>
      <c r="IE87" s="52">
        <v>12.5259</v>
      </c>
      <c r="IF87" s="52">
        <v>12.5259</v>
      </c>
      <c r="IG87" s="52">
        <v>12.5259</v>
      </c>
      <c r="IH87" s="52">
        <v>12.5259</v>
      </c>
      <c r="II87" s="52">
        <v>12.5259</v>
      </c>
      <c r="IJ87" s="52">
        <v>12.5259</v>
      </c>
      <c r="IK87" s="52">
        <v>12.5259</v>
      </c>
      <c r="IL87" s="52">
        <v>12.5259</v>
      </c>
      <c r="IM87" s="52">
        <v>12.5259</v>
      </c>
      <c r="IN87" s="52">
        <v>12.5259</v>
      </c>
      <c r="IO87" s="52">
        <v>12.5259</v>
      </c>
      <c r="IP87" s="52">
        <v>12.5259</v>
      </c>
      <c r="IQ87" s="52">
        <v>12.5259</v>
      </c>
      <c r="IR87" s="52">
        <v>12.5259</v>
      </c>
      <c r="IS87" s="52">
        <v>12.5259</v>
      </c>
      <c r="IT87" s="52">
        <v>12.5259</v>
      </c>
      <c r="IU87" s="52">
        <v>12.5259</v>
      </c>
      <c r="IV87" s="52">
        <v>12.5259</v>
      </c>
      <c r="IW87" s="52">
        <v>12.5259</v>
      </c>
      <c r="IX87" s="52">
        <v>12.5259</v>
      </c>
      <c r="IY87" s="52">
        <v>12.5259</v>
      </c>
      <c r="IZ87" s="52">
        <v>12.5259</v>
      </c>
      <c r="JA87" s="52">
        <v>12.5259</v>
      </c>
      <c r="JB87" s="52">
        <v>12.5259</v>
      </c>
      <c r="JC87" s="52">
        <v>12.5259</v>
      </c>
      <c r="JD87" s="52">
        <v>12.5259</v>
      </c>
      <c r="JE87" s="52">
        <v>12.5259</v>
      </c>
      <c r="JF87" s="52">
        <v>12.5259</v>
      </c>
      <c r="JG87" s="52">
        <v>12.5259</v>
      </c>
      <c r="JH87" s="52">
        <v>12.5259</v>
      </c>
      <c r="JI87" s="52">
        <v>12.5259</v>
      </c>
      <c r="JJ87" s="52">
        <v>12.5259</v>
      </c>
      <c r="JK87" s="52">
        <v>12.5259</v>
      </c>
      <c r="JL87" s="52">
        <v>12.5259</v>
      </c>
      <c r="JM87" s="52">
        <v>12.5259</v>
      </c>
      <c r="JN87" s="52">
        <v>12.5259</v>
      </c>
      <c r="JO87" s="52">
        <v>12.5259</v>
      </c>
      <c r="JP87" s="52">
        <v>12.5259</v>
      </c>
      <c r="JQ87" s="52">
        <v>12.5259</v>
      </c>
      <c r="JR87" s="52">
        <v>12.5259</v>
      </c>
      <c r="JS87" s="52">
        <v>12.5259</v>
      </c>
      <c r="JT87" s="52">
        <v>12.5259</v>
      </c>
      <c r="JU87" s="52">
        <v>12.5259</v>
      </c>
      <c r="JV87" s="52">
        <v>12.5259</v>
      </c>
      <c r="JW87" s="52">
        <v>12.5259</v>
      </c>
      <c r="JX87" s="52">
        <v>12.5259</v>
      </c>
      <c r="JY87" s="52">
        <v>12.5259</v>
      </c>
      <c r="JZ87" s="52">
        <v>12.5259</v>
      </c>
      <c r="KA87" s="52">
        <v>12.5259</v>
      </c>
      <c r="KB87" s="52">
        <v>12.5259</v>
      </c>
      <c r="KC87" s="52">
        <v>12.5259</v>
      </c>
      <c r="KD87" s="52">
        <v>12.5259</v>
      </c>
      <c r="KE87" s="52">
        <v>12.5259</v>
      </c>
      <c r="KF87" s="52">
        <v>12.5259</v>
      </c>
      <c r="KG87" s="52">
        <v>12.5259</v>
      </c>
      <c r="KH87" s="52">
        <v>12.5259</v>
      </c>
      <c r="KI87" s="52">
        <v>12.5259</v>
      </c>
      <c r="KJ87" s="52">
        <v>12.5259</v>
      </c>
      <c r="KK87" s="52">
        <v>12.5259</v>
      </c>
      <c r="KL87" s="52">
        <v>12.5259</v>
      </c>
      <c r="KM87" s="52">
        <v>12.5259</v>
      </c>
      <c r="KN87" s="52">
        <v>12.5259</v>
      </c>
      <c r="KO87" s="52">
        <v>12.5259</v>
      </c>
      <c r="KP87" s="52">
        <v>12.5259</v>
      </c>
      <c r="KQ87" s="52">
        <v>12.5259</v>
      </c>
      <c r="KR87" s="52">
        <v>12.5259</v>
      </c>
      <c r="KS87" s="52">
        <v>12.5259</v>
      </c>
      <c r="KT87" s="52">
        <v>12.5259</v>
      </c>
      <c r="KU87" s="52">
        <v>12.5259</v>
      </c>
      <c r="KV87" s="52">
        <v>12.5259</v>
      </c>
      <c r="KW87" s="52">
        <v>12.5259</v>
      </c>
      <c r="KX87" s="52">
        <v>12.5259</v>
      </c>
      <c r="KY87" s="52">
        <v>12.5259</v>
      </c>
      <c r="KZ87" s="52">
        <v>12.5259</v>
      </c>
      <c r="LA87" s="52">
        <v>12.5259</v>
      </c>
      <c r="LB87" s="52">
        <v>12.5259</v>
      </c>
      <c r="LC87" s="52">
        <v>12.5259</v>
      </c>
      <c r="LD87" s="52">
        <v>12.5259</v>
      </c>
      <c r="LE87" s="52">
        <v>12.5259</v>
      </c>
      <c r="LF87" s="52">
        <v>12.5259</v>
      </c>
      <c r="LG87" s="52">
        <v>12.5259</v>
      </c>
      <c r="LH87" s="52">
        <v>12.5259</v>
      </c>
      <c r="LI87" s="52">
        <v>12.5259</v>
      </c>
      <c r="LJ87" s="52">
        <v>12.5259</v>
      </c>
      <c r="LK87" s="52">
        <v>12.5259</v>
      </c>
      <c r="LL87" s="52">
        <v>12.5259</v>
      </c>
      <c r="LM87" s="52">
        <v>12.5259</v>
      </c>
      <c r="LN87" s="52">
        <v>12.5259</v>
      </c>
      <c r="LO87" s="52">
        <v>12.5259</v>
      </c>
      <c r="LP87" s="52">
        <v>12.5259</v>
      </c>
      <c r="LQ87" s="52">
        <v>12.5259</v>
      </c>
      <c r="LR87" s="52">
        <v>12.5259</v>
      </c>
      <c r="LS87" s="52">
        <v>12.5259</v>
      </c>
      <c r="LT87" s="52">
        <v>12.5259</v>
      </c>
      <c r="LU87" s="52">
        <v>12.5259</v>
      </c>
      <c r="LV87" s="52">
        <v>12.5259</v>
      </c>
      <c r="LW87" s="52">
        <v>12.5259</v>
      </c>
      <c r="LX87" s="52">
        <v>12.5259</v>
      </c>
      <c r="LY87" s="52">
        <v>12.5259</v>
      </c>
      <c r="LZ87" s="52">
        <v>12.5259</v>
      </c>
      <c r="MA87" s="52">
        <v>12.5259</v>
      </c>
      <c r="MB87" s="52">
        <v>12.5259</v>
      </c>
      <c r="MC87" s="52">
        <v>12.5259</v>
      </c>
      <c r="MD87" s="52">
        <v>12.5259</v>
      </c>
      <c r="ME87" s="52">
        <v>12.5259</v>
      </c>
      <c r="MF87" s="52">
        <v>12.5259</v>
      </c>
      <c r="MG87" s="52">
        <v>12.5259</v>
      </c>
      <c r="MH87" s="52">
        <v>12.5259</v>
      </c>
      <c r="MI87" s="52">
        <v>12.5259</v>
      </c>
      <c r="MJ87" s="52">
        <v>12.5259</v>
      </c>
      <c r="MK87" s="52">
        <v>12.5259</v>
      </c>
      <c r="ML87" s="52">
        <v>12.5259</v>
      </c>
      <c r="MM87" s="52">
        <v>12.5259</v>
      </c>
      <c r="MN87" s="52">
        <v>12.5259</v>
      </c>
      <c r="MO87" s="52">
        <v>12.5259</v>
      </c>
      <c r="MP87" s="52">
        <v>12.5259</v>
      </c>
      <c r="MQ87" s="52">
        <v>12.5259</v>
      </c>
      <c r="MR87" s="52">
        <v>12.5259</v>
      </c>
      <c r="MS87" s="52">
        <v>12.5259</v>
      </c>
      <c r="MT87" s="52">
        <v>12.5259</v>
      </c>
      <c r="MU87" s="52">
        <v>12.5259</v>
      </c>
      <c r="MV87" s="52">
        <v>12.5259</v>
      </c>
      <c r="MW87" s="52">
        <v>12.5259</v>
      </c>
      <c r="MX87" s="52">
        <v>12.5259</v>
      </c>
      <c r="MY87" s="52">
        <v>12.5259</v>
      </c>
      <c r="MZ87" s="52">
        <v>12.5259</v>
      </c>
      <c r="NA87" s="52">
        <v>12.5259</v>
      </c>
      <c r="NB87" s="52">
        <v>12.5259</v>
      </c>
      <c r="NC87" s="52">
        <v>12.5259</v>
      </c>
      <c r="ND87" s="52">
        <v>12.5259</v>
      </c>
      <c r="NE87" s="52">
        <v>12.5259</v>
      </c>
      <c r="NF87" s="52">
        <v>12.5259</v>
      </c>
      <c r="NG87" s="52">
        <v>12.5259</v>
      </c>
      <c r="NH87" s="37">
        <v>12.5259</v>
      </c>
      <c r="NI87" s="37">
        <v>12.5259</v>
      </c>
      <c r="NJ87" s="37">
        <v>12.5259</v>
      </c>
      <c r="NK87" s="37">
        <v>12.5259</v>
      </c>
      <c r="NL87" s="37">
        <v>12.5259</v>
      </c>
      <c r="NM87" s="37">
        <v>12.5259</v>
      </c>
      <c r="NN87" s="37">
        <v>12.5259</v>
      </c>
      <c r="NO87" s="37">
        <v>12.5259</v>
      </c>
      <c r="NP87" s="37">
        <v>12.5259</v>
      </c>
      <c r="NQ87" s="37">
        <v>12.5259</v>
      </c>
      <c r="NR87" s="37">
        <v>12.5259</v>
      </c>
      <c r="NS87" s="37">
        <v>12.5259</v>
      </c>
      <c r="NT87" s="37">
        <v>12.5259</v>
      </c>
      <c r="NU87" s="37">
        <v>12.5259</v>
      </c>
      <c r="NV87" s="37">
        <v>12.5259</v>
      </c>
      <c r="NW87" s="37">
        <v>12.5259</v>
      </c>
      <c r="NX87" s="37">
        <v>12.5259</v>
      </c>
      <c r="NY87" s="37">
        <v>12.5259</v>
      </c>
      <c r="NZ87" s="37">
        <v>12.5259</v>
      </c>
      <c r="OA87" s="37">
        <v>12.5259</v>
      </c>
      <c r="OB87" s="37">
        <v>12.5259</v>
      </c>
      <c r="OC87" s="37">
        <v>12.5259</v>
      </c>
      <c r="OD87" s="37">
        <v>12.5259</v>
      </c>
      <c r="OE87" s="37">
        <v>12.5259</v>
      </c>
      <c r="OF87" s="37">
        <v>12.5259</v>
      </c>
      <c r="OG87" s="37">
        <v>12.5259</v>
      </c>
      <c r="OH87" s="37">
        <v>12.5259</v>
      </c>
      <c r="OI87" s="37">
        <v>12.5259</v>
      </c>
      <c r="OJ87" s="37">
        <v>12.5259</v>
      </c>
      <c r="OK87" s="37">
        <v>12.5259</v>
      </c>
      <c r="OL87" s="37">
        <v>12.5259</v>
      </c>
      <c r="OM87" s="37">
        <v>12.5259</v>
      </c>
      <c r="ON87" s="37">
        <v>12.5259</v>
      </c>
      <c r="OO87" s="37">
        <v>12.5259</v>
      </c>
      <c r="OP87" s="37">
        <v>12.5259</v>
      </c>
      <c r="OQ87" s="37">
        <v>12.5259</v>
      </c>
      <c r="OR87" s="37">
        <v>12.5259</v>
      </c>
      <c r="OS87" s="37">
        <v>12.5259</v>
      </c>
      <c r="OT87" s="37">
        <v>12.5259</v>
      </c>
      <c r="OU87" s="37">
        <v>12.5259</v>
      </c>
      <c r="OV87" s="37">
        <v>12.5259</v>
      </c>
      <c r="OW87" s="37">
        <v>12.5259</v>
      </c>
      <c r="OX87" s="37">
        <v>12.5259</v>
      </c>
      <c r="OY87" s="37">
        <v>12.5259</v>
      </c>
      <c r="OZ87" s="37">
        <v>12.5259</v>
      </c>
      <c r="PA87" s="37">
        <v>12.5259</v>
      </c>
      <c r="PB87" s="37">
        <v>12.5259</v>
      </c>
      <c r="PC87" s="37">
        <v>12.5259</v>
      </c>
      <c r="PD87" s="37">
        <v>12.5259</v>
      </c>
      <c r="PE87" s="37">
        <v>12.5259</v>
      </c>
      <c r="PF87" s="37">
        <v>12.5259</v>
      </c>
      <c r="PG87" s="37">
        <v>12.5259</v>
      </c>
      <c r="PH87" s="37">
        <v>12.5259</v>
      </c>
      <c r="PI87" s="37">
        <v>11.653</v>
      </c>
    </row>
    <row r="88" spans="1:510" x14ac:dyDescent="0.2">
      <c r="A88" s="37">
        <v>86</v>
      </c>
      <c r="B88" s="37" t="s">
        <v>908</v>
      </c>
      <c r="C88" s="17">
        <f>+'Detalle Compras'!D88</f>
        <v>202510300126</v>
      </c>
      <c r="D88" s="55">
        <f t="shared" si="16"/>
        <v>13.26765</v>
      </c>
      <c r="E88" s="14">
        <f>+IF(B88="","",'Detalle Compras'!S88+0)</f>
        <v>46001</v>
      </c>
      <c r="F88" s="14">
        <f>+IF(B88="","",EOMONTH('Detalle Compras'!S88,G88)+10)</f>
        <v>56259</v>
      </c>
      <c r="G88" s="50">
        <f t="shared" si="17"/>
        <v>336</v>
      </c>
      <c r="H88" s="50">
        <f t="shared" si="18"/>
        <v>334</v>
      </c>
      <c r="AD88" s="37">
        <v>13.26765</v>
      </c>
      <c r="AE88" s="37">
        <v>13.26765</v>
      </c>
      <c r="AF88" s="37">
        <v>13.26765</v>
      </c>
      <c r="AG88" s="37">
        <v>13.26765</v>
      </c>
      <c r="AH88" s="37">
        <v>13.26765</v>
      </c>
      <c r="AI88" s="37">
        <v>13.26765</v>
      </c>
      <c r="AJ88" s="37">
        <v>13.26765</v>
      </c>
      <c r="AK88" s="37">
        <v>13.26765</v>
      </c>
      <c r="AL88" s="37">
        <v>13.26765</v>
      </c>
      <c r="AM88" s="37">
        <v>13.26765</v>
      </c>
      <c r="AN88" s="37">
        <v>13.26765</v>
      </c>
      <c r="AO88" s="37">
        <v>13.26765</v>
      </c>
      <c r="AP88" s="37">
        <v>13.26765</v>
      </c>
      <c r="AQ88" s="37">
        <v>13.26765</v>
      </c>
      <c r="AR88" s="37">
        <v>13.26765</v>
      </c>
      <c r="AS88" s="37">
        <v>13.26765</v>
      </c>
      <c r="AT88" s="37">
        <v>13.26765</v>
      </c>
      <c r="AU88" s="37">
        <v>13.26765</v>
      </c>
      <c r="AV88" s="37">
        <v>13.26765</v>
      </c>
      <c r="AW88" s="37">
        <v>13.26765</v>
      </c>
      <c r="AX88" s="37">
        <v>13.26765</v>
      </c>
      <c r="AY88" s="37">
        <v>13.26765</v>
      </c>
      <c r="AZ88" s="37">
        <v>13.26765</v>
      </c>
      <c r="BA88" s="37">
        <v>13.26765</v>
      </c>
      <c r="BB88" s="37">
        <v>13.26765</v>
      </c>
      <c r="BC88" s="37">
        <v>13.26765</v>
      </c>
      <c r="BD88" s="37">
        <v>13.26765</v>
      </c>
      <c r="BE88" s="37">
        <v>13.26765</v>
      </c>
      <c r="BF88" s="37">
        <v>13.26765</v>
      </c>
      <c r="BG88" s="37">
        <v>13.26765</v>
      </c>
      <c r="BH88" s="37">
        <v>13.26765</v>
      </c>
      <c r="BI88" s="37">
        <v>13.26765</v>
      </c>
      <c r="BJ88" s="37">
        <v>13.26765</v>
      </c>
      <c r="BK88" s="37">
        <v>13.26765</v>
      </c>
      <c r="BL88" s="37">
        <v>13.26765</v>
      </c>
      <c r="BM88" s="37">
        <v>13.26765</v>
      </c>
      <c r="BN88" s="37">
        <v>13.26765</v>
      </c>
      <c r="BO88" s="37">
        <v>13.26765</v>
      </c>
      <c r="BP88" s="37">
        <v>13.26765</v>
      </c>
      <c r="BQ88" s="37">
        <v>13.26765</v>
      </c>
      <c r="BR88" s="37">
        <v>13.26765</v>
      </c>
      <c r="BS88" s="37">
        <v>13.26765</v>
      </c>
      <c r="BT88" s="37">
        <v>13.26765</v>
      </c>
      <c r="BU88" s="37">
        <v>13.26765</v>
      </c>
      <c r="BV88" s="37">
        <v>13.26765</v>
      </c>
      <c r="BW88" s="37">
        <v>13.26765</v>
      </c>
      <c r="BX88" s="37">
        <v>13.26765</v>
      </c>
      <c r="BY88" s="37">
        <v>13.26765</v>
      </c>
      <c r="BZ88" s="37">
        <v>13.26765</v>
      </c>
      <c r="CA88" s="37">
        <v>13.26765</v>
      </c>
      <c r="CB88" s="37">
        <v>13.26765</v>
      </c>
      <c r="CC88" s="37">
        <v>13.26765</v>
      </c>
      <c r="CD88" s="37">
        <v>13.26765</v>
      </c>
      <c r="CE88" s="37">
        <v>13.26765</v>
      </c>
      <c r="CF88" s="37">
        <v>13.26765</v>
      </c>
      <c r="CG88" s="37">
        <v>13.26765</v>
      </c>
      <c r="CH88" s="37">
        <v>13.26765</v>
      </c>
      <c r="CI88" s="37">
        <v>13.26765</v>
      </c>
      <c r="CJ88" s="37">
        <v>13.26765</v>
      </c>
      <c r="CK88" s="37">
        <v>13.26765</v>
      </c>
      <c r="CL88" s="37">
        <v>13.26765</v>
      </c>
      <c r="CM88" s="37">
        <v>13.26765</v>
      </c>
      <c r="CN88" s="37">
        <v>13.26765</v>
      </c>
      <c r="CO88" s="37">
        <v>13.26765</v>
      </c>
      <c r="CP88" s="37">
        <v>13.26765</v>
      </c>
      <c r="CQ88" s="37">
        <v>13.26765</v>
      </c>
      <c r="CR88" s="37">
        <v>13.26765</v>
      </c>
      <c r="CS88" s="37">
        <v>13.26765</v>
      </c>
      <c r="CT88" s="37">
        <v>13.26765</v>
      </c>
      <c r="CU88" s="37">
        <v>13.26765</v>
      </c>
      <c r="CV88" s="37">
        <v>13.26765</v>
      </c>
      <c r="CW88" s="37">
        <v>13.26765</v>
      </c>
      <c r="CX88" s="37">
        <v>13.26765</v>
      </c>
      <c r="CY88" s="37">
        <v>13.26765</v>
      </c>
      <c r="CZ88" s="37">
        <v>13.26765</v>
      </c>
      <c r="DA88" s="37">
        <v>13.26765</v>
      </c>
      <c r="DB88" s="37">
        <v>13.26765</v>
      </c>
      <c r="DC88" s="37">
        <v>13.26765</v>
      </c>
      <c r="DD88" s="37">
        <v>13.26765</v>
      </c>
      <c r="DE88" s="37">
        <v>13.26765</v>
      </c>
      <c r="DF88" s="37">
        <v>13.26765</v>
      </c>
      <c r="DG88" s="37">
        <v>13.26765</v>
      </c>
      <c r="DH88" s="37">
        <v>13.26765</v>
      </c>
      <c r="DI88" s="37">
        <v>13.26765</v>
      </c>
      <c r="DJ88" s="37">
        <v>13.26765</v>
      </c>
      <c r="DK88" s="37">
        <v>13.26765</v>
      </c>
      <c r="DL88" s="37">
        <v>13.26765</v>
      </c>
      <c r="DM88" s="37">
        <v>13.26765</v>
      </c>
      <c r="DN88" s="37">
        <v>13.26765</v>
      </c>
      <c r="DO88" s="37">
        <v>13.26765</v>
      </c>
      <c r="DP88" s="37">
        <v>13.26765</v>
      </c>
      <c r="DQ88" s="37">
        <v>13.26765</v>
      </c>
      <c r="DR88" s="37">
        <v>13.26765</v>
      </c>
      <c r="DS88" s="37">
        <v>13.26765</v>
      </c>
      <c r="DT88" s="37">
        <v>13.26765</v>
      </c>
      <c r="DU88" s="37">
        <v>13.26765</v>
      </c>
      <c r="DV88" s="37">
        <v>13.26765</v>
      </c>
      <c r="DW88" s="37">
        <v>13.26765</v>
      </c>
      <c r="DX88" s="37">
        <v>13.26765</v>
      </c>
      <c r="DY88" s="37">
        <v>13.26765</v>
      </c>
      <c r="DZ88" s="37">
        <v>13.26765</v>
      </c>
      <c r="EA88" s="37">
        <v>13.26765</v>
      </c>
      <c r="EB88" s="37">
        <v>13.26765</v>
      </c>
      <c r="EC88" s="37">
        <v>13.26765</v>
      </c>
      <c r="ED88" s="37">
        <v>13.26765</v>
      </c>
      <c r="EE88" s="37">
        <v>13.26765</v>
      </c>
      <c r="EF88" s="37">
        <v>13.26765</v>
      </c>
      <c r="EG88" s="37">
        <v>13.26765</v>
      </c>
      <c r="EH88" s="37">
        <v>13.26765</v>
      </c>
      <c r="EI88" s="37">
        <v>13.26765</v>
      </c>
      <c r="EJ88" s="37">
        <v>13.26765</v>
      </c>
      <c r="EK88" s="37">
        <v>13.26765</v>
      </c>
      <c r="EL88" s="37">
        <v>13.26765</v>
      </c>
      <c r="EM88" s="37">
        <v>13.26765</v>
      </c>
      <c r="EN88" s="37">
        <v>13.26765</v>
      </c>
      <c r="EO88" s="37">
        <v>13.26765</v>
      </c>
      <c r="EP88" s="37">
        <v>13.26765</v>
      </c>
      <c r="EQ88" s="37">
        <v>13.26765</v>
      </c>
      <c r="ER88" s="37">
        <v>13.26765</v>
      </c>
      <c r="ES88" s="37">
        <v>13.26765</v>
      </c>
      <c r="ET88" s="37">
        <v>13.26765</v>
      </c>
      <c r="EU88" s="37">
        <v>13.26765</v>
      </c>
      <c r="EV88" s="37">
        <v>13.26765</v>
      </c>
      <c r="EW88" s="37">
        <v>13.26765</v>
      </c>
      <c r="EX88" s="37">
        <v>13.26765</v>
      </c>
      <c r="EY88" s="37">
        <v>13.26765</v>
      </c>
      <c r="EZ88" s="37">
        <v>13.26765</v>
      </c>
      <c r="FA88" s="37">
        <v>13.26765</v>
      </c>
      <c r="FB88" s="37">
        <v>13.26765</v>
      </c>
      <c r="FC88" s="37">
        <v>13.26765</v>
      </c>
      <c r="FD88" s="37">
        <v>13.26765</v>
      </c>
      <c r="FE88" s="37">
        <v>13.26765</v>
      </c>
      <c r="FF88" s="37">
        <v>13.26765</v>
      </c>
      <c r="FG88" s="37">
        <v>13.26765</v>
      </c>
      <c r="FH88" s="37">
        <v>13.26765</v>
      </c>
      <c r="FI88" s="37">
        <v>13.26765</v>
      </c>
      <c r="FJ88" s="37">
        <v>13.26765</v>
      </c>
      <c r="FK88" s="37">
        <v>13.26765</v>
      </c>
      <c r="FL88" s="37">
        <v>13.26765</v>
      </c>
      <c r="FM88" s="37">
        <v>13.26765</v>
      </c>
      <c r="FN88" s="37">
        <v>13.26765</v>
      </c>
      <c r="FO88" s="37">
        <v>13.26765</v>
      </c>
      <c r="FP88" s="37">
        <v>13.26765</v>
      </c>
      <c r="FQ88" s="37">
        <v>13.26765</v>
      </c>
      <c r="FR88" s="37">
        <v>13.26765</v>
      </c>
      <c r="FS88" s="37">
        <v>13.26765</v>
      </c>
      <c r="FT88" s="37">
        <v>13.26765</v>
      </c>
      <c r="FU88" s="37">
        <v>13.26765</v>
      </c>
      <c r="FV88" s="37">
        <v>13.26765</v>
      </c>
      <c r="FW88" s="37">
        <v>13.26765</v>
      </c>
      <c r="FX88" s="37">
        <v>13.26765</v>
      </c>
      <c r="FY88" s="37">
        <v>13.26765</v>
      </c>
      <c r="FZ88" s="37">
        <v>13.26765</v>
      </c>
      <c r="GA88" s="37">
        <v>13.26765</v>
      </c>
      <c r="GB88" s="37">
        <v>13.26765</v>
      </c>
      <c r="GC88" s="37">
        <v>13.26765</v>
      </c>
      <c r="GD88" s="37">
        <v>13.26765</v>
      </c>
      <c r="GE88" s="37">
        <v>13.26765</v>
      </c>
      <c r="GF88" s="37">
        <v>13.26765</v>
      </c>
      <c r="GG88" s="37">
        <v>13.26765</v>
      </c>
      <c r="GH88" s="37">
        <v>13.26765</v>
      </c>
      <c r="GI88" s="37">
        <v>13.26765</v>
      </c>
      <c r="GJ88" s="37">
        <v>13.26765</v>
      </c>
      <c r="GK88" s="37">
        <v>13.26765</v>
      </c>
      <c r="GL88" s="37">
        <v>13.26765</v>
      </c>
      <c r="GM88" s="37">
        <v>13.26765</v>
      </c>
      <c r="GN88" s="37">
        <v>13.26765</v>
      </c>
      <c r="GO88" s="37">
        <v>13.26765</v>
      </c>
      <c r="GP88" s="37">
        <v>13.26765</v>
      </c>
      <c r="GQ88" s="37">
        <v>13.26765</v>
      </c>
      <c r="GR88" s="37">
        <v>13.26765</v>
      </c>
      <c r="GS88" s="37">
        <v>13.26765</v>
      </c>
      <c r="GT88" s="37">
        <v>13.26765</v>
      </c>
      <c r="GU88" s="37">
        <v>13.26765</v>
      </c>
      <c r="GV88" s="37">
        <v>13.26765</v>
      </c>
      <c r="GW88" s="37">
        <v>13.26765</v>
      </c>
      <c r="GX88" s="37">
        <v>13.26765</v>
      </c>
      <c r="GY88" s="37">
        <v>13.26765</v>
      </c>
      <c r="GZ88" s="37">
        <v>13.26765</v>
      </c>
      <c r="HA88" s="37">
        <v>13.26765</v>
      </c>
      <c r="HB88" s="37">
        <v>13.26765</v>
      </c>
      <c r="HC88" s="37">
        <v>13.26765</v>
      </c>
      <c r="HD88" s="37">
        <v>13.26765</v>
      </c>
      <c r="HE88" s="37">
        <v>13.26765</v>
      </c>
      <c r="HF88" s="37">
        <v>13.26765</v>
      </c>
      <c r="HG88" s="37">
        <v>13.26765</v>
      </c>
      <c r="HH88" s="37">
        <v>13.26765</v>
      </c>
      <c r="HI88" s="37">
        <v>13.26765</v>
      </c>
      <c r="HJ88" s="37">
        <v>13.26765</v>
      </c>
      <c r="HK88" s="37">
        <v>13.26765</v>
      </c>
      <c r="HL88" s="37">
        <v>13.26765</v>
      </c>
      <c r="HM88" s="37">
        <v>13.26765</v>
      </c>
      <c r="HN88" s="37">
        <v>13.26765</v>
      </c>
      <c r="HO88" s="37">
        <v>13.26765</v>
      </c>
      <c r="HP88" s="37">
        <v>13.26765</v>
      </c>
      <c r="HQ88" s="37">
        <v>13.26765</v>
      </c>
      <c r="HR88" s="37">
        <v>13.26765</v>
      </c>
      <c r="HS88" s="37">
        <v>13.26765</v>
      </c>
      <c r="HT88" s="37">
        <v>13.26765</v>
      </c>
      <c r="HU88" s="37">
        <v>13.26765</v>
      </c>
      <c r="HV88" s="37">
        <v>13.26765</v>
      </c>
      <c r="HW88" s="37">
        <v>13.26765</v>
      </c>
      <c r="HX88" s="37">
        <v>13.26765</v>
      </c>
      <c r="HY88" s="37">
        <v>13.26765</v>
      </c>
      <c r="HZ88" s="37">
        <v>13.26765</v>
      </c>
      <c r="IA88" s="37">
        <v>13.26765</v>
      </c>
      <c r="IB88" s="37">
        <v>13.26765</v>
      </c>
      <c r="IC88" s="37">
        <v>13.26765</v>
      </c>
      <c r="ID88" s="37">
        <v>13.26765</v>
      </c>
      <c r="IE88" s="37">
        <v>13.26765</v>
      </c>
      <c r="IF88" s="37">
        <v>13.26765</v>
      </c>
      <c r="IG88" s="37">
        <v>13.26765</v>
      </c>
      <c r="IH88" s="37">
        <v>13.26765</v>
      </c>
      <c r="II88" s="37">
        <v>13.26765</v>
      </c>
      <c r="IJ88" s="37">
        <v>13.26765</v>
      </c>
      <c r="IK88" s="37">
        <v>13.26765</v>
      </c>
      <c r="IL88" s="37">
        <v>13.26765</v>
      </c>
      <c r="IM88" s="37">
        <v>13.26765</v>
      </c>
      <c r="IN88" s="37">
        <v>13.26765</v>
      </c>
      <c r="IO88" s="37">
        <v>13.26765</v>
      </c>
      <c r="IP88" s="37">
        <v>13.26765</v>
      </c>
      <c r="IQ88" s="37">
        <v>13.26765</v>
      </c>
      <c r="IR88" s="37">
        <v>13.26765</v>
      </c>
      <c r="IS88" s="37">
        <v>13.26765</v>
      </c>
      <c r="IT88" s="37">
        <v>13.26765</v>
      </c>
      <c r="IU88" s="37">
        <v>13.26765</v>
      </c>
      <c r="IV88" s="37">
        <v>13.26765</v>
      </c>
      <c r="IW88" s="37">
        <v>13.26765</v>
      </c>
      <c r="IX88" s="37">
        <v>13.26765</v>
      </c>
      <c r="IY88" s="37">
        <v>13.26765</v>
      </c>
      <c r="IZ88" s="37">
        <v>13.26765</v>
      </c>
      <c r="JA88" s="37">
        <v>13.26765</v>
      </c>
      <c r="JB88" s="37">
        <v>13.26765</v>
      </c>
      <c r="JC88" s="37">
        <v>13.26765</v>
      </c>
      <c r="JD88" s="37">
        <v>13.26765</v>
      </c>
      <c r="JE88" s="37">
        <v>13.26765</v>
      </c>
      <c r="JF88" s="37">
        <v>13.26765</v>
      </c>
      <c r="JG88" s="37">
        <v>13.26765</v>
      </c>
      <c r="JH88" s="37">
        <v>13.26765</v>
      </c>
      <c r="JI88" s="37">
        <v>13.26765</v>
      </c>
      <c r="JJ88" s="37">
        <v>13.26765</v>
      </c>
      <c r="JK88" s="37">
        <v>13.26765</v>
      </c>
      <c r="JL88" s="37">
        <v>13.26765</v>
      </c>
      <c r="JM88" s="37">
        <v>13.26765</v>
      </c>
      <c r="JN88" s="37">
        <v>13.26765</v>
      </c>
      <c r="JO88" s="37">
        <v>13.26765</v>
      </c>
      <c r="JP88" s="37">
        <v>13.26765</v>
      </c>
      <c r="JQ88" s="37">
        <v>13.26765</v>
      </c>
      <c r="JR88" s="37">
        <v>13.26765</v>
      </c>
      <c r="JS88" s="37">
        <v>13.26765</v>
      </c>
      <c r="JT88" s="37">
        <v>13.26765</v>
      </c>
      <c r="JU88" s="37">
        <v>13.26765</v>
      </c>
      <c r="JV88" s="37">
        <v>13.26765</v>
      </c>
      <c r="JW88" s="37">
        <v>13.26765</v>
      </c>
      <c r="JX88" s="37">
        <v>13.26765</v>
      </c>
      <c r="JY88" s="37">
        <v>13.26765</v>
      </c>
      <c r="JZ88" s="37">
        <v>13.26765</v>
      </c>
      <c r="KA88" s="37">
        <v>13.26765</v>
      </c>
      <c r="KB88" s="37">
        <v>13.26765</v>
      </c>
      <c r="KC88" s="37">
        <v>13.26765</v>
      </c>
      <c r="KD88" s="37">
        <v>13.26765</v>
      </c>
      <c r="KE88" s="37">
        <v>13.26765</v>
      </c>
      <c r="KF88" s="37">
        <v>13.26765</v>
      </c>
      <c r="KG88" s="37">
        <v>13.26765</v>
      </c>
      <c r="KH88" s="37">
        <v>13.26765</v>
      </c>
      <c r="KI88" s="37">
        <v>13.26765</v>
      </c>
      <c r="KJ88" s="37">
        <v>13.26765</v>
      </c>
      <c r="KK88" s="37">
        <v>13.26765</v>
      </c>
      <c r="KL88" s="37">
        <v>13.26765</v>
      </c>
      <c r="KM88" s="37">
        <v>13.26765</v>
      </c>
      <c r="KN88" s="37">
        <v>13.26765</v>
      </c>
      <c r="KO88" s="37">
        <v>13.26765</v>
      </c>
      <c r="KP88" s="37">
        <v>13.26765</v>
      </c>
      <c r="KQ88" s="37">
        <v>13.26765</v>
      </c>
      <c r="KR88" s="37">
        <v>13.26765</v>
      </c>
      <c r="KS88" s="37">
        <v>13.26765</v>
      </c>
      <c r="KT88" s="37">
        <v>13.26765</v>
      </c>
      <c r="KU88" s="37">
        <v>13.26765</v>
      </c>
      <c r="KV88" s="37">
        <v>13.26765</v>
      </c>
      <c r="KW88" s="37">
        <v>13.26765</v>
      </c>
      <c r="KX88" s="37">
        <v>13.26765</v>
      </c>
      <c r="KY88" s="37">
        <v>13.26765</v>
      </c>
      <c r="KZ88" s="37">
        <v>13.26765</v>
      </c>
      <c r="LA88" s="37">
        <v>13.26765</v>
      </c>
      <c r="LB88" s="37">
        <v>13.26765</v>
      </c>
      <c r="LC88" s="37">
        <v>13.26765</v>
      </c>
      <c r="LD88" s="37">
        <v>13.26765</v>
      </c>
      <c r="LE88" s="37">
        <v>13.26765</v>
      </c>
      <c r="LF88" s="37">
        <v>13.26765</v>
      </c>
      <c r="LG88" s="37">
        <v>13.26765</v>
      </c>
      <c r="LH88" s="37">
        <v>13.26765</v>
      </c>
      <c r="LI88" s="37">
        <v>13.26765</v>
      </c>
      <c r="LJ88" s="37">
        <v>13.26765</v>
      </c>
      <c r="LK88" s="37">
        <v>13.26765</v>
      </c>
      <c r="LL88" s="37">
        <v>13.26765</v>
      </c>
      <c r="LM88" s="37">
        <v>13.26765</v>
      </c>
      <c r="LN88" s="37">
        <v>13.26765</v>
      </c>
      <c r="LO88" s="37">
        <v>13.26765</v>
      </c>
      <c r="LP88" s="37">
        <v>13.26765</v>
      </c>
      <c r="LQ88" s="37">
        <v>13.26765</v>
      </c>
      <c r="LR88" s="37">
        <v>13.26765</v>
      </c>
      <c r="LS88" s="37">
        <v>13.26765</v>
      </c>
      <c r="LT88" s="37">
        <v>13.26765</v>
      </c>
      <c r="LU88" s="37">
        <v>13.26765</v>
      </c>
      <c r="LV88" s="37">
        <v>13.26765</v>
      </c>
      <c r="LW88" s="37">
        <v>13.26765</v>
      </c>
      <c r="LX88" s="37">
        <v>13.26765</v>
      </c>
      <c r="LY88" s="37">
        <v>13.26765</v>
      </c>
      <c r="LZ88" s="37">
        <v>13.26765</v>
      </c>
      <c r="MA88" s="37">
        <v>13.26765</v>
      </c>
      <c r="MB88" s="37">
        <v>13.26765</v>
      </c>
      <c r="MC88" s="37">
        <v>13.26765</v>
      </c>
      <c r="MD88" s="37">
        <v>13.26765</v>
      </c>
      <c r="ME88" s="37">
        <v>13.26765</v>
      </c>
      <c r="MF88" s="37">
        <v>13.26765</v>
      </c>
      <c r="MG88" s="37">
        <v>13.26765</v>
      </c>
      <c r="MH88" s="37">
        <v>13.26765</v>
      </c>
      <c r="MI88" s="37">
        <v>13.26765</v>
      </c>
      <c r="MJ88" s="37">
        <v>13.26765</v>
      </c>
      <c r="MK88" s="37">
        <v>13.26765</v>
      </c>
      <c r="ML88" s="37">
        <v>13.26765</v>
      </c>
      <c r="MM88" s="37">
        <v>13.26765</v>
      </c>
      <c r="MN88" s="37">
        <v>13.26765</v>
      </c>
      <c r="MO88" s="37">
        <v>13.26765</v>
      </c>
      <c r="MP88" s="37">
        <v>13.26765</v>
      </c>
      <c r="MQ88" s="37">
        <v>13.26765</v>
      </c>
      <c r="MR88" s="37">
        <v>13.26765</v>
      </c>
      <c r="MS88" s="37">
        <v>13.26765</v>
      </c>
      <c r="MT88" s="37">
        <v>13.26765</v>
      </c>
      <c r="MU88" s="37">
        <v>13.26765</v>
      </c>
      <c r="MV88" s="37">
        <v>13.26765</v>
      </c>
      <c r="MW88" s="37">
        <v>13.26765</v>
      </c>
      <c r="MX88" s="37">
        <v>13.26765</v>
      </c>
      <c r="MY88" s="37">
        <v>13.26765</v>
      </c>
      <c r="MZ88" s="37">
        <v>13.26765</v>
      </c>
      <c r="NA88" s="37">
        <v>12.26145</v>
      </c>
    </row>
    <row r="89" spans="1:510" x14ac:dyDescent="0.2">
      <c r="A89" s="37">
        <v>87</v>
      </c>
      <c r="B89" s="37" t="s">
        <v>909</v>
      </c>
      <c r="C89" s="17">
        <f>+'Detalle Compras'!D89</f>
        <v>202510290127</v>
      </c>
      <c r="D89" s="55">
        <f t="shared" si="16"/>
        <v>11.87445</v>
      </c>
      <c r="E89" s="14">
        <f>+IF(B89="","",'Detalle Compras'!S89+0)</f>
        <v>46001</v>
      </c>
      <c r="F89" s="14">
        <f>+IF(B89="","",EOMONTH('Detalle Compras'!S89,G89)+10)</f>
        <v>60642</v>
      </c>
      <c r="G89" s="50">
        <f t="shared" si="17"/>
        <v>480</v>
      </c>
      <c r="H89" s="50">
        <f t="shared" si="18"/>
        <v>478</v>
      </c>
      <c r="AD89" s="37">
        <v>11.87445</v>
      </c>
      <c r="AE89" s="37">
        <v>11.87445</v>
      </c>
      <c r="AF89" s="37">
        <v>11.87445</v>
      </c>
      <c r="AG89" s="37">
        <v>11.87445</v>
      </c>
      <c r="AH89" s="37">
        <v>11.87445</v>
      </c>
      <c r="AI89" s="37">
        <v>11.87445</v>
      </c>
      <c r="AJ89" s="37">
        <v>11.87445</v>
      </c>
      <c r="AK89" s="37">
        <v>11.87445</v>
      </c>
      <c r="AL89" s="37">
        <v>11.87445</v>
      </c>
      <c r="AM89" s="37">
        <v>11.87445</v>
      </c>
      <c r="AN89" s="37">
        <v>11.87445</v>
      </c>
      <c r="AO89" s="37">
        <v>11.87445</v>
      </c>
      <c r="AP89" s="37">
        <v>11.87445</v>
      </c>
      <c r="AQ89" s="37">
        <v>11.87445</v>
      </c>
      <c r="AR89" s="37">
        <v>11.87445</v>
      </c>
      <c r="AS89" s="37">
        <v>11.87445</v>
      </c>
      <c r="AT89" s="37">
        <v>11.87445</v>
      </c>
      <c r="AU89" s="37">
        <v>11.87445</v>
      </c>
      <c r="AV89" s="37">
        <v>11.87445</v>
      </c>
      <c r="AW89" s="37">
        <v>11.87445</v>
      </c>
      <c r="AX89" s="37">
        <v>11.87445</v>
      </c>
      <c r="AY89" s="37">
        <v>11.87445</v>
      </c>
      <c r="AZ89" s="37">
        <v>11.87445</v>
      </c>
      <c r="BA89" s="37">
        <v>11.87445</v>
      </c>
      <c r="BB89" s="37">
        <v>11.87445</v>
      </c>
      <c r="BC89" s="37">
        <v>11.87445</v>
      </c>
      <c r="BD89" s="37">
        <v>11.87445</v>
      </c>
      <c r="BE89" s="37">
        <v>11.87445</v>
      </c>
      <c r="BF89" s="37">
        <v>11.87445</v>
      </c>
      <c r="BG89" s="37">
        <v>11.87445</v>
      </c>
      <c r="BH89" s="37">
        <v>11.87445</v>
      </c>
      <c r="BI89" s="37">
        <v>11.87445</v>
      </c>
      <c r="BJ89" s="37">
        <v>11.87445</v>
      </c>
      <c r="BK89" s="37">
        <v>11.87445</v>
      </c>
      <c r="BL89" s="37">
        <v>11.87445</v>
      </c>
      <c r="BM89" s="37">
        <v>11.87445</v>
      </c>
      <c r="BN89" s="37">
        <v>11.87445</v>
      </c>
      <c r="BO89" s="37">
        <v>11.87445</v>
      </c>
      <c r="BP89" s="37">
        <v>11.87445</v>
      </c>
      <c r="BQ89" s="37">
        <v>11.87445</v>
      </c>
      <c r="BR89" s="37">
        <v>11.87445</v>
      </c>
      <c r="BS89" s="37">
        <v>11.87445</v>
      </c>
      <c r="BT89" s="37">
        <v>11.87445</v>
      </c>
      <c r="BU89" s="37">
        <v>11.87445</v>
      </c>
      <c r="BV89" s="37">
        <v>11.87445</v>
      </c>
      <c r="BW89" s="37">
        <v>11.87445</v>
      </c>
      <c r="BX89" s="37">
        <v>11.87445</v>
      </c>
      <c r="BY89" s="37">
        <v>11.87445</v>
      </c>
      <c r="BZ89" s="37">
        <v>11.87445</v>
      </c>
      <c r="CA89" s="37">
        <v>11.87445</v>
      </c>
      <c r="CB89" s="37">
        <v>11.87445</v>
      </c>
      <c r="CC89" s="37">
        <v>11.87445</v>
      </c>
      <c r="CD89" s="37">
        <v>11.87445</v>
      </c>
      <c r="CE89" s="37">
        <v>11.87445</v>
      </c>
      <c r="CF89" s="37">
        <v>11.87445</v>
      </c>
      <c r="CG89" s="37">
        <v>11.87445</v>
      </c>
      <c r="CH89" s="37">
        <v>11.87445</v>
      </c>
      <c r="CI89" s="37">
        <v>11.87445</v>
      </c>
      <c r="CJ89" s="37">
        <v>11.87445</v>
      </c>
      <c r="CK89" s="37">
        <v>11.87445</v>
      </c>
      <c r="CL89" s="37">
        <v>11.87445</v>
      </c>
      <c r="CM89" s="37">
        <v>11.87445</v>
      </c>
      <c r="CN89" s="37">
        <v>11.87445</v>
      </c>
      <c r="CO89" s="37">
        <v>11.87445</v>
      </c>
      <c r="CP89" s="37">
        <v>11.87445</v>
      </c>
      <c r="CQ89" s="37">
        <v>11.87445</v>
      </c>
      <c r="CR89" s="37">
        <v>11.87445</v>
      </c>
      <c r="CS89" s="37">
        <v>11.87445</v>
      </c>
      <c r="CT89" s="37">
        <v>11.87445</v>
      </c>
      <c r="CU89" s="37">
        <v>11.87445</v>
      </c>
      <c r="CV89" s="37">
        <v>11.87445</v>
      </c>
      <c r="CW89" s="37">
        <v>11.87445</v>
      </c>
      <c r="CX89" s="37">
        <v>11.87445</v>
      </c>
      <c r="CY89" s="37">
        <v>11.87445</v>
      </c>
      <c r="CZ89" s="37">
        <v>11.87445</v>
      </c>
      <c r="DA89" s="37">
        <v>11.87445</v>
      </c>
      <c r="DB89" s="37">
        <v>11.87445</v>
      </c>
      <c r="DC89" s="37">
        <v>11.87445</v>
      </c>
      <c r="DD89" s="37">
        <v>11.87445</v>
      </c>
      <c r="DE89" s="37">
        <v>11.87445</v>
      </c>
      <c r="DF89" s="37">
        <v>11.87445</v>
      </c>
      <c r="DG89" s="37">
        <v>11.87445</v>
      </c>
      <c r="DH89" s="37">
        <v>11.87445</v>
      </c>
      <c r="DI89" s="37">
        <v>11.87445</v>
      </c>
      <c r="DJ89" s="37">
        <v>11.87445</v>
      </c>
      <c r="DK89" s="37">
        <v>11.87445</v>
      </c>
      <c r="DL89" s="37">
        <v>11.87445</v>
      </c>
      <c r="DM89" s="37">
        <v>11.87445</v>
      </c>
      <c r="DN89" s="37">
        <v>11.87445</v>
      </c>
      <c r="DO89" s="37">
        <v>11.87445</v>
      </c>
      <c r="DP89" s="37">
        <v>11.87445</v>
      </c>
      <c r="DQ89" s="37">
        <v>11.87445</v>
      </c>
      <c r="DR89" s="37">
        <v>11.87445</v>
      </c>
      <c r="DS89" s="37">
        <v>11.87445</v>
      </c>
      <c r="DT89" s="37">
        <v>11.87445</v>
      </c>
      <c r="DU89" s="37">
        <v>11.87445</v>
      </c>
      <c r="DV89" s="37">
        <v>11.87445</v>
      </c>
      <c r="DW89" s="37">
        <v>11.87445</v>
      </c>
      <c r="DX89" s="37">
        <v>11.87445</v>
      </c>
      <c r="DY89" s="37">
        <v>11.87445</v>
      </c>
      <c r="DZ89" s="37">
        <v>11.87445</v>
      </c>
      <c r="EA89" s="37">
        <v>11.87445</v>
      </c>
      <c r="EB89" s="37">
        <v>11.87445</v>
      </c>
      <c r="EC89" s="37">
        <v>11.87445</v>
      </c>
      <c r="ED89" s="37">
        <v>11.87445</v>
      </c>
      <c r="EE89" s="37">
        <v>11.87445</v>
      </c>
      <c r="EF89" s="37">
        <v>11.87445</v>
      </c>
      <c r="EG89" s="37">
        <v>11.87445</v>
      </c>
      <c r="EH89" s="37">
        <v>11.87445</v>
      </c>
      <c r="EI89" s="37">
        <v>11.87445</v>
      </c>
      <c r="EJ89" s="37">
        <v>11.87445</v>
      </c>
      <c r="EK89" s="37">
        <v>11.87445</v>
      </c>
      <c r="EL89" s="37">
        <v>11.87445</v>
      </c>
      <c r="EM89" s="37">
        <v>11.87445</v>
      </c>
      <c r="EN89" s="37">
        <v>11.87445</v>
      </c>
      <c r="EO89" s="37">
        <v>11.87445</v>
      </c>
      <c r="EP89" s="37">
        <v>11.87445</v>
      </c>
      <c r="EQ89" s="37">
        <v>11.87445</v>
      </c>
      <c r="ER89" s="37">
        <v>11.87445</v>
      </c>
      <c r="ES89" s="37">
        <v>11.87445</v>
      </c>
      <c r="ET89" s="37">
        <v>11.87445</v>
      </c>
      <c r="EU89" s="37">
        <v>11.87445</v>
      </c>
      <c r="EV89" s="37">
        <v>11.87445</v>
      </c>
      <c r="EW89" s="37">
        <v>11.87445</v>
      </c>
      <c r="EX89" s="37">
        <v>11.87445</v>
      </c>
      <c r="EY89" s="37">
        <v>11.87445</v>
      </c>
      <c r="EZ89" s="37">
        <v>11.87445</v>
      </c>
      <c r="FA89" s="37">
        <v>11.87445</v>
      </c>
      <c r="FB89" s="37">
        <v>11.87445</v>
      </c>
      <c r="FC89" s="37">
        <v>11.87445</v>
      </c>
      <c r="FD89" s="37">
        <v>11.87445</v>
      </c>
      <c r="FE89" s="37">
        <v>11.87445</v>
      </c>
      <c r="FF89" s="37">
        <v>11.87445</v>
      </c>
      <c r="FG89" s="37">
        <v>11.87445</v>
      </c>
      <c r="FH89" s="37">
        <v>11.87445</v>
      </c>
      <c r="FI89" s="37">
        <v>11.87445</v>
      </c>
      <c r="FJ89" s="37">
        <v>11.87445</v>
      </c>
      <c r="FK89" s="37">
        <v>11.87445</v>
      </c>
      <c r="FL89" s="37">
        <v>11.87445</v>
      </c>
      <c r="FM89" s="37">
        <v>11.87445</v>
      </c>
      <c r="FN89" s="37">
        <v>11.87445</v>
      </c>
      <c r="FO89" s="37">
        <v>11.87445</v>
      </c>
      <c r="FP89" s="37">
        <v>11.87445</v>
      </c>
      <c r="FQ89" s="37">
        <v>11.87445</v>
      </c>
      <c r="FR89" s="37">
        <v>11.87445</v>
      </c>
      <c r="FS89" s="37">
        <v>11.87445</v>
      </c>
      <c r="FT89" s="37">
        <v>11.87445</v>
      </c>
      <c r="FU89" s="37">
        <v>11.87445</v>
      </c>
      <c r="FV89" s="37">
        <v>11.87445</v>
      </c>
      <c r="FW89" s="37">
        <v>11.87445</v>
      </c>
      <c r="FX89" s="37">
        <v>11.87445</v>
      </c>
      <c r="FY89" s="37">
        <v>11.87445</v>
      </c>
      <c r="FZ89" s="37">
        <v>11.87445</v>
      </c>
      <c r="GA89" s="37">
        <v>11.87445</v>
      </c>
      <c r="GB89" s="37">
        <v>11.87445</v>
      </c>
      <c r="GC89" s="37">
        <v>11.87445</v>
      </c>
      <c r="GD89" s="37">
        <v>11.87445</v>
      </c>
      <c r="GE89" s="37">
        <v>11.87445</v>
      </c>
      <c r="GF89" s="37">
        <v>11.87445</v>
      </c>
      <c r="GG89" s="37">
        <v>11.87445</v>
      </c>
      <c r="GH89" s="37">
        <v>11.87445</v>
      </c>
      <c r="GI89" s="37">
        <v>11.87445</v>
      </c>
      <c r="GJ89" s="37">
        <v>11.87445</v>
      </c>
      <c r="GK89" s="37">
        <v>11.87445</v>
      </c>
      <c r="GL89" s="37">
        <v>11.87445</v>
      </c>
      <c r="GM89" s="37">
        <v>11.87445</v>
      </c>
      <c r="GN89" s="37">
        <v>11.87445</v>
      </c>
      <c r="GO89" s="37">
        <v>11.87445</v>
      </c>
      <c r="GP89" s="37">
        <v>11.87445</v>
      </c>
      <c r="GQ89" s="37">
        <v>11.87445</v>
      </c>
      <c r="GR89" s="37">
        <v>11.87445</v>
      </c>
      <c r="GS89" s="37">
        <v>11.87445</v>
      </c>
      <c r="GT89" s="37">
        <v>11.87445</v>
      </c>
      <c r="GU89" s="37">
        <v>11.87445</v>
      </c>
      <c r="GV89" s="37">
        <v>11.87445</v>
      </c>
      <c r="GW89" s="37">
        <v>11.87445</v>
      </c>
      <c r="GX89" s="37">
        <v>11.87445</v>
      </c>
      <c r="GY89" s="37">
        <v>11.87445</v>
      </c>
      <c r="GZ89" s="37">
        <v>11.87445</v>
      </c>
      <c r="HA89" s="37">
        <v>11.87445</v>
      </c>
      <c r="HB89" s="37">
        <v>11.87445</v>
      </c>
      <c r="HC89" s="37">
        <v>11.87445</v>
      </c>
      <c r="HD89" s="37">
        <v>11.87445</v>
      </c>
      <c r="HE89" s="37">
        <v>11.87445</v>
      </c>
      <c r="HF89" s="37">
        <v>11.87445</v>
      </c>
      <c r="HG89" s="37">
        <v>11.87445</v>
      </c>
      <c r="HH89" s="37">
        <v>11.87445</v>
      </c>
      <c r="HI89" s="37">
        <v>11.87445</v>
      </c>
      <c r="HJ89" s="37">
        <v>11.87445</v>
      </c>
      <c r="HK89" s="37">
        <v>11.87445</v>
      </c>
      <c r="HL89" s="37">
        <v>11.87445</v>
      </c>
      <c r="HM89" s="37">
        <v>11.87445</v>
      </c>
      <c r="HN89" s="37">
        <v>11.87445</v>
      </c>
      <c r="HO89" s="37">
        <v>11.87445</v>
      </c>
      <c r="HP89" s="37">
        <v>11.87445</v>
      </c>
      <c r="HQ89" s="37">
        <v>11.87445</v>
      </c>
      <c r="HR89" s="37">
        <v>11.87445</v>
      </c>
      <c r="HS89" s="37">
        <v>11.87445</v>
      </c>
      <c r="HT89" s="37">
        <v>11.87445</v>
      </c>
      <c r="HU89" s="37">
        <v>11.87445</v>
      </c>
      <c r="HV89" s="37">
        <v>11.87445</v>
      </c>
      <c r="HW89" s="37">
        <v>11.87445</v>
      </c>
      <c r="HX89" s="37">
        <v>11.87445</v>
      </c>
      <c r="HY89" s="37">
        <v>11.87445</v>
      </c>
      <c r="HZ89" s="37">
        <v>11.87445</v>
      </c>
      <c r="IA89" s="37">
        <v>11.87445</v>
      </c>
      <c r="IB89" s="37">
        <v>11.87445</v>
      </c>
      <c r="IC89" s="37">
        <v>11.87445</v>
      </c>
      <c r="ID89" s="37">
        <v>11.87445</v>
      </c>
      <c r="IE89" s="37">
        <v>11.87445</v>
      </c>
      <c r="IF89" s="37">
        <v>11.87445</v>
      </c>
      <c r="IG89" s="37">
        <v>11.87445</v>
      </c>
      <c r="IH89" s="37">
        <v>11.87445</v>
      </c>
      <c r="II89" s="37">
        <v>11.87445</v>
      </c>
      <c r="IJ89" s="37">
        <v>11.87445</v>
      </c>
      <c r="IK89" s="37">
        <v>11.87445</v>
      </c>
      <c r="IL89" s="37">
        <v>11.87445</v>
      </c>
      <c r="IM89" s="37">
        <v>11.87445</v>
      </c>
      <c r="IN89" s="37">
        <v>11.87445</v>
      </c>
      <c r="IO89" s="37">
        <v>11.87445</v>
      </c>
      <c r="IP89" s="37">
        <v>11.87445</v>
      </c>
      <c r="IQ89" s="37">
        <v>11.87445</v>
      </c>
      <c r="IR89" s="37">
        <v>11.87445</v>
      </c>
      <c r="IS89" s="37">
        <v>11.87445</v>
      </c>
      <c r="IT89" s="37">
        <v>11.87445</v>
      </c>
      <c r="IU89" s="37">
        <v>11.87445</v>
      </c>
      <c r="IV89" s="37">
        <v>11.87445</v>
      </c>
      <c r="IW89" s="37">
        <v>11.87445</v>
      </c>
      <c r="IX89" s="37">
        <v>11.87445</v>
      </c>
      <c r="IY89" s="37">
        <v>11.87445</v>
      </c>
      <c r="IZ89" s="37">
        <v>11.87445</v>
      </c>
      <c r="JA89" s="37">
        <v>11.87445</v>
      </c>
      <c r="JB89" s="37">
        <v>11.87445</v>
      </c>
      <c r="JC89" s="37">
        <v>11.87445</v>
      </c>
      <c r="JD89" s="37">
        <v>11.87445</v>
      </c>
      <c r="JE89" s="37">
        <v>11.87445</v>
      </c>
      <c r="JF89" s="37">
        <v>11.87445</v>
      </c>
      <c r="JG89" s="37">
        <v>11.87445</v>
      </c>
      <c r="JH89" s="37">
        <v>11.87445</v>
      </c>
      <c r="JI89" s="37">
        <v>11.87445</v>
      </c>
      <c r="JJ89" s="37">
        <v>11.87445</v>
      </c>
      <c r="JK89" s="37">
        <v>11.87445</v>
      </c>
      <c r="JL89" s="37">
        <v>11.87445</v>
      </c>
      <c r="JM89" s="37">
        <v>11.87445</v>
      </c>
      <c r="JN89" s="37">
        <v>11.87445</v>
      </c>
      <c r="JO89" s="37">
        <v>11.87445</v>
      </c>
      <c r="JP89" s="37">
        <v>11.87445</v>
      </c>
      <c r="JQ89" s="37">
        <v>11.87445</v>
      </c>
      <c r="JR89" s="37">
        <v>11.87445</v>
      </c>
      <c r="JS89" s="37">
        <v>11.87445</v>
      </c>
      <c r="JT89" s="37">
        <v>11.87445</v>
      </c>
      <c r="JU89" s="37">
        <v>11.87445</v>
      </c>
      <c r="JV89" s="37">
        <v>11.87445</v>
      </c>
      <c r="JW89" s="37">
        <v>11.87445</v>
      </c>
      <c r="JX89" s="37">
        <v>11.87445</v>
      </c>
      <c r="JY89" s="37">
        <v>11.87445</v>
      </c>
      <c r="JZ89" s="37">
        <v>11.87445</v>
      </c>
      <c r="KA89" s="37">
        <v>11.87445</v>
      </c>
      <c r="KB89" s="37">
        <v>11.87445</v>
      </c>
      <c r="KC89" s="37">
        <v>11.87445</v>
      </c>
      <c r="KD89" s="37">
        <v>11.87445</v>
      </c>
      <c r="KE89" s="37">
        <v>11.87445</v>
      </c>
      <c r="KF89" s="37">
        <v>11.87445</v>
      </c>
      <c r="KG89" s="37">
        <v>11.87445</v>
      </c>
      <c r="KH89" s="37">
        <v>11.87445</v>
      </c>
      <c r="KI89" s="37">
        <v>11.87445</v>
      </c>
      <c r="KJ89" s="37">
        <v>11.87445</v>
      </c>
      <c r="KK89" s="37">
        <v>11.87445</v>
      </c>
      <c r="KL89" s="37">
        <v>11.87445</v>
      </c>
      <c r="KM89" s="37">
        <v>11.87445</v>
      </c>
      <c r="KN89" s="37">
        <v>11.87445</v>
      </c>
      <c r="KO89" s="37">
        <v>11.87445</v>
      </c>
      <c r="KP89" s="37">
        <v>11.87445</v>
      </c>
      <c r="KQ89" s="37">
        <v>11.87445</v>
      </c>
      <c r="KR89" s="37">
        <v>11.87445</v>
      </c>
      <c r="KS89" s="37">
        <v>11.87445</v>
      </c>
      <c r="KT89" s="37">
        <v>11.87445</v>
      </c>
      <c r="KU89" s="37">
        <v>11.87445</v>
      </c>
      <c r="KV89" s="37">
        <v>11.87445</v>
      </c>
      <c r="KW89" s="37">
        <v>11.87445</v>
      </c>
      <c r="KX89" s="37">
        <v>11.87445</v>
      </c>
      <c r="KY89" s="37">
        <v>11.87445</v>
      </c>
      <c r="KZ89" s="37">
        <v>11.87445</v>
      </c>
      <c r="LA89" s="37">
        <v>11.87445</v>
      </c>
      <c r="LB89" s="37">
        <v>11.87445</v>
      </c>
      <c r="LC89" s="37">
        <v>11.87445</v>
      </c>
      <c r="LD89" s="37">
        <v>11.87445</v>
      </c>
      <c r="LE89" s="37">
        <v>11.87445</v>
      </c>
      <c r="LF89" s="37">
        <v>11.87445</v>
      </c>
      <c r="LG89" s="37">
        <v>11.87445</v>
      </c>
      <c r="LH89" s="37">
        <v>11.87445</v>
      </c>
      <c r="LI89" s="37">
        <v>11.87445</v>
      </c>
      <c r="LJ89" s="37">
        <v>11.87445</v>
      </c>
      <c r="LK89" s="37">
        <v>11.87445</v>
      </c>
      <c r="LL89" s="37">
        <v>11.87445</v>
      </c>
      <c r="LM89" s="37">
        <v>11.87445</v>
      </c>
      <c r="LN89" s="37">
        <v>11.87445</v>
      </c>
      <c r="LO89" s="37">
        <v>11.87445</v>
      </c>
      <c r="LP89" s="37">
        <v>11.87445</v>
      </c>
      <c r="LQ89" s="37">
        <v>11.87445</v>
      </c>
      <c r="LR89" s="37">
        <v>11.87445</v>
      </c>
      <c r="LS89" s="37">
        <v>11.87445</v>
      </c>
      <c r="LT89" s="37">
        <v>11.87445</v>
      </c>
      <c r="LU89" s="37">
        <v>11.87445</v>
      </c>
      <c r="LV89" s="37">
        <v>11.87445</v>
      </c>
      <c r="LW89" s="37">
        <v>11.87445</v>
      </c>
      <c r="LX89" s="37">
        <v>11.87445</v>
      </c>
      <c r="LY89" s="37">
        <v>11.87445</v>
      </c>
      <c r="LZ89" s="37">
        <v>11.87445</v>
      </c>
      <c r="MA89" s="37">
        <v>11.87445</v>
      </c>
      <c r="MB89" s="37">
        <v>11.87445</v>
      </c>
      <c r="MC89" s="37">
        <v>11.87445</v>
      </c>
      <c r="MD89" s="37">
        <v>11.87445</v>
      </c>
      <c r="ME89" s="37">
        <v>11.87445</v>
      </c>
      <c r="MF89" s="37">
        <v>11.87445</v>
      </c>
      <c r="MG89" s="37">
        <v>11.87445</v>
      </c>
      <c r="MH89" s="37">
        <v>11.87445</v>
      </c>
      <c r="MI89" s="37">
        <v>11.87445</v>
      </c>
      <c r="MJ89" s="37">
        <v>11.87445</v>
      </c>
      <c r="MK89" s="37">
        <v>11.87445</v>
      </c>
      <c r="ML89" s="37">
        <v>11.87445</v>
      </c>
      <c r="MM89" s="37">
        <v>11.87445</v>
      </c>
      <c r="MN89" s="37">
        <v>11.87445</v>
      </c>
      <c r="MO89" s="37">
        <v>11.87445</v>
      </c>
      <c r="MP89" s="37">
        <v>11.87445</v>
      </c>
      <c r="MQ89" s="37">
        <v>11.87445</v>
      </c>
      <c r="MR89" s="37">
        <v>11.87445</v>
      </c>
      <c r="MS89" s="37">
        <v>11.87445</v>
      </c>
      <c r="MT89" s="37">
        <v>11.87445</v>
      </c>
      <c r="MU89" s="37">
        <v>11.87445</v>
      </c>
      <c r="MV89" s="37">
        <v>11.87445</v>
      </c>
      <c r="MW89" s="37">
        <v>11.87445</v>
      </c>
      <c r="MX89" s="37">
        <v>11.87445</v>
      </c>
      <c r="MY89" s="37">
        <v>11.87445</v>
      </c>
      <c r="MZ89" s="37">
        <v>11.87445</v>
      </c>
      <c r="NA89" s="37">
        <v>11.87445</v>
      </c>
      <c r="NB89" s="37">
        <v>11.87445</v>
      </c>
      <c r="NC89" s="37">
        <v>11.87445</v>
      </c>
      <c r="ND89" s="37">
        <v>11.87445</v>
      </c>
      <c r="NE89" s="37">
        <v>11.87445</v>
      </c>
      <c r="NF89" s="37">
        <v>11.87445</v>
      </c>
      <c r="NG89" s="37">
        <v>11.87445</v>
      </c>
      <c r="NH89" s="37">
        <v>11.87445</v>
      </c>
      <c r="NI89" s="37">
        <v>11.87445</v>
      </c>
      <c r="NJ89" s="37">
        <v>11.87445</v>
      </c>
      <c r="NK89" s="37">
        <v>11.87445</v>
      </c>
      <c r="NL89" s="37">
        <v>11.87445</v>
      </c>
      <c r="NM89" s="37">
        <v>11.87445</v>
      </c>
      <c r="NN89" s="37">
        <v>11.87445</v>
      </c>
      <c r="NO89" s="37">
        <v>11.87445</v>
      </c>
      <c r="NP89" s="37">
        <v>11.87445</v>
      </c>
      <c r="NQ89" s="37">
        <v>11.87445</v>
      </c>
      <c r="NR89" s="37">
        <v>11.87445</v>
      </c>
      <c r="NS89" s="37">
        <v>11.87445</v>
      </c>
      <c r="NT89" s="37">
        <v>11.87445</v>
      </c>
      <c r="NU89" s="37">
        <v>11.87445</v>
      </c>
      <c r="NV89" s="37">
        <v>11.87445</v>
      </c>
      <c r="NW89" s="37">
        <v>11.87445</v>
      </c>
      <c r="NX89" s="37">
        <v>11.87445</v>
      </c>
      <c r="NY89" s="37">
        <v>11.87445</v>
      </c>
      <c r="NZ89" s="37">
        <v>11.87445</v>
      </c>
      <c r="OA89" s="37">
        <v>11.87445</v>
      </c>
      <c r="OB89" s="37">
        <v>11.87445</v>
      </c>
      <c r="OC89" s="37">
        <v>11.87445</v>
      </c>
      <c r="OD89" s="37">
        <v>11.87445</v>
      </c>
      <c r="OE89" s="37">
        <v>11.87445</v>
      </c>
      <c r="OF89" s="37">
        <v>11.87445</v>
      </c>
      <c r="OG89" s="37">
        <v>11.87445</v>
      </c>
      <c r="OH89" s="37">
        <v>11.87445</v>
      </c>
      <c r="OI89" s="37">
        <v>11.87445</v>
      </c>
      <c r="OJ89" s="37">
        <v>11.87445</v>
      </c>
      <c r="OK89" s="37">
        <v>11.87445</v>
      </c>
      <c r="OL89" s="37">
        <v>11.87445</v>
      </c>
      <c r="OM89" s="37">
        <v>11.87445</v>
      </c>
      <c r="ON89" s="37">
        <v>11.87445</v>
      </c>
      <c r="OO89" s="37">
        <v>11.87445</v>
      </c>
      <c r="OP89" s="37">
        <v>11.87445</v>
      </c>
      <c r="OQ89" s="37">
        <v>11.87445</v>
      </c>
      <c r="OR89" s="37">
        <v>11.87445</v>
      </c>
      <c r="OS89" s="37">
        <v>11.87445</v>
      </c>
      <c r="OT89" s="37">
        <v>11.87445</v>
      </c>
      <c r="OU89" s="37">
        <v>11.87445</v>
      </c>
      <c r="OV89" s="37">
        <v>11.87445</v>
      </c>
      <c r="OW89" s="37">
        <v>11.87445</v>
      </c>
      <c r="OX89" s="37">
        <v>11.87445</v>
      </c>
      <c r="OY89" s="37">
        <v>11.87445</v>
      </c>
      <c r="OZ89" s="37">
        <v>11.87445</v>
      </c>
      <c r="PA89" s="37">
        <v>11.87445</v>
      </c>
      <c r="PB89" s="37">
        <v>11.87445</v>
      </c>
      <c r="PC89" s="37">
        <v>11.87445</v>
      </c>
      <c r="PD89" s="37">
        <v>11.87445</v>
      </c>
      <c r="PE89" s="37">
        <v>11.87445</v>
      </c>
      <c r="PF89" s="37">
        <v>11.87445</v>
      </c>
      <c r="PG89" s="37">
        <v>11.87445</v>
      </c>
      <c r="PH89" s="37">
        <v>11.87445</v>
      </c>
      <c r="PI89" s="37">
        <v>11.87445</v>
      </c>
      <c r="PJ89" s="37">
        <v>11.87445</v>
      </c>
      <c r="PK89" s="37">
        <v>11.87445</v>
      </c>
      <c r="PL89" s="37">
        <v>11.87445</v>
      </c>
      <c r="PM89" s="37">
        <v>11.87445</v>
      </c>
      <c r="PN89" s="37">
        <v>11.87445</v>
      </c>
      <c r="PO89" s="37">
        <v>11.87445</v>
      </c>
      <c r="PP89" s="37">
        <v>11.87445</v>
      </c>
      <c r="PQ89" s="37">
        <v>11.87445</v>
      </c>
      <c r="PR89" s="37">
        <v>11.87445</v>
      </c>
      <c r="PS89" s="15">
        <v>11.87445</v>
      </c>
      <c r="PT89" s="15">
        <v>11.87445</v>
      </c>
      <c r="PU89" s="15">
        <v>11.87445</v>
      </c>
      <c r="PV89" s="15">
        <v>11.87445</v>
      </c>
      <c r="PW89" s="15">
        <v>11.87445</v>
      </c>
      <c r="PX89" s="15">
        <v>11.87445</v>
      </c>
      <c r="PY89" s="15">
        <v>11.87445</v>
      </c>
      <c r="PZ89" s="15">
        <v>11.87445</v>
      </c>
      <c r="QA89" s="15">
        <v>11.87445</v>
      </c>
      <c r="QB89" s="15">
        <v>11.87445</v>
      </c>
      <c r="QC89" s="15">
        <v>11.87445</v>
      </c>
      <c r="QD89" s="15">
        <v>11.87445</v>
      </c>
      <c r="QE89" s="15">
        <v>11.87445</v>
      </c>
      <c r="QF89" s="15">
        <v>11.87445</v>
      </c>
      <c r="QG89" s="15">
        <v>11.87445</v>
      </c>
      <c r="QH89" s="15">
        <v>11.87445</v>
      </c>
      <c r="QI89" s="15">
        <v>11.87445</v>
      </c>
      <c r="QJ89" s="15">
        <v>11.87445</v>
      </c>
      <c r="QK89" s="15">
        <v>11.87445</v>
      </c>
      <c r="QL89" s="15">
        <v>11.87445</v>
      </c>
      <c r="QM89" s="15">
        <v>11.87445</v>
      </c>
      <c r="QN89" s="15">
        <v>11.87445</v>
      </c>
      <c r="QO89" s="15">
        <v>11.87445</v>
      </c>
      <c r="QP89" s="15">
        <v>11.87445</v>
      </c>
      <c r="QQ89" s="15">
        <v>11.87445</v>
      </c>
      <c r="QR89" s="15">
        <v>11.87445</v>
      </c>
      <c r="QS89" s="15">
        <v>11.87445</v>
      </c>
      <c r="QT89" s="15">
        <v>11.87445</v>
      </c>
      <c r="QU89" s="15">
        <v>11.87445</v>
      </c>
      <c r="QV89" s="15">
        <v>11.87445</v>
      </c>
      <c r="QW89" s="15">
        <v>11.87445</v>
      </c>
      <c r="QX89" s="15">
        <v>11.87445</v>
      </c>
      <c r="QY89" s="15">
        <v>11.87445</v>
      </c>
      <c r="QZ89" s="15">
        <v>11.87445</v>
      </c>
      <c r="RA89" s="15">
        <v>11.87445</v>
      </c>
      <c r="RB89" s="15">
        <v>11.87445</v>
      </c>
      <c r="RC89" s="15">
        <v>11.87445</v>
      </c>
      <c r="RD89" s="15">
        <v>11.87445</v>
      </c>
      <c r="RE89" s="15">
        <v>11.87445</v>
      </c>
      <c r="RF89" s="15">
        <v>11.87445</v>
      </c>
      <c r="RG89" s="15">
        <v>11.87445</v>
      </c>
      <c r="RH89" s="15">
        <v>11.87445</v>
      </c>
      <c r="RI89" s="15">
        <v>11.87445</v>
      </c>
      <c r="RJ89" s="15">
        <v>11.87445</v>
      </c>
      <c r="RK89" s="15">
        <v>11.87445</v>
      </c>
      <c r="RL89" s="15">
        <v>11.87445</v>
      </c>
      <c r="RM89" s="15">
        <v>11.87445</v>
      </c>
      <c r="RN89" s="15">
        <v>11.87445</v>
      </c>
      <c r="RO89" s="15">
        <v>11.87445</v>
      </c>
      <c r="RP89" s="15">
        <v>11.87445</v>
      </c>
      <c r="RQ89" s="15">
        <v>11.87445</v>
      </c>
      <c r="RR89" s="15">
        <v>11.87445</v>
      </c>
      <c r="RS89" s="15">
        <v>11.87445</v>
      </c>
      <c r="RT89" s="15">
        <v>11.87445</v>
      </c>
      <c r="RU89" s="15">
        <v>11.87445</v>
      </c>
      <c r="RV89" s="15">
        <v>11.87445</v>
      </c>
      <c r="RW89" s="15">
        <v>11.87445</v>
      </c>
      <c r="RX89" s="15">
        <v>11.87445</v>
      </c>
      <c r="RY89" s="15">
        <v>11.87445</v>
      </c>
      <c r="RZ89" s="15">
        <v>11.87445</v>
      </c>
      <c r="SA89" s="15">
        <v>11.87445</v>
      </c>
      <c r="SB89" s="15">
        <v>11.87445</v>
      </c>
      <c r="SC89" s="15">
        <v>11.87445</v>
      </c>
      <c r="SD89" s="15">
        <v>11.87445</v>
      </c>
      <c r="SE89" s="15">
        <v>11.87445</v>
      </c>
      <c r="SF89" s="15">
        <v>11.87445</v>
      </c>
      <c r="SG89" s="15">
        <v>11.87445</v>
      </c>
      <c r="SH89" s="15">
        <v>11.87445</v>
      </c>
      <c r="SI89" s="15">
        <v>11.87445</v>
      </c>
      <c r="SJ89" s="15">
        <v>11.87445</v>
      </c>
      <c r="SK89" s="15">
        <v>11.87445</v>
      </c>
      <c r="SL89" s="15">
        <v>11.87445</v>
      </c>
      <c r="SM89" s="15">
        <v>11.87445</v>
      </c>
      <c r="SN89" s="15">
        <v>11.87445</v>
      </c>
      <c r="SO89" s="15">
        <v>13.669700000000001</v>
      </c>
    </row>
    <row r="90" spans="1:510" x14ac:dyDescent="0.2">
      <c r="A90" s="37">
        <v>88</v>
      </c>
      <c r="B90" s="37" t="s">
        <v>910</v>
      </c>
      <c r="C90" s="17">
        <f>+'Detalle Compras'!D90</f>
        <v>202510300129</v>
      </c>
      <c r="D90" s="55">
        <f t="shared" si="16"/>
        <v>10.33065</v>
      </c>
      <c r="E90" s="14">
        <f>+IF(B90="","",'Detalle Compras'!S90+0)</f>
        <v>46001</v>
      </c>
      <c r="F90" s="14">
        <f>+IF(B90="","",EOMONTH('Detalle Compras'!S90,G90)+10)</f>
        <v>56989</v>
      </c>
      <c r="G90" s="50">
        <f t="shared" si="17"/>
        <v>360</v>
      </c>
      <c r="H90" s="50">
        <f t="shared" si="18"/>
        <v>358</v>
      </c>
      <c r="AD90" s="37">
        <v>10.33065</v>
      </c>
      <c r="AE90" s="37">
        <v>10.33065</v>
      </c>
      <c r="AF90" s="37">
        <v>10.33065</v>
      </c>
      <c r="AG90" s="37">
        <v>10.33065</v>
      </c>
      <c r="AH90" s="37">
        <v>10.33065</v>
      </c>
      <c r="AI90" s="37">
        <v>10.33065</v>
      </c>
      <c r="AJ90" s="37">
        <v>10.33065</v>
      </c>
      <c r="AK90" s="37">
        <v>10.33065</v>
      </c>
      <c r="AL90" s="37">
        <v>10.33065</v>
      </c>
      <c r="AM90" s="37">
        <v>10.33065</v>
      </c>
      <c r="AN90" s="37">
        <v>10.33065</v>
      </c>
      <c r="AO90" s="37">
        <v>10.33065</v>
      </c>
      <c r="AP90" s="37">
        <v>10.33065</v>
      </c>
      <c r="AQ90" s="37">
        <v>10.33065</v>
      </c>
      <c r="AR90" s="37">
        <v>10.33065</v>
      </c>
      <c r="AS90" s="37">
        <v>10.33065</v>
      </c>
      <c r="AT90" s="37">
        <v>10.33065</v>
      </c>
      <c r="AU90" s="37">
        <v>10.33065</v>
      </c>
      <c r="AV90" s="37">
        <v>10.33065</v>
      </c>
      <c r="AW90" s="37">
        <v>10.33065</v>
      </c>
      <c r="AX90" s="37">
        <v>10.33065</v>
      </c>
      <c r="AY90" s="37">
        <v>10.33065</v>
      </c>
      <c r="AZ90" s="37">
        <v>10.33065</v>
      </c>
      <c r="BA90" s="37">
        <v>10.33065</v>
      </c>
      <c r="BB90" s="37">
        <v>10.33065</v>
      </c>
      <c r="BC90" s="37">
        <v>10.33065</v>
      </c>
      <c r="BD90" s="37">
        <v>10.33065</v>
      </c>
      <c r="BE90" s="37">
        <v>10.33065</v>
      </c>
      <c r="BF90" s="37">
        <v>10.33065</v>
      </c>
      <c r="BG90" s="37">
        <v>10.33065</v>
      </c>
      <c r="BH90" s="37">
        <v>10.33065</v>
      </c>
      <c r="BI90" s="37">
        <v>10.33065</v>
      </c>
      <c r="BJ90" s="37">
        <v>10.33065</v>
      </c>
      <c r="BK90" s="37">
        <v>10.33065</v>
      </c>
      <c r="BL90" s="37">
        <v>10.33065</v>
      </c>
      <c r="BM90" s="37">
        <v>10.33065</v>
      </c>
      <c r="BN90" s="37">
        <v>10.33065</v>
      </c>
      <c r="BO90" s="37">
        <v>10.33065</v>
      </c>
      <c r="BP90" s="37">
        <v>10.33065</v>
      </c>
      <c r="BQ90" s="37">
        <v>10.33065</v>
      </c>
      <c r="BR90" s="37">
        <v>10.33065</v>
      </c>
      <c r="BS90" s="37">
        <v>10.33065</v>
      </c>
      <c r="BT90" s="37">
        <v>10.33065</v>
      </c>
      <c r="BU90" s="37">
        <v>10.33065</v>
      </c>
      <c r="BV90" s="37">
        <v>10.33065</v>
      </c>
      <c r="BW90" s="37">
        <v>10.33065</v>
      </c>
      <c r="BX90" s="37">
        <v>10.33065</v>
      </c>
      <c r="BY90" s="37">
        <v>10.33065</v>
      </c>
      <c r="BZ90" s="37">
        <v>10.33065</v>
      </c>
      <c r="CA90" s="37">
        <v>10.33065</v>
      </c>
      <c r="CB90" s="37">
        <v>10.33065</v>
      </c>
      <c r="CC90" s="37">
        <v>10.33065</v>
      </c>
      <c r="CD90" s="37">
        <v>10.33065</v>
      </c>
      <c r="CE90" s="37">
        <v>10.33065</v>
      </c>
      <c r="CF90" s="37">
        <v>10.33065</v>
      </c>
      <c r="CG90" s="37">
        <v>10.33065</v>
      </c>
      <c r="CH90" s="37">
        <v>10.33065</v>
      </c>
      <c r="CI90" s="37">
        <v>10.33065</v>
      </c>
      <c r="CJ90" s="37">
        <v>10.33065</v>
      </c>
      <c r="CK90" s="37">
        <v>10.33065</v>
      </c>
      <c r="CL90" s="37">
        <v>10.33065</v>
      </c>
      <c r="CM90" s="37">
        <v>10.33065</v>
      </c>
      <c r="CN90" s="37">
        <v>10.33065</v>
      </c>
      <c r="CO90" s="37">
        <v>10.33065</v>
      </c>
      <c r="CP90" s="37">
        <v>10.33065</v>
      </c>
      <c r="CQ90" s="37">
        <v>10.33065</v>
      </c>
      <c r="CR90" s="37">
        <v>10.33065</v>
      </c>
      <c r="CS90" s="37">
        <v>10.33065</v>
      </c>
      <c r="CT90" s="37">
        <v>10.33065</v>
      </c>
      <c r="CU90" s="37">
        <v>10.33065</v>
      </c>
      <c r="CV90" s="37">
        <v>10.33065</v>
      </c>
      <c r="CW90" s="37">
        <v>10.33065</v>
      </c>
      <c r="CX90" s="37">
        <v>10.33065</v>
      </c>
      <c r="CY90" s="37">
        <v>10.33065</v>
      </c>
      <c r="CZ90" s="37">
        <v>10.33065</v>
      </c>
      <c r="DA90" s="37">
        <v>10.33065</v>
      </c>
      <c r="DB90" s="37">
        <v>10.33065</v>
      </c>
      <c r="DC90" s="37">
        <v>10.33065</v>
      </c>
      <c r="DD90" s="37">
        <v>10.33065</v>
      </c>
      <c r="DE90" s="37">
        <v>10.33065</v>
      </c>
      <c r="DF90" s="37">
        <v>10.33065</v>
      </c>
      <c r="DG90" s="37">
        <v>10.33065</v>
      </c>
      <c r="DH90" s="37">
        <v>10.33065</v>
      </c>
      <c r="DI90" s="37">
        <v>10.33065</v>
      </c>
      <c r="DJ90" s="37">
        <v>10.33065</v>
      </c>
      <c r="DK90" s="37">
        <v>10.33065</v>
      </c>
      <c r="DL90" s="37">
        <v>10.33065</v>
      </c>
      <c r="DM90" s="37">
        <v>10.33065</v>
      </c>
      <c r="DN90" s="37">
        <v>10.33065</v>
      </c>
      <c r="DO90" s="37">
        <v>10.33065</v>
      </c>
      <c r="DP90" s="37">
        <v>10.33065</v>
      </c>
      <c r="DQ90" s="37">
        <v>10.33065</v>
      </c>
      <c r="DR90" s="37">
        <v>10.33065</v>
      </c>
      <c r="DS90" s="37">
        <v>10.33065</v>
      </c>
      <c r="DT90" s="37">
        <v>10.33065</v>
      </c>
      <c r="DU90" s="37">
        <v>10.33065</v>
      </c>
      <c r="DV90" s="37">
        <v>10.33065</v>
      </c>
      <c r="DW90" s="37">
        <v>10.33065</v>
      </c>
      <c r="DX90" s="37">
        <v>10.33065</v>
      </c>
      <c r="DY90" s="37">
        <v>10.33065</v>
      </c>
      <c r="DZ90" s="37">
        <v>10.33065</v>
      </c>
      <c r="EA90" s="37">
        <v>10.33065</v>
      </c>
      <c r="EB90" s="37">
        <v>10.33065</v>
      </c>
      <c r="EC90" s="37">
        <v>10.33065</v>
      </c>
      <c r="ED90" s="37">
        <v>10.33065</v>
      </c>
      <c r="EE90" s="37">
        <v>10.33065</v>
      </c>
      <c r="EF90" s="37">
        <v>10.33065</v>
      </c>
      <c r="EG90" s="37">
        <v>10.33065</v>
      </c>
      <c r="EH90" s="37">
        <v>10.33065</v>
      </c>
      <c r="EI90" s="37">
        <v>10.33065</v>
      </c>
      <c r="EJ90" s="37">
        <v>10.33065</v>
      </c>
      <c r="EK90" s="37">
        <v>10.33065</v>
      </c>
      <c r="EL90" s="37">
        <v>10.33065</v>
      </c>
      <c r="EM90" s="37">
        <v>10.33065</v>
      </c>
      <c r="EN90" s="37">
        <v>10.33065</v>
      </c>
      <c r="EO90" s="37">
        <v>10.33065</v>
      </c>
      <c r="EP90" s="37">
        <v>10.33065</v>
      </c>
      <c r="EQ90" s="37">
        <v>10.33065</v>
      </c>
      <c r="ER90" s="37">
        <v>10.33065</v>
      </c>
      <c r="ES90" s="37">
        <v>10.33065</v>
      </c>
      <c r="ET90" s="37">
        <v>10.33065</v>
      </c>
      <c r="EU90" s="37">
        <v>10.33065</v>
      </c>
      <c r="EV90" s="37">
        <v>10.33065</v>
      </c>
      <c r="EW90" s="37">
        <v>10.33065</v>
      </c>
      <c r="EX90" s="37">
        <v>10.33065</v>
      </c>
      <c r="EY90" s="37">
        <v>10.33065</v>
      </c>
      <c r="EZ90" s="37">
        <v>10.33065</v>
      </c>
      <c r="FA90" s="37">
        <v>10.33065</v>
      </c>
      <c r="FB90" s="37">
        <v>10.33065</v>
      </c>
      <c r="FC90" s="37">
        <v>10.33065</v>
      </c>
      <c r="FD90" s="37">
        <v>10.33065</v>
      </c>
      <c r="FE90" s="37">
        <v>10.33065</v>
      </c>
      <c r="FF90" s="37">
        <v>10.33065</v>
      </c>
      <c r="FG90" s="37">
        <v>10.33065</v>
      </c>
      <c r="FH90" s="37">
        <v>10.33065</v>
      </c>
      <c r="FI90" s="37">
        <v>10.33065</v>
      </c>
      <c r="FJ90" s="37">
        <v>10.33065</v>
      </c>
      <c r="FK90" s="37">
        <v>10.33065</v>
      </c>
      <c r="FL90" s="37">
        <v>10.33065</v>
      </c>
      <c r="FM90" s="37">
        <v>10.33065</v>
      </c>
      <c r="FN90" s="37">
        <v>10.33065</v>
      </c>
      <c r="FO90" s="37">
        <v>10.33065</v>
      </c>
      <c r="FP90" s="37">
        <v>10.33065</v>
      </c>
      <c r="FQ90" s="37">
        <v>10.33065</v>
      </c>
      <c r="FR90" s="37">
        <v>10.33065</v>
      </c>
      <c r="FS90" s="37">
        <v>10.33065</v>
      </c>
      <c r="FT90" s="37">
        <v>10.33065</v>
      </c>
      <c r="FU90" s="37">
        <v>10.33065</v>
      </c>
      <c r="FV90" s="37">
        <v>10.33065</v>
      </c>
      <c r="FW90" s="37">
        <v>10.33065</v>
      </c>
      <c r="FX90" s="37">
        <v>10.33065</v>
      </c>
      <c r="FY90" s="37">
        <v>10.33065</v>
      </c>
      <c r="FZ90" s="37">
        <v>10.33065</v>
      </c>
      <c r="GA90" s="37">
        <v>10.33065</v>
      </c>
      <c r="GB90" s="37">
        <v>10.33065</v>
      </c>
      <c r="GC90" s="37">
        <v>10.33065</v>
      </c>
      <c r="GD90" s="37">
        <v>10.33065</v>
      </c>
      <c r="GE90" s="37">
        <v>10.33065</v>
      </c>
      <c r="GF90" s="37">
        <v>10.33065</v>
      </c>
      <c r="GG90" s="37">
        <v>10.33065</v>
      </c>
      <c r="GH90" s="37">
        <v>10.33065</v>
      </c>
      <c r="GI90" s="37">
        <v>10.33065</v>
      </c>
      <c r="GJ90" s="37">
        <v>10.33065</v>
      </c>
      <c r="GK90" s="37">
        <v>10.33065</v>
      </c>
      <c r="GL90" s="37">
        <v>10.33065</v>
      </c>
      <c r="GM90" s="37">
        <v>10.33065</v>
      </c>
      <c r="GN90" s="37">
        <v>10.33065</v>
      </c>
      <c r="GO90" s="37">
        <v>10.33065</v>
      </c>
      <c r="GP90" s="37">
        <v>10.33065</v>
      </c>
      <c r="GQ90" s="37">
        <v>10.33065</v>
      </c>
      <c r="GR90" s="37">
        <v>10.33065</v>
      </c>
      <c r="GS90" s="37">
        <v>10.33065</v>
      </c>
      <c r="GT90" s="37">
        <v>10.33065</v>
      </c>
      <c r="GU90" s="37">
        <v>10.33065</v>
      </c>
      <c r="GV90" s="37">
        <v>10.33065</v>
      </c>
      <c r="GW90" s="37">
        <v>10.33065</v>
      </c>
      <c r="GX90" s="37">
        <v>10.33065</v>
      </c>
      <c r="GY90" s="37">
        <v>10.33065</v>
      </c>
      <c r="GZ90" s="37">
        <v>10.33065</v>
      </c>
      <c r="HA90" s="37">
        <v>10.33065</v>
      </c>
      <c r="HB90" s="37">
        <v>10.33065</v>
      </c>
      <c r="HC90" s="37">
        <v>10.33065</v>
      </c>
      <c r="HD90" s="37">
        <v>10.33065</v>
      </c>
      <c r="HE90" s="37">
        <v>10.33065</v>
      </c>
      <c r="HF90" s="37">
        <v>10.33065</v>
      </c>
      <c r="HG90" s="37">
        <v>10.33065</v>
      </c>
      <c r="HH90" s="37">
        <v>10.33065</v>
      </c>
      <c r="HI90" s="37">
        <v>10.33065</v>
      </c>
      <c r="HJ90" s="37">
        <v>10.33065</v>
      </c>
      <c r="HK90" s="37">
        <v>10.33065</v>
      </c>
      <c r="HL90" s="37">
        <v>10.33065</v>
      </c>
      <c r="HM90" s="37">
        <v>10.33065</v>
      </c>
      <c r="HN90" s="37">
        <v>10.33065</v>
      </c>
      <c r="HO90" s="37">
        <v>10.33065</v>
      </c>
      <c r="HP90" s="37">
        <v>10.33065</v>
      </c>
      <c r="HQ90" s="37">
        <v>10.33065</v>
      </c>
      <c r="HR90" s="37">
        <v>10.33065</v>
      </c>
      <c r="HS90" s="37">
        <v>10.33065</v>
      </c>
      <c r="HT90" s="37">
        <v>10.33065</v>
      </c>
      <c r="HU90" s="37">
        <v>10.33065</v>
      </c>
      <c r="HV90" s="37">
        <v>10.33065</v>
      </c>
      <c r="HW90" s="37">
        <v>10.33065</v>
      </c>
      <c r="HX90" s="37">
        <v>10.33065</v>
      </c>
      <c r="HY90" s="37">
        <v>10.33065</v>
      </c>
      <c r="HZ90" s="37">
        <v>10.33065</v>
      </c>
      <c r="IA90" s="37">
        <v>10.33065</v>
      </c>
      <c r="IB90" s="37">
        <v>10.33065</v>
      </c>
      <c r="IC90" s="37">
        <v>10.33065</v>
      </c>
      <c r="ID90" s="37">
        <v>10.33065</v>
      </c>
      <c r="IE90" s="37">
        <v>10.33065</v>
      </c>
      <c r="IF90" s="37">
        <v>10.33065</v>
      </c>
      <c r="IG90" s="37">
        <v>10.33065</v>
      </c>
      <c r="IH90" s="37">
        <v>10.33065</v>
      </c>
      <c r="II90" s="37">
        <v>10.33065</v>
      </c>
      <c r="IJ90" s="37">
        <v>10.33065</v>
      </c>
      <c r="IK90" s="37">
        <v>10.33065</v>
      </c>
      <c r="IL90" s="37">
        <v>10.33065</v>
      </c>
      <c r="IM90" s="37">
        <v>10.33065</v>
      </c>
      <c r="IN90" s="37">
        <v>10.33065</v>
      </c>
      <c r="IO90" s="37">
        <v>10.33065</v>
      </c>
      <c r="IP90" s="37">
        <v>10.33065</v>
      </c>
      <c r="IQ90" s="37">
        <v>10.33065</v>
      </c>
      <c r="IR90" s="37">
        <v>10.33065</v>
      </c>
      <c r="IS90" s="37">
        <v>10.33065</v>
      </c>
      <c r="IT90" s="37">
        <v>10.33065</v>
      </c>
      <c r="IU90" s="37">
        <v>10.33065</v>
      </c>
      <c r="IV90" s="37">
        <v>10.33065</v>
      </c>
      <c r="IW90" s="37">
        <v>10.33065</v>
      </c>
      <c r="IX90" s="37">
        <v>10.33065</v>
      </c>
      <c r="IY90" s="37">
        <v>10.33065</v>
      </c>
      <c r="IZ90" s="37">
        <v>10.33065</v>
      </c>
      <c r="JA90" s="37">
        <v>10.33065</v>
      </c>
      <c r="JB90" s="37">
        <v>10.33065</v>
      </c>
      <c r="JC90" s="37">
        <v>10.33065</v>
      </c>
      <c r="JD90" s="37">
        <v>10.33065</v>
      </c>
      <c r="JE90" s="37">
        <v>10.33065</v>
      </c>
      <c r="JF90" s="37">
        <v>10.33065</v>
      </c>
      <c r="JG90" s="37">
        <v>10.33065</v>
      </c>
      <c r="JH90" s="37">
        <v>10.33065</v>
      </c>
      <c r="JI90" s="37">
        <v>10.33065</v>
      </c>
      <c r="JJ90" s="37">
        <v>10.33065</v>
      </c>
      <c r="JK90" s="37">
        <v>10.33065</v>
      </c>
      <c r="JL90" s="37">
        <v>10.33065</v>
      </c>
      <c r="JM90" s="37">
        <v>10.33065</v>
      </c>
      <c r="JN90" s="37">
        <v>10.33065</v>
      </c>
      <c r="JO90" s="37">
        <v>10.33065</v>
      </c>
      <c r="JP90" s="37">
        <v>10.33065</v>
      </c>
      <c r="JQ90" s="37">
        <v>10.33065</v>
      </c>
      <c r="JR90" s="37">
        <v>10.33065</v>
      </c>
      <c r="JS90" s="37">
        <v>10.33065</v>
      </c>
      <c r="JT90" s="37">
        <v>10.33065</v>
      </c>
      <c r="JU90" s="37">
        <v>10.33065</v>
      </c>
      <c r="JV90" s="37">
        <v>10.33065</v>
      </c>
      <c r="JW90" s="37">
        <v>10.33065</v>
      </c>
      <c r="JX90" s="37">
        <v>10.33065</v>
      </c>
      <c r="JY90" s="37">
        <v>10.33065</v>
      </c>
      <c r="JZ90" s="37">
        <v>10.33065</v>
      </c>
      <c r="KA90" s="37">
        <v>10.33065</v>
      </c>
      <c r="KB90" s="37">
        <v>10.33065</v>
      </c>
      <c r="KC90" s="37">
        <v>10.33065</v>
      </c>
      <c r="KD90" s="37">
        <v>10.33065</v>
      </c>
      <c r="KE90" s="37">
        <v>10.33065</v>
      </c>
      <c r="KF90" s="37">
        <v>10.33065</v>
      </c>
      <c r="KG90" s="37">
        <v>10.33065</v>
      </c>
      <c r="KH90" s="37">
        <v>10.33065</v>
      </c>
      <c r="KI90" s="37">
        <v>10.33065</v>
      </c>
      <c r="KJ90" s="37">
        <v>10.33065</v>
      </c>
      <c r="KK90" s="37">
        <v>10.33065</v>
      </c>
      <c r="KL90" s="37">
        <v>10.33065</v>
      </c>
      <c r="KM90" s="37">
        <v>10.33065</v>
      </c>
      <c r="KN90" s="37">
        <v>10.33065</v>
      </c>
      <c r="KO90" s="37">
        <v>10.33065</v>
      </c>
      <c r="KP90" s="37">
        <v>10.33065</v>
      </c>
      <c r="KQ90" s="37">
        <v>10.33065</v>
      </c>
      <c r="KR90" s="37">
        <v>10.33065</v>
      </c>
      <c r="KS90" s="37">
        <v>10.33065</v>
      </c>
      <c r="KT90" s="37">
        <v>10.33065</v>
      </c>
      <c r="KU90" s="37">
        <v>10.33065</v>
      </c>
      <c r="KV90" s="37">
        <v>10.33065</v>
      </c>
      <c r="KW90" s="37">
        <v>10.33065</v>
      </c>
      <c r="KX90" s="37">
        <v>10.33065</v>
      </c>
      <c r="KY90" s="37">
        <v>10.33065</v>
      </c>
      <c r="KZ90" s="37">
        <v>10.33065</v>
      </c>
      <c r="LA90" s="37">
        <v>10.33065</v>
      </c>
      <c r="LB90" s="37">
        <v>10.33065</v>
      </c>
      <c r="LC90" s="37">
        <v>10.33065</v>
      </c>
      <c r="LD90" s="37">
        <v>10.33065</v>
      </c>
      <c r="LE90" s="37">
        <v>10.33065</v>
      </c>
      <c r="LF90" s="37">
        <v>10.33065</v>
      </c>
      <c r="LG90" s="37">
        <v>10.33065</v>
      </c>
      <c r="LH90" s="37">
        <v>10.33065</v>
      </c>
      <c r="LI90" s="37">
        <v>10.33065</v>
      </c>
      <c r="LJ90" s="37">
        <v>10.33065</v>
      </c>
      <c r="LK90" s="37">
        <v>10.33065</v>
      </c>
      <c r="LL90" s="37">
        <v>10.33065</v>
      </c>
      <c r="LM90" s="37">
        <v>10.33065</v>
      </c>
      <c r="LN90" s="37">
        <v>10.33065</v>
      </c>
      <c r="LO90" s="37">
        <v>10.33065</v>
      </c>
      <c r="LP90" s="37">
        <v>10.33065</v>
      </c>
      <c r="LQ90" s="37">
        <v>10.33065</v>
      </c>
      <c r="LR90" s="37">
        <v>10.33065</v>
      </c>
      <c r="LS90" s="37">
        <v>10.33065</v>
      </c>
      <c r="LT90" s="37">
        <v>10.33065</v>
      </c>
      <c r="LU90" s="37">
        <v>10.33065</v>
      </c>
      <c r="LV90" s="37">
        <v>10.33065</v>
      </c>
      <c r="LW90" s="37">
        <v>10.33065</v>
      </c>
      <c r="LX90" s="37">
        <v>10.33065</v>
      </c>
      <c r="LY90" s="37">
        <v>10.33065</v>
      </c>
      <c r="LZ90" s="37">
        <v>10.33065</v>
      </c>
      <c r="MA90" s="37">
        <v>10.33065</v>
      </c>
      <c r="MB90" s="37">
        <v>10.33065</v>
      </c>
      <c r="MC90" s="37">
        <v>10.33065</v>
      </c>
      <c r="MD90" s="37">
        <v>10.33065</v>
      </c>
      <c r="ME90" s="37">
        <v>10.33065</v>
      </c>
      <c r="MF90" s="37">
        <v>10.33065</v>
      </c>
      <c r="MG90" s="37">
        <v>10.33065</v>
      </c>
      <c r="MH90" s="37">
        <v>10.33065</v>
      </c>
      <c r="MI90" s="37">
        <v>10.33065</v>
      </c>
      <c r="MJ90" s="37">
        <v>10.33065</v>
      </c>
      <c r="MK90" s="37">
        <v>10.33065</v>
      </c>
      <c r="ML90" s="37">
        <v>10.33065</v>
      </c>
      <c r="MM90" s="37">
        <v>10.33065</v>
      </c>
      <c r="MN90" s="37">
        <v>10.33065</v>
      </c>
      <c r="MO90" s="37">
        <v>10.33065</v>
      </c>
      <c r="MP90" s="37">
        <v>10.33065</v>
      </c>
      <c r="MQ90" s="37">
        <v>10.33065</v>
      </c>
      <c r="MR90" s="37">
        <v>10.33065</v>
      </c>
      <c r="MS90" s="37">
        <v>10.33065</v>
      </c>
      <c r="MT90" s="37">
        <v>10.33065</v>
      </c>
      <c r="MU90" s="37">
        <v>10.33065</v>
      </c>
      <c r="MV90" s="37">
        <v>10.33065</v>
      </c>
      <c r="MW90" s="37">
        <v>10.33065</v>
      </c>
      <c r="MX90" s="37">
        <v>10.33065</v>
      </c>
      <c r="MY90" s="37">
        <v>10.33065</v>
      </c>
      <c r="MZ90" s="37">
        <v>10.33065</v>
      </c>
      <c r="NA90" s="37">
        <v>10.33065</v>
      </c>
      <c r="NB90" s="37">
        <v>10.33065</v>
      </c>
      <c r="NC90" s="37">
        <v>10.33065</v>
      </c>
      <c r="ND90" s="37">
        <v>10.33065</v>
      </c>
      <c r="NE90" s="37">
        <v>10.33065</v>
      </c>
      <c r="NF90" s="37">
        <v>10.33065</v>
      </c>
      <c r="NG90" s="37">
        <v>10.33065</v>
      </c>
      <c r="NH90" s="37">
        <v>10.33065</v>
      </c>
      <c r="NI90" s="37">
        <v>10.33065</v>
      </c>
      <c r="NJ90" s="37">
        <v>10.33065</v>
      </c>
      <c r="NK90" s="37">
        <v>10.33065</v>
      </c>
      <c r="NL90" s="37">
        <v>10.33065</v>
      </c>
      <c r="NM90" s="37">
        <v>10.33065</v>
      </c>
      <c r="NN90" s="37">
        <v>10.33065</v>
      </c>
      <c r="NO90" s="37">
        <v>10.33065</v>
      </c>
      <c r="NP90" s="37">
        <v>10.33065</v>
      </c>
      <c r="NQ90" s="37">
        <v>10.33065</v>
      </c>
      <c r="NR90" s="37">
        <v>10.33065</v>
      </c>
      <c r="NS90" s="37">
        <v>10.33065</v>
      </c>
      <c r="NT90" s="37">
        <v>10.33065</v>
      </c>
      <c r="NU90" s="37">
        <v>10.33065</v>
      </c>
      <c r="NV90" s="37">
        <v>10.33065</v>
      </c>
      <c r="NW90" s="37">
        <v>10.33065</v>
      </c>
      <c r="NX90" s="37">
        <v>10.33065</v>
      </c>
      <c r="NY90" s="37">
        <v>9.4643999999999995</v>
      </c>
    </row>
    <row r="91" spans="1:510" x14ac:dyDescent="0.2">
      <c r="A91" s="37">
        <v>89</v>
      </c>
      <c r="B91" s="37" t="s">
        <v>911</v>
      </c>
      <c r="C91" s="17">
        <f>+'Detalle Compras'!D91</f>
        <v>202510300139</v>
      </c>
      <c r="D91" s="55">
        <f t="shared" si="16"/>
        <v>6.8427860000000003</v>
      </c>
      <c r="E91" s="14">
        <f>+IF(B91="","",'Detalle Compras'!S91+0)</f>
        <v>46001</v>
      </c>
      <c r="F91" s="14">
        <f>+IF(B91="","",EOMONTH('Detalle Compras'!S91,G91)+10)</f>
        <v>54067</v>
      </c>
      <c r="G91" s="50">
        <f t="shared" si="17"/>
        <v>264</v>
      </c>
      <c r="H91" s="50">
        <f t="shared" si="18"/>
        <v>262</v>
      </c>
      <c r="AD91" s="37">
        <v>6.8427860000000003</v>
      </c>
      <c r="AE91" s="37">
        <v>6.8427860000000003</v>
      </c>
      <c r="AF91" s="37">
        <v>6.8427860000000003</v>
      </c>
      <c r="AG91" s="37">
        <v>6.8427860000000003</v>
      </c>
      <c r="AH91" s="37">
        <v>6.8427860000000003</v>
      </c>
      <c r="AI91" s="37">
        <v>6.8427860000000003</v>
      </c>
      <c r="AJ91" s="37">
        <v>6.8427860000000003</v>
      </c>
      <c r="AK91" s="37">
        <v>6.8427860000000003</v>
      </c>
      <c r="AL91" s="37">
        <v>6.8427860000000003</v>
      </c>
      <c r="AM91" s="37">
        <v>6.8427860000000003</v>
      </c>
      <c r="AN91" s="37">
        <v>6.8427860000000003</v>
      </c>
      <c r="AO91" s="37">
        <v>6.8427860000000003</v>
      </c>
      <c r="AP91" s="37">
        <v>6.8427860000000003</v>
      </c>
      <c r="AQ91" s="37">
        <v>6.8427860000000003</v>
      </c>
      <c r="AR91" s="37">
        <v>6.8427860000000003</v>
      </c>
      <c r="AS91" s="37">
        <v>6.8427860000000003</v>
      </c>
      <c r="AT91" s="37">
        <v>6.8427860000000003</v>
      </c>
      <c r="AU91" s="37">
        <v>6.8427860000000003</v>
      </c>
      <c r="AV91" s="37">
        <v>6.8427860000000003</v>
      </c>
      <c r="AW91" s="37">
        <v>6.8427860000000003</v>
      </c>
      <c r="AX91" s="37">
        <v>6.8427860000000003</v>
      </c>
      <c r="AY91" s="37">
        <v>6.8427860000000003</v>
      </c>
      <c r="AZ91" s="37">
        <v>6.8427860000000003</v>
      </c>
      <c r="BA91" s="37">
        <v>6.8427860000000003</v>
      </c>
      <c r="BB91" s="37">
        <v>6.8427860000000003</v>
      </c>
      <c r="BC91" s="37">
        <v>6.8427860000000003</v>
      </c>
      <c r="BD91" s="37">
        <v>6.8427860000000003</v>
      </c>
      <c r="BE91" s="37">
        <v>6.8427860000000003</v>
      </c>
      <c r="BF91" s="37">
        <v>6.8427860000000003</v>
      </c>
      <c r="BG91" s="37">
        <v>6.8427860000000003</v>
      </c>
      <c r="BH91" s="37">
        <v>6.8427860000000003</v>
      </c>
      <c r="BI91" s="37">
        <v>6.8427860000000003</v>
      </c>
      <c r="BJ91" s="37">
        <v>6.8427860000000003</v>
      </c>
      <c r="BK91" s="37">
        <v>6.8427860000000003</v>
      </c>
      <c r="BL91" s="37">
        <v>6.8427860000000003</v>
      </c>
      <c r="BM91" s="37">
        <v>6.8427860000000003</v>
      </c>
      <c r="BN91" s="37">
        <v>6.8427860000000003</v>
      </c>
      <c r="BO91" s="37">
        <v>6.8427860000000003</v>
      </c>
      <c r="BP91" s="37">
        <v>6.8427860000000003</v>
      </c>
      <c r="BQ91" s="37">
        <v>6.8427860000000003</v>
      </c>
      <c r="BR91" s="37">
        <v>6.8427860000000003</v>
      </c>
      <c r="BS91" s="37">
        <v>6.8427860000000003</v>
      </c>
      <c r="BT91" s="37">
        <v>6.8427860000000003</v>
      </c>
      <c r="BU91" s="37">
        <v>6.8427860000000003</v>
      </c>
      <c r="BV91" s="37">
        <v>6.8427860000000003</v>
      </c>
      <c r="BW91" s="37">
        <v>6.8427860000000003</v>
      </c>
      <c r="BX91" s="37">
        <v>6.8427860000000003</v>
      </c>
      <c r="BY91" s="37">
        <v>6.8427860000000003</v>
      </c>
      <c r="BZ91" s="37">
        <v>6.8427860000000003</v>
      </c>
      <c r="CA91" s="37">
        <v>6.8427860000000003</v>
      </c>
      <c r="CB91" s="37">
        <v>6.8427860000000003</v>
      </c>
      <c r="CC91" s="37">
        <v>6.8427860000000003</v>
      </c>
      <c r="CD91" s="37">
        <v>6.8427860000000003</v>
      </c>
      <c r="CE91" s="37">
        <v>6.8427860000000003</v>
      </c>
      <c r="CF91" s="37">
        <v>6.8427860000000003</v>
      </c>
      <c r="CG91" s="37">
        <v>6.8427860000000003</v>
      </c>
      <c r="CH91" s="37">
        <v>6.8427860000000003</v>
      </c>
      <c r="CI91" s="37">
        <v>6.8427860000000003</v>
      </c>
      <c r="CJ91" s="37">
        <v>6.8427860000000003</v>
      </c>
      <c r="CK91" s="37">
        <v>6.8427860000000003</v>
      </c>
      <c r="CL91" s="37">
        <v>6.8427860000000003</v>
      </c>
      <c r="CM91" s="37">
        <v>6.8427860000000003</v>
      </c>
      <c r="CN91" s="37">
        <v>6.8427860000000003</v>
      </c>
      <c r="CO91" s="37">
        <v>6.8427860000000003</v>
      </c>
      <c r="CP91" s="37">
        <v>6.8427860000000003</v>
      </c>
      <c r="CQ91" s="37">
        <v>6.8427860000000003</v>
      </c>
      <c r="CR91" s="37">
        <v>6.8427860000000003</v>
      </c>
      <c r="CS91" s="37">
        <v>6.8427860000000003</v>
      </c>
      <c r="CT91" s="37">
        <v>6.8427860000000003</v>
      </c>
      <c r="CU91" s="37">
        <v>6.8427860000000003</v>
      </c>
      <c r="CV91" s="37">
        <v>6.8427860000000003</v>
      </c>
      <c r="CW91" s="37">
        <v>6.8427860000000003</v>
      </c>
      <c r="CX91" s="37">
        <v>6.8427860000000003</v>
      </c>
      <c r="CY91" s="37">
        <v>6.8427860000000003</v>
      </c>
      <c r="CZ91" s="37">
        <v>6.8427860000000003</v>
      </c>
      <c r="DA91" s="37">
        <v>6.8427860000000003</v>
      </c>
      <c r="DB91" s="37">
        <v>6.8427860000000003</v>
      </c>
      <c r="DC91" s="37">
        <v>6.8427860000000003</v>
      </c>
      <c r="DD91" s="37">
        <v>6.8427860000000003</v>
      </c>
      <c r="DE91" s="37">
        <v>6.8427860000000003</v>
      </c>
      <c r="DF91" s="37">
        <v>6.8427860000000003</v>
      </c>
      <c r="DG91" s="37">
        <v>6.8427860000000003</v>
      </c>
      <c r="DH91" s="37">
        <v>6.8427860000000003</v>
      </c>
      <c r="DI91" s="37">
        <v>6.8427860000000003</v>
      </c>
      <c r="DJ91" s="37">
        <v>6.8427860000000003</v>
      </c>
      <c r="DK91" s="37">
        <v>6.8427860000000003</v>
      </c>
      <c r="DL91" s="37">
        <v>6.8427860000000003</v>
      </c>
      <c r="DM91" s="37">
        <v>6.8427860000000003</v>
      </c>
      <c r="DN91" s="37">
        <v>6.8427860000000003</v>
      </c>
      <c r="DO91" s="37">
        <v>6.8427860000000003</v>
      </c>
      <c r="DP91" s="37">
        <v>6.8427860000000003</v>
      </c>
      <c r="DQ91" s="37">
        <v>6.8427860000000003</v>
      </c>
      <c r="DR91" s="37">
        <v>6.8427860000000003</v>
      </c>
      <c r="DS91" s="37">
        <v>6.8427860000000003</v>
      </c>
      <c r="DT91" s="37">
        <v>6.8427860000000003</v>
      </c>
      <c r="DU91" s="37">
        <v>6.8427860000000003</v>
      </c>
      <c r="DV91" s="37">
        <v>6.8427860000000003</v>
      </c>
      <c r="DW91" s="37">
        <v>6.8427860000000003</v>
      </c>
      <c r="DX91" s="37">
        <v>6.8427860000000003</v>
      </c>
      <c r="DY91" s="37">
        <v>6.8427860000000003</v>
      </c>
      <c r="DZ91" s="37">
        <v>6.8427860000000003</v>
      </c>
      <c r="EA91" s="37">
        <v>6.8427860000000003</v>
      </c>
      <c r="EB91" s="37">
        <v>6.8427860000000003</v>
      </c>
      <c r="EC91" s="37">
        <v>6.8427860000000003</v>
      </c>
      <c r="ED91" s="37">
        <v>6.8427860000000003</v>
      </c>
      <c r="EE91" s="37">
        <v>6.8427860000000003</v>
      </c>
      <c r="EF91" s="37">
        <v>6.8427860000000003</v>
      </c>
      <c r="EG91" s="37">
        <v>6.8427860000000003</v>
      </c>
      <c r="EH91" s="37">
        <v>6.8427860000000003</v>
      </c>
      <c r="EI91" s="37">
        <v>6.8427860000000003</v>
      </c>
      <c r="EJ91" s="37">
        <v>6.8427860000000003</v>
      </c>
      <c r="EK91" s="37">
        <v>6.8427860000000003</v>
      </c>
      <c r="EL91" s="37">
        <v>6.8427860000000003</v>
      </c>
      <c r="EM91" s="37">
        <v>6.8427860000000003</v>
      </c>
      <c r="EN91" s="37">
        <v>6.8427860000000003</v>
      </c>
      <c r="EO91" s="37">
        <v>6.8427860000000003</v>
      </c>
      <c r="EP91" s="37">
        <v>6.8427860000000003</v>
      </c>
      <c r="EQ91" s="37">
        <v>6.8427860000000003</v>
      </c>
      <c r="ER91" s="37">
        <v>6.8427860000000003</v>
      </c>
      <c r="ES91" s="37">
        <v>6.8427860000000003</v>
      </c>
      <c r="ET91" s="37">
        <v>6.8427860000000003</v>
      </c>
      <c r="EU91" s="37">
        <v>6.8427860000000003</v>
      </c>
      <c r="EV91" s="37">
        <v>6.8427860000000003</v>
      </c>
      <c r="EW91" s="37">
        <v>6.8427860000000003</v>
      </c>
      <c r="EX91" s="37">
        <v>6.8427860000000003</v>
      </c>
      <c r="EY91" s="37">
        <v>6.8427860000000003</v>
      </c>
      <c r="EZ91" s="37">
        <v>6.8427860000000003</v>
      </c>
      <c r="FA91" s="37">
        <v>6.8427860000000003</v>
      </c>
      <c r="FB91" s="37">
        <v>6.8427860000000003</v>
      </c>
      <c r="FC91" s="37">
        <v>6.8427860000000003</v>
      </c>
      <c r="FD91" s="37">
        <v>6.8427860000000003</v>
      </c>
      <c r="FE91" s="37">
        <v>6.8427860000000003</v>
      </c>
      <c r="FF91" s="37">
        <v>6.8427860000000003</v>
      </c>
      <c r="FG91" s="37">
        <v>6.8427860000000003</v>
      </c>
      <c r="FH91" s="37">
        <v>6.8427860000000003</v>
      </c>
      <c r="FI91" s="37">
        <v>6.8427860000000003</v>
      </c>
      <c r="FJ91" s="37">
        <v>6.8427860000000003</v>
      </c>
      <c r="FK91" s="37">
        <v>6.8427860000000003</v>
      </c>
      <c r="FL91" s="37">
        <v>6.8427860000000003</v>
      </c>
      <c r="FM91" s="37">
        <v>6.8427860000000003</v>
      </c>
      <c r="FN91" s="37">
        <v>6.8427860000000003</v>
      </c>
      <c r="FO91" s="37">
        <v>6.8427860000000003</v>
      </c>
      <c r="FP91" s="37">
        <v>6.8427860000000003</v>
      </c>
      <c r="FQ91" s="37">
        <v>6.8427860000000003</v>
      </c>
      <c r="FR91" s="37">
        <v>6.8427860000000003</v>
      </c>
      <c r="FS91" s="37">
        <v>6.8427860000000003</v>
      </c>
      <c r="FT91" s="37">
        <v>6.8427860000000003</v>
      </c>
      <c r="FU91" s="37">
        <v>6.8427860000000003</v>
      </c>
      <c r="FV91" s="37">
        <v>6.8427860000000003</v>
      </c>
      <c r="FW91" s="37">
        <v>6.8427860000000003</v>
      </c>
      <c r="FX91" s="37">
        <v>6.8427860000000003</v>
      </c>
      <c r="FY91" s="37">
        <v>6.8427860000000003</v>
      </c>
      <c r="FZ91" s="37">
        <v>6.8427860000000003</v>
      </c>
      <c r="GA91" s="37">
        <v>6.8427860000000003</v>
      </c>
      <c r="GB91" s="37">
        <v>6.8427860000000003</v>
      </c>
      <c r="GC91" s="37">
        <v>6.8427860000000003</v>
      </c>
      <c r="GD91" s="37">
        <v>6.8427860000000003</v>
      </c>
      <c r="GE91" s="37">
        <v>6.8427860000000003</v>
      </c>
      <c r="GF91" s="37">
        <v>6.8427860000000003</v>
      </c>
      <c r="GG91" s="37">
        <v>6.8427860000000003</v>
      </c>
      <c r="GH91" s="37">
        <v>6.8427860000000003</v>
      </c>
      <c r="GI91" s="37">
        <v>6.8427860000000003</v>
      </c>
      <c r="GJ91" s="37">
        <v>6.8427860000000003</v>
      </c>
      <c r="GK91" s="37">
        <v>6.8427860000000003</v>
      </c>
      <c r="GL91" s="37">
        <v>6.8427860000000003</v>
      </c>
      <c r="GM91" s="37">
        <v>6.8427860000000003</v>
      </c>
      <c r="GN91" s="37">
        <v>6.8427860000000003</v>
      </c>
      <c r="GO91" s="37">
        <v>6.8427860000000003</v>
      </c>
      <c r="GP91" s="37">
        <v>6.8427860000000003</v>
      </c>
      <c r="GQ91" s="37">
        <v>6.8427860000000003</v>
      </c>
      <c r="GR91" s="37">
        <v>6.8427860000000003</v>
      </c>
      <c r="GS91" s="37">
        <v>6.8427860000000003</v>
      </c>
      <c r="GT91" s="37">
        <v>6.8427860000000003</v>
      </c>
      <c r="GU91" s="37">
        <v>6.8427860000000003</v>
      </c>
      <c r="GV91" s="37">
        <v>6.8427860000000003</v>
      </c>
      <c r="GW91" s="37">
        <v>6.8427860000000003</v>
      </c>
      <c r="GX91" s="37">
        <v>6.8427860000000003</v>
      </c>
      <c r="GY91" s="37">
        <v>6.8427860000000003</v>
      </c>
      <c r="GZ91" s="37">
        <v>6.8427860000000003</v>
      </c>
      <c r="HA91" s="37">
        <v>6.8427860000000003</v>
      </c>
      <c r="HB91" s="37">
        <v>6.8427860000000003</v>
      </c>
      <c r="HC91" s="37">
        <v>6.8427860000000003</v>
      </c>
      <c r="HD91" s="37">
        <v>6.8427860000000003</v>
      </c>
      <c r="HE91" s="37">
        <v>6.8427860000000003</v>
      </c>
      <c r="HF91" s="37">
        <v>6.8427860000000003</v>
      </c>
      <c r="HG91" s="37">
        <v>6.8427860000000003</v>
      </c>
      <c r="HH91" s="37">
        <v>6.8427860000000003</v>
      </c>
      <c r="HI91" s="37">
        <v>6.8427860000000003</v>
      </c>
      <c r="HJ91" s="37">
        <v>6.8427860000000003</v>
      </c>
      <c r="HK91" s="37">
        <v>6.8427860000000003</v>
      </c>
      <c r="HL91" s="37">
        <v>6.8427860000000003</v>
      </c>
      <c r="HM91" s="37">
        <v>6.8427860000000003</v>
      </c>
      <c r="HN91" s="37">
        <v>6.8427860000000003</v>
      </c>
      <c r="HO91" s="37">
        <v>6.8427860000000003</v>
      </c>
      <c r="HP91" s="37">
        <v>6.8427860000000003</v>
      </c>
      <c r="HQ91" s="37">
        <v>6.8427860000000003</v>
      </c>
      <c r="HR91" s="37">
        <v>6.8427860000000003</v>
      </c>
      <c r="HS91" s="37">
        <v>6.8427860000000003</v>
      </c>
      <c r="HT91" s="37">
        <v>6.8427860000000003</v>
      </c>
      <c r="HU91" s="37">
        <v>6.8427860000000003</v>
      </c>
      <c r="HV91" s="37">
        <v>6.8427860000000003</v>
      </c>
      <c r="HW91" s="37">
        <v>6.8427860000000003</v>
      </c>
      <c r="HX91" s="37">
        <v>6.8427860000000003</v>
      </c>
      <c r="HY91" s="37">
        <v>6.8427860000000003</v>
      </c>
      <c r="HZ91" s="37">
        <v>6.8427860000000003</v>
      </c>
      <c r="IA91" s="37">
        <v>6.8427860000000003</v>
      </c>
      <c r="IB91" s="37">
        <v>6.8427860000000003</v>
      </c>
      <c r="IC91" s="37">
        <v>6.8427860000000003</v>
      </c>
      <c r="ID91" s="37">
        <v>6.8427860000000003</v>
      </c>
      <c r="IE91" s="37">
        <v>6.8427860000000003</v>
      </c>
      <c r="IF91" s="37">
        <v>6.8427860000000003</v>
      </c>
      <c r="IG91" s="37">
        <v>6.8427860000000003</v>
      </c>
      <c r="IH91" s="37">
        <v>6.8427860000000003</v>
      </c>
      <c r="II91" s="37">
        <v>6.8427860000000003</v>
      </c>
      <c r="IJ91" s="37">
        <v>6.8427860000000003</v>
      </c>
      <c r="IK91" s="37">
        <v>6.8427860000000003</v>
      </c>
      <c r="IL91" s="37">
        <v>6.8427860000000003</v>
      </c>
      <c r="IM91" s="37">
        <v>6.8427860000000003</v>
      </c>
      <c r="IN91" s="37">
        <v>6.8427860000000003</v>
      </c>
      <c r="IO91" s="37">
        <v>6.8427860000000003</v>
      </c>
      <c r="IP91" s="37">
        <v>6.8427860000000003</v>
      </c>
      <c r="IQ91" s="37">
        <v>6.8427860000000003</v>
      </c>
      <c r="IR91" s="37">
        <v>6.8427860000000003</v>
      </c>
      <c r="IS91" s="37">
        <v>6.8427860000000003</v>
      </c>
      <c r="IT91" s="37">
        <v>6.8427860000000003</v>
      </c>
      <c r="IU91" s="37">
        <v>6.8427860000000003</v>
      </c>
      <c r="IV91" s="37">
        <v>6.8427860000000003</v>
      </c>
      <c r="IW91" s="37">
        <v>6.8427860000000003</v>
      </c>
      <c r="IX91" s="37">
        <v>6.8427860000000003</v>
      </c>
      <c r="IY91" s="37">
        <v>6.8427860000000003</v>
      </c>
      <c r="IZ91" s="37">
        <v>6.8427860000000003</v>
      </c>
      <c r="JA91" s="37">
        <v>6.8427860000000003</v>
      </c>
      <c r="JB91" s="37">
        <v>6.8427860000000003</v>
      </c>
      <c r="JC91" s="37">
        <v>6.8427860000000003</v>
      </c>
      <c r="JD91" s="37">
        <v>6.8427860000000003</v>
      </c>
      <c r="JE91" s="37">
        <v>6.8427860000000003</v>
      </c>
      <c r="JF91" s="37">
        <v>6.8427860000000003</v>
      </c>
      <c r="JG91" s="37">
        <v>6.8427860000000003</v>
      </c>
      <c r="JH91" s="37">
        <v>6.8427860000000003</v>
      </c>
      <c r="JI91" s="37">
        <v>6.8427860000000003</v>
      </c>
      <c r="JJ91" s="37">
        <v>6.8427860000000003</v>
      </c>
      <c r="JK91" s="37">
        <v>6.8427860000000003</v>
      </c>
      <c r="JL91" s="37">
        <v>6.8427860000000003</v>
      </c>
      <c r="JM91" s="37">
        <v>6.8427860000000003</v>
      </c>
      <c r="JN91" s="37">
        <v>6.8427860000000003</v>
      </c>
      <c r="JO91" s="37">
        <v>6.8427860000000003</v>
      </c>
      <c r="JP91" s="37">
        <v>6.8427860000000003</v>
      </c>
      <c r="JQ91" s="37">
        <v>6.8427860000000003</v>
      </c>
      <c r="JR91" s="37">
        <v>6.8427860000000003</v>
      </c>
      <c r="JS91" s="37">
        <v>6.8427860000000003</v>
      </c>
      <c r="JT91" s="37">
        <v>6.8427860000000003</v>
      </c>
      <c r="JU91" s="37">
        <v>6.8427860000000003</v>
      </c>
      <c r="JV91" s="37">
        <v>6.8427860000000003</v>
      </c>
      <c r="JW91" s="37">
        <v>6.8427860000000003</v>
      </c>
      <c r="JX91" s="37">
        <v>6.8427860000000003</v>
      </c>
      <c r="JY91" s="37">
        <v>6.8427860000000003</v>
      </c>
      <c r="JZ91" s="37">
        <v>6.8427860000000003</v>
      </c>
      <c r="KA91" s="37">
        <v>6.8427860000000003</v>
      </c>
      <c r="KB91" s="37">
        <v>6.8427860000000003</v>
      </c>
      <c r="KC91" s="37">
        <v>6.8427860000000003</v>
      </c>
      <c r="KD91" s="37">
        <v>6.8427860000000003</v>
      </c>
      <c r="KE91" s="37">
        <v>6.8427860000000003</v>
      </c>
      <c r="KF91" s="37">
        <v>6.8427860000000003</v>
      </c>
      <c r="KG91" s="37">
        <v>6.7535970000000001</v>
      </c>
    </row>
    <row r="92" spans="1:510" x14ac:dyDescent="0.2">
      <c r="A92" s="37">
        <v>90</v>
      </c>
      <c r="B92" s="37" t="s">
        <v>912</v>
      </c>
      <c r="C92" s="17">
        <f>+'Detalle Compras'!D92</f>
        <v>202510300131</v>
      </c>
      <c r="D92" s="55">
        <f t="shared" si="16"/>
        <v>12.93225</v>
      </c>
      <c r="E92" s="14">
        <f>+IF(B92="","",'Detalle Compras'!S92+0)</f>
        <v>46001</v>
      </c>
      <c r="F92" s="14">
        <f>+IF(B92="","",EOMONTH('Detalle Compras'!S92,G92)+10)</f>
        <v>56989</v>
      </c>
      <c r="G92" s="50">
        <f t="shared" si="17"/>
        <v>360</v>
      </c>
      <c r="H92" s="50">
        <f t="shared" si="18"/>
        <v>358</v>
      </c>
      <c r="AD92" s="37">
        <v>12.93225</v>
      </c>
      <c r="AE92" s="37">
        <v>12.93225</v>
      </c>
      <c r="AF92" s="37">
        <v>12.93225</v>
      </c>
      <c r="AG92" s="37">
        <v>12.93225</v>
      </c>
      <c r="AH92" s="37">
        <v>12.93225</v>
      </c>
      <c r="AI92" s="37">
        <v>12.93225</v>
      </c>
      <c r="AJ92" s="37">
        <v>12.93225</v>
      </c>
      <c r="AK92" s="37">
        <v>12.93225</v>
      </c>
      <c r="AL92" s="37">
        <v>12.93225</v>
      </c>
      <c r="AM92" s="37">
        <v>12.93225</v>
      </c>
      <c r="AN92" s="37">
        <v>12.93225</v>
      </c>
      <c r="AO92" s="37">
        <v>12.93225</v>
      </c>
      <c r="AP92" s="37">
        <v>12.93225</v>
      </c>
      <c r="AQ92" s="37">
        <v>12.93225</v>
      </c>
      <c r="AR92" s="37">
        <v>12.93225</v>
      </c>
      <c r="AS92" s="37">
        <v>12.93225</v>
      </c>
      <c r="AT92" s="37">
        <v>12.93225</v>
      </c>
      <c r="AU92" s="37">
        <v>12.93225</v>
      </c>
      <c r="AV92" s="37">
        <v>12.93225</v>
      </c>
      <c r="AW92" s="37">
        <v>12.93225</v>
      </c>
      <c r="AX92" s="37">
        <v>12.93225</v>
      </c>
      <c r="AY92" s="37">
        <v>12.93225</v>
      </c>
      <c r="AZ92" s="37">
        <v>12.93225</v>
      </c>
      <c r="BA92" s="37">
        <v>12.93225</v>
      </c>
      <c r="BB92" s="37">
        <v>12.93225</v>
      </c>
      <c r="BC92" s="37">
        <v>12.93225</v>
      </c>
      <c r="BD92" s="37">
        <v>12.93225</v>
      </c>
      <c r="BE92" s="37">
        <v>12.93225</v>
      </c>
      <c r="BF92" s="37">
        <v>12.93225</v>
      </c>
      <c r="BG92" s="37">
        <v>12.93225</v>
      </c>
      <c r="BH92" s="37">
        <v>12.93225</v>
      </c>
      <c r="BI92" s="37">
        <v>12.93225</v>
      </c>
      <c r="BJ92" s="37">
        <v>12.93225</v>
      </c>
      <c r="BK92" s="37">
        <v>12.93225</v>
      </c>
      <c r="BL92" s="37">
        <v>12.93225</v>
      </c>
      <c r="BM92" s="37">
        <v>12.93225</v>
      </c>
      <c r="BN92" s="37">
        <v>12.93225</v>
      </c>
      <c r="BO92" s="37">
        <v>12.93225</v>
      </c>
      <c r="BP92" s="37">
        <v>12.93225</v>
      </c>
      <c r="BQ92" s="37">
        <v>12.93225</v>
      </c>
      <c r="BR92" s="37">
        <v>12.93225</v>
      </c>
      <c r="BS92" s="37">
        <v>12.93225</v>
      </c>
      <c r="BT92" s="37">
        <v>12.93225</v>
      </c>
      <c r="BU92" s="37">
        <v>12.93225</v>
      </c>
      <c r="BV92" s="37">
        <v>12.93225</v>
      </c>
      <c r="BW92" s="37">
        <v>12.93225</v>
      </c>
      <c r="BX92" s="37">
        <v>12.93225</v>
      </c>
      <c r="BY92" s="37">
        <v>12.93225</v>
      </c>
      <c r="BZ92" s="37">
        <v>12.93225</v>
      </c>
      <c r="CA92" s="37">
        <v>12.93225</v>
      </c>
      <c r="CB92" s="37">
        <v>12.93225</v>
      </c>
      <c r="CC92" s="37">
        <v>12.93225</v>
      </c>
      <c r="CD92" s="37">
        <v>12.93225</v>
      </c>
      <c r="CE92" s="37">
        <v>12.93225</v>
      </c>
      <c r="CF92" s="37">
        <v>12.93225</v>
      </c>
      <c r="CG92" s="37">
        <v>12.93225</v>
      </c>
      <c r="CH92" s="37">
        <v>12.93225</v>
      </c>
      <c r="CI92" s="37">
        <v>12.93225</v>
      </c>
      <c r="CJ92" s="37">
        <v>12.93225</v>
      </c>
      <c r="CK92" s="37">
        <v>12.93225</v>
      </c>
      <c r="CL92" s="37">
        <v>12.93225</v>
      </c>
      <c r="CM92" s="37">
        <v>12.93225</v>
      </c>
      <c r="CN92" s="37">
        <v>12.93225</v>
      </c>
      <c r="CO92" s="37">
        <v>12.93225</v>
      </c>
      <c r="CP92" s="37">
        <v>12.93225</v>
      </c>
      <c r="CQ92" s="37">
        <v>12.93225</v>
      </c>
      <c r="CR92" s="37">
        <v>12.93225</v>
      </c>
      <c r="CS92" s="37">
        <v>12.93225</v>
      </c>
      <c r="CT92" s="37">
        <v>12.93225</v>
      </c>
      <c r="CU92" s="37">
        <v>12.93225</v>
      </c>
      <c r="CV92" s="37">
        <v>12.93225</v>
      </c>
      <c r="CW92" s="37">
        <v>12.93225</v>
      </c>
      <c r="CX92" s="37">
        <v>12.93225</v>
      </c>
      <c r="CY92" s="37">
        <v>12.93225</v>
      </c>
      <c r="CZ92" s="37">
        <v>12.93225</v>
      </c>
      <c r="DA92" s="37">
        <v>12.93225</v>
      </c>
      <c r="DB92" s="37">
        <v>12.93225</v>
      </c>
      <c r="DC92" s="37">
        <v>12.93225</v>
      </c>
      <c r="DD92" s="37">
        <v>12.93225</v>
      </c>
      <c r="DE92" s="37">
        <v>12.93225</v>
      </c>
      <c r="DF92" s="37">
        <v>12.93225</v>
      </c>
      <c r="DG92" s="37">
        <v>12.93225</v>
      </c>
      <c r="DH92" s="37">
        <v>12.93225</v>
      </c>
      <c r="DI92" s="37">
        <v>12.93225</v>
      </c>
      <c r="DJ92" s="37">
        <v>12.93225</v>
      </c>
      <c r="DK92" s="37">
        <v>12.93225</v>
      </c>
      <c r="DL92" s="37">
        <v>12.93225</v>
      </c>
      <c r="DM92" s="37">
        <v>12.93225</v>
      </c>
      <c r="DN92" s="37">
        <v>12.93225</v>
      </c>
      <c r="DO92" s="37">
        <v>12.93225</v>
      </c>
      <c r="DP92" s="37">
        <v>12.93225</v>
      </c>
      <c r="DQ92" s="37">
        <v>12.93225</v>
      </c>
      <c r="DR92" s="37">
        <v>12.93225</v>
      </c>
      <c r="DS92" s="37">
        <v>12.93225</v>
      </c>
      <c r="DT92" s="37">
        <v>12.93225</v>
      </c>
      <c r="DU92" s="37">
        <v>12.93225</v>
      </c>
      <c r="DV92" s="37">
        <v>12.93225</v>
      </c>
      <c r="DW92" s="37">
        <v>12.93225</v>
      </c>
      <c r="DX92" s="37">
        <v>12.93225</v>
      </c>
      <c r="DY92" s="37">
        <v>12.93225</v>
      </c>
      <c r="DZ92" s="37">
        <v>12.93225</v>
      </c>
      <c r="EA92" s="37">
        <v>12.93225</v>
      </c>
      <c r="EB92" s="37">
        <v>12.93225</v>
      </c>
      <c r="EC92" s="37">
        <v>12.93225</v>
      </c>
      <c r="ED92" s="37">
        <v>12.93225</v>
      </c>
      <c r="EE92" s="37">
        <v>12.93225</v>
      </c>
      <c r="EF92" s="37">
        <v>12.93225</v>
      </c>
      <c r="EG92" s="37">
        <v>12.93225</v>
      </c>
      <c r="EH92" s="37">
        <v>12.93225</v>
      </c>
      <c r="EI92" s="37">
        <v>12.93225</v>
      </c>
      <c r="EJ92" s="37">
        <v>12.93225</v>
      </c>
      <c r="EK92" s="37">
        <v>12.93225</v>
      </c>
      <c r="EL92" s="37">
        <v>12.93225</v>
      </c>
      <c r="EM92" s="37">
        <v>12.93225</v>
      </c>
      <c r="EN92" s="37">
        <v>12.93225</v>
      </c>
      <c r="EO92" s="37">
        <v>12.93225</v>
      </c>
      <c r="EP92" s="37">
        <v>12.93225</v>
      </c>
      <c r="EQ92" s="37">
        <v>12.93225</v>
      </c>
      <c r="ER92" s="37">
        <v>12.93225</v>
      </c>
      <c r="ES92" s="37">
        <v>12.93225</v>
      </c>
      <c r="ET92" s="37">
        <v>12.93225</v>
      </c>
      <c r="EU92" s="37">
        <v>12.93225</v>
      </c>
      <c r="EV92" s="37">
        <v>12.93225</v>
      </c>
      <c r="EW92" s="37">
        <v>12.93225</v>
      </c>
      <c r="EX92" s="37">
        <v>12.93225</v>
      </c>
      <c r="EY92" s="37">
        <v>12.93225</v>
      </c>
      <c r="EZ92" s="37">
        <v>12.93225</v>
      </c>
      <c r="FA92" s="37">
        <v>12.93225</v>
      </c>
      <c r="FB92" s="37">
        <v>12.93225</v>
      </c>
      <c r="FC92" s="37">
        <v>12.93225</v>
      </c>
      <c r="FD92" s="37">
        <v>12.93225</v>
      </c>
      <c r="FE92" s="37">
        <v>12.93225</v>
      </c>
      <c r="FF92" s="37">
        <v>12.93225</v>
      </c>
      <c r="FG92" s="37">
        <v>12.93225</v>
      </c>
      <c r="FH92" s="37">
        <v>12.93225</v>
      </c>
      <c r="FI92" s="37">
        <v>12.93225</v>
      </c>
      <c r="FJ92" s="37">
        <v>12.93225</v>
      </c>
      <c r="FK92" s="37">
        <v>12.93225</v>
      </c>
      <c r="FL92" s="37">
        <v>12.93225</v>
      </c>
      <c r="FM92" s="37">
        <v>12.93225</v>
      </c>
      <c r="FN92" s="37">
        <v>12.93225</v>
      </c>
      <c r="FO92" s="37">
        <v>12.93225</v>
      </c>
      <c r="FP92" s="37">
        <v>12.93225</v>
      </c>
      <c r="FQ92" s="37">
        <v>12.93225</v>
      </c>
      <c r="FR92" s="37">
        <v>12.93225</v>
      </c>
      <c r="FS92" s="37">
        <v>12.93225</v>
      </c>
      <c r="FT92" s="37">
        <v>12.93225</v>
      </c>
      <c r="FU92" s="37">
        <v>12.93225</v>
      </c>
      <c r="FV92" s="37">
        <v>12.93225</v>
      </c>
      <c r="FW92" s="37">
        <v>12.93225</v>
      </c>
      <c r="FX92" s="37">
        <v>12.93225</v>
      </c>
      <c r="FY92" s="37">
        <v>12.93225</v>
      </c>
      <c r="FZ92" s="37">
        <v>12.93225</v>
      </c>
      <c r="GA92" s="37">
        <v>12.93225</v>
      </c>
      <c r="GB92" s="37">
        <v>12.93225</v>
      </c>
      <c r="GC92" s="37">
        <v>12.93225</v>
      </c>
      <c r="GD92" s="37">
        <v>12.93225</v>
      </c>
      <c r="GE92" s="37">
        <v>12.93225</v>
      </c>
      <c r="GF92" s="37">
        <v>12.93225</v>
      </c>
      <c r="GG92" s="37">
        <v>12.93225</v>
      </c>
      <c r="GH92" s="37">
        <v>12.93225</v>
      </c>
      <c r="GI92" s="37">
        <v>12.93225</v>
      </c>
      <c r="GJ92" s="37">
        <v>12.93225</v>
      </c>
      <c r="GK92" s="37">
        <v>12.93225</v>
      </c>
      <c r="GL92" s="37">
        <v>12.93225</v>
      </c>
      <c r="GM92" s="37">
        <v>12.93225</v>
      </c>
      <c r="GN92" s="37">
        <v>12.93225</v>
      </c>
      <c r="GO92" s="37">
        <v>12.93225</v>
      </c>
      <c r="GP92" s="37">
        <v>12.93225</v>
      </c>
      <c r="GQ92" s="37">
        <v>12.93225</v>
      </c>
      <c r="GR92" s="37">
        <v>12.93225</v>
      </c>
      <c r="GS92" s="37">
        <v>12.93225</v>
      </c>
      <c r="GT92" s="37">
        <v>12.93225</v>
      </c>
      <c r="GU92" s="37">
        <v>12.93225</v>
      </c>
      <c r="GV92" s="37">
        <v>12.93225</v>
      </c>
      <c r="GW92" s="37">
        <v>12.93225</v>
      </c>
      <c r="GX92" s="37">
        <v>12.93225</v>
      </c>
      <c r="GY92" s="37">
        <v>12.93225</v>
      </c>
      <c r="GZ92" s="37">
        <v>12.93225</v>
      </c>
      <c r="HA92" s="37">
        <v>12.93225</v>
      </c>
      <c r="HB92" s="37">
        <v>12.93225</v>
      </c>
      <c r="HC92" s="37">
        <v>12.93225</v>
      </c>
      <c r="HD92" s="37">
        <v>12.93225</v>
      </c>
      <c r="HE92" s="37">
        <v>12.93225</v>
      </c>
      <c r="HF92" s="37">
        <v>12.93225</v>
      </c>
      <c r="HG92" s="37">
        <v>12.93225</v>
      </c>
      <c r="HH92" s="37">
        <v>12.93225</v>
      </c>
      <c r="HI92" s="37">
        <v>12.93225</v>
      </c>
      <c r="HJ92" s="37">
        <v>12.93225</v>
      </c>
      <c r="HK92" s="37">
        <v>12.93225</v>
      </c>
      <c r="HL92" s="37">
        <v>12.93225</v>
      </c>
      <c r="HM92" s="37">
        <v>12.93225</v>
      </c>
      <c r="HN92" s="37">
        <v>12.93225</v>
      </c>
      <c r="HO92" s="37">
        <v>12.93225</v>
      </c>
      <c r="HP92" s="37">
        <v>12.93225</v>
      </c>
      <c r="HQ92" s="37">
        <v>12.93225</v>
      </c>
      <c r="HR92" s="37">
        <v>12.93225</v>
      </c>
      <c r="HS92" s="37">
        <v>12.93225</v>
      </c>
      <c r="HT92" s="37">
        <v>12.93225</v>
      </c>
      <c r="HU92" s="37">
        <v>12.93225</v>
      </c>
      <c r="HV92" s="37">
        <v>12.93225</v>
      </c>
      <c r="HW92" s="37">
        <v>12.93225</v>
      </c>
      <c r="HX92" s="37">
        <v>12.93225</v>
      </c>
      <c r="HY92" s="37">
        <v>12.93225</v>
      </c>
      <c r="HZ92" s="37">
        <v>12.93225</v>
      </c>
      <c r="IA92" s="37">
        <v>12.93225</v>
      </c>
      <c r="IB92" s="37">
        <v>12.93225</v>
      </c>
      <c r="IC92" s="37">
        <v>12.93225</v>
      </c>
      <c r="ID92" s="37">
        <v>12.93225</v>
      </c>
      <c r="IE92" s="37">
        <v>12.93225</v>
      </c>
      <c r="IF92" s="37">
        <v>12.93225</v>
      </c>
      <c r="IG92" s="37">
        <v>12.93225</v>
      </c>
      <c r="IH92" s="37">
        <v>12.93225</v>
      </c>
      <c r="II92" s="37">
        <v>12.93225</v>
      </c>
      <c r="IJ92" s="37">
        <v>12.93225</v>
      </c>
      <c r="IK92" s="37">
        <v>12.93225</v>
      </c>
      <c r="IL92" s="37">
        <v>12.93225</v>
      </c>
      <c r="IM92" s="37">
        <v>12.93225</v>
      </c>
      <c r="IN92" s="37">
        <v>12.93225</v>
      </c>
      <c r="IO92" s="37">
        <v>12.93225</v>
      </c>
      <c r="IP92" s="37">
        <v>12.93225</v>
      </c>
      <c r="IQ92" s="37">
        <v>12.93225</v>
      </c>
      <c r="IR92" s="37">
        <v>12.93225</v>
      </c>
      <c r="IS92" s="37">
        <v>12.93225</v>
      </c>
      <c r="IT92" s="37">
        <v>12.93225</v>
      </c>
      <c r="IU92" s="37">
        <v>12.93225</v>
      </c>
      <c r="IV92" s="37">
        <v>12.93225</v>
      </c>
      <c r="IW92" s="37">
        <v>12.93225</v>
      </c>
      <c r="IX92" s="37">
        <v>12.93225</v>
      </c>
      <c r="IY92" s="37">
        <v>12.93225</v>
      </c>
      <c r="IZ92" s="37">
        <v>12.93225</v>
      </c>
      <c r="JA92" s="37">
        <v>12.93225</v>
      </c>
      <c r="JB92" s="37">
        <v>12.93225</v>
      </c>
      <c r="JC92" s="37">
        <v>12.93225</v>
      </c>
      <c r="JD92" s="37">
        <v>12.93225</v>
      </c>
      <c r="JE92" s="37">
        <v>12.93225</v>
      </c>
      <c r="JF92" s="37">
        <v>12.93225</v>
      </c>
      <c r="JG92" s="37">
        <v>12.93225</v>
      </c>
      <c r="JH92" s="37">
        <v>12.93225</v>
      </c>
      <c r="JI92" s="37">
        <v>12.93225</v>
      </c>
      <c r="JJ92" s="37">
        <v>12.93225</v>
      </c>
      <c r="JK92" s="37">
        <v>12.93225</v>
      </c>
      <c r="JL92" s="37">
        <v>12.93225</v>
      </c>
      <c r="JM92" s="37">
        <v>12.93225</v>
      </c>
      <c r="JN92" s="37">
        <v>12.93225</v>
      </c>
      <c r="JO92" s="37">
        <v>12.93225</v>
      </c>
      <c r="JP92" s="37">
        <v>12.93225</v>
      </c>
      <c r="JQ92" s="37">
        <v>12.93225</v>
      </c>
      <c r="JR92" s="37">
        <v>12.93225</v>
      </c>
      <c r="JS92" s="37">
        <v>12.93225</v>
      </c>
      <c r="JT92" s="37">
        <v>12.93225</v>
      </c>
      <c r="JU92" s="37">
        <v>12.93225</v>
      </c>
      <c r="JV92" s="37">
        <v>12.93225</v>
      </c>
      <c r="JW92" s="37">
        <v>12.93225</v>
      </c>
      <c r="JX92" s="37">
        <v>12.93225</v>
      </c>
      <c r="JY92" s="37">
        <v>12.93225</v>
      </c>
      <c r="JZ92" s="37">
        <v>12.93225</v>
      </c>
      <c r="KA92" s="37">
        <v>12.93225</v>
      </c>
      <c r="KB92" s="37">
        <v>12.93225</v>
      </c>
      <c r="KC92" s="37">
        <v>12.93225</v>
      </c>
      <c r="KD92" s="37">
        <v>12.93225</v>
      </c>
      <c r="KE92" s="37">
        <v>12.93225</v>
      </c>
      <c r="KF92" s="37">
        <v>12.93225</v>
      </c>
      <c r="KG92" s="37">
        <v>12.93225</v>
      </c>
      <c r="KH92" s="37">
        <v>12.93225</v>
      </c>
      <c r="KI92" s="37">
        <v>12.93225</v>
      </c>
      <c r="KJ92" s="37">
        <v>12.93225</v>
      </c>
      <c r="KK92" s="37">
        <v>12.93225</v>
      </c>
      <c r="KL92" s="37">
        <v>12.93225</v>
      </c>
      <c r="KM92" s="37">
        <v>12.93225</v>
      </c>
      <c r="KN92" s="37">
        <v>12.93225</v>
      </c>
      <c r="KO92" s="37">
        <v>12.93225</v>
      </c>
      <c r="KP92" s="37">
        <v>12.93225</v>
      </c>
      <c r="KQ92" s="37">
        <v>12.93225</v>
      </c>
      <c r="KR92" s="37">
        <v>12.93225</v>
      </c>
      <c r="KS92" s="37">
        <v>12.93225</v>
      </c>
      <c r="KT92" s="37">
        <v>12.93225</v>
      </c>
      <c r="KU92" s="37">
        <v>12.93225</v>
      </c>
      <c r="KV92" s="37">
        <v>12.93225</v>
      </c>
      <c r="KW92" s="37">
        <v>12.93225</v>
      </c>
      <c r="KX92" s="37">
        <v>12.93225</v>
      </c>
      <c r="KY92" s="37">
        <v>12.93225</v>
      </c>
      <c r="KZ92" s="37">
        <v>12.93225</v>
      </c>
      <c r="LA92" s="37">
        <v>12.93225</v>
      </c>
      <c r="LB92" s="37">
        <v>12.93225</v>
      </c>
      <c r="LC92" s="37">
        <v>12.93225</v>
      </c>
      <c r="LD92" s="37">
        <v>12.93225</v>
      </c>
      <c r="LE92" s="37">
        <v>12.93225</v>
      </c>
      <c r="LF92" s="37">
        <v>12.93225</v>
      </c>
      <c r="LG92" s="37">
        <v>12.93225</v>
      </c>
      <c r="LH92" s="37">
        <v>12.93225</v>
      </c>
      <c r="LI92" s="37">
        <v>12.93225</v>
      </c>
      <c r="LJ92" s="37">
        <v>12.93225</v>
      </c>
      <c r="LK92" s="37">
        <v>12.93225</v>
      </c>
      <c r="LL92" s="37">
        <v>12.93225</v>
      </c>
      <c r="LM92" s="37">
        <v>12.93225</v>
      </c>
      <c r="LN92" s="37">
        <v>12.93225</v>
      </c>
      <c r="LO92" s="37">
        <v>12.93225</v>
      </c>
      <c r="LP92" s="37">
        <v>12.93225</v>
      </c>
      <c r="LQ92" s="37">
        <v>12.93225</v>
      </c>
      <c r="LR92" s="37">
        <v>12.93225</v>
      </c>
      <c r="LS92" s="37">
        <v>12.93225</v>
      </c>
      <c r="LT92" s="37">
        <v>12.93225</v>
      </c>
      <c r="LU92" s="37">
        <v>12.93225</v>
      </c>
      <c r="LV92" s="37">
        <v>12.93225</v>
      </c>
      <c r="LW92" s="37">
        <v>12.93225</v>
      </c>
      <c r="LX92" s="37">
        <v>12.93225</v>
      </c>
      <c r="LY92" s="37">
        <v>12.93225</v>
      </c>
      <c r="LZ92" s="37">
        <v>12.93225</v>
      </c>
      <c r="MA92" s="37">
        <v>12.93225</v>
      </c>
      <c r="MB92" s="37">
        <v>12.93225</v>
      </c>
      <c r="MC92" s="37">
        <v>12.93225</v>
      </c>
      <c r="MD92" s="37">
        <v>12.93225</v>
      </c>
      <c r="ME92" s="37">
        <v>12.93225</v>
      </c>
      <c r="MF92" s="37">
        <v>12.93225</v>
      </c>
      <c r="MG92" s="37">
        <v>12.93225</v>
      </c>
      <c r="MH92" s="37">
        <v>12.93225</v>
      </c>
      <c r="MI92" s="37">
        <v>12.93225</v>
      </c>
      <c r="MJ92" s="37">
        <v>12.93225</v>
      </c>
      <c r="MK92" s="37">
        <v>12.93225</v>
      </c>
      <c r="ML92" s="37">
        <v>12.93225</v>
      </c>
      <c r="MM92" s="37">
        <v>12.93225</v>
      </c>
      <c r="MN92" s="37">
        <v>12.93225</v>
      </c>
      <c r="MO92" s="37">
        <v>12.93225</v>
      </c>
      <c r="MP92" s="37">
        <v>12.93225</v>
      </c>
      <c r="MQ92" s="37">
        <v>12.93225</v>
      </c>
      <c r="MR92" s="37">
        <v>12.93225</v>
      </c>
      <c r="MS92" s="37">
        <v>12.93225</v>
      </c>
      <c r="MT92" s="37">
        <v>12.93225</v>
      </c>
      <c r="MU92" s="37">
        <v>12.93225</v>
      </c>
      <c r="MV92" s="37">
        <v>12.93225</v>
      </c>
      <c r="MW92" s="37">
        <v>12.93225</v>
      </c>
      <c r="MX92" s="37">
        <v>12.93225</v>
      </c>
      <c r="MY92" s="37">
        <v>12.93225</v>
      </c>
      <c r="MZ92" s="37">
        <v>12.93225</v>
      </c>
      <c r="NA92" s="37">
        <v>12.93225</v>
      </c>
      <c r="NB92" s="37">
        <v>12.93225</v>
      </c>
      <c r="NC92" s="37">
        <v>12.93225</v>
      </c>
      <c r="ND92" s="37">
        <v>12.93225</v>
      </c>
      <c r="NE92" s="37">
        <v>12.93225</v>
      </c>
      <c r="NF92" s="37">
        <v>12.93225</v>
      </c>
      <c r="NG92" s="37">
        <v>12.93225</v>
      </c>
      <c r="NH92" s="37">
        <v>12.93225</v>
      </c>
      <c r="NI92" s="37">
        <v>12.93225</v>
      </c>
      <c r="NJ92" s="37">
        <v>12.93225</v>
      </c>
      <c r="NK92" s="37">
        <v>12.93225</v>
      </c>
      <c r="NL92" s="37">
        <v>12.93225</v>
      </c>
      <c r="NM92" s="37">
        <v>12.93225</v>
      </c>
      <c r="NN92" s="37">
        <v>12.93225</v>
      </c>
      <c r="NO92" s="37">
        <v>12.93225</v>
      </c>
      <c r="NP92" s="37">
        <v>12.93225</v>
      </c>
      <c r="NQ92" s="37">
        <v>12.93225</v>
      </c>
      <c r="NR92" s="37">
        <v>12.93225</v>
      </c>
      <c r="NS92" s="37">
        <v>12.93225</v>
      </c>
      <c r="NT92" s="37">
        <v>12.93225</v>
      </c>
      <c r="NU92" s="37">
        <v>12.93225</v>
      </c>
      <c r="NV92" s="37">
        <v>12.93225</v>
      </c>
      <c r="NW92" s="37">
        <v>12.93225</v>
      </c>
      <c r="NX92" s="37">
        <v>12.93225</v>
      </c>
      <c r="NY92" s="37">
        <v>13.252599999999999</v>
      </c>
    </row>
    <row r="93" spans="1:510" x14ac:dyDescent="0.2">
      <c r="A93" s="37">
        <v>91</v>
      </c>
      <c r="B93" s="37" t="s">
        <v>936</v>
      </c>
      <c r="C93" s="17">
        <f>+'Detalle Compras'!D93</f>
        <v>202511270140</v>
      </c>
      <c r="D93" s="55">
        <f t="shared" si="16"/>
        <v>10.746449999999999</v>
      </c>
      <c r="E93" s="14">
        <f>+IF(B93="","",'Detalle Compras'!S93+0)</f>
        <v>46032</v>
      </c>
      <c r="F93" s="14">
        <f>+IF(B93="","",EOMONTH('Detalle Compras'!S93,G93)+10)</f>
        <v>58847</v>
      </c>
      <c r="G93" s="50">
        <f t="shared" si="17"/>
        <v>420</v>
      </c>
      <c r="H93" s="50">
        <f t="shared" si="18"/>
        <v>419</v>
      </c>
      <c r="AE93" s="37">
        <v>10.746449999999999</v>
      </c>
      <c r="AF93" s="37">
        <v>10.746449999999999</v>
      </c>
      <c r="AG93" s="37">
        <v>10.746449999999999</v>
      </c>
      <c r="AH93" s="37">
        <v>10.746449999999999</v>
      </c>
      <c r="AI93" s="37">
        <v>10.746449999999999</v>
      </c>
      <c r="AJ93" s="37">
        <v>10.746449999999999</v>
      </c>
      <c r="AK93" s="37">
        <v>10.746449999999999</v>
      </c>
      <c r="AL93" s="37">
        <v>10.746449999999999</v>
      </c>
      <c r="AM93" s="37">
        <v>10.746449999999999</v>
      </c>
      <c r="AN93" s="37">
        <v>10.746449999999999</v>
      </c>
      <c r="AO93" s="37">
        <v>10.746449999999999</v>
      </c>
      <c r="AP93" s="37">
        <v>10.746449999999999</v>
      </c>
      <c r="AQ93" s="37">
        <v>10.746449999999999</v>
      </c>
      <c r="AR93" s="37">
        <v>10.746449999999999</v>
      </c>
      <c r="AS93" s="37">
        <v>10.746449999999999</v>
      </c>
      <c r="AT93" s="37">
        <v>10.746449999999999</v>
      </c>
      <c r="AU93" s="37">
        <v>10.746449999999999</v>
      </c>
      <c r="AV93" s="37">
        <v>10.746449999999999</v>
      </c>
      <c r="AW93" s="37">
        <v>10.746449999999999</v>
      </c>
      <c r="AX93" s="37">
        <v>10.746449999999999</v>
      </c>
      <c r="AY93" s="37">
        <v>10.746449999999999</v>
      </c>
      <c r="AZ93" s="37">
        <v>10.746449999999999</v>
      </c>
      <c r="BA93" s="37">
        <v>10.746449999999999</v>
      </c>
      <c r="BB93" s="37">
        <v>10.746449999999999</v>
      </c>
      <c r="BC93" s="37">
        <v>10.746449999999999</v>
      </c>
      <c r="BD93" s="37">
        <v>10.746449999999999</v>
      </c>
      <c r="BE93" s="37">
        <v>10.746449999999999</v>
      </c>
      <c r="BF93" s="37">
        <v>10.746449999999999</v>
      </c>
      <c r="BG93" s="37">
        <v>10.746449999999999</v>
      </c>
      <c r="BH93" s="37">
        <v>10.746449999999999</v>
      </c>
      <c r="BI93" s="37">
        <v>10.746449999999999</v>
      </c>
      <c r="BJ93" s="37">
        <v>10.746449999999999</v>
      </c>
      <c r="BK93" s="37">
        <v>10.746449999999999</v>
      </c>
      <c r="BL93" s="37">
        <v>10.746449999999999</v>
      </c>
      <c r="BM93" s="37">
        <v>10.746449999999999</v>
      </c>
      <c r="BN93" s="37">
        <v>10.746449999999999</v>
      </c>
      <c r="BO93" s="37">
        <v>10.746449999999999</v>
      </c>
      <c r="BP93" s="37">
        <v>10.746449999999999</v>
      </c>
      <c r="BQ93" s="37">
        <v>10.746449999999999</v>
      </c>
      <c r="BR93" s="37">
        <v>10.746449999999999</v>
      </c>
      <c r="BS93" s="37">
        <v>10.746449999999999</v>
      </c>
      <c r="BT93" s="37">
        <v>10.746449999999999</v>
      </c>
      <c r="BU93" s="37">
        <v>10.746449999999999</v>
      </c>
      <c r="BV93" s="37">
        <v>10.746449999999999</v>
      </c>
      <c r="BW93" s="37">
        <v>10.746449999999999</v>
      </c>
      <c r="BX93" s="37">
        <v>10.746449999999999</v>
      </c>
      <c r="BY93" s="37">
        <v>10.746449999999999</v>
      </c>
      <c r="BZ93" s="37">
        <v>10.746449999999999</v>
      </c>
      <c r="CA93" s="37">
        <v>10.746449999999999</v>
      </c>
      <c r="CB93" s="37">
        <v>10.746449999999999</v>
      </c>
      <c r="CC93" s="37">
        <v>10.746449999999999</v>
      </c>
      <c r="CD93" s="37">
        <v>10.746449999999999</v>
      </c>
      <c r="CE93" s="37">
        <v>10.746449999999999</v>
      </c>
      <c r="CF93" s="37">
        <v>10.746449999999999</v>
      </c>
      <c r="CG93" s="37">
        <v>10.746449999999999</v>
      </c>
      <c r="CH93" s="37">
        <v>10.746449999999999</v>
      </c>
      <c r="CI93" s="37">
        <v>10.746449999999999</v>
      </c>
      <c r="CJ93" s="37">
        <v>10.746449999999999</v>
      </c>
      <c r="CK93" s="37">
        <v>10.746449999999999</v>
      </c>
      <c r="CL93" s="37">
        <v>10.746449999999999</v>
      </c>
      <c r="CM93" s="37">
        <v>10.746449999999999</v>
      </c>
      <c r="CN93" s="37">
        <v>10.746449999999999</v>
      </c>
      <c r="CO93" s="37">
        <v>10.746449999999999</v>
      </c>
      <c r="CP93" s="37">
        <v>10.746449999999999</v>
      </c>
      <c r="CQ93" s="37">
        <v>10.746449999999999</v>
      </c>
      <c r="CR93" s="37">
        <v>10.746449999999999</v>
      </c>
      <c r="CS93" s="37">
        <v>10.746449999999999</v>
      </c>
      <c r="CT93" s="37">
        <v>10.746449999999999</v>
      </c>
      <c r="CU93" s="37">
        <v>10.746449999999999</v>
      </c>
      <c r="CV93" s="37">
        <v>10.746449999999999</v>
      </c>
      <c r="CW93" s="37">
        <v>10.746449999999999</v>
      </c>
      <c r="CX93" s="37">
        <v>10.746449999999999</v>
      </c>
      <c r="CY93" s="37">
        <v>10.746449999999999</v>
      </c>
      <c r="CZ93" s="37">
        <v>10.746449999999999</v>
      </c>
      <c r="DA93" s="37">
        <v>10.746449999999999</v>
      </c>
      <c r="DB93" s="37">
        <v>10.746449999999999</v>
      </c>
      <c r="DC93" s="37">
        <v>10.746449999999999</v>
      </c>
      <c r="DD93" s="37">
        <v>10.746449999999999</v>
      </c>
      <c r="DE93" s="37">
        <v>10.746449999999999</v>
      </c>
      <c r="DF93" s="37">
        <v>10.746449999999999</v>
      </c>
      <c r="DG93" s="37">
        <v>10.746449999999999</v>
      </c>
      <c r="DH93" s="37">
        <v>10.746449999999999</v>
      </c>
      <c r="DI93" s="37">
        <v>10.746449999999999</v>
      </c>
      <c r="DJ93" s="37">
        <v>10.746449999999999</v>
      </c>
      <c r="DK93" s="37">
        <v>10.746449999999999</v>
      </c>
      <c r="DL93" s="37">
        <v>10.746449999999999</v>
      </c>
      <c r="DM93" s="37">
        <v>10.746449999999999</v>
      </c>
      <c r="DN93" s="37">
        <v>10.746449999999999</v>
      </c>
      <c r="DO93" s="37">
        <v>10.746449999999999</v>
      </c>
      <c r="DP93" s="37">
        <v>10.746449999999999</v>
      </c>
      <c r="DQ93" s="37">
        <v>10.746449999999999</v>
      </c>
      <c r="DR93" s="37">
        <v>10.746449999999999</v>
      </c>
      <c r="DS93" s="37">
        <v>10.746449999999999</v>
      </c>
      <c r="DT93" s="37">
        <v>10.746449999999999</v>
      </c>
      <c r="DU93" s="37">
        <v>10.746449999999999</v>
      </c>
      <c r="DV93" s="37">
        <v>10.746449999999999</v>
      </c>
      <c r="DW93" s="37">
        <v>10.746449999999999</v>
      </c>
      <c r="DX93" s="37">
        <v>10.746449999999999</v>
      </c>
      <c r="DY93" s="37">
        <v>10.746449999999999</v>
      </c>
      <c r="DZ93" s="37">
        <v>10.746449999999999</v>
      </c>
      <c r="EA93" s="37">
        <v>10.746449999999999</v>
      </c>
      <c r="EB93" s="37">
        <v>10.746449999999999</v>
      </c>
      <c r="EC93" s="37">
        <v>10.746449999999999</v>
      </c>
      <c r="ED93" s="37">
        <v>10.746449999999999</v>
      </c>
      <c r="EE93" s="37">
        <v>10.746449999999999</v>
      </c>
      <c r="EF93" s="37">
        <v>10.746449999999999</v>
      </c>
      <c r="EG93" s="37">
        <v>10.746449999999999</v>
      </c>
      <c r="EH93" s="37">
        <v>10.746449999999999</v>
      </c>
      <c r="EI93" s="37">
        <v>10.746449999999999</v>
      </c>
      <c r="EJ93" s="37">
        <v>10.746449999999999</v>
      </c>
      <c r="EK93" s="37">
        <v>10.746449999999999</v>
      </c>
      <c r="EL93" s="37">
        <v>10.746449999999999</v>
      </c>
      <c r="EM93" s="37">
        <v>10.746449999999999</v>
      </c>
      <c r="EN93" s="37">
        <v>10.746449999999999</v>
      </c>
      <c r="EO93" s="37">
        <v>10.746449999999999</v>
      </c>
      <c r="EP93" s="37">
        <v>10.746449999999999</v>
      </c>
      <c r="EQ93" s="37">
        <v>10.746449999999999</v>
      </c>
      <c r="ER93" s="37">
        <v>10.746449999999999</v>
      </c>
      <c r="ES93" s="37">
        <v>10.746449999999999</v>
      </c>
      <c r="ET93" s="37">
        <v>10.746449999999999</v>
      </c>
      <c r="EU93" s="37">
        <v>10.746449999999999</v>
      </c>
      <c r="EV93" s="37">
        <v>10.746449999999999</v>
      </c>
      <c r="EW93" s="37">
        <v>10.746449999999999</v>
      </c>
      <c r="EX93" s="37">
        <v>10.746449999999999</v>
      </c>
      <c r="EY93" s="37">
        <v>10.746449999999999</v>
      </c>
      <c r="EZ93" s="37">
        <v>10.746449999999999</v>
      </c>
      <c r="FA93" s="37">
        <v>10.746449999999999</v>
      </c>
      <c r="FB93" s="37">
        <v>10.746449999999999</v>
      </c>
      <c r="FC93" s="37">
        <v>10.746449999999999</v>
      </c>
      <c r="FD93" s="37">
        <v>10.746449999999999</v>
      </c>
      <c r="FE93" s="37">
        <v>10.746449999999999</v>
      </c>
      <c r="FF93" s="37">
        <v>10.746449999999999</v>
      </c>
      <c r="FG93" s="37">
        <v>10.746449999999999</v>
      </c>
      <c r="FH93" s="37">
        <v>10.746449999999999</v>
      </c>
      <c r="FI93" s="37">
        <v>10.746449999999999</v>
      </c>
      <c r="FJ93" s="37">
        <v>10.746449999999999</v>
      </c>
      <c r="FK93" s="37">
        <v>10.746449999999999</v>
      </c>
      <c r="FL93" s="37">
        <v>10.746449999999999</v>
      </c>
      <c r="FM93" s="37">
        <v>10.746449999999999</v>
      </c>
      <c r="FN93" s="37">
        <v>10.746449999999999</v>
      </c>
      <c r="FO93" s="37">
        <v>10.746449999999999</v>
      </c>
      <c r="FP93" s="37">
        <v>10.746449999999999</v>
      </c>
      <c r="FQ93" s="37">
        <v>10.746449999999999</v>
      </c>
      <c r="FR93" s="37">
        <v>10.746449999999999</v>
      </c>
      <c r="FS93" s="37">
        <v>10.746449999999999</v>
      </c>
      <c r="FT93" s="37">
        <v>10.746449999999999</v>
      </c>
      <c r="FU93" s="37">
        <v>10.746449999999999</v>
      </c>
      <c r="FV93" s="37">
        <v>10.746449999999999</v>
      </c>
      <c r="FW93" s="37">
        <v>10.746449999999999</v>
      </c>
      <c r="FX93" s="37">
        <v>10.746449999999999</v>
      </c>
      <c r="FY93" s="37">
        <v>10.746449999999999</v>
      </c>
      <c r="FZ93" s="37">
        <v>10.746449999999999</v>
      </c>
      <c r="GA93" s="37">
        <v>10.746449999999999</v>
      </c>
      <c r="GB93" s="37">
        <v>10.746449999999999</v>
      </c>
      <c r="GC93" s="37">
        <v>10.746449999999999</v>
      </c>
      <c r="GD93" s="37">
        <v>10.746449999999999</v>
      </c>
      <c r="GE93" s="37">
        <v>10.746449999999999</v>
      </c>
      <c r="GF93" s="37">
        <v>10.746449999999999</v>
      </c>
      <c r="GG93" s="37">
        <v>10.746449999999999</v>
      </c>
      <c r="GH93" s="37">
        <v>10.746449999999999</v>
      </c>
      <c r="GI93" s="37">
        <v>10.746449999999999</v>
      </c>
      <c r="GJ93" s="37">
        <v>10.746449999999999</v>
      </c>
      <c r="GK93" s="37">
        <v>10.746449999999999</v>
      </c>
      <c r="GL93" s="37">
        <v>10.746449999999999</v>
      </c>
      <c r="GM93" s="37">
        <v>10.746449999999999</v>
      </c>
      <c r="GN93" s="37">
        <v>10.746449999999999</v>
      </c>
      <c r="GO93" s="37">
        <v>10.746449999999999</v>
      </c>
      <c r="GP93" s="37">
        <v>10.746449999999999</v>
      </c>
      <c r="GQ93" s="37">
        <v>10.746449999999999</v>
      </c>
      <c r="GR93" s="37">
        <v>10.746449999999999</v>
      </c>
      <c r="GS93" s="37">
        <v>10.746449999999999</v>
      </c>
      <c r="GT93" s="37">
        <v>10.746449999999999</v>
      </c>
      <c r="GU93" s="37">
        <v>10.746449999999999</v>
      </c>
      <c r="GV93" s="37">
        <v>10.746449999999999</v>
      </c>
      <c r="GW93" s="37">
        <v>10.746449999999999</v>
      </c>
      <c r="GX93" s="37">
        <v>10.746449999999999</v>
      </c>
      <c r="GY93" s="37">
        <v>10.746449999999999</v>
      </c>
      <c r="GZ93" s="37">
        <v>10.746449999999999</v>
      </c>
      <c r="HA93" s="37">
        <v>10.746449999999999</v>
      </c>
      <c r="HB93" s="37">
        <v>10.746449999999999</v>
      </c>
      <c r="HC93" s="37">
        <v>10.746449999999999</v>
      </c>
      <c r="HD93" s="37">
        <v>10.746449999999999</v>
      </c>
      <c r="HE93" s="37">
        <v>10.746449999999999</v>
      </c>
      <c r="HF93" s="37">
        <v>10.746449999999999</v>
      </c>
      <c r="HG93" s="37">
        <v>10.746449999999999</v>
      </c>
      <c r="HH93" s="37">
        <v>10.746449999999999</v>
      </c>
      <c r="HI93" s="37">
        <v>10.746449999999999</v>
      </c>
      <c r="HJ93" s="37">
        <v>10.746449999999999</v>
      </c>
      <c r="HK93" s="37">
        <v>10.746449999999999</v>
      </c>
      <c r="HL93" s="37">
        <v>10.746449999999999</v>
      </c>
      <c r="HM93" s="37">
        <v>10.746449999999999</v>
      </c>
      <c r="HN93" s="37">
        <v>10.746449999999999</v>
      </c>
      <c r="HO93" s="37">
        <v>10.746449999999999</v>
      </c>
      <c r="HP93" s="37">
        <v>10.746449999999999</v>
      </c>
      <c r="HQ93" s="37">
        <v>10.746449999999999</v>
      </c>
      <c r="HR93" s="37">
        <v>10.746449999999999</v>
      </c>
      <c r="HS93" s="37">
        <v>10.746449999999999</v>
      </c>
      <c r="HT93" s="37">
        <v>10.746449999999999</v>
      </c>
      <c r="HU93" s="37">
        <v>10.746449999999999</v>
      </c>
      <c r="HV93" s="37">
        <v>10.746449999999999</v>
      </c>
      <c r="HW93" s="37">
        <v>10.746449999999999</v>
      </c>
      <c r="HX93" s="37">
        <v>10.746449999999999</v>
      </c>
      <c r="HY93" s="37">
        <v>10.746449999999999</v>
      </c>
      <c r="HZ93" s="37">
        <v>10.746449999999999</v>
      </c>
      <c r="IA93" s="37">
        <v>10.746449999999999</v>
      </c>
      <c r="IB93" s="37">
        <v>10.746449999999999</v>
      </c>
      <c r="IC93" s="37">
        <v>10.746449999999999</v>
      </c>
      <c r="ID93" s="37">
        <v>10.746449999999999</v>
      </c>
      <c r="IE93" s="37">
        <v>10.746449999999999</v>
      </c>
      <c r="IF93" s="37">
        <v>10.746449999999999</v>
      </c>
      <c r="IG93" s="37">
        <v>10.746449999999999</v>
      </c>
      <c r="IH93" s="37">
        <v>10.746449999999999</v>
      </c>
      <c r="II93" s="37">
        <v>10.746449999999999</v>
      </c>
      <c r="IJ93" s="37">
        <v>10.746449999999999</v>
      </c>
      <c r="IK93" s="37">
        <v>10.746449999999999</v>
      </c>
      <c r="IL93" s="37">
        <v>10.746449999999999</v>
      </c>
      <c r="IM93" s="37">
        <v>10.746449999999999</v>
      </c>
      <c r="IN93" s="37">
        <v>10.746449999999999</v>
      </c>
      <c r="IO93" s="37">
        <v>10.746449999999999</v>
      </c>
      <c r="IP93" s="37">
        <v>10.746449999999999</v>
      </c>
      <c r="IQ93" s="37">
        <v>10.746449999999999</v>
      </c>
      <c r="IR93" s="37">
        <v>10.746449999999999</v>
      </c>
      <c r="IS93" s="37">
        <v>10.746449999999999</v>
      </c>
      <c r="IT93" s="37">
        <v>10.746449999999999</v>
      </c>
      <c r="IU93" s="37">
        <v>10.746449999999999</v>
      </c>
      <c r="IV93" s="37">
        <v>10.746449999999999</v>
      </c>
      <c r="IW93" s="37">
        <v>10.746449999999999</v>
      </c>
      <c r="IX93" s="37">
        <v>10.746449999999999</v>
      </c>
      <c r="IY93" s="37">
        <v>10.746449999999999</v>
      </c>
      <c r="IZ93" s="37">
        <v>10.746449999999999</v>
      </c>
      <c r="JA93" s="37">
        <v>10.746449999999999</v>
      </c>
      <c r="JB93" s="37">
        <v>10.746449999999999</v>
      </c>
      <c r="JC93" s="37">
        <v>10.746449999999999</v>
      </c>
      <c r="JD93" s="37">
        <v>10.746449999999999</v>
      </c>
      <c r="JE93" s="37">
        <v>10.746449999999999</v>
      </c>
      <c r="JF93" s="37">
        <v>10.746449999999999</v>
      </c>
      <c r="JG93" s="37">
        <v>10.746449999999999</v>
      </c>
      <c r="JH93" s="37">
        <v>10.746449999999999</v>
      </c>
      <c r="JI93" s="37">
        <v>10.746449999999999</v>
      </c>
      <c r="JJ93" s="37">
        <v>10.746449999999999</v>
      </c>
      <c r="JK93" s="37">
        <v>10.746449999999999</v>
      </c>
      <c r="JL93" s="37">
        <v>10.746449999999999</v>
      </c>
      <c r="JM93" s="37">
        <v>10.746449999999999</v>
      </c>
      <c r="JN93" s="37">
        <v>10.746449999999999</v>
      </c>
      <c r="JO93" s="37">
        <v>10.746449999999999</v>
      </c>
      <c r="JP93" s="37">
        <v>10.746449999999999</v>
      </c>
      <c r="JQ93" s="37">
        <v>10.746449999999999</v>
      </c>
      <c r="JR93" s="37">
        <v>10.746449999999999</v>
      </c>
      <c r="JS93" s="37">
        <v>10.746449999999999</v>
      </c>
      <c r="JT93" s="37">
        <v>10.746449999999999</v>
      </c>
      <c r="JU93" s="37">
        <v>10.746449999999999</v>
      </c>
      <c r="JV93" s="37">
        <v>10.746449999999999</v>
      </c>
      <c r="JW93" s="37">
        <v>10.746449999999999</v>
      </c>
      <c r="JX93" s="37">
        <v>10.746449999999999</v>
      </c>
      <c r="JY93" s="37">
        <v>10.746449999999999</v>
      </c>
      <c r="JZ93" s="37">
        <v>10.746449999999999</v>
      </c>
      <c r="KA93" s="37">
        <v>10.746449999999999</v>
      </c>
      <c r="KB93" s="37">
        <v>10.746449999999999</v>
      </c>
      <c r="KC93" s="37">
        <v>10.746449999999999</v>
      </c>
      <c r="KD93" s="37">
        <v>10.746449999999999</v>
      </c>
      <c r="KE93" s="37">
        <v>10.746449999999999</v>
      </c>
      <c r="KF93" s="37">
        <v>10.746449999999999</v>
      </c>
      <c r="KG93" s="37">
        <v>10.746449999999999</v>
      </c>
      <c r="KH93" s="37">
        <v>10.746449999999999</v>
      </c>
      <c r="KI93" s="37">
        <v>10.746449999999999</v>
      </c>
      <c r="KJ93" s="37">
        <v>10.746449999999999</v>
      </c>
      <c r="KK93" s="37">
        <v>10.746449999999999</v>
      </c>
      <c r="KL93" s="37">
        <v>10.746449999999999</v>
      </c>
      <c r="KM93" s="37">
        <v>10.746449999999999</v>
      </c>
      <c r="KN93" s="37">
        <v>10.746449999999999</v>
      </c>
      <c r="KO93" s="37">
        <v>10.746449999999999</v>
      </c>
      <c r="KP93" s="37">
        <v>10.746449999999999</v>
      </c>
      <c r="KQ93" s="37">
        <v>10.746449999999999</v>
      </c>
      <c r="KR93" s="37">
        <v>10.746449999999999</v>
      </c>
      <c r="KS93" s="37">
        <v>10.746449999999999</v>
      </c>
      <c r="KT93" s="37">
        <v>10.746449999999999</v>
      </c>
      <c r="KU93" s="37">
        <v>10.746449999999999</v>
      </c>
      <c r="KV93" s="37">
        <v>10.746449999999999</v>
      </c>
      <c r="KW93" s="37">
        <v>10.746449999999999</v>
      </c>
      <c r="KX93" s="37">
        <v>10.746449999999999</v>
      </c>
      <c r="KY93" s="37">
        <v>10.746449999999999</v>
      </c>
      <c r="KZ93" s="37">
        <v>10.746449999999999</v>
      </c>
      <c r="LA93" s="37">
        <v>10.746449999999999</v>
      </c>
      <c r="LB93" s="37">
        <v>10.746449999999999</v>
      </c>
      <c r="LC93" s="37">
        <v>10.746449999999999</v>
      </c>
      <c r="LD93" s="37">
        <v>10.746449999999999</v>
      </c>
      <c r="LE93" s="37">
        <v>10.746449999999999</v>
      </c>
      <c r="LF93" s="37">
        <v>10.746449999999999</v>
      </c>
      <c r="LG93" s="37">
        <v>10.746449999999999</v>
      </c>
      <c r="LH93" s="37">
        <v>10.746449999999999</v>
      </c>
      <c r="LI93" s="37">
        <v>10.746449999999999</v>
      </c>
      <c r="LJ93" s="37">
        <v>10.746449999999999</v>
      </c>
      <c r="LK93" s="37">
        <v>10.746449999999999</v>
      </c>
      <c r="LL93" s="37">
        <v>10.746449999999999</v>
      </c>
      <c r="LM93" s="37">
        <v>10.746449999999999</v>
      </c>
      <c r="LN93" s="37">
        <v>10.746449999999999</v>
      </c>
      <c r="LO93" s="37">
        <v>10.746449999999999</v>
      </c>
      <c r="LP93" s="37">
        <v>10.746449999999999</v>
      </c>
      <c r="LQ93" s="37">
        <v>10.746449999999999</v>
      </c>
      <c r="LR93" s="37">
        <v>10.746449999999999</v>
      </c>
      <c r="LS93" s="37">
        <v>10.746449999999999</v>
      </c>
      <c r="LT93" s="37">
        <v>10.746449999999999</v>
      </c>
      <c r="LU93" s="37">
        <v>10.746449999999999</v>
      </c>
      <c r="LV93" s="37">
        <v>10.746449999999999</v>
      </c>
      <c r="LW93" s="37">
        <v>10.746449999999999</v>
      </c>
      <c r="LX93" s="37">
        <v>10.746449999999999</v>
      </c>
      <c r="LY93" s="37">
        <v>10.746449999999999</v>
      </c>
      <c r="LZ93" s="37">
        <v>10.746449999999999</v>
      </c>
      <c r="MA93" s="37">
        <v>10.746449999999999</v>
      </c>
      <c r="MB93" s="37">
        <v>10.746449999999999</v>
      </c>
      <c r="MC93" s="37">
        <v>10.746449999999999</v>
      </c>
      <c r="MD93" s="37">
        <v>10.746449999999999</v>
      </c>
      <c r="ME93" s="37">
        <v>10.746449999999999</v>
      </c>
      <c r="MF93" s="37">
        <v>10.746449999999999</v>
      </c>
      <c r="MG93" s="37">
        <v>10.746449999999999</v>
      </c>
      <c r="MH93" s="37">
        <v>10.746449999999999</v>
      </c>
      <c r="MI93" s="37">
        <v>10.746449999999999</v>
      </c>
      <c r="MJ93" s="37">
        <v>10.746449999999999</v>
      </c>
      <c r="MK93" s="37">
        <v>10.746449999999999</v>
      </c>
      <c r="ML93" s="37">
        <v>10.746449999999999</v>
      </c>
      <c r="MM93" s="37">
        <v>10.746449999999999</v>
      </c>
      <c r="MN93" s="37">
        <v>10.746449999999999</v>
      </c>
      <c r="MO93" s="37">
        <v>10.746449999999999</v>
      </c>
      <c r="MP93" s="37">
        <v>10.746449999999999</v>
      </c>
      <c r="MQ93" s="37">
        <v>10.746449999999999</v>
      </c>
      <c r="MR93" s="37">
        <v>10.746449999999999</v>
      </c>
      <c r="MS93" s="37">
        <v>10.746449999999999</v>
      </c>
      <c r="MT93" s="37">
        <v>10.746449999999999</v>
      </c>
      <c r="MU93" s="37">
        <v>10.746449999999999</v>
      </c>
      <c r="MV93" s="37">
        <v>10.746449999999999</v>
      </c>
      <c r="MW93" s="37">
        <v>10.746449999999999</v>
      </c>
      <c r="MX93" s="37">
        <v>10.746449999999999</v>
      </c>
      <c r="MY93" s="37">
        <v>10.746449999999999</v>
      </c>
      <c r="MZ93" s="37">
        <v>10.746449999999999</v>
      </c>
      <c r="NA93" s="37">
        <v>10.746449999999999</v>
      </c>
      <c r="NB93" s="37">
        <v>10.746449999999999</v>
      </c>
      <c r="NC93" s="37">
        <v>10.746449999999999</v>
      </c>
      <c r="ND93" s="37">
        <v>10.746449999999999</v>
      </c>
      <c r="NE93" s="37">
        <v>10.746449999999999</v>
      </c>
      <c r="NF93" s="37">
        <v>10.746449999999999</v>
      </c>
      <c r="NG93" s="37">
        <v>10.746449999999999</v>
      </c>
      <c r="NH93" s="37">
        <v>10.746449999999999</v>
      </c>
      <c r="NI93" s="37">
        <v>10.746449999999999</v>
      </c>
      <c r="NJ93" s="37">
        <v>10.746449999999999</v>
      </c>
      <c r="NK93" s="37">
        <v>10.746449999999999</v>
      </c>
      <c r="NL93" s="37">
        <v>10.746449999999999</v>
      </c>
      <c r="NM93" s="37">
        <v>10.746449999999999</v>
      </c>
      <c r="NN93" s="37">
        <v>10.746449999999999</v>
      </c>
      <c r="NO93" s="37">
        <v>10.746449999999999</v>
      </c>
      <c r="NP93" s="37">
        <v>10.746449999999999</v>
      </c>
      <c r="NQ93" s="37">
        <v>10.746449999999999</v>
      </c>
      <c r="NR93" s="37">
        <v>10.746449999999999</v>
      </c>
      <c r="NS93" s="37">
        <v>10.746449999999999</v>
      </c>
      <c r="NT93" s="37">
        <v>10.746449999999999</v>
      </c>
      <c r="NU93" s="37">
        <v>10.746449999999999</v>
      </c>
      <c r="NV93" s="37">
        <v>10.746449999999999</v>
      </c>
      <c r="NW93" s="37">
        <v>10.746449999999999</v>
      </c>
      <c r="NX93" s="37">
        <v>10.746449999999999</v>
      </c>
      <c r="NY93" s="37">
        <v>10.746449999999999</v>
      </c>
      <c r="NZ93" s="37">
        <v>10.746449999999999</v>
      </c>
      <c r="OA93" s="37">
        <v>10.746449999999999</v>
      </c>
      <c r="OB93" s="37">
        <v>10.746449999999999</v>
      </c>
      <c r="OC93" s="37">
        <v>10.746449999999999</v>
      </c>
      <c r="OD93" s="37">
        <v>10.746449999999999</v>
      </c>
      <c r="OE93" s="37">
        <v>10.746449999999999</v>
      </c>
      <c r="OF93" s="37">
        <v>10.746449999999999</v>
      </c>
      <c r="OG93" s="37">
        <v>10.746449999999999</v>
      </c>
      <c r="OH93" s="37">
        <v>10.746449999999999</v>
      </c>
      <c r="OI93" s="37">
        <v>10.746449999999999</v>
      </c>
      <c r="OJ93" s="37">
        <v>10.746449999999999</v>
      </c>
      <c r="OK93" s="37">
        <v>10.746449999999999</v>
      </c>
      <c r="OL93" s="37">
        <v>10.746449999999999</v>
      </c>
      <c r="OM93" s="37">
        <v>10.746449999999999</v>
      </c>
      <c r="ON93" s="37">
        <v>10.746449999999999</v>
      </c>
      <c r="OO93" s="37">
        <v>10.746449999999999</v>
      </c>
      <c r="OP93" s="37">
        <v>10.746449999999999</v>
      </c>
      <c r="OQ93" s="37">
        <v>10.746449999999999</v>
      </c>
      <c r="OR93" s="37">
        <v>10.746449999999999</v>
      </c>
      <c r="OS93" s="37">
        <v>10.746449999999999</v>
      </c>
      <c r="OT93" s="37">
        <v>10.746449999999999</v>
      </c>
      <c r="OU93" s="37">
        <v>10.746449999999999</v>
      </c>
      <c r="OV93" s="37">
        <v>10.746449999999999</v>
      </c>
      <c r="OW93" s="37">
        <v>10.746449999999999</v>
      </c>
      <c r="OX93" s="37">
        <v>10.746449999999999</v>
      </c>
      <c r="OY93" s="37">
        <v>10.746449999999999</v>
      </c>
      <c r="OZ93" s="37">
        <v>10.746449999999999</v>
      </c>
      <c r="PA93" s="37">
        <v>10.746449999999999</v>
      </c>
      <c r="PB93" s="37">
        <v>10.746449999999999</v>
      </c>
      <c r="PC93" s="37">
        <v>10.746449999999999</v>
      </c>
      <c r="PD93" s="37">
        <v>10.746449999999999</v>
      </c>
      <c r="PE93" s="37">
        <v>10.746449999999999</v>
      </c>
      <c r="PF93" s="37">
        <v>10.746449999999999</v>
      </c>
      <c r="PG93" s="37">
        <v>10.746449999999999</v>
      </c>
      <c r="PH93" s="37">
        <v>10.746449999999999</v>
      </c>
      <c r="PI93" s="37">
        <v>10.746449999999999</v>
      </c>
      <c r="PJ93" s="37">
        <v>10.746449999999999</v>
      </c>
      <c r="PK93" s="37">
        <v>10.746449999999999</v>
      </c>
      <c r="PL93" s="37">
        <v>10.746449999999999</v>
      </c>
      <c r="PM93" s="37">
        <v>10.746449999999999</v>
      </c>
      <c r="PN93" s="37">
        <v>10.746449999999999</v>
      </c>
      <c r="PO93" s="37">
        <v>10.746449999999999</v>
      </c>
      <c r="PP93" s="37">
        <v>10.746449999999999</v>
      </c>
      <c r="PQ93" s="37">
        <v>10.746449999999999</v>
      </c>
      <c r="PR93" s="37">
        <v>10.746449999999999</v>
      </c>
      <c r="PS93" s="15">
        <v>10.746449999999999</v>
      </c>
      <c r="PT93" s="15">
        <v>10.746449999999999</v>
      </c>
      <c r="PU93" s="15">
        <v>10.746449999999999</v>
      </c>
      <c r="PV93" s="15">
        <v>10.746449999999999</v>
      </c>
      <c r="PW93" s="15">
        <v>10.746449999999999</v>
      </c>
      <c r="PX93" s="15">
        <v>10.746449999999999</v>
      </c>
      <c r="PY93" s="15">
        <v>10.746449999999999</v>
      </c>
      <c r="PZ93" s="15">
        <v>10.746449999999999</v>
      </c>
      <c r="QA93" s="15">
        <v>10.746449999999999</v>
      </c>
      <c r="QB93" s="15">
        <v>10.746449999999999</v>
      </c>
      <c r="QC93" s="15">
        <v>10.746449999999999</v>
      </c>
      <c r="QD93" s="15">
        <v>10.746449999999999</v>
      </c>
      <c r="QE93" s="15">
        <v>10.746449999999999</v>
      </c>
      <c r="QF93" s="15">
        <v>10.746449999999999</v>
      </c>
      <c r="QG93" s="15">
        <v>10.746449999999999</v>
      </c>
      <c r="QH93" s="15">
        <v>11.12304</v>
      </c>
    </row>
    <row r="94" spans="1:510" x14ac:dyDescent="0.2">
      <c r="A94" s="37">
        <v>92</v>
      </c>
      <c r="B94" s="37" t="s">
        <v>937</v>
      </c>
      <c r="C94" s="17">
        <f>+'Detalle Compras'!D94</f>
        <v>202511270141</v>
      </c>
      <c r="D94" s="55">
        <f t="shared" si="16"/>
        <v>11.28237</v>
      </c>
      <c r="E94" s="14">
        <f>+IF(B94="","",'Detalle Compras'!S94+0)</f>
        <v>46032</v>
      </c>
      <c r="F94" s="14">
        <f>+IF(B94="","",EOMONTH('Detalle Compras'!S94,G94)+10)</f>
        <v>58847</v>
      </c>
      <c r="G94" s="50">
        <f t="shared" si="17"/>
        <v>420</v>
      </c>
      <c r="H94" s="50">
        <f t="shared" si="18"/>
        <v>419</v>
      </c>
      <c r="AE94" s="37">
        <v>11.28237</v>
      </c>
      <c r="AF94" s="37">
        <v>11.28237</v>
      </c>
      <c r="AG94" s="37">
        <v>11.28237</v>
      </c>
      <c r="AH94" s="37">
        <v>11.28237</v>
      </c>
      <c r="AI94" s="37">
        <v>11.28237</v>
      </c>
      <c r="AJ94" s="37">
        <v>11.28237</v>
      </c>
      <c r="AK94" s="37">
        <v>11.28237</v>
      </c>
      <c r="AL94" s="37">
        <v>11.28237</v>
      </c>
      <c r="AM94" s="37">
        <v>11.28237</v>
      </c>
      <c r="AN94" s="37">
        <v>11.28237</v>
      </c>
      <c r="AO94" s="37">
        <v>11.28237</v>
      </c>
      <c r="AP94" s="37">
        <v>11.28237</v>
      </c>
      <c r="AQ94" s="37">
        <v>11.28237</v>
      </c>
      <c r="AR94" s="37">
        <v>11.28237</v>
      </c>
      <c r="AS94" s="37">
        <v>11.28237</v>
      </c>
      <c r="AT94" s="37">
        <v>11.28237</v>
      </c>
      <c r="AU94" s="37">
        <v>11.28237</v>
      </c>
      <c r="AV94" s="37">
        <v>11.28237</v>
      </c>
      <c r="AW94" s="37">
        <v>11.28237</v>
      </c>
      <c r="AX94" s="37">
        <v>11.28237</v>
      </c>
      <c r="AY94" s="37">
        <v>11.28237</v>
      </c>
      <c r="AZ94" s="37">
        <v>11.28237</v>
      </c>
      <c r="BA94" s="37">
        <v>11.28237</v>
      </c>
      <c r="BB94" s="37">
        <v>11.28237</v>
      </c>
      <c r="BC94" s="37">
        <v>11.28237</v>
      </c>
      <c r="BD94" s="37">
        <v>11.28237</v>
      </c>
      <c r="BE94" s="37">
        <v>11.28237</v>
      </c>
      <c r="BF94" s="37">
        <v>11.28237</v>
      </c>
      <c r="BG94" s="37">
        <v>11.28237</v>
      </c>
      <c r="BH94" s="37">
        <v>11.28237</v>
      </c>
      <c r="BI94" s="37">
        <v>11.28237</v>
      </c>
      <c r="BJ94" s="37">
        <v>11.28237</v>
      </c>
      <c r="BK94" s="37">
        <v>11.28237</v>
      </c>
      <c r="BL94" s="37">
        <v>11.28237</v>
      </c>
      <c r="BM94" s="37">
        <v>11.28237</v>
      </c>
      <c r="BN94" s="37">
        <v>11.28237</v>
      </c>
      <c r="BO94" s="37">
        <v>11.28237</v>
      </c>
      <c r="BP94" s="37">
        <v>11.28237</v>
      </c>
      <c r="BQ94" s="37">
        <v>11.28237</v>
      </c>
      <c r="BR94" s="37">
        <v>11.28237</v>
      </c>
      <c r="BS94" s="37">
        <v>11.28237</v>
      </c>
      <c r="BT94" s="37">
        <v>11.28237</v>
      </c>
      <c r="BU94" s="37">
        <v>11.28237</v>
      </c>
      <c r="BV94" s="37">
        <v>11.28237</v>
      </c>
      <c r="BW94" s="37">
        <v>11.28237</v>
      </c>
      <c r="BX94" s="37">
        <v>11.28237</v>
      </c>
      <c r="BY94" s="37">
        <v>11.28237</v>
      </c>
      <c r="BZ94" s="37">
        <v>11.28237</v>
      </c>
      <c r="CA94" s="37">
        <v>11.28237</v>
      </c>
      <c r="CB94" s="37">
        <v>11.28237</v>
      </c>
      <c r="CC94" s="37">
        <v>11.28237</v>
      </c>
      <c r="CD94" s="37">
        <v>11.28237</v>
      </c>
      <c r="CE94" s="37">
        <v>11.28237</v>
      </c>
      <c r="CF94" s="37">
        <v>11.28237</v>
      </c>
      <c r="CG94" s="37">
        <v>11.28237</v>
      </c>
      <c r="CH94" s="37">
        <v>11.28237</v>
      </c>
      <c r="CI94" s="37">
        <v>11.28237</v>
      </c>
      <c r="CJ94" s="37">
        <v>11.28237</v>
      </c>
      <c r="CK94" s="37">
        <v>11.28237</v>
      </c>
      <c r="CL94" s="37">
        <v>11.28237</v>
      </c>
      <c r="CM94" s="37">
        <v>11.28237</v>
      </c>
      <c r="CN94" s="37">
        <v>11.28237</v>
      </c>
      <c r="CO94" s="37">
        <v>11.28237</v>
      </c>
      <c r="CP94" s="37">
        <v>11.28237</v>
      </c>
      <c r="CQ94" s="37">
        <v>11.28237</v>
      </c>
      <c r="CR94" s="37">
        <v>11.28237</v>
      </c>
      <c r="CS94" s="37">
        <v>11.28237</v>
      </c>
      <c r="CT94" s="37">
        <v>11.28237</v>
      </c>
      <c r="CU94" s="37">
        <v>11.28237</v>
      </c>
      <c r="CV94" s="37">
        <v>11.28237</v>
      </c>
      <c r="CW94" s="37">
        <v>11.28237</v>
      </c>
      <c r="CX94" s="37">
        <v>11.28237</v>
      </c>
      <c r="CY94" s="37">
        <v>11.28237</v>
      </c>
      <c r="CZ94" s="37">
        <v>11.28237</v>
      </c>
      <c r="DA94" s="37">
        <v>11.28237</v>
      </c>
      <c r="DB94" s="37">
        <v>11.28237</v>
      </c>
      <c r="DC94" s="37">
        <v>11.28237</v>
      </c>
      <c r="DD94" s="37">
        <v>11.28237</v>
      </c>
      <c r="DE94" s="37">
        <v>11.28237</v>
      </c>
      <c r="DF94" s="37">
        <v>11.28237</v>
      </c>
      <c r="DG94" s="37">
        <v>11.28237</v>
      </c>
      <c r="DH94" s="37">
        <v>11.28237</v>
      </c>
      <c r="DI94" s="37">
        <v>11.28237</v>
      </c>
      <c r="DJ94" s="37">
        <v>11.28237</v>
      </c>
      <c r="DK94" s="37">
        <v>11.28237</v>
      </c>
      <c r="DL94" s="37">
        <v>11.28237</v>
      </c>
      <c r="DM94" s="37">
        <v>11.28237</v>
      </c>
      <c r="DN94" s="37">
        <v>11.28237</v>
      </c>
      <c r="DO94" s="37">
        <v>11.28237</v>
      </c>
      <c r="DP94" s="37">
        <v>11.28237</v>
      </c>
      <c r="DQ94" s="37">
        <v>11.28237</v>
      </c>
      <c r="DR94" s="37">
        <v>11.28237</v>
      </c>
      <c r="DS94" s="37">
        <v>11.28237</v>
      </c>
      <c r="DT94" s="37">
        <v>11.28237</v>
      </c>
      <c r="DU94" s="37">
        <v>11.28237</v>
      </c>
      <c r="DV94" s="37">
        <v>11.28237</v>
      </c>
      <c r="DW94" s="37">
        <v>11.28237</v>
      </c>
      <c r="DX94" s="37">
        <v>11.28237</v>
      </c>
      <c r="DY94" s="37">
        <v>11.28237</v>
      </c>
      <c r="DZ94" s="37">
        <v>11.28237</v>
      </c>
      <c r="EA94" s="37">
        <v>11.28237</v>
      </c>
      <c r="EB94" s="37">
        <v>11.28237</v>
      </c>
      <c r="EC94" s="37">
        <v>11.28237</v>
      </c>
      <c r="ED94" s="37">
        <v>11.28237</v>
      </c>
      <c r="EE94" s="37">
        <v>11.28237</v>
      </c>
      <c r="EF94" s="37">
        <v>11.28237</v>
      </c>
      <c r="EG94" s="37">
        <v>11.28237</v>
      </c>
      <c r="EH94" s="37">
        <v>11.28237</v>
      </c>
      <c r="EI94" s="37">
        <v>11.28237</v>
      </c>
      <c r="EJ94" s="37">
        <v>11.28237</v>
      </c>
      <c r="EK94" s="37">
        <v>11.28237</v>
      </c>
      <c r="EL94" s="37">
        <v>11.28237</v>
      </c>
      <c r="EM94" s="37">
        <v>11.28237</v>
      </c>
      <c r="EN94" s="37">
        <v>11.28237</v>
      </c>
      <c r="EO94" s="37">
        <v>11.28237</v>
      </c>
      <c r="EP94" s="37">
        <v>11.28237</v>
      </c>
      <c r="EQ94" s="37">
        <v>11.28237</v>
      </c>
      <c r="ER94" s="37">
        <v>11.28237</v>
      </c>
      <c r="ES94" s="37">
        <v>11.28237</v>
      </c>
      <c r="ET94" s="37">
        <v>11.28237</v>
      </c>
      <c r="EU94" s="37">
        <v>11.28237</v>
      </c>
      <c r="EV94" s="37">
        <v>11.28237</v>
      </c>
      <c r="EW94" s="37">
        <v>11.28237</v>
      </c>
      <c r="EX94" s="37">
        <v>11.28237</v>
      </c>
      <c r="EY94" s="37">
        <v>11.28237</v>
      </c>
      <c r="EZ94" s="37">
        <v>11.28237</v>
      </c>
      <c r="FA94" s="37">
        <v>11.28237</v>
      </c>
      <c r="FB94" s="37">
        <v>11.28237</v>
      </c>
      <c r="FC94" s="37">
        <v>11.28237</v>
      </c>
      <c r="FD94" s="37">
        <v>11.28237</v>
      </c>
      <c r="FE94" s="37">
        <v>11.28237</v>
      </c>
      <c r="FF94" s="37">
        <v>11.28237</v>
      </c>
      <c r="FG94" s="37">
        <v>11.28237</v>
      </c>
      <c r="FH94" s="37">
        <v>11.28237</v>
      </c>
      <c r="FI94" s="37">
        <v>11.28237</v>
      </c>
      <c r="FJ94" s="37">
        <v>11.28237</v>
      </c>
      <c r="FK94" s="37">
        <v>11.28237</v>
      </c>
      <c r="FL94" s="37">
        <v>11.28237</v>
      </c>
      <c r="FM94" s="37">
        <v>11.28237</v>
      </c>
      <c r="FN94" s="37">
        <v>11.28237</v>
      </c>
      <c r="FO94" s="37">
        <v>11.28237</v>
      </c>
      <c r="FP94" s="37">
        <v>11.28237</v>
      </c>
      <c r="FQ94" s="37">
        <v>11.28237</v>
      </c>
      <c r="FR94" s="37">
        <v>11.28237</v>
      </c>
      <c r="FS94" s="37">
        <v>11.28237</v>
      </c>
      <c r="FT94" s="37">
        <v>11.28237</v>
      </c>
      <c r="FU94" s="37">
        <v>11.28237</v>
      </c>
      <c r="FV94" s="37">
        <v>11.28237</v>
      </c>
      <c r="FW94" s="37">
        <v>11.28237</v>
      </c>
      <c r="FX94" s="37">
        <v>11.28237</v>
      </c>
      <c r="FY94" s="37">
        <v>11.28237</v>
      </c>
      <c r="FZ94" s="37">
        <v>11.28237</v>
      </c>
      <c r="GA94" s="37">
        <v>11.28237</v>
      </c>
      <c r="GB94" s="37">
        <v>11.28237</v>
      </c>
      <c r="GC94" s="37">
        <v>11.28237</v>
      </c>
      <c r="GD94" s="37">
        <v>11.28237</v>
      </c>
      <c r="GE94" s="37">
        <v>11.28237</v>
      </c>
      <c r="GF94" s="37">
        <v>11.28237</v>
      </c>
      <c r="GG94" s="37">
        <v>11.28237</v>
      </c>
      <c r="GH94" s="37">
        <v>11.28237</v>
      </c>
      <c r="GI94" s="37">
        <v>11.28237</v>
      </c>
      <c r="GJ94" s="37">
        <v>11.28237</v>
      </c>
      <c r="GK94" s="37">
        <v>11.28237</v>
      </c>
      <c r="GL94" s="37">
        <v>11.28237</v>
      </c>
      <c r="GM94" s="37">
        <v>11.28237</v>
      </c>
      <c r="GN94" s="37">
        <v>11.28237</v>
      </c>
      <c r="GO94" s="37">
        <v>11.28237</v>
      </c>
      <c r="GP94" s="37">
        <v>11.28237</v>
      </c>
      <c r="GQ94" s="37">
        <v>11.28237</v>
      </c>
      <c r="GR94" s="37">
        <v>11.28237</v>
      </c>
      <c r="GS94" s="37">
        <v>11.28237</v>
      </c>
      <c r="GT94" s="37">
        <v>11.28237</v>
      </c>
      <c r="GU94" s="37">
        <v>11.28237</v>
      </c>
      <c r="GV94" s="37">
        <v>11.28237</v>
      </c>
      <c r="GW94" s="37">
        <v>11.28237</v>
      </c>
      <c r="GX94" s="37">
        <v>11.28237</v>
      </c>
      <c r="GY94" s="37">
        <v>11.28237</v>
      </c>
      <c r="GZ94" s="37">
        <v>11.28237</v>
      </c>
      <c r="HA94" s="37">
        <v>11.28237</v>
      </c>
      <c r="HB94" s="37">
        <v>11.28237</v>
      </c>
      <c r="HC94" s="37">
        <v>11.28237</v>
      </c>
      <c r="HD94" s="37">
        <v>11.28237</v>
      </c>
      <c r="HE94" s="37">
        <v>11.28237</v>
      </c>
      <c r="HF94" s="37">
        <v>11.28237</v>
      </c>
      <c r="HG94" s="37">
        <v>11.28237</v>
      </c>
      <c r="HH94" s="37">
        <v>11.28237</v>
      </c>
      <c r="HI94" s="37">
        <v>11.28237</v>
      </c>
      <c r="HJ94" s="37">
        <v>11.28237</v>
      </c>
      <c r="HK94" s="37">
        <v>11.28237</v>
      </c>
      <c r="HL94" s="37">
        <v>11.28237</v>
      </c>
      <c r="HM94" s="37">
        <v>11.28237</v>
      </c>
      <c r="HN94" s="37">
        <v>11.28237</v>
      </c>
      <c r="HO94" s="37">
        <v>11.28237</v>
      </c>
      <c r="HP94" s="37">
        <v>11.28237</v>
      </c>
      <c r="HQ94" s="37">
        <v>11.28237</v>
      </c>
      <c r="HR94" s="37">
        <v>11.28237</v>
      </c>
      <c r="HS94" s="37">
        <v>11.28237</v>
      </c>
      <c r="HT94" s="37">
        <v>11.28237</v>
      </c>
      <c r="HU94" s="37">
        <v>11.28237</v>
      </c>
      <c r="HV94" s="37">
        <v>11.28237</v>
      </c>
      <c r="HW94" s="37">
        <v>11.28237</v>
      </c>
      <c r="HX94" s="37">
        <v>11.28237</v>
      </c>
      <c r="HY94" s="37">
        <v>11.28237</v>
      </c>
      <c r="HZ94" s="37">
        <v>11.28237</v>
      </c>
      <c r="IA94" s="37">
        <v>11.28237</v>
      </c>
      <c r="IB94" s="37">
        <v>11.28237</v>
      </c>
      <c r="IC94" s="37">
        <v>11.28237</v>
      </c>
      <c r="ID94" s="37">
        <v>11.28237</v>
      </c>
      <c r="IE94" s="37">
        <v>11.28237</v>
      </c>
      <c r="IF94" s="37">
        <v>11.28237</v>
      </c>
      <c r="IG94" s="37">
        <v>11.28237</v>
      </c>
      <c r="IH94" s="37">
        <v>11.28237</v>
      </c>
      <c r="II94" s="37">
        <v>11.28237</v>
      </c>
      <c r="IJ94" s="37">
        <v>11.28237</v>
      </c>
      <c r="IK94" s="37">
        <v>11.28237</v>
      </c>
      <c r="IL94" s="37">
        <v>11.28237</v>
      </c>
      <c r="IM94" s="37">
        <v>11.28237</v>
      </c>
      <c r="IN94" s="37">
        <v>11.28237</v>
      </c>
      <c r="IO94" s="37">
        <v>11.28237</v>
      </c>
      <c r="IP94" s="37">
        <v>11.28237</v>
      </c>
      <c r="IQ94" s="37">
        <v>11.28237</v>
      </c>
      <c r="IR94" s="37">
        <v>11.28237</v>
      </c>
      <c r="IS94" s="37">
        <v>11.28237</v>
      </c>
      <c r="IT94" s="37">
        <v>11.28237</v>
      </c>
      <c r="IU94" s="37">
        <v>11.28237</v>
      </c>
      <c r="IV94" s="37">
        <v>11.28237</v>
      </c>
      <c r="IW94" s="37">
        <v>11.28237</v>
      </c>
      <c r="IX94" s="37">
        <v>11.28237</v>
      </c>
      <c r="IY94" s="37">
        <v>11.28237</v>
      </c>
      <c r="IZ94" s="37">
        <v>11.28237</v>
      </c>
      <c r="JA94" s="37">
        <v>11.28237</v>
      </c>
      <c r="JB94" s="37">
        <v>11.28237</v>
      </c>
      <c r="JC94" s="37">
        <v>11.28237</v>
      </c>
      <c r="JD94" s="37">
        <v>11.28237</v>
      </c>
      <c r="JE94" s="37">
        <v>11.28237</v>
      </c>
      <c r="JF94" s="37">
        <v>11.28237</v>
      </c>
      <c r="JG94" s="37">
        <v>11.28237</v>
      </c>
      <c r="JH94" s="37">
        <v>11.28237</v>
      </c>
      <c r="JI94" s="37">
        <v>11.28237</v>
      </c>
      <c r="JJ94" s="37">
        <v>11.28237</v>
      </c>
      <c r="JK94" s="37">
        <v>11.28237</v>
      </c>
      <c r="JL94" s="37">
        <v>11.28237</v>
      </c>
      <c r="JM94" s="37">
        <v>11.28237</v>
      </c>
      <c r="JN94" s="37">
        <v>11.28237</v>
      </c>
      <c r="JO94" s="37">
        <v>11.28237</v>
      </c>
      <c r="JP94" s="37">
        <v>11.28237</v>
      </c>
      <c r="JQ94" s="37">
        <v>11.28237</v>
      </c>
      <c r="JR94" s="37">
        <v>11.28237</v>
      </c>
      <c r="JS94" s="37">
        <v>11.28237</v>
      </c>
      <c r="JT94" s="37">
        <v>11.28237</v>
      </c>
      <c r="JU94" s="37">
        <v>11.28237</v>
      </c>
      <c r="JV94" s="37">
        <v>11.28237</v>
      </c>
      <c r="JW94" s="37">
        <v>11.28237</v>
      </c>
      <c r="JX94" s="37">
        <v>11.28237</v>
      </c>
      <c r="JY94" s="37">
        <v>11.28237</v>
      </c>
      <c r="JZ94" s="37">
        <v>11.28237</v>
      </c>
      <c r="KA94" s="37">
        <v>11.28237</v>
      </c>
      <c r="KB94" s="37">
        <v>11.28237</v>
      </c>
      <c r="KC94" s="37">
        <v>11.28237</v>
      </c>
      <c r="KD94" s="37">
        <v>11.28237</v>
      </c>
      <c r="KE94" s="37">
        <v>11.28237</v>
      </c>
      <c r="KF94" s="37">
        <v>11.28237</v>
      </c>
      <c r="KG94" s="37">
        <v>11.28237</v>
      </c>
      <c r="KH94" s="37">
        <v>11.28237</v>
      </c>
      <c r="KI94" s="37">
        <v>11.28237</v>
      </c>
      <c r="KJ94" s="37">
        <v>11.28237</v>
      </c>
      <c r="KK94" s="37">
        <v>11.28237</v>
      </c>
      <c r="KL94" s="37">
        <v>11.28237</v>
      </c>
      <c r="KM94" s="37">
        <v>11.28237</v>
      </c>
      <c r="KN94" s="37">
        <v>11.28237</v>
      </c>
      <c r="KO94" s="37">
        <v>11.28237</v>
      </c>
      <c r="KP94" s="37">
        <v>11.28237</v>
      </c>
      <c r="KQ94" s="37">
        <v>11.28237</v>
      </c>
      <c r="KR94" s="37">
        <v>11.28237</v>
      </c>
      <c r="KS94" s="37">
        <v>11.28237</v>
      </c>
      <c r="KT94" s="37">
        <v>11.28237</v>
      </c>
      <c r="KU94" s="37">
        <v>11.28237</v>
      </c>
      <c r="KV94" s="37">
        <v>11.28237</v>
      </c>
      <c r="KW94" s="37">
        <v>11.28237</v>
      </c>
      <c r="KX94" s="37">
        <v>11.28237</v>
      </c>
      <c r="KY94" s="37">
        <v>11.28237</v>
      </c>
      <c r="KZ94" s="37">
        <v>11.28237</v>
      </c>
      <c r="LA94" s="37">
        <v>11.28237</v>
      </c>
      <c r="LB94" s="37">
        <v>11.28237</v>
      </c>
      <c r="LC94" s="37">
        <v>11.28237</v>
      </c>
      <c r="LD94" s="37">
        <v>11.28237</v>
      </c>
      <c r="LE94" s="37">
        <v>11.28237</v>
      </c>
      <c r="LF94" s="37">
        <v>11.28237</v>
      </c>
      <c r="LG94" s="37">
        <v>11.28237</v>
      </c>
      <c r="LH94" s="37">
        <v>11.28237</v>
      </c>
      <c r="LI94" s="37">
        <v>11.28237</v>
      </c>
      <c r="LJ94" s="37">
        <v>11.28237</v>
      </c>
      <c r="LK94" s="37">
        <v>11.28237</v>
      </c>
      <c r="LL94" s="37">
        <v>11.28237</v>
      </c>
      <c r="LM94" s="37">
        <v>11.28237</v>
      </c>
      <c r="LN94" s="37">
        <v>11.28237</v>
      </c>
      <c r="LO94" s="37">
        <v>11.28237</v>
      </c>
      <c r="LP94" s="37">
        <v>11.28237</v>
      </c>
      <c r="LQ94" s="37">
        <v>11.28237</v>
      </c>
      <c r="LR94" s="37">
        <v>11.28237</v>
      </c>
      <c r="LS94" s="37">
        <v>11.28237</v>
      </c>
      <c r="LT94" s="37">
        <v>11.28237</v>
      </c>
      <c r="LU94" s="37">
        <v>11.28237</v>
      </c>
      <c r="LV94" s="37">
        <v>11.28237</v>
      </c>
      <c r="LW94" s="37">
        <v>11.28237</v>
      </c>
      <c r="LX94" s="37">
        <v>11.28237</v>
      </c>
      <c r="LY94" s="37">
        <v>11.28237</v>
      </c>
      <c r="LZ94" s="37">
        <v>11.28237</v>
      </c>
      <c r="MA94" s="37">
        <v>11.28237</v>
      </c>
      <c r="MB94" s="37">
        <v>11.28237</v>
      </c>
      <c r="MC94" s="37">
        <v>11.28237</v>
      </c>
      <c r="MD94" s="37">
        <v>11.28237</v>
      </c>
      <c r="ME94" s="37">
        <v>11.28237</v>
      </c>
      <c r="MF94" s="37">
        <v>11.28237</v>
      </c>
      <c r="MG94" s="37">
        <v>11.28237</v>
      </c>
      <c r="MH94" s="37">
        <v>11.28237</v>
      </c>
      <c r="MI94" s="37">
        <v>11.28237</v>
      </c>
      <c r="MJ94" s="37">
        <v>11.28237</v>
      </c>
      <c r="MK94" s="37">
        <v>11.28237</v>
      </c>
      <c r="ML94" s="37">
        <v>11.28237</v>
      </c>
      <c r="MM94" s="37">
        <v>11.28237</v>
      </c>
      <c r="MN94" s="37">
        <v>11.28237</v>
      </c>
      <c r="MO94" s="37">
        <v>11.28237</v>
      </c>
      <c r="MP94" s="37">
        <v>11.28237</v>
      </c>
      <c r="MQ94" s="37">
        <v>11.28237</v>
      </c>
      <c r="MR94" s="37">
        <v>11.28237</v>
      </c>
      <c r="MS94" s="37">
        <v>11.28237</v>
      </c>
      <c r="MT94" s="37">
        <v>11.28237</v>
      </c>
      <c r="MU94" s="37">
        <v>11.28237</v>
      </c>
      <c r="MV94" s="37">
        <v>11.28237</v>
      </c>
      <c r="MW94" s="37">
        <v>11.28237</v>
      </c>
      <c r="MX94" s="37">
        <v>11.28237</v>
      </c>
      <c r="MY94" s="37">
        <v>11.28237</v>
      </c>
      <c r="MZ94" s="37">
        <v>11.28237</v>
      </c>
      <c r="NA94" s="37">
        <v>11.28237</v>
      </c>
      <c r="NB94" s="37">
        <v>11.28237</v>
      </c>
      <c r="NC94" s="37">
        <v>11.28237</v>
      </c>
      <c r="ND94" s="37">
        <v>11.28237</v>
      </c>
      <c r="NE94" s="37">
        <v>11.28237</v>
      </c>
      <c r="NF94" s="37">
        <v>11.28237</v>
      </c>
      <c r="NG94" s="37">
        <v>11.28237</v>
      </c>
      <c r="NH94" s="37">
        <v>11.28237</v>
      </c>
      <c r="NI94" s="37">
        <v>11.28237</v>
      </c>
      <c r="NJ94" s="37">
        <v>11.28237</v>
      </c>
      <c r="NK94" s="37">
        <v>11.28237</v>
      </c>
      <c r="NL94" s="37">
        <v>11.28237</v>
      </c>
      <c r="NM94" s="37">
        <v>11.28237</v>
      </c>
      <c r="NN94" s="37">
        <v>11.28237</v>
      </c>
      <c r="NO94" s="37">
        <v>11.28237</v>
      </c>
      <c r="NP94" s="37">
        <v>11.28237</v>
      </c>
      <c r="NQ94" s="37">
        <v>11.28237</v>
      </c>
      <c r="NR94" s="37">
        <v>11.28237</v>
      </c>
      <c r="NS94" s="37">
        <v>11.28237</v>
      </c>
      <c r="NT94" s="37">
        <v>11.28237</v>
      </c>
      <c r="NU94" s="37">
        <v>11.28237</v>
      </c>
      <c r="NV94" s="37">
        <v>11.28237</v>
      </c>
      <c r="NW94" s="37">
        <v>11.28237</v>
      </c>
      <c r="NX94" s="37">
        <v>11.28237</v>
      </c>
      <c r="NY94" s="37">
        <v>11.28237</v>
      </c>
      <c r="NZ94" s="37">
        <v>11.28237</v>
      </c>
      <c r="OA94" s="37">
        <v>11.28237</v>
      </c>
      <c r="OB94" s="37">
        <v>11.28237</v>
      </c>
      <c r="OC94" s="37">
        <v>11.28237</v>
      </c>
      <c r="OD94" s="37">
        <v>11.28237</v>
      </c>
      <c r="OE94" s="37">
        <v>11.28237</v>
      </c>
      <c r="OF94" s="37">
        <v>11.28237</v>
      </c>
      <c r="OG94" s="37">
        <v>11.28237</v>
      </c>
      <c r="OH94" s="37">
        <v>11.28237</v>
      </c>
      <c r="OI94" s="37">
        <v>11.28237</v>
      </c>
      <c r="OJ94" s="37">
        <v>11.28237</v>
      </c>
      <c r="OK94" s="37">
        <v>11.28237</v>
      </c>
      <c r="OL94" s="37">
        <v>11.28237</v>
      </c>
      <c r="OM94" s="37">
        <v>11.28237</v>
      </c>
      <c r="ON94" s="37">
        <v>11.28237</v>
      </c>
      <c r="OO94" s="37">
        <v>11.28237</v>
      </c>
      <c r="OP94" s="37">
        <v>11.28237</v>
      </c>
      <c r="OQ94" s="37">
        <v>11.28237</v>
      </c>
      <c r="OR94" s="37">
        <v>11.28237</v>
      </c>
      <c r="OS94" s="37">
        <v>11.28237</v>
      </c>
      <c r="OT94" s="37">
        <v>11.28237</v>
      </c>
      <c r="OU94" s="37">
        <v>11.28237</v>
      </c>
      <c r="OV94" s="37">
        <v>11.28237</v>
      </c>
      <c r="OW94" s="37">
        <v>11.28237</v>
      </c>
      <c r="OX94" s="37">
        <v>11.28237</v>
      </c>
      <c r="OY94" s="37">
        <v>11.28237</v>
      </c>
      <c r="OZ94" s="37">
        <v>11.28237</v>
      </c>
      <c r="PA94" s="37">
        <v>11.28237</v>
      </c>
      <c r="PB94" s="37">
        <v>11.28237</v>
      </c>
      <c r="PC94" s="37">
        <v>11.28237</v>
      </c>
      <c r="PD94" s="37">
        <v>11.28237</v>
      </c>
      <c r="PE94" s="37">
        <v>11.28237</v>
      </c>
      <c r="PF94" s="37">
        <v>11.28237</v>
      </c>
      <c r="PG94" s="37">
        <v>11.28237</v>
      </c>
      <c r="PH94" s="37">
        <v>11.28237</v>
      </c>
      <c r="PI94" s="37">
        <v>11.28237</v>
      </c>
      <c r="PJ94" s="37">
        <v>11.28237</v>
      </c>
      <c r="PK94" s="37">
        <v>11.28237</v>
      </c>
      <c r="PL94" s="37">
        <v>11.28237</v>
      </c>
      <c r="PM94" s="37">
        <v>11.28237</v>
      </c>
      <c r="PN94" s="37">
        <v>11.28237</v>
      </c>
      <c r="PO94" s="37">
        <v>11.28237</v>
      </c>
      <c r="PP94" s="37">
        <v>11.28237</v>
      </c>
      <c r="PQ94" s="37">
        <v>11.28237</v>
      </c>
      <c r="PR94" s="37">
        <v>11.28237</v>
      </c>
      <c r="PS94" s="15">
        <v>11.28237</v>
      </c>
      <c r="PT94" s="15">
        <v>11.28237</v>
      </c>
      <c r="PU94" s="15">
        <v>11.28237</v>
      </c>
      <c r="PV94" s="15">
        <v>11.28237</v>
      </c>
      <c r="PW94" s="15">
        <v>11.28237</v>
      </c>
      <c r="PX94" s="15">
        <v>11.28237</v>
      </c>
      <c r="PY94" s="15">
        <v>11.28237</v>
      </c>
      <c r="PZ94" s="15">
        <v>11.28237</v>
      </c>
      <c r="QA94" s="15">
        <v>11.28237</v>
      </c>
      <c r="QB94" s="15">
        <v>11.28237</v>
      </c>
      <c r="QC94" s="15">
        <v>11.28237</v>
      </c>
      <c r="QD94" s="15">
        <v>11.28237</v>
      </c>
      <c r="QE94" s="15">
        <v>11.28237</v>
      </c>
      <c r="QF94" s="15">
        <v>11.28237</v>
      </c>
      <c r="QG94" s="15">
        <v>11.28237</v>
      </c>
      <c r="QH94" s="15">
        <v>10.569089999999999</v>
      </c>
    </row>
    <row r="95" spans="1:510" x14ac:dyDescent="0.2">
      <c r="A95" s="37">
        <v>93</v>
      </c>
      <c r="B95" s="37" t="s">
        <v>938</v>
      </c>
      <c r="C95" s="17">
        <f>+'Detalle Compras'!D95</f>
        <v>202511270142</v>
      </c>
      <c r="D95" s="55">
        <f t="shared" si="16"/>
        <v>11.90319</v>
      </c>
      <c r="E95" s="14">
        <f>+IF(B95="","",'Detalle Compras'!S95+0)</f>
        <v>46032</v>
      </c>
      <c r="F95" s="14">
        <f>+IF(B95="","",EOMONTH('Detalle Compras'!S95,G95)+10)</f>
        <v>58847</v>
      </c>
      <c r="G95" s="50">
        <f t="shared" si="17"/>
        <v>420</v>
      </c>
      <c r="H95" s="50">
        <f t="shared" si="18"/>
        <v>419</v>
      </c>
      <c r="AE95" s="37">
        <v>11.90319</v>
      </c>
      <c r="AF95" s="37">
        <v>11.90319</v>
      </c>
      <c r="AG95" s="37">
        <v>11.90319</v>
      </c>
      <c r="AH95" s="37">
        <v>11.90319</v>
      </c>
      <c r="AI95" s="37">
        <v>11.90319</v>
      </c>
      <c r="AJ95" s="37">
        <v>11.90319</v>
      </c>
      <c r="AK95" s="37">
        <v>11.90319</v>
      </c>
      <c r="AL95" s="37">
        <v>11.90319</v>
      </c>
      <c r="AM95" s="37">
        <v>11.90319</v>
      </c>
      <c r="AN95" s="37">
        <v>11.90319</v>
      </c>
      <c r="AO95" s="37">
        <v>11.90319</v>
      </c>
      <c r="AP95" s="37">
        <v>11.90319</v>
      </c>
      <c r="AQ95" s="37">
        <v>11.90319</v>
      </c>
      <c r="AR95" s="37">
        <v>11.90319</v>
      </c>
      <c r="AS95" s="37">
        <v>11.90319</v>
      </c>
      <c r="AT95" s="37">
        <v>11.90319</v>
      </c>
      <c r="AU95" s="37">
        <v>11.90319</v>
      </c>
      <c r="AV95" s="37">
        <v>11.90319</v>
      </c>
      <c r="AW95" s="37">
        <v>11.90319</v>
      </c>
      <c r="AX95" s="37">
        <v>11.90319</v>
      </c>
      <c r="AY95" s="37">
        <v>11.90319</v>
      </c>
      <c r="AZ95" s="37">
        <v>11.90319</v>
      </c>
      <c r="BA95" s="37">
        <v>11.90319</v>
      </c>
      <c r="BB95" s="37">
        <v>11.90319</v>
      </c>
      <c r="BC95" s="37">
        <v>11.90319</v>
      </c>
      <c r="BD95" s="37">
        <v>11.90319</v>
      </c>
      <c r="BE95" s="37">
        <v>11.90319</v>
      </c>
      <c r="BF95" s="37">
        <v>11.90319</v>
      </c>
      <c r="BG95" s="37">
        <v>11.90319</v>
      </c>
      <c r="BH95" s="37">
        <v>11.90319</v>
      </c>
      <c r="BI95" s="37">
        <v>11.90319</v>
      </c>
      <c r="BJ95" s="37">
        <v>11.90319</v>
      </c>
      <c r="BK95" s="37">
        <v>11.90319</v>
      </c>
      <c r="BL95" s="37">
        <v>11.90319</v>
      </c>
      <c r="BM95" s="37">
        <v>11.90319</v>
      </c>
      <c r="BN95" s="37">
        <v>11.90319</v>
      </c>
      <c r="BO95" s="37">
        <v>11.90319</v>
      </c>
      <c r="BP95" s="37">
        <v>11.90319</v>
      </c>
      <c r="BQ95" s="37">
        <v>11.90319</v>
      </c>
      <c r="BR95" s="37">
        <v>11.90319</v>
      </c>
      <c r="BS95" s="37">
        <v>11.90319</v>
      </c>
      <c r="BT95" s="37">
        <v>11.90319</v>
      </c>
      <c r="BU95" s="37">
        <v>11.90319</v>
      </c>
      <c r="BV95" s="37">
        <v>11.90319</v>
      </c>
      <c r="BW95" s="37">
        <v>11.90319</v>
      </c>
      <c r="BX95" s="37">
        <v>11.90319</v>
      </c>
      <c r="BY95" s="37">
        <v>11.90319</v>
      </c>
      <c r="BZ95" s="37">
        <v>11.90319</v>
      </c>
      <c r="CA95" s="37">
        <v>11.90319</v>
      </c>
      <c r="CB95" s="37">
        <v>11.90319</v>
      </c>
      <c r="CC95" s="37">
        <v>11.90319</v>
      </c>
      <c r="CD95" s="37">
        <v>11.90319</v>
      </c>
      <c r="CE95" s="37">
        <v>11.90319</v>
      </c>
      <c r="CF95" s="37">
        <v>11.90319</v>
      </c>
      <c r="CG95" s="37">
        <v>11.90319</v>
      </c>
      <c r="CH95" s="37">
        <v>11.90319</v>
      </c>
      <c r="CI95" s="37">
        <v>11.90319</v>
      </c>
      <c r="CJ95" s="37">
        <v>11.90319</v>
      </c>
      <c r="CK95" s="37">
        <v>11.90319</v>
      </c>
      <c r="CL95" s="37">
        <v>11.90319</v>
      </c>
      <c r="CM95" s="37">
        <v>11.90319</v>
      </c>
      <c r="CN95" s="37">
        <v>11.90319</v>
      </c>
      <c r="CO95" s="37">
        <v>11.90319</v>
      </c>
      <c r="CP95" s="37">
        <v>11.90319</v>
      </c>
      <c r="CQ95" s="37">
        <v>11.90319</v>
      </c>
      <c r="CR95" s="37">
        <v>11.90319</v>
      </c>
      <c r="CS95" s="37">
        <v>11.90319</v>
      </c>
      <c r="CT95" s="37">
        <v>11.90319</v>
      </c>
      <c r="CU95" s="37">
        <v>11.90319</v>
      </c>
      <c r="CV95" s="37">
        <v>11.90319</v>
      </c>
      <c r="CW95" s="37">
        <v>11.90319</v>
      </c>
      <c r="CX95" s="37">
        <v>11.90319</v>
      </c>
      <c r="CY95" s="37">
        <v>11.90319</v>
      </c>
      <c r="CZ95" s="37">
        <v>11.90319</v>
      </c>
      <c r="DA95" s="37">
        <v>11.90319</v>
      </c>
      <c r="DB95" s="37">
        <v>11.90319</v>
      </c>
      <c r="DC95" s="37">
        <v>11.90319</v>
      </c>
      <c r="DD95" s="37">
        <v>11.90319</v>
      </c>
      <c r="DE95" s="37">
        <v>11.90319</v>
      </c>
      <c r="DF95" s="37">
        <v>11.90319</v>
      </c>
      <c r="DG95" s="37">
        <v>11.90319</v>
      </c>
      <c r="DH95" s="37">
        <v>11.90319</v>
      </c>
      <c r="DI95" s="37">
        <v>11.90319</v>
      </c>
      <c r="DJ95" s="37">
        <v>11.90319</v>
      </c>
      <c r="DK95" s="37">
        <v>11.90319</v>
      </c>
      <c r="DL95" s="37">
        <v>11.90319</v>
      </c>
      <c r="DM95" s="37">
        <v>11.90319</v>
      </c>
      <c r="DN95" s="37">
        <v>11.90319</v>
      </c>
      <c r="DO95" s="37">
        <v>11.90319</v>
      </c>
      <c r="DP95" s="37">
        <v>11.90319</v>
      </c>
      <c r="DQ95" s="37">
        <v>11.90319</v>
      </c>
      <c r="DR95" s="37">
        <v>11.90319</v>
      </c>
      <c r="DS95" s="37">
        <v>11.90319</v>
      </c>
      <c r="DT95" s="37">
        <v>11.90319</v>
      </c>
      <c r="DU95" s="37">
        <v>11.90319</v>
      </c>
      <c r="DV95" s="37">
        <v>11.90319</v>
      </c>
      <c r="DW95" s="37">
        <v>11.90319</v>
      </c>
      <c r="DX95" s="37">
        <v>11.90319</v>
      </c>
      <c r="DY95" s="37">
        <v>11.90319</v>
      </c>
      <c r="DZ95" s="37">
        <v>11.90319</v>
      </c>
      <c r="EA95" s="37">
        <v>11.90319</v>
      </c>
      <c r="EB95" s="37">
        <v>11.90319</v>
      </c>
      <c r="EC95" s="37">
        <v>11.90319</v>
      </c>
      <c r="ED95" s="37">
        <v>11.90319</v>
      </c>
      <c r="EE95" s="37">
        <v>11.90319</v>
      </c>
      <c r="EF95" s="37">
        <v>11.90319</v>
      </c>
      <c r="EG95" s="37">
        <v>11.90319</v>
      </c>
      <c r="EH95" s="37">
        <v>11.90319</v>
      </c>
      <c r="EI95" s="37">
        <v>11.90319</v>
      </c>
      <c r="EJ95" s="37">
        <v>11.90319</v>
      </c>
      <c r="EK95" s="37">
        <v>11.90319</v>
      </c>
      <c r="EL95" s="37">
        <v>11.90319</v>
      </c>
      <c r="EM95" s="37">
        <v>11.90319</v>
      </c>
      <c r="EN95" s="37">
        <v>11.90319</v>
      </c>
      <c r="EO95" s="37">
        <v>11.90319</v>
      </c>
      <c r="EP95" s="37">
        <v>11.90319</v>
      </c>
      <c r="EQ95" s="37">
        <v>11.90319</v>
      </c>
      <c r="ER95" s="37">
        <v>11.90319</v>
      </c>
      <c r="ES95" s="37">
        <v>11.90319</v>
      </c>
      <c r="ET95" s="37">
        <v>11.90319</v>
      </c>
      <c r="EU95" s="37">
        <v>11.90319</v>
      </c>
      <c r="EV95" s="37">
        <v>11.90319</v>
      </c>
      <c r="EW95" s="37">
        <v>11.90319</v>
      </c>
      <c r="EX95" s="37">
        <v>11.90319</v>
      </c>
      <c r="EY95" s="37">
        <v>11.90319</v>
      </c>
      <c r="EZ95" s="37">
        <v>11.90319</v>
      </c>
      <c r="FA95" s="37">
        <v>11.90319</v>
      </c>
      <c r="FB95" s="37">
        <v>11.90319</v>
      </c>
      <c r="FC95" s="37">
        <v>11.90319</v>
      </c>
      <c r="FD95" s="37">
        <v>11.90319</v>
      </c>
      <c r="FE95" s="37">
        <v>11.90319</v>
      </c>
      <c r="FF95" s="37">
        <v>11.90319</v>
      </c>
      <c r="FG95" s="37">
        <v>11.90319</v>
      </c>
      <c r="FH95" s="37">
        <v>11.90319</v>
      </c>
      <c r="FI95" s="37">
        <v>11.90319</v>
      </c>
      <c r="FJ95" s="37">
        <v>11.90319</v>
      </c>
      <c r="FK95" s="37">
        <v>11.90319</v>
      </c>
      <c r="FL95" s="37">
        <v>11.90319</v>
      </c>
      <c r="FM95" s="37">
        <v>11.90319</v>
      </c>
      <c r="FN95" s="37">
        <v>11.90319</v>
      </c>
      <c r="FO95" s="37">
        <v>11.90319</v>
      </c>
      <c r="FP95" s="37">
        <v>11.90319</v>
      </c>
      <c r="FQ95" s="37">
        <v>11.90319</v>
      </c>
      <c r="FR95" s="37">
        <v>11.90319</v>
      </c>
      <c r="FS95" s="37">
        <v>11.90319</v>
      </c>
      <c r="FT95" s="37">
        <v>11.90319</v>
      </c>
      <c r="FU95" s="37">
        <v>11.90319</v>
      </c>
      <c r="FV95" s="37">
        <v>11.90319</v>
      </c>
      <c r="FW95" s="37">
        <v>11.90319</v>
      </c>
      <c r="FX95" s="37">
        <v>11.90319</v>
      </c>
      <c r="FY95" s="37">
        <v>11.90319</v>
      </c>
      <c r="FZ95" s="37">
        <v>11.90319</v>
      </c>
      <c r="GA95" s="37">
        <v>11.90319</v>
      </c>
      <c r="GB95" s="37">
        <v>11.90319</v>
      </c>
      <c r="GC95" s="37">
        <v>11.90319</v>
      </c>
      <c r="GD95" s="37">
        <v>11.90319</v>
      </c>
      <c r="GE95" s="37">
        <v>11.90319</v>
      </c>
      <c r="GF95" s="37">
        <v>11.90319</v>
      </c>
      <c r="GG95" s="37">
        <v>11.90319</v>
      </c>
      <c r="GH95" s="37">
        <v>11.90319</v>
      </c>
      <c r="GI95" s="37">
        <v>11.90319</v>
      </c>
      <c r="GJ95" s="37">
        <v>11.90319</v>
      </c>
      <c r="GK95" s="37">
        <v>11.90319</v>
      </c>
      <c r="GL95" s="37">
        <v>11.90319</v>
      </c>
      <c r="GM95" s="37">
        <v>11.90319</v>
      </c>
      <c r="GN95" s="37">
        <v>11.90319</v>
      </c>
      <c r="GO95" s="37">
        <v>11.90319</v>
      </c>
      <c r="GP95" s="37">
        <v>11.90319</v>
      </c>
      <c r="GQ95" s="37">
        <v>11.90319</v>
      </c>
      <c r="GR95" s="37">
        <v>11.90319</v>
      </c>
      <c r="GS95" s="37">
        <v>11.90319</v>
      </c>
      <c r="GT95" s="37">
        <v>11.90319</v>
      </c>
      <c r="GU95" s="37">
        <v>11.90319</v>
      </c>
      <c r="GV95" s="37">
        <v>11.90319</v>
      </c>
      <c r="GW95" s="37">
        <v>11.90319</v>
      </c>
      <c r="GX95" s="37">
        <v>11.90319</v>
      </c>
      <c r="GY95" s="37">
        <v>11.90319</v>
      </c>
      <c r="GZ95" s="37">
        <v>11.90319</v>
      </c>
      <c r="HA95" s="37">
        <v>11.90319</v>
      </c>
      <c r="HB95" s="37">
        <v>11.90319</v>
      </c>
      <c r="HC95" s="37">
        <v>11.90319</v>
      </c>
      <c r="HD95" s="37">
        <v>11.90319</v>
      </c>
      <c r="HE95" s="37">
        <v>11.90319</v>
      </c>
      <c r="HF95" s="37">
        <v>11.90319</v>
      </c>
      <c r="HG95" s="37">
        <v>11.90319</v>
      </c>
      <c r="HH95" s="37">
        <v>11.90319</v>
      </c>
      <c r="HI95" s="37">
        <v>11.90319</v>
      </c>
      <c r="HJ95" s="37">
        <v>11.90319</v>
      </c>
      <c r="HK95" s="37">
        <v>11.90319</v>
      </c>
      <c r="HL95" s="37">
        <v>11.90319</v>
      </c>
      <c r="HM95" s="37">
        <v>11.90319</v>
      </c>
      <c r="HN95" s="37">
        <v>11.90319</v>
      </c>
      <c r="HO95" s="37">
        <v>11.90319</v>
      </c>
      <c r="HP95" s="37">
        <v>11.90319</v>
      </c>
      <c r="HQ95" s="37">
        <v>11.90319</v>
      </c>
      <c r="HR95" s="37">
        <v>11.90319</v>
      </c>
      <c r="HS95" s="37">
        <v>11.90319</v>
      </c>
      <c r="HT95" s="37">
        <v>11.90319</v>
      </c>
      <c r="HU95" s="37">
        <v>11.90319</v>
      </c>
      <c r="HV95" s="37">
        <v>11.90319</v>
      </c>
      <c r="HW95" s="37">
        <v>11.90319</v>
      </c>
      <c r="HX95" s="37">
        <v>11.90319</v>
      </c>
      <c r="HY95" s="37">
        <v>11.90319</v>
      </c>
      <c r="HZ95" s="37">
        <v>11.90319</v>
      </c>
      <c r="IA95" s="37">
        <v>11.90319</v>
      </c>
      <c r="IB95" s="37">
        <v>11.90319</v>
      </c>
      <c r="IC95" s="37">
        <v>11.90319</v>
      </c>
      <c r="ID95" s="37">
        <v>11.90319</v>
      </c>
      <c r="IE95" s="37">
        <v>11.90319</v>
      </c>
      <c r="IF95" s="37">
        <v>11.90319</v>
      </c>
      <c r="IG95" s="37">
        <v>11.90319</v>
      </c>
      <c r="IH95" s="37">
        <v>11.90319</v>
      </c>
      <c r="II95" s="37">
        <v>11.90319</v>
      </c>
      <c r="IJ95" s="37">
        <v>11.90319</v>
      </c>
      <c r="IK95" s="37">
        <v>11.90319</v>
      </c>
      <c r="IL95" s="37">
        <v>11.90319</v>
      </c>
      <c r="IM95" s="37">
        <v>11.90319</v>
      </c>
      <c r="IN95" s="37">
        <v>11.90319</v>
      </c>
      <c r="IO95" s="37">
        <v>11.90319</v>
      </c>
      <c r="IP95" s="37">
        <v>11.90319</v>
      </c>
      <c r="IQ95" s="37">
        <v>11.90319</v>
      </c>
      <c r="IR95" s="37">
        <v>11.90319</v>
      </c>
      <c r="IS95" s="37">
        <v>11.90319</v>
      </c>
      <c r="IT95" s="37">
        <v>11.90319</v>
      </c>
      <c r="IU95" s="37">
        <v>11.90319</v>
      </c>
      <c r="IV95" s="37">
        <v>11.90319</v>
      </c>
      <c r="IW95" s="37">
        <v>11.90319</v>
      </c>
      <c r="IX95" s="37">
        <v>11.90319</v>
      </c>
      <c r="IY95" s="37">
        <v>11.90319</v>
      </c>
      <c r="IZ95" s="37">
        <v>11.90319</v>
      </c>
      <c r="JA95" s="37">
        <v>11.90319</v>
      </c>
      <c r="JB95" s="37">
        <v>11.90319</v>
      </c>
      <c r="JC95" s="37">
        <v>11.90319</v>
      </c>
      <c r="JD95" s="37">
        <v>11.90319</v>
      </c>
      <c r="JE95" s="37">
        <v>11.90319</v>
      </c>
      <c r="JF95" s="37">
        <v>11.90319</v>
      </c>
      <c r="JG95" s="37">
        <v>11.90319</v>
      </c>
      <c r="JH95" s="37">
        <v>11.90319</v>
      </c>
      <c r="JI95" s="37">
        <v>11.90319</v>
      </c>
      <c r="JJ95" s="37">
        <v>11.90319</v>
      </c>
      <c r="JK95" s="37">
        <v>11.90319</v>
      </c>
      <c r="JL95" s="37">
        <v>11.90319</v>
      </c>
      <c r="JM95" s="37">
        <v>11.90319</v>
      </c>
      <c r="JN95" s="37">
        <v>11.90319</v>
      </c>
      <c r="JO95" s="37">
        <v>11.90319</v>
      </c>
      <c r="JP95" s="37">
        <v>11.90319</v>
      </c>
      <c r="JQ95" s="37">
        <v>11.90319</v>
      </c>
      <c r="JR95" s="37">
        <v>11.90319</v>
      </c>
      <c r="JS95" s="37">
        <v>11.90319</v>
      </c>
      <c r="JT95" s="37">
        <v>11.90319</v>
      </c>
      <c r="JU95" s="37">
        <v>11.90319</v>
      </c>
      <c r="JV95" s="37">
        <v>11.90319</v>
      </c>
      <c r="JW95" s="37">
        <v>11.90319</v>
      </c>
      <c r="JX95" s="37">
        <v>11.90319</v>
      </c>
      <c r="JY95" s="37">
        <v>11.90319</v>
      </c>
      <c r="JZ95" s="37">
        <v>11.90319</v>
      </c>
      <c r="KA95" s="37">
        <v>11.90319</v>
      </c>
      <c r="KB95" s="37">
        <v>11.90319</v>
      </c>
      <c r="KC95" s="37">
        <v>11.90319</v>
      </c>
      <c r="KD95" s="37">
        <v>11.90319</v>
      </c>
      <c r="KE95" s="37">
        <v>11.90319</v>
      </c>
      <c r="KF95" s="37">
        <v>11.90319</v>
      </c>
      <c r="KG95" s="37">
        <v>11.90319</v>
      </c>
      <c r="KH95" s="37">
        <v>11.90319</v>
      </c>
      <c r="KI95" s="37">
        <v>11.90319</v>
      </c>
      <c r="KJ95" s="37">
        <v>11.90319</v>
      </c>
      <c r="KK95" s="37">
        <v>11.90319</v>
      </c>
      <c r="KL95" s="37">
        <v>11.90319</v>
      </c>
      <c r="KM95" s="37">
        <v>11.90319</v>
      </c>
      <c r="KN95" s="37">
        <v>11.90319</v>
      </c>
      <c r="KO95" s="37">
        <v>11.90319</v>
      </c>
      <c r="KP95" s="37">
        <v>11.90319</v>
      </c>
      <c r="KQ95" s="37">
        <v>11.90319</v>
      </c>
      <c r="KR95" s="37">
        <v>11.90319</v>
      </c>
      <c r="KS95" s="37">
        <v>11.90319</v>
      </c>
      <c r="KT95" s="37">
        <v>11.90319</v>
      </c>
      <c r="KU95" s="37">
        <v>11.90319</v>
      </c>
      <c r="KV95" s="37">
        <v>11.90319</v>
      </c>
      <c r="KW95" s="37">
        <v>11.90319</v>
      </c>
      <c r="KX95" s="37">
        <v>11.90319</v>
      </c>
      <c r="KY95" s="37">
        <v>11.90319</v>
      </c>
      <c r="KZ95" s="37">
        <v>11.90319</v>
      </c>
      <c r="LA95" s="37">
        <v>11.90319</v>
      </c>
      <c r="LB95" s="37">
        <v>11.90319</v>
      </c>
      <c r="LC95" s="37">
        <v>11.90319</v>
      </c>
      <c r="LD95" s="37">
        <v>11.90319</v>
      </c>
      <c r="LE95" s="37">
        <v>11.90319</v>
      </c>
      <c r="LF95" s="37">
        <v>11.90319</v>
      </c>
      <c r="LG95" s="37">
        <v>11.90319</v>
      </c>
      <c r="LH95" s="37">
        <v>11.90319</v>
      </c>
      <c r="LI95" s="37">
        <v>11.90319</v>
      </c>
      <c r="LJ95" s="37">
        <v>11.90319</v>
      </c>
      <c r="LK95" s="37">
        <v>11.90319</v>
      </c>
      <c r="LL95" s="37">
        <v>11.90319</v>
      </c>
      <c r="LM95" s="37">
        <v>11.90319</v>
      </c>
      <c r="LN95" s="37">
        <v>11.90319</v>
      </c>
      <c r="LO95" s="37">
        <v>11.90319</v>
      </c>
      <c r="LP95" s="37">
        <v>11.90319</v>
      </c>
      <c r="LQ95" s="37">
        <v>11.90319</v>
      </c>
      <c r="LR95" s="37">
        <v>11.90319</v>
      </c>
      <c r="LS95" s="37">
        <v>11.90319</v>
      </c>
      <c r="LT95" s="37">
        <v>11.90319</v>
      </c>
      <c r="LU95" s="37">
        <v>11.90319</v>
      </c>
      <c r="LV95" s="37">
        <v>11.90319</v>
      </c>
      <c r="LW95" s="37">
        <v>11.90319</v>
      </c>
      <c r="LX95" s="37">
        <v>11.90319</v>
      </c>
      <c r="LY95" s="37">
        <v>11.90319</v>
      </c>
      <c r="LZ95" s="37">
        <v>11.90319</v>
      </c>
      <c r="MA95" s="37">
        <v>11.90319</v>
      </c>
      <c r="MB95" s="37">
        <v>11.90319</v>
      </c>
      <c r="MC95" s="37">
        <v>11.90319</v>
      </c>
      <c r="MD95" s="37">
        <v>11.90319</v>
      </c>
      <c r="ME95" s="37">
        <v>11.90319</v>
      </c>
      <c r="MF95" s="37">
        <v>11.90319</v>
      </c>
      <c r="MG95" s="37">
        <v>11.90319</v>
      </c>
      <c r="MH95" s="37">
        <v>11.90319</v>
      </c>
      <c r="MI95" s="37">
        <v>11.90319</v>
      </c>
      <c r="MJ95" s="37">
        <v>11.90319</v>
      </c>
      <c r="MK95" s="37">
        <v>11.90319</v>
      </c>
      <c r="ML95" s="37">
        <v>11.90319</v>
      </c>
      <c r="MM95" s="37">
        <v>11.90319</v>
      </c>
      <c r="MN95" s="37">
        <v>11.90319</v>
      </c>
      <c r="MO95" s="37">
        <v>11.90319</v>
      </c>
      <c r="MP95" s="37">
        <v>11.90319</v>
      </c>
      <c r="MQ95" s="37">
        <v>11.90319</v>
      </c>
      <c r="MR95" s="37">
        <v>11.90319</v>
      </c>
      <c r="MS95" s="37">
        <v>11.90319</v>
      </c>
      <c r="MT95" s="37">
        <v>11.90319</v>
      </c>
      <c r="MU95" s="37">
        <v>11.90319</v>
      </c>
      <c r="MV95" s="37">
        <v>11.90319</v>
      </c>
      <c r="MW95" s="37">
        <v>11.90319</v>
      </c>
      <c r="MX95" s="37">
        <v>11.90319</v>
      </c>
      <c r="MY95" s="37">
        <v>11.90319</v>
      </c>
      <c r="MZ95" s="37">
        <v>11.90319</v>
      </c>
      <c r="NA95" s="37">
        <v>11.90319</v>
      </c>
      <c r="NB95" s="37">
        <v>11.90319</v>
      </c>
      <c r="NC95" s="37">
        <v>11.90319</v>
      </c>
      <c r="ND95" s="37">
        <v>11.90319</v>
      </c>
      <c r="NE95" s="37">
        <v>11.90319</v>
      </c>
      <c r="NF95" s="37">
        <v>11.90319</v>
      </c>
      <c r="NG95" s="37">
        <v>11.90319</v>
      </c>
      <c r="NH95" s="37">
        <v>11.90319</v>
      </c>
      <c r="NI95" s="37">
        <v>11.90319</v>
      </c>
      <c r="NJ95" s="37">
        <v>11.90319</v>
      </c>
      <c r="NK95" s="37">
        <v>11.90319</v>
      </c>
      <c r="NL95" s="37">
        <v>11.90319</v>
      </c>
      <c r="NM95" s="37">
        <v>11.90319</v>
      </c>
      <c r="NN95" s="37">
        <v>11.90319</v>
      </c>
      <c r="NO95" s="37">
        <v>11.90319</v>
      </c>
      <c r="NP95" s="37">
        <v>11.90319</v>
      </c>
      <c r="NQ95" s="37">
        <v>11.90319</v>
      </c>
      <c r="NR95" s="37">
        <v>11.90319</v>
      </c>
      <c r="NS95" s="37">
        <v>11.90319</v>
      </c>
      <c r="NT95" s="37">
        <v>11.90319</v>
      </c>
      <c r="NU95" s="37">
        <v>11.90319</v>
      </c>
      <c r="NV95" s="37">
        <v>11.90319</v>
      </c>
      <c r="NW95" s="37">
        <v>11.90319</v>
      </c>
      <c r="NX95" s="37">
        <v>11.90319</v>
      </c>
      <c r="NY95" s="37">
        <v>11.90319</v>
      </c>
      <c r="NZ95" s="37">
        <v>11.90319</v>
      </c>
      <c r="OA95" s="37">
        <v>11.90319</v>
      </c>
      <c r="OB95" s="37">
        <v>11.90319</v>
      </c>
      <c r="OC95" s="37">
        <v>11.90319</v>
      </c>
      <c r="OD95" s="37">
        <v>11.90319</v>
      </c>
      <c r="OE95" s="37">
        <v>11.90319</v>
      </c>
      <c r="OF95" s="37">
        <v>11.90319</v>
      </c>
      <c r="OG95" s="37">
        <v>11.90319</v>
      </c>
      <c r="OH95" s="37">
        <v>11.90319</v>
      </c>
      <c r="OI95" s="37">
        <v>11.90319</v>
      </c>
      <c r="OJ95" s="37">
        <v>11.90319</v>
      </c>
      <c r="OK95" s="37">
        <v>11.90319</v>
      </c>
      <c r="OL95" s="37">
        <v>11.90319</v>
      </c>
      <c r="OM95" s="37">
        <v>11.90319</v>
      </c>
      <c r="ON95" s="37">
        <v>11.90319</v>
      </c>
      <c r="OO95" s="37">
        <v>11.90319</v>
      </c>
      <c r="OP95" s="37">
        <v>11.90319</v>
      </c>
      <c r="OQ95" s="37">
        <v>11.90319</v>
      </c>
      <c r="OR95" s="37">
        <v>11.90319</v>
      </c>
      <c r="OS95" s="37">
        <v>11.90319</v>
      </c>
      <c r="OT95" s="37">
        <v>11.90319</v>
      </c>
      <c r="OU95" s="37">
        <v>11.90319</v>
      </c>
      <c r="OV95" s="37">
        <v>11.90319</v>
      </c>
      <c r="OW95" s="37">
        <v>11.90319</v>
      </c>
      <c r="OX95" s="37">
        <v>11.90319</v>
      </c>
      <c r="OY95" s="37">
        <v>11.90319</v>
      </c>
      <c r="OZ95" s="37">
        <v>11.90319</v>
      </c>
      <c r="PA95" s="37">
        <v>11.90319</v>
      </c>
      <c r="PB95" s="37">
        <v>11.90319</v>
      </c>
      <c r="PC95" s="37">
        <v>11.90319</v>
      </c>
      <c r="PD95" s="37">
        <v>11.90319</v>
      </c>
      <c r="PE95" s="37">
        <v>11.90319</v>
      </c>
      <c r="PF95" s="37">
        <v>11.90319</v>
      </c>
      <c r="PG95" s="37">
        <v>11.90319</v>
      </c>
      <c r="PH95" s="37">
        <v>11.90319</v>
      </c>
      <c r="PI95" s="37">
        <v>11.90319</v>
      </c>
      <c r="PJ95" s="37">
        <v>11.90319</v>
      </c>
      <c r="PK95" s="37">
        <v>11.90319</v>
      </c>
      <c r="PL95" s="37">
        <v>11.90319</v>
      </c>
      <c r="PM95" s="37">
        <v>11.90319</v>
      </c>
      <c r="PN95" s="37">
        <v>11.90319</v>
      </c>
      <c r="PO95" s="37">
        <v>11.90319</v>
      </c>
      <c r="PP95" s="37">
        <v>11.90319</v>
      </c>
      <c r="PQ95" s="37">
        <v>11.90319</v>
      </c>
      <c r="PR95" s="37">
        <v>11.90319</v>
      </c>
      <c r="PS95" s="15">
        <v>11.90319</v>
      </c>
      <c r="PT95" s="15">
        <v>11.90319</v>
      </c>
      <c r="PU95" s="15">
        <v>11.90319</v>
      </c>
      <c r="PV95" s="15">
        <v>11.90319</v>
      </c>
      <c r="PW95" s="15">
        <v>11.90319</v>
      </c>
      <c r="PX95" s="15">
        <v>11.90319</v>
      </c>
      <c r="PY95" s="15">
        <v>11.90319</v>
      </c>
      <c r="PZ95" s="15">
        <v>11.90319</v>
      </c>
      <c r="QA95" s="15">
        <v>11.90319</v>
      </c>
      <c r="QB95" s="15">
        <v>11.90319</v>
      </c>
      <c r="QC95" s="15">
        <v>11.90319</v>
      </c>
      <c r="QD95" s="15">
        <v>11.90319</v>
      </c>
      <c r="QE95" s="15">
        <v>11.90319</v>
      </c>
      <c r="QF95" s="15">
        <v>11.90319</v>
      </c>
      <c r="QG95" s="15">
        <v>11.90319</v>
      </c>
      <c r="QH95" s="15">
        <v>12.34961</v>
      </c>
    </row>
    <row r="96" spans="1:510" x14ac:dyDescent="0.2">
      <c r="A96" s="37">
        <v>94</v>
      </c>
      <c r="B96" s="37" t="s">
        <v>949</v>
      </c>
      <c r="C96" s="17">
        <f>+'Detalle Compras'!D96</f>
        <v>202511280143</v>
      </c>
      <c r="D96" s="55">
        <f t="shared" si="16"/>
        <v>9.3890999999999991</v>
      </c>
      <c r="E96" s="14">
        <f>+IF(B96="","",'Detalle Compras'!S96+0)</f>
        <v>46032</v>
      </c>
      <c r="F96" s="14">
        <f>+IF(B96="","",EOMONTH('Detalle Compras'!S96,G96)+10)</f>
        <v>60673</v>
      </c>
      <c r="G96" s="50">
        <f t="shared" si="17"/>
        <v>480</v>
      </c>
      <c r="H96" s="50">
        <f t="shared" si="18"/>
        <v>479</v>
      </c>
      <c r="AE96" s="37">
        <v>9.3890999999999991</v>
      </c>
      <c r="AF96" s="37">
        <v>9.3890999999999991</v>
      </c>
      <c r="AG96" s="37">
        <v>9.3890999999999991</v>
      </c>
      <c r="AH96" s="37">
        <v>9.3890999999999991</v>
      </c>
      <c r="AI96" s="37">
        <v>9.3890999999999991</v>
      </c>
      <c r="AJ96" s="37">
        <v>9.3890999999999991</v>
      </c>
      <c r="AK96" s="37">
        <v>9.3890999999999991</v>
      </c>
      <c r="AL96" s="37">
        <v>9.3890999999999991</v>
      </c>
      <c r="AM96" s="37">
        <v>9.3890999999999991</v>
      </c>
      <c r="AN96" s="37">
        <v>9.3890999999999991</v>
      </c>
      <c r="AO96" s="37">
        <v>9.3890999999999991</v>
      </c>
      <c r="AP96" s="37">
        <v>9.3890999999999991</v>
      </c>
      <c r="AQ96" s="37">
        <v>9.3890999999999991</v>
      </c>
      <c r="AR96" s="37">
        <v>9.3890999999999991</v>
      </c>
      <c r="AS96" s="37">
        <v>9.3890999999999991</v>
      </c>
      <c r="AT96" s="37">
        <v>9.3890999999999991</v>
      </c>
      <c r="AU96" s="37">
        <v>9.3890999999999991</v>
      </c>
      <c r="AV96" s="37">
        <v>9.3890999999999991</v>
      </c>
      <c r="AW96" s="37">
        <v>9.3890999999999991</v>
      </c>
      <c r="AX96" s="37">
        <v>9.3890999999999991</v>
      </c>
      <c r="AY96" s="37">
        <v>9.3890999999999991</v>
      </c>
      <c r="AZ96" s="37">
        <v>9.3890999999999991</v>
      </c>
      <c r="BA96" s="37">
        <v>9.3890999999999991</v>
      </c>
      <c r="BB96" s="37">
        <v>9.3890999999999991</v>
      </c>
      <c r="BC96" s="37">
        <v>9.3890999999999991</v>
      </c>
      <c r="BD96" s="37">
        <v>9.3890999999999991</v>
      </c>
      <c r="BE96" s="37">
        <v>9.3890999999999991</v>
      </c>
      <c r="BF96" s="37">
        <v>9.3890999999999991</v>
      </c>
      <c r="BG96" s="37">
        <v>9.3890999999999991</v>
      </c>
      <c r="BH96" s="37">
        <v>9.3890999999999991</v>
      </c>
      <c r="BI96" s="37">
        <v>9.3890999999999991</v>
      </c>
      <c r="BJ96" s="37">
        <v>9.3890999999999991</v>
      </c>
      <c r="BK96" s="37">
        <v>9.3890999999999991</v>
      </c>
      <c r="BL96" s="37">
        <v>9.3890999999999991</v>
      </c>
      <c r="BM96" s="37">
        <v>9.3890999999999991</v>
      </c>
      <c r="BN96" s="37">
        <v>9.3890999999999991</v>
      </c>
      <c r="BO96" s="37">
        <v>9.3890999999999991</v>
      </c>
      <c r="BP96" s="37">
        <v>9.3890999999999991</v>
      </c>
      <c r="BQ96" s="37">
        <v>9.3890999999999991</v>
      </c>
      <c r="BR96" s="37">
        <v>9.3890999999999991</v>
      </c>
      <c r="BS96" s="37">
        <v>9.3890999999999991</v>
      </c>
      <c r="BT96" s="37">
        <v>9.3890999999999991</v>
      </c>
      <c r="BU96" s="37">
        <v>9.3890999999999991</v>
      </c>
      <c r="BV96" s="37">
        <v>9.3890999999999991</v>
      </c>
      <c r="BW96" s="37">
        <v>9.3890999999999991</v>
      </c>
      <c r="BX96" s="37">
        <v>9.3890999999999991</v>
      </c>
      <c r="BY96" s="37">
        <v>9.3890999999999991</v>
      </c>
      <c r="BZ96" s="37">
        <v>9.3890999999999991</v>
      </c>
      <c r="CA96" s="37">
        <v>9.3890999999999991</v>
      </c>
      <c r="CB96" s="37">
        <v>9.3890999999999991</v>
      </c>
      <c r="CC96" s="37">
        <v>9.3890999999999991</v>
      </c>
      <c r="CD96" s="37">
        <v>9.3890999999999991</v>
      </c>
      <c r="CE96" s="37">
        <v>9.3890999999999991</v>
      </c>
      <c r="CF96" s="37">
        <v>9.3890999999999991</v>
      </c>
      <c r="CG96" s="37">
        <v>9.3890999999999991</v>
      </c>
      <c r="CH96" s="37">
        <v>9.3890999999999991</v>
      </c>
      <c r="CI96" s="37">
        <v>9.3890999999999991</v>
      </c>
      <c r="CJ96" s="37">
        <v>9.3890999999999991</v>
      </c>
      <c r="CK96" s="37">
        <v>9.3890999999999991</v>
      </c>
      <c r="CL96" s="37">
        <v>9.3890999999999991</v>
      </c>
      <c r="CM96" s="37">
        <v>9.3890999999999991</v>
      </c>
      <c r="CN96" s="37">
        <v>9.3890999999999991</v>
      </c>
      <c r="CO96" s="37">
        <v>9.3890999999999991</v>
      </c>
      <c r="CP96" s="37">
        <v>9.3890999999999991</v>
      </c>
      <c r="CQ96" s="37">
        <v>9.3890999999999991</v>
      </c>
      <c r="CR96" s="37">
        <v>9.3890999999999991</v>
      </c>
      <c r="CS96" s="37">
        <v>9.3890999999999991</v>
      </c>
      <c r="CT96" s="37">
        <v>9.3890999999999991</v>
      </c>
      <c r="CU96" s="37">
        <v>9.3890999999999991</v>
      </c>
      <c r="CV96" s="37">
        <v>9.3890999999999991</v>
      </c>
      <c r="CW96" s="37">
        <v>9.3890999999999991</v>
      </c>
      <c r="CX96" s="37">
        <v>9.3890999999999991</v>
      </c>
      <c r="CY96" s="37">
        <v>9.3890999999999991</v>
      </c>
      <c r="CZ96" s="37">
        <v>9.3890999999999991</v>
      </c>
      <c r="DA96" s="37">
        <v>9.3890999999999991</v>
      </c>
      <c r="DB96" s="37">
        <v>9.3890999999999991</v>
      </c>
      <c r="DC96" s="37">
        <v>9.3890999999999991</v>
      </c>
      <c r="DD96" s="37">
        <v>9.3890999999999991</v>
      </c>
      <c r="DE96" s="37">
        <v>9.3890999999999991</v>
      </c>
      <c r="DF96" s="37">
        <v>9.3890999999999991</v>
      </c>
      <c r="DG96" s="37">
        <v>9.3890999999999991</v>
      </c>
      <c r="DH96" s="37">
        <v>9.3890999999999991</v>
      </c>
      <c r="DI96" s="37">
        <v>9.3890999999999991</v>
      </c>
      <c r="DJ96" s="37">
        <v>9.3890999999999991</v>
      </c>
      <c r="DK96" s="37">
        <v>9.3890999999999991</v>
      </c>
      <c r="DL96" s="37">
        <v>9.3890999999999991</v>
      </c>
      <c r="DM96" s="37">
        <v>9.3890999999999991</v>
      </c>
      <c r="DN96" s="37">
        <v>9.3890999999999991</v>
      </c>
      <c r="DO96" s="37">
        <v>9.3890999999999991</v>
      </c>
      <c r="DP96" s="37">
        <v>9.3890999999999991</v>
      </c>
      <c r="DQ96" s="37">
        <v>9.3890999999999991</v>
      </c>
      <c r="DR96" s="37">
        <v>9.3890999999999991</v>
      </c>
      <c r="DS96" s="37">
        <v>9.3890999999999991</v>
      </c>
      <c r="DT96" s="37">
        <v>9.3890999999999991</v>
      </c>
      <c r="DU96" s="37">
        <v>9.3890999999999991</v>
      </c>
      <c r="DV96" s="37">
        <v>9.3890999999999991</v>
      </c>
      <c r="DW96" s="37">
        <v>9.3890999999999991</v>
      </c>
      <c r="DX96" s="37">
        <v>9.3890999999999991</v>
      </c>
      <c r="DY96" s="37">
        <v>9.3890999999999991</v>
      </c>
      <c r="DZ96" s="37">
        <v>9.3890999999999991</v>
      </c>
      <c r="EA96" s="37">
        <v>9.3890999999999991</v>
      </c>
      <c r="EB96" s="37">
        <v>9.3890999999999991</v>
      </c>
      <c r="EC96" s="37">
        <v>9.3890999999999991</v>
      </c>
      <c r="ED96" s="37">
        <v>9.3890999999999991</v>
      </c>
      <c r="EE96" s="37">
        <v>9.3890999999999991</v>
      </c>
      <c r="EF96" s="37">
        <v>9.3890999999999991</v>
      </c>
      <c r="EG96" s="37">
        <v>9.3890999999999991</v>
      </c>
      <c r="EH96" s="37">
        <v>9.3890999999999991</v>
      </c>
      <c r="EI96" s="37">
        <v>9.3890999999999991</v>
      </c>
      <c r="EJ96" s="37">
        <v>9.3890999999999991</v>
      </c>
      <c r="EK96" s="37">
        <v>9.3890999999999991</v>
      </c>
      <c r="EL96" s="37">
        <v>9.3890999999999991</v>
      </c>
      <c r="EM96" s="37">
        <v>9.3890999999999991</v>
      </c>
      <c r="EN96" s="37">
        <v>9.3890999999999991</v>
      </c>
      <c r="EO96" s="37">
        <v>9.3890999999999991</v>
      </c>
      <c r="EP96" s="37">
        <v>9.3890999999999991</v>
      </c>
      <c r="EQ96" s="37">
        <v>9.3890999999999991</v>
      </c>
      <c r="ER96" s="37">
        <v>9.3890999999999991</v>
      </c>
      <c r="ES96" s="37">
        <v>9.3890999999999991</v>
      </c>
      <c r="ET96" s="37">
        <v>9.3890999999999991</v>
      </c>
      <c r="EU96" s="37">
        <v>9.3890999999999991</v>
      </c>
      <c r="EV96" s="37">
        <v>9.3890999999999991</v>
      </c>
      <c r="EW96" s="37">
        <v>9.3890999999999991</v>
      </c>
      <c r="EX96" s="37">
        <v>9.3890999999999991</v>
      </c>
      <c r="EY96" s="37">
        <v>9.3890999999999991</v>
      </c>
      <c r="EZ96" s="37">
        <v>9.3890999999999991</v>
      </c>
      <c r="FA96" s="37">
        <v>9.3890999999999991</v>
      </c>
      <c r="FB96" s="37">
        <v>9.3890999999999991</v>
      </c>
      <c r="FC96" s="37">
        <v>9.3890999999999991</v>
      </c>
      <c r="FD96" s="37">
        <v>9.3890999999999991</v>
      </c>
      <c r="FE96" s="37">
        <v>9.3890999999999991</v>
      </c>
      <c r="FF96" s="37">
        <v>9.3890999999999991</v>
      </c>
      <c r="FG96" s="37">
        <v>9.3890999999999991</v>
      </c>
      <c r="FH96" s="37">
        <v>9.3890999999999991</v>
      </c>
      <c r="FI96" s="37">
        <v>9.3890999999999991</v>
      </c>
      <c r="FJ96" s="37">
        <v>9.3890999999999991</v>
      </c>
      <c r="FK96" s="37">
        <v>9.3890999999999991</v>
      </c>
      <c r="FL96" s="37">
        <v>9.3890999999999991</v>
      </c>
      <c r="FM96" s="37">
        <v>9.3890999999999991</v>
      </c>
      <c r="FN96" s="37">
        <v>9.3890999999999991</v>
      </c>
      <c r="FO96" s="37">
        <v>9.3890999999999991</v>
      </c>
      <c r="FP96" s="37">
        <v>9.3890999999999991</v>
      </c>
      <c r="FQ96" s="37">
        <v>9.3890999999999991</v>
      </c>
      <c r="FR96" s="37">
        <v>9.3890999999999991</v>
      </c>
      <c r="FS96" s="37">
        <v>9.3890999999999991</v>
      </c>
      <c r="FT96" s="37">
        <v>9.3890999999999991</v>
      </c>
      <c r="FU96" s="37">
        <v>9.3890999999999991</v>
      </c>
      <c r="FV96" s="37">
        <v>9.3890999999999991</v>
      </c>
      <c r="FW96" s="37">
        <v>9.3890999999999991</v>
      </c>
      <c r="FX96" s="37">
        <v>9.3890999999999991</v>
      </c>
      <c r="FY96" s="37">
        <v>9.3890999999999991</v>
      </c>
      <c r="FZ96" s="37">
        <v>9.3890999999999991</v>
      </c>
      <c r="GA96" s="37">
        <v>9.3890999999999991</v>
      </c>
      <c r="GB96" s="37">
        <v>9.3890999999999991</v>
      </c>
      <c r="GC96" s="37">
        <v>9.3890999999999991</v>
      </c>
      <c r="GD96" s="37">
        <v>9.3890999999999991</v>
      </c>
      <c r="GE96" s="37">
        <v>9.3890999999999991</v>
      </c>
      <c r="GF96" s="37">
        <v>9.3890999999999991</v>
      </c>
      <c r="GG96" s="37">
        <v>9.3890999999999991</v>
      </c>
      <c r="GH96" s="37">
        <v>9.3890999999999991</v>
      </c>
      <c r="GI96" s="37">
        <v>9.3890999999999991</v>
      </c>
      <c r="GJ96" s="37">
        <v>9.3890999999999991</v>
      </c>
      <c r="GK96" s="37">
        <v>9.3890999999999991</v>
      </c>
      <c r="GL96" s="37">
        <v>9.3890999999999991</v>
      </c>
      <c r="GM96" s="37">
        <v>9.3890999999999991</v>
      </c>
      <c r="GN96" s="37">
        <v>9.3890999999999991</v>
      </c>
      <c r="GO96" s="37">
        <v>9.3890999999999991</v>
      </c>
      <c r="GP96" s="37">
        <v>9.3890999999999991</v>
      </c>
      <c r="GQ96" s="37">
        <v>9.3890999999999991</v>
      </c>
      <c r="GR96" s="37">
        <v>9.3890999999999991</v>
      </c>
      <c r="GS96" s="37">
        <v>9.3890999999999991</v>
      </c>
      <c r="GT96" s="37">
        <v>9.3890999999999991</v>
      </c>
      <c r="GU96" s="37">
        <v>9.3890999999999991</v>
      </c>
      <c r="GV96" s="37">
        <v>9.3890999999999991</v>
      </c>
      <c r="GW96" s="37">
        <v>9.3890999999999991</v>
      </c>
      <c r="GX96" s="37">
        <v>9.3890999999999991</v>
      </c>
      <c r="GY96" s="37">
        <v>9.3890999999999991</v>
      </c>
      <c r="GZ96" s="37">
        <v>9.3890999999999991</v>
      </c>
      <c r="HA96" s="37">
        <v>9.3890999999999991</v>
      </c>
      <c r="HB96" s="37">
        <v>9.3890999999999991</v>
      </c>
      <c r="HC96" s="37">
        <v>9.3890999999999991</v>
      </c>
      <c r="HD96" s="37">
        <v>9.3890999999999991</v>
      </c>
      <c r="HE96" s="37">
        <v>9.3890999999999991</v>
      </c>
      <c r="HF96" s="37">
        <v>9.3890999999999991</v>
      </c>
      <c r="HG96" s="37">
        <v>9.3890999999999991</v>
      </c>
      <c r="HH96" s="37">
        <v>9.3890999999999991</v>
      </c>
      <c r="HI96" s="37">
        <v>9.3890999999999991</v>
      </c>
      <c r="HJ96" s="37">
        <v>9.3890999999999991</v>
      </c>
      <c r="HK96" s="37">
        <v>9.3890999999999991</v>
      </c>
      <c r="HL96" s="37">
        <v>9.3890999999999991</v>
      </c>
      <c r="HM96" s="37">
        <v>9.3890999999999991</v>
      </c>
      <c r="HN96" s="37">
        <v>9.3890999999999991</v>
      </c>
      <c r="HO96" s="37">
        <v>9.3890999999999991</v>
      </c>
      <c r="HP96" s="37">
        <v>9.3890999999999991</v>
      </c>
      <c r="HQ96" s="37">
        <v>9.3890999999999991</v>
      </c>
      <c r="HR96" s="37">
        <v>9.3890999999999991</v>
      </c>
      <c r="HS96" s="37">
        <v>9.3890999999999991</v>
      </c>
      <c r="HT96" s="37">
        <v>9.3890999999999991</v>
      </c>
      <c r="HU96" s="37">
        <v>9.3890999999999991</v>
      </c>
      <c r="HV96" s="37">
        <v>9.3890999999999991</v>
      </c>
      <c r="HW96" s="37">
        <v>9.3890999999999991</v>
      </c>
      <c r="HX96" s="37">
        <v>9.3890999999999991</v>
      </c>
      <c r="HY96" s="37">
        <v>9.3890999999999991</v>
      </c>
      <c r="HZ96" s="37">
        <v>9.3890999999999991</v>
      </c>
      <c r="IA96" s="37">
        <v>9.3890999999999991</v>
      </c>
      <c r="IB96" s="37">
        <v>9.3890999999999991</v>
      </c>
      <c r="IC96" s="37">
        <v>9.3890999999999991</v>
      </c>
      <c r="ID96" s="37">
        <v>9.3890999999999991</v>
      </c>
      <c r="IE96" s="37">
        <v>9.3890999999999991</v>
      </c>
      <c r="IF96" s="37">
        <v>9.3890999999999991</v>
      </c>
      <c r="IG96" s="37">
        <v>9.3890999999999991</v>
      </c>
      <c r="IH96" s="37">
        <v>9.3890999999999991</v>
      </c>
      <c r="II96" s="37">
        <v>9.3890999999999991</v>
      </c>
      <c r="IJ96" s="37">
        <v>9.3890999999999991</v>
      </c>
      <c r="IK96" s="37">
        <v>9.3890999999999991</v>
      </c>
      <c r="IL96" s="37">
        <v>9.3890999999999991</v>
      </c>
      <c r="IM96" s="37">
        <v>9.3890999999999991</v>
      </c>
      <c r="IN96" s="37">
        <v>9.3890999999999991</v>
      </c>
      <c r="IO96" s="37">
        <v>9.3890999999999991</v>
      </c>
      <c r="IP96" s="37">
        <v>9.3890999999999991</v>
      </c>
      <c r="IQ96" s="37">
        <v>9.3890999999999991</v>
      </c>
      <c r="IR96" s="37">
        <v>9.3890999999999991</v>
      </c>
      <c r="IS96" s="37">
        <v>9.3890999999999991</v>
      </c>
      <c r="IT96" s="37">
        <v>9.3890999999999991</v>
      </c>
      <c r="IU96" s="37">
        <v>9.3890999999999991</v>
      </c>
      <c r="IV96" s="37">
        <v>9.3890999999999991</v>
      </c>
      <c r="IW96" s="37">
        <v>9.3890999999999991</v>
      </c>
      <c r="IX96" s="37">
        <v>9.3890999999999991</v>
      </c>
      <c r="IY96" s="37">
        <v>9.3890999999999991</v>
      </c>
      <c r="IZ96" s="37">
        <v>9.3890999999999991</v>
      </c>
      <c r="JA96" s="37">
        <v>9.3890999999999991</v>
      </c>
      <c r="JB96" s="37">
        <v>9.3890999999999991</v>
      </c>
      <c r="JC96" s="37">
        <v>9.3890999999999991</v>
      </c>
      <c r="JD96" s="37">
        <v>9.3890999999999991</v>
      </c>
      <c r="JE96" s="37">
        <v>9.3890999999999991</v>
      </c>
      <c r="JF96" s="37">
        <v>9.3890999999999991</v>
      </c>
      <c r="JG96" s="37">
        <v>9.3890999999999991</v>
      </c>
      <c r="JH96" s="37">
        <v>9.3890999999999991</v>
      </c>
      <c r="JI96" s="37">
        <v>9.3890999999999991</v>
      </c>
      <c r="JJ96" s="37">
        <v>9.3890999999999991</v>
      </c>
      <c r="JK96" s="37">
        <v>9.3890999999999991</v>
      </c>
      <c r="JL96" s="37">
        <v>9.3890999999999991</v>
      </c>
      <c r="JM96" s="37">
        <v>9.3890999999999991</v>
      </c>
      <c r="JN96" s="37">
        <v>9.3890999999999991</v>
      </c>
      <c r="JO96" s="37">
        <v>9.3890999999999991</v>
      </c>
      <c r="JP96" s="37">
        <v>9.3890999999999991</v>
      </c>
      <c r="JQ96" s="37">
        <v>9.3890999999999991</v>
      </c>
      <c r="JR96" s="37">
        <v>9.3890999999999991</v>
      </c>
      <c r="JS96" s="37">
        <v>9.3890999999999991</v>
      </c>
      <c r="JT96" s="37">
        <v>9.3890999999999991</v>
      </c>
      <c r="JU96" s="37">
        <v>9.3890999999999991</v>
      </c>
      <c r="JV96" s="37">
        <v>9.3890999999999991</v>
      </c>
      <c r="JW96" s="37">
        <v>9.3890999999999991</v>
      </c>
      <c r="JX96" s="37">
        <v>9.3890999999999991</v>
      </c>
      <c r="JY96" s="37">
        <v>9.3890999999999991</v>
      </c>
      <c r="JZ96" s="37">
        <v>9.3890999999999991</v>
      </c>
      <c r="KA96" s="37">
        <v>9.3890999999999991</v>
      </c>
      <c r="KB96" s="37">
        <v>9.3890999999999991</v>
      </c>
      <c r="KC96" s="37">
        <v>9.3890999999999991</v>
      </c>
      <c r="KD96" s="37">
        <v>9.3890999999999991</v>
      </c>
      <c r="KE96" s="37">
        <v>9.3890999999999991</v>
      </c>
      <c r="KF96" s="37">
        <v>9.3890999999999991</v>
      </c>
      <c r="KG96" s="37">
        <v>9.3890999999999991</v>
      </c>
      <c r="KH96" s="37">
        <v>9.3890999999999991</v>
      </c>
      <c r="KI96" s="37">
        <v>9.3890999999999991</v>
      </c>
      <c r="KJ96" s="37">
        <v>9.3890999999999991</v>
      </c>
      <c r="KK96" s="37">
        <v>9.3890999999999991</v>
      </c>
      <c r="KL96" s="37">
        <v>9.3890999999999991</v>
      </c>
      <c r="KM96" s="37">
        <v>9.3890999999999991</v>
      </c>
      <c r="KN96" s="37">
        <v>9.3890999999999991</v>
      </c>
      <c r="KO96" s="37">
        <v>9.3890999999999991</v>
      </c>
      <c r="KP96" s="37">
        <v>9.3890999999999991</v>
      </c>
      <c r="KQ96" s="37">
        <v>9.3890999999999991</v>
      </c>
      <c r="KR96" s="37">
        <v>9.3890999999999991</v>
      </c>
      <c r="KS96" s="37">
        <v>9.3890999999999991</v>
      </c>
      <c r="KT96" s="37">
        <v>9.3890999999999991</v>
      </c>
      <c r="KU96" s="37">
        <v>9.3890999999999991</v>
      </c>
      <c r="KV96" s="37">
        <v>9.3890999999999991</v>
      </c>
      <c r="KW96" s="37">
        <v>9.3890999999999991</v>
      </c>
      <c r="KX96" s="37">
        <v>9.3890999999999991</v>
      </c>
      <c r="KY96" s="37">
        <v>9.3890999999999991</v>
      </c>
      <c r="KZ96" s="37">
        <v>9.3890999999999991</v>
      </c>
      <c r="LA96" s="37">
        <v>9.3890999999999991</v>
      </c>
      <c r="LB96" s="37">
        <v>9.3890999999999991</v>
      </c>
      <c r="LC96" s="37">
        <v>9.3890999999999991</v>
      </c>
      <c r="LD96" s="37">
        <v>9.3890999999999991</v>
      </c>
      <c r="LE96" s="37">
        <v>9.3890999999999991</v>
      </c>
      <c r="LF96" s="37">
        <v>9.3890999999999991</v>
      </c>
      <c r="LG96" s="37">
        <v>9.3890999999999991</v>
      </c>
      <c r="LH96" s="37">
        <v>9.3890999999999991</v>
      </c>
      <c r="LI96" s="37">
        <v>9.3890999999999991</v>
      </c>
      <c r="LJ96" s="37">
        <v>9.3890999999999991</v>
      </c>
      <c r="LK96" s="37">
        <v>9.3890999999999991</v>
      </c>
      <c r="LL96" s="37">
        <v>9.3890999999999991</v>
      </c>
      <c r="LM96" s="37">
        <v>9.3890999999999991</v>
      </c>
      <c r="LN96" s="37">
        <v>9.3890999999999991</v>
      </c>
      <c r="LO96" s="37">
        <v>9.3890999999999991</v>
      </c>
      <c r="LP96" s="37">
        <v>9.3890999999999991</v>
      </c>
      <c r="LQ96" s="37">
        <v>9.3890999999999991</v>
      </c>
      <c r="LR96" s="37">
        <v>9.3890999999999991</v>
      </c>
      <c r="LS96" s="37">
        <v>9.3890999999999991</v>
      </c>
      <c r="LT96" s="37">
        <v>9.3890999999999991</v>
      </c>
      <c r="LU96" s="37">
        <v>9.3890999999999991</v>
      </c>
      <c r="LV96" s="37">
        <v>9.3890999999999991</v>
      </c>
      <c r="LW96" s="37">
        <v>9.3890999999999991</v>
      </c>
      <c r="LX96" s="37">
        <v>9.3890999999999991</v>
      </c>
      <c r="LY96" s="37">
        <v>9.3890999999999991</v>
      </c>
      <c r="LZ96" s="37">
        <v>9.3890999999999991</v>
      </c>
      <c r="MA96" s="37">
        <v>9.3890999999999991</v>
      </c>
      <c r="MB96" s="37">
        <v>9.3890999999999991</v>
      </c>
      <c r="MC96" s="37">
        <v>9.3890999999999991</v>
      </c>
      <c r="MD96" s="37">
        <v>9.3890999999999991</v>
      </c>
      <c r="ME96" s="37">
        <v>9.3890999999999991</v>
      </c>
      <c r="MF96" s="37">
        <v>9.3890999999999991</v>
      </c>
      <c r="MG96" s="37">
        <v>9.3890999999999991</v>
      </c>
      <c r="MH96" s="37">
        <v>9.3890999999999991</v>
      </c>
      <c r="MI96" s="37">
        <v>9.3890999999999991</v>
      </c>
      <c r="MJ96" s="37">
        <v>9.3890999999999991</v>
      </c>
      <c r="MK96" s="37">
        <v>9.3890999999999991</v>
      </c>
      <c r="ML96" s="37">
        <v>9.3890999999999991</v>
      </c>
      <c r="MM96" s="37">
        <v>9.3890999999999991</v>
      </c>
      <c r="MN96" s="37">
        <v>9.3890999999999991</v>
      </c>
      <c r="MO96" s="37">
        <v>9.3890999999999991</v>
      </c>
      <c r="MP96" s="37">
        <v>9.3890999999999991</v>
      </c>
      <c r="MQ96" s="37">
        <v>9.3890999999999991</v>
      </c>
      <c r="MR96" s="37">
        <v>9.3890999999999991</v>
      </c>
      <c r="MS96" s="37">
        <v>9.3890999999999991</v>
      </c>
      <c r="MT96" s="37">
        <v>9.3890999999999991</v>
      </c>
      <c r="MU96" s="37">
        <v>9.3890999999999991</v>
      </c>
      <c r="MV96" s="37">
        <v>9.3890999999999991</v>
      </c>
      <c r="MW96" s="37">
        <v>9.3890999999999991</v>
      </c>
      <c r="MX96" s="37">
        <v>9.3890999999999991</v>
      </c>
      <c r="MY96" s="37">
        <v>9.3890999999999991</v>
      </c>
      <c r="MZ96" s="37">
        <v>9.3890999999999991</v>
      </c>
      <c r="NA96" s="37">
        <v>9.3890999999999991</v>
      </c>
      <c r="NB96" s="37">
        <v>9.3890999999999991</v>
      </c>
      <c r="NC96" s="37">
        <v>9.3890999999999991</v>
      </c>
      <c r="ND96" s="37">
        <v>9.3890999999999991</v>
      </c>
      <c r="NE96" s="37">
        <v>9.3890999999999991</v>
      </c>
      <c r="NF96" s="37">
        <v>9.3890999999999991</v>
      </c>
      <c r="NG96" s="37">
        <v>9.3890999999999991</v>
      </c>
      <c r="NH96" s="37">
        <v>9.3890999999999991</v>
      </c>
      <c r="NI96" s="37">
        <v>9.3890999999999991</v>
      </c>
      <c r="NJ96" s="37">
        <v>9.3890999999999991</v>
      </c>
      <c r="NK96" s="37">
        <v>9.3890999999999991</v>
      </c>
      <c r="NL96" s="37">
        <v>9.3890999999999991</v>
      </c>
      <c r="NM96" s="37">
        <v>9.3890999999999991</v>
      </c>
      <c r="NN96" s="37">
        <v>9.3890999999999991</v>
      </c>
      <c r="NO96" s="37">
        <v>9.3890999999999991</v>
      </c>
      <c r="NP96" s="37">
        <v>9.3890999999999991</v>
      </c>
      <c r="NQ96" s="37">
        <v>9.3890999999999991</v>
      </c>
      <c r="NR96" s="37">
        <v>9.3890999999999991</v>
      </c>
      <c r="NS96" s="37">
        <v>9.3890999999999991</v>
      </c>
      <c r="NT96" s="37">
        <v>9.3890999999999991</v>
      </c>
      <c r="NU96" s="37">
        <v>9.3890999999999991</v>
      </c>
      <c r="NV96" s="37">
        <v>9.3890999999999991</v>
      </c>
      <c r="NW96" s="37">
        <v>9.3890999999999991</v>
      </c>
      <c r="NX96" s="37">
        <v>9.3890999999999991</v>
      </c>
      <c r="NY96" s="37">
        <v>9.3890999999999991</v>
      </c>
      <c r="NZ96" s="37">
        <v>9.3890999999999991</v>
      </c>
      <c r="OA96" s="37">
        <v>9.3890999999999991</v>
      </c>
      <c r="OB96" s="37">
        <v>9.3890999999999991</v>
      </c>
      <c r="OC96" s="37">
        <v>9.3890999999999991</v>
      </c>
      <c r="OD96" s="37">
        <v>9.3890999999999991</v>
      </c>
      <c r="OE96" s="37">
        <v>9.3890999999999991</v>
      </c>
      <c r="OF96" s="37">
        <v>9.3890999999999991</v>
      </c>
      <c r="OG96" s="37">
        <v>9.3890999999999991</v>
      </c>
      <c r="OH96" s="37">
        <v>9.3890999999999991</v>
      </c>
      <c r="OI96" s="37">
        <v>9.3890999999999991</v>
      </c>
      <c r="OJ96" s="37">
        <v>9.3890999999999991</v>
      </c>
      <c r="OK96" s="37">
        <v>9.3890999999999991</v>
      </c>
      <c r="OL96" s="37">
        <v>9.3890999999999991</v>
      </c>
      <c r="OM96" s="37">
        <v>9.3890999999999991</v>
      </c>
      <c r="ON96" s="37">
        <v>9.3890999999999991</v>
      </c>
      <c r="OO96" s="37">
        <v>9.3890999999999991</v>
      </c>
      <c r="OP96" s="37">
        <v>9.3890999999999991</v>
      </c>
      <c r="OQ96" s="37">
        <v>9.3890999999999991</v>
      </c>
      <c r="OR96" s="37">
        <v>9.3890999999999991</v>
      </c>
      <c r="OS96" s="37">
        <v>9.3890999999999991</v>
      </c>
      <c r="OT96" s="37">
        <v>9.3890999999999991</v>
      </c>
      <c r="OU96" s="37">
        <v>9.3890999999999991</v>
      </c>
      <c r="OV96" s="37">
        <v>9.3890999999999991</v>
      </c>
      <c r="OW96" s="37">
        <v>9.3890999999999991</v>
      </c>
      <c r="OX96" s="37">
        <v>9.3890999999999991</v>
      </c>
      <c r="OY96" s="37">
        <v>9.3890999999999991</v>
      </c>
      <c r="OZ96" s="37">
        <v>9.3890999999999991</v>
      </c>
      <c r="PA96" s="37">
        <v>9.3890999999999991</v>
      </c>
      <c r="PB96" s="37">
        <v>9.3890999999999991</v>
      </c>
      <c r="PC96" s="37">
        <v>9.3890999999999991</v>
      </c>
      <c r="PD96" s="37">
        <v>9.3890999999999991</v>
      </c>
      <c r="PE96" s="37">
        <v>9.3890999999999991</v>
      </c>
      <c r="PF96" s="37">
        <v>9.3890999999999991</v>
      </c>
      <c r="PG96" s="37">
        <v>9.3890999999999991</v>
      </c>
      <c r="PH96" s="37">
        <v>9.3890999999999991</v>
      </c>
      <c r="PI96" s="37">
        <v>9.3890999999999991</v>
      </c>
      <c r="PJ96" s="37">
        <v>9.3890999999999991</v>
      </c>
      <c r="PK96" s="37">
        <v>9.3890999999999991</v>
      </c>
      <c r="PL96" s="37">
        <v>9.3890999999999991</v>
      </c>
      <c r="PM96" s="37">
        <v>9.3890999999999991</v>
      </c>
      <c r="PN96" s="37">
        <v>9.3890999999999991</v>
      </c>
      <c r="PO96" s="37">
        <v>9.3890999999999991</v>
      </c>
      <c r="PP96" s="37">
        <v>9.3890999999999991</v>
      </c>
      <c r="PQ96" s="37">
        <v>9.3890999999999991</v>
      </c>
      <c r="PR96" s="37">
        <v>9.3890999999999991</v>
      </c>
      <c r="PS96" s="15">
        <v>9.3890999999999991</v>
      </c>
      <c r="PT96" s="15">
        <v>9.3890999999999991</v>
      </c>
      <c r="PU96" s="15">
        <v>9.3890999999999991</v>
      </c>
      <c r="PV96" s="15">
        <v>9.3890999999999991</v>
      </c>
      <c r="PW96" s="15">
        <v>9.3890999999999991</v>
      </c>
      <c r="PX96" s="15">
        <v>9.3890999999999991</v>
      </c>
      <c r="PY96" s="15">
        <v>9.3890999999999991</v>
      </c>
      <c r="PZ96" s="15">
        <v>9.3890999999999991</v>
      </c>
      <c r="QA96" s="15">
        <v>9.3890999999999991</v>
      </c>
      <c r="QB96" s="15">
        <v>9.3890999999999991</v>
      </c>
      <c r="QC96" s="15">
        <v>9.3890999999999991</v>
      </c>
      <c r="QD96" s="15">
        <v>9.3890999999999991</v>
      </c>
      <c r="QE96" s="15">
        <v>9.3890999999999991</v>
      </c>
      <c r="QF96" s="15">
        <v>9.3890999999999991</v>
      </c>
      <c r="QG96" s="15">
        <v>9.3890999999999991</v>
      </c>
      <c r="QH96" s="15">
        <v>9.3890999999999991</v>
      </c>
      <c r="QI96" s="15">
        <v>9.3890999999999991</v>
      </c>
      <c r="QJ96" s="15">
        <v>9.3890999999999991</v>
      </c>
      <c r="QK96" s="15">
        <v>9.3890999999999991</v>
      </c>
      <c r="QL96" s="15">
        <v>9.3890999999999991</v>
      </c>
      <c r="QM96" s="15">
        <v>9.3890999999999991</v>
      </c>
      <c r="QN96" s="15">
        <v>9.3890999999999991</v>
      </c>
      <c r="QO96" s="15">
        <v>9.3890999999999991</v>
      </c>
      <c r="QP96" s="15">
        <v>9.3890999999999991</v>
      </c>
      <c r="QQ96" s="15">
        <v>9.3890999999999991</v>
      </c>
      <c r="QR96" s="15">
        <v>9.3890999999999991</v>
      </c>
      <c r="QS96" s="15">
        <v>9.3890999999999991</v>
      </c>
      <c r="QT96" s="15">
        <v>9.3890999999999991</v>
      </c>
      <c r="QU96" s="15">
        <v>9.3890999999999991</v>
      </c>
      <c r="QV96" s="15">
        <v>9.3890999999999991</v>
      </c>
      <c r="QW96" s="15">
        <v>9.3890999999999991</v>
      </c>
      <c r="QX96" s="15">
        <v>9.3890999999999991</v>
      </c>
      <c r="QY96" s="15">
        <v>9.3890999999999991</v>
      </c>
      <c r="QZ96" s="15">
        <v>9.3890999999999991</v>
      </c>
      <c r="RA96" s="15">
        <v>9.3890999999999991</v>
      </c>
      <c r="RB96" s="15">
        <v>9.3890999999999991</v>
      </c>
      <c r="RC96" s="15">
        <v>9.3890999999999991</v>
      </c>
      <c r="RD96" s="15">
        <v>9.3890999999999991</v>
      </c>
      <c r="RE96" s="15">
        <v>9.3890999999999991</v>
      </c>
      <c r="RF96" s="15">
        <v>9.3890999999999991</v>
      </c>
      <c r="RG96" s="15">
        <v>9.3890999999999991</v>
      </c>
      <c r="RH96" s="15">
        <v>9.3890999999999991</v>
      </c>
      <c r="RI96" s="15">
        <v>9.3890999999999991</v>
      </c>
      <c r="RJ96" s="15">
        <v>9.3890999999999991</v>
      </c>
      <c r="RK96" s="15">
        <v>9.3890999999999991</v>
      </c>
      <c r="RL96" s="15">
        <v>9.3890999999999991</v>
      </c>
      <c r="RM96" s="15">
        <v>9.3890999999999991</v>
      </c>
      <c r="RN96" s="15">
        <v>9.3890999999999991</v>
      </c>
      <c r="RO96" s="15">
        <v>9.3890999999999991</v>
      </c>
      <c r="RP96" s="15">
        <v>9.3890999999999991</v>
      </c>
      <c r="RQ96" s="15">
        <v>9.3890999999999991</v>
      </c>
      <c r="RR96" s="15">
        <v>9.3890999999999991</v>
      </c>
      <c r="RS96" s="15">
        <v>9.3890999999999991</v>
      </c>
      <c r="RT96" s="15">
        <v>9.3890999999999991</v>
      </c>
      <c r="RU96" s="15">
        <v>9.3890999999999991</v>
      </c>
      <c r="RV96" s="15">
        <v>9.3890999999999991</v>
      </c>
      <c r="RW96" s="15">
        <v>9.3890999999999991</v>
      </c>
      <c r="RX96" s="15">
        <v>9.3890999999999991</v>
      </c>
      <c r="RY96" s="15">
        <v>9.3890999999999991</v>
      </c>
      <c r="RZ96" s="15">
        <v>9.3890999999999991</v>
      </c>
      <c r="SA96" s="15">
        <v>9.3890999999999991</v>
      </c>
      <c r="SB96" s="15">
        <v>9.3890999999999991</v>
      </c>
      <c r="SC96" s="15">
        <v>9.3890999999999991</v>
      </c>
      <c r="SD96" s="15">
        <v>9.3890999999999991</v>
      </c>
      <c r="SE96" s="15">
        <v>9.3890999999999991</v>
      </c>
      <c r="SF96" s="15">
        <v>9.3890999999999991</v>
      </c>
      <c r="SG96" s="15">
        <v>9.3890999999999991</v>
      </c>
      <c r="SH96" s="15">
        <v>9.3890999999999991</v>
      </c>
      <c r="SI96" s="15">
        <v>9.3890999999999991</v>
      </c>
      <c r="SJ96" s="15">
        <v>9.3890999999999991</v>
      </c>
      <c r="SK96" s="15">
        <v>9.3890999999999991</v>
      </c>
      <c r="SL96" s="15">
        <v>9.3890999999999991</v>
      </c>
      <c r="SM96" s="15">
        <v>9.3890999999999991</v>
      </c>
      <c r="SN96" s="15">
        <v>9.3890999999999991</v>
      </c>
      <c r="SO96" s="15">
        <v>9.3890999999999991</v>
      </c>
      <c r="SP96" s="15">
        <v>10.8086</v>
      </c>
    </row>
    <row r="97" spans="1:510" x14ac:dyDescent="0.2">
      <c r="A97" s="37">
        <v>95</v>
      </c>
      <c r="B97" s="37" t="s">
        <v>950</v>
      </c>
      <c r="C97" s="17">
        <f>+'Detalle Compras'!D97</f>
        <v>202511280149</v>
      </c>
      <c r="D97" s="55">
        <f t="shared" si="16"/>
        <v>10.377717000000001</v>
      </c>
      <c r="E97" s="14">
        <f>+IF(B97="","",'Detalle Compras'!S97+0)</f>
        <v>46032</v>
      </c>
      <c r="F97" s="14">
        <f>+IF(B97="","",EOMONTH('Detalle Compras'!S97,G97)+10)</f>
        <v>60673</v>
      </c>
      <c r="G97" s="50">
        <f t="shared" si="17"/>
        <v>480</v>
      </c>
      <c r="H97" s="50">
        <f t="shared" si="18"/>
        <v>479</v>
      </c>
      <c r="AE97" s="37">
        <v>10.377717000000001</v>
      </c>
      <c r="AF97" s="37">
        <v>10.377717000000001</v>
      </c>
      <c r="AG97" s="37">
        <v>10.377717000000001</v>
      </c>
      <c r="AH97" s="37">
        <v>10.377717000000001</v>
      </c>
      <c r="AI97" s="37">
        <v>10.377717000000001</v>
      </c>
      <c r="AJ97" s="37">
        <v>10.377717000000001</v>
      </c>
      <c r="AK97" s="37">
        <v>10.377717000000001</v>
      </c>
      <c r="AL97" s="37">
        <v>10.377717000000001</v>
      </c>
      <c r="AM97" s="37">
        <v>10.377717000000001</v>
      </c>
      <c r="AN97" s="37">
        <v>10.377717000000001</v>
      </c>
      <c r="AO97" s="37">
        <v>10.377717000000001</v>
      </c>
      <c r="AP97" s="37">
        <v>10.377717000000001</v>
      </c>
      <c r="AQ97" s="37">
        <v>10.377717000000001</v>
      </c>
      <c r="AR97" s="37">
        <v>10.377717000000001</v>
      </c>
      <c r="AS97" s="37">
        <v>10.377717000000001</v>
      </c>
      <c r="AT97" s="37">
        <v>10.377717000000001</v>
      </c>
      <c r="AU97" s="37">
        <v>10.377717000000001</v>
      </c>
      <c r="AV97" s="37">
        <v>10.377717000000001</v>
      </c>
      <c r="AW97" s="37">
        <v>10.377717000000001</v>
      </c>
      <c r="AX97" s="37">
        <v>10.377717000000001</v>
      </c>
      <c r="AY97" s="37">
        <v>10.377717000000001</v>
      </c>
      <c r="AZ97" s="37">
        <v>10.377717000000001</v>
      </c>
      <c r="BA97" s="37">
        <v>10.377717000000001</v>
      </c>
      <c r="BB97" s="37">
        <v>10.377717000000001</v>
      </c>
      <c r="BC97" s="37">
        <v>10.377717000000001</v>
      </c>
      <c r="BD97" s="37">
        <v>10.377717000000001</v>
      </c>
      <c r="BE97" s="37">
        <v>10.377717000000001</v>
      </c>
      <c r="BF97" s="37">
        <v>10.377717000000001</v>
      </c>
      <c r="BG97" s="37">
        <v>10.377717000000001</v>
      </c>
      <c r="BH97" s="37">
        <v>10.377717000000001</v>
      </c>
      <c r="BI97" s="37">
        <v>10.377717000000001</v>
      </c>
      <c r="BJ97" s="37">
        <v>10.377717000000001</v>
      </c>
      <c r="BK97" s="37">
        <v>10.377717000000001</v>
      </c>
      <c r="BL97" s="37">
        <v>10.377717000000001</v>
      </c>
      <c r="BM97" s="37">
        <v>10.377717000000001</v>
      </c>
      <c r="BN97" s="37">
        <v>10.377717000000001</v>
      </c>
      <c r="BO97" s="37">
        <v>10.377717000000001</v>
      </c>
      <c r="BP97" s="37">
        <v>10.377717000000001</v>
      </c>
      <c r="BQ97" s="37">
        <v>10.377717000000001</v>
      </c>
      <c r="BR97" s="37">
        <v>10.377717000000001</v>
      </c>
      <c r="BS97" s="37">
        <v>10.377717000000001</v>
      </c>
      <c r="BT97" s="37">
        <v>10.377717000000001</v>
      </c>
      <c r="BU97" s="37">
        <v>10.377717000000001</v>
      </c>
      <c r="BV97" s="37">
        <v>10.377717000000001</v>
      </c>
      <c r="BW97" s="37">
        <v>10.377717000000001</v>
      </c>
      <c r="BX97" s="37">
        <v>10.377717000000001</v>
      </c>
      <c r="BY97" s="37">
        <v>10.377717000000001</v>
      </c>
      <c r="BZ97" s="37">
        <v>10.377717000000001</v>
      </c>
      <c r="CA97" s="37">
        <v>10.377717000000001</v>
      </c>
      <c r="CB97" s="37">
        <v>10.377717000000001</v>
      </c>
      <c r="CC97" s="37">
        <v>10.377717000000001</v>
      </c>
      <c r="CD97" s="37">
        <v>10.377717000000001</v>
      </c>
      <c r="CE97" s="37">
        <v>10.377717000000001</v>
      </c>
      <c r="CF97" s="37">
        <v>10.377717000000001</v>
      </c>
      <c r="CG97" s="37">
        <v>10.377717000000001</v>
      </c>
      <c r="CH97" s="37">
        <v>10.377717000000001</v>
      </c>
      <c r="CI97" s="37">
        <v>10.377717000000001</v>
      </c>
      <c r="CJ97" s="37">
        <v>10.377717000000001</v>
      </c>
      <c r="CK97" s="37">
        <v>10.377717000000001</v>
      </c>
      <c r="CL97" s="37">
        <v>10.377717000000001</v>
      </c>
      <c r="CM97" s="37">
        <v>10.377717000000001</v>
      </c>
      <c r="CN97" s="37">
        <v>10.377717000000001</v>
      </c>
      <c r="CO97" s="37">
        <v>10.377717000000001</v>
      </c>
      <c r="CP97" s="37">
        <v>10.377717000000001</v>
      </c>
      <c r="CQ97" s="37">
        <v>10.377717000000001</v>
      </c>
      <c r="CR97" s="37">
        <v>10.377717000000001</v>
      </c>
      <c r="CS97" s="37">
        <v>10.377717000000001</v>
      </c>
      <c r="CT97" s="37">
        <v>10.377717000000001</v>
      </c>
      <c r="CU97" s="37">
        <v>10.377717000000001</v>
      </c>
      <c r="CV97" s="37">
        <v>10.377717000000001</v>
      </c>
      <c r="CW97" s="37">
        <v>10.377717000000001</v>
      </c>
      <c r="CX97" s="37">
        <v>10.377717000000001</v>
      </c>
      <c r="CY97" s="37">
        <v>10.377717000000001</v>
      </c>
      <c r="CZ97" s="37">
        <v>10.377717000000001</v>
      </c>
      <c r="DA97" s="37">
        <v>10.377717000000001</v>
      </c>
      <c r="DB97" s="37">
        <v>10.377717000000001</v>
      </c>
      <c r="DC97" s="37">
        <v>10.377717000000001</v>
      </c>
      <c r="DD97" s="37">
        <v>10.377717000000001</v>
      </c>
      <c r="DE97" s="37">
        <v>10.377717000000001</v>
      </c>
      <c r="DF97" s="37">
        <v>10.377717000000001</v>
      </c>
      <c r="DG97" s="37">
        <v>10.377717000000001</v>
      </c>
      <c r="DH97" s="37">
        <v>10.377717000000001</v>
      </c>
      <c r="DI97" s="37">
        <v>10.377717000000001</v>
      </c>
      <c r="DJ97" s="37">
        <v>10.377717000000001</v>
      </c>
      <c r="DK97" s="37">
        <v>10.377717000000001</v>
      </c>
      <c r="DL97" s="37">
        <v>10.377717000000001</v>
      </c>
      <c r="DM97" s="37">
        <v>10.377717000000001</v>
      </c>
      <c r="DN97" s="37">
        <v>10.377717000000001</v>
      </c>
      <c r="DO97" s="37">
        <v>10.377717000000001</v>
      </c>
      <c r="DP97" s="37">
        <v>10.377717000000001</v>
      </c>
      <c r="DQ97" s="37">
        <v>10.377717000000001</v>
      </c>
      <c r="DR97" s="37">
        <v>10.377717000000001</v>
      </c>
      <c r="DS97" s="37">
        <v>10.377717000000001</v>
      </c>
      <c r="DT97" s="37">
        <v>10.377717000000001</v>
      </c>
      <c r="DU97" s="37">
        <v>10.377717000000001</v>
      </c>
      <c r="DV97" s="37">
        <v>10.377717000000001</v>
      </c>
      <c r="DW97" s="37">
        <v>10.377717000000001</v>
      </c>
      <c r="DX97" s="37">
        <v>10.377717000000001</v>
      </c>
      <c r="DY97" s="37">
        <v>10.377717000000001</v>
      </c>
      <c r="DZ97" s="37">
        <v>10.377717000000001</v>
      </c>
      <c r="EA97" s="37">
        <v>10.377717000000001</v>
      </c>
      <c r="EB97" s="37">
        <v>10.377717000000001</v>
      </c>
      <c r="EC97" s="37">
        <v>10.377717000000001</v>
      </c>
      <c r="ED97" s="37">
        <v>10.377717000000001</v>
      </c>
      <c r="EE97" s="37">
        <v>10.377717000000001</v>
      </c>
      <c r="EF97" s="37">
        <v>10.377717000000001</v>
      </c>
      <c r="EG97" s="37">
        <v>10.377717000000001</v>
      </c>
      <c r="EH97" s="37">
        <v>10.377717000000001</v>
      </c>
      <c r="EI97" s="37">
        <v>10.377717000000001</v>
      </c>
      <c r="EJ97" s="37">
        <v>10.377717000000001</v>
      </c>
      <c r="EK97" s="37">
        <v>10.377717000000001</v>
      </c>
      <c r="EL97" s="37">
        <v>10.377717000000001</v>
      </c>
      <c r="EM97" s="37">
        <v>10.377717000000001</v>
      </c>
      <c r="EN97" s="37">
        <v>10.377717000000001</v>
      </c>
      <c r="EO97" s="37">
        <v>10.377717000000001</v>
      </c>
      <c r="EP97" s="37">
        <v>10.377717000000001</v>
      </c>
      <c r="EQ97" s="37">
        <v>10.377717000000001</v>
      </c>
      <c r="ER97" s="37">
        <v>10.377717000000001</v>
      </c>
      <c r="ES97" s="37">
        <v>10.377717000000001</v>
      </c>
      <c r="ET97" s="37">
        <v>10.377717000000001</v>
      </c>
      <c r="EU97" s="37">
        <v>10.377717000000001</v>
      </c>
      <c r="EV97" s="37">
        <v>10.377717000000001</v>
      </c>
      <c r="EW97" s="37">
        <v>10.377717000000001</v>
      </c>
      <c r="EX97" s="37">
        <v>10.377717000000001</v>
      </c>
      <c r="EY97" s="37">
        <v>10.377717000000001</v>
      </c>
      <c r="EZ97" s="37">
        <v>10.377717000000001</v>
      </c>
      <c r="FA97" s="37">
        <v>10.377717000000001</v>
      </c>
      <c r="FB97" s="37">
        <v>10.377717000000001</v>
      </c>
      <c r="FC97" s="37">
        <v>10.377717000000001</v>
      </c>
      <c r="FD97" s="37">
        <v>10.377717000000001</v>
      </c>
      <c r="FE97" s="37">
        <v>10.377717000000001</v>
      </c>
      <c r="FF97" s="37">
        <v>10.377717000000001</v>
      </c>
      <c r="FG97" s="37">
        <v>10.377717000000001</v>
      </c>
      <c r="FH97" s="37">
        <v>10.377717000000001</v>
      </c>
      <c r="FI97" s="37">
        <v>10.377717000000001</v>
      </c>
      <c r="FJ97" s="37">
        <v>10.377717000000001</v>
      </c>
      <c r="FK97" s="37">
        <v>10.377717000000001</v>
      </c>
      <c r="FL97" s="37">
        <v>10.377717000000001</v>
      </c>
      <c r="FM97" s="37">
        <v>10.377717000000001</v>
      </c>
      <c r="FN97" s="37">
        <v>10.377717000000001</v>
      </c>
      <c r="FO97" s="37">
        <v>10.377717000000001</v>
      </c>
      <c r="FP97" s="37">
        <v>10.377717000000001</v>
      </c>
      <c r="FQ97" s="37">
        <v>10.377717000000001</v>
      </c>
      <c r="FR97" s="37">
        <v>10.377717000000001</v>
      </c>
      <c r="FS97" s="37">
        <v>10.377717000000001</v>
      </c>
      <c r="FT97" s="37">
        <v>10.377717000000001</v>
      </c>
      <c r="FU97" s="37">
        <v>10.377717000000001</v>
      </c>
      <c r="FV97" s="37">
        <v>10.377717000000001</v>
      </c>
      <c r="FW97" s="37">
        <v>10.377717000000001</v>
      </c>
      <c r="FX97" s="37">
        <v>10.377717000000001</v>
      </c>
      <c r="FY97" s="37">
        <v>10.377717000000001</v>
      </c>
      <c r="FZ97" s="37">
        <v>10.377717000000001</v>
      </c>
      <c r="GA97" s="37">
        <v>10.377717000000001</v>
      </c>
      <c r="GB97" s="37">
        <v>10.377717000000001</v>
      </c>
      <c r="GC97" s="37">
        <v>10.377717000000001</v>
      </c>
      <c r="GD97" s="37">
        <v>10.377717000000001</v>
      </c>
      <c r="GE97" s="37">
        <v>10.377717000000001</v>
      </c>
      <c r="GF97" s="37">
        <v>10.377717000000001</v>
      </c>
      <c r="GG97" s="37">
        <v>10.377717000000001</v>
      </c>
      <c r="GH97" s="37">
        <v>10.377717000000001</v>
      </c>
      <c r="GI97" s="37">
        <v>10.377717000000001</v>
      </c>
      <c r="GJ97" s="37">
        <v>10.377717000000001</v>
      </c>
      <c r="GK97" s="37">
        <v>10.377717000000001</v>
      </c>
      <c r="GL97" s="37">
        <v>10.377717000000001</v>
      </c>
      <c r="GM97" s="37">
        <v>10.377717000000001</v>
      </c>
      <c r="GN97" s="37">
        <v>10.377717000000001</v>
      </c>
      <c r="GO97" s="37">
        <v>10.377717000000001</v>
      </c>
      <c r="GP97" s="37">
        <v>10.377717000000001</v>
      </c>
      <c r="GQ97" s="37">
        <v>10.377717000000001</v>
      </c>
      <c r="GR97" s="37">
        <v>10.377717000000001</v>
      </c>
      <c r="GS97" s="37">
        <v>10.377717000000001</v>
      </c>
      <c r="GT97" s="37">
        <v>10.377717000000001</v>
      </c>
      <c r="GU97" s="37">
        <v>10.377717000000001</v>
      </c>
      <c r="GV97" s="37">
        <v>10.377717000000001</v>
      </c>
      <c r="GW97" s="37">
        <v>10.377717000000001</v>
      </c>
      <c r="GX97" s="37">
        <v>10.377717000000001</v>
      </c>
      <c r="GY97" s="37">
        <v>10.377717000000001</v>
      </c>
      <c r="GZ97" s="37">
        <v>10.377717000000001</v>
      </c>
      <c r="HA97" s="37">
        <v>10.377717000000001</v>
      </c>
      <c r="HB97" s="37">
        <v>10.377717000000001</v>
      </c>
      <c r="HC97" s="37">
        <v>10.377717000000001</v>
      </c>
      <c r="HD97" s="37">
        <v>10.377717000000001</v>
      </c>
      <c r="HE97" s="37">
        <v>10.377717000000001</v>
      </c>
      <c r="HF97" s="37">
        <v>10.377717000000001</v>
      </c>
      <c r="HG97" s="37">
        <v>10.377717000000001</v>
      </c>
      <c r="HH97" s="37">
        <v>10.377717000000001</v>
      </c>
      <c r="HI97" s="37">
        <v>10.377717000000001</v>
      </c>
      <c r="HJ97" s="37">
        <v>10.377717000000001</v>
      </c>
      <c r="HK97" s="37">
        <v>10.377717000000001</v>
      </c>
      <c r="HL97" s="37">
        <v>10.377717000000001</v>
      </c>
      <c r="HM97" s="37">
        <v>10.377717000000001</v>
      </c>
      <c r="HN97" s="37">
        <v>10.377717000000001</v>
      </c>
      <c r="HO97" s="37">
        <v>10.377717000000001</v>
      </c>
      <c r="HP97" s="37">
        <v>10.377717000000001</v>
      </c>
      <c r="HQ97" s="37">
        <v>10.377717000000001</v>
      </c>
      <c r="HR97" s="37">
        <v>10.377717000000001</v>
      </c>
      <c r="HS97" s="37">
        <v>10.377717000000001</v>
      </c>
      <c r="HT97" s="37">
        <v>10.377717000000001</v>
      </c>
      <c r="HU97" s="37">
        <v>10.377717000000001</v>
      </c>
      <c r="HV97" s="37">
        <v>10.377717000000001</v>
      </c>
      <c r="HW97" s="37">
        <v>10.377717000000001</v>
      </c>
      <c r="HX97" s="37">
        <v>10.377717000000001</v>
      </c>
      <c r="HY97" s="37">
        <v>10.377717000000001</v>
      </c>
      <c r="HZ97" s="37">
        <v>10.377717000000001</v>
      </c>
      <c r="IA97" s="37">
        <v>10.377717000000001</v>
      </c>
      <c r="IB97" s="37">
        <v>10.377717000000001</v>
      </c>
      <c r="IC97" s="37">
        <v>10.377717000000001</v>
      </c>
      <c r="ID97" s="37">
        <v>10.377717000000001</v>
      </c>
      <c r="IE97" s="37">
        <v>10.377717000000001</v>
      </c>
      <c r="IF97" s="37">
        <v>10.377717000000001</v>
      </c>
      <c r="IG97" s="37">
        <v>10.377717000000001</v>
      </c>
      <c r="IH97" s="37">
        <v>10.377717000000001</v>
      </c>
      <c r="II97" s="37">
        <v>10.377717000000001</v>
      </c>
      <c r="IJ97" s="37">
        <v>10.377717000000001</v>
      </c>
      <c r="IK97" s="37">
        <v>10.377717000000001</v>
      </c>
      <c r="IL97" s="37">
        <v>10.377717000000001</v>
      </c>
      <c r="IM97" s="37">
        <v>10.377717000000001</v>
      </c>
      <c r="IN97" s="37">
        <v>10.377717000000001</v>
      </c>
      <c r="IO97" s="37">
        <v>10.377717000000001</v>
      </c>
      <c r="IP97" s="37">
        <v>10.377717000000001</v>
      </c>
      <c r="IQ97" s="37">
        <v>10.377717000000001</v>
      </c>
      <c r="IR97" s="37">
        <v>10.377717000000001</v>
      </c>
      <c r="IS97" s="37">
        <v>10.377717000000001</v>
      </c>
      <c r="IT97" s="37">
        <v>10.377717000000001</v>
      </c>
      <c r="IU97" s="37">
        <v>10.377717000000001</v>
      </c>
      <c r="IV97" s="37">
        <v>10.377717000000001</v>
      </c>
      <c r="IW97" s="37">
        <v>10.377717000000001</v>
      </c>
      <c r="IX97" s="37">
        <v>10.377717000000001</v>
      </c>
      <c r="IY97" s="37">
        <v>10.377717000000001</v>
      </c>
      <c r="IZ97" s="37">
        <v>10.377717000000001</v>
      </c>
      <c r="JA97" s="37">
        <v>10.377717000000001</v>
      </c>
      <c r="JB97" s="37">
        <v>10.377717000000001</v>
      </c>
      <c r="JC97" s="37">
        <v>10.377717000000001</v>
      </c>
      <c r="JD97" s="37">
        <v>10.377717000000001</v>
      </c>
      <c r="JE97" s="37">
        <v>10.377717000000001</v>
      </c>
      <c r="JF97" s="37">
        <v>10.377717000000001</v>
      </c>
      <c r="JG97" s="37">
        <v>10.377717000000001</v>
      </c>
      <c r="JH97" s="37">
        <v>10.377717000000001</v>
      </c>
      <c r="JI97" s="37">
        <v>10.377717000000001</v>
      </c>
      <c r="JJ97" s="37">
        <v>10.377717000000001</v>
      </c>
      <c r="JK97" s="37">
        <v>10.377717000000001</v>
      </c>
      <c r="JL97" s="37">
        <v>10.377717000000001</v>
      </c>
      <c r="JM97" s="37">
        <v>10.377717000000001</v>
      </c>
      <c r="JN97" s="37">
        <v>10.377717000000001</v>
      </c>
      <c r="JO97" s="37">
        <v>10.377717000000001</v>
      </c>
      <c r="JP97" s="37">
        <v>10.377717000000001</v>
      </c>
      <c r="JQ97" s="37">
        <v>10.377717000000001</v>
      </c>
      <c r="JR97" s="37">
        <v>10.377717000000001</v>
      </c>
      <c r="JS97" s="37">
        <v>10.377717000000001</v>
      </c>
      <c r="JT97" s="37">
        <v>10.377717000000001</v>
      </c>
      <c r="JU97" s="37">
        <v>10.377717000000001</v>
      </c>
      <c r="JV97" s="37">
        <v>10.377717000000001</v>
      </c>
      <c r="JW97" s="37">
        <v>10.377717000000001</v>
      </c>
      <c r="JX97" s="37">
        <v>10.377717000000001</v>
      </c>
      <c r="JY97" s="37">
        <v>10.377717000000001</v>
      </c>
      <c r="JZ97" s="37">
        <v>10.377717000000001</v>
      </c>
      <c r="KA97" s="37">
        <v>10.377717000000001</v>
      </c>
      <c r="KB97" s="37">
        <v>10.377717000000001</v>
      </c>
      <c r="KC97" s="37">
        <v>10.377717000000001</v>
      </c>
      <c r="KD97" s="37">
        <v>10.377717000000001</v>
      </c>
      <c r="KE97" s="37">
        <v>10.377717000000001</v>
      </c>
      <c r="KF97" s="37">
        <v>10.377717000000001</v>
      </c>
      <c r="KG97" s="37">
        <v>10.377717000000001</v>
      </c>
      <c r="KH97" s="37">
        <v>10.377717000000001</v>
      </c>
      <c r="KI97" s="37">
        <v>10.377717000000001</v>
      </c>
      <c r="KJ97" s="37">
        <v>10.377717000000001</v>
      </c>
      <c r="KK97" s="37">
        <v>10.377717000000001</v>
      </c>
      <c r="KL97" s="37">
        <v>10.377717000000001</v>
      </c>
      <c r="KM97" s="37">
        <v>10.377717000000001</v>
      </c>
      <c r="KN97" s="37">
        <v>10.377717000000001</v>
      </c>
      <c r="KO97" s="37">
        <v>10.377717000000001</v>
      </c>
      <c r="KP97" s="37">
        <v>10.377717000000001</v>
      </c>
      <c r="KQ97" s="37">
        <v>10.377717000000001</v>
      </c>
      <c r="KR97" s="37">
        <v>10.377717000000001</v>
      </c>
      <c r="KS97" s="37">
        <v>10.377717000000001</v>
      </c>
      <c r="KT97" s="37">
        <v>10.377717000000001</v>
      </c>
      <c r="KU97" s="37">
        <v>10.377717000000001</v>
      </c>
      <c r="KV97" s="37">
        <v>10.377717000000001</v>
      </c>
      <c r="KW97" s="37">
        <v>10.377717000000001</v>
      </c>
      <c r="KX97" s="37">
        <v>10.377717000000001</v>
      </c>
      <c r="KY97" s="37">
        <v>10.377717000000001</v>
      </c>
      <c r="KZ97" s="37">
        <v>10.377717000000001</v>
      </c>
      <c r="LA97" s="37">
        <v>10.377717000000001</v>
      </c>
      <c r="LB97" s="37">
        <v>10.377717000000001</v>
      </c>
      <c r="LC97" s="37">
        <v>10.377717000000001</v>
      </c>
      <c r="LD97" s="37">
        <v>10.377717000000001</v>
      </c>
      <c r="LE97" s="37">
        <v>10.377717000000001</v>
      </c>
      <c r="LF97" s="37">
        <v>10.377717000000001</v>
      </c>
      <c r="LG97" s="37">
        <v>10.377717000000001</v>
      </c>
      <c r="LH97" s="37">
        <v>10.377717000000001</v>
      </c>
      <c r="LI97" s="37">
        <v>10.377717000000001</v>
      </c>
      <c r="LJ97" s="37">
        <v>10.377717000000001</v>
      </c>
      <c r="LK97" s="37">
        <v>10.377717000000001</v>
      </c>
      <c r="LL97" s="37">
        <v>10.377717000000001</v>
      </c>
      <c r="LM97" s="37">
        <v>10.377717000000001</v>
      </c>
      <c r="LN97" s="37">
        <v>10.377717000000001</v>
      </c>
      <c r="LO97" s="37">
        <v>10.377717000000001</v>
      </c>
      <c r="LP97" s="37">
        <v>10.377717000000001</v>
      </c>
      <c r="LQ97" s="37">
        <v>10.377717000000001</v>
      </c>
      <c r="LR97" s="37">
        <v>10.377717000000001</v>
      </c>
      <c r="LS97" s="37">
        <v>10.377717000000001</v>
      </c>
      <c r="LT97" s="37">
        <v>10.377717000000001</v>
      </c>
      <c r="LU97" s="37">
        <v>10.377717000000001</v>
      </c>
      <c r="LV97" s="37">
        <v>10.377717000000001</v>
      </c>
      <c r="LW97" s="37">
        <v>10.377717000000001</v>
      </c>
      <c r="LX97" s="37">
        <v>10.377717000000001</v>
      </c>
      <c r="LY97" s="37">
        <v>10.377717000000001</v>
      </c>
      <c r="LZ97" s="37">
        <v>10.377717000000001</v>
      </c>
      <c r="MA97" s="37">
        <v>10.377717000000001</v>
      </c>
      <c r="MB97" s="37">
        <v>10.377717000000001</v>
      </c>
      <c r="MC97" s="37">
        <v>10.377717000000001</v>
      </c>
      <c r="MD97" s="37">
        <v>10.377717000000001</v>
      </c>
      <c r="ME97" s="37">
        <v>10.377717000000001</v>
      </c>
      <c r="MF97" s="37">
        <v>10.377717000000001</v>
      </c>
      <c r="MG97" s="37">
        <v>10.377717000000001</v>
      </c>
      <c r="MH97" s="37">
        <v>10.377717000000001</v>
      </c>
      <c r="MI97" s="37">
        <v>10.377717000000001</v>
      </c>
      <c r="MJ97" s="37">
        <v>10.377717000000001</v>
      </c>
      <c r="MK97" s="37">
        <v>10.377717000000001</v>
      </c>
      <c r="ML97" s="37">
        <v>10.377717000000001</v>
      </c>
      <c r="MM97" s="37">
        <v>10.377717000000001</v>
      </c>
      <c r="MN97" s="37">
        <v>10.377717000000001</v>
      </c>
      <c r="MO97" s="37">
        <v>10.377717000000001</v>
      </c>
      <c r="MP97" s="37">
        <v>10.377717000000001</v>
      </c>
      <c r="MQ97" s="37">
        <v>10.377717000000001</v>
      </c>
      <c r="MR97" s="37">
        <v>10.377717000000001</v>
      </c>
      <c r="MS97" s="37">
        <v>10.377717000000001</v>
      </c>
      <c r="MT97" s="37">
        <v>10.377717000000001</v>
      </c>
      <c r="MU97" s="37">
        <v>10.377717000000001</v>
      </c>
      <c r="MV97" s="37">
        <v>10.377717000000001</v>
      </c>
      <c r="MW97" s="37">
        <v>10.377717000000001</v>
      </c>
      <c r="MX97" s="37">
        <v>10.377717000000001</v>
      </c>
      <c r="MY97" s="37">
        <v>10.377717000000001</v>
      </c>
      <c r="MZ97" s="37">
        <v>10.377717000000001</v>
      </c>
      <c r="NA97" s="37">
        <v>10.377717000000001</v>
      </c>
      <c r="NB97" s="37">
        <v>10.377717000000001</v>
      </c>
      <c r="NC97" s="37">
        <v>10.377717000000001</v>
      </c>
      <c r="ND97" s="37">
        <v>10.377717000000001</v>
      </c>
      <c r="NE97" s="37">
        <v>10.377717000000001</v>
      </c>
      <c r="NF97" s="37">
        <v>10.377717000000001</v>
      </c>
      <c r="NG97" s="37">
        <v>10.377717000000001</v>
      </c>
      <c r="NH97" s="37">
        <v>10.377717000000001</v>
      </c>
      <c r="NI97" s="37">
        <v>10.377717000000001</v>
      </c>
      <c r="NJ97" s="37">
        <v>10.377717000000001</v>
      </c>
      <c r="NK97" s="37">
        <v>10.377717000000001</v>
      </c>
      <c r="NL97" s="37">
        <v>10.377717000000001</v>
      </c>
      <c r="NM97" s="37">
        <v>10.377717000000001</v>
      </c>
      <c r="NN97" s="37">
        <v>10.377717000000001</v>
      </c>
      <c r="NO97" s="37">
        <v>10.377717000000001</v>
      </c>
      <c r="NP97" s="37">
        <v>10.377717000000001</v>
      </c>
      <c r="NQ97" s="37">
        <v>10.377717000000001</v>
      </c>
      <c r="NR97" s="37">
        <v>10.377717000000001</v>
      </c>
      <c r="NS97" s="37">
        <v>10.377717000000001</v>
      </c>
      <c r="NT97" s="37">
        <v>10.377717000000001</v>
      </c>
      <c r="NU97" s="37">
        <v>10.377717000000001</v>
      </c>
      <c r="NV97" s="37">
        <v>10.377717000000001</v>
      </c>
      <c r="NW97" s="37">
        <v>10.377717000000001</v>
      </c>
      <c r="NX97" s="37">
        <v>10.377717000000001</v>
      </c>
      <c r="NY97" s="37">
        <v>10.377717000000001</v>
      </c>
      <c r="NZ97" s="37">
        <v>10.377717000000001</v>
      </c>
      <c r="OA97" s="37">
        <v>10.377717000000001</v>
      </c>
      <c r="OB97" s="37">
        <v>10.377717000000001</v>
      </c>
      <c r="OC97" s="37">
        <v>10.377717000000001</v>
      </c>
      <c r="OD97" s="37">
        <v>10.377717000000001</v>
      </c>
      <c r="OE97" s="37">
        <v>10.377717000000001</v>
      </c>
      <c r="OF97" s="37">
        <v>10.377717000000001</v>
      </c>
      <c r="OG97" s="37">
        <v>10.377717000000001</v>
      </c>
      <c r="OH97" s="37">
        <v>10.377717000000001</v>
      </c>
      <c r="OI97" s="37">
        <v>10.377717000000001</v>
      </c>
      <c r="OJ97" s="37">
        <v>10.377717000000001</v>
      </c>
      <c r="OK97" s="37">
        <v>10.377717000000001</v>
      </c>
      <c r="OL97" s="37">
        <v>10.377717000000001</v>
      </c>
      <c r="OM97" s="37">
        <v>10.377717000000001</v>
      </c>
      <c r="ON97" s="37">
        <v>10.377717000000001</v>
      </c>
      <c r="OO97" s="37">
        <v>10.377717000000001</v>
      </c>
      <c r="OP97" s="37">
        <v>10.377717000000001</v>
      </c>
      <c r="OQ97" s="37">
        <v>10.377717000000001</v>
      </c>
      <c r="OR97" s="37">
        <v>10.377717000000001</v>
      </c>
      <c r="OS97" s="37">
        <v>10.377717000000001</v>
      </c>
      <c r="OT97" s="37">
        <v>10.377717000000001</v>
      </c>
      <c r="OU97" s="37">
        <v>10.377717000000001</v>
      </c>
      <c r="OV97" s="37">
        <v>10.377717000000001</v>
      </c>
      <c r="OW97" s="37">
        <v>10.377717000000001</v>
      </c>
      <c r="OX97" s="37">
        <v>10.377717000000001</v>
      </c>
      <c r="OY97" s="37">
        <v>10.377717000000001</v>
      </c>
      <c r="OZ97" s="37">
        <v>10.377717000000001</v>
      </c>
      <c r="PA97" s="37">
        <v>10.377717000000001</v>
      </c>
      <c r="PB97" s="37">
        <v>10.377717000000001</v>
      </c>
      <c r="PC97" s="37">
        <v>10.377717000000001</v>
      </c>
      <c r="PD97" s="37">
        <v>10.377717000000001</v>
      </c>
      <c r="PE97" s="37">
        <v>10.377717000000001</v>
      </c>
      <c r="PF97" s="37">
        <v>10.377717000000001</v>
      </c>
      <c r="PG97" s="37">
        <v>10.377717000000001</v>
      </c>
      <c r="PH97" s="37">
        <v>10.377717000000001</v>
      </c>
      <c r="PI97" s="37">
        <v>10.377717000000001</v>
      </c>
      <c r="PJ97" s="37">
        <v>10.377717000000001</v>
      </c>
      <c r="PK97" s="37">
        <v>10.377717000000001</v>
      </c>
      <c r="PL97" s="37">
        <v>10.377717000000001</v>
      </c>
      <c r="PM97" s="37">
        <v>10.377717000000001</v>
      </c>
      <c r="PN97" s="37">
        <v>10.377717000000001</v>
      </c>
      <c r="PO97" s="37">
        <v>10.377717000000001</v>
      </c>
      <c r="PP97" s="37">
        <v>10.377717000000001</v>
      </c>
      <c r="PQ97" s="37">
        <v>10.377717000000001</v>
      </c>
      <c r="PR97" s="37">
        <v>10.377717000000001</v>
      </c>
      <c r="PS97" s="15">
        <v>10.377717000000001</v>
      </c>
      <c r="PT97" s="15">
        <v>10.377717000000001</v>
      </c>
      <c r="PU97" s="15">
        <v>10.377717000000001</v>
      </c>
      <c r="PV97" s="15">
        <v>10.377717000000001</v>
      </c>
      <c r="PW97" s="15">
        <v>10.377717000000001</v>
      </c>
      <c r="PX97" s="15">
        <v>10.377717000000001</v>
      </c>
      <c r="PY97" s="15">
        <v>10.377717000000001</v>
      </c>
      <c r="PZ97" s="15">
        <v>10.377717000000001</v>
      </c>
      <c r="QA97" s="15">
        <v>10.377717000000001</v>
      </c>
      <c r="QB97" s="15">
        <v>10.377717000000001</v>
      </c>
      <c r="QC97" s="15">
        <v>10.377717000000001</v>
      </c>
      <c r="QD97" s="15">
        <v>10.377717000000001</v>
      </c>
      <c r="QE97" s="15">
        <v>10.377717000000001</v>
      </c>
      <c r="QF97" s="15">
        <v>10.377717000000001</v>
      </c>
      <c r="QG97" s="15">
        <v>10.377717000000001</v>
      </c>
      <c r="QH97" s="15">
        <v>10.377717000000001</v>
      </c>
      <c r="QI97" s="15">
        <v>10.377717000000001</v>
      </c>
      <c r="QJ97" s="15">
        <v>10.377717000000001</v>
      </c>
      <c r="QK97" s="15">
        <v>10.377717000000001</v>
      </c>
      <c r="QL97" s="15">
        <v>10.377717000000001</v>
      </c>
      <c r="QM97" s="15">
        <v>10.377717000000001</v>
      </c>
      <c r="QN97" s="15">
        <v>10.377717000000001</v>
      </c>
      <c r="QO97" s="15">
        <v>10.377717000000001</v>
      </c>
      <c r="QP97" s="15">
        <v>10.377717000000001</v>
      </c>
      <c r="QQ97" s="15">
        <v>10.377717000000001</v>
      </c>
      <c r="QR97" s="15">
        <v>10.377717000000001</v>
      </c>
      <c r="QS97" s="15">
        <v>10.377717000000001</v>
      </c>
      <c r="QT97" s="15">
        <v>10.377717000000001</v>
      </c>
      <c r="QU97" s="15">
        <v>10.377717000000001</v>
      </c>
      <c r="QV97" s="15">
        <v>10.377717000000001</v>
      </c>
      <c r="QW97" s="15">
        <v>10.377717000000001</v>
      </c>
      <c r="QX97" s="15">
        <v>10.377717000000001</v>
      </c>
      <c r="QY97" s="15">
        <v>10.377717000000001</v>
      </c>
      <c r="QZ97" s="15">
        <v>10.377717000000001</v>
      </c>
      <c r="RA97" s="15">
        <v>10.377717000000001</v>
      </c>
      <c r="RB97" s="15">
        <v>10.377717000000001</v>
      </c>
      <c r="RC97" s="15">
        <v>10.377717000000001</v>
      </c>
      <c r="RD97" s="15">
        <v>10.377717000000001</v>
      </c>
      <c r="RE97" s="15">
        <v>10.377717000000001</v>
      </c>
      <c r="RF97" s="15">
        <v>10.377717000000001</v>
      </c>
      <c r="RG97" s="15">
        <v>10.377717000000001</v>
      </c>
      <c r="RH97" s="15">
        <v>10.377717000000001</v>
      </c>
      <c r="RI97" s="15">
        <v>10.377717000000001</v>
      </c>
      <c r="RJ97" s="15">
        <v>10.377717000000001</v>
      </c>
      <c r="RK97" s="15">
        <v>10.377717000000001</v>
      </c>
      <c r="RL97" s="15">
        <v>10.377717000000001</v>
      </c>
      <c r="RM97" s="15">
        <v>10.377717000000001</v>
      </c>
      <c r="RN97" s="15">
        <v>10.377717000000001</v>
      </c>
      <c r="RO97" s="15">
        <v>10.377717000000001</v>
      </c>
      <c r="RP97" s="15">
        <v>10.377717000000001</v>
      </c>
      <c r="RQ97" s="15">
        <v>10.377717000000001</v>
      </c>
      <c r="RR97" s="15">
        <v>10.377717000000001</v>
      </c>
      <c r="RS97" s="15">
        <v>10.377717000000001</v>
      </c>
      <c r="RT97" s="15">
        <v>10.377717000000001</v>
      </c>
      <c r="RU97" s="15">
        <v>10.377717000000001</v>
      </c>
      <c r="RV97" s="15">
        <v>10.377717000000001</v>
      </c>
      <c r="RW97" s="15">
        <v>10.377717000000001</v>
      </c>
      <c r="RX97" s="15">
        <v>10.377717000000001</v>
      </c>
      <c r="RY97" s="15">
        <v>10.377717000000001</v>
      </c>
      <c r="RZ97" s="15">
        <v>10.377717000000001</v>
      </c>
      <c r="SA97" s="15">
        <v>10.377717000000001</v>
      </c>
      <c r="SB97" s="15">
        <v>10.377717000000001</v>
      </c>
      <c r="SC97" s="15">
        <v>10.377717000000001</v>
      </c>
      <c r="SD97" s="15">
        <v>10.377717000000001</v>
      </c>
      <c r="SE97" s="15">
        <v>10.377717000000001</v>
      </c>
      <c r="SF97" s="15">
        <v>10.377717000000001</v>
      </c>
      <c r="SG97" s="15">
        <v>10.377717000000001</v>
      </c>
      <c r="SH97" s="15">
        <v>10.377717000000001</v>
      </c>
      <c r="SI97" s="15">
        <v>10.377717000000001</v>
      </c>
      <c r="SJ97" s="15">
        <v>10.377717000000001</v>
      </c>
      <c r="SK97" s="15">
        <v>10.377717000000001</v>
      </c>
      <c r="SL97" s="15">
        <v>10.377717000000001</v>
      </c>
      <c r="SM97" s="15">
        <v>10.377717000000001</v>
      </c>
      <c r="SN97" s="15">
        <v>10.377717000000001</v>
      </c>
      <c r="SO97" s="15">
        <v>10.377717000000001</v>
      </c>
      <c r="SP97" s="15">
        <v>11.946681999999999</v>
      </c>
    </row>
    <row r="98" spans="1:510" x14ac:dyDescent="0.2">
      <c r="A98" s="37">
        <v>96</v>
      </c>
      <c r="B98" s="37" t="s">
        <v>951</v>
      </c>
      <c r="C98" s="17">
        <f>+'Detalle Compras'!D98</f>
        <v>202511280151</v>
      </c>
      <c r="D98" s="55">
        <f t="shared" si="16"/>
        <v>12.93225</v>
      </c>
      <c r="E98" s="14">
        <f>+IF(B98="","",'Detalle Compras'!S98+0)</f>
        <v>46032</v>
      </c>
      <c r="F98" s="14">
        <f>+IF(B98="","",EOMONTH('Detalle Compras'!S98,G98)+10)</f>
        <v>57020</v>
      </c>
      <c r="G98" s="50">
        <f t="shared" si="17"/>
        <v>360</v>
      </c>
      <c r="H98" s="50">
        <f t="shared" si="18"/>
        <v>359</v>
      </c>
      <c r="AE98" s="37">
        <v>12.93225</v>
      </c>
      <c r="AF98" s="37">
        <v>12.93225</v>
      </c>
      <c r="AG98" s="37">
        <v>12.93225</v>
      </c>
      <c r="AH98" s="37">
        <v>12.93225</v>
      </c>
      <c r="AI98" s="37">
        <v>12.93225</v>
      </c>
      <c r="AJ98" s="37">
        <v>12.93225</v>
      </c>
      <c r="AK98" s="37">
        <v>12.93225</v>
      </c>
      <c r="AL98" s="37">
        <v>12.93225</v>
      </c>
      <c r="AM98" s="37">
        <v>12.93225</v>
      </c>
      <c r="AN98" s="37">
        <v>12.93225</v>
      </c>
      <c r="AO98" s="37">
        <v>12.93225</v>
      </c>
      <c r="AP98" s="37">
        <v>12.93225</v>
      </c>
      <c r="AQ98" s="37">
        <v>12.93225</v>
      </c>
      <c r="AR98" s="37">
        <v>12.93225</v>
      </c>
      <c r="AS98" s="37">
        <v>12.93225</v>
      </c>
      <c r="AT98" s="37">
        <v>12.93225</v>
      </c>
      <c r="AU98" s="37">
        <v>12.93225</v>
      </c>
      <c r="AV98" s="37">
        <v>12.93225</v>
      </c>
      <c r="AW98" s="37">
        <v>12.93225</v>
      </c>
      <c r="AX98" s="37">
        <v>12.93225</v>
      </c>
      <c r="AY98" s="37">
        <v>12.93225</v>
      </c>
      <c r="AZ98" s="37">
        <v>12.93225</v>
      </c>
      <c r="BA98" s="37">
        <v>12.93225</v>
      </c>
      <c r="BB98" s="37">
        <v>12.93225</v>
      </c>
      <c r="BC98" s="37">
        <v>12.93225</v>
      </c>
      <c r="BD98" s="37">
        <v>12.93225</v>
      </c>
      <c r="BE98" s="37">
        <v>12.93225</v>
      </c>
      <c r="BF98" s="37">
        <v>12.93225</v>
      </c>
      <c r="BG98" s="37">
        <v>12.93225</v>
      </c>
      <c r="BH98" s="37">
        <v>12.93225</v>
      </c>
      <c r="BI98" s="37">
        <v>12.93225</v>
      </c>
      <c r="BJ98" s="37">
        <v>12.93225</v>
      </c>
      <c r="BK98" s="37">
        <v>12.93225</v>
      </c>
      <c r="BL98" s="37">
        <v>12.93225</v>
      </c>
      <c r="BM98" s="37">
        <v>12.93225</v>
      </c>
      <c r="BN98" s="37">
        <v>12.93225</v>
      </c>
      <c r="BO98" s="37">
        <v>12.93225</v>
      </c>
      <c r="BP98" s="37">
        <v>12.93225</v>
      </c>
      <c r="BQ98" s="37">
        <v>12.93225</v>
      </c>
      <c r="BR98" s="37">
        <v>12.93225</v>
      </c>
      <c r="BS98" s="37">
        <v>12.93225</v>
      </c>
      <c r="BT98" s="37">
        <v>12.93225</v>
      </c>
      <c r="BU98" s="37">
        <v>12.93225</v>
      </c>
      <c r="BV98" s="37">
        <v>12.93225</v>
      </c>
      <c r="BW98" s="37">
        <v>12.93225</v>
      </c>
      <c r="BX98" s="37">
        <v>12.93225</v>
      </c>
      <c r="BY98" s="37">
        <v>12.93225</v>
      </c>
      <c r="BZ98" s="37">
        <v>12.93225</v>
      </c>
      <c r="CA98" s="37">
        <v>12.93225</v>
      </c>
      <c r="CB98" s="37">
        <v>12.93225</v>
      </c>
      <c r="CC98" s="37">
        <v>12.93225</v>
      </c>
      <c r="CD98" s="37">
        <v>12.93225</v>
      </c>
      <c r="CE98" s="37">
        <v>12.93225</v>
      </c>
      <c r="CF98" s="37">
        <v>12.93225</v>
      </c>
      <c r="CG98" s="37">
        <v>12.93225</v>
      </c>
      <c r="CH98" s="37">
        <v>12.93225</v>
      </c>
      <c r="CI98" s="37">
        <v>12.93225</v>
      </c>
      <c r="CJ98" s="37">
        <v>12.93225</v>
      </c>
      <c r="CK98" s="37">
        <v>12.93225</v>
      </c>
      <c r="CL98" s="37">
        <v>12.93225</v>
      </c>
      <c r="CM98" s="37">
        <v>12.93225</v>
      </c>
      <c r="CN98" s="37">
        <v>12.93225</v>
      </c>
      <c r="CO98" s="37">
        <v>12.93225</v>
      </c>
      <c r="CP98" s="37">
        <v>12.93225</v>
      </c>
      <c r="CQ98" s="37">
        <v>12.93225</v>
      </c>
      <c r="CR98" s="37">
        <v>12.93225</v>
      </c>
      <c r="CS98" s="37">
        <v>12.93225</v>
      </c>
      <c r="CT98" s="37">
        <v>12.93225</v>
      </c>
      <c r="CU98" s="37">
        <v>12.93225</v>
      </c>
      <c r="CV98" s="37">
        <v>12.93225</v>
      </c>
      <c r="CW98" s="37">
        <v>12.93225</v>
      </c>
      <c r="CX98" s="37">
        <v>12.93225</v>
      </c>
      <c r="CY98" s="37">
        <v>12.93225</v>
      </c>
      <c r="CZ98" s="37">
        <v>12.93225</v>
      </c>
      <c r="DA98" s="37">
        <v>12.93225</v>
      </c>
      <c r="DB98" s="37">
        <v>12.93225</v>
      </c>
      <c r="DC98" s="37">
        <v>12.93225</v>
      </c>
      <c r="DD98" s="37">
        <v>12.93225</v>
      </c>
      <c r="DE98" s="37">
        <v>12.93225</v>
      </c>
      <c r="DF98" s="37">
        <v>12.93225</v>
      </c>
      <c r="DG98" s="37">
        <v>12.93225</v>
      </c>
      <c r="DH98" s="37">
        <v>12.93225</v>
      </c>
      <c r="DI98" s="37">
        <v>12.93225</v>
      </c>
      <c r="DJ98" s="37">
        <v>12.93225</v>
      </c>
      <c r="DK98" s="37">
        <v>12.93225</v>
      </c>
      <c r="DL98" s="37">
        <v>12.93225</v>
      </c>
      <c r="DM98" s="37">
        <v>12.93225</v>
      </c>
      <c r="DN98" s="37">
        <v>12.93225</v>
      </c>
      <c r="DO98" s="37">
        <v>12.93225</v>
      </c>
      <c r="DP98" s="37">
        <v>12.93225</v>
      </c>
      <c r="DQ98" s="37">
        <v>12.93225</v>
      </c>
      <c r="DR98" s="37">
        <v>12.93225</v>
      </c>
      <c r="DS98" s="37">
        <v>12.93225</v>
      </c>
      <c r="DT98" s="37">
        <v>12.93225</v>
      </c>
      <c r="DU98" s="37">
        <v>12.93225</v>
      </c>
      <c r="DV98" s="37">
        <v>12.93225</v>
      </c>
      <c r="DW98" s="37">
        <v>12.93225</v>
      </c>
      <c r="DX98" s="37">
        <v>12.93225</v>
      </c>
      <c r="DY98" s="37">
        <v>12.93225</v>
      </c>
      <c r="DZ98" s="37">
        <v>12.93225</v>
      </c>
      <c r="EA98" s="37">
        <v>12.93225</v>
      </c>
      <c r="EB98" s="37">
        <v>12.93225</v>
      </c>
      <c r="EC98" s="37">
        <v>12.93225</v>
      </c>
      <c r="ED98" s="37">
        <v>12.93225</v>
      </c>
      <c r="EE98" s="37">
        <v>12.93225</v>
      </c>
      <c r="EF98" s="37">
        <v>12.93225</v>
      </c>
      <c r="EG98" s="37">
        <v>12.93225</v>
      </c>
      <c r="EH98" s="37">
        <v>12.93225</v>
      </c>
      <c r="EI98" s="37">
        <v>12.93225</v>
      </c>
      <c r="EJ98" s="37">
        <v>12.93225</v>
      </c>
      <c r="EK98" s="37">
        <v>12.93225</v>
      </c>
      <c r="EL98" s="37">
        <v>12.93225</v>
      </c>
      <c r="EM98" s="37">
        <v>12.93225</v>
      </c>
      <c r="EN98" s="37">
        <v>12.93225</v>
      </c>
      <c r="EO98" s="37">
        <v>12.93225</v>
      </c>
      <c r="EP98" s="37">
        <v>12.93225</v>
      </c>
      <c r="EQ98" s="37">
        <v>12.93225</v>
      </c>
      <c r="ER98" s="37">
        <v>12.93225</v>
      </c>
      <c r="ES98" s="37">
        <v>12.93225</v>
      </c>
      <c r="ET98" s="37">
        <v>12.93225</v>
      </c>
      <c r="EU98" s="37">
        <v>12.93225</v>
      </c>
      <c r="EV98" s="37">
        <v>12.93225</v>
      </c>
      <c r="EW98" s="37">
        <v>12.93225</v>
      </c>
      <c r="EX98" s="37">
        <v>12.93225</v>
      </c>
      <c r="EY98" s="37">
        <v>12.93225</v>
      </c>
      <c r="EZ98" s="37">
        <v>12.93225</v>
      </c>
      <c r="FA98" s="37">
        <v>12.93225</v>
      </c>
      <c r="FB98" s="37">
        <v>12.93225</v>
      </c>
      <c r="FC98" s="37">
        <v>12.93225</v>
      </c>
      <c r="FD98" s="37">
        <v>12.93225</v>
      </c>
      <c r="FE98" s="37">
        <v>12.93225</v>
      </c>
      <c r="FF98" s="37">
        <v>12.93225</v>
      </c>
      <c r="FG98" s="37">
        <v>12.93225</v>
      </c>
      <c r="FH98" s="37">
        <v>12.93225</v>
      </c>
      <c r="FI98" s="37">
        <v>12.93225</v>
      </c>
      <c r="FJ98" s="37">
        <v>12.93225</v>
      </c>
      <c r="FK98" s="37">
        <v>12.93225</v>
      </c>
      <c r="FL98" s="37">
        <v>12.93225</v>
      </c>
      <c r="FM98" s="37">
        <v>12.93225</v>
      </c>
      <c r="FN98" s="37">
        <v>12.93225</v>
      </c>
      <c r="FO98" s="37">
        <v>12.93225</v>
      </c>
      <c r="FP98" s="37">
        <v>12.93225</v>
      </c>
      <c r="FQ98" s="37">
        <v>12.93225</v>
      </c>
      <c r="FR98" s="37">
        <v>12.93225</v>
      </c>
      <c r="FS98" s="37">
        <v>12.93225</v>
      </c>
      <c r="FT98" s="37">
        <v>12.93225</v>
      </c>
      <c r="FU98" s="37">
        <v>12.93225</v>
      </c>
      <c r="FV98" s="37">
        <v>12.93225</v>
      </c>
      <c r="FW98" s="37">
        <v>12.93225</v>
      </c>
      <c r="FX98" s="37">
        <v>12.93225</v>
      </c>
      <c r="FY98" s="37">
        <v>12.93225</v>
      </c>
      <c r="FZ98" s="37">
        <v>12.93225</v>
      </c>
      <c r="GA98" s="37">
        <v>12.93225</v>
      </c>
      <c r="GB98" s="37">
        <v>12.93225</v>
      </c>
      <c r="GC98" s="37">
        <v>12.93225</v>
      </c>
      <c r="GD98" s="37">
        <v>12.93225</v>
      </c>
      <c r="GE98" s="37">
        <v>12.93225</v>
      </c>
      <c r="GF98" s="37">
        <v>12.93225</v>
      </c>
      <c r="GG98" s="37">
        <v>12.93225</v>
      </c>
      <c r="GH98" s="37">
        <v>12.93225</v>
      </c>
      <c r="GI98" s="37">
        <v>12.93225</v>
      </c>
      <c r="GJ98" s="37">
        <v>12.93225</v>
      </c>
      <c r="GK98" s="37">
        <v>12.93225</v>
      </c>
      <c r="GL98" s="37">
        <v>12.93225</v>
      </c>
      <c r="GM98" s="37">
        <v>12.93225</v>
      </c>
      <c r="GN98" s="37">
        <v>12.93225</v>
      </c>
      <c r="GO98" s="37">
        <v>12.93225</v>
      </c>
      <c r="GP98" s="37">
        <v>12.93225</v>
      </c>
      <c r="GQ98" s="37">
        <v>12.93225</v>
      </c>
      <c r="GR98" s="37">
        <v>12.93225</v>
      </c>
      <c r="GS98" s="37">
        <v>12.93225</v>
      </c>
      <c r="GT98" s="37">
        <v>12.93225</v>
      </c>
      <c r="GU98" s="37">
        <v>12.93225</v>
      </c>
      <c r="GV98" s="37">
        <v>12.93225</v>
      </c>
      <c r="GW98" s="37">
        <v>12.93225</v>
      </c>
      <c r="GX98" s="37">
        <v>12.93225</v>
      </c>
      <c r="GY98" s="37">
        <v>12.93225</v>
      </c>
      <c r="GZ98" s="37">
        <v>12.93225</v>
      </c>
      <c r="HA98" s="37">
        <v>12.93225</v>
      </c>
      <c r="HB98" s="37">
        <v>12.93225</v>
      </c>
      <c r="HC98" s="37">
        <v>12.93225</v>
      </c>
      <c r="HD98" s="37">
        <v>12.93225</v>
      </c>
      <c r="HE98" s="37">
        <v>12.93225</v>
      </c>
      <c r="HF98" s="37">
        <v>12.93225</v>
      </c>
      <c r="HG98" s="37">
        <v>12.93225</v>
      </c>
      <c r="HH98" s="37">
        <v>12.93225</v>
      </c>
      <c r="HI98" s="37">
        <v>12.93225</v>
      </c>
      <c r="HJ98" s="37">
        <v>12.93225</v>
      </c>
      <c r="HK98" s="37">
        <v>12.93225</v>
      </c>
      <c r="HL98" s="37">
        <v>12.93225</v>
      </c>
      <c r="HM98" s="37">
        <v>12.93225</v>
      </c>
      <c r="HN98" s="37">
        <v>12.93225</v>
      </c>
      <c r="HO98" s="37">
        <v>12.93225</v>
      </c>
      <c r="HP98" s="37">
        <v>12.93225</v>
      </c>
      <c r="HQ98" s="37">
        <v>12.93225</v>
      </c>
      <c r="HR98" s="37">
        <v>12.93225</v>
      </c>
      <c r="HS98" s="37">
        <v>12.93225</v>
      </c>
      <c r="HT98" s="37">
        <v>12.93225</v>
      </c>
      <c r="HU98" s="37">
        <v>12.93225</v>
      </c>
      <c r="HV98" s="37">
        <v>12.93225</v>
      </c>
      <c r="HW98" s="37">
        <v>12.93225</v>
      </c>
      <c r="HX98" s="37">
        <v>12.93225</v>
      </c>
      <c r="HY98" s="37">
        <v>12.93225</v>
      </c>
      <c r="HZ98" s="37">
        <v>12.93225</v>
      </c>
      <c r="IA98" s="37">
        <v>12.93225</v>
      </c>
      <c r="IB98" s="37">
        <v>12.93225</v>
      </c>
      <c r="IC98" s="37">
        <v>12.93225</v>
      </c>
      <c r="ID98" s="37">
        <v>12.93225</v>
      </c>
      <c r="IE98" s="37">
        <v>12.93225</v>
      </c>
      <c r="IF98" s="37">
        <v>12.93225</v>
      </c>
      <c r="IG98" s="37">
        <v>12.93225</v>
      </c>
      <c r="IH98" s="37">
        <v>12.93225</v>
      </c>
      <c r="II98" s="37">
        <v>12.93225</v>
      </c>
      <c r="IJ98" s="37">
        <v>12.93225</v>
      </c>
      <c r="IK98" s="37">
        <v>12.93225</v>
      </c>
      <c r="IL98" s="37">
        <v>12.93225</v>
      </c>
      <c r="IM98" s="37">
        <v>12.93225</v>
      </c>
      <c r="IN98" s="37">
        <v>12.93225</v>
      </c>
      <c r="IO98" s="37">
        <v>12.93225</v>
      </c>
      <c r="IP98" s="37">
        <v>12.93225</v>
      </c>
      <c r="IQ98" s="37">
        <v>12.93225</v>
      </c>
      <c r="IR98" s="37">
        <v>12.93225</v>
      </c>
      <c r="IS98" s="37">
        <v>12.93225</v>
      </c>
      <c r="IT98" s="37">
        <v>12.93225</v>
      </c>
      <c r="IU98" s="37">
        <v>12.93225</v>
      </c>
      <c r="IV98" s="37">
        <v>12.93225</v>
      </c>
      <c r="IW98" s="37">
        <v>12.93225</v>
      </c>
      <c r="IX98" s="37">
        <v>12.93225</v>
      </c>
      <c r="IY98" s="37">
        <v>12.93225</v>
      </c>
      <c r="IZ98" s="37">
        <v>12.93225</v>
      </c>
      <c r="JA98" s="37">
        <v>12.93225</v>
      </c>
      <c r="JB98" s="37">
        <v>12.93225</v>
      </c>
      <c r="JC98" s="37">
        <v>12.93225</v>
      </c>
      <c r="JD98" s="37">
        <v>12.93225</v>
      </c>
      <c r="JE98" s="37">
        <v>12.93225</v>
      </c>
      <c r="JF98" s="37">
        <v>12.93225</v>
      </c>
      <c r="JG98" s="37">
        <v>12.93225</v>
      </c>
      <c r="JH98" s="37">
        <v>12.93225</v>
      </c>
      <c r="JI98" s="37">
        <v>12.93225</v>
      </c>
      <c r="JJ98" s="37">
        <v>12.93225</v>
      </c>
      <c r="JK98" s="37">
        <v>12.93225</v>
      </c>
      <c r="JL98" s="37">
        <v>12.93225</v>
      </c>
      <c r="JM98" s="37">
        <v>12.93225</v>
      </c>
      <c r="JN98" s="37">
        <v>12.93225</v>
      </c>
      <c r="JO98" s="37">
        <v>12.93225</v>
      </c>
      <c r="JP98" s="37">
        <v>12.93225</v>
      </c>
      <c r="JQ98" s="37">
        <v>12.93225</v>
      </c>
      <c r="JR98" s="37">
        <v>12.93225</v>
      </c>
      <c r="JS98" s="37">
        <v>12.93225</v>
      </c>
      <c r="JT98" s="37">
        <v>12.93225</v>
      </c>
      <c r="JU98" s="37">
        <v>12.93225</v>
      </c>
      <c r="JV98" s="37">
        <v>12.93225</v>
      </c>
      <c r="JW98" s="37">
        <v>12.93225</v>
      </c>
      <c r="JX98" s="37">
        <v>12.93225</v>
      </c>
      <c r="JY98" s="37">
        <v>12.93225</v>
      </c>
      <c r="JZ98" s="37">
        <v>12.93225</v>
      </c>
      <c r="KA98" s="37">
        <v>12.93225</v>
      </c>
      <c r="KB98" s="37">
        <v>12.93225</v>
      </c>
      <c r="KC98" s="37">
        <v>12.93225</v>
      </c>
      <c r="KD98" s="37">
        <v>12.93225</v>
      </c>
      <c r="KE98" s="37">
        <v>12.93225</v>
      </c>
      <c r="KF98" s="37">
        <v>12.93225</v>
      </c>
      <c r="KG98" s="37">
        <v>12.93225</v>
      </c>
      <c r="KH98" s="37">
        <v>12.93225</v>
      </c>
      <c r="KI98" s="37">
        <v>12.93225</v>
      </c>
      <c r="KJ98" s="37">
        <v>12.93225</v>
      </c>
      <c r="KK98" s="37">
        <v>12.93225</v>
      </c>
      <c r="KL98" s="37">
        <v>12.93225</v>
      </c>
      <c r="KM98" s="37">
        <v>12.93225</v>
      </c>
      <c r="KN98" s="37">
        <v>12.93225</v>
      </c>
      <c r="KO98" s="37">
        <v>12.93225</v>
      </c>
      <c r="KP98" s="37">
        <v>12.93225</v>
      </c>
      <c r="KQ98" s="37">
        <v>12.93225</v>
      </c>
      <c r="KR98" s="37">
        <v>12.93225</v>
      </c>
      <c r="KS98" s="37">
        <v>12.93225</v>
      </c>
      <c r="KT98" s="37">
        <v>12.93225</v>
      </c>
      <c r="KU98" s="37">
        <v>12.93225</v>
      </c>
      <c r="KV98" s="37">
        <v>12.93225</v>
      </c>
      <c r="KW98" s="37">
        <v>12.93225</v>
      </c>
      <c r="KX98" s="37">
        <v>12.93225</v>
      </c>
      <c r="KY98" s="37">
        <v>12.93225</v>
      </c>
      <c r="KZ98" s="37">
        <v>12.93225</v>
      </c>
      <c r="LA98" s="37">
        <v>12.93225</v>
      </c>
      <c r="LB98" s="37">
        <v>12.93225</v>
      </c>
      <c r="LC98" s="37">
        <v>12.93225</v>
      </c>
      <c r="LD98" s="37">
        <v>12.93225</v>
      </c>
      <c r="LE98" s="37">
        <v>12.93225</v>
      </c>
      <c r="LF98" s="37">
        <v>12.93225</v>
      </c>
      <c r="LG98" s="37">
        <v>12.93225</v>
      </c>
      <c r="LH98" s="37">
        <v>12.93225</v>
      </c>
      <c r="LI98" s="37">
        <v>12.93225</v>
      </c>
      <c r="LJ98" s="37">
        <v>12.93225</v>
      </c>
      <c r="LK98" s="37">
        <v>12.93225</v>
      </c>
      <c r="LL98" s="37">
        <v>12.93225</v>
      </c>
      <c r="LM98" s="37">
        <v>12.93225</v>
      </c>
      <c r="LN98" s="37">
        <v>12.93225</v>
      </c>
      <c r="LO98" s="37">
        <v>12.93225</v>
      </c>
      <c r="LP98" s="37">
        <v>12.93225</v>
      </c>
      <c r="LQ98" s="37">
        <v>12.93225</v>
      </c>
      <c r="LR98" s="37">
        <v>12.93225</v>
      </c>
      <c r="LS98" s="37">
        <v>12.93225</v>
      </c>
      <c r="LT98" s="37">
        <v>12.93225</v>
      </c>
      <c r="LU98" s="37">
        <v>12.93225</v>
      </c>
      <c r="LV98" s="37">
        <v>12.93225</v>
      </c>
      <c r="LW98" s="37">
        <v>12.93225</v>
      </c>
      <c r="LX98" s="37">
        <v>12.93225</v>
      </c>
      <c r="LY98" s="37">
        <v>12.93225</v>
      </c>
      <c r="LZ98" s="37">
        <v>12.93225</v>
      </c>
      <c r="MA98" s="37">
        <v>12.93225</v>
      </c>
      <c r="MB98" s="37">
        <v>12.93225</v>
      </c>
      <c r="MC98" s="37">
        <v>12.93225</v>
      </c>
      <c r="MD98" s="37">
        <v>12.93225</v>
      </c>
      <c r="ME98" s="37">
        <v>12.93225</v>
      </c>
      <c r="MF98" s="37">
        <v>12.93225</v>
      </c>
      <c r="MG98" s="37">
        <v>12.93225</v>
      </c>
      <c r="MH98" s="37">
        <v>12.93225</v>
      </c>
      <c r="MI98" s="37">
        <v>12.93225</v>
      </c>
      <c r="MJ98" s="37">
        <v>12.93225</v>
      </c>
      <c r="MK98" s="37">
        <v>12.93225</v>
      </c>
      <c r="ML98" s="37">
        <v>12.93225</v>
      </c>
      <c r="MM98" s="37">
        <v>12.93225</v>
      </c>
      <c r="MN98" s="37">
        <v>12.93225</v>
      </c>
      <c r="MO98" s="37">
        <v>12.93225</v>
      </c>
      <c r="MP98" s="37">
        <v>12.93225</v>
      </c>
      <c r="MQ98" s="37">
        <v>12.93225</v>
      </c>
      <c r="MR98" s="37">
        <v>12.93225</v>
      </c>
      <c r="MS98" s="37">
        <v>12.93225</v>
      </c>
      <c r="MT98" s="37">
        <v>12.93225</v>
      </c>
      <c r="MU98" s="37">
        <v>12.93225</v>
      </c>
      <c r="MV98" s="37">
        <v>12.93225</v>
      </c>
      <c r="MW98" s="37">
        <v>12.93225</v>
      </c>
      <c r="MX98" s="37">
        <v>12.93225</v>
      </c>
      <c r="MY98" s="37">
        <v>12.93225</v>
      </c>
      <c r="MZ98" s="37">
        <v>12.93225</v>
      </c>
      <c r="NA98" s="37">
        <v>12.93225</v>
      </c>
      <c r="NB98" s="37">
        <v>12.93225</v>
      </c>
      <c r="NC98" s="37">
        <v>12.93225</v>
      </c>
      <c r="ND98" s="37">
        <v>12.93225</v>
      </c>
      <c r="NE98" s="37">
        <v>12.93225</v>
      </c>
      <c r="NF98" s="37">
        <v>12.93225</v>
      </c>
      <c r="NG98" s="37">
        <v>12.93225</v>
      </c>
      <c r="NH98" s="37">
        <v>12.93225</v>
      </c>
      <c r="NI98" s="37">
        <v>12.93225</v>
      </c>
      <c r="NJ98" s="37">
        <v>12.93225</v>
      </c>
      <c r="NK98" s="37">
        <v>12.93225</v>
      </c>
      <c r="NL98" s="37">
        <v>12.93225</v>
      </c>
      <c r="NM98" s="37">
        <v>12.93225</v>
      </c>
      <c r="NN98" s="37">
        <v>12.93225</v>
      </c>
      <c r="NO98" s="37">
        <v>12.93225</v>
      </c>
      <c r="NP98" s="37">
        <v>12.93225</v>
      </c>
      <c r="NQ98" s="37">
        <v>12.93225</v>
      </c>
      <c r="NR98" s="37">
        <v>12.93225</v>
      </c>
      <c r="NS98" s="37">
        <v>12.93225</v>
      </c>
      <c r="NT98" s="37">
        <v>12.93225</v>
      </c>
      <c r="NU98" s="37">
        <v>12.93225</v>
      </c>
      <c r="NV98" s="37">
        <v>12.93225</v>
      </c>
      <c r="NW98" s="37">
        <v>12.93225</v>
      </c>
      <c r="NX98" s="37">
        <v>12.93225</v>
      </c>
      <c r="NY98" s="37">
        <v>12.93225</v>
      </c>
      <c r="NZ98" s="37">
        <v>13.252599999999999</v>
      </c>
    </row>
    <row r="99" spans="1:510" x14ac:dyDescent="0.2">
      <c r="A99" s="37">
        <v>97</v>
      </c>
      <c r="B99" s="37" t="s">
        <v>952</v>
      </c>
      <c r="C99" s="17">
        <f>+'Detalle Compras'!D99</f>
        <v>202511280148</v>
      </c>
      <c r="D99" s="55">
        <f t="shared" si="16"/>
        <v>11.569152000000001</v>
      </c>
      <c r="E99" s="14">
        <f>+IF(B99="","",'Detalle Compras'!S99+0)</f>
        <v>46032</v>
      </c>
      <c r="F99" s="14">
        <f>+IF(B99="","",EOMONTH('Detalle Compras'!S99,G99)+10)</f>
        <v>60673</v>
      </c>
      <c r="G99" s="50">
        <f t="shared" si="17"/>
        <v>480</v>
      </c>
      <c r="H99" s="50">
        <f t="shared" si="18"/>
        <v>479</v>
      </c>
      <c r="AE99" s="37">
        <v>11.569152000000001</v>
      </c>
      <c r="AF99" s="37">
        <v>11.569152000000001</v>
      </c>
      <c r="AG99" s="37">
        <v>11.569152000000001</v>
      </c>
      <c r="AH99" s="37">
        <v>11.569152000000001</v>
      </c>
      <c r="AI99" s="37">
        <v>11.569152000000001</v>
      </c>
      <c r="AJ99" s="37">
        <v>11.569152000000001</v>
      </c>
      <c r="AK99" s="37">
        <v>11.569152000000001</v>
      </c>
      <c r="AL99" s="37">
        <v>11.569152000000001</v>
      </c>
      <c r="AM99" s="37">
        <v>11.569152000000001</v>
      </c>
      <c r="AN99" s="37">
        <v>11.569152000000001</v>
      </c>
      <c r="AO99" s="37">
        <v>11.569152000000001</v>
      </c>
      <c r="AP99" s="37">
        <v>11.569152000000001</v>
      </c>
      <c r="AQ99" s="37">
        <v>11.569152000000001</v>
      </c>
      <c r="AR99" s="37">
        <v>11.569152000000001</v>
      </c>
      <c r="AS99" s="37">
        <v>11.569152000000001</v>
      </c>
      <c r="AT99" s="37">
        <v>11.569152000000001</v>
      </c>
      <c r="AU99" s="37">
        <v>11.569152000000001</v>
      </c>
      <c r="AV99" s="37">
        <v>11.569152000000001</v>
      </c>
      <c r="AW99" s="37">
        <v>11.569152000000001</v>
      </c>
      <c r="AX99" s="37">
        <v>11.569152000000001</v>
      </c>
      <c r="AY99" s="37">
        <v>11.569152000000001</v>
      </c>
      <c r="AZ99" s="37">
        <v>11.569152000000001</v>
      </c>
      <c r="BA99" s="37">
        <v>11.569152000000001</v>
      </c>
      <c r="BB99" s="37">
        <v>11.569152000000001</v>
      </c>
      <c r="BC99" s="37">
        <v>11.569152000000001</v>
      </c>
      <c r="BD99" s="37">
        <v>11.569152000000001</v>
      </c>
      <c r="BE99" s="37">
        <v>11.569152000000001</v>
      </c>
      <c r="BF99" s="37">
        <v>11.569152000000001</v>
      </c>
      <c r="BG99" s="37">
        <v>11.569152000000001</v>
      </c>
      <c r="BH99" s="37">
        <v>11.569152000000001</v>
      </c>
      <c r="BI99" s="37">
        <v>11.569152000000001</v>
      </c>
      <c r="BJ99" s="37">
        <v>11.569152000000001</v>
      </c>
      <c r="BK99" s="37">
        <v>11.569152000000001</v>
      </c>
      <c r="BL99" s="37">
        <v>11.569152000000001</v>
      </c>
      <c r="BM99" s="37">
        <v>11.569152000000001</v>
      </c>
      <c r="BN99" s="37">
        <v>11.569152000000001</v>
      </c>
      <c r="BO99" s="37">
        <v>11.569152000000001</v>
      </c>
      <c r="BP99" s="37">
        <v>11.569152000000001</v>
      </c>
      <c r="BQ99" s="37">
        <v>11.569152000000001</v>
      </c>
      <c r="BR99" s="37">
        <v>11.569152000000001</v>
      </c>
      <c r="BS99" s="37">
        <v>11.569152000000001</v>
      </c>
      <c r="BT99" s="37">
        <v>11.569152000000001</v>
      </c>
      <c r="BU99" s="37">
        <v>11.569152000000001</v>
      </c>
      <c r="BV99" s="37">
        <v>11.569152000000001</v>
      </c>
      <c r="BW99" s="37">
        <v>11.569152000000001</v>
      </c>
      <c r="BX99" s="37">
        <v>11.569152000000001</v>
      </c>
      <c r="BY99" s="37">
        <v>11.569152000000001</v>
      </c>
      <c r="BZ99" s="37">
        <v>11.569152000000001</v>
      </c>
      <c r="CA99" s="37">
        <v>11.569152000000001</v>
      </c>
      <c r="CB99" s="37">
        <v>11.569152000000001</v>
      </c>
      <c r="CC99" s="37">
        <v>11.569152000000001</v>
      </c>
      <c r="CD99" s="37">
        <v>11.569152000000001</v>
      </c>
      <c r="CE99" s="37">
        <v>11.569152000000001</v>
      </c>
      <c r="CF99" s="37">
        <v>11.569152000000001</v>
      </c>
      <c r="CG99" s="37">
        <v>11.569152000000001</v>
      </c>
      <c r="CH99" s="37">
        <v>11.569152000000001</v>
      </c>
      <c r="CI99" s="37">
        <v>11.569152000000001</v>
      </c>
      <c r="CJ99" s="37">
        <v>11.569152000000001</v>
      </c>
      <c r="CK99" s="37">
        <v>11.569152000000001</v>
      </c>
      <c r="CL99" s="37">
        <v>11.569152000000001</v>
      </c>
      <c r="CM99" s="37">
        <v>11.569152000000001</v>
      </c>
      <c r="CN99" s="37">
        <v>11.569152000000001</v>
      </c>
      <c r="CO99" s="37">
        <v>11.569152000000001</v>
      </c>
      <c r="CP99" s="37">
        <v>11.569152000000001</v>
      </c>
      <c r="CQ99" s="37">
        <v>11.569152000000001</v>
      </c>
      <c r="CR99" s="37">
        <v>11.569152000000001</v>
      </c>
      <c r="CS99" s="37">
        <v>11.569152000000001</v>
      </c>
      <c r="CT99" s="37">
        <v>11.569152000000001</v>
      </c>
      <c r="CU99" s="37">
        <v>11.569152000000001</v>
      </c>
      <c r="CV99" s="37">
        <v>11.569152000000001</v>
      </c>
      <c r="CW99" s="37">
        <v>11.569152000000001</v>
      </c>
      <c r="CX99" s="37">
        <v>11.569152000000001</v>
      </c>
      <c r="CY99" s="37">
        <v>11.569152000000001</v>
      </c>
      <c r="CZ99" s="37">
        <v>11.569152000000001</v>
      </c>
      <c r="DA99" s="37">
        <v>11.569152000000001</v>
      </c>
      <c r="DB99" s="37">
        <v>11.569152000000001</v>
      </c>
      <c r="DC99" s="37">
        <v>11.569152000000001</v>
      </c>
      <c r="DD99" s="37">
        <v>11.569152000000001</v>
      </c>
      <c r="DE99" s="37">
        <v>11.569152000000001</v>
      </c>
      <c r="DF99" s="37">
        <v>11.569152000000001</v>
      </c>
      <c r="DG99" s="37">
        <v>11.569152000000001</v>
      </c>
      <c r="DH99" s="37">
        <v>11.569152000000001</v>
      </c>
      <c r="DI99" s="37">
        <v>11.569152000000001</v>
      </c>
      <c r="DJ99" s="37">
        <v>11.569152000000001</v>
      </c>
      <c r="DK99" s="37">
        <v>11.569152000000001</v>
      </c>
      <c r="DL99" s="37">
        <v>11.569152000000001</v>
      </c>
      <c r="DM99" s="37">
        <v>11.569152000000001</v>
      </c>
      <c r="DN99" s="37">
        <v>11.569152000000001</v>
      </c>
      <c r="DO99" s="37">
        <v>11.569152000000001</v>
      </c>
      <c r="DP99" s="37">
        <v>11.569152000000001</v>
      </c>
      <c r="DQ99" s="37">
        <v>11.569152000000001</v>
      </c>
      <c r="DR99" s="37">
        <v>11.569152000000001</v>
      </c>
      <c r="DS99" s="37">
        <v>11.569152000000001</v>
      </c>
      <c r="DT99" s="37">
        <v>11.569152000000001</v>
      </c>
      <c r="DU99" s="37">
        <v>11.569152000000001</v>
      </c>
      <c r="DV99" s="37">
        <v>11.569152000000001</v>
      </c>
      <c r="DW99" s="37">
        <v>11.569152000000001</v>
      </c>
      <c r="DX99" s="37">
        <v>11.569152000000001</v>
      </c>
      <c r="DY99" s="37">
        <v>11.569152000000001</v>
      </c>
      <c r="DZ99" s="37">
        <v>11.569152000000001</v>
      </c>
      <c r="EA99" s="37">
        <v>11.569152000000001</v>
      </c>
      <c r="EB99" s="37">
        <v>11.569152000000001</v>
      </c>
      <c r="EC99" s="37">
        <v>11.569152000000001</v>
      </c>
      <c r="ED99" s="37">
        <v>11.569152000000001</v>
      </c>
      <c r="EE99" s="37">
        <v>11.569152000000001</v>
      </c>
      <c r="EF99" s="37">
        <v>11.569152000000001</v>
      </c>
      <c r="EG99" s="37">
        <v>11.569152000000001</v>
      </c>
      <c r="EH99" s="37">
        <v>11.569152000000001</v>
      </c>
      <c r="EI99" s="37">
        <v>11.569152000000001</v>
      </c>
      <c r="EJ99" s="37">
        <v>11.569152000000001</v>
      </c>
      <c r="EK99" s="37">
        <v>11.569152000000001</v>
      </c>
      <c r="EL99" s="37">
        <v>11.569152000000001</v>
      </c>
      <c r="EM99" s="37">
        <v>11.569152000000001</v>
      </c>
      <c r="EN99" s="37">
        <v>11.569152000000001</v>
      </c>
      <c r="EO99" s="37">
        <v>11.569152000000001</v>
      </c>
      <c r="EP99" s="37">
        <v>11.569152000000001</v>
      </c>
      <c r="EQ99" s="37">
        <v>11.569152000000001</v>
      </c>
      <c r="ER99" s="37">
        <v>11.569152000000001</v>
      </c>
      <c r="ES99" s="37">
        <v>11.569152000000001</v>
      </c>
      <c r="ET99" s="37">
        <v>11.569152000000001</v>
      </c>
      <c r="EU99" s="37">
        <v>11.569152000000001</v>
      </c>
      <c r="EV99" s="37">
        <v>11.569152000000001</v>
      </c>
      <c r="EW99" s="37">
        <v>11.569152000000001</v>
      </c>
      <c r="EX99" s="37">
        <v>11.569152000000001</v>
      </c>
      <c r="EY99" s="37">
        <v>11.569152000000001</v>
      </c>
      <c r="EZ99" s="37">
        <v>11.569152000000001</v>
      </c>
      <c r="FA99" s="37">
        <v>11.569152000000001</v>
      </c>
      <c r="FB99" s="37">
        <v>11.569152000000001</v>
      </c>
      <c r="FC99" s="37">
        <v>11.569152000000001</v>
      </c>
      <c r="FD99" s="37">
        <v>11.569152000000001</v>
      </c>
      <c r="FE99" s="37">
        <v>11.569152000000001</v>
      </c>
      <c r="FF99" s="37">
        <v>11.569152000000001</v>
      </c>
      <c r="FG99" s="37">
        <v>11.569152000000001</v>
      </c>
      <c r="FH99" s="37">
        <v>11.569152000000001</v>
      </c>
      <c r="FI99" s="37">
        <v>11.569152000000001</v>
      </c>
      <c r="FJ99" s="37">
        <v>11.569152000000001</v>
      </c>
      <c r="FK99" s="37">
        <v>11.569152000000001</v>
      </c>
      <c r="FL99" s="37">
        <v>11.569152000000001</v>
      </c>
      <c r="FM99" s="37">
        <v>11.569152000000001</v>
      </c>
      <c r="FN99" s="37">
        <v>11.569152000000001</v>
      </c>
      <c r="FO99" s="37">
        <v>11.569152000000001</v>
      </c>
      <c r="FP99" s="37">
        <v>11.569152000000001</v>
      </c>
      <c r="FQ99" s="37">
        <v>11.569152000000001</v>
      </c>
      <c r="FR99" s="37">
        <v>11.569152000000001</v>
      </c>
      <c r="FS99" s="37">
        <v>11.569152000000001</v>
      </c>
      <c r="FT99" s="37">
        <v>11.569152000000001</v>
      </c>
      <c r="FU99" s="37">
        <v>11.569152000000001</v>
      </c>
      <c r="FV99" s="37">
        <v>11.569152000000001</v>
      </c>
      <c r="FW99" s="37">
        <v>11.569152000000001</v>
      </c>
      <c r="FX99" s="37">
        <v>11.569152000000001</v>
      </c>
      <c r="FY99" s="37">
        <v>11.569152000000001</v>
      </c>
      <c r="FZ99" s="37">
        <v>11.569152000000001</v>
      </c>
      <c r="GA99" s="37">
        <v>11.569152000000001</v>
      </c>
      <c r="GB99" s="37">
        <v>11.569152000000001</v>
      </c>
      <c r="GC99" s="37">
        <v>11.569152000000001</v>
      </c>
      <c r="GD99" s="37">
        <v>11.569152000000001</v>
      </c>
      <c r="GE99" s="37">
        <v>11.569152000000001</v>
      </c>
      <c r="GF99" s="37">
        <v>11.569152000000001</v>
      </c>
      <c r="GG99" s="37">
        <v>11.569152000000001</v>
      </c>
      <c r="GH99" s="37">
        <v>11.569152000000001</v>
      </c>
      <c r="GI99" s="37">
        <v>11.569152000000001</v>
      </c>
      <c r="GJ99" s="37">
        <v>11.569152000000001</v>
      </c>
      <c r="GK99" s="37">
        <v>11.569152000000001</v>
      </c>
      <c r="GL99" s="37">
        <v>11.569152000000001</v>
      </c>
      <c r="GM99" s="37">
        <v>11.569152000000001</v>
      </c>
      <c r="GN99" s="37">
        <v>11.569152000000001</v>
      </c>
      <c r="GO99" s="37">
        <v>11.569152000000001</v>
      </c>
      <c r="GP99" s="37">
        <v>11.569152000000001</v>
      </c>
      <c r="GQ99" s="37">
        <v>11.569152000000001</v>
      </c>
      <c r="GR99" s="37">
        <v>11.569152000000001</v>
      </c>
      <c r="GS99" s="37">
        <v>11.569152000000001</v>
      </c>
      <c r="GT99" s="37">
        <v>11.569152000000001</v>
      </c>
      <c r="GU99" s="37">
        <v>11.569152000000001</v>
      </c>
      <c r="GV99" s="37">
        <v>11.569152000000001</v>
      </c>
      <c r="GW99" s="37">
        <v>11.569152000000001</v>
      </c>
      <c r="GX99" s="37">
        <v>11.569152000000001</v>
      </c>
      <c r="GY99" s="37">
        <v>11.569152000000001</v>
      </c>
      <c r="GZ99" s="37">
        <v>11.569152000000001</v>
      </c>
      <c r="HA99" s="37">
        <v>11.569152000000001</v>
      </c>
      <c r="HB99" s="37">
        <v>11.569152000000001</v>
      </c>
      <c r="HC99" s="37">
        <v>11.569152000000001</v>
      </c>
      <c r="HD99" s="37">
        <v>11.569152000000001</v>
      </c>
      <c r="HE99" s="37">
        <v>11.569152000000001</v>
      </c>
      <c r="HF99" s="37">
        <v>11.569152000000001</v>
      </c>
      <c r="HG99" s="37">
        <v>11.569152000000001</v>
      </c>
      <c r="HH99" s="37">
        <v>11.569152000000001</v>
      </c>
      <c r="HI99" s="37">
        <v>11.569152000000001</v>
      </c>
      <c r="HJ99" s="37">
        <v>11.569152000000001</v>
      </c>
      <c r="HK99" s="37">
        <v>11.569152000000001</v>
      </c>
      <c r="HL99" s="37">
        <v>11.569152000000001</v>
      </c>
      <c r="HM99" s="37">
        <v>11.569152000000001</v>
      </c>
      <c r="HN99" s="37">
        <v>11.569152000000001</v>
      </c>
      <c r="HO99" s="37">
        <v>11.569152000000001</v>
      </c>
      <c r="HP99" s="37">
        <v>11.569152000000001</v>
      </c>
      <c r="HQ99" s="37">
        <v>11.569152000000001</v>
      </c>
      <c r="HR99" s="37">
        <v>11.569152000000001</v>
      </c>
      <c r="HS99" s="37">
        <v>11.569152000000001</v>
      </c>
      <c r="HT99" s="37">
        <v>11.569152000000001</v>
      </c>
      <c r="HU99" s="37">
        <v>11.569152000000001</v>
      </c>
      <c r="HV99" s="37">
        <v>11.569152000000001</v>
      </c>
      <c r="HW99" s="37">
        <v>11.569152000000001</v>
      </c>
      <c r="HX99" s="37">
        <v>11.569152000000001</v>
      </c>
      <c r="HY99" s="37">
        <v>11.569152000000001</v>
      </c>
      <c r="HZ99" s="37">
        <v>11.569152000000001</v>
      </c>
      <c r="IA99" s="37">
        <v>11.569152000000001</v>
      </c>
      <c r="IB99" s="37">
        <v>11.569152000000001</v>
      </c>
      <c r="IC99" s="37">
        <v>11.569152000000001</v>
      </c>
      <c r="ID99" s="37">
        <v>11.569152000000001</v>
      </c>
      <c r="IE99" s="37">
        <v>11.569152000000001</v>
      </c>
      <c r="IF99" s="37">
        <v>11.569152000000001</v>
      </c>
      <c r="IG99" s="37">
        <v>11.569152000000001</v>
      </c>
      <c r="IH99" s="37">
        <v>11.569152000000001</v>
      </c>
      <c r="II99" s="37">
        <v>11.569152000000001</v>
      </c>
      <c r="IJ99" s="37">
        <v>11.569152000000001</v>
      </c>
      <c r="IK99" s="37">
        <v>11.569152000000001</v>
      </c>
      <c r="IL99" s="37">
        <v>11.569152000000001</v>
      </c>
      <c r="IM99" s="37">
        <v>11.569152000000001</v>
      </c>
      <c r="IN99" s="37">
        <v>11.569152000000001</v>
      </c>
      <c r="IO99" s="37">
        <v>11.569152000000001</v>
      </c>
      <c r="IP99" s="37">
        <v>11.569152000000001</v>
      </c>
      <c r="IQ99" s="37">
        <v>11.569152000000001</v>
      </c>
      <c r="IR99" s="37">
        <v>11.569152000000001</v>
      </c>
      <c r="IS99" s="37">
        <v>11.569152000000001</v>
      </c>
      <c r="IT99" s="37">
        <v>11.569152000000001</v>
      </c>
      <c r="IU99" s="37">
        <v>11.569152000000001</v>
      </c>
      <c r="IV99" s="37">
        <v>11.569152000000001</v>
      </c>
      <c r="IW99" s="37">
        <v>11.569152000000001</v>
      </c>
      <c r="IX99" s="37">
        <v>11.569152000000001</v>
      </c>
      <c r="IY99" s="37">
        <v>11.569152000000001</v>
      </c>
      <c r="IZ99" s="37">
        <v>11.569152000000001</v>
      </c>
      <c r="JA99" s="37">
        <v>11.569152000000001</v>
      </c>
      <c r="JB99" s="37">
        <v>11.569152000000001</v>
      </c>
      <c r="JC99" s="37">
        <v>11.569152000000001</v>
      </c>
      <c r="JD99" s="37">
        <v>11.569152000000001</v>
      </c>
      <c r="JE99" s="37">
        <v>11.569152000000001</v>
      </c>
      <c r="JF99" s="37">
        <v>11.569152000000001</v>
      </c>
      <c r="JG99" s="37">
        <v>11.569152000000001</v>
      </c>
      <c r="JH99" s="37">
        <v>11.569152000000001</v>
      </c>
      <c r="JI99" s="37">
        <v>11.569152000000001</v>
      </c>
      <c r="JJ99" s="37">
        <v>11.569152000000001</v>
      </c>
      <c r="JK99" s="37">
        <v>11.569152000000001</v>
      </c>
      <c r="JL99" s="37">
        <v>11.569152000000001</v>
      </c>
      <c r="JM99" s="37">
        <v>11.569152000000001</v>
      </c>
      <c r="JN99" s="37">
        <v>11.569152000000001</v>
      </c>
      <c r="JO99" s="37">
        <v>11.569152000000001</v>
      </c>
      <c r="JP99" s="37">
        <v>11.569152000000001</v>
      </c>
      <c r="JQ99" s="37">
        <v>11.569152000000001</v>
      </c>
      <c r="JR99" s="37">
        <v>11.569152000000001</v>
      </c>
      <c r="JS99" s="37">
        <v>11.569152000000001</v>
      </c>
      <c r="JT99" s="37">
        <v>11.569152000000001</v>
      </c>
      <c r="JU99" s="37">
        <v>11.569152000000001</v>
      </c>
      <c r="JV99" s="37">
        <v>11.569152000000001</v>
      </c>
      <c r="JW99" s="37">
        <v>11.569152000000001</v>
      </c>
      <c r="JX99" s="37">
        <v>11.569152000000001</v>
      </c>
      <c r="JY99" s="37">
        <v>11.569152000000001</v>
      </c>
      <c r="JZ99" s="37">
        <v>11.569152000000001</v>
      </c>
      <c r="KA99" s="37">
        <v>11.569152000000001</v>
      </c>
      <c r="KB99" s="37">
        <v>11.569152000000001</v>
      </c>
      <c r="KC99" s="37">
        <v>11.569152000000001</v>
      </c>
      <c r="KD99" s="37">
        <v>11.569152000000001</v>
      </c>
      <c r="KE99" s="37">
        <v>11.569152000000001</v>
      </c>
      <c r="KF99" s="37">
        <v>11.569152000000001</v>
      </c>
      <c r="KG99" s="37">
        <v>11.569152000000001</v>
      </c>
      <c r="KH99" s="37">
        <v>11.569152000000001</v>
      </c>
      <c r="KI99" s="37">
        <v>11.569152000000001</v>
      </c>
      <c r="KJ99" s="37">
        <v>11.569152000000001</v>
      </c>
      <c r="KK99" s="37">
        <v>11.569152000000001</v>
      </c>
      <c r="KL99" s="37">
        <v>11.569152000000001</v>
      </c>
      <c r="KM99" s="37">
        <v>11.569152000000001</v>
      </c>
      <c r="KN99" s="37">
        <v>11.569152000000001</v>
      </c>
      <c r="KO99" s="37">
        <v>11.569152000000001</v>
      </c>
      <c r="KP99" s="37">
        <v>11.569152000000001</v>
      </c>
      <c r="KQ99" s="37">
        <v>11.569152000000001</v>
      </c>
      <c r="KR99" s="37">
        <v>11.569152000000001</v>
      </c>
      <c r="KS99" s="37">
        <v>11.569152000000001</v>
      </c>
      <c r="KT99" s="37">
        <v>11.569152000000001</v>
      </c>
      <c r="KU99" s="37">
        <v>11.569152000000001</v>
      </c>
      <c r="KV99" s="37">
        <v>11.569152000000001</v>
      </c>
      <c r="KW99" s="37">
        <v>11.569152000000001</v>
      </c>
      <c r="KX99" s="37">
        <v>11.569152000000001</v>
      </c>
      <c r="KY99" s="37">
        <v>11.569152000000001</v>
      </c>
      <c r="KZ99" s="37">
        <v>11.569152000000001</v>
      </c>
      <c r="LA99" s="37">
        <v>11.569152000000001</v>
      </c>
      <c r="LB99" s="37">
        <v>11.569152000000001</v>
      </c>
      <c r="LC99" s="37">
        <v>11.569152000000001</v>
      </c>
      <c r="LD99" s="37">
        <v>11.569152000000001</v>
      </c>
      <c r="LE99" s="37">
        <v>11.569152000000001</v>
      </c>
      <c r="LF99" s="37">
        <v>11.569152000000001</v>
      </c>
      <c r="LG99" s="37">
        <v>11.569152000000001</v>
      </c>
      <c r="LH99" s="37">
        <v>11.569152000000001</v>
      </c>
      <c r="LI99" s="37">
        <v>11.569152000000001</v>
      </c>
      <c r="LJ99" s="37">
        <v>11.569152000000001</v>
      </c>
      <c r="LK99" s="37">
        <v>11.569152000000001</v>
      </c>
      <c r="LL99" s="37">
        <v>11.569152000000001</v>
      </c>
      <c r="LM99" s="37">
        <v>11.569152000000001</v>
      </c>
      <c r="LN99" s="37">
        <v>11.569152000000001</v>
      </c>
      <c r="LO99" s="37">
        <v>11.569152000000001</v>
      </c>
      <c r="LP99" s="37">
        <v>11.569152000000001</v>
      </c>
      <c r="LQ99" s="37">
        <v>11.569152000000001</v>
      </c>
      <c r="LR99" s="37">
        <v>11.569152000000001</v>
      </c>
      <c r="LS99" s="37">
        <v>11.569152000000001</v>
      </c>
      <c r="LT99" s="37">
        <v>11.569152000000001</v>
      </c>
      <c r="LU99" s="37">
        <v>11.569152000000001</v>
      </c>
      <c r="LV99" s="37">
        <v>11.569152000000001</v>
      </c>
      <c r="LW99" s="37">
        <v>11.569152000000001</v>
      </c>
      <c r="LX99" s="37">
        <v>11.569152000000001</v>
      </c>
      <c r="LY99" s="37">
        <v>11.569152000000001</v>
      </c>
      <c r="LZ99" s="37">
        <v>11.569152000000001</v>
      </c>
      <c r="MA99" s="37">
        <v>11.569152000000001</v>
      </c>
      <c r="MB99" s="37">
        <v>11.569152000000001</v>
      </c>
      <c r="MC99" s="37">
        <v>11.569152000000001</v>
      </c>
      <c r="MD99" s="37">
        <v>11.569152000000001</v>
      </c>
      <c r="ME99" s="37">
        <v>11.569152000000001</v>
      </c>
      <c r="MF99" s="37">
        <v>11.569152000000001</v>
      </c>
      <c r="MG99" s="37">
        <v>11.569152000000001</v>
      </c>
      <c r="MH99" s="37">
        <v>11.569152000000001</v>
      </c>
      <c r="MI99" s="37">
        <v>11.569152000000001</v>
      </c>
      <c r="MJ99" s="37">
        <v>11.569152000000001</v>
      </c>
      <c r="MK99" s="37">
        <v>11.569152000000001</v>
      </c>
      <c r="ML99" s="37">
        <v>11.569152000000001</v>
      </c>
      <c r="MM99" s="37">
        <v>11.569152000000001</v>
      </c>
      <c r="MN99" s="37">
        <v>11.569152000000001</v>
      </c>
      <c r="MO99" s="37">
        <v>11.569152000000001</v>
      </c>
      <c r="MP99" s="37">
        <v>11.569152000000001</v>
      </c>
      <c r="MQ99" s="37">
        <v>11.569152000000001</v>
      </c>
      <c r="MR99" s="37">
        <v>11.569152000000001</v>
      </c>
      <c r="MS99" s="37">
        <v>11.569152000000001</v>
      </c>
      <c r="MT99" s="37">
        <v>11.569152000000001</v>
      </c>
      <c r="MU99" s="37">
        <v>11.569152000000001</v>
      </c>
      <c r="MV99" s="37">
        <v>11.569152000000001</v>
      </c>
      <c r="MW99" s="37">
        <v>11.569152000000001</v>
      </c>
      <c r="MX99" s="37">
        <v>11.569152000000001</v>
      </c>
      <c r="MY99" s="37">
        <v>11.569152000000001</v>
      </c>
      <c r="MZ99" s="37">
        <v>11.569152000000001</v>
      </c>
      <c r="NA99" s="37">
        <v>11.569152000000001</v>
      </c>
      <c r="NB99" s="37">
        <v>11.569152000000001</v>
      </c>
      <c r="NC99" s="37">
        <v>11.569152000000001</v>
      </c>
      <c r="ND99" s="37">
        <v>11.569152000000001</v>
      </c>
      <c r="NE99" s="37">
        <v>11.569152000000001</v>
      </c>
      <c r="NF99" s="37">
        <v>11.569152000000001</v>
      </c>
      <c r="NG99" s="37">
        <v>11.569152000000001</v>
      </c>
      <c r="NH99" s="37">
        <v>11.569152000000001</v>
      </c>
      <c r="NI99" s="37">
        <v>11.569152000000001</v>
      </c>
      <c r="NJ99" s="37">
        <v>11.569152000000001</v>
      </c>
      <c r="NK99" s="37">
        <v>11.569152000000001</v>
      </c>
      <c r="NL99" s="37">
        <v>11.569152000000001</v>
      </c>
      <c r="NM99" s="37">
        <v>11.569152000000001</v>
      </c>
      <c r="NN99" s="37">
        <v>11.569152000000001</v>
      </c>
      <c r="NO99" s="37">
        <v>11.569152000000001</v>
      </c>
      <c r="NP99" s="37">
        <v>11.569152000000001</v>
      </c>
      <c r="NQ99" s="37">
        <v>11.569152000000001</v>
      </c>
      <c r="NR99" s="37">
        <v>11.569152000000001</v>
      </c>
      <c r="NS99" s="37">
        <v>11.569152000000001</v>
      </c>
      <c r="NT99" s="37">
        <v>11.569152000000001</v>
      </c>
      <c r="NU99" s="37">
        <v>11.569152000000001</v>
      </c>
      <c r="NV99" s="37">
        <v>11.569152000000001</v>
      </c>
      <c r="NW99" s="37">
        <v>11.569152000000001</v>
      </c>
      <c r="NX99" s="37">
        <v>11.569152000000001</v>
      </c>
      <c r="NY99" s="37">
        <v>11.569152000000001</v>
      </c>
      <c r="NZ99" s="37">
        <v>11.569152000000001</v>
      </c>
      <c r="OA99" s="37">
        <v>11.569152000000001</v>
      </c>
      <c r="OB99" s="37">
        <v>11.569152000000001</v>
      </c>
      <c r="OC99" s="37">
        <v>11.569152000000001</v>
      </c>
      <c r="OD99" s="37">
        <v>11.569152000000001</v>
      </c>
      <c r="OE99" s="37">
        <v>11.569152000000001</v>
      </c>
      <c r="OF99" s="37">
        <v>11.569152000000001</v>
      </c>
      <c r="OG99" s="37">
        <v>11.569152000000001</v>
      </c>
      <c r="OH99" s="37">
        <v>11.569152000000001</v>
      </c>
      <c r="OI99" s="37">
        <v>11.569152000000001</v>
      </c>
      <c r="OJ99" s="37">
        <v>11.569152000000001</v>
      </c>
      <c r="OK99" s="37">
        <v>11.569152000000001</v>
      </c>
      <c r="OL99" s="37">
        <v>11.569152000000001</v>
      </c>
      <c r="OM99" s="37">
        <v>11.569152000000001</v>
      </c>
      <c r="ON99" s="37">
        <v>11.569152000000001</v>
      </c>
      <c r="OO99" s="37">
        <v>11.569152000000001</v>
      </c>
      <c r="OP99" s="37">
        <v>11.569152000000001</v>
      </c>
      <c r="OQ99" s="37">
        <v>11.569152000000001</v>
      </c>
      <c r="OR99" s="37">
        <v>11.569152000000001</v>
      </c>
      <c r="OS99" s="37">
        <v>11.569152000000001</v>
      </c>
      <c r="OT99" s="37">
        <v>11.569152000000001</v>
      </c>
      <c r="OU99" s="37">
        <v>11.569152000000001</v>
      </c>
      <c r="OV99" s="37">
        <v>11.569152000000001</v>
      </c>
      <c r="OW99" s="37">
        <v>11.569152000000001</v>
      </c>
      <c r="OX99" s="37">
        <v>11.569152000000001</v>
      </c>
      <c r="OY99" s="37">
        <v>11.569152000000001</v>
      </c>
      <c r="OZ99" s="37">
        <v>11.569152000000001</v>
      </c>
      <c r="PA99" s="37">
        <v>11.569152000000001</v>
      </c>
      <c r="PB99" s="37">
        <v>11.569152000000001</v>
      </c>
      <c r="PC99" s="37">
        <v>11.569152000000001</v>
      </c>
      <c r="PD99" s="37">
        <v>11.569152000000001</v>
      </c>
      <c r="PE99" s="37">
        <v>11.569152000000001</v>
      </c>
      <c r="PF99" s="37">
        <v>11.569152000000001</v>
      </c>
      <c r="PG99" s="37">
        <v>11.569152000000001</v>
      </c>
      <c r="PH99" s="37">
        <v>11.569152000000001</v>
      </c>
      <c r="PI99" s="37">
        <v>11.569152000000001</v>
      </c>
      <c r="PJ99" s="37">
        <v>11.569152000000001</v>
      </c>
      <c r="PK99" s="37">
        <v>11.569152000000001</v>
      </c>
      <c r="PL99" s="37">
        <v>11.569152000000001</v>
      </c>
      <c r="PM99" s="37">
        <v>11.569152000000001</v>
      </c>
      <c r="PN99" s="37">
        <v>11.569152000000001</v>
      </c>
      <c r="PO99" s="37">
        <v>11.569152000000001</v>
      </c>
      <c r="PP99" s="37">
        <v>11.569152000000001</v>
      </c>
      <c r="PQ99" s="37">
        <v>11.569152000000001</v>
      </c>
      <c r="PR99" s="37">
        <v>11.569152000000001</v>
      </c>
      <c r="PS99" s="15">
        <v>11.569152000000001</v>
      </c>
      <c r="PT99" s="15">
        <v>11.569152000000001</v>
      </c>
      <c r="PU99" s="15">
        <v>11.569152000000001</v>
      </c>
      <c r="PV99" s="15">
        <v>11.569152000000001</v>
      </c>
      <c r="PW99" s="15">
        <v>11.569152000000001</v>
      </c>
      <c r="PX99" s="15">
        <v>11.569152000000001</v>
      </c>
      <c r="PY99" s="15">
        <v>11.569152000000001</v>
      </c>
      <c r="PZ99" s="15">
        <v>11.569152000000001</v>
      </c>
      <c r="QA99" s="15">
        <v>11.569152000000001</v>
      </c>
      <c r="QB99" s="15">
        <v>11.569152000000001</v>
      </c>
      <c r="QC99" s="15">
        <v>11.569152000000001</v>
      </c>
      <c r="QD99" s="15">
        <v>11.569152000000001</v>
      </c>
      <c r="QE99" s="15">
        <v>11.569152000000001</v>
      </c>
      <c r="QF99" s="15">
        <v>11.569152000000001</v>
      </c>
      <c r="QG99" s="15">
        <v>11.569152000000001</v>
      </c>
      <c r="QH99" s="15">
        <v>11.569152000000001</v>
      </c>
      <c r="QI99" s="15">
        <v>11.569152000000001</v>
      </c>
      <c r="QJ99" s="15">
        <v>11.569152000000001</v>
      </c>
      <c r="QK99" s="15">
        <v>11.569152000000001</v>
      </c>
      <c r="QL99" s="15">
        <v>11.569152000000001</v>
      </c>
      <c r="QM99" s="15">
        <v>11.569152000000001</v>
      </c>
      <c r="QN99" s="15">
        <v>11.569152000000001</v>
      </c>
      <c r="QO99" s="15">
        <v>11.569152000000001</v>
      </c>
      <c r="QP99" s="15">
        <v>11.569152000000001</v>
      </c>
      <c r="QQ99" s="15">
        <v>11.569152000000001</v>
      </c>
      <c r="QR99" s="15">
        <v>11.569152000000001</v>
      </c>
      <c r="QS99" s="15">
        <v>11.569152000000001</v>
      </c>
      <c r="QT99" s="15">
        <v>11.569152000000001</v>
      </c>
      <c r="QU99" s="15">
        <v>11.569152000000001</v>
      </c>
      <c r="QV99" s="15">
        <v>11.569152000000001</v>
      </c>
      <c r="QW99" s="15">
        <v>11.569152000000001</v>
      </c>
      <c r="QX99" s="15">
        <v>11.569152000000001</v>
      </c>
      <c r="QY99" s="15">
        <v>11.569152000000001</v>
      </c>
      <c r="QZ99" s="15">
        <v>11.569152000000001</v>
      </c>
      <c r="RA99" s="15">
        <v>11.569152000000001</v>
      </c>
      <c r="RB99" s="15">
        <v>11.569152000000001</v>
      </c>
      <c r="RC99" s="15">
        <v>11.569152000000001</v>
      </c>
      <c r="RD99" s="15">
        <v>11.569152000000001</v>
      </c>
      <c r="RE99" s="15">
        <v>11.569152000000001</v>
      </c>
      <c r="RF99" s="15">
        <v>11.569152000000001</v>
      </c>
      <c r="RG99" s="15">
        <v>11.569152000000001</v>
      </c>
      <c r="RH99" s="15">
        <v>11.569152000000001</v>
      </c>
      <c r="RI99" s="15">
        <v>11.569152000000001</v>
      </c>
      <c r="RJ99" s="15">
        <v>11.569152000000001</v>
      </c>
      <c r="RK99" s="15">
        <v>11.569152000000001</v>
      </c>
      <c r="RL99" s="15">
        <v>11.569152000000001</v>
      </c>
      <c r="RM99" s="15">
        <v>11.569152000000001</v>
      </c>
      <c r="RN99" s="15">
        <v>11.569152000000001</v>
      </c>
      <c r="RO99" s="15">
        <v>11.569152000000001</v>
      </c>
      <c r="RP99" s="15">
        <v>11.569152000000001</v>
      </c>
      <c r="RQ99" s="15">
        <v>11.569152000000001</v>
      </c>
      <c r="RR99" s="15">
        <v>11.569152000000001</v>
      </c>
      <c r="RS99" s="15">
        <v>11.569152000000001</v>
      </c>
      <c r="RT99" s="15">
        <v>11.569152000000001</v>
      </c>
      <c r="RU99" s="15">
        <v>11.569152000000001</v>
      </c>
      <c r="RV99" s="15">
        <v>11.569152000000001</v>
      </c>
      <c r="RW99" s="15">
        <v>11.569152000000001</v>
      </c>
      <c r="RX99" s="15">
        <v>11.569152000000001</v>
      </c>
      <c r="RY99" s="15">
        <v>11.569152000000001</v>
      </c>
      <c r="RZ99" s="15">
        <v>11.569152000000001</v>
      </c>
      <c r="SA99" s="15">
        <v>11.569152000000001</v>
      </c>
      <c r="SB99" s="15">
        <v>11.569152000000001</v>
      </c>
      <c r="SC99" s="15">
        <v>11.569152000000001</v>
      </c>
      <c r="SD99" s="15">
        <v>11.569152000000001</v>
      </c>
      <c r="SE99" s="15">
        <v>11.569152000000001</v>
      </c>
      <c r="SF99" s="15">
        <v>11.569152000000001</v>
      </c>
      <c r="SG99" s="15">
        <v>11.569152000000001</v>
      </c>
      <c r="SH99" s="15">
        <v>11.569152000000001</v>
      </c>
      <c r="SI99" s="15">
        <v>11.569152000000001</v>
      </c>
      <c r="SJ99" s="15">
        <v>11.569152000000001</v>
      </c>
      <c r="SK99" s="15">
        <v>11.569152000000001</v>
      </c>
      <c r="SL99" s="15">
        <v>11.569152000000001</v>
      </c>
      <c r="SM99" s="15">
        <v>11.569152000000001</v>
      </c>
      <c r="SN99" s="15">
        <v>11.569152000000001</v>
      </c>
      <c r="SO99" s="15">
        <v>11.569152000000001</v>
      </c>
      <c r="SP99" s="15">
        <v>12.935168000000001</v>
      </c>
    </row>
    <row r="100" spans="1:510" x14ac:dyDescent="0.2">
      <c r="A100" s="37">
        <v>98</v>
      </c>
      <c r="B100" s="37" t="s">
        <v>953</v>
      </c>
      <c r="C100" s="17">
        <f>+'Detalle Compras'!D100</f>
        <v>202511280147</v>
      </c>
      <c r="D100" s="55">
        <f t="shared" si="16"/>
        <v>12.499169999999999</v>
      </c>
      <c r="E100" s="14">
        <f>+IF(B100="","",'Detalle Compras'!S100+0)</f>
        <v>46032</v>
      </c>
      <c r="F100" s="14">
        <f>+IF(B100="","",EOMONTH('Detalle Compras'!S100,G100)+10)</f>
        <v>57020</v>
      </c>
      <c r="G100" s="50">
        <f t="shared" si="17"/>
        <v>360</v>
      </c>
      <c r="H100" s="50">
        <f t="shared" si="18"/>
        <v>359</v>
      </c>
      <c r="AE100" s="37">
        <v>12.499169999999999</v>
      </c>
      <c r="AF100" s="37">
        <v>12.499169999999999</v>
      </c>
      <c r="AG100" s="37">
        <v>12.499169999999999</v>
      </c>
      <c r="AH100" s="37">
        <v>12.499169999999999</v>
      </c>
      <c r="AI100" s="37">
        <v>12.499169999999999</v>
      </c>
      <c r="AJ100" s="37">
        <v>12.499169999999999</v>
      </c>
      <c r="AK100" s="37">
        <v>12.499169999999999</v>
      </c>
      <c r="AL100" s="37">
        <v>12.499169999999999</v>
      </c>
      <c r="AM100" s="37">
        <v>12.499169999999999</v>
      </c>
      <c r="AN100" s="37">
        <v>12.499169999999999</v>
      </c>
      <c r="AO100" s="37">
        <v>12.499169999999999</v>
      </c>
      <c r="AP100" s="37">
        <v>12.499169999999999</v>
      </c>
      <c r="AQ100" s="37">
        <v>12.499169999999999</v>
      </c>
      <c r="AR100" s="37">
        <v>12.499169999999999</v>
      </c>
      <c r="AS100" s="37">
        <v>12.499169999999999</v>
      </c>
      <c r="AT100" s="37">
        <v>12.499169999999999</v>
      </c>
      <c r="AU100" s="37">
        <v>12.499169999999999</v>
      </c>
      <c r="AV100" s="37">
        <v>12.499169999999999</v>
      </c>
      <c r="AW100" s="37">
        <v>12.499169999999999</v>
      </c>
      <c r="AX100" s="37">
        <v>12.499169999999999</v>
      </c>
      <c r="AY100" s="37">
        <v>12.499169999999999</v>
      </c>
      <c r="AZ100" s="37">
        <v>12.499169999999999</v>
      </c>
      <c r="BA100" s="37">
        <v>12.499169999999999</v>
      </c>
      <c r="BB100" s="37">
        <v>12.499169999999999</v>
      </c>
      <c r="BC100" s="37">
        <v>12.499169999999999</v>
      </c>
      <c r="BD100" s="37">
        <v>12.499169999999999</v>
      </c>
      <c r="BE100" s="37">
        <v>12.499169999999999</v>
      </c>
      <c r="BF100" s="37">
        <v>12.499169999999999</v>
      </c>
      <c r="BG100" s="37">
        <v>12.499169999999999</v>
      </c>
      <c r="BH100" s="37">
        <v>12.499169999999999</v>
      </c>
      <c r="BI100" s="37">
        <v>12.499169999999999</v>
      </c>
      <c r="BJ100" s="37">
        <v>12.499169999999999</v>
      </c>
      <c r="BK100" s="37">
        <v>12.499169999999999</v>
      </c>
      <c r="BL100" s="37">
        <v>12.499169999999999</v>
      </c>
      <c r="BM100" s="37">
        <v>12.499169999999999</v>
      </c>
      <c r="BN100" s="37">
        <v>12.499169999999999</v>
      </c>
      <c r="BO100" s="37">
        <v>12.499169999999999</v>
      </c>
      <c r="BP100" s="37">
        <v>12.499169999999999</v>
      </c>
      <c r="BQ100" s="37">
        <v>12.499169999999999</v>
      </c>
      <c r="BR100" s="37">
        <v>12.499169999999999</v>
      </c>
      <c r="BS100" s="37">
        <v>12.499169999999999</v>
      </c>
      <c r="BT100" s="37">
        <v>12.499169999999999</v>
      </c>
      <c r="BU100" s="37">
        <v>12.499169999999999</v>
      </c>
      <c r="BV100" s="37">
        <v>12.499169999999999</v>
      </c>
      <c r="BW100" s="37">
        <v>12.499169999999999</v>
      </c>
      <c r="BX100" s="37">
        <v>12.499169999999999</v>
      </c>
      <c r="BY100" s="37">
        <v>12.499169999999999</v>
      </c>
      <c r="BZ100" s="37">
        <v>12.499169999999999</v>
      </c>
      <c r="CA100" s="37">
        <v>12.499169999999999</v>
      </c>
      <c r="CB100" s="37">
        <v>12.499169999999999</v>
      </c>
      <c r="CC100" s="37">
        <v>12.499169999999999</v>
      </c>
      <c r="CD100" s="37">
        <v>12.499169999999999</v>
      </c>
      <c r="CE100" s="37">
        <v>12.499169999999999</v>
      </c>
      <c r="CF100" s="37">
        <v>12.499169999999999</v>
      </c>
      <c r="CG100" s="37">
        <v>12.499169999999999</v>
      </c>
      <c r="CH100" s="37">
        <v>12.499169999999999</v>
      </c>
      <c r="CI100" s="37">
        <v>12.499169999999999</v>
      </c>
      <c r="CJ100" s="37">
        <v>12.499169999999999</v>
      </c>
      <c r="CK100" s="37">
        <v>12.499169999999999</v>
      </c>
      <c r="CL100" s="37">
        <v>12.499169999999999</v>
      </c>
      <c r="CM100" s="37">
        <v>12.499169999999999</v>
      </c>
      <c r="CN100" s="37">
        <v>12.499169999999999</v>
      </c>
      <c r="CO100" s="37">
        <v>12.499169999999999</v>
      </c>
      <c r="CP100" s="37">
        <v>12.499169999999999</v>
      </c>
      <c r="CQ100" s="37">
        <v>12.499169999999999</v>
      </c>
      <c r="CR100" s="37">
        <v>12.499169999999999</v>
      </c>
      <c r="CS100" s="37">
        <v>12.499169999999999</v>
      </c>
      <c r="CT100" s="37">
        <v>12.499169999999999</v>
      </c>
      <c r="CU100" s="37">
        <v>12.499169999999999</v>
      </c>
      <c r="CV100" s="37">
        <v>12.499169999999999</v>
      </c>
      <c r="CW100" s="37">
        <v>12.499169999999999</v>
      </c>
      <c r="CX100" s="37">
        <v>12.499169999999999</v>
      </c>
      <c r="CY100" s="37">
        <v>12.499169999999999</v>
      </c>
      <c r="CZ100" s="37">
        <v>12.499169999999999</v>
      </c>
      <c r="DA100" s="37">
        <v>12.499169999999999</v>
      </c>
      <c r="DB100" s="37">
        <v>12.499169999999999</v>
      </c>
      <c r="DC100" s="37">
        <v>12.499169999999999</v>
      </c>
      <c r="DD100" s="37">
        <v>12.499169999999999</v>
      </c>
      <c r="DE100" s="37">
        <v>12.499169999999999</v>
      </c>
      <c r="DF100" s="37">
        <v>12.499169999999999</v>
      </c>
      <c r="DG100" s="37">
        <v>12.499169999999999</v>
      </c>
      <c r="DH100" s="37">
        <v>12.499169999999999</v>
      </c>
      <c r="DI100" s="37">
        <v>12.499169999999999</v>
      </c>
      <c r="DJ100" s="37">
        <v>12.499169999999999</v>
      </c>
      <c r="DK100" s="37">
        <v>12.499169999999999</v>
      </c>
      <c r="DL100" s="37">
        <v>12.499169999999999</v>
      </c>
      <c r="DM100" s="37">
        <v>12.499169999999999</v>
      </c>
      <c r="DN100" s="37">
        <v>12.499169999999999</v>
      </c>
      <c r="DO100" s="37">
        <v>12.499169999999999</v>
      </c>
      <c r="DP100" s="37">
        <v>12.499169999999999</v>
      </c>
      <c r="DQ100" s="37">
        <v>12.499169999999999</v>
      </c>
      <c r="DR100" s="37">
        <v>12.499169999999999</v>
      </c>
      <c r="DS100" s="37">
        <v>12.499169999999999</v>
      </c>
      <c r="DT100" s="37">
        <v>12.499169999999999</v>
      </c>
      <c r="DU100" s="37">
        <v>12.499169999999999</v>
      </c>
      <c r="DV100" s="37">
        <v>12.499169999999999</v>
      </c>
      <c r="DW100" s="37">
        <v>12.499169999999999</v>
      </c>
      <c r="DX100" s="37">
        <v>12.499169999999999</v>
      </c>
      <c r="DY100" s="37">
        <v>12.499169999999999</v>
      </c>
      <c r="DZ100" s="37">
        <v>12.499169999999999</v>
      </c>
      <c r="EA100" s="37">
        <v>12.499169999999999</v>
      </c>
      <c r="EB100" s="37">
        <v>12.499169999999999</v>
      </c>
      <c r="EC100" s="37">
        <v>12.499169999999999</v>
      </c>
      <c r="ED100" s="37">
        <v>12.499169999999999</v>
      </c>
      <c r="EE100" s="37">
        <v>12.499169999999999</v>
      </c>
      <c r="EF100" s="37">
        <v>12.499169999999999</v>
      </c>
      <c r="EG100" s="37">
        <v>12.499169999999999</v>
      </c>
      <c r="EH100" s="37">
        <v>12.499169999999999</v>
      </c>
      <c r="EI100" s="37">
        <v>12.499169999999999</v>
      </c>
      <c r="EJ100" s="37">
        <v>12.499169999999999</v>
      </c>
      <c r="EK100" s="37">
        <v>12.499169999999999</v>
      </c>
      <c r="EL100" s="37">
        <v>12.499169999999999</v>
      </c>
      <c r="EM100" s="37">
        <v>12.499169999999999</v>
      </c>
      <c r="EN100" s="37">
        <v>12.499169999999999</v>
      </c>
      <c r="EO100" s="37">
        <v>12.499169999999999</v>
      </c>
      <c r="EP100" s="37">
        <v>12.499169999999999</v>
      </c>
      <c r="EQ100" s="37">
        <v>12.499169999999999</v>
      </c>
      <c r="ER100" s="37">
        <v>12.499169999999999</v>
      </c>
      <c r="ES100" s="37">
        <v>12.499169999999999</v>
      </c>
      <c r="ET100" s="37">
        <v>12.499169999999999</v>
      </c>
      <c r="EU100" s="37">
        <v>12.499169999999999</v>
      </c>
      <c r="EV100" s="37">
        <v>12.499169999999999</v>
      </c>
      <c r="EW100" s="37">
        <v>12.499169999999999</v>
      </c>
      <c r="EX100" s="37">
        <v>12.499169999999999</v>
      </c>
      <c r="EY100" s="37">
        <v>12.499169999999999</v>
      </c>
      <c r="EZ100" s="37">
        <v>12.499169999999999</v>
      </c>
      <c r="FA100" s="37">
        <v>12.499169999999999</v>
      </c>
      <c r="FB100" s="37">
        <v>12.499169999999999</v>
      </c>
      <c r="FC100" s="37">
        <v>12.499169999999999</v>
      </c>
      <c r="FD100" s="37">
        <v>12.499169999999999</v>
      </c>
      <c r="FE100" s="37">
        <v>12.499169999999999</v>
      </c>
      <c r="FF100" s="37">
        <v>12.499169999999999</v>
      </c>
      <c r="FG100" s="37">
        <v>12.499169999999999</v>
      </c>
      <c r="FH100" s="37">
        <v>12.499169999999999</v>
      </c>
      <c r="FI100" s="37">
        <v>12.499169999999999</v>
      </c>
      <c r="FJ100" s="37">
        <v>12.499169999999999</v>
      </c>
      <c r="FK100" s="37">
        <v>12.499169999999999</v>
      </c>
      <c r="FL100" s="37">
        <v>12.499169999999999</v>
      </c>
      <c r="FM100" s="37">
        <v>12.499169999999999</v>
      </c>
      <c r="FN100" s="37">
        <v>12.499169999999999</v>
      </c>
      <c r="FO100" s="37">
        <v>12.499169999999999</v>
      </c>
      <c r="FP100" s="37">
        <v>12.499169999999999</v>
      </c>
      <c r="FQ100" s="37">
        <v>12.499169999999999</v>
      </c>
      <c r="FR100" s="37">
        <v>12.499169999999999</v>
      </c>
      <c r="FS100" s="37">
        <v>12.499169999999999</v>
      </c>
      <c r="FT100" s="37">
        <v>12.499169999999999</v>
      </c>
      <c r="FU100" s="37">
        <v>12.499169999999999</v>
      </c>
      <c r="FV100" s="37">
        <v>12.499169999999999</v>
      </c>
      <c r="FW100" s="37">
        <v>12.499169999999999</v>
      </c>
      <c r="FX100" s="37">
        <v>12.499169999999999</v>
      </c>
      <c r="FY100" s="37">
        <v>12.499169999999999</v>
      </c>
      <c r="FZ100" s="37">
        <v>12.499169999999999</v>
      </c>
      <c r="GA100" s="37">
        <v>12.499169999999999</v>
      </c>
      <c r="GB100" s="37">
        <v>12.499169999999999</v>
      </c>
      <c r="GC100" s="37">
        <v>12.499169999999999</v>
      </c>
      <c r="GD100" s="37">
        <v>12.499169999999999</v>
      </c>
      <c r="GE100" s="37">
        <v>12.499169999999999</v>
      </c>
      <c r="GF100" s="37">
        <v>12.499169999999999</v>
      </c>
      <c r="GG100" s="37">
        <v>12.499169999999999</v>
      </c>
      <c r="GH100" s="37">
        <v>12.499169999999999</v>
      </c>
      <c r="GI100" s="37">
        <v>12.499169999999999</v>
      </c>
      <c r="GJ100" s="37">
        <v>12.499169999999999</v>
      </c>
      <c r="GK100" s="37">
        <v>12.499169999999999</v>
      </c>
      <c r="GL100" s="37">
        <v>12.499169999999999</v>
      </c>
      <c r="GM100" s="37">
        <v>12.499169999999999</v>
      </c>
      <c r="GN100" s="37">
        <v>12.499169999999999</v>
      </c>
      <c r="GO100" s="37">
        <v>12.499169999999999</v>
      </c>
      <c r="GP100" s="37">
        <v>12.499169999999999</v>
      </c>
      <c r="GQ100" s="37">
        <v>12.499169999999999</v>
      </c>
      <c r="GR100" s="37">
        <v>12.499169999999999</v>
      </c>
      <c r="GS100" s="37">
        <v>12.499169999999999</v>
      </c>
      <c r="GT100" s="37">
        <v>12.499169999999999</v>
      </c>
      <c r="GU100" s="37">
        <v>12.499169999999999</v>
      </c>
      <c r="GV100" s="37">
        <v>12.499169999999999</v>
      </c>
      <c r="GW100" s="37">
        <v>12.499169999999999</v>
      </c>
      <c r="GX100" s="37">
        <v>12.499169999999999</v>
      </c>
      <c r="GY100" s="37">
        <v>12.499169999999999</v>
      </c>
      <c r="GZ100" s="37">
        <v>12.499169999999999</v>
      </c>
      <c r="HA100" s="37">
        <v>12.499169999999999</v>
      </c>
      <c r="HB100" s="37">
        <v>12.499169999999999</v>
      </c>
      <c r="HC100" s="37">
        <v>12.499169999999999</v>
      </c>
      <c r="HD100" s="37">
        <v>12.499169999999999</v>
      </c>
      <c r="HE100" s="37">
        <v>12.499169999999999</v>
      </c>
      <c r="HF100" s="37">
        <v>12.499169999999999</v>
      </c>
      <c r="HG100" s="37">
        <v>12.499169999999999</v>
      </c>
      <c r="HH100" s="37">
        <v>12.499169999999999</v>
      </c>
      <c r="HI100" s="37">
        <v>12.499169999999999</v>
      </c>
      <c r="HJ100" s="37">
        <v>12.499169999999999</v>
      </c>
      <c r="HK100" s="37">
        <v>12.499169999999999</v>
      </c>
      <c r="HL100" s="37">
        <v>12.499169999999999</v>
      </c>
      <c r="HM100" s="37">
        <v>12.499169999999999</v>
      </c>
      <c r="HN100" s="37">
        <v>12.499169999999999</v>
      </c>
      <c r="HO100" s="37">
        <v>12.499169999999999</v>
      </c>
      <c r="HP100" s="37">
        <v>12.499169999999999</v>
      </c>
      <c r="HQ100" s="37">
        <v>12.499169999999999</v>
      </c>
      <c r="HR100" s="37">
        <v>12.499169999999999</v>
      </c>
      <c r="HS100" s="37">
        <v>12.499169999999999</v>
      </c>
      <c r="HT100" s="37">
        <v>12.499169999999999</v>
      </c>
      <c r="HU100" s="37">
        <v>12.499169999999999</v>
      </c>
      <c r="HV100" s="37">
        <v>12.499169999999999</v>
      </c>
      <c r="HW100" s="37">
        <v>12.499169999999999</v>
      </c>
      <c r="HX100" s="37">
        <v>12.499169999999999</v>
      </c>
      <c r="HY100" s="37">
        <v>12.499169999999999</v>
      </c>
      <c r="HZ100" s="37">
        <v>12.499169999999999</v>
      </c>
      <c r="IA100" s="37">
        <v>12.499169999999999</v>
      </c>
      <c r="IB100" s="37">
        <v>12.499169999999999</v>
      </c>
      <c r="IC100" s="37">
        <v>12.499169999999999</v>
      </c>
      <c r="ID100" s="37">
        <v>12.499169999999999</v>
      </c>
      <c r="IE100" s="37">
        <v>12.499169999999999</v>
      </c>
      <c r="IF100" s="37">
        <v>12.499169999999999</v>
      </c>
      <c r="IG100" s="37">
        <v>12.499169999999999</v>
      </c>
      <c r="IH100" s="37">
        <v>12.499169999999999</v>
      </c>
      <c r="II100" s="37">
        <v>12.499169999999999</v>
      </c>
      <c r="IJ100" s="37">
        <v>12.499169999999999</v>
      </c>
      <c r="IK100" s="37">
        <v>12.499169999999999</v>
      </c>
      <c r="IL100" s="37">
        <v>12.499169999999999</v>
      </c>
      <c r="IM100" s="37">
        <v>12.499169999999999</v>
      </c>
      <c r="IN100" s="37">
        <v>12.499169999999999</v>
      </c>
      <c r="IO100" s="37">
        <v>12.499169999999999</v>
      </c>
      <c r="IP100" s="37">
        <v>12.499169999999999</v>
      </c>
      <c r="IQ100" s="37">
        <v>12.499169999999999</v>
      </c>
      <c r="IR100" s="37">
        <v>12.499169999999999</v>
      </c>
      <c r="IS100" s="37">
        <v>12.499169999999999</v>
      </c>
      <c r="IT100" s="37">
        <v>12.499169999999999</v>
      </c>
      <c r="IU100" s="37">
        <v>12.499169999999999</v>
      </c>
      <c r="IV100" s="37">
        <v>12.499169999999999</v>
      </c>
      <c r="IW100" s="37">
        <v>12.499169999999999</v>
      </c>
      <c r="IX100" s="37">
        <v>12.499169999999999</v>
      </c>
      <c r="IY100" s="37">
        <v>12.499169999999999</v>
      </c>
      <c r="IZ100" s="37">
        <v>12.499169999999999</v>
      </c>
      <c r="JA100" s="37">
        <v>12.499169999999999</v>
      </c>
      <c r="JB100" s="37">
        <v>12.499169999999999</v>
      </c>
      <c r="JC100" s="37">
        <v>12.499169999999999</v>
      </c>
      <c r="JD100" s="37">
        <v>12.499169999999999</v>
      </c>
      <c r="JE100" s="37">
        <v>12.499169999999999</v>
      </c>
      <c r="JF100" s="37">
        <v>12.499169999999999</v>
      </c>
      <c r="JG100" s="37">
        <v>12.499169999999999</v>
      </c>
      <c r="JH100" s="37">
        <v>12.499169999999999</v>
      </c>
      <c r="JI100" s="37">
        <v>12.499169999999999</v>
      </c>
      <c r="JJ100" s="37">
        <v>12.499169999999999</v>
      </c>
      <c r="JK100" s="37">
        <v>12.499169999999999</v>
      </c>
      <c r="JL100" s="37">
        <v>12.499169999999999</v>
      </c>
      <c r="JM100" s="37">
        <v>12.499169999999999</v>
      </c>
      <c r="JN100" s="37">
        <v>12.499169999999999</v>
      </c>
      <c r="JO100" s="37">
        <v>12.499169999999999</v>
      </c>
      <c r="JP100" s="37">
        <v>12.499169999999999</v>
      </c>
      <c r="JQ100" s="37">
        <v>12.499169999999999</v>
      </c>
      <c r="JR100" s="37">
        <v>12.499169999999999</v>
      </c>
      <c r="JS100" s="37">
        <v>12.499169999999999</v>
      </c>
      <c r="JT100" s="37">
        <v>12.499169999999999</v>
      </c>
      <c r="JU100" s="37">
        <v>12.499169999999999</v>
      </c>
      <c r="JV100" s="37">
        <v>12.499169999999999</v>
      </c>
      <c r="JW100" s="37">
        <v>12.499169999999999</v>
      </c>
      <c r="JX100" s="37">
        <v>12.499169999999999</v>
      </c>
      <c r="JY100" s="37">
        <v>12.499169999999999</v>
      </c>
      <c r="JZ100" s="37">
        <v>12.499169999999999</v>
      </c>
      <c r="KA100" s="37">
        <v>12.499169999999999</v>
      </c>
      <c r="KB100" s="37">
        <v>12.499169999999999</v>
      </c>
      <c r="KC100" s="37">
        <v>12.499169999999999</v>
      </c>
      <c r="KD100" s="37">
        <v>12.499169999999999</v>
      </c>
      <c r="KE100" s="37">
        <v>12.499169999999999</v>
      </c>
      <c r="KF100" s="37">
        <v>12.499169999999999</v>
      </c>
      <c r="KG100" s="37">
        <v>12.499169999999999</v>
      </c>
      <c r="KH100" s="37">
        <v>12.499169999999999</v>
      </c>
      <c r="KI100" s="37">
        <v>12.499169999999999</v>
      </c>
      <c r="KJ100" s="37">
        <v>12.499169999999999</v>
      </c>
      <c r="KK100" s="37">
        <v>12.499169999999999</v>
      </c>
      <c r="KL100" s="37">
        <v>12.499169999999999</v>
      </c>
      <c r="KM100" s="37">
        <v>12.499169999999999</v>
      </c>
      <c r="KN100" s="37">
        <v>12.499169999999999</v>
      </c>
      <c r="KO100" s="37">
        <v>12.499169999999999</v>
      </c>
      <c r="KP100" s="37">
        <v>12.499169999999999</v>
      </c>
      <c r="KQ100" s="37">
        <v>12.499169999999999</v>
      </c>
      <c r="KR100" s="37">
        <v>12.499169999999999</v>
      </c>
      <c r="KS100" s="37">
        <v>12.499169999999999</v>
      </c>
      <c r="KT100" s="37">
        <v>12.499169999999999</v>
      </c>
      <c r="KU100" s="37">
        <v>12.499169999999999</v>
      </c>
      <c r="KV100" s="37">
        <v>12.499169999999999</v>
      </c>
      <c r="KW100" s="37">
        <v>12.499169999999999</v>
      </c>
      <c r="KX100" s="37">
        <v>12.499169999999999</v>
      </c>
      <c r="KY100" s="37">
        <v>12.499169999999999</v>
      </c>
      <c r="KZ100" s="37">
        <v>12.499169999999999</v>
      </c>
      <c r="LA100" s="37">
        <v>12.499169999999999</v>
      </c>
      <c r="LB100" s="37">
        <v>12.499169999999999</v>
      </c>
      <c r="LC100" s="37">
        <v>12.499169999999999</v>
      </c>
      <c r="LD100" s="37">
        <v>12.499169999999999</v>
      </c>
      <c r="LE100" s="37">
        <v>12.499169999999999</v>
      </c>
      <c r="LF100" s="37">
        <v>12.499169999999999</v>
      </c>
      <c r="LG100" s="37">
        <v>12.499169999999999</v>
      </c>
      <c r="LH100" s="37">
        <v>12.499169999999999</v>
      </c>
      <c r="LI100" s="37">
        <v>12.499169999999999</v>
      </c>
      <c r="LJ100" s="37">
        <v>12.499169999999999</v>
      </c>
      <c r="LK100" s="37">
        <v>12.499169999999999</v>
      </c>
      <c r="LL100" s="37">
        <v>12.499169999999999</v>
      </c>
      <c r="LM100" s="37">
        <v>12.499169999999999</v>
      </c>
      <c r="LN100" s="37">
        <v>12.499169999999999</v>
      </c>
      <c r="LO100" s="37">
        <v>12.499169999999999</v>
      </c>
      <c r="LP100" s="37">
        <v>12.499169999999999</v>
      </c>
      <c r="LQ100" s="37">
        <v>12.499169999999999</v>
      </c>
      <c r="LR100" s="37">
        <v>12.499169999999999</v>
      </c>
      <c r="LS100" s="37">
        <v>12.499169999999999</v>
      </c>
      <c r="LT100" s="37">
        <v>12.499169999999999</v>
      </c>
      <c r="LU100" s="37">
        <v>12.499169999999999</v>
      </c>
      <c r="LV100" s="37">
        <v>12.499169999999999</v>
      </c>
      <c r="LW100" s="37">
        <v>12.499169999999999</v>
      </c>
      <c r="LX100" s="37">
        <v>12.499169999999999</v>
      </c>
      <c r="LY100" s="37">
        <v>12.499169999999999</v>
      </c>
      <c r="LZ100" s="37">
        <v>12.499169999999999</v>
      </c>
      <c r="MA100" s="37">
        <v>12.499169999999999</v>
      </c>
      <c r="MB100" s="37">
        <v>12.499169999999999</v>
      </c>
      <c r="MC100" s="37">
        <v>12.499169999999999</v>
      </c>
      <c r="MD100" s="37">
        <v>12.499169999999999</v>
      </c>
      <c r="ME100" s="37">
        <v>12.499169999999999</v>
      </c>
      <c r="MF100" s="37">
        <v>12.499169999999999</v>
      </c>
      <c r="MG100" s="37">
        <v>12.499169999999999</v>
      </c>
      <c r="MH100" s="37">
        <v>12.499169999999999</v>
      </c>
      <c r="MI100" s="37">
        <v>12.499169999999999</v>
      </c>
      <c r="MJ100" s="37">
        <v>12.499169999999999</v>
      </c>
      <c r="MK100" s="37">
        <v>12.499169999999999</v>
      </c>
      <c r="ML100" s="37">
        <v>12.499169999999999</v>
      </c>
      <c r="MM100" s="37">
        <v>12.499169999999999</v>
      </c>
      <c r="MN100" s="37">
        <v>12.499169999999999</v>
      </c>
      <c r="MO100" s="37">
        <v>12.499169999999999</v>
      </c>
      <c r="MP100" s="37">
        <v>12.499169999999999</v>
      </c>
      <c r="MQ100" s="37">
        <v>12.499169999999999</v>
      </c>
      <c r="MR100" s="37">
        <v>12.499169999999999</v>
      </c>
      <c r="MS100" s="37">
        <v>12.499169999999999</v>
      </c>
      <c r="MT100" s="37">
        <v>12.499169999999999</v>
      </c>
      <c r="MU100" s="37">
        <v>12.499169999999999</v>
      </c>
      <c r="MV100" s="37">
        <v>12.499169999999999</v>
      </c>
      <c r="MW100" s="37">
        <v>12.499169999999999</v>
      </c>
      <c r="MX100" s="37">
        <v>12.499169999999999</v>
      </c>
      <c r="MY100" s="37">
        <v>12.499169999999999</v>
      </c>
      <c r="MZ100" s="37">
        <v>12.499169999999999</v>
      </c>
      <c r="NA100" s="37">
        <v>12.499169999999999</v>
      </c>
      <c r="NB100" s="37">
        <v>12.499169999999999</v>
      </c>
      <c r="NC100" s="37">
        <v>12.499169999999999</v>
      </c>
      <c r="ND100" s="37">
        <v>12.499169999999999</v>
      </c>
      <c r="NE100" s="37">
        <v>12.499169999999999</v>
      </c>
      <c r="NF100" s="37">
        <v>12.499169999999999</v>
      </c>
      <c r="NG100" s="37">
        <v>12.499169999999999</v>
      </c>
      <c r="NH100" s="37">
        <v>12.499169999999999</v>
      </c>
      <c r="NI100" s="37">
        <v>12.499169999999999</v>
      </c>
      <c r="NJ100" s="37">
        <v>12.499169999999999</v>
      </c>
      <c r="NK100" s="37">
        <v>12.499169999999999</v>
      </c>
      <c r="NL100" s="37">
        <v>12.499169999999999</v>
      </c>
      <c r="NM100" s="37">
        <v>12.499169999999999</v>
      </c>
      <c r="NN100" s="37">
        <v>12.499169999999999</v>
      </c>
      <c r="NO100" s="37">
        <v>12.499169999999999</v>
      </c>
      <c r="NP100" s="37">
        <v>12.499169999999999</v>
      </c>
      <c r="NQ100" s="37">
        <v>12.499169999999999</v>
      </c>
      <c r="NR100" s="37">
        <v>12.499169999999999</v>
      </c>
      <c r="NS100" s="37">
        <v>12.499169999999999</v>
      </c>
      <c r="NT100" s="37">
        <v>12.499169999999999</v>
      </c>
      <c r="NU100" s="37">
        <v>12.499169999999999</v>
      </c>
      <c r="NV100" s="37">
        <v>12.499169999999999</v>
      </c>
      <c r="NW100" s="37">
        <v>12.499169999999999</v>
      </c>
      <c r="NX100" s="37">
        <v>12.499169999999999</v>
      </c>
      <c r="NY100" s="37">
        <v>12.499169999999999</v>
      </c>
      <c r="NZ100" s="37">
        <v>12.808792</v>
      </c>
    </row>
    <row r="101" spans="1:510" x14ac:dyDescent="0.2">
      <c r="A101" s="37">
        <v>99</v>
      </c>
      <c r="B101" s="37" t="s">
        <v>954</v>
      </c>
      <c r="C101" s="17">
        <f>+'Detalle Compras'!D101</f>
        <v>202511280145</v>
      </c>
      <c r="D101" s="55">
        <f t="shared" si="16"/>
        <v>10.647</v>
      </c>
      <c r="E101" s="14">
        <f>+IF(B101="","",'Detalle Compras'!S101+0)</f>
        <v>46032</v>
      </c>
      <c r="F101" s="14">
        <f>+IF(B101="","",EOMONTH('Detalle Compras'!S101,G101)+10)</f>
        <v>58847</v>
      </c>
      <c r="G101" s="50">
        <f t="shared" si="17"/>
        <v>420</v>
      </c>
      <c r="H101" s="50">
        <f t="shared" si="18"/>
        <v>419</v>
      </c>
      <c r="L101" s="52"/>
      <c r="M101" s="52"/>
      <c r="N101" s="52"/>
      <c r="O101" s="52"/>
      <c r="P101" s="52"/>
      <c r="Q101" s="52"/>
      <c r="R101" s="52"/>
      <c r="S101" s="52"/>
      <c r="T101" s="52"/>
      <c r="U101" s="52"/>
      <c r="V101" s="52"/>
      <c r="W101" s="52"/>
      <c r="X101" s="52"/>
      <c r="Y101" s="52"/>
      <c r="Z101" s="52"/>
      <c r="AA101" s="52"/>
      <c r="AB101" s="52"/>
      <c r="AC101" s="52"/>
      <c r="AD101" s="52"/>
      <c r="AE101" s="52">
        <v>10.647</v>
      </c>
      <c r="AF101" s="52">
        <v>10.647</v>
      </c>
      <c r="AG101" s="52">
        <v>10.647</v>
      </c>
      <c r="AH101" s="52">
        <v>10.647</v>
      </c>
      <c r="AI101" s="52">
        <v>10.647</v>
      </c>
      <c r="AJ101" s="52">
        <v>10.647</v>
      </c>
      <c r="AK101" s="52">
        <v>10.647</v>
      </c>
      <c r="AL101" s="52">
        <v>10.647</v>
      </c>
      <c r="AM101" s="52">
        <v>10.647</v>
      </c>
      <c r="AN101" s="52">
        <v>10.647</v>
      </c>
      <c r="AO101" s="52">
        <v>10.647</v>
      </c>
      <c r="AP101" s="52">
        <v>10.647</v>
      </c>
      <c r="AQ101" s="52">
        <v>10.647</v>
      </c>
      <c r="AR101" s="52">
        <v>10.647</v>
      </c>
      <c r="AS101" s="52">
        <v>10.647</v>
      </c>
      <c r="AT101" s="52">
        <v>10.647</v>
      </c>
      <c r="AU101" s="52">
        <v>10.647</v>
      </c>
      <c r="AV101" s="52">
        <v>10.647</v>
      </c>
      <c r="AW101" s="52">
        <v>10.647</v>
      </c>
      <c r="AX101" s="52">
        <v>10.647</v>
      </c>
      <c r="AY101" s="52">
        <v>10.647</v>
      </c>
      <c r="AZ101" s="52">
        <v>10.647</v>
      </c>
      <c r="BA101" s="52">
        <v>10.647</v>
      </c>
      <c r="BB101" s="52">
        <v>10.647</v>
      </c>
      <c r="BC101" s="52">
        <v>10.647</v>
      </c>
      <c r="BD101" s="52">
        <v>10.647</v>
      </c>
      <c r="BE101" s="52">
        <v>10.647</v>
      </c>
      <c r="BF101" s="52">
        <v>10.647</v>
      </c>
      <c r="BG101" s="52">
        <v>10.647</v>
      </c>
      <c r="BH101" s="52">
        <v>10.647</v>
      </c>
      <c r="BI101" s="52">
        <v>10.647</v>
      </c>
      <c r="BJ101" s="52">
        <v>10.647</v>
      </c>
      <c r="BK101" s="52">
        <v>10.647</v>
      </c>
      <c r="BL101" s="52">
        <v>10.647</v>
      </c>
      <c r="BM101" s="52">
        <v>10.647</v>
      </c>
      <c r="BN101" s="52">
        <v>10.647</v>
      </c>
      <c r="BO101" s="52">
        <v>10.647</v>
      </c>
      <c r="BP101" s="52">
        <v>10.647</v>
      </c>
      <c r="BQ101" s="52">
        <v>10.647</v>
      </c>
      <c r="BR101" s="52">
        <v>10.647</v>
      </c>
      <c r="BS101" s="52">
        <v>10.647</v>
      </c>
      <c r="BT101" s="52">
        <v>10.647</v>
      </c>
      <c r="BU101" s="52">
        <v>10.647</v>
      </c>
      <c r="BV101" s="52">
        <v>10.647</v>
      </c>
      <c r="BW101" s="52">
        <v>10.647</v>
      </c>
      <c r="BX101" s="52">
        <v>10.647</v>
      </c>
      <c r="BY101" s="52">
        <v>10.647</v>
      </c>
      <c r="BZ101" s="52">
        <v>10.647</v>
      </c>
      <c r="CA101" s="52">
        <v>10.647</v>
      </c>
      <c r="CB101" s="52">
        <v>10.647</v>
      </c>
      <c r="CC101" s="52">
        <v>10.647</v>
      </c>
      <c r="CD101" s="52">
        <v>10.647</v>
      </c>
      <c r="CE101" s="52">
        <v>10.647</v>
      </c>
      <c r="CF101" s="52">
        <v>10.647</v>
      </c>
      <c r="CG101" s="52">
        <v>10.647</v>
      </c>
      <c r="CH101" s="52">
        <v>10.647</v>
      </c>
      <c r="CI101" s="52">
        <v>10.647</v>
      </c>
      <c r="CJ101" s="52">
        <v>10.647</v>
      </c>
      <c r="CK101" s="52">
        <v>10.647</v>
      </c>
      <c r="CL101" s="52">
        <v>10.647</v>
      </c>
      <c r="CM101" s="52">
        <v>10.647</v>
      </c>
      <c r="CN101" s="52">
        <v>10.647</v>
      </c>
      <c r="CO101" s="52">
        <v>10.647</v>
      </c>
      <c r="CP101" s="52">
        <v>10.647</v>
      </c>
      <c r="CQ101" s="52">
        <v>10.647</v>
      </c>
      <c r="CR101" s="52">
        <v>10.647</v>
      </c>
      <c r="CS101" s="52">
        <v>10.647</v>
      </c>
      <c r="CT101" s="52">
        <v>10.647</v>
      </c>
      <c r="CU101" s="52">
        <v>10.647</v>
      </c>
      <c r="CV101" s="52">
        <v>10.647</v>
      </c>
      <c r="CW101" s="52">
        <v>10.647</v>
      </c>
      <c r="CX101" s="52">
        <v>10.647</v>
      </c>
      <c r="CY101" s="52">
        <v>10.647</v>
      </c>
      <c r="CZ101" s="52">
        <v>10.647</v>
      </c>
      <c r="DA101" s="52">
        <v>10.647</v>
      </c>
      <c r="DB101" s="52">
        <v>10.647</v>
      </c>
      <c r="DC101" s="52">
        <v>10.647</v>
      </c>
      <c r="DD101" s="52">
        <v>10.647</v>
      </c>
      <c r="DE101" s="52">
        <v>10.647</v>
      </c>
      <c r="DF101" s="52">
        <v>10.647</v>
      </c>
      <c r="DG101" s="52">
        <v>10.647</v>
      </c>
      <c r="DH101" s="52">
        <v>10.647</v>
      </c>
      <c r="DI101" s="52">
        <v>10.647</v>
      </c>
      <c r="DJ101" s="52">
        <v>10.647</v>
      </c>
      <c r="DK101" s="52">
        <v>10.647</v>
      </c>
      <c r="DL101" s="52">
        <v>10.647</v>
      </c>
      <c r="DM101" s="52">
        <v>10.647</v>
      </c>
      <c r="DN101" s="52">
        <v>10.647</v>
      </c>
      <c r="DO101" s="52">
        <v>10.647</v>
      </c>
      <c r="DP101" s="52">
        <v>10.647</v>
      </c>
      <c r="DQ101" s="52">
        <v>10.647</v>
      </c>
      <c r="DR101" s="52">
        <v>10.647</v>
      </c>
      <c r="DS101" s="52">
        <v>10.647</v>
      </c>
      <c r="DT101" s="52">
        <v>10.647</v>
      </c>
      <c r="DU101" s="52">
        <v>10.647</v>
      </c>
      <c r="DV101" s="52">
        <v>10.647</v>
      </c>
      <c r="DW101" s="52">
        <v>10.647</v>
      </c>
      <c r="DX101" s="52">
        <v>10.647</v>
      </c>
      <c r="DY101" s="52">
        <v>10.647</v>
      </c>
      <c r="DZ101" s="52">
        <v>10.647</v>
      </c>
      <c r="EA101" s="52">
        <v>10.647</v>
      </c>
      <c r="EB101" s="52">
        <v>10.647</v>
      </c>
      <c r="EC101" s="52">
        <v>10.647</v>
      </c>
      <c r="ED101" s="52">
        <v>10.647</v>
      </c>
      <c r="EE101" s="52">
        <v>10.647</v>
      </c>
      <c r="EF101" s="52">
        <v>10.647</v>
      </c>
      <c r="EG101" s="52">
        <v>10.647</v>
      </c>
      <c r="EH101" s="52">
        <v>10.647</v>
      </c>
      <c r="EI101" s="52">
        <v>10.647</v>
      </c>
      <c r="EJ101" s="52">
        <v>10.647</v>
      </c>
      <c r="EK101" s="52">
        <v>10.647</v>
      </c>
      <c r="EL101" s="52">
        <v>10.647</v>
      </c>
      <c r="EM101" s="52">
        <v>10.647</v>
      </c>
      <c r="EN101" s="52">
        <v>10.647</v>
      </c>
      <c r="EO101" s="52">
        <v>10.647</v>
      </c>
      <c r="EP101" s="52">
        <v>10.647</v>
      </c>
      <c r="EQ101" s="52">
        <v>10.647</v>
      </c>
      <c r="ER101" s="52">
        <v>10.647</v>
      </c>
      <c r="ES101" s="52">
        <v>10.647</v>
      </c>
      <c r="ET101" s="52">
        <v>10.647</v>
      </c>
      <c r="EU101" s="52">
        <v>10.647</v>
      </c>
      <c r="EV101" s="52">
        <v>10.647</v>
      </c>
      <c r="EW101" s="52">
        <v>10.647</v>
      </c>
      <c r="EX101" s="52">
        <v>10.647</v>
      </c>
      <c r="EY101" s="52">
        <v>10.647</v>
      </c>
      <c r="EZ101" s="52">
        <v>10.647</v>
      </c>
      <c r="FA101" s="52">
        <v>10.647</v>
      </c>
      <c r="FB101" s="52">
        <v>10.647</v>
      </c>
      <c r="FC101" s="52">
        <v>10.647</v>
      </c>
      <c r="FD101" s="52">
        <v>10.647</v>
      </c>
      <c r="FE101" s="52">
        <v>10.647</v>
      </c>
      <c r="FF101" s="52">
        <v>10.647</v>
      </c>
      <c r="FG101" s="52">
        <v>10.647</v>
      </c>
      <c r="FH101" s="52">
        <v>10.647</v>
      </c>
      <c r="FI101" s="52">
        <v>10.647</v>
      </c>
      <c r="FJ101" s="52">
        <v>10.647</v>
      </c>
      <c r="FK101" s="52">
        <v>10.647</v>
      </c>
      <c r="FL101" s="52">
        <v>10.647</v>
      </c>
      <c r="FM101" s="52">
        <v>10.647</v>
      </c>
      <c r="FN101" s="52">
        <v>10.647</v>
      </c>
      <c r="FO101" s="52">
        <v>10.647</v>
      </c>
      <c r="FP101" s="52">
        <v>10.647</v>
      </c>
      <c r="FQ101" s="52">
        <v>10.647</v>
      </c>
      <c r="FR101" s="52">
        <v>10.647</v>
      </c>
      <c r="FS101" s="52">
        <v>10.647</v>
      </c>
      <c r="FT101" s="52">
        <v>10.647</v>
      </c>
      <c r="FU101" s="52">
        <v>10.647</v>
      </c>
      <c r="FV101" s="52">
        <v>10.647</v>
      </c>
      <c r="FW101" s="52">
        <v>10.647</v>
      </c>
      <c r="FX101" s="52">
        <v>10.647</v>
      </c>
      <c r="FY101" s="52">
        <v>10.647</v>
      </c>
      <c r="FZ101" s="52">
        <v>10.647</v>
      </c>
      <c r="GA101" s="52">
        <v>10.647</v>
      </c>
      <c r="GB101" s="52">
        <v>10.647</v>
      </c>
      <c r="GC101" s="52">
        <v>10.647</v>
      </c>
      <c r="GD101" s="52">
        <v>10.647</v>
      </c>
      <c r="GE101" s="52">
        <v>10.647</v>
      </c>
      <c r="GF101" s="52">
        <v>10.647</v>
      </c>
      <c r="GG101" s="52">
        <v>10.647</v>
      </c>
      <c r="GH101" s="52">
        <v>10.647</v>
      </c>
      <c r="GI101" s="52">
        <v>10.647</v>
      </c>
      <c r="GJ101" s="52">
        <v>10.647</v>
      </c>
      <c r="GK101" s="52">
        <v>10.647</v>
      </c>
      <c r="GL101" s="52">
        <v>10.647</v>
      </c>
      <c r="GM101" s="52">
        <v>10.647</v>
      </c>
      <c r="GN101" s="52">
        <v>10.647</v>
      </c>
      <c r="GO101" s="52">
        <v>10.647</v>
      </c>
      <c r="GP101" s="52">
        <v>10.647</v>
      </c>
      <c r="GQ101" s="52">
        <v>10.647</v>
      </c>
      <c r="GR101" s="52">
        <v>10.647</v>
      </c>
      <c r="GS101" s="52">
        <v>10.647</v>
      </c>
      <c r="GT101" s="52">
        <v>10.647</v>
      </c>
      <c r="GU101" s="52">
        <v>10.647</v>
      </c>
      <c r="GV101" s="52">
        <v>10.647</v>
      </c>
      <c r="GW101" s="52">
        <v>10.647</v>
      </c>
      <c r="GX101" s="52">
        <v>10.647</v>
      </c>
      <c r="GY101" s="52">
        <v>10.647</v>
      </c>
      <c r="GZ101" s="52">
        <v>10.647</v>
      </c>
      <c r="HA101" s="52">
        <v>10.647</v>
      </c>
      <c r="HB101" s="52">
        <v>10.647</v>
      </c>
      <c r="HC101" s="52">
        <v>10.647</v>
      </c>
      <c r="HD101" s="52">
        <v>10.647</v>
      </c>
      <c r="HE101" s="52">
        <v>10.647</v>
      </c>
      <c r="HF101" s="52">
        <v>10.647</v>
      </c>
      <c r="HG101" s="52">
        <v>10.647</v>
      </c>
      <c r="HH101" s="52">
        <v>10.647</v>
      </c>
      <c r="HI101" s="52">
        <v>10.647</v>
      </c>
      <c r="HJ101" s="52">
        <v>10.647</v>
      </c>
      <c r="HK101" s="52">
        <v>10.647</v>
      </c>
      <c r="HL101" s="52">
        <v>10.647</v>
      </c>
      <c r="HM101" s="52">
        <v>10.647</v>
      </c>
      <c r="HN101" s="52">
        <v>10.647</v>
      </c>
      <c r="HO101" s="52">
        <v>10.647</v>
      </c>
      <c r="HP101" s="52">
        <v>10.647</v>
      </c>
      <c r="HQ101" s="52">
        <v>10.647</v>
      </c>
      <c r="HR101" s="52">
        <v>10.647</v>
      </c>
      <c r="HS101" s="52">
        <v>10.647</v>
      </c>
      <c r="HT101" s="52">
        <v>10.647</v>
      </c>
      <c r="HU101" s="52">
        <v>10.647</v>
      </c>
      <c r="HV101" s="52">
        <v>10.647</v>
      </c>
      <c r="HW101" s="52">
        <v>10.647</v>
      </c>
      <c r="HX101" s="52">
        <v>10.647</v>
      </c>
      <c r="HY101" s="52">
        <v>10.647</v>
      </c>
      <c r="HZ101" s="52">
        <v>10.647</v>
      </c>
      <c r="IA101" s="52">
        <v>10.647</v>
      </c>
      <c r="IB101" s="52">
        <v>10.647</v>
      </c>
      <c r="IC101" s="52">
        <v>10.647</v>
      </c>
      <c r="ID101" s="52">
        <v>10.647</v>
      </c>
      <c r="IE101" s="52">
        <v>10.647</v>
      </c>
      <c r="IF101" s="52">
        <v>10.647</v>
      </c>
      <c r="IG101" s="52">
        <v>10.647</v>
      </c>
      <c r="IH101" s="52">
        <v>10.647</v>
      </c>
      <c r="II101" s="52">
        <v>10.647</v>
      </c>
      <c r="IJ101" s="52">
        <v>10.647</v>
      </c>
      <c r="IK101" s="52">
        <v>10.647</v>
      </c>
      <c r="IL101" s="52">
        <v>10.647</v>
      </c>
      <c r="IM101" s="52">
        <v>10.647</v>
      </c>
      <c r="IN101" s="52">
        <v>10.647</v>
      </c>
      <c r="IO101" s="52">
        <v>10.647</v>
      </c>
      <c r="IP101" s="52">
        <v>10.647</v>
      </c>
      <c r="IQ101" s="52">
        <v>10.647</v>
      </c>
      <c r="IR101" s="52">
        <v>10.647</v>
      </c>
      <c r="IS101" s="52">
        <v>10.647</v>
      </c>
      <c r="IT101" s="52">
        <v>10.647</v>
      </c>
      <c r="IU101" s="52">
        <v>10.647</v>
      </c>
      <c r="IV101" s="52">
        <v>10.647</v>
      </c>
      <c r="IW101" s="52">
        <v>10.647</v>
      </c>
      <c r="IX101" s="52">
        <v>10.647</v>
      </c>
      <c r="IY101" s="52">
        <v>10.647</v>
      </c>
      <c r="IZ101" s="52">
        <v>10.647</v>
      </c>
      <c r="JA101" s="52">
        <v>10.647</v>
      </c>
      <c r="JB101" s="52">
        <v>10.647</v>
      </c>
      <c r="JC101" s="52">
        <v>10.647</v>
      </c>
      <c r="JD101" s="52">
        <v>10.647</v>
      </c>
      <c r="JE101" s="52">
        <v>10.647</v>
      </c>
      <c r="JF101" s="52">
        <v>10.647</v>
      </c>
      <c r="JG101" s="52">
        <v>10.647</v>
      </c>
      <c r="JH101" s="52">
        <v>10.647</v>
      </c>
      <c r="JI101" s="52">
        <v>10.647</v>
      </c>
      <c r="JJ101" s="52">
        <v>10.647</v>
      </c>
      <c r="JK101" s="52">
        <v>10.647</v>
      </c>
      <c r="JL101" s="52">
        <v>10.647</v>
      </c>
      <c r="JM101" s="52">
        <v>10.647</v>
      </c>
      <c r="JN101" s="52">
        <v>10.647</v>
      </c>
      <c r="JO101" s="52">
        <v>10.647</v>
      </c>
      <c r="JP101" s="52">
        <v>10.647</v>
      </c>
      <c r="JQ101" s="52">
        <v>10.647</v>
      </c>
      <c r="JR101" s="52">
        <v>10.647</v>
      </c>
      <c r="JS101" s="52">
        <v>10.647</v>
      </c>
      <c r="JT101" s="52">
        <v>10.647</v>
      </c>
      <c r="JU101" s="52">
        <v>10.647</v>
      </c>
      <c r="JV101" s="52">
        <v>10.647</v>
      </c>
      <c r="JW101" s="52">
        <v>10.647</v>
      </c>
      <c r="JX101" s="52">
        <v>10.647</v>
      </c>
      <c r="JY101" s="52">
        <v>10.647</v>
      </c>
      <c r="JZ101" s="52">
        <v>10.647</v>
      </c>
      <c r="KA101" s="52">
        <v>10.647</v>
      </c>
      <c r="KB101" s="52">
        <v>10.647</v>
      </c>
      <c r="KC101" s="52">
        <v>10.647</v>
      </c>
      <c r="KD101" s="52">
        <v>10.647</v>
      </c>
      <c r="KE101" s="52">
        <v>10.647</v>
      </c>
      <c r="KF101" s="52">
        <v>10.647</v>
      </c>
      <c r="KG101" s="52">
        <v>10.647</v>
      </c>
      <c r="KH101" s="52">
        <v>10.647</v>
      </c>
      <c r="KI101" s="52">
        <v>10.647</v>
      </c>
      <c r="KJ101" s="52">
        <v>10.647</v>
      </c>
      <c r="KK101" s="52">
        <v>10.647</v>
      </c>
      <c r="KL101" s="52">
        <v>10.647</v>
      </c>
      <c r="KM101" s="52">
        <v>10.647</v>
      </c>
      <c r="KN101" s="52">
        <v>10.647</v>
      </c>
      <c r="KO101" s="52">
        <v>10.647</v>
      </c>
      <c r="KP101" s="52">
        <v>10.647</v>
      </c>
      <c r="KQ101" s="52">
        <v>10.647</v>
      </c>
      <c r="KR101" s="52">
        <v>10.647</v>
      </c>
      <c r="KS101" s="52">
        <v>10.647</v>
      </c>
      <c r="KT101" s="52">
        <v>10.647</v>
      </c>
      <c r="KU101" s="52">
        <v>10.647</v>
      </c>
      <c r="KV101" s="52">
        <v>10.647</v>
      </c>
      <c r="KW101" s="52">
        <v>10.647</v>
      </c>
      <c r="KX101" s="52">
        <v>10.647</v>
      </c>
      <c r="KY101" s="52">
        <v>10.647</v>
      </c>
      <c r="KZ101" s="52">
        <v>10.647</v>
      </c>
      <c r="LA101" s="52">
        <v>10.647</v>
      </c>
      <c r="LB101" s="52">
        <v>10.647</v>
      </c>
      <c r="LC101" s="52">
        <v>10.647</v>
      </c>
      <c r="LD101" s="52">
        <v>10.647</v>
      </c>
      <c r="LE101" s="52">
        <v>10.647</v>
      </c>
      <c r="LF101" s="52">
        <v>10.647</v>
      </c>
      <c r="LG101" s="52">
        <v>10.647</v>
      </c>
      <c r="LH101" s="52">
        <v>10.647</v>
      </c>
      <c r="LI101" s="52">
        <v>10.647</v>
      </c>
      <c r="LJ101" s="52">
        <v>10.647</v>
      </c>
      <c r="LK101" s="52">
        <v>10.647</v>
      </c>
      <c r="LL101" s="52">
        <v>10.647</v>
      </c>
      <c r="LM101" s="52">
        <v>10.647</v>
      </c>
      <c r="LN101" s="52">
        <v>10.647</v>
      </c>
      <c r="LO101" s="52">
        <v>10.647</v>
      </c>
      <c r="LP101" s="52">
        <v>10.647</v>
      </c>
      <c r="LQ101" s="52">
        <v>10.647</v>
      </c>
      <c r="LR101" s="52">
        <v>10.647</v>
      </c>
      <c r="LS101" s="52">
        <v>10.647</v>
      </c>
      <c r="LT101" s="52">
        <v>10.647</v>
      </c>
      <c r="LU101" s="52">
        <v>10.647</v>
      </c>
      <c r="LV101" s="52">
        <v>10.647</v>
      </c>
      <c r="LW101" s="52">
        <v>10.647</v>
      </c>
      <c r="LX101" s="52">
        <v>10.647</v>
      </c>
      <c r="LY101" s="52">
        <v>10.647</v>
      </c>
      <c r="LZ101" s="52">
        <v>10.647</v>
      </c>
      <c r="MA101" s="52">
        <v>10.647</v>
      </c>
      <c r="MB101" s="52">
        <v>10.647</v>
      </c>
      <c r="MC101" s="52">
        <v>10.647</v>
      </c>
      <c r="MD101" s="52">
        <v>10.647</v>
      </c>
      <c r="ME101" s="52">
        <v>10.647</v>
      </c>
      <c r="MF101" s="52">
        <v>10.647</v>
      </c>
      <c r="MG101" s="52">
        <v>10.647</v>
      </c>
      <c r="MH101" s="52">
        <v>10.647</v>
      </c>
      <c r="MI101" s="52">
        <v>10.647</v>
      </c>
      <c r="MJ101" s="52">
        <v>10.647</v>
      </c>
      <c r="MK101" s="52">
        <v>10.647</v>
      </c>
      <c r="ML101" s="52">
        <v>10.647</v>
      </c>
      <c r="MM101" s="52">
        <v>10.647</v>
      </c>
      <c r="MN101" s="52">
        <v>10.647</v>
      </c>
      <c r="MO101" s="52">
        <v>10.647</v>
      </c>
      <c r="MP101" s="52">
        <v>10.647</v>
      </c>
      <c r="MQ101" s="52">
        <v>10.647</v>
      </c>
      <c r="MR101" s="52">
        <v>10.647</v>
      </c>
      <c r="MS101" s="52">
        <v>10.647</v>
      </c>
      <c r="MT101" s="52">
        <v>10.647</v>
      </c>
      <c r="MU101" s="52">
        <v>10.647</v>
      </c>
      <c r="MV101" s="52">
        <v>10.647</v>
      </c>
      <c r="MW101" s="52">
        <v>10.647</v>
      </c>
      <c r="MX101" s="52">
        <v>10.647</v>
      </c>
      <c r="MY101" s="52">
        <v>10.647</v>
      </c>
      <c r="MZ101" s="52">
        <v>10.647</v>
      </c>
      <c r="NA101" s="52">
        <v>10.647</v>
      </c>
      <c r="NB101" s="52">
        <v>10.647</v>
      </c>
      <c r="NC101" s="52">
        <v>10.647</v>
      </c>
      <c r="ND101" s="52">
        <v>10.647</v>
      </c>
      <c r="NE101" s="52">
        <v>10.647</v>
      </c>
      <c r="NF101" s="52">
        <v>10.647</v>
      </c>
      <c r="NG101" s="52">
        <v>10.647</v>
      </c>
      <c r="NH101" s="52">
        <v>10.647</v>
      </c>
      <c r="NI101" s="37">
        <v>10.647</v>
      </c>
      <c r="NJ101" s="37">
        <v>10.647</v>
      </c>
      <c r="NK101" s="37">
        <v>10.647</v>
      </c>
      <c r="NL101" s="37">
        <v>10.647</v>
      </c>
      <c r="NM101" s="37">
        <v>10.647</v>
      </c>
      <c r="NN101" s="37">
        <v>10.647</v>
      </c>
      <c r="NO101" s="37">
        <v>10.647</v>
      </c>
      <c r="NP101" s="37">
        <v>10.647</v>
      </c>
      <c r="NQ101" s="37">
        <v>10.647</v>
      </c>
      <c r="NR101" s="37">
        <v>10.647</v>
      </c>
      <c r="NS101" s="37">
        <v>10.647</v>
      </c>
      <c r="NT101" s="37">
        <v>10.647</v>
      </c>
      <c r="NU101" s="37">
        <v>10.647</v>
      </c>
      <c r="NV101" s="37">
        <v>10.647</v>
      </c>
      <c r="NW101" s="37">
        <v>10.647</v>
      </c>
      <c r="NX101" s="37">
        <v>10.647</v>
      </c>
      <c r="NY101" s="37">
        <v>10.647</v>
      </c>
      <c r="NZ101" s="37">
        <v>10.647</v>
      </c>
      <c r="OA101" s="37">
        <v>10.647</v>
      </c>
      <c r="OB101" s="37">
        <v>10.647</v>
      </c>
      <c r="OC101" s="37">
        <v>10.647</v>
      </c>
      <c r="OD101" s="37">
        <v>10.647</v>
      </c>
      <c r="OE101" s="37">
        <v>10.647</v>
      </c>
      <c r="OF101" s="37">
        <v>10.647</v>
      </c>
      <c r="OG101" s="37">
        <v>10.647</v>
      </c>
      <c r="OH101" s="37">
        <v>10.647</v>
      </c>
      <c r="OI101" s="37">
        <v>10.647</v>
      </c>
      <c r="OJ101" s="37">
        <v>10.647</v>
      </c>
      <c r="OK101" s="37">
        <v>10.647</v>
      </c>
      <c r="OL101" s="37">
        <v>10.647</v>
      </c>
      <c r="OM101" s="37">
        <v>10.647</v>
      </c>
      <c r="ON101" s="37">
        <v>10.647</v>
      </c>
      <c r="OO101" s="37">
        <v>10.647</v>
      </c>
      <c r="OP101" s="37">
        <v>10.647</v>
      </c>
      <c r="OQ101" s="37">
        <v>10.647</v>
      </c>
      <c r="OR101" s="37">
        <v>10.647</v>
      </c>
      <c r="OS101" s="37">
        <v>10.647</v>
      </c>
      <c r="OT101" s="37">
        <v>10.647</v>
      </c>
      <c r="OU101" s="37">
        <v>10.647</v>
      </c>
      <c r="OV101" s="37">
        <v>10.647</v>
      </c>
      <c r="OW101" s="37">
        <v>10.647</v>
      </c>
      <c r="OX101" s="37">
        <v>10.647</v>
      </c>
      <c r="OY101" s="37">
        <v>10.647</v>
      </c>
      <c r="OZ101" s="37">
        <v>10.647</v>
      </c>
      <c r="PA101" s="37">
        <v>10.647</v>
      </c>
      <c r="PB101" s="37">
        <v>10.647</v>
      </c>
      <c r="PC101" s="37">
        <v>10.647</v>
      </c>
      <c r="PD101" s="37">
        <v>10.647</v>
      </c>
      <c r="PE101" s="37">
        <v>10.647</v>
      </c>
      <c r="PF101" s="37">
        <v>10.647</v>
      </c>
      <c r="PG101" s="37">
        <v>10.647</v>
      </c>
      <c r="PH101" s="37">
        <v>10.647</v>
      </c>
      <c r="PI101" s="37">
        <v>10.647</v>
      </c>
      <c r="PJ101" s="37">
        <v>10.647</v>
      </c>
      <c r="PK101" s="37">
        <v>10.647</v>
      </c>
      <c r="PL101" s="37">
        <v>10.647</v>
      </c>
      <c r="PM101" s="37">
        <v>10.647</v>
      </c>
      <c r="PN101" s="37">
        <v>10.647</v>
      </c>
      <c r="PO101" s="37">
        <v>10.647</v>
      </c>
      <c r="PP101" s="37">
        <v>10.647</v>
      </c>
      <c r="PQ101" s="37">
        <v>10.647</v>
      </c>
      <c r="PR101" s="37">
        <v>10.647</v>
      </c>
      <c r="PS101" s="15">
        <v>10.647</v>
      </c>
      <c r="PT101" s="15">
        <v>10.647</v>
      </c>
      <c r="PU101" s="15">
        <v>10.647</v>
      </c>
      <c r="PV101" s="15">
        <v>10.647</v>
      </c>
      <c r="PW101" s="15">
        <v>10.647</v>
      </c>
      <c r="PX101" s="15">
        <v>10.647</v>
      </c>
      <c r="PY101" s="15">
        <v>10.647</v>
      </c>
      <c r="PZ101" s="15">
        <v>10.647</v>
      </c>
      <c r="QA101" s="15">
        <v>10.647</v>
      </c>
      <c r="QB101" s="15">
        <v>10.647</v>
      </c>
      <c r="QC101" s="15">
        <v>10.647</v>
      </c>
      <c r="QD101" s="15">
        <v>10.647</v>
      </c>
      <c r="QE101" s="15">
        <v>10.647</v>
      </c>
      <c r="QF101" s="15">
        <v>10.647</v>
      </c>
      <c r="QG101" s="15">
        <v>10.647</v>
      </c>
      <c r="QH101" s="15">
        <v>11.020099999999999</v>
      </c>
    </row>
    <row r="102" spans="1:510" x14ac:dyDescent="0.2">
      <c r="A102" s="37">
        <v>100</v>
      </c>
      <c r="B102" s="37" t="s">
        <v>955</v>
      </c>
      <c r="C102" s="17">
        <f>+'Detalle Compras'!D102</f>
        <v>202511280146</v>
      </c>
      <c r="D102" s="55">
        <f t="shared" si="16"/>
        <v>12.4399</v>
      </c>
      <c r="E102" s="14">
        <f>+IF(B102="","",'Detalle Compras'!S102+0)</f>
        <v>46032</v>
      </c>
      <c r="F102" s="14">
        <f>+IF(B102="","",EOMONTH('Detalle Compras'!S102,G102)+10)</f>
        <v>58847</v>
      </c>
      <c r="G102" s="50">
        <f t="shared" si="17"/>
        <v>420</v>
      </c>
      <c r="H102" s="50">
        <f t="shared" si="18"/>
        <v>419</v>
      </c>
      <c r="AE102" s="37">
        <v>12.4399</v>
      </c>
      <c r="AF102" s="37">
        <v>12.4399</v>
      </c>
      <c r="AG102" s="37">
        <v>12.4399</v>
      </c>
      <c r="AH102" s="37">
        <v>12.4399</v>
      </c>
      <c r="AI102" s="37">
        <v>12.4399</v>
      </c>
      <c r="AJ102" s="37">
        <v>12.4399</v>
      </c>
      <c r="AK102" s="37">
        <v>12.4399</v>
      </c>
      <c r="AL102" s="37">
        <v>12.4399</v>
      </c>
      <c r="AM102" s="37">
        <v>12.4399</v>
      </c>
      <c r="AN102" s="37">
        <v>12.4399</v>
      </c>
      <c r="AO102" s="37">
        <v>12.4399</v>
      </c>
      <c r="AP102" s="37">
        <v>12.4399</v>
      </c>
      <c r="AQ102" s="37">
        <v>12.4399</v>
      </c>
      <c r="AR102" s="37">
        <v>12.4399</v>
      </c>
      <c r="AS102" s="37">
        <v>12.4399</v>
      </c>
      <c r="AT102" s="37">
        <v>12.4399</v>
      </c>
      <c r="AU102" s="37">
        <v>12.4399</v>
      </c>
      <c r="AV102" s="37">
        <v>12.4399</v>
      </c>
      <c r="AW102" s="37">
        <v>12.4399</v>
      </c>
      <c r="AX102" s="37">
        <v>12.4399</v>
      </c>
      <c r="AY102" s="37">
        <v>12.4399</v>
      </c>
      <c r="AZ102" s="37">
        <v>12.4399</v>
      </c>
      <c r="BA102" s="37">
        <v>12.4399</v>
      </c>
      <c r="BB102" s="37">
        <v>12.4399</v>
      </c>
      <c r="BC102" s="37">
        <v>12.4399</v>
      </c>
      <c r="BD102" s="37">
        <v>12.4399</v>
      </c>
      <c r="BE102" s="37">
        <v>12.4399</v>
      </c>
      <c r="BF102" s="37">
        <v>12.4399</v>
      </c>
      <c r="BG102" s="37">
        <v>12.4399</v>
      </c>
      <c r="BH102" s="37">
        <v>12.4399</v>
      </c>
      <c r="BI102" s="37">
        <v>12.4399</v>
      </c>
      <c r="BJ102" s="37">
        <v>12.4399</v>
      </c>
      <c r="BK102" s="37">
        <v>12.4399</v>
      </c>
      <c r="BL102" s="37">
        <v>12.4399</v>
      </c>
      <c r="BM102" s="37">
        <v>12.4399</v>
      </c>
      <c r="BN102" s="37">
        <v>12.4399</v>
      </c>
      <c r="BO102" s="37">
        <v>12.4399</v>
      </c>
      <c r="BP102" s="37">
        <v>12.4399</v>
      </c>
      <c r="BQ102" s="37">
        <v>12.4399</v>
      </c>
      <c r="BR102" s="37">
        <v>12.4399</v>
      </c>
      <c r="BS102" s="37">
        <v>12.4399</v>
      </c>
      <c r="BT102" s="37">
        <v>12.4399</v>
      </c>
      <c r="BU102" s="37">
        <v>12.4399</v>
      </c>
      <c r="BV102" s="37">
        <v>12.4399</v>
      </c>
      <c r="BW102" s="37">
        <v>12.4399</v>
      </c>
      <c r="BX102" s="37">
        <v>12.4399</v>
      </c>
      <c r="BY102" s="37">
        <v>12.4399</v>
      </c>
      <c r="BZ102" s="37">
        <v>12.4399</v>
      </c>
      <c r="CA102" s="37">
        <v>12.4399</v>
      </c>
      <c r="CB102" s="37">
        <v>12.4399</v>
      </c>
      <c r="CC102" s="37">
        <v>12.4399</v>
      </c>
      <c r="CD102" s="37">
        <v>12.4399</v>
      </c>
      <c r="CE102" s="37">
        <v>12.4399</v>
      </c>
      <c r="CF102" s="37">
        <v>12.4399</v>
      </c>
      <c r="CG102" s="37">
        <v>12.4399</v>
      </c>
      <c r="CH102" s="37">
        <v>12.4399</v>
      </c>
      <c r="CI102" s="37">
        <v>12.4399</v>
      </c>
      <c r="CJ102" s="37">
        <v>12.4399</v>
      </c>
      <c r="CK102" s="37">
        <v>12.4399</v>
      </c>
      <c r="CL102" s="37">
        <v>12.4399</v>
      </c>
      <c r="CM102" s="37">
        <v>12.4399</v>
      </c>
      <c r="CN102" s="37">
        <v>12.4399</v>
      </c>
      <c r="CO102" s="37">
        <v>12.4399</v>
      </c>
      <c r="CP102" s="37">
        <v>12.4399</v>
      </c>
      <c r="CQ102" s="37">
        <v>12.4399</v>
      </c>
      <c r="CR102" s="37">
        <v>12.4399</v>
      </c>
      <c r="CS102" s="37">
        <v>12.4399</v>
      </c>
      <c r="CT102" s="37">
        <v>12.4399</v>
      </c>
      <c r="CU102" s="37">
        <v>12.4399</v>
      </c>
      <c r="CV102" s="37">
        <v>12.4399</v>
      </c>
      <c r="CW102" s="37">
        <v>12.4399</v>
      </c>
      <c r="CX102" s="37">
        <v>12.4399</v>
      </c>
      <c r="CY102" s="37">
        <v>12.4399</v>
      </c>
      <c r="CZ102" s="37">
        <v>12.4399</v>
      </c>
      <c r="DA102" s="37">
        <v>12.4399</v>
      </c>
      <c r="DB102" s="37">
        <v>12.4399</v>
      </c>
      <c r="DC102" s="37">
        <v>12.4399</v>
      </c>
      <c r="DD102" s="37">
        <v>12.4399</v>
      </c>
      <c r="DE102" s="37">
        <v>12.4399</v>
      </c>
      <c r="DF102" s="37">
        <v>12.4399</v>
      </c>
      <c r="DG102" s="37">
        <v>12.4399</v>
      </c>
      <c r="DH102" s="37">
        <v>12.4399</v>
      </c>
      <c r="DI102" s="37">
        <v>12.4399</v>
      </c>
      <c r="DJ102" s="37">
        <v>12.4399</v>
      </c>
      <c r="DK102" s="37">
        <v>12.4399</v>
      </c>
      <c r="DL102" s="37">
        <v>12.4399</v>
      </c>
      <c r="DM102" s="37">
        <v>12.4399</v>
      </c>
      <c r="DN102" s="37">
        <v>12.4399</v>
      </c>
      <c r="DO102" s="37">
        <v>12.4399</v>
      </c>
      <c r="DP102" s="37">
        <v>12.4399</v>
      </c>
      <c r="DQ102" s="37">
        <v>12.4399</v>
      </c>
      <c r="DR102" s="37">
        <v>12.4399</v>
      </c>
      <c r="DS102" s="37">
        <v>12.4399</v>
      </c>
      <c r="DT102" s="37">
        <v>12.4399</v>
      </c>
      <c r="DU102" s="37">
        <v>12.4399</v>
      </c>
      <c r="DV102" s="37">
        <v>12.4399</v>
      </c>
      <c r="DW102" s="37">
        <v>12.4399</v>
      </c>
      <c r="DX102" s="37">
        <v>12.4399</v>
      </c>
      <c r="DY102" s="37">
        <v>12.4399</v>
      </c>
      <c r="DZ102" s="37">
        <v>12.4399</v>
      </c>
      <c r="EA102" s="37">
        <v>12.4399</v>
      </c>
      <c r="EB102" s="37">
        <v>12.4399</v>
      </c>
      <c r="EC102" s="37">
        <v>12.4399</v>
      </c>
      <c r="ED102" s="37">
        <v>12.4399</v>
      </c>
      <c r="EE102" s="37">
        <v>12.4399</v>
      </c>
      <c r="EF102" s="37">
        <v>12.4399</v>
      </c>
      <c r="EG102" s="37">
        <v>12.4399</v>
      </c>
      <c r="EH102" s="37">
        <v>12.4399</v>
      </c>
      <c r="EI102" s="37">
        <v>12.4399</v>
      </c>
      <c r="EJ102" s="37">
        <v>12.4399</v>
      </c>
      <c r="EK102" s="37">
        <v>12.4399</v>
      </c>
      <c r="EL102" s="37">
        <v>12.4399</v>
      </c>
      <c r="EM102" s="37">
        <v>12.4399</v>
      </c>
      <c r="EN102" s="37">
        <v>12.4399</v>
      </c>
      <c r="EO102" s="37">
        <v>12.4399</v>
      </c>
      <c r="EP102" s="37">
        <v>12.4399</v>
      </c>
      <c r="EQ102" s="37">
        <v>12.4399</v>
      </c>
      <c r="ER102" s="37">
        <v>12.4399</v>
      </c>
      <c r="ES102" s="37">
        <v>12.4399</v>
      </c>
      <c r="ET102" s="37">
        <v>12.4399</v>
      </c>
      <c r="EU102" s="37">
        <v>12.4399</v>
      </c>
      <c r="EV102" s="37">
        <v>12.4399</v>
      </c>
      <c r="EW102" s="37">
        <v>12.4399</v>
      </c>
      <c r="EX102" s="37">
        <v>12.4399</v>
      </c>
      <c r="EY102" s="37">
        <v>12.4399</v>
      </c>
      <c r="EZ102" s="37">
        <v>12.4399</v>
      </c>
      <c r="FA102" s="37">
        <v>12.4399</v>
      </c>
      <c r="FB102" s="37">
        <v>12.4399</v>
      </c>
      <c r="FC102" s="37">
        <v>12.4399</v>
      </c>
      <c r="FD102" s="37">
        <v>12.4399</v>
      </c>
      <c r="FE102" s="37">
        <v>12.4399</v>
      </c>
      <c r="FF102" s="37">
        <v>12.4399</v>
      </c>
      <c r="FG102" s="37">
        <v>12.4399</v>
      </c>
      <c r="FH102" s="37">
        <v>12.4399</v>
      </c>
      <c r="FI102" s="37">
        <v>12.4399</v>
      </c>
      <c r="FJ102" s="37">
        <v>12.4399</v>
      </c>
      <c r="FK102" s="37">
        <v>12.4399</v>
      </c>
      <c r="FL102" s="37">
        <v>12.4399</v>
      </c>
      <c r="FM102" s="37">
        <v>12.4399</v>
      </c>
      <c r="FN102" s="37">
        <v>12.4399</v>
      </c>
      <c r="FO102" s="37">
        <v>12.4399</v>
      </c>
      <c r="FP102" s="37">
        <v>12.4399</v>
      </c>
      <c r="FQ102" s="37">
        <v>12.4399</v>
      </c>
      <c r="FR102" s="37">
        <v>12.4399</v>
      </c>
      <c r="FS102" s="37">
        <v>12.4399</v>
      </c>
      <c r="FT102" s="37">
        <v>12.4399</v>
      </c>
      <c r="FU102" s="37">
        <v>12.4399</v>
      </c>
      <c r="FV102" s="37">
        <v>12.4399</v>
      </c>
      <c r="FW102" s="37">
        <v>12.4399</v>
      </c>
      <c r="FX102" s="37">
        <v>12.4399</v>
      </c>
      <c r="FY102" s="37">
        <v>12.4399</v>
      </c>
      <c r="FZ102" s="37">
        <v>12.4399</v>
      </c>
      <c r="GA102" s="37">
        <v>12.4399</v>
      </c>
      <c r="GB102" s="37">
        <v>12.4399</v>
      </c>
      <c r="GC102" s="37">
        <v>12.4399</v>
      </c>
      <c r="GD102" s="37">
        <v>12.4399</v>
      </c>
      <c r="GE102" s="37">
        <v>12.4399</v>
      </c>
      <c r="GF102" s="37">
        <v>12.4399</v>
      </c>
      <c r="GG102" s="37">
        <v>12.4399</v>
      </c>
      <c r="GH102" s="37">
        <v>12.4399</v>
      </c>
      <c r="GI102" s="37">
        <v>12.4399</v>
      </c>
      <c r="GJ102" s="37">
        <v>12.4399</v>
      </c>
      <c r="GK102" s="37">
        <v>12.4399</v>
      </c>
      <c r="GL102" s="37">
        <v>12.4399</v>
      </c>
      <c r="GM102" s="37">
        <v>12.4399</v>
      </c>
      <c r="GN102" s="37">
        <v>12.4399</v>
      </c>
      <c r="GO102" s="37">
        <v>12.4399</v>
      </c>
      <c r="GP102" s="37">
        <v>12.4399</v>
      </c>
      <c r="GQ102" s="37">
        <v>12.4399</v>
      </c>
      <c r="GR102" s="37">
        <v>12.4399</v>
      </c>
      <c r="GS102" s="37">
        <v>12.4399</v>
      </c>
      <c r="GT102" s="37">
        <v>12.4399</v>
      </c>
      <c r="GU102" s="37">
        <v>12.4399</v>
      </c>
      <c r="GV102" s="37">
        <v>12.4399</v>
      </c>
      <c r="GW102" s="37">
        <v>12.4399</v>
      </c>
      <c r="GX102" s="37">
        <v>12.4399</v>
      </c>
      <c r="GY102" s="37">
        <v>12.4399</v>
      </c>
      <c r="GZ102" s="37">
        <v>12.4399</v>
      </c>
      <c r="HA102" s="37">
        <v>12.4399</v>
      </c>
      <c r="HB102" s="37">
        <v>12.4399</v>
      </c>
      <c r="HC102" s="37">
        <v>12.4399</v>
      </c>
      <c r="HD102" s="37">
        <v>12.4399</v>
      </c>
      <c r="HE102" s="37">
        <v>12.4399</v>
      </c>
      <c r="HF102" s="37">
        <v>12.4399</v>
      </c>
      <c r="HG102" s="37">
        <v>12.4399</v>
      </c>
      <c r="HH102" s="37">
        <v>12.4399</v>
      </c>
      <c r="HI102" s="37">
        <v>12.4399</v>
      </c>
      <c r="HJ102" s="37">
        <v>12.4399</v>
      </c>
      <c r="HK102" s="37">
        <v>12.4399</v>
      </c>
      <c r="HL102" s="37">
        <v>12.4399</v>
      </c>
      <c r="HM102" s="37">
        <v>12.4399</v>
      </c>
      <c r="HN102" s="37">
        <v>12.4399</v>
      </c>
      <c r="HO102" s="37">
        <v>12.4399</v>
      </c>
      <c r="HP102" s="37">
        <v>12.4399</v>
      </c>
      <c r="HQ102" s="37">
        <v>12.4399</v>
      </c>
      <c r="HR102" s="37">
        <v>12.4399</v>
      </c>
      <c r="HS102" s="37">
        <v>12.4399</v>
      </c>
      <c r="HT102" s="37">
        <v>12.4399</v>
      </c>
      <c r="HU102" s="37">
        <v>12.4399</v>
      </c>
      <c r="HV102" s="37">
        <v>12.4399</v>
      </c>
      <c r="HW102" s="37">
        <v>12.4399</v>
      </c>
      <c r="HX102" s="37">
        <v>12.4399</v>
      </c>
      <c r="HY102" s="37">
        <v>12.4399</v>
      </c>
      <c r="HZ102" s="37">
        <v>12.4399</v>
      </c>
      <c r="IA102" s="37">
        <v>12.4399</v>
      </c>
      <c r="IB102" s="37">
        <v>12.4399</v>
      </c>
      <c r="IC102" s="37">
        <v>12.4399</v>
      </c>
      <c r="ID102" s="37">
        <v>12.4399</v>
      </c>
      <c r="IE102" s="37">
        <v>12.4399</v>
      </c>
      <c r="IF102" s="37">
        <v>12.4399</v>
      </c>
      <c r="IG102" s="37">
        <v>12.4399</v>
      </c>
      <c r="IH102" s="37">
        <v>12.4399</v>
      </c>
      <c r="II102" s="37">
        <v>12.4399</v>
      </c>
      <c r="IJ102" s="37">
        <v>12.4399</v>
      </c>
      <c r="IK102" s="37">
        <v>12.4399</v>
      </c>
      <c r="IL102" s="37">
        <v>12.4399</v>
      </c>
      <c r="IM102" s="37">
        <v>12.4399</v>
      </c>
      <c r="IN102" s="37">
        <v>12.4399</v>
      </c>
      <c r="IO102" s="37">
        <v>12.4399</v>
      </c>
      <c r="IP102" s="37">
        <v>12.4399</v>
      </c>
      <c r="IQ102" s="37">
        <v>12.4399</v>
      </c>
      <c r="IR102" s="37">
        <v>12.4399</v>
      </c>
      <c r="IS102" s="37">
        <v>12.4399</v>
      </c>
      <c r="IT102" s="37">
        <v>12.4399</v>
      </c>
      <c r="IU102" s="37">
        <v>12.4399</v>
      </c>
      <c r="IV102" s="37">
        <v>12.4399</v>
      </c>
      <c r="IW102" s="37">
        <v>12.4399</v>
      </c>
      <c r="IX102" s="37">
        <v>12.4399</v>
      </c>
      <c r="IY102" s="37">
        <v>12.4399</v>
      </c>
      <c r="IZ102" s="37">
        <v>12.4399</v>
      </c>
      <c r="JA102" s="37">
        <v>12.4399</v>
      </c>
      <c r="JB102" s="37">
        <v>12.4399</v>
      </c>
      <c r="JC102" s="37">
        <v>12.4399</v>
      </c>
      <c r="JD102" s="37">
        <v>12.4399</v>
      </c>
      <c r="JE102" s="37">
        <v>12.4399</v>
      </c>
      <c r="JF102" s="37">
        <v>12.4399</v>
      </c>
      <c r="JG102" s="37">
        <v>12.4399</v>
      </c>
      <c r="JH102" s="37">
        <v>12.4399</v>
      </c>
      <c r="JI102" s="37">
        <v>12.4399</v>
      </c>
      <c r="JJ102" s="37">
        <v>12.4399</v>
      </c>
      <c r="JK102" s="37">
        <v>12.4399</v>
      </c>
      <c r="JL102" s="37">
        <v>12.4399</v>
      </c>
      <c r="JM102" s="37">
        <v>12.4399</v>
      </c>
      <c r="JN102" s="37">
        <v>12.4399</v>
      </c>
      <c r="JO102" s="37">
        <v>12.4399</v>
      </c>
      <c r="JP102" s="37">
        <v>12.4399</v>
      </c>
      <c r="JQ102" s="37">
        <v>12.4399</v>
      </c>
      <c r="JR102" s="37">
        <v>12.4399</v>
      </c>
      <c r="JS102" s="37">
        <v>12.4399</v>
      </c>
      <c r="JT102" s="37">
        <v>12.4399</v>
      </c>
      <c r="JU102" s="37">
        <v>12.4399</v>
      </c>
      <c r="JV102" s="37">
        <v>12.4399</v>
      </c>
      <c r="JW102" s="37">
        <v>12.4399</v>
      </c>
      <c r="JX102" s="37">
        <v>12.4399</v>
      </c>
      <c r="JY102" s="37">
        <v>12.4399</v>
      </c>
      <c r="JZ102" s="37">
        <v>12.4399</v>
      </c>
      <c r="KA102" s="37">
        <v>12.4399</v>
      </c>
      <c r="KB102" s="37">
        <v>12.4399</v>
      </c>
      <c r="KC102" s="37">
        <v>12.4399</v>
      </c>
      <c r="KD102" s="37">
        <v>12.4399</v>
      </c>
      <c r="KE102" s="37">
        <v>12.4399</v>
      </c>
      <c r="KF102" s="37">
        <v>12.4399</v>
      </c>
      <c r="KG102" s="37">
        <v>12.4399</v>
      </c>
      <c r="KH102" s="37">
        <v>12.4399</v>
      </c>
      <c r="KI102" s="37">
        <v>12.4399</v>
      </c>
      <c r="KJ102" s="37">
        <v>12.4399</v>
      </c>
      <c r="KK102" s="37">
        <v>12.4399</v>
      </c>
      <c r="KL102" s="37">
        <v>12.4399</v>
      </c>
      <c r="KM102" s="37">
        <v>12.4399</v>
      </c>
      <c r="KN102" s="37">
        <v>12.4399</v>
      </c>
      <c r="KO102" s="37">
        <v>12.4399</v>
      </c>
      <c r="KP102" s="37">
        <v>12.4399</v>
      </c>
      <c r="KQ102" s="37">
        <v>12.4399</v>
      </c>
      <c r="KR102" s="37">
        <v>12.4399</v>
      </c>
      <c r="KS102" s="37">
        <v>12.4399</v>
      </c>
      <c r="KT102" s="37">
        <v>12.4399</v>
      </c>
      <c r="KU102" s="37">
        <v>12.4399</v>
      </c>
      <c r="KV102" s="37">
        <v>12.4399</v>
      </c>
      <c r="KW102" s="37">
        <v>12.4399</v>
      </c>
      <c r="KX102" s="37">
        <v>12.4399</v>
      </c>
      <c r="KY102" s="37">
        <v>12.4399</v>
      </c>
      <c r="KZ102" s="37">
        <v>12.4399</v>
      </c>
      <c r="LA102" s="37">
        <v>12.4399</v>
      </c>
      <c r="LB102" s="37">
        <v>12.4399</v>
      </c>
      <c r="LC102" s="37">
        <v>12.4399</v>
      </c>
      <c r="LD102" s="37">
        <v>12.4399</v>
      </c>
      <c r="LE102" s="37">
        <v>12.4399</v>
      </c>
      <c r="LF102" s="37">
        <v>12.4399</v>
      </c>
      <c r="LG102" s="37">
        <v>12.4399</v>
      </c>
      <c r="LH102" s="37">
        <v>12.4399</v>
      </c>
      <c r="LI102" s="37">
        <v>12.4399</v>
      </c>
      <c r="LJ102" s="37">
        <v>12.4399</v>
      </c>
      <c r="LK102" s="37">
        <v>12.4399</v>
      </c>
      <c r="LL102" s="37">
        <v>12.4399</v>
      </c>
      <c r="LM102" s="37">
        <v>12.4399</v>
      </c>
      <c r="LN102" s="37">
        <v>12.4399</v>
      </c>
      <c r="LO102" s="37">
        <v>12.4399</v>
      </c>
      <c r="LP102" s="37">
        <v>12.4399</v>
      </c>
      <c r="LQ102" s="37">
        <v>12.4399</v>
      </c>
      <c r="LR102" s="37">
        <v>12.4399</v>
      </c>
      <c r="LS102" s="37">
        <v>12.4399</v>
      </c>
      <c r="LT102" s="37">
        <v>12.4399</v>
      </c>
      <c r="LU102" s="37">
        <v>12.4399</v>
      </c>
      <c r="LV102" s="37">
        <v>12.4399</v>
      </c>
      <c r="LW102" s="37">
        <v>12.4399</v>
      </c>
      <c r="LX102" s="37">
        <v>12.4399</v>
      </c>
      <c r="LY102" s="37">
        <v>12.4399</v>
      </c>
      <c r="LZ102" s="37">
        <v>12.4399</v>
      </c>
      <c r="MA102" s="37">
        <v>12.4399</v>
      </c>
      <c r="MB102" s="37">
        <v>12.4399</v>
      </c>
      <c r="MC102" s="37">
        <v>12.4399</v>
      </c>
      <c r="MD102" s="37">
        <v>12.4399</v>
      </c>
      <c r="ME102" s="37">
        <v>12.4399</v>
      </c>
      <c r="MF102" s="37">
        <v>12.4399</v>
      </c>
      <c r="MG102" s="37">
        <v>12.4399</v>
      </c>
      <c r="MH102" s="37">
        <v>12.4399</v>
      </c>
      <c r="MI102" s="37">
        <v>12.4399</v>
      </c>
      <c r="MJ102" s="37">
        <v>12.4399</v>
      </c>
      <c r="MK102" s="37">
        <v>12.4399</v>
      </c>
      <c r="ML102" s="37">
        <v>12.4399</v>
      </c>
      <c r="MM102" s="37">
        <v>12.4399</v>
      </c>
      <c r="MN102" s="37">
        <v>12.4399</v>
      </c>
      <c r="MO102" s="37">
        <v>12.4399</v>
      </c>
      <c r="MP102" s="37">
        <v>12.4399</v>
      </c>
      <c r="MQ102" s="37">
        <v>12.4399</v>
      </c>
      <c r="MR102" s="37">
        <v>12.4399</v>
      </c>
      <c r="MS102" s="37">
        <v>12.4399</v>
      </c>
      <c r="MT102" s="37">
        <v>12.4399</v>
      </c>
      <c r="MU102" s="37">
        <v>12.4399</v>
      </c>
      <c r="MV102" s="37">
        <v>12.4399</v>
      </c>
      <c r="MW102" s="37">
        <v>12.4399</v>
      </c>
      <c r="MX102" s="37">
        <v>12.4399</v>
      </c>
      <c r="MY102" s="37">
        <v>12.4399</v>
      </c>
      <c r="MZ102" s="37">
        <v>12.4399</v>
      </c>
      <c r="NA102" s="37">
        <v>12.4399</v>
      </c>
      <c r="NB102" s="37">
        <v>12.4399</v>
      </c>
      <c r="NC102" s="37">
        <v>12.4399</v>
      </c>
      <c r="ND102" s="37">
        <v>12.4399</v>
      </c>
      <c r="NE102" s="37">
        <v>12.4399</v>
      </c>
      <c r="NF102" s="37">
        <v>12.4399</v>
      </c>
      <c r="NG102" s="37">
        <v>12.4399</v>
      </c>
      <c r="NH102" s="37">
        <v>12.4399</v>
      </c>
      <c r="NI102" s="37">
        <v>12.4399</v>
      </c>
      <c r="NJ102" s="37">
        <v>12.4399</v>
      </c>
      <c r="NK102" s="37">
        <v>12.4399</v>
      </c>
      <c r="NL102" s="37">
        <v>12.4399</v>
      </c>
      <c r="NM102" s="37">
        <v>12.4399</v>
      </c>
      <c r="NN102" s="37">
        <v>12.4399</v>
      </c>
      <c r="NO102" s="37">
        <v>12.4399</v>
      </c>
      <c r="NP102" s="37">
        <v>12.4399</v>
      </c>
      <c r="NQ102" s="37">
        <v>12.4399</v>
      </c>
      <c r="NR102" s="37">
        <v>12.4399</v>
      </c>
      <c r="NS102" s="37">
        <v>12.4399</v>
      </c>
      <c r="NT102" s="37">
        <v>12.4399</v>
      </c>
      <c r="NU102" s="37">
        <v>12.4399</v>
      </c>
      <c r="NV102" s="37">
        <v>12.4399</v>
      </c>
      <c r="NW102" s="37">
        <v>12.4399</v>
      </c>
      <c r="NX102" s="37">
        <v>12.4399</v>
      </c>
      <c r="NY102" s="37">
        <v>12.4399</v>
      </c>
      <c r="NZ102" s="37">
        <v>12.4399</v>
      </c>
      <c r="OA102" s="37">
        <v>12.4399</v>
      </c>
      <c r="OB102" s="37">
        <v>12.4399</v>
      </c>
      <c r="OC102" s="37">
        <v>12.4399</v>
      </c>
      <c r="OD102" s="37">
        <v>12.4399</v>
      </c>
      <c r="OE102" s="37">
        <v>12.4399</v>
      </c>
      <c r="OF102" s="37">
        <v>12.4399</v>
      </c>
      <c r="OG102" s="37">
        <v>12.4399</v>
      </c>
      <c r="OH102" s="37">
        <v>12.4399</v>
      </c>
      <c r="OI102" s="37">
        <v>12.4399</v>
      </c>
      <c r="OJ102" s="37">
        <v>12.4399</v>
      </c>
      <c r="OK102" s="37">
        <v>12.4399</v>
      </c>
      <c r="OL102" s="37">
        <v>12.4399</v>
      </c>
      <c r="OM102" s="37">
        <v>12.4399</v>
      </c>
      <c r="ON102" s="37">
        <v>12.4399</v>
      </c>
      <c r="OO102" s="37">
        <v>12.4399</v>
      </c>
      <c r="OP102" s="37">
        <v>12.4399</v>
      </c>
      <c r="OQ102" s="37">
        <v>12.4399</v>
      </c>
      <c r="OR102" s="37">
        <v>12.4399</v>
      </c>
      <c r="OS102" s="37">
        <v>12.4399</v>
      </c>
      <c r="OT102" s="37">
        <v>12.4399</v>
      </c>
      <c r="OU102" s="37">
        <v>12.4399</v>
      </c>
      <c r="OV102" s="37">
        <v>12.4399</v>
      </c>
      <c r="OW102" s="37">
        <v>12.4399</v>
      </c>
      <c r="OX102" s="37">
        <v>12.4399</v>
      </c>
      <c r="OY102" s="37">
        <v>12.4399</v>
      </c>
      <c r="OZ102" s="37">
        <v>12.4399</v>
      </c>
      <c r="PA102" s="37">
        <v>12.4399</v>
      </c>
      <c r="PB102" s="37">
        <v>12.4399</v>
      </c>
      <c r="PC102" s="37">
        <v>12.4399</v>
      </c>
      <c r="PD102" s="37">
        <v>12.4399</v>
      </c>
      <c r="PE102" s="37">
        <v>12.4399</v>
      </c>
      <c r="PF102" s="37">
        <v>12.4399</v>
      </c>
      <c r="PG102" s="37">
        <v>12.4399</v>
      </c>
      <c r="PH102" s="37">
        <v>12.4399</v>
      </c>
      <c r="PI102" s="37">
        <v>12.4399</v>
      </c>
      <c r="PJ102" s="37">
        <v>12.4399</v>
      </c>
      <c r="PK102" s="37">
        <v>12.4399</v>
      </c>
      <c r="PL102" s="37">
        <v>12.4399</v>
      </c>
      <c r="PM102" s="37">
        <v>12.4399</v>
      </c>
      <c r="PN102" s="37">
        <v>12.4399</v>
      </c>
      <c r="PO102" s="37">
        <v>12.4399</v>
      </c>
      <c r="PP102" s="37">
        <v>12.4399</v>
      </c>
      <c r="PQ102" s="37">
        <v>12.4399</v>
      </c>
      <c r="PR102" s="37">
        <v>12.4399</v>
      </c>
      <c r="PS102" s="15">
        <v>12.4399</v>
      </c>
      <c r="PT102" s="15">
        <v>12.4399</v>
      </c>
      <c r="PU102" s="15">
        <v>12.4399</v>
      </c>
      <c r="PV102" s="15">
        <v>12.4399</v>
      </c>
      <c r="PW102" s="15">
        <v>12.4399</v>
      </c>
      <c r="PX102" s="15">
        <v>12.4399</v>
      </c>
      <c r="PY102" s="15">
        <v>12.4399</v>
      </c>
      <c r="PZ102" s="15">
        <v>12.4399</v>
      </c>
      <c r="QA102" s="15">
        <v>12.4399</v>
      </c>
      <c r="QB102" s="15">
        <v>12.4399</v>
      </c>
      <c r="QC102" s="15">
        <v>12.4399</v>
      </c>
      <c r="QD102" s="15">
        <v>12.4399</v>
      </c>
      <c r="QE102" s="15">
        <v>12.4399</v>
      </c>
      <c r="QF102" s="15">
        <v>12.4399</v>
      </c>
      <c r="QG102" s="15">
        <v>12.4399</v>
      </c>
      <c r="QH102" s="15">
        <v>12.90645</v>
      </c>
    </row>
    <row r="103" spans="1:510" x14ac:dyDescent="0.2">
      <c r="A103" s="37">
        <v>101</v>
      </c>
      <c r="B103" s="37" t="s">
        <v>956</v>
      </c>
      <c r="C103" s="17">
        <f>+'Detalle Compras'!D103</f>
        <v>202511280144</v>
      </c>
      <c r="D103" s="55">
        <f t="shared" si="16"/>
        <v>13.8933</v>
      </c>
      <c r="E103" s="14">
        <f>+IF(B103="","",'Detalle Compras'!S103+0)</f>
        <v>46032</v>
      </c>
      <c r="F103" s="14">
        <f>+IF(B103="","",EOMONTH('Detalle Compras'!S103,G103)+10)</f>
        <v>55194</v>
      </c>
      <c r="G103" s="50">
        <f t="shared" si="17"/>
        <v>300</v>
      </c>
      <c r="H103" s="50">
        <f t="shared" si="18"/>
        <v>299</v>
      </c>
      <c r="AE103" s="37">
        <v>13.8933</v>
      </c>
      <c r="AF103" s="37">
        <v>13.8933</v>
      </c>
      <c r="AG103" s="37">
        <v>13.8933</v>
      </c>
      <c r="AH103" s="37">
        <v>13.8933</v>
      </c>
      <c r="AI103" s="37">
        <v>13.8933</v>
      </c>
      <c r="AJ103" s="37">
        <v>13.8933</v>
      </c>
      <c r="AK103" s="37">
        <v>13.8933</v>
      </c>
      <c r="AL103" s="37">
        <v>13.8933</v>
      </c>
      <c r="AM103" s="37">
        <v>13.8933</v>
      </c>
      <c r="AN103" s="37">
        <v>13.8933</v>
      </c>
      <c r="AO103" s="37">
        <v>13.8933</v>
      </c>
      <c r="AP103" s="37">
        <v>13.8933</v>
      </c>
      <c r="AQ103" s="37">
        <v>13.8933</v>
      </c>
      <c r="AR103" s="37">
        <v>13.8933</v>
      </c>
      <c r="AS103" s="37">
        <v>13.8933</v>
      </c>
      <c r="AT103" s="37">
        <v>13.8933</v>
      </c>
      <c r="AU103" s="37">
        <v>13.8933</v>
      </c>
      <c r="AV103" s="37">
        <v>13.8933</v>
      </c>
      <c r="AW103" s="37">
        <v>13.8933</v>
      </c>
      <c r="AX103" s="37">
        <v>13.8933</v>
      </c>
      <c r="AY103" s="37">
        <v>13.8933</v>
      </c>
      <c r="AZ103" s="37">
        <v>13.8933</v>
      </c>
      <c r="BA103" s="37">
        <v>13.8933</v>
      </c>
      <c r="BB103" s="37">
        <v>13.8933</v>
      </c>
      <c r="BC103" s="37">
        <v>13.8933</v>
      </c>
      <c r="BD103" s="37">
        <v>13.8933</v>
      </c>
      <c r="BE103" s="37">
        <v>13.8933</v>
      </c>
      <c r="BF103" s="37">
        <v>13.8933</v>
      </c>
      <c r="BG103" s="37">
        <v>13.8933</v>
      </c>
      <c r="BH103" s="37">
        <v>13.8933</v>
      </c>
      <c r="BI103" s="37">
        <v>13.8933</v>
      </c>
      <c r="BJ103" s="37">
        <v>13.8933</v>
      </c>
      <c r="BK103" s="37">
        <v>13.8933</v>
      </c>
      <c r="BL103" s="37">
        <v>13.8933</v>
      </c>
      <c r="BM103" s="37">
        <v>13.8933</v>
      </c>
      <c r="BN103" s="37">
        <v>13.8933</v>
      </c>
      <c r="BO103" s="37">
        <v>13.8933</v>
      </c>
      <c r="BP103" s="37">
        <v>13.8933</v>
      </c>
      <c r="BQ103" s="37">
        <v>13.8933</v>
      </c>
      <c r="BR103" s="37">
        <v>13.8933</v>
      </c>
      <c r="BS103" s="37">
        <v>13.8933</v>
      </c>
      <c r="BT103" s="37">
        <v>13.8933</v>
      </c>
      <c r="BU103" s="37">
        <v>13.8933</v>
      </c>
      <c r="BV103" s="37">
        <v>13.8933</v>
      </c>
      <c r="BW103" s="37">
        <v>13.8933</v>
      </c>
      <c r="BX103" s="37">
        <v>13.8933</v>
      </c>
      <c r="BY103" s="37">
        <v>13.8933</v>
      </c>
      <c r="BZ103" s="37">
        <v>13.8933</v>
      </c>
      <c r="CA103" s="37">
        <v>13.8933</v>
      </c>
      <c r="CB103" s="37">
        <v>13.8933</v>
      </c>
      <c r="CC103" s="37">
        <v>13.8933</v>
      </c>
      <c r="CD103" s="37">
        <v>13.8933</v>
      </c>
      <c r="CE103" s="37">
        <v>13.8933</v>
      </c>
      <c r="CF103" s="37">
        <v>13.8933</v>
      </c>
      <c r="CG103" s="37">
        <v>13.8933</v>
      </c>
      <c r="CH103" s="37">
        <v>13.8933</v>
      </c>
      <c r="CI103" s="37">
        <v>13.8933</v>
      </c>
      <c r="CJ103" s="37">
        <v>13.8933</v>
      </c>
      <c r="CK103" s="37">
        <v>13.8933</v>
      </c>
      <c r="CL103" s="37">
        <v>13.8933</v>
      </c>
      <c r="CM103" s="37">
        <v>13.8933</v>
      </c>
      <c r="CN103" s="37">
        <v>13.8933</v>
      </c>
      <c r="CO103" s="37">
        <v>13.8933</v>
      </c>
      <c r="CP103" s="37">
        <v>13.8933</v>
      </c>
      <c r="CQ103" s="37">
        <v>13.8933</v>
      </c>
      <c r="CR103" s="37">
        <v>13.8933</v>
      </c>
      <c r="CS103" s="37">
        <v>13.8933</v>
      </c>
      <c r="CT103" s="37">
        <v>13.8933</v>
      </c>
      <c r="CU103" s="37">
        <v>13.8933</v>
      </c>
      <c r="CV103" s="37">
        <v>13.8933</v>
      </c>
      <c r="CW103" s="37">
        <v>13.8933</v>
      </c>
      <c r="CX103" s="37">
        <v>13.8933</v>
      </c>
      <c r="CY103" s="37">
        <v>13.8933</v>
      </c>
      <c r="CZ103" s="37">
        <v>13.8933</v>
      </c>
      <c r="DA103" s="37">
        <v>13.8933</v>
      </c>
      <c r="DB103" s="37">
        <v>13.8933</v>
      </c>
      <c r="DC103" s="37">
        <v>13.8933</v>
      </c>
      <c r="DD103" s="37">
        <v>13.8933</v>
      </c>
      <c r="DE103" s="37">
        <v>13.8933</v>
      </c>
      <c r="DF103" s="37">
        <v>13.8933</v>
      </c>
      <c r="DG103" s="37">
        <v>13.8933</v>
      </c>
      <c r="DH103" s="37">
        <v>13.8933</v>
      </c>
      <c r="DI103" s="37">
        <v>13.8933</v>
      </c>
      <c r="DJ103" s="37">
        <v>13.8933</v>
      </c>
      <c r="DK103" s="37">
        <v>13.8933</v>
      </c>
      <c r="DL103" s="37">
        <v>13.8933</v>
      </c>
      <c r="DM103" s="37">
        <v>13.8933</v>
      </c>
      <c r="DN103" s="37">
        <v>13.8933</v>
      </c>
      <c r="DO103" s="37">
        <v>13.8933</v>
      </c>
      <c r="DP103" s="37">
        <v>13.8933</v>
      </c>
      <c r="DQ103" s="37">
        <v>13.8933</v>
      </c>
      <c r="DR103" s="37">
        <v>13.8933</v>
      </c>
      <c r="DS103" s="37">
        <v>13.8933</v>
      </c>
      <c r="DT103" s="37">
        <v>13.8933</v>
      </c>
      <c r="DU103" s="37">
        <v>13.8933</v>
      </c>
      <c r="DV103" s="37">
        <v>13.8933</v>
      </c>
      <c r="DW103" s="37">
        <v>13.8933</v>
      </c>
      <c r="DX103" s="37">
        <v>13.8933</v>
      </c>
      <c r="DY103" s="37">
        <v>13.8933</v>
      </c>
      <c r="DZ103" s="37">
        <v>13.8933</v>
      </c>
      <c r="EA103" s="37">
        <v>13.8933</v>
      </c>
      <c r="EB103" s="37">
        <v>13.8933</v>
      </c>
      <c r="EC103" s="37">
        <v>13.8933</v>
      </c>
      <c r="ED103" s="37">
        <v>13.8933</v>
      </c>
      <c r="EE103" s="37">
        <v>13.8933</v>
      </c>
      <c r="EF103" s="37">
        <v>13.8933</v>
      </c>
      <c r="EG103" s="37">
        <v>13.8933</v>
      </c>
      <c r="EH103" s="37">
        <v>13.8933</v>
      </c>
      <c r="EI103" s="37">
        <v>13.8933</v>
      </c>
      <c r="EJ103" s="37">
        <v>13.8933</v>
      </c>
      <c r="EK103" s="37">
        <v>13.8933</v>
      </c>
      <c r="EL103" s="37">
        <v>13.8933</v>
      </c>
      <c r="EM103" s="37">
        <v>13.8933</v>
      </c>
      <c r="EN103" s="37">
        <v>13.8933</v>
      </c>
      <c r="EO103" s="37">
        <v>13.8933</v>
      </c>
      <c r="EP103" s="37">
        <v>13.8933</v>
      </c>
      <c r="EQ103" s="37">
        <v>13.8933</v>
      </c>
      <c r="ER103" s="37">
        <v>13.8933</v>
      </c>
      <c r="ES103" s="37">
        <v>13.8933</v>
      </c>
      <c r="ET103" s="37">
        <v>13.8933</v>
      </c>
      <c r="EU103" s="37">
        <v>13.8933</v>
      </c>
      <c r="EV103" s="37">
        <v>13.8933</v>
      </c>
      <c r="EW103" s="37">
        <v>13.8933</v>
      </c>
      <c r="EX103" s="37">
        <v>13.8933</v>
      </c>
      <c r="EY103" s="37">
        <v>13.8933</v>
      </c>
      <c r="EZ103" s="37">
        <v>13.8933</v>
      </c>
      <c r="FA103" s="37">
        <v>13.8933</v>
      </c>
      <c r="FB103" s="37">
        <v>13.8933</v>
      </c>
      <c r="FC103" s="37">
        <v>13.8933</v>
      </c>
      <c r="FD103" s="37">
        <v>13.8933</v>
      </c>
      <c r="FE103" s="37">
        <v>13.8933</v>
      </c>
      <c r="FF103" s="37">
        <v>13.8933</v>
      </c>
      <c r="FG103" s="37">
        <v>13.8933</v>
      </c>
      <c r="FH103" s="37">
        <v>13.8933</v>
      </c>
      <c r="FI103" s="37">
        <v>13.8933</v>
      </c>
      <c r="FJ103" s="37">
        <v>13.8933</v>
      </c>
      <c r="FK103" s="37">
        <v>13.8933</v>
      </c>
      <c r="FL103" s="37">
        <v>13.8933</v>
      </c>
      <c r="FM103" s="37">
        <v>13.8933</v>
      </c>
      <c r="FN103" s="37">
        <v>13.8933</v>
      </c>
      <c r="FO103" s="37">
        <v>13.8933</v>
      </c>
      <c r="FP103" s="37">
        <v>13.8933</v>
      </c>
      <c r="FQ103" s="37">
        <v>13.8933</v>
      </c>
      <c r="FR103" s="37">
        <v>13.8933</v>
      </c>
      <c r="FS103" s="37">
        <v>13.8933</v>
      </c>
      <c r="FT103" s="37">
        <v>13.8933</v>
      </c>
      <c r="FU103" s="37">
        <v>13.8933</v>
      </c>
      <c r="FV103" s="37">
        <v>13.8933</v>
      </c>
      <c r="FW103" s="37">
        <v>13.8933</v>
      </c>
      <c r="FX103" s="37">
        <v>13.8933</v>
      </c>
      <c r="FY103" s="37">
        <v>13.8933</v>
      </c>
      <c r="FZ103" s="37">
        <v>13.8933</v>
      </c>
      <c r="GA103" s="37">
        <v>13.8933</v>
      </c>
      <c r="GB103" s="37">
        <v>13.8933</v>
      </c>
      <c r="GC103" s="37">
        <v>13.8933</v>
      </c>
      <c r="GD103" s="37">
        <v>13.8933</v>
      </c>
      <c r="GE103" s="37">
        <v>13.8933</v>
      </c>
      <c r="GF103" s="37">
        <v>13.8933</v>
      </c>
      <c r="GG103" s="37">
        <v>13.8933</v>
      </c>
      <c r="GH103" s="37">
        <v>13.8933</v>
      </c>
      <c r="GI103" s="37">
        <v>13.8933</v>
      </c>
      <c r="GJ103" s="37">
        <v>13.8933</v>
      </c>
      <c r="GK103" s="37">
        <v>13.8933</v>
      </c>
      <c r="GL103" s="37">
        <v>13.8933</v>
      </c>
      <c r="GM103" s="37">
        <v>13.8933</v>
      </c>
      <c r="GN103" s="37">
        <v>13.8933</v>
      </c>
      <c r="GO103" s="37">
        <v>13.8933</v>
      </c>
      <c r="GP103" s="37">
        <v>13.8933</v>
      </c>
      <c r="GQ103" s="37">
        <v>13.8933</v>
      </c>
      <c r="GR103" s="37">
        <v>13.8933</v>
      </c>
      <c r="GS103" s="37">
        <v>13.8933</v>
      </c>
      <c r="GT103" s="37">
        <v>13.8933</v>
      </c>
      <c r="GU103" s="37">
        <v>13.8933</v>
      </c>
      <c r="GV103" s="37">
        <v>13.8933</v>
      </c>
      <c r="GW103" s="37">
        <v>13.8933</v>
      </c>
      <c r="GX103" s="37">
        <v>13.8933</v>
      </c>
      <c r="GY103" s="37">
        <v>13.8933</v>
      </c>
      <c r="GZ103" s="37">
        <v>13.8933</v>
      </c>
      <c r="HA103" s="37">
        <v>13.8933</v>
      </c>
      <c r="HB103" s="37">
        <v>13.8933</v>
      </c>
      <c r="HC103" s="37">
        <v>13.8933</v>
      </c>
      <c r="HD103" s="37">
        <v>13.8933</v>
      </c>
      <c r="HE103" s="37">
        <v>13.8933</v>
      </c>
      <c r="HF103" s="37">
        <v>13.8933</v>
      </c>
      <c r="HG103" s="37">
        <v>13.8933</v>
      </c>
      <c r="HH103" s="37">
        <v>13.8933</v>
      </c>
      <c r="HI103" s="37">
        <v>13.8933</v>
      </c>
      <c r="HJ103" s="37">
        <v>13.8933</v>
      </c>
      <c r="HK103" s="37">
        <v>13.8933</v>
      </c>
      <c r="HL103" s="37">
        <v>13.8933</v>
      </c>
      <c r="HM103" s="37">
        <v>13.8933</v>
      </c>
      <c r="HN103" s="37">
        <v>13.8933</v>
      </c>
      <c r="HO103" s="37">
        <v>13.8933</v>
      </c>
      <c r="HP103" s="37">
        <v>13.8933</v>
      </c>
      <c r="HQ103" s="37">
        <v>13.8933</v>
      </c>
      <c r="HR103" s="37">
        <v>13.8933</v>
      </c>
      <c r="HS103" s="37">
        <v>13.8933</v>
      </c>
      <c r="HT103" s="37">
        <v>13.8933</v>
      </c>
      <c r="HU103" s="37">
        <v>13.8933</v>
      </c>
      <c r="HV103" s="37">
        <v>13.8933</v>
      </c>
      <c r="HW103" s="37">
        <v>13.8933</v>
      </c>
      <c r="HX103" s="37">
        <v>13.8933</v>
      </c>
      <c r="HY103" s="37">
        <v>13.8933</v>
      </c>
      <c r="HZ103" s="37">
        <v>13.8933</v>
      </c>
      <c r="IA103" s="37">
        <v>13.8933</v>
      </c>
      <c r="IB103" s="37">
        <v>13.8933</v>
      </c>
      <c r="IC103" s="37">
        <v>13.8933</v>
      </c>
      <c r="ID103" s="37">
        <v>13.8933</v>
      </c>
      <c r="IE103" s="37">
        <v>13.8933</v>
      </c>
      <c r="IF103" s="37">
        <v>13.8933</v>
      </c>
      <c r="IG103" s="37">
        <v>13.8933</v>
      </c>
      <c r="IH103" s="37">
        <v>13.8933</v>
      </c>
      <c r="II103" s="37">
        <v>13.8933</v>
      </c>
      <c r="IJ103" s="37">
        <v>13.8933</v>
      </c>
      <c r="IK103" s="37">
        <v>13.8933</v>
      </c>
      <c r="IL103" s="37">
        <v>13.8933</v>
      </c>
      <c r="IM103" s="37">
        <v>13.8933</v>
      </c>
      <c r="IN103" s="37">
        <v>13.8933</v>
      </c>
      <c r="IO103" s="37">
        <v>13.8933</v>
      </c>
      <c r="IP103" s="37">
        <v>13.8933</v>
      </c>
      <c r="IQ103" s="37">
        <v>13.8933</v>
      </c>
      <c r="IR103" s="37">
        <v>13.8933</v>
      </c>
      <c r="IS103" s="37">
        <v>13.8933</v>
      </c>
      <c r="IT103" s="37">
        <v>13.8933</v>
      </c>
      <c r="IU103" s="37">
        <v>13.8933</v>
      </c>
      <c r="IV103" s="37">
        <v>13.8933</v>
      </c>
      <c r="IW103" s="37">
        <v>13.8933</v>
      </c>
      <c r="IX103" s="37">
        <v>13.8933</v>
      </c>
      <c r="IY103" s="37">
        <v>13.8933</v>
      </c>
      <c r="IZ103" s="37">
        <v>13.8933</v>
      </c>
      <c r="JA103" s="37">
        <v>13.8933</v>
      </c>
      <c r="JB103" s="37">
        <v>13.8933</v>
      </c>
      <c r="JC103" s="37">
        <v>13.8933</v>
      </c>
      <c r="JD103" s="37">
        <v>13.8933</v>
      </c>
      <c r="JE103" s="37">
        <v>13.8933</v>
      </c>
      <c r="JF103" s="37">
        <v>13.8933</v>
      </c>
      <c r="JG103" s="37">
        <v>13.8933</v>
      </c>
      <c r="JH103" s="37">
        <v>13.8933</v>
      </c>
      <c r="JI103" s="37">
        <v>13.8933</v>
      </c>
      <c r="JJ103" s="37">
        <v>13.8933</v>
      </c>
      <c r="JK103" s="37">
        <v>13.8933</v>
      </c>
      <c r="JL103" s="37">
        <v>13.8933</v>
      </c>
      <c r="JM103" s="37">
        <v>13.8933</v>
      </c>
      <c r="JN103" s="37">
        <v>13.8933</v>
      </c>
      <c r="JO103" s="37">
        <v>13.8933</v>
      </c>
      <c r="JP103" s="37">
        <v>13.8933</v>
      </c>
      <c r="JQ103" s="37">
        <v>13.8933</v>
      </c>
      <c r="JR103" s="37">
        <v>13.8933</v>
      </c>
      <c r="JS103" s="37">
        <v>13.8933</v>
      </c>
      <c r="JT103" s="37">
        <v>13.8933</v>
      </c>
      <c r="JU103" s="37">
        <v>13.8933</v>
      </c>
      <c r="JV103" s="37">
        <v>13.8933</v>
      </c>
      <c r="JW103" s="37">
        <v>13.8933</v>
      </c>
      <c r="JX103" s="37">
        <v>13.8933</v>
      </c>
      <c r="JY103" s="37">
        <v>13.8933</v>
      </c>
      <c r="JZ103" s="37">
        <v>13.8933</v>
      </c>
      <c r="KA103" s="37">
        <v>13.8933</v>
      </c>
      <c r="KB103" s="37">
        <v>13.8933</v>
      </c>
      <c r="KC103" s="37">
        <v>13.8933</v>
      </c>
      <c r="KD103" s="37">
        <v>13.8933</v>
      </c>
      <c r="KE103" s="37">
        <v>13.8933</v>
      </c>
      <c r="KF103" s="37">
        <v>13.8933</v>
      </c>
      <c r="KG103" s="37">
        <v>13.8933</v>
      </c>
      <c r="KH103" s="37">
        <v>13.8933</v>
      </c>
      <c r="KI103" s="37">
        <v>13.8933</v>
      </c>
      <c r="KJ103" s="37">
        <v>13.8933</v>
      </c>
      <c r="KK103" s="37">
        <v>13.8933</v>
      </c>
      <c r="KL103" s="37">
        <v>13.8933</v>
      </c>
      <c r="KM103" s="37">
        <v>13.8933</v>
      </c>
      <c r="KN103" s="37">
        <v>13.8933</v>
      </c>
      <c r="KO103" s="37">
        <v>13.8933</v>
      </c>
      <c r="KP103" s="37">
        <v>13.8933</v>
      </c>
      <c r="KQ103" s="37">
        <v>13.8933</v>
      </c>
      <c r="KR103" s="37">
        <v>13.8933</v>
      </c>
      <c r="KS103" s="37">
        <v>13.8933</v>
      </c>
      <c r="KT103" s="37">
        <v>13.8933</v>
      </c>
      <c r="KU103" s="37">
        <v>13.8933</v>
      </c>
      <c r="KV103" s="37">
        <v>13.8933</v>
      </c>
      <c r="KW103" s="37">
        <v>13.8933</v>
      </c>
      <c r="KX103" s="37">
        <v>13.8933</v>
      </c>
      <c r="KY103" s="37">
        <v>13.8933</v>
      </c>
      <c r="KZ103" s="37">
        <v>13.8933</v>
      </c>
      <c r="LA103" s="37">
        <v>13.8933</v>
      </c>
      <c r="LB103" s="37">
        <v>13.8933</v>
      </c>
      <c r="LC103" s="37">
        <v>13.8933</v>
      </c>
      <c r="LD103" s="37">
        <v>13.8933</v>
      </c>
      <c r="LE103" s="37">
        <v>13.8933</v>
      </c>
      <c r="LF103" s="37">
        <v>13.8933</v>
      </c>
      <c r="LG103" s="37">
        <v>13.8933</v>
      </c>
      <c r="LH103" s="37">
        <v>13.8933</v>
      </c>
      <c r="LI103" s="37">
        <v>13.8933</v>
      </c>
      <c r="LJ103" s="37">
        <v>13.8933</v>
      </c>
      <c r="LK103" s="37">
        <v>13.8933</v>
      </c>
      <c r="LL103" s="37">
        <v>13.8933</v>
      </c>
      <c r="LM103" s="37">
        <v>13.8933</v>
      </c>
      <c r="LN103" s="37">
        <v>13.8933</v>
      </c>
      <c r="LO103" s="37">
        <v>13.8933</v>
      </c>
      <c r="LP103" s="37">
        <v>13.8933</v>
      </c>
      <c r="LQ103" s="37">
        <v>13.8933</v>
      </c>
      <c r="LR103" s="37">
        <v>13.405250000000001</v>
      </c>
    </row>
    <row r="104" spans="1:510" x14ac:dyDescent="0.2">
      <c r="A104" s="37">
        <v>102</v>
      </c>
      <c r="B104" s="37" t="s">
        <v>957</v>
      </c>
      <c r="C104" s="17">
        <f>+'Detalle Compras'!D104</f>
        <v>202511280150</v>
      </c>
      <c r="D104" s="55">
        <f t="shared" si="16"/>
        <v>12.4399</v>
      </c>
      <c r="E104" s="14">
        <f>+IF(B104="","",'Detalle Compras'!S104+0)</f>
        <v>46032</v>
      </c>
      <c r="F104" s="14">
        <f>+IF(B104="","",EOMONTH('Detalle Compras'!S104,G104)+10)</f>
        <v>58847</v>
      </c>
      <c r="G104" s="50">
        <f t="shared" si="17"/>
        <v>420</v>
      </c>
      <c r="H104" s="50">
        <f t="shared" si="18"/>
        <v>419</v>
      </c>
      <c r="AE104" s="37">
        <v>12.4399</v>
      </c>
      <c r="AF104" s="37">
        <v>12.4399</v>
      </c>
      <c r="AG104" s="37">
        <v>12.4399</v>
      </c>
      <c r="AH104" s="37">
        <v>12.4399</v>
      </c>
      <c r="AI104" s="37">
        <v>12.4399</v>
      </c>
      <c r="AJ104" s="37">
        <v>12.4399</v>
      </c>
      <c r="AK104" s="37">
        <v>12.4399</v>
      </c>
      <c r="AL104" s="37">
        <v>12.4399</v>
      </c>
      <c r="AM104" s="37">
        <v>12.4399</v>
      </c>
      <c r="AN104" s="37">
        <v>12.4399</v>
      </c>
      <c r="AO104" s="37">
        <v>12.4399</v>
      </c>
      <c r="AP104" s="37">
        <v>12.4399</v>
      </c>
      <c r="AQ104" s="37">
        <v>12.4399</v>
      </c>
      <c r="AR104" s="37">
        <v>12.4399</v>
      </c>
      <c r="AS104" s="37">
        <v>12.4399</v>
      </c>
      <c r="AT104" s="37">
        <v>12.4399</v>
      </c>
      <c r="AU104" s="37">
        <v>12.4399</v>
      </c>
      <c r="AV104" s="37">
        <v>12.4399</v>
      </c>
      <c r="AW104" s="37">
        <v>12.4399</v>
      </c>
      <c r="AX104" s="37">
        <v>12.4399</v>
      </c>
      <c r="AY104" s="37">
        <v>12.4399</v>
      </c>
      <c r="AZ104" s="37">
        <v>12.4399</v>
      </c>
      <c r="BA104" s="37">
        <v>12.4399</v>
      </c>
      <c r="BB104" s="37">
        <v>12.4399</v>
      </c>
      <c r="BC104" s="37">
        <v>12.4399</v>
      </c>
      <c r="BD104" s="37">
        <v>12.4399</v>
      </c>
      <c r="BE104" s="37">
        <v>12.4399</v>
      </c>
      <c r="BF104" s="37">
        <v>12.4399</v>
      </c>
      <c r="BG104" s="37">
        <v>12.4399</v>
      </c>
      <c r="BH104" s="37">
        <v>12.4399</v>
      </c>
      <c r="BI104" s="37">
        <v>12.4399</v>
      </c>
      <c r="BJ104" s="37">
        <v>12.4399</v>
      </c>
      <c r="BK104" s="37">
        <v>12.4399</v>
      </c>
      <c r="BL104" s="37">
        <v>12.4399</v>
      </c>
      <c r="BM104" s="37">
        <v>12.4399</v>
      </c>
      <c r="BN104" s="37">
        <v>12.4399</v>
      </c>
      <c r="BO104" s="37">
        <v>12.4399</v>
      </c>
      <c r="BP104" s="37">
        <v>12.4399</v>
      </c>
      <c r="BQ104" s="37">
        <v>12.4399</v>
      </c>
      <c r="BR104" s="37">
        <v>12.4399</v>
      </c>
      <c r="BS104" s="37">
        <v>12.4399</v>
      </c>
      <c r="BT104" s="37">
        <v>12.4399</v>
      </c>
      <c r="BU104" s="37">
        <v>12.4399</v>
      </c>
      <c r="BV104" s="37">
        <v>12.4399</v>
      </c>
      <c r="BW104" s="37">
        <v>12.4399</v>
      </c>
      <c r="BX104" s="37">
        <v>12.4399</v>
      </c>
      <c r="BY104" s="37">
        <v>12.4399</v>
      </c>
      <c r="BZ104" s="37">
        <v>12.4399</v>
      </c>
      <c r="CA104" s="37">
        <v>12.4399</v>
      </c>
      <c r="CB104" s="37">
        <v>12.4399</v>
      </c>
      <c r="CC104" s="37">
        <v>12.4399</v>
      </c>
      <c r="CD104" s="37">
        <v>12.4399</v>
      </c>
      <c r="CE104" s="37">
        <v>12.4399</v>
      </c>
      <c r="CF104" s="37">
        <v>12.4399</v>
      </c>
      <c r="CG104" s="37">
        <v>12.4399</v>
      </c>
      <c r="CH104" s="37">
        <v>12.4399</v>
      </c>
      <c r="CI104" s="37">
        <v>12.4399</v>
      </c>
      <c r="CJ104" s="37">
        <v>12.4399</v>
      </c>
      <c r="CK104" s="37">
        <v>12.4399</v>
      </c>
      <c r="CL104" s="37">
        <v>12.4399</v>
      </c>
      <c r="CM104" s="37">
        <v>12.4399</v>
      </c>
      <c r="CN104" s="37">
        <v>12.4399</v>
      </c>
      <c r="CO104" s="37">
        <v>12.4399</v>
      </c>
      <c r="CP104" s="37">
        <v>12.4399</v>
      </c>
      <c r="CQ104" s="37">
        <v>12.4399</v>
      </c>
      <c r="CR104" s="37">
        <v>12.4399</v>
      </c>
      <c r="CS104" s="37">
        <v>12.4399</v>
      </c>
      <c r="CT104" s="37">
        <v>12.4399</v>
      </c>
      <c r="CU104" s="37">
        <v>12.4399</v>
      </c>
      <c r="CV104" s="37">
        <v>12.4399</v>
      </c>
      <c r="CW104" s="37">
        <v>12.4399</v>
      </c>
      <c r="CX104" s="37">
        <v>12.4399</v>
      </c>
      <c r="CY104" s="37">
        <v>12.4399</v>
      </c>
      <c r="CZ104" s="37">
        <v>12.4399</v>
      </c>
      <c r="DA104" s="37">
        <v>12.4399</v>
      </c>
      <c r="DB104" s="37">
        <v>12.4399</v>
      </c>
      <c r="DC104" s="37">
        <v>12.4399</v>
      </c>
      <c r="DD104" s="37">
        <v>12.4399</v>
      </c>
      <c r="DE104" s="37">
        <v>12.4399</v>
      </c>
      <c r="DF104" s="37">
        <v>12.4399</v>
      </c>
      <c r="DG104" s="37">
        <v>12.4399</v>
      </c>
      <c r="DH104" s="37">
        <v>12.4399</v>
      </c>
      <c r="DI104" s="37">
        <v>12.4399</v>
      </c>
      <c r="DJ104" s="37">
        <v>12.4399</v>
      </c>
      <c r="DK104" s="37">
        <v>12.4399</v>
      </c>
      <c r="DL104" s="37">
        <v>12.4399</v>
      </c>
      <c r="DM104" s="37">
        <v>12.4399</v>
      </c>
      <c r="DN104" s="37">
        <v>12.4399</v>
      </c>
      <c r="DO104" s="37">
        <v>12.4399</v>
      </c>
      <c r="DP104" s="37">
        <v>12.4399</v>
      </c>
      <c r="DQ104" s="37">
        <v>12.4399</v>
      </c>
      <c r="DR104" s="37">
        <v>12.4399</v>
      </c>
      <c r="DS104" s="37">
        <v>12.4399</v>
      </c>
      <c r="DT104" s="37">
        <v>12.4399</v>
      </c>
      <c r="DU104" s="37">
        <v>12.4399</v>
      </c>
      <c r="DV104" s="37">
        <v>12.4399</v>
      </c>
      <c r="DW104" s="37">
        <v>12.4399</v>
      </c>
      <c r="DX104" s="37">
        <v>12.4399</v>
      </c>
      <c r="DY104" s="37">
        <v>12.4399</v>
      </c>
      <c r="DZ104" s="37">
        <v>12.4399</v>
      </c>
      <c r="EA104" s="37">
        <v>12.4399</v>
      </c>
      <c r="EB104" s="37">
        <v>12.4399</v>
      </c>
      <c r="EC104" s="37">
        <v>12.4399</v>
      </c>
      <c r="ED104" s="37">
        <v>12.4399</v>
      </c>
      <c r="EE104" s="37">
        <v>12.4399</v>
      </c>
      <c r="EF104" s="37">
        <v>12.4399</v>
      </c>
      <c r="EG104" s="37">
        <v>12.4399</v>
      </c>
      <c r="EH104" s="37">
        <v>12.4399</v>
      </c>
      <c r="EI104" s="37">
        <v>12.4399</v>
      </c>
      <c r="EJ104" s="37">
        <v>12.4399</v>
      </c>
      <c r="EK104" s="37">
        <v>12.4399</v>
      </c>
      <c r="EL104" s="37">
        <v>12.4399</v>
      </c>
      <c r="EM104" s="37">
        <v>12.4399</v>
      </c>
      <c r="EN104" s="37">
        <v>12.4399</v>
      </c>
      <c r="EO104" s="37">
        <v>12.4399</v>
      </c>
      <c r="EP104" s="37">
        <v>12.4399</v>
      </c>
      <c r="EQ104" s="37">
        <v>12.4399</v>
      </c>
      <c r="ER104" s="37">
        <v>12.4399</v>
      </c>
      <c r="ES104" s="37">
        <v>12.4399</v>
      </c>
      <c r="ET104" s="37">
        <v>12.4399</v>
      </c>
      <c r="EU104" s="37">
        <v>12.4399</v>
      </c>
      <c r="EV104" s="37">
        <v>12.4399</v>
      </c>
      <c r="EW104" s="37">
        <v>12.4399</v>
      </c>
      <c r="EX104" s="37">
        <v>12.4399</v>
      </c>
      <c r="EY104" s="37">
        <v>12.4399</v>
      </c>
      <c r="EZ104" s="37">
        <v>12.4399</v>
      </c>
      <c r="FA104" s="37">
        <v>12.4399</v>
      </c>
      <c r="FB104" s="37">
        <v>12.4399</v>
      </c>
      <c r="FC104" s="37">
        <v>12.4399</v>
      </c>
      <c r="FD104" s="37">
        <v>12.4399</v>
      </c>
      <c r="FE104" s="37">
        <v>12.4399</v>
      </c>
      <c r="FF104" s="37">
        <v>12.4399</v>
      </c>
      <c r="FG104" s="37">
        <v>12.4399</v>
      </c>
      <c r="FH104" s="37">
        <v>12.4399</v>
      </c>
      <c r="FI104" s="37">
        <v>12.4399</v>
      </c>
      <c r="FJ104" s="37">
        <v>12.4399</v>
      </c>
      <c r="FK104" s="37">
        <v>12.4399</v>
      </c>
      <c r="FL104" s="37">
        <v>12.4399</v>
      </c>
      <c r="FM104" s="37">
        <v>12.4399</v>
      </c>
      <c r="FN104" s="37">
        <v>12.4399</v>
      </c>
      <c r="FO104" s="37">
        <v>12.4399</v>
      </c>
      <c r="FP104" s="37">
        <v>12.4399</v>
      </c>
      <c r="FQ104" s="37">
        <v>12.4399</v>
      </c>
      <c r="FR104" s="37">
        <v>12.4399</v>
      </c>
      <c r="FS104" s="37">
        <v>12.4399</v>
      </c>
      <c r="FT104" s="37">
        <v>12.4399</v>
      </c>
      <c r="FU104" s="37">
        <v>12.4399</v>
      </c>
      <c r="FV104" s="37">
        <v>12.4399</v>
      </c>
      <c r="FW104" s="37">
        <v>12.4399</v>
      </c>
      <c r="FX104" s="37">
        <v>12.4399</v>
      </c>
      <c r="FY104" s="37">
        <v>12.4399</v>
      </c>
      <c r="FZ104" s="37">
        <v>12.4399</v>
      </c>
      <c r="GA104" s="37">
        <v>12.4399</v>
      </c>
      <c r="GB104" s="37">
        <v>12.4399</v>
      </c>
      <c r="GC104" s="37">
        <v>12.4399</v>
      </c>
      <c r="GD104" s="37">
        <v>12.4399</v>
      </c>
      <c r="GE104" s="37">
        <v>12.4399</v>
      </c>
      <c r="GF104" s="37">
        <v>12.4399</v>
      </c>
      <c r="GG104" s="37">
        <v>12.4399</v>
      </c>
      <c r="GH104" s="37">
        <v>12.4399</v>
      </c>
      <c r="GI104" s="37">
        <v>12.4399</v>
      </c>
      <c r="GJ104" s="37">
        <v>12.4399</v>
      </c>
      <c r="GK104" s="37">
        <v>12.4399</v>
      </c>
      <c r="GL104" s="37">
        <v>12.4399</v>
      </c>
      <c r="GM104" s="37">
        <v>12.4399</v>
      </c>
      <c r="GN104" s="37">
        <v>12.4399</v>
      </c>
      <c r="GO104" s="37">
        <v>12.4399</v>
      </c>
      <c r="GP104" s="37">
        <v>12.4399</v>
      </c>
      <c r="GQ104" s="37">
        <v>12.4399</v>
      </c>
      <c r="GR104" s="37">
        <v>12.4399</v>
      </c>
      <c r="GS104" s="37">
        <v>12.4399</v>
      </c>
      <c r="GT104" s="37">
        <v>12.4399</v>
      </c>
      <c r="GU104" s="37">
        <v>12.4399</v>
      </c>
      <c r="GV104" s="37">
        <v>12.4399</v>
      </c>
      <c r="GW104" s="37">
        <v>12.4399</v>
      </c>
      <c r="GX104" s="37">
        <v>12.4399</v>
      </c>
      <c r="GY104" s="37">
        <v>12.4399</v>
      </c>
      <c r="GZ104" s="37">
        <v>12.4399</v>
      </c>
      <c r="HA104" s="37">
        <v>12.4399</v>
      </c>
      <c r="HB104" s="37">
        <v>12.4399</v>
      </c>
      <c r="HC104" s="37">
        <v>12.4399</v>
      </c>
      <c r="HD104" s="37">
        <v>12.4399</v>
      </c>
      <c r="HE104" s="37">
        <v>12.4399</v>
      </c>
      <c r="HF104" s="37">
        <v>12.4399</v>
      </c>
      <c r="HG104" s="37">
        <v>12.4399</v>
      </c>
      <c r="HH104" s="37">
        <v>12.4399</v>
      </c>
      <c r="HI104" s="37">
        <v>12.4399</v>
      </c>
      <c r="HJ104" s="37">
        <v>12.4399</v>
      </c>
      <c r="HK104" s="37">
        <v>12.4399</v>
      </c>
      <c r="HL104" s="37">
        <v>12.4399</v>
      </c>
      <c r="HM104" s="37">
        <v>12.4399</v>
      </c>
      <c r="HN104" s="37">
        <v>12.4399</v>
      </c>
      <c r="HO104" s="37">
        <v>12.4399</v>
      </c>
      <c r="HP104" s="37">
        <v>12.4399</v>
      </c>
      <c r="HQ104" s="37">
        <v>12.4399</v>
      </c>
      <c r="HR104" s="37">
        <v>12.4399</v>
      </c>
      <c r="HS104" s="37">
        <v>12.4399</v>
      </c>
      <c r="HT104" s="37">
        <v>12.4399</v>
      </c>
      <c r="HU104" s="37">
        <v>12.4399</v>
      </c>
      <c r="HV104" s="37">
        <v>12.4399</v>
      </c>
      <c r="HW104" s="37">
        <v>12.4399</v>
      </c>
      <c r="HX104" s="37">
        <v>12.4399</v>
      </c>
      <c r="HY104" s="37">
        <v>12.4399</v>
      </c>
      <c r="HZ104" s="37">
        <v>12.4399</v>
      </c>
      <c r="IA104" s="37">
        <v>12.4399</v>
      </c>
      <c r="IB104" s="37">
        <v>12.4399</v>
      </c>
      <c r="IC104" s="37">
        <v>12.4399</v>
      </c>
      <c r="ID104" s="37">
        <v>12.4399</v>
      </c>
      <c r="IE104" s="37">
        <v>12.4399</v>
      </c>
      <c r="IF104" s="37">
        <v>12.4399</v>
      </c>
      <c r="IG104" s="37">
        <v>12.4399</v>
      </c>
      <c r="IH104" s="37">
        <v>12.4399</v>
      </c>
      <c r="II104" s="37">
        <v>12.4399</v>
      </c>
      <c r="IJ104" s="37">
        <v>12.4399</v>
      </c>
      <c r="IK104" s="37">
        <v>12.4399</v>
      </c>
      <c r="IL104" s="37">
        <v>12.4399</v>
      </c>
      <c r="IM104" s="37">
        <v>12.4399</v>
      </c>
      <c r="IN104" s="37">
        <v>12.4399</v>
      </c>
      <c r="IO104" s="37">
        <v>12.4399</v>
      </c>
      <c r="IP104" s="37">
        <v>12.4399</v>
      </c>
      <c r="IQ104" s="37">
        <v>12.4399</v>
      </c>
      <c r="IR104" s="37">
        <v>12.4399</v>
      </c>
      <c r="IS104" s="37">
        <v>12.4399</v>
      </c>
      <c r="IT104" s="37">
        <v>12.4399</v>
      </c>
      <c r="IU104" s="37">
        <v>12.4399</v>
      </c>
      <c r="IV104" s="37">
        <v>12.4399</v>
      </c>
      <c r="IW104" s="37">
        <v>12.4399</v>
      </c>
      <c r="IX104" s="37">
        <v>12.4399</v>
      </c>
      <c r="IY104" s="37">
        <v>12.4399</v>
      </c>
      <c r="IZ104" s="37">
        <v>12.4399</v>
      </c>
      <c r="JA104" s="37">
        <v>12.4399</v>
      </c>
      <c r="JB104" s="37">
        <v>12.4399</v>
      </c>
      <c r="JC104" s="37">
        <v>12.4399</v>
      </c>
      <c r="JD104" s="37">
        <v>12.4399</v>
      </c>
      <c r="JE104" s="37">
        <v>12.4399</v>
      </c>
      <c r="JF104" s="37">
        <v>12.4399</v>
      </c>
      <c r="JG104" s="37">
        <v>12.4399</v>
      </c>
      <c r="JH104" s="37">
        <v>12.4399</v>
      </c>
      <c r="JI104" s="37">
        <v>12.4399</v>
      </c>
      <c r="JJ104" s="37">
        <v>12.4399</v>
      </c>
      <c r="JK104" s="37">
        <v>12.4399</v>
      </c>
      <c r="JL104" s="37">
        <v>12.4399</v>
      </c>
      <c r="JM104" s="37">
        <v>12.4399</v>
      </c>
      <c r="JN104" s="37">
        <v>12.4399</v>
      </c>
      <c r="JO104" s="37">
        <v>12.4399</v>
      </c>
      <c r="JP104" s="37">
        <v>12.4399</v>
      </c>
      <c r="JQ104" s="37">
        <v>12.4399</v>
      </c>
      <c r="JR104" s="37">
        <v>12.4399</v>
      </c>
      <c r="JS104" s="37">
        <v>12.4399</v>
      </c>
      <c r="JT104" s="37">
        <v>12.4399</v>
      </c>
      <c r="JU104" s="37">
        <v>12.4399</v>
      </c>
      <c r="JV104" s="37">
        <v>12.4399</v>
      </c>
      <c r="JW104" s="37">
        <v>12.4399</v>
      </c>
      <c r="JX104" s="37">
        <v>12.4399</v>
      </c>
      <c r="JY104" s="37">
        <v>12.4399</v>
      </c>
      <c r="JZ104" s="37">
        <v>12.4399</v>
      </c>
      <c r="KA104" s="37">
        <v>12.4399</v>
      </c>
      <c r="KB104" s="37">
        <v>12.4399</v>
      </c>
      <c r="KC104" s="37">
        <v>12.4399</v>
      </c>
      <c r="KD104" s="37">
        <v>12.4399</v>
      </c>
      <c r="KE104" s="37">
        <v>12.4399</v>
      </c>
      <c r="KF104" s="37">
        <v>12.4399</v>
      </c>
      <c r="KG104" s="37">
        <v>12.4399</v>
      </c>
      <c r="KH104" s="37">
        <v>12.4399</v>
      </c>
      <c r="KI104" s="37">
        <v>12.4399</v>
      </c>
      <c r="KJ104" s="37">
        <v>12.4399</v>
      </c>
      <c r="KK104" s="37">
        <v>12.4399</v>
      </c>
      <c r="KL104" s="37">
        <v>12.4399</v>
      </c>
      <c r="KM104" s="37">
        <v>12.4399</v>
      </c>
      <c r="KN104" s="37">
        <v>12.4399</v>
      </c>
      <c r="KO104" s="37">
        <v>12.4399</v>
      </c>
      <c r="KP104" s="37">
        <v>12.4399</v>
      </c>
      <c r="KQ104" s="37">
        <v>12.4399</v>
      </c>
      <c r="KR104" s="37">
        <v>12.4399</v>
      </c>
      <c r="KS104" s="37">
        <v>12.4399</v>
      </c>
      <c r="KT104" s="37">
        <v>12.4399</v>
      </c>
      <c r="KU104" s="37">
        <v>12.4399</v>
      </c>
      <c r="KV104" s="37">
        <v>12.4399</v>
      </c>
      <c r="KW104" s="37">
        <v>12.4399</v>
      </c>
      <c r="KX104" s="37">
        <v>12.4399</v>
      </c>
      <c r="KY104" s="37">
        <v>12.4399</v>
      </c>
      <c r="KZ104" s="37">
        <v>12.4399</v>
      </c>
      <c r="LA104" s="37">
        <v>12.4399</v>
      </c>
      <c r="LB104" s="37">
        <v>12.4399</v>
      </c>
      <c r="LC104" s="37">
        <v>12.4399</v>
      </c>
      <c r="LD104" s="37">
        <v>12.4399</v>
      </c>
      <c r="LE104" s="37">
        <v>12.4399</v>
      </c>
      <c r="LF104" s="37">
        <v>12.4399</v>
      </c>
      <c r="LG104" s="37">
        <v>12.4399</v>
      </c>
      <c r="LH104" s="37">
        <v>12.4399</v>
      </c>
      <c r="LI104" s="37">
        <v>12.4399</v>
      </c>
      <c r="LJ104" s="37">
        <v>12.4399</v>
      </c>
      <c r="LK104" s="37">
        <v>12.4399</v>
      </c>
      <c r="LL104" s="37">
        <v>12.4399</v>
      </c>
      <c r="LM104" s="37">
        <v>12.4399</v>
      </c>
      <c r="LN104" s="37">
        <v>12.4399</v>
      </c>
      <c r="LO104" s="37">
        <v>12.4399</v>
      </c>
      <c r="LP104" s="37">
        <v>12.4399</v>
      </c>
      <c r="LQ104" s="37">
        <v>12.4399</v>
      </c>
      <c r="LR104" s="37">
        <v>12.4399</v>
      </c>
      <c r="LS104" s="37">
        <v>12.4399</v>
      </c>
      <c r="LT104" s="37">
        <v>12.4399</v>
      </c>
      <c r="LU104" s="37">
        <v>12.4399</v>
      </c>
      <c r="LV104" s="37">
        <v>12.4399</v>
      </c>
      <c r="LW104" s="37">
        <v>12.4399</v>
      </c>
      <c r="LX104" s="37">
        <v>12.4399</v>
      </c>
      <c r="LY104" s="37">
        <v>12.4399</v>
      </c>
      <c r="LZ104" s="37">
        <v>12.4399</v>
      </c>
      <c r="MA104" s="37">
        <v>12.4399</v>
      </c>
      <c r="MB104" s="37">
        <v>12.4399</v>
      </c>
      <c r="MC104" s="37">
        <v>12.4399</v>
      </c>
      <c r="MD104" s="37">
        <v>12.4399</v>
      </c>
      <c r="ME104" s="37">
        <v>12.4399</v>
      </c>
      <c r="MF104" s="37">
        <v>12.4399</v>
      </c>
      <c r="MG104" s="37">
        <v>12.4399</v>
      </c>
      <c r="MH104" s="37">
        <v>12.4399</v>
      </c>
      <c r="MI104" s="37">
        <v>12.4399</v>
      </c>
      <c r="MJ104" s="37">
        <v>12.4399</v>
      </c>
      <c r="MK104" s="37">
        <v>12.4399</v>
      </c>
      <c r="ML104" s="37">
        <v>12.4399</v>
      </c>
      <c r="MM104" s="37">
        <v>12.4399</v>
      </c>
      <c r="MN104" s="37">
        <v>12.4399</v>
      </c>
      <c r="MO104" s="37">
        <v>12.4399</v>
      </c>
      <c r="MP104" s="37">
        <v>12.4399</v>
      </c>
      <c r="MQ104" s="37">
        <v>12.4399</v>
      </c>
      <c r="MR104" s="37">
        <v>12.4399</v>
      </c>
      <c r="MS104" s="37">
        <v>12.4399</v>
      </c>
      <c r="MT104" s="37">
        <v>12.4399</v>
      </c>
      <c r="MU104" s="37">
        <v>12.4399</v>
      </c>
      <c r="MV104" s="37">
        <v>12.4399</v>
      </c>
      <c r="MW104" s="37">
        <v>12.4399</v>
      </c>
      <c r="MX104" s="37">
        <v>12.4399</v>
      </c>
      <c r="MY104" s="37">
        <v>12.4399</v>
      </c>
      <c r="MZ104" s="37">
        <v>12.4399</v>
      </c>
      <c r="NA104" s="37">
        <v>12.4399</v>
      </c>
      <c r="NB104" s="37">
        <v>12.4399</v>
      </c>
      <c r="NC104" s="37">
        <v>12.4399</v>
      </c>
      <c r="ND104" s="37">
        <v>12.4399</v>
      </c>
      <c r="NE104" s="37">
        <v>12.4399</v>
      </c>
      <c r="NF104" s="37">
        <v>12.4399</v>
      </c>
      <c r="NG104" s="37">
        <v>12.4399</v>
      </c>
      <c r="NH104" s="37">
        <v>12.4399</v>
      </c>
      <c r="NI104" s="37">
        <v>12.4399</v>
      </c>
      <c r="NJ104" s="37">
        <v>12.4399</v>
      </c>
      <c r="NK104" s="37">
        <v>12.4399</v>
      </c>
      <c r="NL104" s="37">
        <v>12.4399</v>
      </c>
      <c r="NM104" s="37">
        <v>12.4399</v>
      </c>
      <c r="NN104" s="37">
        <v>12.4399</v>
      </c>
      <c r="NO104" s="37">
        <v>12.4399</v>
      </c>
      <c r="NP104" s="37">
        <v>12.4399</v>
      </c>
      <c r="NQ104" s="37">
        <v>12.4399</v>
      </c>
      <c r="NR104" s="37">
        <v>12.4399</v>
      </c>
      <c r="NS104" s="37">
        <v>12.4399</v>
      </c>
      <c r="NT104" s="37">
        <v>12.4399</v>
      </c>
      <c r="NU104" s="37">
        <v>12.4399</v>
      </c>
      <c r="NV104" s="37">
        <v>12.4399</v>
      </c>
      <c r="NW104" s="37">
        <v>12.4399</v>
      </c>
      <c r="NX104" s="37">
        <v>12.4399</v>
      </c>
      <c r="NY104" s="37">
        <v>12.4399</v>
      </c>
      <c r="NZ104" s="37">
        <v>12.4399</v>
      </c>
      <c r="OA104" s="37">
        <v>12.4399</v>
      </c>
      <c r="OB104" s="37">
        <v>12.4399</v>
      </c>
      <c r="OC104" s="37">
        <v>12.4399</v>
      </c>
      <c r="OD104" s="37">
        <v>12.4399</v>
      </c>
      <c r="OE104" s="37">
        <v>12.4399</v>
      </c>
      <c r="OF104" s="37">
        <v>12.4399</v>
      </c>
      <c r="OG104" s="37">
        <v>12.4399</v>
      </c>
      <c r="OH104" s="37">
        <v>12.4399</v>
      </c>
      <c r="OI104" s="37">
        <v>12.4399</v>
      </c>
      <c r="OJ104" s="37">
        <v>12.4399</v>
      </c>
      <c r="OK104" s="37">
        <v>12.4399</v>
      </c>
      <c r="OL104" s="37">
        <v>12.4399</v>
      </c>
      <c r="OM104" s="37">
        <v>12.4399</v>
      </c>
      <c r="ON104" s="37">
        <v>12.4399</v>
      </c>
      <c r="OO104" s="37">
        <v>12.4399</v>
      </c>
      <c r="OP104" s="37">
        <v>12.4399</v>
      </c>
      <c r="OQ104" s="37">
        <v>12.4399</v>
      </c>
      <c r="OR104" s="37">
        <v>12.4399</v>
      </c>
      <c r="OS104" s="37">
        <v>12.4399</v>
      </c>
      <c r="OT104" s="37">
        <v>12.4399</v>
      </c>
      <c r="OU104" s="37">
        <v>12.4399</v>
      </c>
      <c r="OV104" s="37">
        <v>12.4399</v>
      </c>
      <c r="OW104" s="37">
        <v>12.4399</v>
      </c>
      <c r="OX104" s="37">
        <v>12.4399</v>
      </c>
      <c r="OY104" s="37">
        <v>12.4399</v>
      </c>
      <c r="OZ104" s="37">
        <v>12.4399</v>
      </c>
      <c r="PA104" s="37">
        <v>12.4399</v>
      </c>
      <c r="PB104" s="37">
        <v>12.4399</v>
      </c>
      <c r="PC104" s="37">
        <v>12.4399</v>
      </c>
      <c r="PD104" s="37">
        <v>12.4399</v>
      </c>
      <c r="PE104" s="37">
        <v>12.4399</v>
      </c>
      <c r="PF104" s="37">
        <v>12.4399</v>
      </c>
      <c r="PG104" s="37">
        <v>12.4399</v>
      </c>
      <c r="PH104" s="37">
        <v>12.4399</v>
      </c>
      <c r="PI104" s="37">
        <v>12.4399</v>
      </c>
      <c r="PJ104" s="37">
        <v>12.4399</v>
      </c>
      <c r="PK104" s="37">
        <v>12.4399</v>
      </c>
      <c r="PL104" s="37">
        <v>12.4399</v>
      </c>
      <c r="PM104" s="37">
        <v>12.4399</v>
      </c>
      <c r="PN104" s="37">
        <v>12.4399</v>
      </c>
      <c r="PO104" s="37">
        <v>12.4399</v>
      </c>
      <c r="PP104" s="37">
        <v>12.4399</v>
      </c>
      <c r="PQ104" s="37">
        <v>12.4399</v>
      </c>
      <c r="PR104" s="37">
        <v>12.4399</v>
      </c>
      <c r="PS104" s="15">
        <v>12.4399</v>
      </c>
      <c r="PT104" s="15">
        <v>12.4399</v>
      </c>
      <c r="PU104" s="15">
        <v>12.4399</v>
      </c>
      <c r="PV104" s="15">
        <v>12.4399</v>
      </c>
      <c r="PW104" s="15">
        <v>12.4399</v>
      </c>
      <c r="PX104" s="15">
        <v>12.4399</v>
      </c>
      <c r="PY104" s="15">
        <v>12.4399</v>
      </c>
      <c r="PZ104" s="15">
        <v>12.4399</v>
      </c>
      <c r="QA104" s="15">
        <v>12.4399</v>
      </c>
      <c r="QB104" s="15">
        <v>12.4399</v>
      </c>
      <c r="QC104" s="15">
        <v>12.4399</v>
      </c>
      <c r="QD104" s="15">
        <v>12.4399</v>
      </c>
      <c r="QE104" s="15">
        <v>12.4399</v>
      </c>
      <c r="QF104" s="15">
        <v>12.4399</v>
      </c>
      <c r="QG104" s="15">
        <v>12.4399</v>
      </c>
      <c r="QH104" s="15">
        <v>12.90645</v>
      </c>
    </row>
    <row r="105" spans="1:510" x14ac:dyDescent="0.2">
      <c r="A105" s="37">
        <v>103</v>
      </c>
      <c r="B105" s="37" t="s">
        <v>958</v>
      </c>
      <c r="C105" s="17">
        <f>+'Detalle Compras'!D105</f>
        <v>202511280155</v>
      </c>
      <c r="D105" s="55">
        <f t="shared" si="16"/>
        <v>6.9041249999999996</v>
      </c>
      <c r="E105" s="14">
        <f>+IF(B105="","",'Detalle Compras'!S105+0)</f>
        <v>46032</v>
      </c>
      <c r="F105" s="14">
        <f>+IF(B105="","",EOMONTH('Detalle Compras'!S105,G105)+10)</f>
        <v>57020</v>
      </c>
      <c r="G105" s="50">
        <f t="shared" si="17"/>
        <v>360</v>
      </c>
      <c r="H105" s="50">
        <f t="shared" si="18"/>
        <v>359</v>
      </c>
      <c r="AE105" s="37">
        <v>6.9041249999999996</v>
      </c>
      <c r="AF105" s="37">
        <v>6.9041249999999996</v>
      </c>
      <c r="AG105" s="37">
        <v>6.9041249999999996</v>
      </c>
      <c r="AH105" s="37">
        <v>6.9041249999999996</v>
      </c>
      <c r="AI105" s="37">
        <v>6.9041249999999996</v>
      </c>
      <c r="AJ105" s="37">
        <v>6.9041249999999996</v>
      </c>
      <c r="AK105" s="37">
        <v>6.9041249999999996</v>
      </c>
      <c r="AL105" s="37">
        <v>6.9041249999999996</v>
      </c>
      <c r="AM105" s="37">
        <v>6.9041249999999996</v>
      </c>
      <c r="AN105" s="37">
        <v>6.9041249999999996</v>
      </c>
      <c r="AO105" s="37">
        <v>6.9041249999999996</v>
      </c>
      <c r="AP105" s="37">
        <v>6.9041249999999996</v>
      </c>
      <c r="AQ105" s="37">
        <v>6.9041249999999996</v>
      </c>
      <c r="AR105" s="37">
        <v>6.9041249999999996</v>
      </c>
      <c r="AS105" s="37">
        <v>6.9041249999999996</v>
      </c>
      <c r="AT105" s="37">
        <v>6.9041249999999996</v>
      </c>
      <c r="AU105" s="37">
        <v>6.9041249999999996</v>
      </c>
      <c r="AV105" s="37">
        <v>6.9041249999999996</v>
      </c>
      <c r="AW105" s="37">
        <v>6.9041249999999996</v>
      </c>
      <c r="AX105" s="37">
        <v>6.9041249999999996</v>
      </c>
      <c r="AY105" s="37">
        <v>6.9041249999999996</v>
      </c>
      <c r="AZ105" s="37">
        <v>6.9041249999999996</v>
      </c>
      <c r="BA105" s="37">
        <v>6.9041249999999996</v>
      </c>
      <c r="BB105" s="37">
        <v>6.9041249999999996</v>
      </c>
      <c r="BC105" s="37">
        <v>6.9041249999999996</v>
      </c>
      <c r="BD105" s="37">
        <v>6.9041249999999996</v>
      </c>
      <c r="BE105" s="37">
        <v>6.9041249999999996</v>
      </c>
      <c r="BF105" s="37">
        <v>6.9041249999999996</v>
      </c>
      <c r="BG105" s="37">
        <v>6.9041249999999996</v>
      </c>
      <c r="BH105" s="37">
        <v>6.9041249999999996</v>
      </c>
      <c r="BI105" s="37">
        <v>6.9041249999999996</v>
      </c>
      <c r="BJ105" s="37">
        <v>6.9041249999999996</v>
      </c>
      <c r="BK105" s="37">
        <v>6.9041249999999996</v>
      </c>
      <c r="BL105" s="37">
        <v>6.9041249999999996</v>
      </c>
      <c r="BM105" s="37">
        <v>6.9041249999999996</v>
      </c>
      <c r="BN105" s="37">
        <v>6.9041249999999996</v>
      </c>
      <c r="BO105" s="37">
        <v>6.9041249999999996</v>
      </c>
      <c r="BP105" s="37">
        <v>6.9041249999999996</v>
      </c>
      <c r="BQ105" s="37">
        <v>6.9041249999999996</v>
      </c>
      <c r="BR105" s="37">
        <v>6.9041249999999996</v>
      </c>
      <c r="BS105" s="37">
        <v>6.9041249999999996</v>
      </c>
      <c r="BT105" s="37">
        <v>6.9041249999999996</v>
      </c>
      <c r="BU105" s="37">
        <v>6.9041249999999996</v>
      </c>
      <c r="BV105" s="37">
        <v>6.9041249999999996</v>
      </c>
      <c r="BW105" s="37">
        <v>6.9041249999999996</v>
      </c>
      <c r="BX105" s="37">
        <v>6.9041249999999996</v>
      </c>
      <c r="BY105" s="37">
        <v>6.9041249999999996</v>
      </c>
      <c r="BZ105" s="37">
        <v>6.9041249999999996</v>
      </c>
      <c r="CA105" s="37">
        <v>6.9041249999999996</v>
      </c>
      <c r="CB105" s="37">
        <v>6.9041249999999996</v>
      </c>
      <c r="CC105" s="37">
        <v>6.9041249999999996</v>
      </c>
      <c r="CD105" s="37">
        <v>6.9041249999999996</v>
      </c>
      <c r="CE105" s="37">
        <v>6.9041249999999996</v>
      </c>
      <c r="CF105" s="37">
        <v>6.9041249999999996</v>
      </c>
      <c r="CG105" s="37">
        <v>6.9041249999999996</v>
      </c>
      <c r="CH105" s="37">
        <v>6.9041249999999996</v>
      </c>
      <c r="CI105" s="37">
        <v>6.9041249999999996</v>
      </c>
      <c r="CJ105" s="37">
        <v>6.9041249999999996</v>
      </c>
      <c r="CK105" s="37">
        <v>6.9041249999999996</v>
      </c>
      <c r="CL105" s="37">
        <v>6.9041249999999996</v>
      </c>
      <c r="CM105" s="37">
        <v>6.9041249999999996</v>
      </c>
      <c r="CN105" s="37">
        <v>6.9041249999999996</v>
      </c>
      <c r="CO105" s="37">
        <v>6.9041249999999996</v>
      </c>
      <c r="CP105" s="37">
        <v>6.9041249999999996</v>
      </c>
      <c r="CQ105" s="37">
        <v>6.9041249999999996</v>
      </c>
      <c r="CR105" s="37">
        <v>6.9041249999999996</v>
      </c>
      <c r="CS105" s="37">
        <v>6.9041249999999996</v>
      </c>
      <c r="CT105" s="37">
        <v>6.9041249999999996</v>
      </c>
      <c r="CU105" s="37">
        <v>6.9041249999999996</v>
      </c>
      <c r="CV105" s="37">
        <v>6.9041249999999996</v>
      </c>
      <c r="CW105" s="37">
        <v>6.9041249999999996</v>
      </c>
      <c r="CX105" s="37">
        <v>6.9041249999999996</v>
      </c>
      <c r="CY105" s="37">
        <v>6.9041249999999996</v>
      </c>
      <c r="CZ105" s="37">
        <v>6.9041249999999996</v>
      </c>
      <c r="DA105" s="37">
        <v>6.9041249999999996</v>
      </c>
      <c r="DB105" s="37">
        <v>6.9041249999999996</v>
      </c>
      <c r="DC105" s="37">
        <v>6.9041249999999996</v>
      </c>
      <c r="DD105" s="37">
        <v>6.9041249999999996</v>
      </c>
      <c r="DE105" s="37">
        <v>6.9041249999999996</v>
      </c>
      <c r="DF105" s="37">
        <v>6.9041249999999996</v>
      </c>
      <c r="DG105" s="37">
        <v>6.9041249999999996</v>
      </c>
      <c r="DH105" s="37">
        <v>6.9041249999999996</v>
      </c>
      <c r="DI105" s="37">
        <v>6.9041249999999996</v>
      </c>
      <c r="DJ105" s="37">
        <v>6.9041249999999996</v>
      </c>
      <c r="DK105" s="37">
        <v>6.9041249999999996</v>
      </c>
      <c r="DL105" s="37">
        <v>6.9041249999999996</v>
      </c>
      <c r="DM105" s="37">
        <v>6.9041249999999996</v>
      </c>
      <c r="DN105" s="37">
        <v>6.9041249999999996</v>
      </c>
      <c r="DO105" s="37">
        <v>6.9041249999999996</v>
      </c>
      <c r="DP105" s="37">
        <v>6.9041249999999996</v>
      </c>
      <c r="DQ105" s="37">
        <v>6.9041249999999996</v>
      </c>
      <c r="DR105" s="37">
        <v>6.9041249999999996</v>
      </c>
      <c r="DS105" s="37">
        <v>6.9041249999999996</v>
      </c>
      <c r="DT105" s="37">
        <v>6.9041249999999996</v>
      </c>
      <c r="DU105" s="37">
        <v>6.9041249999999996</v>
      </c>
      <c r="DV105" s="37">
        <v>6.9041249999999996</v>
      </c>
      <c r="DW105" s="37">
        <v>6.9041249999999996</v>
      </c>
      <c r="DX105" s="37">
        <v>6.9041249999999996</v>
      </c>
      <c r="DY105" s="37">
        <v>6.9041249999999996</v>
      </c>
      <c r="DZ105" s="37">
        <v>6.9041249999999996</v>
      </c>
      <c r="EA105" s="37">
        <v>6.9041249999999996</v>
      </c>
      <c r="EB105" s="37">
        <v>6.9041249999999996</v>
      </c>
      <c r="EC105" s="37">
        <v>6.9041249999999996</v>
      </c>
      <c r="ED105" s="37">
        <v>6.9041249999999996</v>
      </c>
      <c r="EE105" s="37">
        <v>6.9041249999999996</v>
      </c>
      <c r="EF105" s="37">
        <v>6.9041249999999996</v>
      </c>
      <c r="EG105" s="37">
        <v>6.9041249999999996</v>
      </c>
      <c r="EH105" s="37">
        <v>6.9041249999999996</v>
      </c>
      <c r="EI105" s="37">
        <v>6.9041249999999996</v>
      </c>
      <c r="EJ105" s="37">
        <v>6.9041249999999996</v>
      </c>
      <c r="EK105" s="37">
        <v>6.9041249999999996</v>
      </c>
      <c r="EL105" s="37">
        <v>6.9041249999999996</v>
      </c>
      <c r="EM105" s="37">
        <v>6.9041249999999996</v>
      </c>
      <c r="EN105" s="37">
        <v>6.9041249999999996</v>
      </c>
      <c r="EO105" s="37">
        <v>6.9041249999999996</v>
      </c>
      <c r="EP105" s="37">
        <v>6.9041249999999996</v>
      </c>
      <c r="EQ105" s="37">
        <v>6.9041249999999996</v>
      </c>
      <c r="ER105" s="37">
        <v>6.9041249999999996</v>
      </c>
      <c r="ES105" s="37">
        <v>6.9041249999999996</v>
      </c>
      <c r="ET105" s="37">
        <v>6.9041249999999996</v>
      </c>
      <c r="EU105" s="37">
        <v>6.9041249999999996</v>
      </c>
      <c r="EV105" s="37">
        <v>6.9041249999999996</v>
      </c>
      <c r="EW105" s="37">
        <v>6.9041249999999996</v>
      </c>
      <c r="EX105" s="37">
        <v>6.9041249999999996</v>
      </c>
      <c r="EY105" s="37">
        <v>6.9041249999999996</v>
      </c>
      <c r="EZ105" s="37">
        <v>6.9041249999999996</v>
      </c>
      <c r="FA105" s="37">
        <v>6.9041249999999996</v>
      </c>
      <c r="FB105" s="37">
        <v>6.9041249999999996</v>
      </c>
      <c r="FC105" s="37">
        <v>6.9041249999999996</v>
      </c>
      <c r="FD105" s="37">
        <v>6.9041249999999996</v>
      </c>
      <c r="FE105" s="37">
        <v>6.9041249999999996</v>
      </c>
      <c r="FF105" s="37">
        <v>6.9041249999999996</v>
      </c>
      <c r="FG105" s="37">
        <v>6.9041249999999996</v>
      </c>
      <c r="FH105" s="37">
        <v>6.9041249999999996</v>
      </c>
      <c r="FI105" s="37">
        <v>6.9041249999999996</v>
      </c>
      <c r="FJ105" s="37">
        <v>6.9041249999999996</v>
      </c>
      <c r="FK105" s="37">
        <v>6.9041249999999996</v>
      </c>
      <c r="FL105" s="37">
        <v>6.9041249999999996</v>
      </c>
      <c r="FM105" s="37">
        <v>6.9041249999999996</v>
      </c>
      <c r="FN105" s="37">
        <v>6.9041249999999996</v>
      </c>
      <c r="FO105" s="37">
        <v>6.9041249999999996</v>
      </c>
      <c r="FP105" s="37">
        <v>6.9041249999999996</v>
      </c>
      <c r="FQ105" s="37">
        <v>6.9041249999999996</v>
      </c>
      <c r="FR105" s="37">
        <v>6.9041249999999996</v>
      </c>
      <c r="FS105" s="37">
        <v>6.9041249999999996</v>
      </c>
      <c r="FT105" s="37">
        <v>6.9041249999999996</v>
      </c>
      <c r="FU105" s="37">
        <v>6.9041249999999996</v>
      </c>
      <c r="FV105" s="37">
        <v>6.9041249999999996</v>
      </c>
      <c r="FW105" s="37">
        <v>6.9041249999999996</v>
      </c>
      <c r="FX105" s="37">
        <v>6.9041249999999996</v>
      </c>
      <c r="FY105" s="37">
        <v>6.9041249999999996</v>
      </c>
      <c r="FZ105" s="37">
        <v>6.9041249999999996</v>
      </c>
      <c r="GA105" s="37">
        <v>6.9041249999999996</v>
      </c>
      <c r="GB105" s="37">
        <v>6.9041249999999996</v>
      </c>
      <c r="GC105" s="37">
        <v>6.9041249999999996</v>
      </c>
      <c r="GD105" s="37">
        <v>6.9041249999999996</v>
      </c>
      <c r="GE105" s="37">
        <v>6.9041249999999996</v>
      </c>
      <c r="GF105" s="37">
        <v>6.9041249999999996</v>
      </c>
      <c r="GG105" s="37">
        <v>6.9041249999999996</v>
      </c>
      <c r="GH105" s="37">
        <v>6.9041249999999996</v>
      </c>
      <c r="GI105" s="37">
        <v>6.9041249999999996</v>
      </c>
      <c r="GJ105" s="37">
        <v>6.9041249999999996</v>
      </c>
      <c r="GK105" s="37">
        <v>6.9041249999999996</v>
      </c>
      <c r="GL105" s="37">
        <v>6.9041249999999996</v>
      </c>
      <c r="GM105" s="37">
        <v>6.9041249999999996</v>
      </c>
      <c r="GN105" s="37">
        <v>6.9041249999999996</v>
      </c>
      <c r="GO105" s="37">
        <v>6.9041249999999996</v>
      </c>
      <c r="GP105" s="37">
        <v>6.9041249999999996</v>
      </c>
      <c r="GQ105" s="37">
        <v>6.9041249999999996</v>
      </c>
      <c r="GR105" s="37">
        <v>6.9041249999999996</v>
      </c>
      <c r="GS105" s="37">
        <v>6.9041249999999996</v>
      </c>
      <c r="GT105" s="37">
        <v>6.9041249999999996</v>
      </c>
      <c r="GU105" s="37">
        <v>6.9041249999999996</v>
      </c>
      <c r="GV105" s="37">
        <v>6.9041249999999996</v>
      </c>
      <c r="GW105" s="37">
        <v>6.9041249999999996</v>
      </c>
      <c r="GX105" s="37">
        <v>6.9041249999999996</v>
      </c>
      <c r="GY105" s="37">
        <v>6.9041249999999996</v>
      </c>
      <c r="GZ105" s="37">
        <v>6.9041249999999996</v>
      </c>
      <c r="HA105" s="37">
        <v>6.9041249999999996</v>
      </c>
      <c r="HB105" s="37">
        <v>6.9041249999999996</v>
      </c>
      <c r="HC105" s="37">
        <v>6.9041249999999996</v>
      </c>
      <c r="HD105" s="37">
        <v>6.9041249999999996</v>
      </c>
      <c r="HE105" s="37">
        <v>6.9041249999999996</v>
      </c>
      <c r="HF105" s="37">
        <v>6.9041249999999996</v>
      </c>
      <c r="HG105" s="37">
        <v>6.9041249999999996</v>
      </c>
      <c r="HH105" s="37">
        <v>6.9041249999999996</v>
      </c>
      <c r="HI105" s="37">
        <v>6.9041249999999996</v>
      </c>
      <c r="HJ105" s="37">
        <v>6.9041249999999996</v>
      </c>
      <c r="HK105" s="37">
        <v>6.9041249999999996</v>
      </c>
      <c r="HL105" s="37">
        <v>6.9041249999999996</v>
      </c>
      <c r="HM105" s="37">
        <v>6.9041249999999996</v>
      </c>
      <c r="HN105" s="37">
        <v>6.9041249999999996</v>
      </c>
      <c r="HO105" s="37">
        <v>6.9041249999999996</v>
      </c>
      <c r="HP105" s="37">
        <v>6.9041249999999996</v>
      </c>
      <c r="HQ105" s="37">
        <v>6.9041249999999996</v>
      </c>
      <c r="HR105" s="37">
        <v>6.9041249999999996</v>
      </c>
      <c r="HS105" s="37">
        <v>6.9041249999999996</v>
      </c>
      <c r="HT105" s="37">
        <v>6.9041249999999996</v>
      </c>
      <c r="HU105" s="37">
        <v>6.9041249999999996</v>
      </c>
      <c r="HV105" s="37">
        <v>6.9041249999999996</v>
      </c>
      <c r="HW105" s="37">
        <v>6.9041249999999996</v>
      </c>
      <c r="HX105" s="37">
        <v>6.9041249999999996</v>
      </c>
      <c r="HY105" s="37">
        <v>6.9041249999999996</v>
      </c>
      <c r="HZ105" s="37">
        <v>6.9041249999999996</v>
      </c>
      <c r="IA105" s="37">
        <v>6.9041249999999996</v>
      </c>
      <c r="IB105" s="37">
        <v>6.9041249999999996</v>
      </c>
      <c r="IC105" s="37">
        <v>6.9041249999999996</v>
      </c>
      <c r="ID105" s="37">
        <v>6.9041249999999996</v>
      </c>
      <c r="IE105" s="37">
        <v>6.9041249999999996</v>
      </c>
      <c r="IF105" s="37">
        <v>6.9041249999999996</v>
      </c>
      <c r="IG105" s="37">
        <v>6.9041249999999996</v>
      </c>
      <c r="IH105" s="37">
        <v>6.9041249999999996</v>
      </c>
      <c r="II105" s="37">
        <v>6.9041249999999996</v>
      </c>
      <c r="IJ105" s="37">
        <v>6.9041249999999996</v>
      </c>
      <c r="IK105" s="37">
        <v>6.9041249999999996</v>
      </c>
      <c r="IL105" s="37">
        <v>6.9041249999999996</v>
      </c>
      <c r="IM105" s="37">
        <v>6.9041249999999996</v>
      </c>
      <c r="IN105" s="37">
        <v>6.9041249999999996</v>
      </c>
      <c r="IO105" s="37">
        <v>6.9041249999999996</v>
      </c>
      <c r="IP105" s="37">
        <v>6.9041249999999996</v>
      </c>
      <c r="IQ105" s="37">
        <v>6.9041249999999996</v>
      </c>
      <c r="IR105" s="37">
        <v>6.9041249999999996</v>
      </c>
      <c r="IS105" s="37">
        <v>6.9041249999999996</v>
      </c>
      <c r="IT105" s="37">
        <v>6.9041249999999996</v>
      </c>
      <c r="IU105" s="37">
        <v>6.9041249999999996</v>
      </c>
      <c r="IV105" s="37">
        <v>6.9041249999999996</v>
      </c>
      <c r="IW105" s="37">
        <v>6.9041249999999996</v>
      </c>
      <c r="IX105" s="37">
        <v>6.9041249999999996</v>
      </c>
      <c r="IY105" s="37">
        <v>6.9041249999999996</v>
      </c>
      <c r="IZ105" s="37">
        <v>6.9041249999999996</v>
      </c>
      <c r="JA105" s="37">
        <v>6.9041249999999996</v>
      </c>
      <c r="JB105" s="37">
        <v>6.9041249999999996</v>
      </c>
      <c r="JC105" s="37">
        <v>6.9041249999999996</v>
      </c>
      <c r="JD105" s="37">
        <v>6.9041249999999996</v>
      </c>
      <c r="JE105" s="37">
        <v>6.9041249999999996</v>
      </c>
      <c r="JF105" s="37">
        <v>6.9041249999999996</v>
      </c>
      <c r="JG105" s="37">
        <v>6.9041249999999996</v>
      </c>
      <c r="JH105" s="37">
        <v>6.9041249999999996</v>
      </c>
      <c r="JI105" s="37">
        <v>6.9041249999999996</v>
      </c>
      <c r="JJ105" s="37">
        <v>6.9041249999999996</v>
      </c>
      <c r="JK105" s="37">
        <v>6.9041249999999996</v>
      </c>
      <c r="JL105" s="37">
        <v>6.9041249999999996</v>
      </c>
      <c r="JM105" s="37">
        <v>6.9041249999999996</v>
      </c>
      <c r="JN105" s="37">
        <v>6.9041249999999996</v>
      </c>
      <c r="JO105" s="37">
        <v>6.9041249999999996</v>
      </c>
      <c r="JP105" s="37">
        <v>6.9041249999999996</v>
      </c>
      <c r="JQ105" s="37">
        <v>6.9041249999999996</v>
      </c>
      <c r="JR105" s="37">
        <v>6.9041249999999996</v>
      </c>
      <c r="JS105" s="37">
        <v>6.9041249999999996</v>
      </c>
      <c r="JT105" s="37">
        <v>6.9041249999999996</v>
      </c>
      <c r="JU105" s="37">
        <v>6.9041249999999996</v>
      </c>
      <c r="JV105" s="37">
        <v>6.9041249999999996</v>
      </c>
      <c r="JW105" s="37">
        <v>6.9041249999999996</v>
      </c>
      <c r="JX105" s="37">
        <v>6.9041249999999996</v>
      </c>
      <c r="JY105" s="37">
        <v>6.9041249999999996</v>
      </c>
      <c r="JZ105" s="37">
        <v>6.9041249999999996</v>
      </c>
      <c r="KA105" s="37">
        <v>6.9041249999999996</v>
      </c>
      <c r="KB105" s="37">
        <v>6.9041249999999996</v>
      </c>
      <c r="KC105" s="37">
        <v>6.9041249999999996</v>
      </c>
      <c r="KD105" s="37">
        <v>6.9041249999999996</v>
      </c>
      <c r="KE105" s="37">
        <v>6.9041249999999996</v>
      </c>
      <c r="KF105" s="37">
        <v>6.9041249999999996</v>
      </c>
      <c r="KG105" s="37">
        <v>6.9041249999999996</v>
      </c>
      <c r="KH105" s="37">
        <v>6.9041249999999996</v>
      </c>
      <c r="KI105" s="37">
        <v>6.9041249999999996</v>
      </c>
      <c r="KJ105" s="37">
        <v>6.9041249999999996</v>
      </c>
      <c r="KK105" s="37">
        <v>6.9041249999999996</v>
      </c>
      <c r="KL105" s="37">
        <v>6.9041249999999996</v>
      </c>
      <c r="KM105" s="37">
        <v>6.9041249999999996</v>
      </c>
      <c r="KN105" s="37">
        <v>6.9041249999999996</v>
      </c>
      <c r="KO105" s="37">
        <v>6.9041249999999996</v>
      </c>
      <c r="KP105" s="37">
        <v>6.9041249999999996</v>
      </c>
      <c r="KQ105" s="37">
        <v>6.9041249999999996</v>
      </c>
      <c r="KR105" s="37">
        <v>6.9041249999999996</v>
      </c>
      <c r="KS105" s="37">
        <v>6.9041249999999996</v>
      </c>
      <c r="KT105" s="37">
        <v>6.9041249999999996</v>
      </c>
      <c r="KU105" s="37">
        <v>6.9041249999999996</v>
      </c>
      <c r="KV105" s="37">
        <v>6.9041249999999996</v>
      </c>
      <c r="KW105" s="37">
        <v>6.9041249999999996</v>
      </c>
      <c r="KX105" s="37">
        <v>6.9041249999999996</v>
      </c>
      <c r="KY105" s="37">
        <v>6.9041249999999996</v>
      </c>
      <c r="KZ105" s="37">
        <v>6.9041249999999996</v>
      </c>
      <c r="LA105" s="37">
        <v>6.9041249999999996</v>
      </c>
      <c r="LB105" s="37">
        <v>6.9041249999999996</v>
      </c>
      <c r="LC105" s="37">
        <v>6.9041249999999996</v>
      </c>
      <c r="LD105" s="37">
        <v>6.9041249999999996</v>
      </c>
      <c r="LE105" s="37">
        <v>6.9041249999999996</v>
      </c>
      <c r="LF105" s="37">
        <v>6.9041249999999996</v>
      </c>
      <c r="LG105" s="37">
        <v>6.9041249999999996</v>
      </c>
      <c r="LH105" s="37">
        <v>6.9041249999999996</v>
      </c>
      <c r="LI105" s="37">
        <v>6.9041249999999996</v>
      </c>
      <c r="LJ105" s="37">
        <v>6.9041249999999996</v>
      </c>
      <c r="LK105" s="37">
        <v>6.9041249999999996</v>
      </c>
      <c r="LL105" s="37">
        <v>6.9041249999999996</v>
      </c>
      <c r="LM105" s="37">
        <v>6.9041249999999996</v>
      </c>
      <c r="LN105" s="37">
        <v>6.9041249999999996</v>
      </c>
      <c r="LO105" s="37">
        <v>6.9041249999999996</v>
      </c>
      <c r="LP105" s="37">
        <v>6.9041249999999996</v>
      </c>
      <c r="LQ105" s="37">
        <v>6.9041249999999996</v>
      </c>
      <c r="LR105" s="37">
        <v>6.9041249999999996</v>
      </c>
      <c r="LS105" s="37">
        <v>6.9041249999999996</v>
      </c>
      <c r="LT105" s="37">
        <v>6.9041249999999996</v>
      </c>
      <c r="LU105" s="37">
        <v>6.9041249999999996</v>
      </c>
      <c r="LV105" s="37">
        <v>6.9041249999999996</v>
      </c>
      <c r="LW105" s="37">
        <v>6.9041249999999996</v>
      </c>
      <c r="LX105" s="37">
        <v>6.9041249999999996</v>
      </c>
      <c r="LY105" s="37">
        <v>6.9041249999999996</v>
      </c>
      <c r="LZ105" s="37">
        <v>6.9041249999999996</v>
      </c>
      <c r="MA105" s="37">
        <v>6.9041249999999996</v>
      </c>
      <c r="MB105" s="37">
        <v>6.9041249999999996</v>
      </c>
      <c r="MC105" s="37">
        <v>6.9041249999999996</v>
      </c>
      <c r="MD105" s="37">
        <v>6.9041249999999996</v>
      </c>
      <c r="ME105" s="37">
        <v>6.9041249999999996</v>
      </c>
      <c r="MF105" s="37">
        <v>6.9041249999999996</v>
      </c>
      <c r="MG105" s="37">
        <v>6.9041249999999996</v>
      </c>
      <c r="MH105" s="37">
        <v>6.9041249999999996</v>
      </c>
      <c r="MI105" s="37">
        <v>6.9041249999999996</v>
      </c>
      <c r="MJ105" s="37">
        <v>6.9041249999999996</v>
      </c>
      <c r="MK105" s="37">
        <v>6.9041249999999996</v>
      </c>
      <c r="ML105" s="37">
        <v>6.9041249999999996</v>
      </c>
      <c r="MM105" s="37">
        <v>6.9041249999999996</v>
      </c>
      <c r="MN105" s="37">
        <v>6.9041249999999996</v>
      </c>
      <c r="MO105" s="37">
        <v>6.9041249999999996</v>
      </c>
      <c r="MP105" s="37">
        <v>6.9041249999999996</v>
      </c>
      <c r="MQ105" s="37">
        <v>6.9041249999999996</v>
      </c>
      <c r="MR105" s="37">
        <v>6.9041249999999996</v>
      </c>
      <c r="MS105" s="37">
        <v>6.9041249999999996</v>
      </c>
      <c r="MT105" s="37">
        <v>6.9041249999999996</v>
      </c>
      <c r="MU105" s="37">
        <v>6.9041249999999996</v>
      </c>
      <c r="MV105" s="37">
        <v>6.9041249999999996</v>
      </c>
      <c r="MW105" s="37">
        <v>6.9041249999999996</v>
      </c>
      <c r="MX105" s="37">
        <v>6.9041249999999996</v>
      </c>
      <c r="MY105" s="37">
        <v>6.9041249999999996</v>
      </c>
      <c r="MZ105" s="37">
        <v>6.9041249999999996</v>
      </c>
      <c r="NA105" s="37">
        <v>6.9041249999999996</v>
      </c>
      <c r="NB105" s="37">
        <v>6.9041249999999996</v>
      </c>
      <c r="NC105" s="37">
        <v>6.9041249999999996</v>
      </c>
      <c r="ND105" s="37">
        <v>6.9041249999999996</v>
      </c>
      <c r="NE105" s="37">
        <v>6.9041249999999996</v>
      </c>
      <c r="NF105" s="37">
        <v>6.9041249999999996</v>
      </c>
      <c r="NG105" s="37">
        <v>6.9041249999999996</v>
      </c>
      <c r="NH105" s="37">
        <v>6.9041249999999996</v>
      </c>
      <c r="NI105" s="37">
        <v>6.9041249999999996</v>
      </c>
      <c r="NJ105" s="37">
        <v>6.9041249999999996</v>
      </c>
      <c r="NK105" s="37">
        <v>6.9041249999999996</v>
      </c>
      <c r="NL105" s="37">
        <v>6.9041249999999996</v>
      </c>
      <c r="NM105" s="37">
        <v>6.9041249999999996</v>
      </c>
      <c r="NN105" s="37">
        <v>6.9041249999999996</v>
      </c>
      <c r="NO105" s="37">
        <v>6.9041249999999996</v>
      </c>
      <c r="NP105" s="37">
        <v>6.9041249999999996</v>
      </c>
      <c r="NQ105" s="37">
        <v>6.9041249999999996</v>
      </c>
      <c r="NR105" s="37">
        <v>6.9041249999999996</v>
      </c>
      <c r="NS105" s="37">
        <v>6.9041249999999996</v>
      </c>
      <c r="NT105" s="37">
        <v>6.9041249999999996</v>
      </c>
      <c r="NU105" s="37">
        <v>6.9041249999999996</v>
      </c>
      <c r="NV105" s="37">
        <v>6.9041249999999996</v>
      </c>
      <c r="NW105" s="37">
        <v>6.9041249999999996</v>
      </c>
      <c r="NX105" s="37">
        <v>6.9041249999999996</v>
      </c>
      <c r="NY105" s="37">
        <v>6.9041249999999996</v>
      </c>
      <c r="NZ105" s="37">
        <v>7.405875</v>
      </c>
    </row>
    <row r="106" spans="1:510" x14ac:dyDescent="0.2">
      <c r="A106" s="37">
        <v>104</v>
      </c>
      <c r="B106" s="37" t="s">
        <v>959</v>
      </c>
      <c r="C106" s="17">
        <f>+'Detalle Compras'!D106</f>
        <v>202511280153</v>
      </c>
      <c r="D106" s="55">
        <f t="shared" si="16"/>
        <v>12.089449999999999</v>
      </c>
      <c r="E106" s="14">
        <f>+IF(B106="","",'Detalle Compras'!S106+0)</f>
        <v>46032</v>
      </c>
      <c r="F106" s="14">
        <f>+IF(B106="","",EOMONTH('Detalle Compras'!S106,G106)+10)</f>
        <v>60673</v>
      </c>
      <c r="G106" s="50">
        <f t="shared" si="17"/>
        <v>480</v>
      </c>
      <c r="H106" s="50">
        <f t="shared" si="18"/>
        <v>479</v>
      </c>
      <c r="L106" s="52"/>
      <c r="M106" s="52"/>
      <c r="N106" s="52"/>
      <c r="O106" s="52"/>
      <c r="P106" s="52"/>
      <c r="Q106" s="52"/>
      <c r="R106" s="52"/>
      <c r="S106" s="52"/>
      <c r="T106" s="52"/>
      <c r="U106" s="52"/>
      <c r="V106" s="52"/>
      <c r="W106" s="52"/>
      <c r="X106" s="52"/>
      <c r="Y106" s="52"/>
      <c r="Z106" s="52"/>
      <c r="AA106" s="52"/>
      <c r="AB106" s="52"/>
      <c r="AC106" s="52"/>
      <c r="AD106" s="52"/>
      <c r="AE106" s="52">
        <v>12.089449999999999</v>
      </c>
      <c r="AF106" s="52">
        <v>12.089449999999999</v>
      </c>
      <c r="AG106" s="52">
        <v>12.089449999999999</v>
      </c>
      <c r="AH106" s="52">
        <v>12.089449999999999</v>
      </c>
      <c r="AI106" s="52">
        <v>12.089449999999999</v>
      </c>
      <c r="AJ106" s="52">
        <v>12.089449999999999</v>
      </c>
      <c r="AK106" s="52">
        <v>12.089449999999999</v>
      </c>
      <c r="AL106" s="52">
        <v>12.089449999999999</v>
      </c>
      <c r="AM106" s="52">
        <v>12.089449999999999</v>
      </c>
      <c r="AN106" s="52">
        <v>12.089449999999999</v>
      </c>
      <c r="AO106" s="52">
        <v>12.089449999999999</v>
      </c>
      <c r="AP106" s="52">
        <v>12.089449999999999</v>
      </c>
      <c r="AQ106" s="52">
        <v>12.089449999999999</v>
      </c>
      <c r="AR106" s="52">
        <v>12.089449999999999</v>
      </c>
      <c r="AS106" s="52">
        <v>12.089449999999999</v>
      </c>
      <c r="AT106" s="52">
        <v>12.089449999999999</v>
      </c>
      <c r="AU106" s="52">
        <v>12.089449999999999</v>
      </c>
      <c r="AV106" s="52">
        <v>12.089449999999999</v>
      </c>
      <c r="AW106" s="52">
        <v>12.089449999999999</v>
      </c>
      <c r="AX106" s="52">
        <v>12.089449999999999</v>
      </c>
      <c r="AY106" s="52">
        <v>12.089449999999999</v>
      </c>
      <c r="AZ106" s="52">
        <v>12.089449999999999</v>
      </c>
      <c r="BA106" s="52">
        <v>12.089449999999999</v>
      </c>
      <c r="BB106" s="52">
        <v>12.089449999999999</v>
      </c>
      <c r="BC106" s="52">
        <v>12.089449999999999</v>
      </c>
      <c r="BD106" s="52">
        <v>12.089449999999999</v>
      </c>
      <c r="BE106" s="52">
        <v>12.089449999999999</v>
      </c>
      <c r="BF106" s="52">
        <v>12.089449999999999</v>
      </c>
      <c r="BG106" s="52">
        <v>12.089449999999999</v>
      </c>
      <c r="BH106" s="52">
        <v>12.089449999999999</v>
      </c>
      <c r="BI106" s="52">
        <v>12.089449999999999</v>
      </c>
      <c r="BJ106" s="52">
        <v>12.089449999999999</v>
      </c>
      <c r="BK106" s="52">
        <v>12.089449999999999</v>
      </c>
      <c r="BL106" s="52">
        <v>12.089449999999999</v>
      </c>
      <c r="BM106" s="52">
        <v>12.089449999999999</v>
      </c>
      <c r="BN106" s="52">
        <v>12.089449999999999</v>
      </c>
      <c r="BO106" s="52">
        <v>12.089449999999999</v>
      </c>
      <c r="BP106" s="52">
        <v>12.089449999999999</v>
      </c>
      <c r="BQ106" s="52">
        <v>12.089449999999999</v>
      </c>
      <c r="BR106" s="52">
        <v>12.089449999999999</v>
      </c>
      <c r="BS106" s="52">
        <v>12.089449999999999</v>
      </c>
      <c r="BT106" s="52">
        <v>12.089449999999999</v>
      </c>
      <c r="BU106" s="52">
        <v>12.089449999999999</v>
      </c>
      <c r="BV106" s="52">
        <v>12.089449999999999</v>
      </c>
      <c r="BW106" s="52">
        <v>12.089449999999999</v>
      </c>
      <c r="BX106" s="52">
        <v>12.089449999999999</v>
      </c>
      <c r="BY106" s="52">
        <v>12.089449999999999</v>
      </c>
      <c r="BZ106" s="52">
        <v>12.089449999999999</v>
      </c>
      <c r="CA106" s="52">
        <v>12.089449999999999</v>
      </c>
      <c r="CB106" s="52">
        <v>12.089449999999999</v>
      </c>
      <c r="CC106" s="52">
        <v>12.089449999999999</v>
      </c>
      <c r="CD106" s="52">
        <v>12.089449999999999</v>
      </c>
      <c r="CE106" s="52">
        <v>12.089449999999999</v>
      </c>
      <c r="CF106" s="52">
        <v>12.089449999999999</v>
      </c>
      <c r="CG106" s="52">
        <v>12.089449999999999</v>
      </c>
      <c r="CH106" s="52">
        <v>12.089449999999999</v>
      </c>
      <c r="CI106" s="52">
        <v>12.089449999999999</v>
      </c>
      <c r="CJ106" s="52">
        <v>12.089449999999999</v>
      </c>
      <c r="CK106" s="52">
        <v>12.089449999999999</v>
      </c>
      <c r="CL106" s="52">
        <v>12.089449999999999</v>
      </c>
      <c r="CM106" s="52">
        <v>12.089449999999999</v>
      </c>
      <c r="CN106" s="52">
        <v>12.089449999999999</v>
      </c>
      <c r="CO106" s="52">
        <v>12.089449999999999</v>
      </c>
      <c r="CP106" s="52">
        <v>12.089449999999999</v>
      </c>
      <c r="CQ106" s="52">
        <v>12.089449999999999</v>
      </c>
      <c r="CR106" s="52">
        <v>12.089449999999999</v>
      </c>
      <c r="CS106" s="52">
        <v>12.089449999999999</v>
      </c>
      <c r="CT106" s="52">
        <v>12.089449999999999</v>
      </c>
      <c r="CU106" s="52">
        <v>12.089449999999999</v>
      </c>
      <c r="CV106" s="52">
        <v>12.089449999999999</v>
      </c>
      <c r="CW106" s="52">
        <v>12.089449999999999</v>
      </c>
      <c r="CX106" s="52">
        <v>12.089449999999999</v>
      </c>
      <c r="CY106" s="52">
        <v>12.089449999999999</v>
      </c>
      <c r="CZ106" s="52">
        <v>12.089449999999999</v>
      </c>
      <c r="DA106" s="52">
        <v>12.089449999999999</v>
      </c>
      <c r="DB106" s="52">
        <v>12.089449999999999</v>
      </c>
      <c r="DC106" s="52">
        <v>12.089449999999999</v>
      </c>
      <c r="DD106" s="52">
        <v>12.089449999999999</v>
      </c>
      <c r="DE106" s="52">
        <v>12.089449999999999</v>
      </c>
      <c r="DF106" s="52">
        <v>12.089449999999999</v>
      </c>
      <c r="DG106" s="52">
        <v>12.089449999999999</v>
      </c>
      <c r="DH106" s="52">
        <v>12.089449999999999</v>
      </c>
      <c r="DI106" s="52">
        <v>12.089449999999999</v>
      </c>
      <c r="DJ106" s="52">
        <v>12.089449999999999</v>
      </c>
      <c r="DK106" s="52">
        <v>12.089449999999999</v>
      </c>
      <c r="DL106" s="52">
        <v>12.089449999999999</v>
      </c>
      <c r="DM106" s="52">
        <v>12.089449999999999</v>
      </c>
      <c r="DN106" s="52">
        <v>12.089449999999999</v>
      </c>
      <c r="DO106" s="52">
        <v>12.089449999999999</v>
      </c>
      <c r="DP106" s="52">
        <v>12.089449999999999</v>
      </c>
      <c r="DQ106" s="52">
        <v>12.089449999999999</v>
      </c>
      <c r="DR106" s="52">
        <v>12.089449999999999</v>
      </c>
      <c r="DS106" s="52">
        <v>12.089449999999999</v>
      </c>
      <c r="DT106" s="52">
        <v>12.089449999999999</v>
      </c>
      <c r="DU106" s="52">
        <v>12.089449999999999</v>
      </c>
      <c r="DV106" s="52">
        <v>12.089449999999999</v>
      </c>
      <c r="DW106" s="52">
        <v>12.089449999999999</v>
      </c>
      <c r="DX106" s="52">
        <v>12.089449999999999</v>
      </c>
      <c r="DY106" s="52">
        <v>12.089449999999999</v>
      </c>
      <c r="DZ106" s="52">
        <v>12.089449999999999</v>
      </c>
      <c r="EA106" s="52">
        <v>12.089449999999999</v>
      </c>
      <c r="EB106" s="52">
        <v>12.089449999999999</v>
      </c>
      <c r="EC106" s="52">
        <v>12.089449999999999</v>
      </c>
      <c r="ED106" s="52">
        <v>12.089449999999999</v>
      </c>
      <c r="EE106" s="52">
        <v>12.089449999999999</v>
      </c>
      <c r="EF106" s="52">
        <v>12.089449999999999</v>
      </c>
      <c r="EG106" s="52">
        <v>12.089449999999999</v>
      </c>
      <c r="EH106" s="52">
        <v>12.089449999999999</v>
      </c>
      <c r="EI106" s="52">
        <v>12.089449999999999</v>
      </c>
      <c r="EJ106" s="52">
        <v>12.089449999999999</v>
      </c>
      <c r="EK106" s="52">
        <v>12.089449999999999</v>
      </c>
      <c r="EL106" s="52">
        <v>12.089449999999999</v>
      </c>
      <c r="EM106" s="52">
        <v>12.089449999999999</v>
      </c>
      <c r="EN106" s="52">
        <v>12.089449999999999</v>
      </c>
      <c r="EO106" s="52">
        <v>12.089449999999999</v>
      </c>
      <c r="EP106" s="52">
        <v>12.089449999999999</v>
      </c>
      <c r="EQ106" s="52">
        <v>12.089449999999999</v>
      </c>
      <c r="ER106" s="52">
        <v>12.089449999999999</v>
      </c>
      <c r="ES106" s="52">
        <v>12.089449999999999</v>
      </c>
      <c r="ET106" s="52">
        <v>12.089449999999999</v>
      </c>
      <c r="EU106" s="52">
        <v>12.089449999999999</v>
      </c>
      <c r="EV106" s="52">
        <v>12.089449999999999</v>
      </c>
      <c r="EW106" s="52">
        <v>12.089449999999999</v>
      </c>
      <c r="EX106" s="52">
        <v>12.089449999999999</v>
      </c>
      <c r="EY106" s="52">
        <v>12.089449999999999</v>
      </c>
      <c r="EZ106" s="52">
        <v>12.089449999999999</v>
      </c>
      <c r="FA106" s="52">
        <v>12.089449999999999</v>
      </c>
      <c r="FB106" s="52">
        <v>12.089449999999999</v>
      </c>
      <c r="FC106" s="52">
        <v>12.089449999999999</v>
      </c>
      <c r="FD106" s="52">
        <v>12.089449999999999</v>
      </c>
      <c r="FE106" s="52">
        <v>12.089449999999999</v>
      </c>
      <c r="FF106" s="52">
        <v>12.089449999999999</v>
      </c>
      <c r="FG106" s="52">
        <v>12.089449999999999</v>
      </c>
      <c r="FH106" s="52">
        <v>12.089449999999999</v>
      </c>
      <c r="FI106" s="52">
        <v>12.089449999999999</v>
      </c>
      <c r="FJ106" s="52">
        <v>12.089449999999999</v>
      </c>
      <c r="FK106" s="52">
        <v>12.089449999999999</v>
      </c>
      <c r="FL106" s="52">
        <v>12.089449999999999</v>
      </c>
      <c r="FM106" s="52">
        <v>12.089449999999999</v>
      </c>
      <c r="FN106" s="52">
        <v>12.089449999999999</v>
      </c>
      <c r="FO106" s="52">
        <v>12.089449999999999</v>
      </c>
      <c r="FP106" s="52">
        <v>12.089449999999999</v>
      </c>
      <c r="FQ106" s="52">
        <v>12.089449999999999</v>
      </c>
      <c r="FR106" s="52">
        <v>12.089449999999999</v>
      </c>
      <c r="FS106" s="52">
        <v>12.089449999999999</v>
      </c>
      <c r="FT106" s="52">
        <v>12.089449999999999</v>
      </c>
      <c r="FU106" s="52">
        <v>12.089449999999999</v>
      </c>
      <c r="FV106" s="52">
        <v>12.089449999999999</v>
      </c>
      <c r="FW106" s="52">
        <v>12.089449999999999</v>
      </c>
      <c r="FX106" s="52">
        <v>12.089449999999999</v>
      </c>
      <c r="FY106" s="52">
        <v>12.089449999999999</v>
      </c>
      <c r="FZ106" s="52">
        <v>12.089449999999999</v>
      </c>
      <c r="GA106" s="52">
        <v>12.089449999999999</v>
      </c>
      <c r="GB106" s="52">
        <v>12.089449999999999</v>
      </c>
      <c r="GC106" s="52">
        <v>12.089449999999999</v>
      </c>
      <c r="GD106" s="52">
        <v>12.089449999999999</v>
      </c>
      <c r="GE106" s="52">
        <v>12.089449999999999</v>
      </c>
      <c r="GF106" s="52">
        <v>12.089449999999999</v>
      </c>
      <c r="GG106" s="52">
        <v>12.089449999999999</v>
      </c>
      <c r="GH106" s="52">
        <v>12.089449999999999</v>
      </c>
      <c r="GI106" s="52">
        <v>12.089449999999999</v>
      </c>
      <c r="GJ106" s="52">
        <v>12.089449999999999</v>
      </c>
      <c r="GK106" s="52">
        <v>12.089449999999999</v>
      </c>
      <c r="GL106" s="52">
        <v>12.089449999999999</v>
      </c>
      <c r="GM106" s="52">
        <v>12.089449999999999</v>
      </c>
      <c r="GN106" s="52">
        <v>12.089449999999999</v>
      </c>
      <c r="GO106" s="52">
        <v>12.089449999999999</v>
      </c>
      <c r="GP106" s="52">
        <v>12.089449999999999</v>
      </c>
      <c r="GQ106" s="52">
        <v>12.089449999999999</v>
      </c>
      <c r="GR106" s="52">
        <v>12.089449999999999</v>
      </c>
      <c r="GS106" s="52">
        <v>12.089449999999999</v>
      </c>
      <c r="GT106" s="52">
        <v>12.089449999999999</v>
      </c>
      <c r="GU106" s="52">
        <v>12.089449999999999</v>
      </c>
      <c r="GV106" s="52">
        <v>12.089449999999999</v>
      </c>
      <c r="GW106" s="52">
        <v>12.089449999999999</v>
      </c>
      <c r="GX106" s="52">
        <v>12.089449999999999</v>
      </c>
      <c r="GY106" s="52">
        <v>12.089449999999999</v>
      </c>
      <c r="GZ106" s="52">
        <v>12.089449999999999</v>
      </c>
      <c r="HA106" s="52">
        <v>12.089449999999999</v>
      </c>
      <c r="HB106" s="52">
        <v>12.089449999999999</v>
      </c>
      <c r="HC106" s="52">
        <v>12.089449999999999</v>
      </c>
      <c r="HD106" s="52">
        <v>12.089449999999999</v>
      </c>
      <c r="HE106" s="52">
        <v>12.089449999999999</v>
      </c>
      <c r="HF106" s="52">
        <v>12.089449999999999</v>
      </c>
      <c r="HG106" s="52">
        <v>12.089449999999999</v>
      </c>
      <c r="HH106" s="52">
        <v>12.089449999999999</v>
      </c>
      <c r="HI106" s="52">
        <v>12.089449999999999</v>
      </c>
      <c r="HJ106" s="52">
        <v>12.089449999999999</v>
      </c>
      <c r="HK106" s="52">
        <v>12.089449999999999</v>
      </c>
      <c r="HL106" s="52">
        <v>12.089449999999999</v>
      </c>
      <c r="HM106" s="52">
        <v>12.089449999999999</v>
      </c>
      <c r="HN106" s="52">
        <v>12.089449999999999</v>
      </c>
      <c r="HO106" s="52">
        <v>12.089449999999999</v>
      </c>
      <c r="HP106" s="52">
        <v>12.089449999999999</v>
      </c>
      <c r="HQ106" s="52">
        <v>12.089449999999999</v>
      </c>
      <c r="HR106" s="52">
        <v>12.089449999999999</v>
      </c>
      <c r="HS106" s="52">
        <v>12.089449999999999</v>
      </c>
      <c r="HT106" s="52">
        <v>12.089449999999999</v>
      </c>
      <c r="HU106" s="52">
        <v>12.089449999999999</v>
      </c>
      <c r="HV106" s="52">
        <v>12.089449999999999</v>
      </c>
      <c r="HW106" s="52">
        <v>12.089449999999999</v>
      </c>
      <c r="HX106" s="52">
        <v>12.089449999999999</v>
      </c>
      <c r="HY106" s="52">
        <v>12.089449999999999</v>
      </c>
      <c r="HZ106" s="52">
        <v>12.089449999999999</v>
      </c>
      <c r="IA106" s="52">
        <v>12.089449999999999</v>
      </c>
      <c r="IB106" s="52">
        <v>12.089449999999999</v>
      </c>
      <c r="IC106" s="52">
        <v>12.089449999999999</v>
      </c>
      <c r="ID106" s="52">
        <v>12.089449999999999</v>
      </c>
      <c r="IE106" s="52">
        <v>12.089449999999999</v>
      </c>
      <c r="IF106" s="52">
        <v>12.089449999999999</v>
      </c>
      <c r="IG106" s="52">
        <v>12.089449999999999</v>
      </c>
      <c r="IH106" s="52">
        <v>12.089449999999999</v>
      </c>
      <c r="II106" s="52">
        <v>12.089449999999999</v>
      </c>
      <c r="IJ106" s="52">
        <v>12.089449999999999</v>
      </c>
      <c r="IK106" s="52">
        <v>12.089449999999999</v>
      </c>
      <c r="IL106" s="52">
        <v>12.089449999999999</v>
      </c>
      <c r="IM106" s="52">
        <v>12.089449999999999</v>
      </c>
      <c r="IN106" s="52">
        <v>12.089449999999999</v>
      </c>
      <c r="IO106" s="52">
        <v>12.089449999999999</v>
      </c>
      <c r="IP106" s="52">
        <v>12.089449999999999</v>
      </c>
      <c r="IQ106" s="52">
        <v>12.089449999999999</v>
      </c>
      <c r="IR106" s="52">
        <v>12.089449999999999</v>
      </c>
      <c r="IS106" s="52">
        <v>12.089449999999999</v>
      </c>
      <c r="IT106" s="52">
        <v>12.089449999999999</v>
      </c>
      <c r="IU106" s="52">
        <v>12.089449999999999</v>
      </c>
      <c r="IV106" s="52">
        <v>12.089449999999999</v>
      </c>
      <c r="IW106" s="52">
        <v>12.089449999999999</v>
      </c>
      <c r="IX106" s="52">
        <v>12.089449999999999</v>
      </c>
      <c r="IY106" s="52">
        <v>12.089449999999999</v>
      </c>
      <c r="IZ106" s="52">
        <v>12.089449999999999</v>
      </c>
      <c r="JA106" s="52">
        <v>12.089449999999999</v>
      </c>
      <c r="JB106" s="52">
        <v>12.089449999999999</v>
      </c>
      <c r="JC106" s="52">
        <v>12.089449999999999</v>
      </c>
      <c r="JD106" s="52">
        <v>12.089449999999999</v>
      </c>
      <c r="JE106" s="52">
        <v>12.089449999999999</v>
      </c>
      <c r="JF106" s="52">
        <v>12.089449999999999</v>
      </c>
      <c r="JG106" s="52">
        <v>12.089449999999999</v>
      </c>
      <c r="JH106" s="52">
        <v>12.089449999999999</v>
      </c>
      <c r="JI106" s="52">
        <v>12.089449999999999</v>
      </c>
      <c r="JJ106" s="52">
        <v>12.089449999999999</v>
      </c>
      <c r="JK106" s="52">
        <v>12.089449999999999</v>
      </c>
      <c r="JL106" s="52">
        <v>12.089449999999999</v>
      </c>
      <c r="JM106" s="52">
        <v>12.089449999999999</v>
      </c>
      <c r="JN106" s="52">
        <v>12.089449999999999</v>
      </c>
      <c r="JO106" s="52">
        <v>12.089449999999999</v>
      </c>
      <c r="JP106" s="52">
        <v>12.089449999999999</v>
      </c>
      <c r="JQ106" s="52">
        <v>12.089449999999999</v>
      </c>
      <c r="JR106" s="52">
        <v>12.089449999999999</v>
      </c>
      <c r="JS106" s="52">
        <v>12.089449999999999</v>
      </c>
      <c r="JT106" s="52">
        <v>12.089449999999999</v>
      </c>
      <c r="JU106" s="52">
        <v>12.089449999999999</v>
      </c>
      <c r="JV106" s="52">
        <v>12.089449999999999</v>
      </c>
      <c r="JW106" s="52">
        <v>12.089449999999999</v>
      </c>
      <c r="JX106" s="52">
        <v>12.089449999999999</v>
      </c>
      <c r="JY106" s="52">
        <v>12.089449999999999</v>
      </c>
      <c r="JZ106" s="52">
        <v>12.089449999999999</v>
      </c>
      <c r="KA106" s="52">
        <v>12.089449999999999</v>
      </c>
      <c r="KB106" s="52">
        <v>12.089449999999999</v>
      </c>
      <c r="KC106" s="52">
        <v>12.089449999999999</v>
      </c>
      <c r="KD106" s="52">
        <v>12.089449999999999</v>
      </c>
      <c r="KE106" s="52">
        <v>12.089449999999999</v>
      </c>
      <c r="KF106" s="52">
        <v>12.089449999999999</v>
      </c>
      <c r="KG106" s="52">
        <v>12.089449999999999</v>
      </c>
      <c r="KH106" s="52">
        <v>12.089449999999999</v>
      </c>
      <c r="KI106" s="52">
        <v>12.089449999999999</v>
      </c>
      <c r="KJ106" s="52">
        <v>12.089449999999999</v>
      </c>
      <c r="KK106" s="52">
        <v>12.089449999999999</v>
      </c>
      <c r="KL106" s="52">
        <v>12.089449999999999</v>
      </c>
      <c r="KM106" s="52">
        <v>12.089449999999999</v>
      </c>
      <c r="KN106" s="52">
        <v>12.089449999999999</v>
      </c>
      <c r="KO106" s="52">
        <v>12.089449999999999</v>
      </c>
      <c r="KP106" s="52">
        <v>12.089449999999999</v>
      </c>
      <c r="KQ106" s="52">
        <v>12.089449999999999</v>
      </c>
      <c r="KR106" s="52">
        <v>12.089449999999999</v>
      </c>
      <c r="KS106" s="52">
        <v>12.089449999999999</v>
      </c>
      <c r="KT106" s="52">
        <v>12.089449999999999</v>
      </c>
      <c r="KU106" s="52">
        <v>12.089449999999999</v>
      </c>
      <c r="KV106" s="52">
        <v>12.089449999999999</v>
      </c>
      <c r="KW106" s="52">
        <v>12.089449999999999</v>
      </c>
      <c r="KX106" s="52">
        <v>12.089449999999999</v>
      </c>
      <c r="KY106" s="52">
        <v>12.089449999999999</v>
      </c>
      <c r="KZ106" s="52">
        <v>12.089449999999999</v>
      </c>
      <c r="LA106" s="52">
        <v>12.089449999999999</v>
      </c>
      <c r="LB106" s="52">
        <v>12.089449999999999</v>
      </c>
      <c r="LC106" s="52">
        <v>12.089449999999999</v>
      </c>
      <c r="LD106" s="52">
        <v>12.089449999999999</v>
      </c>
      <c r="LE106" s="52">
        <v>12.089449999999999</v>
      </c>
      <c r="LF106" s="52">
        <v>12.089449999999999</v>
      </c>
      <c r="LG106" s="52">
        <v>12.089449999999999</v>
      </c>
      <c r="LH106" s="52">
        <v>12.089449999999999</v>
      </c>
      <c r="LI106" s="52">
        <v>12.089449999999999</v>
      </c>
      <c r="LJ106" s="52">
        <v>12.089449999999999</v>
      </c>
      <c r="LK106" s="52">
        <v>12.089449999999999</v>
      </c>
      <c r="LL106" s="52">
        <v>12.089449999999999</v>
      </c>
      <c r="LM106" s="52">
        <v>12.089449999999999</v>
      </c>
      <c r="LN106" s="52">
        <v>12.089449999999999</v>
      </c>
      <c r="LO106" s="52">
        <v>12.089449999999999</v>
      </c>
      <c r="LP106" s="52">
        <v>12.089449999999999</v>
      </c>
      <c r="LQ106" s="52">
        <v>12.089449999999999</v>
      </c>
      <c r="LR106" s="52">
        <v>12.089449999999999</v>
      </c>
      <c r="LS106" s="52">
        <v>12.089449999999999</v>
      </c>
      <c r="LT106" s="52">
        <v>12.089449999999999</v>
      </c>
      <c r="LU106" s="52">
        <v>12.089449999999999</v>
      </c>
      <c r="LV106" s="52">
        <v>12.089449999999999</v>
      </c>
      <c r="LW106" s="52">
        <v>12.089449999999999</v>
      </c>
      <c r="LX106" s="52">
        <v>12.089449999999999</v>
      </c>
      <c r="LY106" s="52">
        <v>12.089449999999999</v>
      </c>
      <c r="LZ106" s="52">
        <v>12.089449999999999</v>
      </c>
      <c r="MA106" s="52">
        <v>12.089449999999999</v>
      </c>
      <c r="MB106" s="52">
        <v>12.089449999999999</v>
      </c>
      <c r="MC106" s="52">
        <v>12.089449999999999</v>
      </c>
      <c r="MD106" s="52">
        <v>12.089449999999999</v>
      </c>
      <c r="ME106" s="52">
        <v>12.089449999999999</v>
      </c>
      <c r="MF106" s="52">
        <v>12.089449999999999</v>
      </c>
      <c r="MG106" s="52">
        <v>12.089449999999999</v>
      </c>
      <c r="MH106" s="52">
        <v>12.089449999999999</v>
      </c>
      <c r="MI106" s="52">
        <v>12.089449999999999</v>
      </c>
      <c r="MJ106" s="52">
        <v>12.089449999999999</v>
      </c>
      <c r="MK106" s="52">
        <v>12.089449999999999</v>
      </c>
      <c r="ML106" s="52">
        <v>12.089449999999999</v>
      </c>
      <c r="MM106" s="52">
        <v>12.089449999999999</v>
      </c>
      <c r="MN106" s="52">
        <v>12.089449999999999</v>
      </c>
      <c r="MO106" s="52">
        <v>12.089449999999999</v>
      </c>
      <c r="MP106" s="52">
        <v>12.089449999999999</v>
      </c>
      <c r="MQ106" s="52">
        <v>12.089449999999999</v>
      </c>
      <c r="MR106" s="52">
        <v>12.089449999999999</v>
      </c>
      <c r="MS106" s="52">
        <v>12.089449999999999</v>
      </c>
      <c r="MT106" s="52">
        <v>12.089449999999999</v>
      </c>
      <c r="MU106" s="52">
        <v>12.089449999999999</v>
      </c>
      <c r="MV106" s="52">
        <v>12.089449999999999</v>
      </c>
      <c r="MW106" s="52">
        <v>12.089449999999999</v>
      </c>
      <c r="MX106" s="52">
        <v>12.089449999999999</v>
      </c>
      <c r="MY106" s="52">
        <v>12.089449999999999</v>
      </c>
      <c r="MZ106" s="52">
        <v>12.089449999999999</v>
      </c>
      <c r="NA106" s="52">
        <v>12.089449999999999</v>
      </c>
      <c r="NB106" s="52">
        <v>12.089449999999999</v>
      </c>
      <c r="NC106" s="52">
        <v>12.089449999999999</v>
      </c>
      <c r="ND106" s="52">
        <v>12.089449999999999</v>
      </c>
      <c r="NE106" s="52">
        <v>12.089449999999999</v>
      </c>
      <c r="NF106" s="52">
        <v>12.089449999999999</v>
      </c>
      <c r="NG106" s="52">
        <v>12.089449999999999</v>
      </c>
      <c r="NH106" s="37">
        <v>12.089449999999999</v>
      </c>
      <c r="NI106" s="37">
        <v>12.089449999999999</v>
      </c>
      <c r="NJ106" s="37">
        <v>12.089449999999999</v>
      </c>
      <c r="NK106" s="37">
        <v>12.089449999999999</v>
      </c>
      <c r="NL106" s="37">
        <v>12.089449999999999</v>
      </c>
      <c r="NM106" s="37">
        <v>12.089449999999999</v>
      </c>
      <c r="NN106" s="37">
        <v>12.089449999999999</v>
      </c>
      <c r="NO106" s="37">
        <v>12.089449999999999</v>
      </c>
      <c r="NP106" s="37">
        <v>12.089449999999999</v>
      </c>
      <c r="NQ106" s="37">
        <v>12.089449999999999</v>
      </c>
      <c r="NR106" s="37">
        <v>12.089449999999999</v>
      </c>
      <c r="NS106" s="37">
        <v>12.089449999999999</v>
      </c>
      <c r="NT106" s="37">
        <v>12.089449999999999</v>
      </c>
      <c r="NU106" s="37">
        <v>12.089449999999999</v>
      </c>
      <c r="NV106" s="37">
        <v>12.089449999999999</v>
      </c>
      <c r="NW106" s="37">
        <v>12.089449999999999</v>
      </c>
      <c r="NX106" s="37">
        <v>12.089449999999999</v>
      </c>
      <c r="NY106" s="37">
        <v>12.089449999999999</v>
      </c>
      <c r="NZ106" s="37">
        <v>12.089449999999999</v>
      </c>
      <c r="OA106" s="37">
        <v>12.089449999999999</v>
      </c>
      <c r="OB106" s="37">
        <v>12.089449999999999</v>
      </c>
      <c r="OC106" s="37">
        <v>12.089449999999999</v>
      </c>
      <c r="OD106" s="37">
        <v>12.089449999999999</v>
      </c>
      <c r="OE106" s="37">
        <v>12.089449999999999</v>
      </c>
      <c r="OF106" s="37">
        <v>12.089449999999999</v>
      </c>
      <c r="OG106" s="37">
        <v>12.089449999999999</v>
      </c>
      <c r="OH106" s="37">
        <v>12.089449999999999</v>
      </c>
      <c r="OI106" s="37">
        <v>12.089449999999999</v>
      </c>
      <c r="OJ106" s="37">
        <v>12.089449999999999</v>
      </c>
      <c r="OK106" s="37">
        <v>12.089449999999999</v>
      </c>
      <c r="OL106" s="37">
        <v>12.089449999999999</v>
      </c>
      <c r="OM106" s="37">
        <v>12.089449999999999</v>
      </c>
      <c r="ON106" s="37">
        <v>12.089449999999999</v>
      </c>
      <c r="OO106" s="37">
        <v>12.089449999999999</v>
      </c>
      <c r="OP106" s="37">
        <v>12.089449999999999</v>
      </c>
      <c r="OQ106" s="37">
        <v>12.089449999999999</v>
      </c>
      <c r="OR106" s="37">
        <v>12.089449999999999</v>
      </c>
      <c r="OS106" s="37">
        <v>12.089449999999999</v>
      </c>
      <c r="OT106" s="37">
        <v>12.089449999999999</v>
      </c>
      <c r="OU106" s="37">
        <v>12.089449999999999</v>
      </c>
      <c r="OV106" s="37">
        <v>12.089449999999999</v>
      </c>
      <c r="OW106" s="37">
        <v>12.089449999999999</v>
      </c>
      <c r="OX106" s="37">
        <v>12.089449999999999</v>
      </c>
      <c r="OY106" s="37">
        <v>12.089449999999999</v>
      </c>
      <c r="OZ106" s="37">
        <v>12.089449999999999</v>
      </c>
      <c r="PA106" s="37">
        <v>12.089449999999999</v>
      </c>
      <c r="PB106" s="37">
        <v>12.089449999999999</v>
      </c>
      <c r="PC106" s="37">
        <v>12.089449999999999</v>
      </c>
      <c r="PD106" s="37">
        <v>12.089449999999999</v>
      </c>
      <c r="PE106" s="37">
        <v>12.089449999999999</v>
      </c>
      <c r="PF106" s="37">
        <v>12.089449999999999</v>
      </c>
      <c r="PG106" s="37">
        <v>12.089449999999999</v>
      </c>
      <c r="PH106" s="37">
        <v>12.089449999999999</v>
      </c>
      <c r="PI106" s="37">
        <v>12.089449999999999</v>
      </c>
      <c r="PJ106" s="37">
        <v>12.089449999999999</v>
      </c>
      <c r="PK106" s="37">
        <v>12.089449999999999</v>
      </c>
      <c r="PL106" s="37">
        <v>12.089449999999999</v>
      </c>
      <c r="PM106" s="37">
        <v>12.089449999999999</v>
      </c>
      <c r="PN106" s="37">
        <v>12.089449999999999</v>
      </c>
      <c r="PO106" s="37">
        <v>12.089449999999999</v>
      </c>
      <c r="PP106" s="37">
        <v>12.089449999999999</v>
      </c>
      <c r="PQ106" s="37">
        <v>12.089449999999999</v>
      </c>
      <c r="PR106" s="37">
        <v>12.089449999999999</v>
      </c>
      <c r="PS106" s="15">
        <v>12.089449999999999</v>
      </c>
      <c r="PT106" s="15">
        <v>12.089449999999999</v>
      </c>
      <c r="PU106" s="15">
        <v>12.089449999999999</v>
      </c>
      <c r="PV106" s="15">
        <v>12.089449999999999</v>
      </c>
      <c r="PW106" s="15">
        <v>12.089449999999999</v>
      </c>
      <c r="PX106" s="15">
        <v>12.089449999999999</v>
      </c>
      <c r="PY106" s="15">
        <v>12.089449999999999</v>
      </c>
      <c r="PZ106" s="15">
        <v>12.089449999999999</v>
      </c>
      <c r="QA106" s="15">
        <v>12.089449999999999</v>
      </c>
      <c r="QB106" s="15">
        <v>12.089449999999999</v>
      </c>
      <c r="QC106" s="15">
        <v>12.089449999999999</v>
      </c>
      <c r="QD106" s="15">
        <v>12.089449999999999</v>
      </c>
      <c r="QE106" s="15">
        <v>12.089449999999999</v>
      </c>
      <c r="QF106" s="15">
        <v>12.089449999999999</v>
      </c>
      <c r="QG106" s="15">
        <v>12.089449999999999</v>
      </c>
      <c r="QH106" s="15">
        <v>12.089449999999999</v>
      </c>
      <c r="QI106" s="15">
        <v>12.089449999999999</v>
      </c>
      <c r="QJ106" s="15">
        <v>12.089449999999999</v>
      </c>
      <c r="QK106" s="15">
        <v>12.089449999999999</v>
      </c>
      <c r="QL106" s="15">
        <v>12.089449999999999</v>
      </c>
      <c r="QM106" s="15">
        <v>12.089449999999999</v>
      </c>
      <c r="QN106" s="15">
        <v>12.089449999999999</v>
      </c>
      <c r="QO106" s="15">
        <v>12.089449999999999</v>
      </c>
      <c r="QP106" s="15">
        <v>12.089449999999999</v>
      </c>
      <c r="QQ106" s="15">
        <v>12.089449999999999</v>
      </c>
      <c r="QR106" s="15">
        <v>12.089449999999999</v>
      </c>
      <c r="QS106" s="15">
        <v>12.089449999999999</v>
      </c>
      <c r="QT106" s="15">
        <v>12.089449999999999</v>
      </c>
      <c r="QU106" s="15">
        <v>12.089449999999999</v>
      </c>
      <c r="QV106" s="15">
        <v>12.089449999999999</v>
      </c>
      <c r="QW106" s="15">
        <v>12.089449999999999</v>
      </c>
      <c r="QX106" s="15">
        <v>12.089449999999999</v>
      </c>
      <c r="QY106" s="15">
        <v>12.089449999999999</v>
      </c>
      <c r="QZ106" s="15">
        <v>12.089449999999999</v>
      </c>
      <c r="RA106" s="15">
        <v>12.089449999999999</v>
      </c>
      <c r="RB106" s="15">
        <v>12.089449999999999</v>
      </c>
      <c r="RC106" s="15">
        <v>12.089449999999999</v>
      </c>
      <c r="RD106" s="15">
        <v>12.089449999999999</v>
      </c>
      <c r="RE106" s="15">
        <v>12.089449999999999</v>
      </c>
      <c r="RF106" s="15">
        <v>12.089449999999999</v>
      </c>
      <c r="RG106" s="15">
        <v>12.089449999999999</v>
      </c>
      <c r="RH106" s="15">
        <v>12.089449999999999</v>
      </c>
      <c r="RI106" s="15">
        <v>12.089449999999999</v>
      </c>
      <c r="RJ106" s="15">
        <v>12.089449999999999</v>
      </c>
      <c r="RK106" s="15">
        <v>12.089449999999999</v>
      </c>
      <c r="RL106" s="15">
        <v>12.089449999999999</v>
      </c>
      <c r="RM106" s="15">
        <v>12.089449999999999</v>
      </c>
      <c r="RN106" s="15">
        <v>12.089449999999999</v>
      </c>
      <c r="RO106" s="15">
        <v>12.089449999999999</v>
      </c>
      <c r="RP106" s="15">
        <v>12.089449999999999</v>
      </c>
      <c r="RQ106" s="15">
        <v>12.089449999999999</v>
      </c>
      <c r="RR106" s="15">
        <v>12.089449999999999</v>
      </c>
      <c r="RS106" s="15">
        <v>12.089449999999999</v>
      </c>
      <c r="RT106" s="15">
        <v>12.089449999999999</v>
      </c>
      <c r="RU106" s="15">
        <v>12.089449999999999</v>
      </c>
      <c r="RV106" s="15">
        <v>12.089449999999999</v>
      </c>
      <c r="RW106" s="15">
        <v>12.089449999999999</v>
      </c>
      <c r="RX106" s="15">
        <v>12.089449999999999</v>
      </c>
      <c r="RY106" s="15">
        <v>12.089449999999999</v>
      </c>
      <c r="RZ106" s="15">
        <v>12.089449999999999</v>
      </c>
      <c r="SA106" s="15">
        <v>12.089449999999999</v>
      </c>
      <c r="SB106" s="15">
        <v>12.089449999999999</v>
      </c>
      <c r="SC106" s="15">
        <v>12.089449999999999</v>
      </c>
      <c r="SD106" s="15">
        <v>12.089449999999999</v>
      </c>
      <c r="SE106" s="15">
        <v>12.089449999999999</v>
      </c>
      <c r="SF106" s="15">
        <v>12.089449999999999</v>
      </c>
      <c r="SG106" s="15">
        <v>12.089449999999999</v>
      </c>
      <c r="SH106" s="15">
        <v>12.089449999999999</v>
      </c>
      <c r="SI106" s="15">
        <v>12.089449999999999</v>
      </c>
      <c r="SJ106" s="15">
        <v>12.089449999999999</v>
      </c>
      <c r="SK106" s="15">
        <v>12.089449999999999</v>
      </c>
      <c r="SL106" s="15">
        <v>12.089449999999999</v>
      </c>
      <c r="SM106" s="15">
        <v>12.089449999999999</v>
      </c>
      <c r="SN106" s="15">
        <v>12.089449999999999</v>
      </c>
      <c r="SO106" s="15">
        <v>12.089449999999999</v>
      </c>
      <c r="SP106" s="15">
        <v>10.922000000000001</v>
      </c>
    </row>
    <row r="107" spans="1:510" x14ac:dyDescent="0.2">
      <c r="A107" s="37">
        <v>105</v>
      </c>
      <c r="B107" s="37" t="s">
        <v>960</v>
      </c>
      <c r="C107" s="17">
        <f>+'Detalle Compras'!D107</f>
        <v>202511280152</v>
      </c>
      <c r="D107" s="55">
        <f t="shared" si="16"/>
        <v>6.5812499999999998</v>
      </c>
      <c r="E107" s="14">
        <f>+IF(B107="","",'Detalle Compras'!S107+0)</f>
        <v>46032</v>
      </c>
      <c r="F107" s="14">
        <f>+IF(B107="","",EOMONTH('Detalle Compras'!S107,G107)+10)</f>
        <v>58847</v>
      </c>
      <c r="G107" s="50">
        <f t="shared" si="17"/>
        <v>420</v>
      </c>
      <c r="H107" s="50">
        <f t="shared" si="18"/>
        <v>419</v>
      </c>
      <c r="L107" s="52"/>
      <c r="M107" s="52"/>
      <c r="N107" s="52"/>
      <c r="O107" s="52"/>
      <c r="P107" s="52"/>
      <c r="Q107" s="52"/>
      <c r="R107" s="52"/>
      <c r="S107" s="52"/>
      <c r="T107" s="52"/>
      <c r="U107" s="52"/>
      <c r="V107" s="52"/>
      <c r="W107" s="52"/>
      <c r="X107" s="52"/>
      <c r="Y107" s="52"/>
      <c r="Z107" s="52"/>
      <c r="AA107" s="52"/>
      <c r="AB107" s="52"/>
      <c r="AC107" s="52"/>
      <c r="AD107" s="52"/>
      <c r="AE107" s="52">
        <v>6.5812499999999998</v>
      </c>
      <c r="AF107" s="52">
        <v>6.5812499999999998</v>
      </c>
      <c r="AG107" s="52">
        <v>6.5812499999999998</v>
      </c>
      <c r="AH107" s="52">
        <v>6.5812499999999998</v>
      </c>
      <c r="AI107" s="52">
        <v>6.5812499999999998</v>
      </c>
      <c r="AJ107" s="52">
        <v>6.5812499999999998</v>
      </c>
      <c r="AK107" s="52">
        <v>6.5812499999999998</v>
      </c>
      <c r="AL107" s="52">
        <v>6.5812499999999998</v>
      </c>
      <c r="AM107" s="52">
        <v>6.5812499999999998</v>
      </c>
      <c r="AN107" s="52">
        <v>6.5812499999999998</v>
      </c>
      <c r="AO107" s="52">
        <v>6.5812499999999998</v>
      </c>
      <c r="AP107" s="52">
        <v>6.5812499999999998</v>
      </c>
      <c r="AQ107" s="52">
        <v>6.5812499999999998</v>
      </c>
      <c r="AR107" s="52">
        <v>6.5812499999999998</v>
      </c>
      <c r="AS107" s="52">
        <v>6.5812499999999998</v>
      </c>
      <c r="AT107" s="52">
        <v>6.5812499999999998</v>
      </c>
      <c r="AU107" s="52">
        <v>6.5812499999999998</v>
      </c>
      <c r="AV107" s="52">
        <v>6.5812499999999998</v>
      </c>
      <c r="AW107" s="52">
        <v>6.5812499999999998</v>
      </c>
      <c r="AX107" s="52">
        <v>6.5812499999999998</v>
      </c>
      <c r="AY107" s="52">
        <v>6.5812499999999998</v>
      </c>
      <c r="AZ107" s="52">
        <v>6.5812499999999998</v>
      </c>
      <c r="BA107" s="52">
        <v>6.5812499999999998</v>
      </c>
      <c r="BB107" s="52">
        <v>6.5812499999999998</v>
      </c>
      <c r="BC107" s="52">
        <v>6.5812499999999998</v>
      </c>
      <c r="BD107" s="52">
        <v>6.5812499999999998</v>
      </c>
      <c r="BE107" s="52">
        <v>6.5812499999999998</v>
      </c>
      <c r="BF107" s="52">
        <v>6.5812499999999998</v>
      </c>
      <c r="BG107" s="52">
        <v>6.5812499999999998</v>
      </c>
      <c r="BH107" s="52">
        <v>6.5812499999999998</v>
      </c>
      <c r="BI107" s="52">
        <v>6.5812499999999998</v>
      </c>
      <c r="BJ107" s="52">
        <v>6.5812499999999998</v>
      </c>
      <c r="BK107" s="52">
        <v>6.5812499999999998</v>
      </c>
      <c r="BL107" s="52">
        <v>6.5812499999999998</v>
      </c>
      <c r="BM107" s="52">
        <v>6.5812499999999998</v>
      </c>
      <c r="BN107" s="52">
        <v>6.5812499999999998</v>
      </c>
      <c r="BO107" s="52">
        <v>6.5812499999999998</v>
      </c>
      <c r="BP107" s="52">
        <v>6.5812499999999998</v>
      </c>
      <c r="BQ107" s="52">
        <v>6.5812499999999998</v>
      </c>
      <c r="BR107" s="52">
        <v>6.5812499999999998</v>
      </c>
      <c r="BS107" s="52">
        <v>6.5812499999999998</v>
      </c>
      <c r="BT107" s="52">
        <v>6.5812499999999998</v>
      </c>
      <c r="BU107" s="52">
        <v>6.5812499999999998</v>
      </c>
      <c r="BV107" s="52">
        <v>6.5812499999999998</v>
      </c>
      <c r="BW107" s="52">
        <v>6.5812499999999998</v>
      </c>
      <c r="BX107" s="52">
        <v>6.5812499999999998</v>
      </c>
      <c r="BY107" s="52">
        <v>6.5812499999999998</v>
      </c>
      <c r="BZ107" s="52">
        <v>6.5812499999999998</v>
      </c>
      <c r="CA107" s="52">
        <v>6.5812499999999998</v>
      </c>
      <c r="CB107" s="52">
        <v>6.5812499999999998</v>
      </c>
      <c r="CC107" s="52">
        <v>6.5812499999999998</v>
      </c>
      <c r="CD107" s="52">
        <v>6.5812499999999998</v>
      </c>
      <c r="CE107" s="52">
        <v>6.5812499999999998</v>
      </c>
      <c r="CF107" s="52">
        <v>6.5812499999999998</v>
      </c>
      <c r="CG107" s="52">
        <v>6.5812499999999998</v>
      </c>
      <c r="CH107" s="52">
        <v>6.5812499999999998</v>
      </c>
      <c r="CI107" s="52">
        <v>6.5812499999999998</v>
      </c>
      <c r="CJ107" s="52">
        <v>6.5812499999999998</v>
      </c>
      <c r="CK107" s="52">
        <v>6.5812499999999998</v>
      </c>
      <c r="CL107" s="52">
        <v>6.5812499999999998</v>
      </c>
      <c r="CM107" s="52">
        <v>6.5812499999999998</v>
      </c>
      <c r="CN107" s="52">
        <v>6.5812499999999998</v>
      </c>
      <c r="CO107" s="52">
        <v>6.5812499999999998</v>
      </c>
      <c r="CP107" s="52">
        <v>6.5812499999999998</v>
      </c>
      <c r="CQ107" s="52">
        <v>6.5812499999999998</v>
      </c>
      <c r="CR107" s="52">
        <v>6.5812499999999998</v>
      </c>
      <c r="CS107" s="52">
        <v>6.5812499999999998</v>
      </c>
      <c r="CT107" s="52">
        <v>6.5812499999999998</v>
      </c>
      <c r="CU107" s="52">
        <v>6.5812499999999998</v>
      </c>
      <c r="CV107" s="52">
        <v>6.5812499999999998</v>
      </c>
      <c r="CW107" s="52">
        <v>6.5812499999999998</v>
      </c>
      <c r="CX107" s="52">
        <v>6.5812499999999998</v>
      </c>
      <c r="CY107" s="52">
        <v>6.5812499999999998</v>
      </c>
      <c r="CZ107" s="52">
        <v>6.5812499999999998</v>
      </c>
      <c r="DA107" s="52">
        <v>6.5812499999999998</v>
      </c>
      <c r="DB107" s="52">
        <v>6.5812499999999998</v>
      </c>
      <c r="DC107" s="52">
        <v>6.5812499999999998</v>
      </c>
      <c r="DD107" s="52">
        <v>6.5812499999999998</v>
      </c>
      <c r="DE107" s="52">
        <v>6.5812499999999998</v>
      </c>
      <c r="DF107" s="52">
        <v>6.5812499999999998</v>
      </c>
      <c r="DG107" s="52">
        <v>6.5812499999999998</v>
      </c>
      <c r="DH107" s="52">
        <v>6.5812499999999998</v>
      </c>
      <c r="DI107" s="52">
        <v>6.5812499999999998</v>
      </c>
      <c r="DJ107" s="52">
        <v>6.5812499999999998</v>
      </c>
      <c r="DK107" s="52">
        <v>6.5812499999999998</v>
      </c>
      <c r="DL107" s="52">
        <v>6.5812499999999998</v>
      </c>
      <c r="DM107" s="52">
        <v>6.5812499999999998</v>
      </c>
      <c r="DN107" s="52">
        <v>6.5812499999999998</v>
      </c>
      <c r="DO107" s="52">
        <v>6.5812499999999998</v>
      </c>
      <c r="DP107" s="52">
        <v>6.5812499999999998</v>
      </c>
      <c r="DQ107" s="52">
        <v>6.5812499999999998</v>
      </c>
      <c r="DR107" s="52">
        <v>6.5812499999999998</v>
      </c>
      <c r="DS107" s="52">
        <v>6.5812499999999998</v>
      </c>
      <c r="DT107" s="52">
        <v>6.5812499999999998</v>
      </c>
      <c r="DU107" s="52">
        <v>6.5812499999999998</v>
      </c>
      <c r="DV107" s="52">
        <v>6.5812499999999998</v>
      </c>
      <c r="DW107" s="52">
        <v>6.5812499999999998</v>
      </c>
      <c r="DX107" s="52">
        <v>6.5812499999999998</v>
      </c>
      <c r="DY107" s="52">
        <v>6.5812499999999998</v>
      </c>
      <c r="DZ107" s="52">
        <v>6.5812499999999998</v>
      </c>
      <c r="EA107" s="52">
        <v>6.5812499999999998</v>
      </c>
      <c r="EB107" s="52">
        <v>6.5812499999999998</v>
      </c>
      <c r="EC107" s="52">
        <v>6.5812499999999998</v>
      </c>
      <c r="ED107" s="52">
        <v>6.5812499999999998</v>
      </c>
      <c r="EE107" s="52">
        <v>6.5812499999999998</v>
      </c>
      <c r="EF107" s="52">
        <v>6.5812499999999998</v>
      </c>
      <c r="EG107" s="52">
        <v>6.5812499999999998</v>
      </c>
      <c r="EH107" s="52">
        <v>6.5812499999999998</v>
      </c>
      <c r="EI107" s="52">
        <v>6.5812499999999998</v>
      </c>
      <c r="EJ107" s="52">
        <v>6.5812499999999998</v>
      </c>
      <c r="EK107" s="52">
        <v>6.5812499999999998</v>
      </c>
      <c r="EL107" s="52">
        <v>6.5812499999999998</v>
      </c>
      <c r="EM107" s="52">
        <v>6.5812499999999998</v>
      </c>
      <c r="EN107" s="52">
        <v>6.5812499999999998</v>
      </c>
      <c r="EO107" s="52">
        <v>6.5812499999999998</v>
      </c>
      <c r="EP107" s="52">
        <v>6.5812499999999998</v>
      </c>
      <c r="EQ107" s="52">
        <v>6.5812499999999998</v>
      </c>
      <c r="ER107" s="52">
        <v>6.5812499999999998</v>
      </c>
      <c r="ES107" s="52">
        <v>6.5812499999999998</v>
      </c>
      <c r="ET107" s="52">
        <v>6.5812499999999998</v>
      </c>
      <c r="EU107" s="52">
        <v>6.5812499999999998</v>
      </c>
      <c r="EV107" s="52">
        <v>6.5812499999999998</v>
      </c>
      <c r="EW107" s="52">
        <v>6.5812499999999998</v>
      </c>
      <c r="EX107" s="52">
        <v>6.5812499999999998</v>
      </c>
      <c r="EY107" s="52">
        <v>6.5812499999999998</v>
      </c>
      <c r="EZ107" s="52">
        <v>6.5812499999999998</v>
      </c>
      <c r="FA107" s="52">
        <v>6.5812499999999998</v>
      </c>
      <c r="FB107" s="52">
        <v>6.5812499999999998</v>
      </c>
      <c r="FC107" s="52">
        <v>6.5812499999999998</v>
      </c>
      <c r="FD107" s="52">
        <v>6.5812499999999998</v>
      </c>
      <c r="FE107" s="52">
        <v>6.5812499999999998</v>
      </c>
      <c r="FF107" s="52">
        <v>6.5812499999999998</v>
      </c>
      <c r="FG107" s="52">
        <v>6.5812499999999998</v>
      </c>
      <c r="FH107" s="52">
        <v>6.5812499999999998</v>
      </c>
      <c r="FI107" s="52">
        <v>6.5812499999999998</v>
      </c>
      <c r="FJ107" s="52">
        <v>6.5812499999999998</v>
      </c>
      <c r="FK107" s="52">
        <v>6.5812499999999998</v>
      </c>
      <c r="FL107" s="52">
        <v>6.5812499999999998</v>
      </c>
      <c r="FM107" s="52">
        <v>6.5812499999999998</v>
      </c>
      <c r="FN107" s="52">
        <v>6.5812499999999998</v>
      </c>
      <c r="FO107" s="52">
        <v>6.5812499999999998</v>
      </c>
      <c r="FP107" s="52">
        <v>6.5812499999999998</v>
      </c>
      <c r="FQ107" s="52">
        <v>6.5812499999999998</v>
      </c>
      <c r="FR107" s="52">
        <v>6.5812499999999998</v>
      </c>
      <c r="FS107" s="52">
        <v>6.5812499999999998</v>
      </c>
      <c r="FT107" s="52">
        <v>6.5812499999999998</v>
      </c>
      <c r="FU107" s="52">
        <v>6.5812499999999998</v>
      </c>
      <c r="FV107" s="52">
        <v>6.5812499999999998</v>
      </c>
      <c r="FW107" s="52">
        <v>6.5812499999999998</v>
      </c>
      <c r="FX107" s="52">
        <v>6.5812499999999998</v>
      </c>
      <c r="FY107" s="52">
        <v>6.5812499999999998</v>
      </c>
      <c r="FZ107" s="52">
        <v>6.5812499999999998</v>
      </c>
      <c r="GA107" s="52">
        <v>6.5812499999999998</v>
      </c>
      <c r="GB107" s="52">
        <v>6.5812499999999998</v>
      </c>
      <c r="GC107" s="52">
        <v>6.5812499999999998</v>
      </c>
      <c r="GD107" s="52">
        <v>6.5812499999999998</v>
      </c>
      <c r="GE107" s="52">
        <v>6.5812499999999998</v>
      </c>
      <c r="GF107" s="52">
        <v>6.5812499999999998</v>
      </c>
      <c r="GG107" s="52">
        <v>6.5812499999999998</v>
      </c>
      <c r="GH107" s="52">
        <v>6.5812499999999998</v>
      </c>
      <c r="GI107" s="52">
        <v>6.5812499999999998</v>
      </c>
      <c r="GJ107" s="52">
        <v>6.5812499999999998</v>
      </c>
      <c r="GK107" s="52">
        <v>6.5812499999999998</v>
      </c>
      <c r="GL107" s="52">
        <v>6.5812499999999998</v>
      </c>
      <c r="GM107" s="52">
        <v>6.5812499999999998</v>
      </c>
      <c r="GN107" s="52">
        <v>6.5812499999999998</v>
      </c>
      <c r="GO107" s="52">
        <v>6.5812499999999998</v>
      </c>
      <c r="GP107" s="52">
        <v>6.5812499999999998</v>
      </c>
      <c r="GQ107" s="52">
        <v>6.5812499999999998</v>
      </c>
      <c r="GR107" s="52">
        <v>6.5812499999999998</v>
      </c>
      <c r="GS107" s="52">
        <v>6.5812499999999998</v>
      </c>
      <c r="GT107" s="52">
        <v>6.5812499999999998</v>
      </c>
      <c r="GU107" s="52">
        <v>6.5812499999999998</v>
      </c>
      <c r="GV107" s="52">
        <v>6.5812499999999998</v>
      </c>
      <c r="GW107" s="52">
        <v>6.5812499999999998</v>
      </c>
      <c r="GX107" s="52">
        <v>6.5812499999999998</v>
      </c>
      <c r="GY107" s="52">
        <v>6.5812499999999998</v>
      </c>
      <c r="GZ107" s="52">
        <v>6.5812499999999998</v>
      </c>
      <c r="HA107" s="52">
        <v>6.5812499999999998</v>
      </c>
      <c r="HB107" s="52">
        <v>6.5812499999999998</v>
      </c>
      <c r="HC107" s="52">
        <v>6.5812499999999998</v>
      </c>
      <c r="HD107" s="52">
        <v>6.5812499999999998</v>
      </c>
      <c r="HE107" s="52">
        <v>6.5812499999999998</v>
      </c>
      <c r="HF107" s="52">
        <v>6.5812499999999998</v>
      </c>
      <c r="HG107" s="52">
        <v>6.5812499999999998</v>
      </c>
      <c r="HH107" s="52">
        <v>6.5812499999999998</v>
      </c>
      <c r="HI107" s="52">
        <v>6.5812499999999998</v>
      </c>
      <c r="HJ107" s="52">
        <v>6.5812499999999998</v>
      </c>
      <c r="HK107" s="52">
        <v>6.5812499999999998</v>
      </c>
      <c r="HL107" s="52">
        <v>6.5812499999999998</v>
      </c>
      <c r="HM107" s="52">
        <v>6.5812499999999998</v>
      </c>
      <c r="HN107" s="52">
        <v>6.5812499999999998</v>
      </c>
      <c r="HO107" s="52">
        <v>6.5812499999999998</v>
      </c>
      <c r="HP107" s="52">
        <v>6.5812499999999998</v>
      </c>
      <c r="HQ107" s="52">
        <v>6.5812499999999998</v>
      </c>
      <c r="HR107" s="52">
        <v>6.5812499999999998</v>
      </c>
      <c r="HS107" s="52">
        <v>6.5812499999999998</v>
      </c>
      <c r="HT107" s="52">
        <v>6.5812499999999998</v>
      </c>
      <c r="HU107" s="52">
        <v>6.5812499999999998</v>
      </c>
      <c r="HV107" s="52">
        <v>6.5812499999999998</v>
      </c>
      <c r="HW107" s="52">
        <v>6.5812499999999998</v>
      </c>
      <c r="HX107" s="52">
        <v>6.5812499999999998</v>
      </c>
      <c r="HY107" s="52">
        <v>6.5812499999999998</v>
      </c>
      <c r="HZ107" s="52">
        <v>6.5812499999999998</v>
      </c>
      <c r="IA107" s="52">
        <v>6.5812499999999998</v>
      </c>
      <c r="IB107" s="52">
        <v>6.5812499999999998</v>
      </c>
      <c r="IC107" s="52">
        <v>6.5812499999999998</v>
      </c>
      <c r="ID107" s="52">
        <v>6.5812499999999998</v>
      </c>
      <c r="IE107" s="52">
        <v>6.5812499999999998</v>
      </c>
      <c r="IF107" s="52">
        <v>6.5812499999999998</v>
      </c>
      <c r="IG107" s="52">
        <v>6.5812499999999998</v>
      </c>
      <c r="IH107" s="52">
        <v>6.5812499999999998</v>
      </c>
      <c r="II107" s="52">
        <v>6.5812499999999998</v>
      </c>
      <c r="IJ107" s="52">
        <v>6.5812499999999998</v>
      </c>
      <c r="IK107" s="52">
        <v>6.5812499999999998</v>
      </c>
      <c r="IL107" s="52">
        <v>6.5812499999999998</v>
      </c>
      <c r="IM107" s="52">
        <v>6.5812499999999998</v>
      </c>
      <c r="IN107" s="52">
        <v>6.5812499999999998</v>
      </c>
      <c r="IO107" s="52">
        <v>6.5812499999999998</v>
      </c>
      <c r="IP107" s="52">
        <v>6.5812499999999998</v>
      </c>
      <c r="IQ107" s="52">
        <v>6.5812499999999998</v>
      </c>
      <c r="IR107" s="52">
        <v>6.5812499999999998</v>
      </c>
      <c r="IS107" s="52">
        <v>6.5812499999999998</v>
      </c>
      <c r="IT107" s="52">
        <v>6.5812499999999998</v>
      </c>
      <c r="IU107" s="52">
        <v>6.5812499999999998</v>
      </c>
      <c r="IV107" s="52">
        <v>6.5812499999999998</v>
      </c>
      <c r="IW107" s="52">
        <v>6.5812499999999998</v>
      </c>
      <c r="IX107" s="52">
        <v>6.5812499999999998</v>
      </c>
      <c r="IY107" s="52">
        <v>6.5812499999999998</v>
      </c>
      <c r="IZ107" s="52">
        <v>6.5812499999999998</v>
      </c>
      <c r="JA107" s="52">
        <v>6.5812499999999998</v>
      </c>
      <c r="JB107" s="52">
        <v>6.5812499999999998</v>
      </c>
      <c r="JC107" s="52">
        <v>6.5812499999999998</v>
      </c>
      <c r="JD107" s="52">
        <v>6.5812499999999998</v>
      </c>
      <c r="JE107" s="52">
        <v>6.5812499999999998</v>
      </c>
      <c r="JF107" s="52">
        <v>6.5812499999999998</v>
      </c>
      <c r="JG107" s="52">
        <v>6.5812499999999998</v>
      </c>
      <c r="JH107" s="52">
        <v>6.5812499999999998</v>
      </c>
      <c r="JI107" s="52">
        <v>6.5812499999999998</v>
      </c>
      <c r="JJ107" s="52">
        <v>6.5812499999999998</v>
      </c>
      <c r="JK107" s="52">
        <v>6.5812499999999998</v>
      </c>
      <c r="JL107" s="52">
        <v>6.5812499999999998</v>
      </c>
      <c r="JM107" s="52">
        <v>6.5812499999999998</v>
      </c>
      <c r="JN107" s="52">
        <v>6.5812499999999998</v>
      </c>
      <c r="JO107" s="52">
        <v>6.5812499999999998</v>
      </c>
      <c r="JP107" s="52">
        <v>6.5812499999999998</v>
      </c>
      <c r="JQ107" s="52">
        <v>6.5812499999999998</v>
      </c>
      <c r="JR107" s="52">
        <v>6.5812499999999998</v>
      </c>
      <c r="JS107" s="52">
        <v>6.5812499999999998</v>
      </c>
      <c r="JT107" s="52">
        <v>6.5812499999999998</v>
      </c>
      <c r="JU107" s="52">
        <v>6.5812499999999998</v>
      </c>
      <c r="JV107" s="52">
        <v>6.5812499999999998</v>
      </c>
      <c r="JW107" s="52">
        <v>6.5812499999999998</v>
      </c>
      <c r="JX107" s="52">
        <v>6.5812499999999998</v>
      </c>
      <c r="JY107" s="52">
        <v>6.5812499999999998</v>
      </c>
      <c r="JZ107" s="52">
        <v>6.5812499999999998</v>
      </c>
      <c r="KA107" s="52">
        <v>6.5812499999999998</v>
      </c>
      <c r="KB107" s="52">
        <v>6.5812499999999998</v>
      </c>
      <c r="KC107" s="52">
        <v>6.5812499999999998</v>
      </c>
      <c r="KD107" s="52">
        <v>6.5812499999999998</v>
      </c>
      <c r="KE107" s="52">
        <v>6.5812499999999998</v>
      </c>
      <c r="KF107" s="52">
        <v>6.5812499999999998</v>
      </c>
      <c r="KG107" s="52">
        <v>6.5812499999999998</v>
      </c>
      <c r="KH107" s="52">
        <v>6.5812499999999998</v>
      </c>
      <c r="KI107" s="52">
        <v>6.5812499999999998</v>
      </c>
      <c r="KJ107" s="52">
        <v>6.5812499999999998</v>
      </c>
      <c r="KK107" s="52">
        <v>6.5812499999999998</v>
      </c>
      <c r="KL107" s="52">
        <v>6.5812499999999998</v>
      </c>
      <c r="KM107" s="52">
        <v>6.5812499999999998</v>
      </c>
      <c r="KN107" s="52">
        <v>6.5812499999999998</v>
      </c>
      <c r="KO107" s="52">
        <v>6.5812499999999998</v>
      </c>
      <c r="KP107" s="52">
        <v>6.5812499999999998</v>
      </c>
      <c r="KQ107" s="52">
        <v>6.5812499999999998</v>
      </c>
      <c r="KR107" s="52">
        <v>6.5812499999999998</v>
      </c>
      <c r="KS107" s="52">
        <v>6.5812499999999998</v>
      </c>
      <c r="KT107" s="52">
        <v>6.5812499999999998</v>
      </c>
      <c r="KU107" s="52">
        <v>6.5812499999999998</v>
      </c>
      <c r="KV107" s="52">
        <v>6.5812499999999998</v>
      </c>
      <c r="KW107" s="52">
        <v>6.5812499999999998</v>
      </c>
      <c r="KX107" s="52">
        <v>6.5812499999999998</v>
      </c>
      <c r="KY107" s="52">
        <v>6.5812499999999998</v>
      </c>
      <c r="KZ107" s="52">
        <v>6.5812499999999998</v>
      </c>
      <c r="LA107" s="52">
        <v>6.5812499999999998</v>
      </c>
      <c r="LB107" s="52">
        <v>6.5812499999999998</v>
      </c>
      <c r="LC107" s="52">
        <v>6.5812499999999998</v>
      </c>
      <c r="LD107" s="52">
        <v>6.5812499999999998</v>
      </c>
      <c r="LE107" s="52">
        <v>6.5812499999999998</v>
      </c>
      <c r="LF107" s="52">
        <v>6.5812499999999998</v>
      </c>
      <c r="LG107" s="52">
        <v>6.5812499999999998</v>
      </c>
      <c r="LH107" s="52">
        <v>6.5812499999999998</v>
      </c>
      <c r="LI107" s="52">
        <v>6.5812499999999998</v>
      </c>
      <c r="LJ107" s="52">
        <v>6.5812499999999998</v>
      </c>
      <c r="LK107" s="52">
        <v>6.5812499999999998</v>
      </c>
      <c r="LL107" s="52">
        <v>6.5812499999999998</v>
      </c>
      <c r="LM107" s="52">
        <v>6.5812499999999998</v>
      </c>
      <c r="LN107" s="52">
        <v>6.5812499999999998</v>
      </c>
      <c r="LO107" s="52">
        <v>6.5812499999999998</v>
      </c>
      <c r="LP107" s="52">
        <v>6.5812499999999998</v>
      </c>
      <c r="LQ107" s="52">
        <v>6.5812499999999998</v>
      </c>
      <c r="LR107" s="52">
        <v>6.5812499999999998</v>
      </c>
      <c r="LS107" s="52">
        <v>6.5812499999999998</v>
      </c>
      <c r="LT107" s="52">
        <v>6.5812499999999998</v>
      </c>
      <c r="LU107" s="52">
        <v>6.5812499999999998</v>
      </c>
      <c r="LV107" s="52">
        <v>6.5812499999999998</v>
      </c>
      <c r="LW107" s="52">
        <v>6.5812499999999998</v>
      </c>
      <c r="LX107" s="52">
        <v>6.5812499999999998</v>
      </c>
      <c r="LY107" s="52">
        <v>6.5812499999999998</v>
      </c>
      <c r="LZ107" s="52">
        <v>6.5812499999999998</v>
      </c>
      <c r="MA107" s="52">
        <v>6.5812499999999998</v>
      </c>
      <c r="MB107" s="52">
        <v>6.5812499999999998</v>
      </c>
      <c r="MC107" s="52">
        <v>6.5812499999999998</v>
      </c>
      <c r="MD107" s="52">
        <v>6.5812499999999998</v>
      </c>
      <c r="ME107" s="52">
        <v>6.5812499999999998</v>
      </c>
      <c r="MF107" s="52">
        <v>6.5812499999999998</v>
      </c>
      <c r="MG107" s="52">
        <v>6.5812499999999998</v>
      </c>
      <c r="MH107" s="52">
        <v>6.5812499999999998</v>
      </c>
      <c r="MI107" s="52">
        <v>6.5812499999999998</v>
      </c>
      <c r="MJ107" s="52">
        <v>6.5812499999999998</v>
      </c>
      <c r="MK107" s="52">
        <v>6.5812499999999998</v>
      </c>
      <c r="ML107" s="52">
        <v>6.5812499999999998</v>
      </c>
      <c r="MM107" s="52">
        <v>6.5812499999999998</v>
      </c>
      <c r="MN107" s="52">
        <v>6.5812499999999998</v>
      </c>
      <c r="MO107" s="52">
        <v>6.5812499999999998</v>
      </c>
      <c r="MP107" s="52">
        <v>6.5812499999999998</v>
      </c>
      <c r="MQ107" s="52">
        <v>6.5812499999999998</v>
      </c>
      <c r="MR107" s="52">
        <v>6.5812499999999998</v>
      </c>
      <c r="MS107" s="52">
        <v>6.5812499999999998</v>
      </c>
      <c r="MT107" s="52">
        <v>6.5812499999999998</v>
      </c>
      <c r="MU107" s="52">
        <v>6.5812499999999998</v>
      </c>
      <c r="MV107" s="52">
        <v>6.5812499999999998</v>
      </c>
      <c r="MW107" s="52">
        <v>6.5812499999999998</v>
      </c>
      <c r="MX107" s="52">
        <v>6.5812499999999998</v>
      </c>
      <c r="MY107" s="52">
        <v>6.5812499999999998</v>
      </c>
      <c r="MZ107" s="52">
        <v>6.5812499999999998</v>
      </c>
      <c r="NA107" s="52">
        <v>6.5812499999999998</v>
      </c>
      <c r="NB107" s="52">
        <v>6.5812499999999998</v>
      </c>
      <c r="NC107" s="52">
        <v>6.5812499999999998</v>
      </c>
      <c r="ND107" s="52">
        <v>6.5812499999999998</v>
      </c>
      <c r="NE107" s="52">
        <v>6.5812499999999998</v>
      </c>
      <c r="NF107" s="52">
        <v>6.5812499999999998</v>
      </c>
      <c r="NG107" s="52">
        <v>6.5812499999999998</v>
      </c>
      <c r="NH107" s="37">
        <v>6.5812499999999998</v>
      </c>
      <c r="NI107" s="37">
        <v>6.5812499999999998</v>
      </c>
      <c r="NJ107" s="37">
        <v>6.5812499999999998</v>
      </c>
      <c r="NK107" s="37">
        <v>6.5812499999999998</v>
      </c>
      <c r="NL107" s="37">
        <v>6.5812499999999998</v>
      </c>
      <c r="NM107" s="37">
        <v>6.5812499999999998</v>
      </c>
      <c r="NN107" s="37">
        <v>6.5812499999999998</v>
      </c>
      <c r="NO107" s="37">
        <v>6.5812499999999998</v>
      </c>
      <c r="NP107" s="37">
        <v>6.5812499999999998</v>
      </c>
      <c r="NQ107" s="37">
        <v>6.5812499999999998</v>
      </c>
      <c r="NR107" s="37">
        <v>6.5812499999999998</v>
      </c>
      <c r="NS107" s="37">
        <v>6.5812499999999998</v>
      </c>
      <c r="NT107" s="37">
        <v>6.5812499999999998</v>
      </c>
      <c r="NU107" s="37">
        <v>6.5812499999999998</v>
      </c>
      <c r="NV107" s="37">
        <v>6.5812499999999998</v>
      </c>
      <c r="NW107" s="37">
        <v>6.5812499999999998</v>
      </c>
      <c r="NX107" s="37">
        <v>6.5812499999999998</v>
      </c>
      <c r="NY107" s="37">
        <v>6.5812499999999998</v>
      </c>
      <c r="NZ107" s="37">
        <v>6.5812499999999998</v>
      </c>
      <c r="OA107" s="37">
        <v>6.5812499999999998</v>
      </c>
      <c r="OB107" s="37">
        <v>6.5812499999999998</v>
      </c>
      <c r="OC107" s="37">
        <v>6.5812499999999998</v>
      </c>
      <c r="OD107" s="37">
        <v>6.5812499999999998</v>
      </c>
      <c r="OE107" s="37">
        <v>6.5812499999999998</v>
      </c>
      <c r="OF107" s="37">
        <v>6.5812499999999998</v>
      </c>
      <c r="OG107" s="37">
        <v>6.5812499999999998</v>
      </c>
      <c r="OH107" s="37">
        <v>6.5812499999999998</v>
      </c>
      <c r="OI107" s="37">
        <v>6.5812499999999998</v>
      </c>
      <c r="OJ107" s="37">
        <v>6.5812499999999998</v>
      </c>
      <c r="OK107" s="37">
        <v>6.5812499999999998</v>
      </c>
      <c r="OL107" s="37">
        <v>6.5812499999999998</v>
      </c>
      <c r="OM107" s="37">
        <v>6.5812499999999998</v>
      </c>
      <c r="ON107" s="37">
        <v>6.5812499999999998</v>
      </c>
      <c r="OO107" s="37">
        <v>6.5812499999999998</v>
      </c>
      <c r="OP107" s="37">
        <v>6.5812499999999998</v>
      </c>
      <c r="OQ107" s="37">
        <v>6.5812499999999998</v>
      </c>
      <c r="OR107" s="37">
        <v>6.5812499999999998</v>
      </c>
      <c r="OS107" s="37">
        <v>6.5812499999999998</v>
      </c>
      <c r="OT107" s="37">
        <v>6.5812499999999998</v>
      </c>
      <c r="OU107" s="37">
        <v>6.5812499999999998</v>
      </c>
      <c r="OV107" s="37">
        <v>6.5812499999999998</v>
      </c>
      <c r="OW107" s="37">
        <v>6.5812499999999998</v>
      </c>
      <c r="OX107" s="37">
        <v>6.5812499999999998</v>
      </c>
      <c r="OY107" s="37">
        <v>6.5812499999999998</v>
      </c>
      <c r="OZ107" s="37">
        <v>6.5812499999999998</v>
      </c>
      <c r="PA107" s="37">
        <v>6.5812499999999998</v>
      </c>
      <c r="PB107" s="37">
        <v>6.5812499999999998</v>
      </c>
      <c r="PC107" s="37">
        <v>6.5812499999999998</v>
      </c>
      <c r="PD107" s="37">
        <v>6.5812499999999998</v>
      </c>
      <c r="PE107" s="37">
        <v>6.5812499999999998</v>
      </c>
      <c r="PF107" s="37">
        <v>6.5812499999999998</v>
      </c>
      <c r="PG107" s="37">
        <v>6.5812499999999998</v>
      </c>
      <c r="PH107" s="37">
        <v>6.5812499999999998</v>
      </c>
      <c r="PI107" s="37">
        <v>6.5812499999999998</v>
      </c>
      <c r="PJ107" s="37">
        <v>6.5812499999999998</v>
      </c>
      <c r="PK107" s="37">
        <v>6.5812499999999998</v>
      </c>
      <c r="PL107" s="37">
        <v>6.5812499999999998</v>
      </c>
      <c r="PM107" s="37">
        <v>6.5812499999999998</v>
      </c>
      <c r="PN107" s="37">
        <v>6.5812499999999998</v>
      </c>
      <c r="PO107" s="37">
        <v>6.5812499999999998</v>
      </c>
      <c r="PP107" s="37">
        <v>6.5812499999999998</v>
      </c>
      <c r="PQ107" s="37">
        <v>6.5812499999999998</v>
      </c>
      <c r="PR107" s="37">
        <v>6.5812499999999998</v>
      </c>
      <c r="PS107" s="15">
        <v>6.5812499999999998</v>
      </c>
      <c r="PT107" s="15">
        <v>6.5812499999999998</v>
      </c>
      <c r="PU107" s="15">
        <v>6.5812499999999998</v>
      </c>
      <c r="PV107" s="15">
        <v>6.5812499999999998</v>
      </c>
      <c r="PW107" s="15">
        <v>6.5812499999999998</v>
      </c>
      <c r="PX107" s="15">
        <v>6.5812499999999998</v>
      </c>
      <c r="PY107" s="15">
        <v>6.5812499999999998</v>
      </c>
      <c r="PZ107" s="15">
        <v>6.5812499999999998</v>
      </c>
      <c r="QA107" s="15">
        <v>6.5812499999999998</v>
      </c>
      <c r="QB107" s="15">
        <v>6.5812499999999998</v>
      </c>
      <c r="QC107" s="15">
        <v>6.5812499999999998</v>
      </c>
      <c r="QD107" s="15">
        <v>6.5812499999999998</v>
      </c>
      <c r="QE107" s="15">
        <v>6.5812499999999998</v>
      </c>
      <c r="QF107" s="15">
        <v>6.5812499999999998</v>
      </c>
      <c r="QG107" s="15">
        <v>6.5812499999999998</v>
      </c>
      <c r="QH107" s="15">
        <v>6.8118749999999997</v>
      </c>
    </row>
    <row r="108" spans="1:510" x14ac:dyDescent="0.2">
      <c r="A108" s="37">
        <v>106</v>
      </c>
      <c r="B108" s="37" t="s">
        <v>961</v>
      </c>
      <c r="C108" s="17">
        <f>+'Detalle Compras'!D108</f>
        <v>202511270162</v>
      </c>
      <c r="D108" s="55">
        <f t="shared" si="16"/>
        <v>9.2123600000000003</v>
      </c>
      <c r="E108" s="14">
        <f>+IF(B108="","",'Detalle Compras'!S108+0)</f>
        <v>46032</v>
      </c>
      <c r="F108" s="14">
        <f>+IF(B108="","",EOMONTH('Detalle Compras'!S108,G108)+10)</f>
        <v>60673</v>
      </c>
      <c r="G108" s="50">
        <f t="shared" si="17"/>
        <v>480</v>
      </c>
      <c r="H108" s="50">
        <f t="shared" si="18"/>
        <v>479</v>
      </c>
      <c r="AE108" s="37">
        <v>9.2123600000000003</v>
      </c>
      <c r="AF108" s="37">
        <v>9.2123600000000003</v>
      </c>
      <c r="AG108" s="37">
        <v>9.2123600000000003</v>
      </c>
      <c r="AH108" s="37">
        <v>9.2123600000000003</v>
      </c>
      <c r="AI108" s="37">
        <v>9.2123600000000003</v>
      </c>
      <c r="AJ108" s="37">
        <v>9.2123600000000003</v>
      </c>
      <c r="AK108" s="37">
        <v>9.2123600000000003</v>
      </c>
      <c r="AL108" s="37">
        <v>9.2123600000000003</v>
      </c>
      <c r="AM108" s="37">
        <v>9.2123600000000003</v>
      </c>
      <c r="AN108" s="37">
        <v>9.2123600000000003</v>
      </c>
      <c r="AO108" s="37">
        <v>9.2123600000000003</v>
      </c>
      <c r="AP108" s="37">
        <v>9.2123600000000003</v>
      </c>
      <c r="AQ108" s="37">
        <v>9.2123600000000003</v>
      </c>
      <c r="AR108" s="37">
        <v>9.2123600000000003</v>
      </c>
      <c r="AS108" s="37">
        <v>9.2123600000000003</v>
      </c>
      <c r="AT108" s="37">
        <v>9.2123600000000003</v>
      </c>
      <c r="AU108" s="37">
        <v>9.2123600000000003</v>
      </c>
      <c r="AV108" s="37">
        <v>9.2123600000000003</v>
      </c>
      <c r="AW108" s="37">
        <v>9.2123600000000003</v>
      </c>
      <c r="AX108" s="37">
        <v>9.2123600000000003</v>
      </c>
      <c r="AY108" s="37">
        <v>9.2123600000000003</v>
      </c>
      <c r="AZ108" s="37">
        <v>9.2123600000000003</v>
      </c>
      <c r="BA108" s="37">
        <v>9.2123600000000003</v>
      </c>
      <c r="BB108" s="37">
        <v>9.2123600000000003</v>
      </c>
      <c r="BC108" s="37">
        <v>9.2123600000000003</v>
      </c>
      <c r="BD108" s="37">
        <v>9.2123600000000003</v>
      </c>
      <c r="BE108" s="37">
        <v>9.2123600000000003</v>
      </c>
      <c r="BF108" s="37">
        <v>9.2123600000000003</v>
      </c>
      <c r="BG108" s="37">
        <v>9.2123600000000003</v>
      </c>
      <c r="BH108" s="37">
        <v>9.2123600000000003</v>
      </c>
      <c r="BI108" s="37">
        <v>9.2123600000000003</v>
      </c>
      <c r="BJ108" s="37">
        <v>9.2123600000000003</v>
      </c>
      <c r="BK108" s="37">
        <v>9.2123600000000003</v>
      </c>
      <c r="BL108" s="37">
        <v>9.2123600000000003</v>
      </c>
      <c r="BM108" s="37">
        <v>9.2123600000000003</v>
      </c>
      <c r="BN108" s="37">
        <v>9.2123600000000003</v>
      </c>
      <c r="BO108" s="37">
        <v>9.2123600000000003</v>
      </c>
      <c r="BP108" s="37">
        <v>9.2123600000000003</v>
      </c>
      <c r="BQ108" s="37">
        <v>9.2123600000000003</v>
      </c>
      <c r="BR108" s="37">
        <v>9.2123600000000003</v>
      </c>
      <c r="BS108" s="37">
        <v>9.2123600000000003</v>
      </c>
      <c r="BT108" s="37">
        <v>9.2123600000000003</v>
      </c>
      <c r="BU108" s="37">
        <v>9.2123600000000003</v>
      </c>
      <c r="BV108" s="37">
        <v>9.2123600000000003</v>
      </c>
      <c r="BW108" s="37">
        <v>9.2123600000000003</v>
      </c>
      <c r="BX108" s="37">
        <v>9.2123600000000003</v>
      </c>
      <c r="BY108" s="37">
        <v>9.2123600000000003</v>
      </c>
      <c r="BZ108" s="37">
        <v>9.2123600000000003</v>
      </c>
      <c r="CA108" s="37">
        <v>9.2123600000000003</v>
      </c>
      <c r="CB108" s="37">
        <v>9.2123600000000003</v>
      </c>
      <c r="CC108" s="37">
        <v>9.2123600000000003</v>
      </c>
      <c r="CD108" s="37">
        <v>9.2123600000000003</v>
      </c>
      <c r="CE108" s="37">
        <v>9.2123600000000003</v>
      </c>
      <c r="CF108" s="37">
        <v>9.2123600000000003</v>
      </c>
      <c r="CG108" s="37">
        <v>9.2123600000000003</v>
      </c>
      <c r="CH108" s="37">
        <v>9.2123600000000003</v>
      </c>
      <c r="CI108" s="37">
        <v>9.2123600000000003</v>
      </c>
      <c r="CJ108" s="37">
        <v>9.2123600000000003</v>
      </c>
      <c r="CK108" s="37">
        <v>9.2123600000000003</v>
      </c>
      <c r="CL108" s="37">
        <v>9.2123600000000003</v>
      </c>
      <c r="CM108" s="37">
        <v>9.2123600000000003</v>
      </c>
      <c r="CN108" s="37">
        <v>9.2123600000000003</v>
      </c>
      <c r="CO108" s="37">
        <v>9.2123600000000003</v>
      </c>
      <c r="CP108" s="37">
        <v>9.2123600000000003</v>
      </c>
      <c r="CQ108" s="37">
        <v>9.2123600000000003</v>
      </c>
      <c r="CR108" s="37">
        <v>9.2123600000000003</v>
      </c>
      <c r="CS108" s="37">
        <v>9.2123600000000003</v>
      </c>
      <c r="CT108" s="37">
        <v>9.2123600000000003</v>
      </c>
      <c r="CU108" s="37">
        <v>9.2123600000000003</v>
      </c>
      <c r="CV108" s="37">
        <v>9.2123600000000003</v>
      </c>
      <c r="CW108" s="37">
        <v>9.2123600000000003</v>
      </c>
      <c r="CX108" s="37">
        <v>9.2123600000000003</v>
      </c>
      <c r="CY108" s="37">
        <v>9.2123600000000003</v>
      </c>
      <c r="CZ108" s="37">
        <v>9.2123600000000003</v>
      </c>
      <c r="DA108" s="37">
        <v>9.2123600000000003</v>
      </c>
      <c r="DB108" s="37">
        <v>9.2123600000000003</v>
      </c>
      <c r="DC108" s="37">
        <v>9.2123600000000003</v>
      </c>
      <c r="DD108" s="37">
        <v>9.2123600000000003</v>
      </c>
      <c r="DE108" s="37">
        <v>9.2123600000000003</v>
      </c>
      <c r="DF108" s="37">
        <v>9.2123600000000003</v>
      </c>
      <c r="DG108" s="37">
        <v>9.2123600000000003</v>
      </c>
      <c r="DH108" s="37">
        <v>9.2123600000000003</v>
      </c>
      <c r="DI108" s="37">
        <v>9.2123600000000003</v>
      </c>
      <c r="DJ108" s="37">
        <v>9.2123600000000003</v>
      </c>
      <c r="DK108" s="37">
        <v>9.2123600000000003</v>
      </c>
      <c r="DL108" s="37">
        <v>9.2123600000000003</v>
      </c>
      <c r="DM108" s="37">
        <v>9.2123600000000003</v>
      </c>
      <c r="DN108" s="37">
        <v>9.2123600000000003</v>
      </c>
      <c r="DO108" s="37">
        <v>9.2123600000000003</v>
      </c>
      <c r="DP108" s="37">
        <v>9.2123600000000003</v>
      </c>
      <c r="DQ108" s="37">
        <v>9.2123600000000003</v>
      </c>
      <c r="DR108" s="37">
        <v>9.2123600000000003</v>
      </c>
      <c r="DS108" s="37">
        <v>9.2123600000000003</v>
      </c>
      <c r="DT108" s="37">
        <v>9.2123600000000003</v>
      </c>
      <c r="DU108" s="37">
        <v>9.2123600000000003</v>
      </c>
      <c r="DV108" s="37">
        <v>9.2123600000000003</v>
      </c>
      <c r="DW108" s="37">
        <v>9.2123600000000003</v>
      </c>
      <c r="DX108" s="37">
        <v>9.2123600000000003</v>
      </c>
      <c r="DY108" s="37">
        <v>9.2123600000000003</v>
      </c>
      <c r="DZ108" s="37">
        <v>9.2123600000000003</v>
      </c>
      <c r="EA108" s="37">
        <v>9.2123600000000003</v>
      </c>
      <c r="EB108" s="37">
        <v>9.2123600000000003</v>
      </c>
      <c r="EC108" s="37">
        <v>9.2123600000000003</v>
      </c>
      <c r="ED108" s="37">
        <v>9.2123600000000003</v>
      </c>
      <c r="EE108" s="37">
        <v>9.2123600000000003</v>
      </c>
      <c r="EF108" s="37">
        <v>9.2123600000000003</v>
      </c>
      <c r="EG108" s="37">
        <v>9.2123600000000003</v>
      </c>
      <c r="EH108" s="37">
        <v>9.2123600000000003</v>
      </c>
      <c r="EI108" s="37">
        <v>9.2123600000000003</v>
      </c>
      <c r="EJ108" s="37">
        <v>9.2123600000000003</v>
      </c>
      <c r="EK108" s="37">
        <v>9.2123600000000003</v>
      </c>
      <c r="EL108" s="37">
        <v>9.2123600000000003</v>
      </c>
      <c r="EM108" s="37">
        <v>9.2123600000000003</v>
      </c>
      <c r="EN108" s="37">
        <v>9.2123600000000003</v>
      </c>
      <c r="EO108" s="37">
        <v>9.2123600000000003</v>
      </c>
      <c r="EP108" s="37">
        <v>9.2123600000000003</v>
      </c>
      <c r="EQ108" s="37">
        <v>9.2123600000000003</v>
      </c>
      <c r="ER108" s="37">
        <v>9.2123600000000003</v>
      </c>
      <c r="ES108" s="37">
        <v>9.2123600000000003</v>
      </c>
      <c r="ET108" s="37">
        <v>9.2123600000000003</v>
      </c>
      <c r="EU108" s="37">
        <v>9.2123600000000003</v>
      </c>
      <c r="EV108" s="37">
        <v>9.2123600000000003</v>
      </c>
      <c r="EW108" s="37">
        <v>9.2123600000000003</v>
      </c>
      <c r="EX108" s="37">
        <v>9.2123600000000003</v>
      </c>
      <c r="EY108" s="37">
        <v>9.2123600000000003</v>
      </c>
      <c r="EZ108" s="37">
        <v>9.2123600000000003</v>
      </c>
      <c r="FA108" s="37">
        <v>9.2123600000000003</v>
      </c>
      <c r="FB108" s="37">
        <v>9.2123600000000003</v>
      </c>
      <c r="FC108" s="37">
        <v>9.2123600000000003</v>
      </c>
      <c r="FD108" s="37">
        <v>9.2123600000000003</v>
      </c>
      <c r="FE108" s="37">
        <v>9.2123600000000003</v>
      </c>
      <c r="FF108" s="37">
        <v>9.2123600000000003</v>
      </c>
      <c r="FG108" s="37">
        <v>9.2123600000000003</v>
      </c>
      <c r="FH108" s="37">
        <v>9.2123600000000003</v>
      </c>
      <c r="FI108" s="37">
        <v>9.2123600000000003</v>
      </c>
      <c r="FJ108" s="37">
        <v>9.2123600000000003</v>
      </c>
      <c r="FK108" s="37">
        <v>9.2123600000000003</v>
      </c>
      <c r="FL108" s="37">
        <v>9.2123600000000003</v>
      </c>
      <c r="FM108" s="37">
        <v>9.2123600000000003</v>
      </c>
      <c r="FN108" s="37">
        <v>9.2123600000000003</v>
      </c>
      <c r="FO108" s="37">
        <v>9.2123600000000003</v>
      </c>
      <c r="FP108" s="37">
        <v>9.2123600000000003</v>
      </c>
      <c r="FQ108" s="37">
        <v>9.2123600000000003</v>
      </c>
      <c r="FR108" s="37">
        <v>9.2123600000000003</v>
      </c>
      <c r="FS108" s="37">
        <v>9.2123600000000003</v>
      </c>
      <c r="FT108" s="37">
        <v>9.2123600000000003</v>
      </c>
      <c r="FU108" s="37">
        <v>9.2123600000000003</v>
      </c>
      <c r="FV108" s="37">
        <v>9.2123600000000003</v>
      </c>
      <c r="FW108" s="37">
        <v>9.2123600000000003</v>
      </c>
      <c r="FX108" s="37">
        <v>9.2123600000000003</v>
      </c>
      <c r="FY108" s="37">
        <v>9.2123600000000003</v>
      </c>
      <c r="FZ108" s="37">
        <v>9.2123600000000003</v>
      </c>
      <c r="GA108" s="37">
        <v>9.2123600000000003</v>
      </c>
      <c r="GB108" s="37">
        <v>9.2123600000000003</v>
      </c>
      <c r="GC108" s="37">
        <v>9.2123600000000003</v>
      </c>
      <c r="GD108" s="37">
        <v>9.2123600000000003</v>
      </c>
      <c r="GE108" s="37">
        <v>9.2123600000000003</v>
      </c>
      <c r="GF108" s="37">
        <v>9.2123600000000003</v>
      </c>
      <c r="GG108" s="37">
        <v>9.2123600000000003</v>
      </c>
      <c r="GH108" s="37">
        <v>9.2123600000000003</v>
      </c>
      <c r="GI108" s="37">
        <v>9.2123600000000003</v>
      </c>
      <c r="GJ108" s="37">
        <v>9.2123600000000003</v>
      </c>
      <c r="GK108" s="37">
        <v>9.2123600000000003</v>
      </c>
      <c r="GL108" s="37">
        <v>9.2123600000000003</v>
      </c>
      <c r="GM108" s="37">
        <v>9.2123600000000003</v>
      </c>
      <c r="GN108" s="37">
        <v>9.2123600000000003</v>
      </c>
      <c r="GO108" s="37">
        <v>9.2123600000000003</v>
      </c>
      <c r="GP108" s="37">
        <v>9.2123600000000003</v>
      </c>
      <c r="GQ108" s="37">
        <v>9.2123600000000003</v>
      </c>
      <c r="GR108" s="37">
        <v>9.2123600000000003</v>
      </c>
      <c r="GS108" s="37">
        <v>9.2123600000000003</v>
      </c>
      <c r="GT108" s="37">
        <v>9.2123600000000003</v>
      </c>
      <c r="GU108" s="37">
        <v>9.2123600000000003</v>
      </c>
      <c r="GV108" s="37">
        <v>9.2123600000000003</v>
      </c>
      <c r="GW108" s="37">
        <v>9.2123600000000003</v>
      </c>
      <c r="GX108" s="37">
        <v>9.2123600000000003</v>
      </c>
      <c r="GY108" s="37">
        <v>9.2123600000000003</v>
      </c>
      <c r="GZ108" s="37">
        <v>9.2123600000000003</v>
      </c>
      <c r="HA108" s="37">
        <v>9.2123600000000003</v>
      </c>
      <c r="HB108" s="37">
        <v>9.2123600000000003</v>
      </c>
      <c r="HC108" s="37">
        <v>9.2123600000000003</v>
      </c>
      <c r="HD108" s="37">
        <v>9.2123600000000003</v>
      </c>
      <c r="HE108" s="37">
        <v>9.2123600000000003</v>
      </c>
      <c r="HF108" s="37">
        <v>9.2123600000000003</v>
      </c>
      <c r="HG108" s="37">
        <v>9.2123600000000003</v>
      </c>
      <c r="HH108" s="37">
        <v>9.2123600000000003</v>
      </c>
      <c r="HI108" s="37">
        <v>9.2123600000000003</v>
      </c>
      <c r="HJ108" s="37">
        <v>9.2123600000000003</v>
      </c>
      <c r="HK108" s="37">
        <v>9.2123600000000003</v>
      </c>
      <c r="HL108" s="37">
        <v>9.2123600000000003</v>
      </c>
      <c r="HM108" s="37">
        <v>9.2123600000000003</v>
      </c>
      <c r="HN108" s="37">
        <v>9.2123600000000003</v>
      </c>
      <c r="HO108" s="37">
        <v>9.2123600000000003</v>
      </c>
      <c r="HP108" s="37">
        <v>9.2123600000000003</v>
      </c>
      <c r="HQ108" s="37">
        <v>9.2123600000000003</v>
      </c>
      <c r="HR108" s="37">
        <v>9.2123600000000003</v>
      </c>
      <c r="HS108" s="37">
        <v>9.2123600000000003</v>
      </c>
      <c r="HT108" s="37">
        <v>9.2123600000000003</v>
      </c>
      <c r="HU108" s="37">
        <v>9.2123600000000003</v>
      </c>
      <c r="HV108" s="37">
        <v>9.2123600000000003</v>
      </c>
      <c r="HW108" s="37">
        <v>9.2123600000000003</v>
      </c>
      <c r="HX108" s="37">
        <v>9.2123600000000003</v>
      </c>
      <c r="HY108" s="37">
        <v>9.2123600000000003</v>
      </c>
      <c r="HZ108" s="37">
        <v>9.2123600000000003</v>
      </c>
      <c r="IA108" s="37">
        <v>9.2123600000000003</v>
      </c>
      <c r="IB108" s="37">
        <v>9.2123600000000003</v>
      </c>
      <c r="IC108" s="37">
        <v>9.2123600000000003</v>
      </c>
      <c r="ID108" s="37">
        <v>9.2123600000000003</v>
      </c>
      <c r="IE108" s="37">
        <v>9.2123600000000003</v>
      </c>
      <c r="IF108" s="37">
        <v>9.2123600000000003</v>
      </c>
      <c r="IG108" s="37">
        <v>9.2123600000000003</v>
      </c>
      <c r="IH108" s="37">
        <v>9.2123600000000003</v>
      </c>
      <c r="II108" s="37">
        <v>9.2123600000000003</v>
      </c>
      <c r="IJ108" s="37">
        <v>9.2123600000000003</v>
      </c>
      <c r="IK108" s="37">
        <v>9.2123600000000003</v>
      </c>
      <c r="IL108" s="37">
        <v>9.2123600000000003</v>
      </c>
      <c r="IM108" s="37">
        <v>9.2123600000000003</v>
      </c>
      <c r="IN108" s="37">
        <v>9.2123600000000003</v>
      </c>
      <c r="IO108" s="37">
        <v>9.2123600000000003</v>
      </c>
      <c r="IP108" s="37">
        <v>9.2123600000000003</v>
      </c>
      <c r="IQ108" s="37">
        <v>9.2123600000000003</v>
      </c>
      <c r="IR108" s="37">
        <v>9.2123600000000003</v>
      </c>
      <c r="IS108" s="37">
        <v>9.2123600000000003</v>
      </c>
      <c r="IT108" s="37">
        <v>9.2123600000000003</v>
      </c>
      <c r="IU108" s="37">
        <v>9.2123600000000003</v>
      </c>
      <c r="IV108" s="37">
        <v>9.2123600000000003</v>
      </c>
      <c r="IW108" s="37">
        <v>9.2123600000000003</v>
      </c>
      <c r="IX108" s="37">
        <v>9.2123600000000003</v>
      </c>
      <c r="IY108" s="37">
        <v>9.2123600000000003</v>
      </c>
      <c r="IZ108" s="37">
        <v>9.2123600000000003</v>
      </c>
      <c r="JA108" s="37">
        <v>9.2123600000000003</v>
      </c>
      <c r="JB108" s="37">
        <v>9.2123600000000003</v>
      </c>
      <c r="JC108" s="37">
        <v>9.2123600000000003</v>
      </c>
      <c r="JD108" s="37">
        <v>9.2123600000000003</v>
      </c>
      <c r="JE108" s="37">
        <v>9.2123600000000003</v>
      </c>
      <c r="JF108" s="37">
        <v>9.2123600000000003</v>
      </c>
      <c r="JG108" s="37">
        <v>9.2123600000000003</v>
      </c>
      <c r="JH108" s="37">
        <v>9.2123600000000003</v>
      </c>
      <c r="JI108" s="37">
        <v>9.2123600000000003</v>
      </c>
      <c r="JJ108" s="37">
        <v>9.2123600000000003</v>
      </c>
      <c r="JK108" s="37">
        <v>9.2123600000000003</v>
      </c>
      <c r="JL108" s="37">
        <v>9.2123600000000003</v>
      </c>
      <c r="JM108" s="37">
        <v>9.2123600000000003</v>
      </c>
      <c r="JN108" s="37">
        <v>9.2123600000000003</v>
      </c>
      <c r="JO108" s="37">
        <v>9.2123600000000003</v>
      </c>
      <c r="JP108" s="37">
        <v>9.2123600000000003</v>
      </c>
      <c r="JQ108" s="37">
        <v>9.2123600000000003</v>
      </c>
      <c r="JR108" s="37">
        <v>9.2123600000000003</v>
      </c>
      <c r="JS108" s="37">
        <v>9.2123600000000003</v>
      </c>
      <c r="JT108" s="37">
        <v>9.2123600000000003</v>
      </c>
      <c r="JU108" s="37">
        <v>9.2123600000000003</v>
      </c>
      <c r="JV108" s="37">
        <v>9.2123600000000003</v>
      </c>
      <c r="JW108" s="37">
        <v>9.2123600000000003</v>
      </c>
      <c r="JX108" s="37">
        <v>9.2123600000000003</v>
      </c>
      <c r="JY108" s="37">
        <v>9.2123600000000003</v>
      </c>
      <c r="JZ108" s="37">
        <v>9.2123600000000003</v>
      </c>
      <c r="KA108" s="37">
        <v>9.2123600000000003</v>
      </c>
      <c r="KB108" s="37">
        <v>9.2123600000000003</v>
      </c>
      <c r="KC108" s="37">
        <v>9.2123600000000003</v>
      </c>
      <c r="KD108" s="37">
        <v>9.2123600000000003</v>
      </c>
      <c r="KE108" s="37">
        <v>9.2123600000000003</v>
      </c>
      <c r="KF108" s="37">
        <v>9.2123600000000003</v>
      </c>
      <c r="KG108" s="37">
        <v>9.2123600000000003</v>
      </c>
      <c r="KH108" s="37">
        <v>9.2123600000000003</v>
      </c>
      <c r="KI108" s="37">
        <v>9.2123600000000003</v>
      </c>
      <c r="KJ108" s="37">
        <v>9.2123600000000003</v>
      </c>
      <c r="KK108" s="37">
        <v>9.2123600000000003</v>
      </c>
      <c r="KL108" s="37">
        <v>9.2123600000000003</v>
      </c>
      <c r="KM108" s="37">
        <v>9.2123600000000003</v>
      </c>
      <c r="KN108" s="37">
        <v>9.2123600000000003</v>
      </c>
      <c r="KO108" s="37">
        <v>9.2123600000000003</v>
      </c>
      <c r="KP108" s="37">
        <v>9.2123600000000003</v>
      </c>
      <c r="KQ108" s="37">
        <v>9.2123600000000003</v>
      </c>
      <c r="KR108" s="37">
        <v>9.2123600000000003</v>
      </c>
      <c r="KS108" s="37">
        <v>9.2123600000000003</v>
      </c>
      <c r="KT108" s="37">
        <v>9.2123600000000003</v>
      </c>
      <c r="KU108" s="37">
        <v>9.2123600000000003</v>
      </c>
      <c r="KV108" s="37">
        <v>9.2123600000000003</v>
      </c>
      <c r="KW108" s="37">
        <v>9.2123600000000003</v>
      </c>
      <c r="KX108" s="37">
        <v>9.2123600000000003</v>
      </c>
      <c r="KY108" s="37">
        <v>9.2123600000000003</v>
      </c>
      <c r="KZ108" s="37">
        <v>9.2123600000000003</v>
      </c>
      <c r="LA108" s="37">
        <v>9.2123600000000003</v>
      </c>
      <c r="LB108" s="37">
        <v>9.2123600000000003</v>
      </c>
      <c r="LC108" s="37">
        <v>9.2123600000000003</v>
      </c>
      <c r="LD108" s="37">
        <v>9.2123600000000003</v>
      </c>
      <c r="LE108" s="37">
        <v>9.2123600000000003</v>
      </c>
      <c r="LF108" s="37">
        <v>9.2123600000000003</v>
      </c>
      <c r="LG108" s="37">
        <v>9.2123600000000003</v>
      </c>
      <c r="LH108" s="37">
        <v>9.2123600000000003</v>
      </c>
      <c r="LI108" s="37">
        <v>9.2123600000000003</v>
      </c>
      <c r="LJ108" s="37">
        <v>9.2123600000000003</v>
      </c>
      <c r="LK108" s="37">
        <v>9.2123600000000003</v>
      </c>
      <c r="LL108" s="37">
        <v>9.2123600000000003</v>
      </c>
      <c r="LM108" s="37">
        <v>9.2123600000000003</v>
      </c>
      <c r="LN108" s="37">
        <v>9.2123600000000003</v>
      </c>
      <c r="LO108" s="37">
        <v>9.2123600000000003</v>
      </c>
      <c r="LP108" s="37">
        <v>9.2123600000000003</v>
      </c>
      <c r="LQ108" s="37">
        <v>9.2123600000000003</v>
      </c>
      <c r="LR108" s="37">
        <v>9.2123600000000003</v>
      </c>
      <c r="LS108" s="37">
        <v>9.2123600000000003</v>
      </c>
      <c r="LT108" s="37">
        <v>9.2123600000000003</v>
      </c>
      <c r="LU108" s="37">
        <v>9.2123600000000003</v>
      </c>
      <c r="LV108" s="37">
        <v>9.2123600000000003</v>
      </c>
      <c r="LW108" s="37">
        <v>9.2123600000000003</v>
      </c>
      <c r="LX108" s="37">
        <v>9.2123600000000003</v>
      </c>
      <c r="LY108" s="37">
        <v>9.2123600000000003</v>
      </c>
      <c r="LZ108" s="37">
        <v>9.2123600000000003</v>
      </c>
      <c r="MA108" s="37">
        <v>9.2123600000000003</v>
      </c>
      <c r="MB108" s="37">
        <v>9.2123600000000003</v>
      </c>
      <c r="MC108" s="37">
        <v>9.2123600000000003</v>
      </c>
      <c r="MD108" s="37">
        <v>9.2123600000000003</v>
      </c>
      <c r="ME108" s="37">
        <v>9.2123600000000003</v>
      </c>
      <c r="MF108" s="37">
        <v>9.2123600000000003</v>
      </c>
      <c r="MG108" s="37">
        <v>9.2123600000000003</v>
      </c>
      <c r="MH108" s="37">
        <v>9.2123600000000003</v>
      </c>
      <c r="MI108" s="37">
        <v>9.2123600000000003</v>
      </c>
      <c r="MJ108" s="37">
        <v>9.2123600000000003</v>
      </c>
      <c r="MK108" s="37">
        <v>9.2123600000000003</v>
      </c>
      <c r="ML108" s="37">
        <v>9.2123600000000003</v>
      </c>
      <c r="MM108" s="37">
        <v>9.2123600000000003</v>
      </c>
      <c r="MN108" s="37">
        <v>9.2123600000000003</v>
      </c>
      <c r="MO108" s="37">
        <v>9.2123600000000003</v>
      </c>
      <c r="MP108" s="37">
        <v>9.2123600000000003</v>
      </c>
      <c r="MQ108" s="37">
        <v>9.2123600000000003</v>
      </c>
      <c r="MR108" s="37">
        <v>9.2123600000000003</v>
      </c>
      <c r="MS108" s="37">
        <v>9.2123600000000003</v>
      </c>
      <c r="MT108" s="37">
        <v>9.2123600000000003</v>
      </c>
      <c r="MU108" s="37">
        <v>9.2123600000000003</v>
      </c>
      <c r="MV108" s="37">
        <v>9.2123600000000003</v>
      </c>
      <c r="MW108" s="37">
        <v>9.2123600000000003</v>
      </c>
      <c r="MX108" s="37">
        <v>9.2123600000000003</v>
      </c>
      <c r="MY108" s="37">
        <v>9.2123600000000003</v>
      </c>
      <c r="MZ108" s="37">
        <v>9.2123600000000003</v>
      </c>
      <c r="NA108" s="37">
        <v>9.2123600000000003</v>
      </c>
      <c r="NB108" s="37">
        <v>9.2123600000000003</v>
      </c>
      <c r="NC108" s="37">
        <v>9.2123600000000003</v>
      </c>
      <c r="ND108" s="37">
        <v>9.2123600000000003</v>
      </c>
      <c r="NE108" s="37">
        <v>9.2123600000000003</v>
      </c>
      <c r="NF108" s="37">
        <v>9.2123600000000003</v>
      </c>
      <c r="NG108" s="37">
        <v>9.2123600000000003</v>
      </c>
      <c r="NH108" s="37">
        <v>9.2123600000000003</v>
      </c>
      <c r="NI108" s="37">
        <v>9.2123600000000003</v>
      </c>
      <c r="NJ108" s="37">
        <v>9.2123600000000003</v>
      </c>
      <c r="NK108" s="37">
        <v>9.2123600000000003</v>
      </c>
      <c r="NL108" s="37">
        <v>9.2123600000000003</v>
      </c>
      <c r="NM108" s="37">
        <v>9.2123600000000003</v>
      </c>
      <c r="NN108" s="37">
        <v>9.2123600000000003</v>
      </c>
      <c r="NO108" s="37">
        <v>9.2123600000000003</v>
      </c>
      <c r="NP108" s="37">
        <v>9.2123600000000003</v>
      </c>
      <c r="NQ108" s="37">
        <v>9.2123600000000003</v>
      </c>
      <c r="NR108" s="37">
        <v>9.2123600000000003</v>
      </c>
      <c r="NS108" s="37">
        <v>9.2123600000000003</v>
      </c>
      <c r="NT108" s="37">
        <v>9.2123600000000003</v>
      </c>
      <c r="NU108" s="37">
        <v>9.2123600000000003</v>
      </c>
      <c r="NV108" s="37">
        <v>9.2123600000000003</v>
      </c>
      <c r="NW108" s="37">
        <v>9.2123600000000003</v>
      </c>
      <c r="NX108" s="37">
        <v>9.2123600000000003</v>
      </c>
      <c r="NY108" s="37">
        <v>9.2123600000000003</v>
      </c>
      <c r="NZ108" s="37">
        <v>9.2123600000000003</v>
      </c>
      <c r="OA108" s="37">
        <v>9.2123600000000003</v>
      </c>
      <c r="OB108" s="37">
        <v>9.2123600000000003</v>
      </c>
      <c r="OC108" s="37">
        <v>9.2123600000000003</v>
      </c>
      <c r="OD108" s="37">
        <v>9.2123600000000003</v>
      </c>
      <c r="OE108" s="37">
        <v>9.2123600000000003</v>
      </c>
      <c r="OF108" s="37">
        <v>9.2123600000000003</v>
      </c>
      <c r="OG108" s="37">
        <v>9.2123600000000003</v>
      </c>
      <c r="OH108" s="37">
        <v>9.2123600000000003</v>
      </c>
      <c r="OI108" s="37">
        <v>9.2123600000000003</v>
      </c>
      <c r="OJ108" s="37">
        <v>9.2123600000000003</v>
      </c>
      <c r="OK108" s="37">
        <v>9.2123600000000003</v>
      </c>
      <c r="OL108" s="37">
        <v>9.2123600000000003</v>
      </c>
      <c r="OM108" s="37">
        <v>9.2123600000000003</v>
      </c>
      <c r="ON108" s="37">
        <v>9.2123600000000003</v>
      </c>
      <c r="OO108" s="37">
        <v>9.2123600000000003</v>
      </c>
      <c r="OP108" s="37">
        <v>9.2123600000000003</v>
      </c>
      <c r="OQ108" s="37">
        <v>9.2123600000000003</v>
      </c>
      <c r="OR108" s="37">
        <v>9.2123600000000003</v>
      </c>
      <c r="OS108" s="37">
        <v>9.2123600000000003</v>
      </c>
      <c r="OT108" s="37">
        <v>9.2123600000000003</v>
      </c>
      <c r="OU108" s="37">
        <v>9.2123600000000003</v>
      </c>
      <c r="OV108" s="37">
        <v>9.2123600000000003</v>
      </c>
      <c r="OW108" s="37">
        <v>9.2123600000000003</v>
      </c>
      <c r="OX108" s="37">
        <v>9.2123600000000003</v>
      </c>
      <c r="OY108" s="37">
        <v>9.2123600000000003</v>
      </c>
      <c r="OZ108" s="37">
        <v>9.2123600000000003</v>
      </c>
      <c r="PA108" s="37">
        <v>9.2123600000000003</v>
      </c>
      <c r="PB108" s="37">
        <v>9.2123600000000003</v>
      </c>
      <c r="PC108" s="37">
        <v>9.2123600000000003</v>
      </c>
      <c r="PD108" s="37">
        <v>9.2123600000000003</v>
      </c>
      <c r="PE108" s="37">
        <v>9.2123600000000003</v>
      </c>
      <c r="PF108" s="37">
        <v>9.2123600000000003</v>
      </c>
      <c r="PG108" s="37">
        <v>9.2123600000000003</v>
      </c>
      <c r="PH108" s="37">
        <v>9.2123600000000003</v>
      </c>
      <c r="PI108" s="37">
        <v>9.2123600000000003</v>
      </c>
      <c r="PJ108" s="37">
        <v>9.2123600000000003</v>
      </c>
      <c r="PK108" s="37">
        <v>9.2123600000000003</v>
      </c>
      <c r="PL108" s="37">
        <v>9.2123600000000003</v>
      </c>
      <c r="PM108" s="37">
        <v>9.2123600000000003</v>
      </c>
      <c r="PN108" s="37">
        <v>9.2123600000000003</v>
      </c>
      <c r="PO108" s="37">
        <v>9.2123600000000003</v>
      </c>
      <c r="PP108" s="37">
        <v>9.2123600000000003</v>
      </c>
      <c r="PQ108" s="37">
        <v>9.2123600000000003</v>
      </c>
      <c r="PR108" s="37">
        <v>9.2123600000000003</v>
      </c>
      <c r="PS108" s="15">
        <v>9.2123600000000003</v>
      </c>
      <c r="PT108" s="15">
        <v>9.2123600000000003</v>
      </c>
      <c r="PU108" s="15">
        <v>9.2123600000000003</v>
      </c>
      <c r="PV108" s="15">
        <v>9.2123600000000003</v>
      </c>
      <c r="PW108" s="15">
        <v>9.2123600000000003</v>
      </c>
      <c r="PX108" s="15">
        <v>9.2123600000000003</v>
      </c>
      <c r="PY108" s="15">
        <v>9.2123600000000003</v>
      </c>
      <c r="PZ108" s="15">
        <v>9.2123600000000003</v>
      </c>
      <c r="QA108" s="15">
        <v>9.2123600000000003</v>
      </c>
      <c r="QB108" s="15">
        <v>9.2123600000000003</v>
      </c>
      <c r="QC108" s="15">
        <v>9.2123600000000003</v>
      </c>
      <c r="QD108" s="15">
        <v>9.2123600000000003</v>
      </c>
      <c r="QE108" s="15">
        <v>9.2123600000000003</v>
      </c>
      <c r="QF108" s="15">
        <v>9.2123600000000003</v>
      </c>
      <c r="QG108" s="15">
        <v>9.2123600000000003</v>
      </c>
      <c r="QH108" s="15">
        <v>9.2123600000000003</v>
      </c>
      <c r="QI108" s="15">
        <v>9.2123600000000003</v>
      </c>
      <c r="QJ108" s="15">
        <v>9.2123600000000003</v>
      </c>
      <c r="QK108" s="15">
        <v>9.2123600000000003</v>
      </c>
      <c r="QL108" s="15">
        <v>9.2123600000000003</v>
      </c>
      <c r="QM108" s="15">
        <v>9.2123600000000003</v>
      </c>
      <c r="QN108" s="15">
        <v>9.2123600000000003</v>
      </c>
      <c r="QO108" s="15">
        <v>9.2123600000000003</v>
      </c>
      <c r="QP108" s="15">
        <v>9.2123600000000003</v>
      </c>
      <c r="QQ108" s="15">
        <v>9.2123600000000003</v>
      </c>
      <c r="QR108" s="15">
        <v>9.2123600000000003</v>
      </c>
      <c r="QS108" s="15">
        <v>9.2123600000000003</v>
      </c>
      <c r="QT108" s="15">
        <v>9.2123600000000003</v>
      </c>
      <c r="QU108" s="15">
        <v>9.2123600000000003</v>
      </c>
      <c r="QV108" s="15">
        <v>9.2123600000000003</v>
      </c>
      <c r="QW108" s="15">
        <v>9.2123600000000003</v>
      </c>
      <c r="QX108" s="15">
        <v>9.2123600000000003</v>
      </c>
      <c r="QY108" s="15">
        <v>9.2123600000000003</v>
      </c>
      <c r="QZ108" s="15">
        <v>9.2123600000000003</v>
      </c>
      <c r="RA108" s="15">
        <v>9.2123600000000003</v>
      </c>
      <c r="RB108" s="15">
        <v>9.2123600000000003</v>
      </c>
      <c r="RC108" s="15">
        <v>9.2123600000000003</v>
      </c>
      <c r="RD108" s="15">
        <v>9.2123600000000003</v>
      </c>
      <c r="RE108" s="15">
        <v>9.2123600000000003</v>
      </c>
      <c r="RF108" s="15">
        <v>9.2123600000000003</v>
      </c>
      <c r="RG108" s="15">
        <v>9.2123600000000003</v>
      </c>
      <c r="RH108" s="15">
        <v>9.2123600000000003</v>
      </c>
      <c r="RI108" s="15">
        <v>9.2123600000000003</v>
      </c>
      <c r="RJ108" s="15">
        <v>9.2123600000000003</v>
      </c>
      <c r="RK108" s="15">
        <v>9.2123600000000003</v>
      </c>
      <c r="RL108" s="15">
        <v>9.2123600000000003</v>
      </c>
      <c r="RM108" s="15">
        <v>9.2123600000000003</v>
      </c>
      <c r="RN108" s="15">
        <v>9.2123600000000003</v>
      </c>
      <c r="RO108" s="15">
        <v>9.2123600000000003</v>
      </c>
      <c r="RP108" s="15">
        <v>9.2123600000000003</v>
      </c>
      <c r="RQ108" s="15">
        <v>9.2123600000000003</v>
      </c>
      <c r="RR108" s="15">
        <v>9.2123600000000003</v>
      </c>
      <c r="RS108" s="15">
        <v>9.2123600000000003</v>
      </c>
      <c r="RT108" s="15">
        <v>9.2123600000000003</v>
      </c>
      <c r="RU108" s="15">
        <v>9.2123600000000003</v>
      </c>
      <c r="RV108" s="15">
        <v>9.2123600000000003</v>
      </c>
      <c r="RW108" s="15">
        <v>9.2123600000000003</v>
      </c>
      <c r="RX108" s="15">
        <v>9.2123600000000003</v>
      </c>
      <c r="RY108" s="15">
        <v>9.2123600000000003</v>
      </c>
      <c r="RZ108" s="15">
        <v>9.2123600000000003</v>
      </c>
      <c r="SA108" s="15">
        <v>9.2123600000000003</v>
      </c>
      <c r="SB108" s="15">
        <v>9.2123600000000003</v>
      </c>
      <c r="SC108" s="15">
        <v>9.2123600000000003</v>
      </c>
      <c r="SD108" s="15">
        <v>9.2123600000000003</v>
      </c>
      <c r="SE108" s="15">
        <v>9.2123600000000003</v>
      </c>
      <c r="SF108" s="15">
        <v>9.2123600000000003</v>
      </c>
      <c r="SG108" s="15">
        <v>9.2123600000000003</v>
      </c>
      <c r="SH108" s="15">
        <v>9.2123600000000003</v>
      </c>
      <c r="SI108" s="15">
        <v>9.2123600000000003</v>
      </c>
      <c r="SJ108" s="15">
        <v>9.2123600000000003</v>
      </c>
      <c r="SK108" s="15">
        <v>9.2123600000000003</v>
      </c>
      <c r="SL108" s="15">
        <v>9.2123600000000003</v>
      </c>
      <c r="SM108" s="15">
        <v>9.2123600000000003</v>
      </c>
      <c r="SN108" s="15">
        <v>9.2123600000000003</v>
      </c>
      <c r="SO108" s="15">
        <v>9.2123600000000003</v>
      </c>
      <c r="SP108" s="15">
        <v>10.60514</v>
      </c>
    </row>
    <row r="109" spans="1:510" x14ac:dyDescent="0.2">
      <c r="A109" s="37">
        <v>107</v>
      </c>
      <c r="B109" s="37" t="s">
        <v>962</v>
      </c>
      <c r="C109" s="17">
        <f>+'Detalle Compras'!D109</f>
        <v>202511280161</v>
      </c>
      <c r="D109" s="55">
        <f t="shared" si="16"/>
        <v>5.4112499999999999</v>
      </c>
      <c r="E109" s="14">
        <f>+IF(B109="","",'Detalle Compras'!S109+0)</f>
        <v>46032</v>
      </c>
      <c r="F109" s="14">
        <f>+IF(B109="","",EOMONTH('Detalle Compras'!S109,G109)+10)</f>
        <v>58847</v>
      </c>
      <c r="G109" s="50">
        <f t="shared" si="17"/>
        <v>420</v>
      </c>
      <c r="H109" s="50">
        <f t="shared" si="18"/>
        <v>419</v>
      </c>
      <c r="L109" s="52"/>
      <c r="M109" s="52"/>
      <c r="N109" s="52"/>
      <c r="O109" s="52"/>
      <c r="P109" s="52"/>
      <c r="Q109" s="52"/>
      <c r="R109" s="52"/>
      <c r="S109" s="52"/>
      <c r="T109" s="52"/>
      <c r="U109" s="52"/>
      <c r="V109" s="52"/>
      <c r="W109" s="52"/>
      <c r="X109" s="52"/>
      <c r="Y109" s="52"/>
      <c r="Z109" s="52"/>
      <c r="AA109" s="52"/>
      <c r="AB109" s="52"/>
      <c r="AC109" s="52"/>
      <c r="AD109" s="52"/>
      <c r="AE109" s="52">
        <v>5.4112499999999999</v>
      </c>
      <c r="AF109" s="52">
        <v>5.4112499999999999</v>
      </c>
      <c r="AG109" s="52">
        <v>5.4112499999999999</v>
      </c>
      <c r="AH109" s="52">
        <v>5.4112499999999999</v>
      </c>
      <c r="AI109" s="52">
        <v>5.4112499999999999</v>
      </c>
      <c r="AJ109" s="52">
        <v>5.4112499999999999</v>
      </c>
      <c r="AK109" s="52">
        <v>5.4112499999999999</v>
      </c>
      <c r="AL109" s="52">
        <v>5.4112499999999999</v>
      </c>
      <c r="AM109" s="52">
        <v>5.4112499999999999</v>
      </c>
      <c r="AN109" s="52">
        <v>5.4112499999999999</v>
      </c>
      <c r="AO109" s="52">
        <v>5.4112499999999999</v>
      </c>
      <c r="AP109" s="52">
        <v>5.4112499999999999</v>
      </c>
      <c r="AQ109" s="52">
        <v>5.4112499999999999</v>
      </c>
      <c r="AR109" s="52">
        <v>5.4112499999999999</v>
      </c>
      <c r="AS109" s="52">
        <v>5.4112499999999999</v>
      </c>
      <c r="AT109" s="52">
        <v>5.4112499999999999</v>
      </c>
      <c r="AU109" s="52">
        <v>5.4112499999999999</v>
      </c>
      <c r="AV109" s="52">
        <v>5.4112499999999999</v>
      </c>
      <c r="AW109" s="52">
        <v>5.4112499999999999</v>
      </c>
      <c r="AX109" s="52">
        <v>5.4112499999999999</v>
      </c>
      <c r="AY109" s="52">
        <v>5.4112499999999999</v>
      </c>
      <c r="AZ109" s="52">
        <v>5.4112499999999999</v>
      </c>
      <c r="BA109" s="52">
        <v>5.4112499999999999</v>
      </c>
      <c r="BB109" s="52">
        <v>5.4112499999999999</v>
      </c>
      <c r="BC109" s="52">
        <v>5.4112499999999999</v>
      </c>
      <c r="BD109" s="52">
        <v>5.4112499999999999</v>
      </c>
      <c r="BE109" s="52">
        <v>5.4112499999999999</v>
      </c>
      <c r="BF109" s="52">
        <v>5.4112499999999999</v>
      </c>
      <c r="BG109" s="52">
        <v>5.4112499999999999</v>
      </c>
      <c r="BH109" s="52">
        <v>5.4112499999999999</v>
      </c>
      <c r="BI109" s="52">
        <v>5.4112499999999999</v>
      </c>
      <c r="BJ109" s="52">
        <v>5.4112499999999999</v>
      </c>
      <c r="BK109" s="52">
        <v>5.4112499999999999</v>
      </c>
      <c r="BL109" s="52">
        <v>5.4112499999999999</v>
      </c>
      <c r="BM109" s="52">
        <v>5.4112499999999999</v>
      </c>
      <c r="BN109" s="52">
        <v>5.4112499999999999</v>
      </c>
      <c r="BO109" s="52">
        <v>5.4112499999999999</v>
      </c>
      <c r="BP109" s="52">
        <v>5.4112499999999999</v>
      </c>
      <c r="BQ109" s="52">
        <v>5.4112499999999999</v>
      </c>
      <c r="BR109" s="52">
        <v>5.4112499999999999</v>
      </c>
      <c r="BS109" s="52">
        <v>5.4112499999999999</v>
      </c>
      <c r="BT109" s="52">
        <v>5.4112499999999999</v>
      </c>
      <c r="BU109" s="52">
        <v>5.4112499999999999</v>
      </c>
      <c r="BV109" s="52">
        <v>5.4112499999999999</v>
      </c>
      <c r="BW109" s="52">
        <v>5.4112499999999999</v>
      </c>
      <c r="BX109" s="52">
        <v>5.4112499999999999</v>
      </c>
      <c r="BY109" s="52">
        <v>5.4112499999999999</v>
      </c>
      <c r="BZ109" s="52">
        <v>5.4112499999999999</v>
      </c>
      <c r="CA109" s="52">
        <v>5.4112499999999999</v>
      </c>
      <c r="CB109" s="52">
        <v>5.4112499999999999</v>
      </c>
      <c r="CC109" s="52">
        <v>5.4112499999999999</v>
      </c>
      <c r="CD109" s="52">
        <v>5.4112499999999999</v>
      </c>
      <c r="CE109" s="52">
        <v>5.4112499999999999</v>
      </c>
      <c r="CF109" s="52">
        <v>5.4112499999999999</v>
      </c>
      <c r="CG109" s="52">
        <v>5.4112499999999999</v>
      </c>
      <c r="CH109" s="52">
        <v>5.4112499999999999</v>
      </c>
      <c r="CI109" s="52">
        <v>5.4112499999999999</v>
      </c>
      <c r="CJ109" s="52">
        <v>5.4112499999999999</v>
      </c>
      <c r="CK109" s="52">
        <v>5.4112499999999999</v>
      </c>
      <c r="CL109" s="52">
        <v>5.4112499999999999</v>
      </c>
      <c r="CM109" s="52">
        <v>5.4112499999999999</v>
      </c>
      <c r="CN109" s="52">
        <v>5.4112499999999999</v>
      </c>
      <c r="CO109" s="52">
        <v>5.4112499999999999</v>
      </c>
      <c r="CP109" s="52">
        <v>5.4112499999999999</v>
      </c>
      <c r="CQ109" s="52">
        <v>5.4112499999999999</v>
      </c>
      <c r="CR109" s="52">
        <v>5.4112499999999999</v>
      </c>
      <c r="CS109" s="52">
        <v>5.4112499999999999</v>
      </c>
      <c r="CT109" s="52">
        <v>5.4112499999999999</v>
      </c>
      <c r="CU109" s="52">
        <v>5.4112499999999999</v>
      </c>
      <c r="CV109" s="52">
        <v>5.4112499999999999</v>
      </c>
      <c r="CW109" s="52">
        <v>5.4112499999999999</v>
      </c>
      <c r="CX109" s="52">
        <v>5.4112499999999999</v>
      </c>
      <c r="CY109" s="52">
        <v>5.4112499999999999</v>
      </c>
      <c r="CZ109" s="52">
        <v>5.4112499999999999</v>
      </c>
      <c r="DA109" s="52">
        <v>5.4112499999999999</v>
      </c>
      <c r="DB109" s="52">
        <v>5.4112499999999999</v>
      </c>
      <c r="DC109" s="52">
        <v>5.4112499999999999</v>
      </c>
      <c r="DD109" s="52">
        <v>5.4112499999999999</v>
      </c>
      <c r="DE109" s="52">
        <v>5.4112499999999999</v>
      </c>
      <c r="DF109" s="52">
        <v>5.4112499999999999</v>
      </c>
      <c r="DG109" s="52">
        <v>5.4112499999999999</v>
      </c>
      <c r="DH109" s="52">
        <v>5.4112499999999999</v>
      </c>
      <c r="DI109" s="52">
        <v>5.4112499999999999</v>
      </c>
      <c r="DJ109" s="52">
        <v>5.4112499999999999</v>
      </c>
      <c r="DK109" s="52">
        <v>5.4112499999999999</v>
      </c>
      <c r="DL109" s="52">
        <v>5.4112499999999999</v>
      </c>
      <c r="DM109" s="52">
        <v>5.4112499999999999</v>
      </c>
      <c r="DN109" s="52">
        <v>5.4112499999999999</v>
      </c>
      <c r="DO109" s="52">
        <v>5.4112499999999999</v>
      </c>
      <c r="DP109" s="52">
        <v>5.4112499999999999</v>
      </c>
      <c r="DQ109" s="52">
        <v>5.4112499999999999</v>
      </c>
      <c r="DR109" s="52">
        <v>5.4112499999999999</v>
      </c>
      <c r="DS109" s="52">
        <v>5.4112499999999999</v>
      </c>
      <c r="DT109" s="52">
        <v>5.4112499999999999</v>
      </c>
      <c r="DU109" s="52">
        <v>5.4112499999999999</v>
      </c>
      <c r="DV109" s="52">
        <v>5.4112499999999999</v>
      </c>
      <c r="DW109" s="52">
        <v>5.4112499999999999</v>
      </c>
      <c r="DX109" s="52">
        <v>5.4112499999999999</v>
      </c>
      <c r="DY109" s="52">
        <v>5.4112499999999999</v>
      </c>
      <c r="DZ109" s="52">
        <v>5.4112499999999999</v>
      </c>
      <c r="EA109" s="52">
        <v>5.4112499999999999</v>
      </c>
      <c r="EB109" s="52">
        <v>5.4112499999999999</v>
      </c>
      <c r="EC109" s="52">
        <v>5.4112499999999999</v>
      </c>
      <c r="ED109" s="52">
        <v>5.4112499999999999</v>
      </c>
      <c r="EE109" s="52">
        <v>5.4112499999999999</v>
      </c>
      <c r="EF109" s="52">
        <v>5.4112499999999999</v>
      </c>
      <c r="EG109" s="52">
        <v>5.4112499999999999</v>
      </c>
      <c r="EH109" s="52">
        <v>5.4112499999999999</v>
      </c>
      <c r="EI109" s="52">
        <v>5.4112499999999999</v>
      </c>
      <c r="EJ109" s="52">
        <v>5.4112499999999999</v>
      </c>
      <c r="EK109" s="52">
        <v>5.4112499999999999</v>
      </c>
      <c r="EL109" s="52">
        <v>5.4112499999999999</v>
      </c>
      <c r="EM109" s="52">
        <v>5.4112499999999999</v>
      </c>
      <c r="EN109" s="52">
        <v>5.4112499999999999</v>
      </c>
      <c r="EO109" s="52">
        <v>5.4112499999999999</v>
      </c>
      <c r="EP109" s="52">
        <v>5.4112499999999999</v>
      </c>
      <c r="EQ109" s="52">
        <v>5.4112499999999999</v>
      </c>
      <c r="ER109" s="52">
        <v>5.4112499999999999</v>
      </c>
      <c r="ES109" s="52">
        <v>5.4112499999999999</v>
      </c>
      <c r="ET109" s="52">
        <v>5.4112499999999999</v>
      </c>
      <c r="EU109" s="52">
        <v>5.4112499999999999</v>
      </c>
      <c r="EV109" s="52">
        <v>5.4112499999999999</v>
      </c>
      <c r="EW109" s="52">
        <v>5.4112499999999999</v>
      </c>
      <c r="EX109" s="52">
        <v>5.4112499999999999</v>
      </c>
      <c r="EY109" s="52">
        <v>5.4112499999999999</v>
      </c>
      <c r="EZ109" s="52">
        <v>5.4112499999999999</v>
      </c>
      <c r="FA109" s="52">
        <v>5.4112499999999999</v>
      </c>
      <c r="FB109" s="52">
        <v>5.4112499999999999</v>
      </c>
      <c r="FC109" s="52">
        <v>5.4112499999999999</v>
      </c>
      <c r="FD109" s="52">
        <v>5.4112499999999999</v>
      </c>
      <c r="FE109" s="52">
        <v>5.4112499999999999</v>
      </c>
      <c r="FF109" s="52">
        <v>5.4112499999999999</v>
      </c>
      <c r="FG109" s="52">
        <v>5.4112499999999999</v>
      </c>
      <c r="FH109" s="52">
        <v>5.4112499999999999</v>
      </c>
      <c r="FI109" s="52">
        <v>5.4112499999999999</v>
      </c>
      <c r="FJ109" s="52">
        <v>5.4112499999999999</v>
      </c>
      <c r="FK109" s="52">
        <v>5.4112499999999999</v>
      </c>
      <c r="FL109" s="52">
        <v>5.4112499999999999</v>
      </c>
      <c r="FM109" s="52">
        <v>5.4112499999999999</v>
      </c>
      <c r="FN109" s="52">
        <v>5.4112499999999999</v>
      </c>
      <c r="FO109" s="52">
        <v>5.4112499999999999</v>
      </c>
      <c r="FP109" s="52">
        <v>5.4112499999999999</v>
      </c>
      <c r="FQ109" s="52">
        <v>5.4112499999999999</v>
      </c>
      <c r="FR109" s="52">
        <v>5.4112499999999999</v>
      </c>
      <c r="FS109" s="52">
        <v>5.4112499999999999</v>
      </c>
      <c r="FT109" s="52">
        <v>5.4112499999999999</v>
      </c>
      <c r="FU109" s="52">
        <v>5.4112499999999999</v>
      </c>
      <c r="FV109" s="52">
        <v>5.4112499999999999</v>
      </c>
      <c r="FW109" s="52">
        <v>5.4112499999999999</v>
      </c>
      <c r="FX109" s="52">
        <v>5.4112499999999999</v>
      </c>
      <c r="FY109" s="52">
        <v>5.4112499999999999</v>
      </c>
      <c r="FZ109" s="52">
        <v>5.4112499999999999</v>
      </c>
      <c r="GA109" s="52">
        <v>5.4112499999999999</v>
      </c>
      <c r="GB109" s="52">
        <v>5.4112499999999999</v>
      </c>
      <c r="GC109" s="52">
        <v>5.4112499999999999</v>
      </c>
      <c r="GD109" s="52">
        <v>5.4112499999999999</v>
      </c>
      <c r="GE109" s="52">
        <v>5.4112499999999999</v>
      </c>
      <c r="GF109" s="52">
        <v>5.4112499999999999</v>
      </c>
      <c r="GG109" s="52">
        <v>5.4112499999999999</v>
      </c>
      <c r="GH109" s="52">
        <v>5.4112499999999999</v>
      </c>
      <c r="GI109" s="52">
        <v>5.4112499999999999</v>
      </c>
      <c r="GJ109" s="52">
        <v>5.4112499999999999</v>
      </c>
      <c r="GK109" s="52">
        <v>5.4112499999999999</v>
      </c>
      <c r="GL109" s="52">
        <v>5.4112499999999999</v>
      </c>
      <c r="GM109" s="52">
        <v>5.4112499999999999</v>
      </c>
      <c r="GN109" s="52">
        <v>5.4112499999999999</v>
      </c>
      <c r="GO109" s="52">
        <v>5.4112499999999999</v>
      </c>
      <c r="GP109" s="52">
        <v>5.4112499999999999</v>
      </c>
      <c r="GQ109" s="52">
        <v>5.4112499999999999</v>
      </c>
      <c r="GR109" s="52">
        <v>5.4112499999999999</v>
      </c>
      <c r="GS109" s="52">
        <v>5.4112499999999999</v>
      </c>
      <c r="GT109" s="52">
        <v>5.4112499999999999</v>
      </c>
      <c r="GU109" s="52">
        <v>5.4112499999999999</v>
      </c>
      <c r="GV109" s="52">
        <v>5.4112499999999999</v>
      </c>
      <c r="GW109" s="52">
        <v>5.4112499999999999</v>
      </c>
      <c r="GX109" s="52">
        <v>5.4112499999999999</v>
      </c>
      <c r="GY109" s="52">
        <v>5.4112499999999999</v>
      </c>
      <c r="GZ109" s="52">
        <v>5.4112499999999999</v>
      </c>
      <c r="HA109" s="52">
        <v>5.4112499999999999</v>
      </c>
      <c r="HB109" s="52">
        <v>5.4112499999999999</v>
      </c>
      <c r="HC109" s="52">
        <v>5.4112499999999999</v>
      </c>
      <c r="HD109" s="52">
        <v>5.4112499999999999</v>
      </c>
      <c r="HE109" s="52">
        <v>5.4112499999999999</v>
      </c>
      <c r="HF109" s="52">
        <v>5.4112499999999999</v>
      </c>
      <c r="HG109" s="52">
        <v>5.4112499999999999</v>
      </c>
      <c r="HH109" s="52">
        <v>5.4112499999999999</v>
      </c>
      <c r="HI109" s="52">
        <v>5.4112499999999999</v>
      </c>
      <c r="HJ109" s="52">
        <v>5.4112499999999999</v>
      </c>
      <c r="HK109" s="52">
        <v>5.4112499999999999</v>
      </c>
      <c r="HL109" s="52">
        <v>5.4112499999999999</v>
      </c>
      <c r="HM109" s="52">
        <v>5.4112499999999999</v>
      </c>
      <c r="HN109" s="52">
        <v>5.4112499999999999</v>
      </c>
      <c r="HO109" s="52">
        <v>5.4112499999999999</v>
      </c>
      <c r="HP109" s="52">
        <v>5.4112499999999999</v>
      </c>
      <c r="HQ109" s="52">
        <v>5.4112499999999999</v>
      </c>
      <c r="HR109" s="52">
        <v>5.4112499999999999</v>
      </c>
      <c r="HS109" s="52">
        <v>5.4112499999999999</v>
      </c>
      <c r="HT109" s="52">
        <v>5.4112499999999999</v>
      </c>
      <c r="HU109" s="52">
        <v>5.4112499999999999</v>
      </c>
      <c r="HV109" s="52">
        <v>5.4112499999999999</v>
      </c>
      <c r="HW109" s="52">
        <v>5.4112499999999999</v>
      </c>
      <c r="HX109" s="52">
        <v>5.4112499999999999</v>
      </c>
      <c r="HY109" s="52">
        <v>5.4112499999999999</v>
      </c>
      <c r="HZ109" s="52">
        <v>5.4112499999999999</v>
      </c>
      <c r="IA109" s="52">
        <v>5.4112499999999999</v>
      </c>
      <c r="IB109" s="52">
        <v>5.4112499999999999</v>
      </c>
      <c r="IC109" s="52">
        <v>5.4112499999999999</v>
      </c>
      <c r="ID109" s="52">
        <v>5.4112499999999999</v>
      </c>
      <c r="IE109" s="52">
        <v>5.4112499999999999</v>
      </c>
      <c r="IF109" s="52">
        <v>5.4112499999999999</v>
      </c>
      <c r="IG109" s="52">
        <v>5.4112499999999999</v>
      </c>
      <c r="IH109" s="52">
        <v>5.4112499999999999</v>
      </c>
      <c r="II109" s="52">
        <v>5.4112499999999999</v>
      </c>
      <c r="IJ109" s="52">
        <v>5.4112499999999999</v>
      </c>
      <c r="IK109" s="52">
        <v>5.4112499999999999</v>
      </c>
      <c r="IL109" s="52">
        <v>5.4112499999999999</v>
      </c>
      <c r="IM109" s="52">
        <v>5.4112499999999999</v>
      </c>
      <c r="IN109" s="52">
        <v>5.4112499999999999</v>
      </c>
      <c r="IO109" s="52">
        <v>5.4112499999999999</v>
      </c>
      <c r="IP109" s="52">
        <v>5.4112499999999999</v>
      </c>
      <c r="IQ109" s="52">
        <v>5.4112499999999999</v>
      </c>
      <c r="IR109" s="52">
        <v>5.4112499999999999</v>
      </c>
      <c r="IS109" s="52">
        <v>5.4112499999999999</v>
      </c>
      <c r="IT109" s="52">
        <v>5.4112499999999999</v>
      </c>
      <c r="IU109" s="52">
        <v>5.4112499999999999</v>
      </c>
      <c r="IV109" s="52">
        <v>5.4112499999999999</v>
      </c>
      <c r="IW109" s="52">
        <v>5.4112499999999999</v>
      </c>
      <c r="IX109" s="52">
        <v>5.4112499999999999</v>
      </c>
      <c r="IY109" s="52">
        <v>5.4112499999999999</v>
      </c>
      <c r="IZ109" s="52">
        <v>5.4112499999999999</v>
      </c>
      <c r="JA109" s="52">
        <v>5.4112499999999999</v>
      </c>
      <c r="JB109" s="52">
        <v>5.4112499999999999</v>
      </c>
      <c r="JC109" s="52">
        <v>5.4112499999999999</v>
      </c>
      <c r="JD109" s="52">
        <v>5.4112499999999999</v>
      </c>
      <c r="JE109" s="52">
        <v>5.4112499999999999</v>
      </c>
      <c r="JF109" s="52">
        <v>5.4112499999999999</v>
      </c>
      <c r="JG109" s="52">
        <v>5.4112499999999999</v>
      </c>
      <c r="JH109" s="52">
        <v>5.4112499999999999</v>
      </c>
      <c r="JI109" s="52">
        <v>5.4112499999999999</v>
      </c>
      <c r="JJ109" s="52">
        <v>5.4112499999999999</v>
      </c>
      <c r="JK109" s="52">
        <v>5.4112499999999999</v>
      </c>
      <c r="JL109" s="52">
        <v>5.4112499999999999</v>
      </c>
      <c r="JM109" s="52">
        <v>5.4112499999999999</v>
      </c>
      <c r="JN109" s="52">
        <v>5.4112499999999999</v>
      </c>
      <c r="JO109" s="52">
        <v>5.4112499999999999</v>
      </c>
      <c r="JP109" s="52">
        <v>5.4112499999999999</v>
      </c>
      <c r="JQ109" s="52">
        <v>5.4112499999999999</v>
      </c>
      <c r="JR109" s="52">
        <v>5.4112499999999999</v>
      </c>
      <c r="JS109" s="52">
        <v>5.4112499999999999</v>
      </c>
      <c r="JT109" s="52">
        <v>5.4112499999999999</v>
      </c>
      <c r="JU109" s="52">
        <v>5.4112499999999999</v>
      </c>
      <c r="JV109" s="52">
        <v>5.4112499999999999</v>
      </c>
      <c r="JW109" s="52">
        <v>5.4112499999999999</v>
      </c>
      <c r="JX109" s="52">
        <v>5.4112499999999999</v>
      </c>
      <c r="JY109" s="52">
        <v>5.4112499999999999</v>
      </c>
      <c r="JZ109" s="52">
        <v>5.4112499999999999</v>
      </c>
      <c r="KA109" s="52">
        <v>5.4112499999999999</v>
      </c>
      <c r="KB109" s="52">
        <v>5.4112499999999999</v>
      </c>
      <c r="KC109" s="52">
        <v>5.4112499999999999</v>
      </c>
      <c r="KD109" s="52">
        <v>5.4112499999999999</v>
      </c>
      <c r="KE109" s="52">
        <v>5.4112499999999999</v>
      </c>
      <c r="KF109" s="52">
        <v>5.4112499999999999</v>
      </c>
      <c r="KG109" s="52">
        <v>5.4112499999999999</v>
      </c>
      <c r="KH109" s="52">
        <v>5.4112499999999999</v>
      </c>
      <c r="KI109" s="52">
        <v>5.4112499999999999</v>
      </c>
      <c r="KJ109" s="52">
        <v>5.4112499999999999</v>
      </c>
      <c r="KK109" s="52">
        <v>5.4112499999999999</v>
      </c>
      <c r="KL109" s="52">
        <v>5.4112499999999999</v>
      </c>
      <c r="KM109" s="52">
        <v>5.4112499999999999</v>
      </c>
      <c r="KN109" s="52">
        <v>5.4112499999999999</v>
      </c>
      <c r="KO109" s="52">
        <v>5.4112499999999999</v>
      </c>
      <c r="KP109" s="52">
        <v>5.4112499999999999</v>
      </c>
      <c r="KQ109" s="52">
        <v>5.4112499999999999</v>
      </c>
      <c r="KR109" s="52">
        <v>5.4112499999999999</v>
      </c>
      <c r="KS109" s="52">
        <v>5.4112499999999999</v>
      </c>
      <c r="KT109" s="52">
        <v>5.4112499999999999</v>
      </c>
      <c r="KU109" s="52">
        <v>5.4112499999999999</v>
      </c>
      <c r="KV109" s="52">
        <v>5.4112499999999999</v>
      </c>
      <c r="KW109" s="52">
        <v>5.4112499999999999</v>
      </c>
      <c r="KX109" s="52">
        <v>5.4112499999999999</v>
      </c>
      <c r="KY109" s="52">
        <v>5.4112499999999999</v>
      </c>
      <c r="KZ109" s="52">
        <v>5.4112499999999999</v>
      </c>
      <c r="LA109" s="52">
        <v>5.4112499999999999</v>
      </c>
      <c r="LB109" s="52">
        <v>5.4112499999999999</v>
      </c>
      <c r="LC109" s="52">
        <v>5.4112499999999999</v>
      </c>
      <c r="LD109" s="52">
        <v>5.4112499999999999</v>
      </c>
      <c r="LE109" s="52">
        <v>5.4112499999999999</v>
      </c>
      <c r="LF109" s="52">
        <v>5.4112499999999999</v>
      </c>
      <c r="LG109" s="52">
        <v>5.4112499999999999</v>
      </c>
      <c r="LH109" s="52">
        <v>5.4112499999999999</v>
      </c>
      <c r="LI109" s="52">
        <v>5.4112499999999999</v>
      </c>
      <c r="LJ109" s="52">
        <v>5.4112499999999999</v>
      </c>
      <c r="LK109" s="52">
        <v>5.4112499999999999</v>
      </c>
      <c r="LL109" s="52">
        <v>5.4112499999999999</v>
      </c>
      <c r="LM109" s="52">
        <v>5.4112499999999999</v>
      </c>
      <c r="LN109" s="52">
        <v>5.4112499999999999</v>
      </c>
      <c r="LO109" s="52">
        <v>5.4112499999999999</v>
      </c>
      <c r="LP109" s="52">
        <v>5.4112499999999999</v>
      </c>
      <c r="LQ109" s="52">
        <v>5.4112499999999999</v>
      </c>
      <c r="LR109" s="52">
        <v>5.4112499999999999</v>
      </c>
      <c r="LS109" s="52">
        <v>5.4112499999999999</v>
      </c>
      <c r="LT109" s="52">
        <v>5.4112499999999999</v>
      </c>
      <c r="LU109" s="52">
        <v>5.4112499999999999</v>
      </c>
      <c r="LV109" s="52">
        <v>5.4112499999999999</v>
      </c>
      <c r="LW109" s="52">
        <v>5.4112499999999999</v>
      </c>
      <c r="LX109" s="52">
        <v>5.4112499999999999</v>
      </c>
      <c r="LY109" s="52">
        <v>5.4112499999999999</v>
      </c>
      <c r="LZ109" s="52">
        <v>5.4112499999999999</v>
      </c>
      <c r="MA109" s="52">
        <v>5.4112499999999999</v>
      </c>
      <c r="MB109" s="52">
        <v>5.4112499999999999</v>
      </c>
      <c r="MC109" s="52">
        <v>5.4112499999999999</v>
      </c>
      <c r="MD109" s="52">
        <v>5.4112499999999999</v>
      </c>
      <c r="ME109" s="52">
        <v>5.4112499999999999</v>
      </c>
      <c r="MF109" s="52">
        <v>5.4112499999999999</v>
      </c>
      <c r="MG109" s="52">
        <v>5.4112499999999999</v>
      </c>
      <c r="MH109" s="52">
        <v>5.4112499999999999</v>
      </c>
      <c r="MI109" s="52">
        <v>5.4112499999999999</v>
      </c>
      <c r="MJ109" s="52">
        <v>5.4112499999999999</v>
      </c>
      <c r="MK109" s="52">
        <v>5.4112499999999999</v>
      </c>
      <c r="ML109" s="52">
        <v>5.4112499999999999</v>
      </c>
      <c r="MM109" s="52">
        <v>5.4112499999999999</v>
      </c>
      <c r="MN109" s="52">
        <v>5.4112499999999999</v>
      </c>
      <c r="MO109" s="52">
        <v>5.4112499999999999</v>
      </c>
      <c r="MP109" s="52">
        <v>5.4112499999999999</v>
      </c>
      <c r="MQ109" s="52">
        <v>5.4112499999999999</v>
      </c>
      <c r="MR109" s="52">
        <v>5.4112499999999999</v>
      </c>
      <c r="MS109" s="52">
        <v>5.4112499999999999</v>
      </c>
      <c r="MT109" s="52">
        <v>5.4112499999999999</v>
      </c>
      <c r="MU109" s="52">
        <v>5.4112499999999999</v>
      </c>
      <c r="MV109" s="52">
        <v>5.4112499999999999</v>
      </c>
      <c r="MW109" s="52">
        <v>5.4112499999999999</v>
      </c>
      <c r="MX109" s="52">
        <v>5.4112499999999999</v>
      </c>
      <c r="MY109" s="52">
        <v>5.4112499999999999</v>
      </c>
      <c r="MZ109" s="52">
        <v>5.4112499999999999</v>
      </c>
      <c r="NA109" s="52">
        <v>5.4112499999999999</v>
      </c>
      <c r="NB109" s="52">
        <v>5.4112499999999999</v>
      </c>
      <c r="NC109" s="52">
        <v>5.4112499999999999</v>
      </c>
      <c r="ND109" s="52">
        <v>5.4112499999999999</v>
      </c>
      <c r="NE109" s="52">
        <v>5.4112499999999999</v>
      </c>
      <c r="NF109" s="52">
        <v>5.4112499999999999</v>
      </c>
      <c r="NG109" s="52">
        <v>5.4112499999999999</v>
      </c>
      <c r="NH109" s="52">
        <v>5.4112499999999999</v>
      </c>
      <c r="NI109" s="37">
        <v>5.4112499999999999</v>
      </c>
      <c r="NJ109" s="37">
        <v>5.4112499999999999</v>
      </c>
      <c r="NK109" s="37">
        <v>5.4112499999999999</v>
      </c>
      <c r="NL109" s="37">
        <v>5.4112499999999999</v>
      </c>
      <c r="NM109" s="37">
        <v>5.4112499999999999</v>
      </c>
      <c r="NN109" s="37">
        <v>5.4112499999999999</v>
      </c>
      <c r="NO109" s="37">
        <v>5.4112499999999999</v>
      </c>
      <c r="NP109" s="37">
        <v>5.4112499999999999</v>
      </c>
      <c r="NQ109" s="37">
        <v>5.4112499999999999</v>
      </c>
      <c r="NR109" s="37">
        <v>5.4112499999999999</v>
      </c>
      <c r="NS109" s="37">
        <v>5.4112499999999999</v>
      </c>
      <c r="NT109" s="37">
        <v>5.4112499999999999</v>
      </c>
      <c r="NU109" s="37">
        <v>5.4112499999999999</v>
      </c>
      <c r="NV109" s="37">
        <v>5.4112499999999999</v>
      </c>
      <c r="NW109" s="37">
        <v>5.4112499999999999</v>
      </c>
      <c r="NX109" s="37">
        <v>5.4112499999999999</v>
      </c>
      <c r="NY109" s="37">
        <v>5.4112499999999999</v>
      </c>
      <c r="NZ109" s="37">
        <v>5.4112499999999999</v>
      </c>
      <c r="OA109" s="37">
        <v>5.4112499999999999</v>
      </c>
      <c r="OB109" s="37">
        <v>5.4112499999999999</v>
      </c>
      <c r="OC109" s="37">
        <v>5.4112499999999999</v>
      </c>
      <c r="OD109" s="37">
        <v>5.4112499999999999</v>
      </c>
      <c r="OE109" s="37">
        <v>5.4112499999999999</v>
      </c>
      <c r="OF109" s="37">
        <v>5.4112499999999999</v>
      </c>
      <c r="OG109" s="37">
        <v>5.4112499999999999</v>
      </c>
      <c r="OH109" s="37">
        <v>5.4112499999999999</v>
      </c>
      <c r="OI109" s="37">
        <v>5.4112499999999999</v>
      </c>
      <c r="OJ109" s="37">
        <v>5.4112499999999999</v>
      </c>
      <c r="OK109" s="37">
        <v>5.4112499999999999</v>
      </c>
      <c r="OL109" s="37">
        <v>5.4112499999999999</v>
      </c>
      <c r="OM109" s="37">
        <v>5.4112499999999999</v>
      </c>
      <c r="ON109" s="37">
        <v>5.4112499999999999</v>
      </c>
      <c r="OO109" s="37">
        <v>5.4112499999999999</v>
      </c>
      <c r="OP109" s="37">
        <v>5.4112499999999999</v>
      </c>
      <c r="OQ109" s="37">
        <v>5.4112499999999999</v>
      </c>
      <c r="OR109" s="37">
        <v>5.4112499999999999</v>
      </c>
      <c r="OS109" s="37">
        <v>5.4112499999999999</v>
      </c>
      <c r="OT109" s="37">
        <v>5.4112499999999999</v>
      </c>
      <c r="OU109" s="37">
        <v>5.4112499999999999</v>
      </c>
      <c r="OV109" s="37">
        <v>5.4112499999999999</v>
      </c>
      <c r="OW109" s="37">
        <v>5.4112499999999999</v>
      </c>
      <c r="OX109" s="37">
        <v>5.4112499999999999</v>
      </c>
      <c r="OY109" s="37">
        <v>5.4112499999999999</v>
      </c>
      <c r="OZ109" s="37">
        <v>5.4112499999999999</v>
      </c>
      <c r="PA109" s="37">
        <v>5.4112499999999999</v>
      </c>
      <c r="PB109" s="37">
        <v>5.4112499999999999</v>
      </c>
      <c r="PC109" s="37">
        <v>5.4112499999999999</v>
      </c>
      <c r="PD109" s="37">
        <v>5.4112499999999999</v>
      </c>
      <c r="PE109" s="37">
        <v>5.4112499999999999</v>
      </c>
      <c r="PF109" s="37">
        <v>5.4112499999999999</v>
      </c>
      <c r="PG109" s="37">
        <v>5.4112499999999999</v>
      </c>
      <c r="PH109" s="37">
        <v>5.4112499999999999</v>
      </c>
      <c r="PI109" s="37">
        <v>5.4112499999999999</v>
      </c>
      <c r="PJ109" s="37">
        <v>5.4112499999999999</v>
      </c>
      <c r="PK109" s="37">
        <v>5.4112499999999999</v>
      </c>
      <c r="PL109" s="37">
        <v>5.4112499999999999</v>
      </c>
      <c r="PM109" s="37">
        <v>5.4112499999999999</v>
      </c>
      <c r="PN109" s="37">
        <v>5.4112499999999999</v>
      </c>
      <c r="PO109" s="37">
        <v>5.4112499999999999</v>
      </c>
      <c r="PP109" s="37">
        <v>5.4112499999999999</v>
      </c>
      <c r="PQ109" s="37">
        <v>5.4112499999999999</v>
      </c>
      <c r="PR109" s="37">
        <v>5.4112499999999999</v>
      </c>
      <c r="PS109" s="15">
        <v>5.4112499999999999</v>
      </c>
      <c r="PT109" s="15">
        <v>5.4112499999999999</v>
      </c>
      <c r="PU109" s="15">
        <v>5.4112499999999999</v>
      </c>
      <c r="PV109" s="15">
        <v>5.4112499999999999</v>
      </c>
      <c r="PW109" s="15">
        <v>5.4112499999999999</v>
      </c>
      <c r="PX109" s="15">
        <v>5.4112499999999999</v>
      </c>
      <c r="PY109" s="15">
        <v>5.4112499999999999</v>
      </c>
      <c r="PZ109" s="15">
        <v>5.4112499999999999</v>
      </c>
      <c r="QA109" s="15">
        <v>5.4112499999999999</v>
      </c>
      <c r="QB109" s="15">
        <v>5.4112499999999999</v>
      </c>
      <c r="QC109" s="15">
        <v>5.4112499999999999</v>
      </c>
      <c r="QD109" s="15">
        <v>5.4112499999999999</v>
      </c>
      <c r="QE109" s="15">
        <v>5.4112499999999999</v>
      </c>
      <c r="QF109" s="15">
        <v>5.4112499999999999</v>
      </c>
      <c r="QG109" s="15">
        <v>5.4112499999999999</v>
      </c>
      <c r="QH109" s="15">
        <v>5.6008800000000001</v>
      </c>
    </row>
    <row r="110" spans="1:510" x14ac:dyDescent="0.2">
      <c r="A110" s="37">
        <v>108</v>
      </c>
      <c r="B110" s="37" t="s">
        <v>963</v>
      </c>
      <c r="C110" s="17">
        <f>+'Detalle Compras'!D110</f>
        <v>202511290165</v>
      </c>
      <c r="D110" s="55">
        <f t="shared" si="16"/>
        <v>15.085279999999999</v>
      </c>
      <c r="E110" s="14">
        <f>+IF(B110="","",'Detalle Compras'!S110+0)</f>
        <v>46032</v>
      </c>
      <c r="F110" s="14">
        <f>+IF(B110="","",EOMONTH('Detalle Compras'!S110,G110)+10)</f>
        <v>54464</v>
      </c>
      <c r="G110" s="50">
        <f t="shared" si="17"/>
        <v>276</v>
      </c>
      <c r="H110" s="50">
        <f t="shared" si="18"/>
        <v>275</v>
      </c>
      <c r="L110" s="52"/>
      <c r="M110" s="52"/>
      <c r="N110" s="52"/>
      <c r="O110" s="52"/>
      <c r="P110" s="52"/>
      <c r="Q110" s="52"/>
      <c r="R110" s="52"/>
      <c r="S110" s="52"/>
      <c r="T110" s="52"/>
      <c r="U110" s="52"/>
      <c r="V110" s="52"/>
      <c r="W110" s="52"/>
      <c r="X110" s="52"/>
      <c r="Y110" s="52"/>
      <c r="Z110" s="52"/>
      <c r="AA110" s="52"/>
      <c r="AB110" s="52"/>
      <c r="AC110" s="52"/>
      <c r="AD110" s="52"/>
      <c r="AE110" s="52">
        <v>15.085279999999999</v>
      </c>
      <c r="AF110" s="52">
        <v>15.085279999999999</v>
      </c>
      <c r="AG110" s="52">
        <v>15.085279999999999</v>
      </c>
      <c r="AH110" s="52">
        <v>15.085279999999999</v>
      </c>
      <c r="AI110" s="52">
        <v>15.085279999999999</v>
      </c>
      <c r="AJ110" s="52">
        <v>15.085279999999999</v>
      </c>
      <c r="AK110" s="52">
        <v>15.085279999999999</v>
      </c>
      <c r="AL110" s="52">
        <v>15.085279999999999</v>
      </c>
      <c r="AM110" s="52">
        <v>15.085279999999999</v>
      </c>
      <c r="AN110" s="52">
        <v>15.085279999999999</v>
      </c>
      <c r="AO110" s="52">
        <v>15.085279999999999</v>
      </c>
      <c r="AP110" s="52">
        <v>15.085279999999999</v>
      </c>
      <c r="AQ110" s="52">
        <v>15.085279999999999</v>
      </c>
      <c r="AR110" s="52">
        <v>15.085279999999999</v>
      </c>
      <c r="AS110" s="52">
        <v>15.085279999999999</v>
      </c>
      <c r="AT110" s="52">
        <v>15.085279999999999</v>
      </c>
      <c r="AU110" s="52">
        <v>15.085279999999999</v>
      </c>
      <c r="AV110" s="52">
        <v>15.085279999999999</v>
      </c>
      <c r="AW110" s="52">
        <v>15.085279999999999</v>
      </c>
      <c r="AX110" s="52">
        <v>15.085279999999999</v>
      </c>
      <c r="AY110" s="52">
        <v>15.085279999999999</v>
      </c>
      <c r="AZ110" s="52">
        <v>15.085279999999999</v>
      </c>
      <c r="BA110" s="52">
        <v>15.085279999999999</v>
      </c>
      <c r="BB110" s="52">
        <v>15.085279999999999</v>
      </c>
      <c r="BC110" s="52">
        <v>15.085279999999999</v>
      </c>
      <c r="BD110" s="52">
        <v>15.085279999999999</v>
      </c>
      <c r="BE110" s="52">
        <v>15.085279999999999</v>
      </c>
      <c r="BF110" s="52">
        <v>15.085279999999999</v>
      </c>
      <c r="BG110" s="52">
        <v>15.085279999999999</v>
      </c>
      <c r="BH110" s="52">
        <v>15.085279999999999</v>
      </c>
      <c r="BI110" s="52">
        <v>15.085279999999999</v>
      </c>
      <c r="BJ110" s="52">
        <v>15.085279999999999</v>
      </c>
      <c r="BK110" s="52">
        <v>15.085279999999999</v>
      </c>
      <c r="BL110" s="52">
        <v>15.085279999999999</v>
      </c>
      <c r="BM110" s="52">
        <v>15.085279999999999</v>
      </c>
      <c r="BN110" s="52">
        <v>15.085279999999999</v>
      </c>
      <c r="BO110" s="52">
        <v>15.085279999999999</v>
      </c>
      <c r="BP110" s="52">
        <v>15.085279999999999</v>
      </c>
      <c r="BQ110" s="52">
        <v>15.085279999999999</v>
      </c>
      <c r="BR110" s="52">
        <v>15.085279999999999</v>
      </c>
      <c r="BS110" s="52">
        <v>15.085279999999999</v>
      </c>
      <c r="BT110" s="52">
        <v>15.085279999999999</v>
      </c>
      <c r="BU110" s="52">
        <v>15.085279999999999</v>
      </c>
      <c r="BV110" s="52">
        <v>15.085279999999999</v>
      </c>
      <c r="BW110" s="52">
        <v>15.085279999999999</v>
      </c>
      <c r="BX110" s="52">
        <v>15.085279999999999</v>
      </c>
      <c r="BY110" s="52">
        <v>15.085279999999999</v>
      </c>
      <c r="BZ110" s="52">
        <v>15.085279999999999</v>
      </c>
      <c r="CA110" s="52">
        <v>15.085279999999999</v>
      </c>
      <c r="CB110" s="52">
        <v>15.085279999999999</v>
      </c>
      <c r="CC110" s="52">
        <v>15.085279999999999</v>
      </c>
      <c r="CD110" s="52">
        <v>15.085279999999999</v>
      </c>
      <c r="CE110" s="52">
        <v>15.085279999999999</v>
      </c>
      <c r="CF110" s="52">
        <v>15.085279999999999</v>
      </c>
      <c r="CG110" s="52">
        <v>15.085279999999999</v>
      </c>
      <c r="CH110" s="52">
        <v>15.085279999999999</v>
      </c>
      <c r="CI110" s="52">
        <v>15.085279999999999</v>
      </c>
      <c r="CJ110" s="52">
        <v>15.085279999999999</v>
      </c>
      <c r="CK110" s="52">
        <v>15.085279999999999</v>
      </c>
      <c r="CL110" s="52">
        <v>15.085279999999999</v>
      </c>
      <c r="CM110" s="52">
        <v>15.085279999999999</v>
      </c>
      <c r="CN110" s="52">
        <v>15.085279999999999</v>
      </c>
      <c r="CO110" s="52">
        <v>15.085279999999999</v>
      </c>
      <c r="CP110" s="52">
        <v>15.085279999999999</v>
      </c>
      <c r="CQ110" s="52">
        <v>15.085279999999999</v>
      </c>
      <c r="CR110" s="52">
        <v>15.085279999999999</v>
      </c>
      <c r="CS110" s="52">
        <v>15.085279999999999</v>
      </c>
      <c r="CT110" s="52">
        <v>15.085279999999999</v>
      </c>
      <c r="CU110" s="52">
        <v>15.085279999999999</v>
      </c>
      <c r="CV110" s="52">
        <v>15.085279999999999</v>
      </c>
      <c r="CW110" s="52">
        <v>15.085279999999999</v>
      </c>
      <c r="CX110" s="52">
        <v>15.085279999999999</v>
      </c>
      <c r="CY110" s="52">
        <v>15.085279999999999</v>
      </c>
      <c r="CZ110" s="52">
        <v>15.085279999999999</v>
      </c>
      <c r="DA110" s="52">
        <v>15.085279999999999</v>
      </c>
      <c r="DB110" s="52">
        <v>15.085279999999999</v>
      </c>
      <c r="DC110" s="52">
        <v>15.085279999999999</v>
      </c>
      <c r="DD110" s="52">
        <v>15.085279999999999</v>
      </c>
      <c r="DE110" s="52">
        <v>15.085279999999999</v>
      </c>
      <c r="DF110" s="52">
        <v>15.085279999999999</v>
      </c>
      <c r="DG110" s="52">
        <v>15.085279999999999</v>
      </c>
      <c r="DH110" s="52">
        <v>15.085279999999999</v>
      </c>
      <c r="DI110" s="52">
        <v>15.085279999999999</v>
      </c>
      <c r="DJ110" s="52">
        <v>15.085279999999999</v>
      </c>
      <c r="DK110" s="52">
        <v>15.085279999999999</v>
      </c>
      <c r="DL110" s="52">
        <v>15.085279999999999</v>
      </c>
      <c r="DM110" s="52">
        <v>15.085279999999999</v>
      </c>
      <c r="DN110" s="52">
        <v>15.085279999999999</v>
      </c>
      <c r="DO110" s="52">
        <v>15.085279999999999</v>
      </c>
      <c r="DP110" s="52">
        <v>15.085279999999999</v>
      </c>
      <c r="DQ110" s="52">
        <v>15.085279999999999</v>
      </c>
      <c r="DR110" s="52">
        <v>15.085279999999999</v>
      </c>
      <c r="DS110" s="52">
        <v>15.085279999999999</v>
      </c>
      <c r="DT110" s="52">
        <v>15.085279999999999</v>
      </c>
      <c r="DU110" s="52">
        <v>15.085279999999999</v>
      </c>
      <c r="DV110" s="52">
        <v>15.085279999999999</v>
      </c>
      <c r="DW110" s="52">
        <v>15.085279999999999</v>
      </c>
      <c r="DX110" s="52">
        <v>15.085279999999999</v>
      </c>
      <c r="DY110" s="52">
        <v>15.085279999999999</v>
      </c>
      <c r="DZ110" s="52">
        <v>15.085279999999999</v>
      </c>
      <c r="EA110" s="52">
        <v>15.085279999999999</v>
      </c>
      <c r="EB110" s="52">
        <v>15.085279999999999</v>
      </c>
      <c r="EC110" s="52">
        <v>15.085279999999999</v>
      </c>
      <c r="ED110" s="52">
        <v>15.085279999999999</v>
      </c>
      <c r="EE110" s="52">
        <v>15.085279999999999</v>
      </c>
      <c r="EF110" s="52">
        <v>15.085279999999999</v>
      </c>
      <c r="EG110" s="52">
        <v>15.085279999999999</v>
      </c>
      <c r="EH110" s="52">
        <v>15.085279999999999</v>
      </c>
      <c r="EI110" s="52">
        <v>15.085279999999999</v>
      </c>
      <c r="EJ110" s="52">
        <v>15.085279999999999</v>
      </c>
      <c r="EK110" s="52">
        <v>15.085279999999999</v>
      </c>
      <c r="EL110" s="52">
        <v>15.085279999999999</v>
      </c>
      <c r="EM110" s="52">
        <v>15.085279999999999</v>
      </c>
      <c r="EN110" s="52">
        <v>15.085279999999999</v>
      </c>
      <c r="EO110" s="52">
        <v>15.085279999999999</v>
      </c>
      <c r="EP110" s="52">
        <v>15.085279999999999</v>
      </c>
      <c r="EQ110" s="52">
        <v>15.085279999999999</v>
      </c>
      <c r="ER110" s="52">
        <v>15.085279999999999</v>
      </c>
      <c r="ES110" s="52">
        <v>15.085279999999999</v>
      </c>
      <c r="ET110" s="52">
        <v>15.085279999999999</v>
      </c>
      <c r="EU110" s="52">
        <v>15.085279999999999</v>
      </c>
      <c r="EV110" s="52">
        <v>15.085279999999999</v>
      </c>
      <c r="EW110" s="52">
        <v>15.085279999999999</v>
      </c>
      <c r="EX110" s="52">
        <v>15.085279999999999</v>
      </c>
      <c r="EY110" s="52">
        <v>15.085279999999999</v>
      </c>
      <c r="EZ110" s="52">
        <v>15.085279999999999</v>
      </c>
      <c r="FA110" s="52">
        <v>15.085279999999999</v>
      </c>
      <c r="FB110" s="52">
        <v>15.085279999999999</v>
      </c>
      <c r="FC110" s="52">
        <v>15.085279999999999</v>
      </c>
      <c r="FD110" s="52">
        <v>15.085279999999999</v>
      </c>
      <c r="FE110" s="52">
        <v>15.085279999999999</v>
      </c>
      <c r="FF110" s="52">
        <v>15.085279999999999</v>
      </c>
      <c r="FG110" s="52">
        <v>15.085279999999999</v>
      </c>
      <c r="FH110" s="52">
        <v>15.085279999999999</v>
      </c>
      <c r="FI110" s="52">
        <v>15.085279999999999</v>
      </c>
      <c r="FJ110" s="52">
        <v>15.085279999999999</v>
      </c>
      <c r="FK110" s="52">
        <v>15.085279999999999</v>
      </c>
      <c r="FL110" s="52">
        <v>15.085279999999999</v>
      </c>
      <c r="FM110" s="52">
        <v>15.085279999999999</v>
      </c>
      <c r="FN110" s="52">
        <v>15.085279999999999</v>
      </c>
      <c r="FO110" s="52">
        <v>15.085279999999999</v>
      </c>
      <c r="FP110" s="52">
        <v>15.085279999999999</v>
      </c>
      <c r="FQ110" s="52">
        <v>15.085279999999999</v>
      </c>
      <c r="FR110" s="52">
        <v>15.085279999999999</v>
      </c>
      <c r="FS110" s="52">
        <v>15.085279999999999</v>
      </c>
      <c r="FT110" s="52">
        <v>15.085279999999999</v>
      </c>
      <c r="FU110" s="52">
        <v>15.085279999999999</v>
      </c>
      <c r="FV110" s="52">
        <v>15.085279999999999</v>
      </c>
      <c r="FW110" s="52">
        <v>15.085279999999999</v>
      </c>
      <c r="FX110" s="52">
        <v>15.085279999999999</v>
      </c>
      <c r="FY110" s="52">
        <v>15.085279999999999</v>
      </c>
      <c r="FZ110" s="52">
        <v>15.085279999999999</v>
      </c>
      <c r="GA110" s="52">
        <v>15.085279999999999</v>
      </c>
      <c r="GB110" s="52">
        <v>15.085279999999999</v>
      </c>
      <c r="GC110" s="52">
        <v>15.085279999999999</v>
      </c>
      <c r="GD110" s="52">
        <v>15.085279999999999</v>
      </c>
      <c r="GE110" s="52">
        <v>15.085279999999999</v>
      </c>
      <c r="GF110" s="52">
        <v>15.085279999999999</v>
      </c>
      <c r="GG110" s="52">
        <v>15.085279999999999</v>
      </c>
      <c r="GH110" s="52">
        <v>15.085279999999999</v>
      </c>
      <c r="GI110" s="52">
        <v>15.085279999999999</v>
      </c>
      <c r="GJ110" s="52">
        <v>15.085279999999999</v>
      </c>
      <c r="GK110" s="52">
        <v>15.085279999999999</v>
      </c>
      <c r="GL110" s="52">
        <v>15.085279999999999</v>
      </c>
      <c r="GM110" s="52">
        <v>15.085279999999999</v>
      </c>
      <c r="GN110" s="52">
        <v>15.085279999999999</v>
      </c>
      <c r="GO110" s="52">
        <v>15.085279999999999</v>
      </c>
      <c r="GP110" s="52">
        <v>15.085279999999999</v>
      </c>
      <c r="GQ110" s="52">
        <v>15.085279999999999</v>
      </c>
      <c r="GR110" s="52">
        <v>15.085279999999999</v>
      </c>
      <c r="GS110" s="52">
        <v>15.085279999999999</v>
      </c>
      <c r="GT110" s="52">
        <v>15.085279999999999</v>
      </c>
      <c r="GU110" s="52">
        <v>15.085279999999999</v>
      </c>
      <c r="GV110" s="52">
        <v>15.085279999999999</v>
      </c>
      <c r="GW110" s="52">
        <v>15.085279999999999</v>
      </c>
      <c r="GX110" s="52">
        <v>15.085279999999999</v>
      </c>
      <c r="GY110" s="52">
        <v>15.085279999999999</v>
      </c>
      <c r="GZ110" s="52">
        <v>15.085279999999999</v>
      </c>
      <c r="HA110" s="52">
        <v>15.085279999999999</v>
      </c>
      <c r="HB110" s="52">
        <v>15.085279999999999</v>
      </c>
      <c r="HC110" s="52">
        <v>15.085279999999999</v>
      </c>
      <c r="HD110" s="52">
        <v>15.085279999999999</v>
      </c>
      <c r="HE110" s="52">
        <v>15.085279999999999</v>
      </c>
      <c r="HF110" s="52">
        <v>15.085279999999999</v>
      </c>
      <c r="HG110" s="52">
        <v>15.085279999999999</v>
      </c>
      <c r="HH110" s="52">
        <v>15.085279999999999</v>
      </c>
      <c r="HI110" s="52">
        <v>15.085279999999999</v>
      </c>
      <c r="HJ110" s="52">
        <v>15.085279999999999</v>
      </c>
      <c r="HK110" s="52">
        <v>15.085279999999999</v>
      </c>
      <c r="HL110" s="52">
        <v>15.085279999999999</v>
      </c>
      <c r="HM110" s="52">
        <v>15.085279999999999</v>
      </c>
      <c r="HN110" s="52">
        <v>15.085279999999999</v>
      </c>
      <c r="HO110" s="52">
        <v>15.085279999999999</v>
      </c>
      <c r="HP110" s="52">
        <v>15.085279999999999</v>
      </c>
      <c r="HQ110" s="52">
        <v>15.085279999999999</v>
      </c>
      <c r="HR110" s="52">
        <v>15.085279999999999</v>
      </c>
      <c r="HS110" s="52">
        <v>15.085279999999999</v>
      </c>
      <c r="HT110" s="52">
        <v>15.085279999999999</v>
      </c>
      <c r="HU110" s="52">
        <v>15.085279999999999</v>
      </c>
      <c r="HV110" s="52">
        <v>15.085279999999999</v>
      </c>
      <c r="HW110" s="52">
        <v>15.085279999999999</v>
      </c>
      <c r="HX110" s="52">
        <v>15.085279999999999</v>
      </c>
      <c r="HY110" s="52">
        <v>15.085279999999999</v>
      </c>
      <c r="HZ110" s="52">
        <v>15.085279999999999</v>
      </c>
      <c r="IA110" s="52">
        <v>15.085279999999999</v>
      </c>
      <c r="IB110" s="52">
        <v>15.085279999999999</v>
      </c>
      <c r="IC110" s="52">
        <v>15.085279999999999</v>
      </c>
      <c r="ID110" s="52">
        <v>15.085279999999999</v>
      </c>
      <c r="IE110" s="52">
        <v>15.085279999999999</v>
      </c>
      <c r="IF110" s="52">
        <v>15.085279999999999</v>
      </c>
      <c r="IG110" s="52">
        <v>15.085279999999999</v>
      </c>
      <c r="IH110" s="52">
        <v>15.085279999999999</v>
      </c>
      <c r="II110" s="52">
        <v>15.085279999999999</v>
      </c>
      <c r="IJ110" s="52">
        <v>15.085279999999999</v>
      </c>
      <c r="IK110" s="52">
        <v>15.085279999999999</v>
      </c>
      <c r="IL110" s="52">
        <v>15.085279999999999</v>
      </c>
      <c r="IM110" s="52">
        <v>15.085279999999999</v>
      </c>
      <c r="IN110" s="52">
        <v>15.085279999999999</v>
      </c>
      <c r="IO110" s="52">
        <v>15.085279999999999</v>
      </c>
      <c r="IP110" s="52">
        <v>15.085279999999999</v>
      </c>
      <c r="IQ110" s="52">
        <v>15.085279999999999</v>
      </c>
      <c r="IR110" s="52">
        <v>15.085279999999999</v>
      </c>
      <c r="IS110" s="52">
        <v>15.085279999999999</v>
      </c>
      <c r="IT110" s="52">
        <v>15.085279999999999</v>
      </c>
      <c r="IU110" s="52">
        <v>15.085279999999999</v>
      </c>
      <c r="IV110" s="52">
        <v>15.085279999999999</v>
      </c>
      <c r="IW110" s="52">
        <v>15.085279999999999</v>
      </c>
      <c r="IX110" s="52">
        <v>15.085279999999999</v>
      </c>
      <c r="IY110" s="52">
        <v>15.085279999999999</v>
      </c>
      <c r="IZ110" s="52">
        <v>15.085279999999999</v>
      </c>
      <c r="JA110" s="52">
        <v>15.085279999999999</v>
      </c>
      <c r="JB110" s="52">
        <v>15.085279999999999</v>
      </c>
      <c r="JC110" s="52">
        <v>15.085279999999999</v>
      </c>
      <c r="JD110" s="52">
        <v>15.085279999999999</v>
      </c>
      <c r="JE110" s="52">
        <v>15.085279999999999</v>
      </c>
      <c r="JF110" s="52">
        <v>15.085279999999999</v>
      </c>
      <c r="JG110" s="52">
        <v>15.085279999999999</v>
      </c>
      <c r="JH110" s="52">
        <v>15.085279999999999</v>
      </c>
      <c r="JI110" s="52">
        <v>15.085279999999999</v>
      </c>
      <c r="JJ110" s="52">
        <v>15.085279999999999</v>
      </c>
      <c r="JK110" s="52">
        <v>15.085279999999999</v>
      </c>
      <c r="JL110" s="52">
        <v>15.085279999999999</v>
      </c>
      <c r="JM110" s="52">
        <v>15.085279999999999</v>
      </c>
      <c r="JN110" s="52">
        <v>15.085279999999999</v>
      </c>
      <c r="JO110" s="52">
        <v>15.085279999999999</v>
      </c>
      <c r="JP110" s="52">
        <v>15.085279999999999</v>
      </c>
      <c r="JQ110" s="52">
        <v>15.085279999999999</v>
      </c>
      <c r="JR110" s="52">
        <v>15.085279999999999</v>
      </c>
      <c r="JS110" s="52">
        <v>15.085279999999999</v>
      </c>
      <c r="JT110" s="52">
        <v>15.085279999999999</v>
      </c>
      <c r="JU110" s="52">
        <v>15.085279999999999</v>
      </c>
      <c r="JV110" s="52">
        <v>15.085279999999999</v>
      </c>
      <c r="JW110" s="52">
        <v>15.085279999999999</v>
      </c>
      <c r="JX110" s="52">
        <v>15.085279999999999</v>
      </c>
      <c r="JY110" s="52">
        <v>15.085279999999999</v>
      </c>
      <c r="JZ110" s="52">
        <v>15.085279999999999</v>
      </c>
      <c r="KA110" s="52">
        <v>15.085279999999999</v>
      </c>
      <c r="KB110" s="52">
        <v>15.085279999999999</v>
      </c>
      <c r="KC110" s="52">
        <v>15.085279999999999</v>
      </c>
      <c r="KD110" s="52">
        <v>15.085279999999999</v>
      </c>
      <c r="KE110" s="52">
        <v>15.085279999999999</v>
      </c>
      <c r="KF110" s="52">
        <v>15.085279999999999</v>
      </c>
      <c r="KG110" s="52">
        <v>15.085279999999999</v>
      </c>
      <c r="KH110" s="52">
        <v>15.085279999999999</v>
      </c>
      <c r="KI110" s="52">
        <v>15.085279999999999</v>
      </c>
      <c r="KJ110" s="52">
        <v>15.085279999999999</v>
      </c>
      <c r="KK110" s="52">
        <v>15.085279999999999</v>
      </c>
      <c r="KL110" s="52">
        <v>15.085279999999999</v>
      </c>
      <c r="KM110" s="52">
        <v>15.085279999999999</v>
      </c>
      <c r="KN110" s="52">
        <v>15.085279999999999</v>
      </c>
      <c r="KO110" s="52">
        <v>15.085279999999999</v>
      </c>
      <c r="KP110" s="52">
        <v>15.085279999999999</v>
      </c>
      <c r="KQ110" s="52">
        <v>15.085279999999999</v>
      </c>
      <c r="KR110" s="52">
        <v>15.085279999999999</v>
      </c>
      <c r="KS110" s="52">
        <v>15.085279999999999</v>
      </c>
      <c r="KT110" s="52">
        <v>15.70983</v>
      </c>
      <c r="KU110" s="52"/>
      <c r="KV110" s="52"/>
      <c r="KW110" s="52"/>
      <c r="KX110" s="52"/>
      <c r="KY110" s="52"/>
      <c r="KZ110" s="52"/>
      <c r="LA110" s="52"/>
      <c r="LB110" s="52"/>
      <c r="LC110" s="52"/>
      <c r="LD110" s="52"/>
      <c r="LE110" s="52"/>
      <c r="LF110" s="52"/>
      <c r="LG110" s="52"/>
      <c r="LH110" s="52"/>
      <c r="LI110" s="52"/>
      <c r="LJ110" s="52"/>
      <c r="LK110" s="52"/>
      <c r="LL110" s="52"/>
      <c r="LM110" s="52"/>
      <c r="LN110" s="52"/>
      <c r="LO110" s="52"/>
      <c r="LP110" s="52"/>
      <c r="LQ110" s="52"/>
      <c r="LR110" s="52"/>
      <c r="LS110" s="52"/>
      <c r="LT110" s="52"/>
      <c r="LU110" s="52"/>
      <c r="LV110" s="52"/>
      <c r="LW110" s="52"/>
      <c r="LX110" s="52"/>
      <c r="LY110" s="52"/>
      <c r="LZ110" s="52"/>
      <c r="MA110" s="52"/>
      <c r="MB110" s="52"/>
      <c r="MC110" s="52"/>
      <c r="MD110" s="52"/>
      <c r="ME110" s="52"/>
      <c r="MF110" s="52"/>
      <c r="MG110" s="52"/>
      <c r="MH110" s="52"/>
      <c r="MI110" s="52"/>
      <c r="MJ110" s="52"/>
      <c r="MK110" s="52"/>
      <c r="ML110" s="52"/>
      <c r="MM110" s="52"/>
      <c r="MN110" s="52"/>
      <c r="MO110" s="52"/>
      <c r="MP110" s="52"/>
      <c r="MQ110" s="52"/>
      <c r="MR110" s="52"/>
      <c r="MS110" s="52"/>
      <c r="MT110" s="52"/>
      <c r="MU110" s="52"/>
      <c r="MV110" s="52"/>
      <c r="MW110" s="52"/>
      <c r="MX110" s="52"/>
      <c r="MY110" s="52"/>
      <c r="MZ110" s="52"/>
      <c r="NA110" s="52"/>
      <c r="NB110" s="52"/>
      <c r="NC110" s="52"/>
      <c r="ND110" s="52"/>
      <c r="NE110" s="52"/>
      <c r="NF110" s="52"/>
      <c r="NG110" s="52"/>
      <c r="NH110" s="52"/>
    </row>
    <row r="111" spans="1:510" x14ac:dyDescent="0.2">
      <c r="A111" s="37">
        <v>109</v>
      </c>
      <c r="B111" s="37" t="s">
        <v>964</v>
      </c>
      <c r="C111" s="17">
        <f>+'Detalle Compras'!D111</f>
        <v>202511270164</v>
      </c>
      <c r="D111" s="55">
        <f t="shared" si="16"/>
        <v>10.194929999999999</v>
      </c>
      <c r="E111" s="14">
        <f>+IF(B111="","",'Detalle Compras'!S111+0)</f>
        <v>46032</v>
      </c>
      <c r="F111" s="14">
        <f>+IF(B111="","",EOMONTH('Detalle Compras'!S111,G111)+10)</f>
        <v>58847</v>
      </c>
      <c r="G111" s="50">
        <f t="shared" si="17"/>
        <v>420</v>
      </c>
      <c r="H111" s="50">
        <f t="shared" si="18"/>
        <v>419</v>
      </c>
      <c r="L111" s="52"/>
      <c r="M111" s="52"/>
      <c r="N111" s="52"/>
      <c r="O111" s="52"/>
      <c r="P111" s="52"/>
      <c r="Q111" s="52"/>
      <c r="R111" s="52"/>
      <c r="S111" s="52"/>
      <c r="T111" s="52"/>
      <c r="U111" s="52"/>
      <c r="V111" s="52"/>
      <c r="W111" s="52"/>
      <c r="X111" s="52"/>
      <c r="Y111" s="52"/>
      <c r="Z111" s="52"/>
      <c r="AA111" s="52"/>
      <c r="AB111" s="52"/>
      <c r="AC111" s="52"/>
      <c r="AD111" s="52"/>
      <c r="AE111" s="52">
        <v>10.194929999999999</v>
      </c>
      <c r="AF111" s="52">
        <v>10.194929999999999</v>
      </c>
      <c r="AG111" s="52">
        <v>10.194929999999999</v>
      </c>
      <c r="AH111" s="52">
        <v>10.194929999999999</v>
      </c>
      <c r="AI111" s="52">
        <v>10.194929999999999</v>
      </c>
      <c r="AJ111" s="52">
        <v>10.194929999999999</v>
      </c>
      <c r="AK111" s="52">
        <v>10.194929999999999</v>
      </c>
      <c r="AL111" s="52">
        <v>10.194929999999999</v>
      </c>
      <c r="AM111" s="52">
        <v>10.194929999999999</v>
      </c>
      <c r="AN111" s="52">
        <v>10.194929999999999</v>
      </c>
      <c r="AO111" s="52">
        <v>10.194929999999999</v>
      </c>
      <c r="AP111" s="52">
        <v>10.194929999999999</v>
      </c>
      <c r="AQ111" s="52">
        <v>10.194929999999999</v>
      </c>
      <c r="AR111" s="52">
        <v>10.194929999999999</v>
      </c>
      <c r="AS111" s="52">
        <v>10.194929999999999</v>
      </c>
      <c r="AT111" s="52">
        <v>10.194929999999999</v>
      </c>
      <c r="AU111" s="52">
        <v>10.194929999999999</v>
      </c>
      <c r="AV111" s="52">
        <v>10.194929999999999</v>
      </c>
      <c r="AW111" s="52">
        <v>10.194929999999999</v>
      </c>
      <c r="AX111" s="52">
        <v>10.194929999999999</v>
      </c>
      <c r="AY111" s="52">
        <v>10.194929999999999</v>
      </c>
      <c r="AZ111" s="52">
        <v>10.194929999999999</v>
      </c>
      <c r="BA111" s="52">
        <v>10.194929999999999</v>
      </c>
      <c r="BB111" s="52">
        <v>10.194929999999999</v>
      </c>
      <c r="BC111" s="52">
        <v>10.194929999999999</v>
      </c>
      <c r="BD111" s="52">
        <v>10.194929999999999</v>
      </c>
      <c r="BE111" s="52">
        <v>10.194929999999999</v>
      </c>
      <c r="BF111" s="52">
        <v>10.194929999999999</v>
      </c>
      <c r="BG111" s="52">
        <v>10.194929999999999</v>
      </c>
      <c r="BH111" s="52">
        <v>10.194929999999999</v>
      </c>
      <c r="BI111" s="52">
        <v>10.194929999999999</v>
      </c>
      <c r="BJ111" s="52">
        <v>10.194929999999999</v>
      </c>
      <c r="BK111" s="52">
        <v>10.194929999999999</v>
      </c>
      <c r="BL111" s="52">
        <v>10.194929999999999</v>
      </c>
      <c r="BM111" s="52">
        <v>10.194929999999999</v>
      </c>
      <c r="BN111" s="52">
        <v>10.194929999999999</v>
      </c>
      <c r="BO111" s="52">
        <v>10.194929999999999</v>
      </c>
      <c r="BP111" s="52">
        <v>10.194929999999999</v>
      </c>
      <c r="BQ111" s="52">
        <v>10.194929999999999</v>
      </c>
      <c r="BR111" s="52">
        <v>10.194929999999999</v>
      </c>
      <c r="BS111" s="52">
        <v>10.194929999999999</v>
      </c>
      <c r="BT111" s="52">
        <v>10.194929999999999</v>
      </c>
      <c r="BU111" s="52">
        <v>10.194929999999999</v>
      </c>
      <c r="BV111" s="52">
        <v>10.194929999999999</v>
      </c>
      <c r="BW111" s="52">
        <v>10.194929999999999</v>
      </c>
      <c r="BX111" s="52">
        <v>10.194929999999999</v>
      </c>
      <c r="BY111" s="52">
        <v>10.194929999999999</v>
      </c>
      <c r="BZ111" s="52">
        <v>10.194929999999999</v>
      </c>
      <c r="CA111" s="52">
        <v>10.194929999999999</v>
      </c>
      <c r="CB111" s="52">
        <v>10.194929999999999</v>
      </c>
      <c r="CC111" s="52">
        <v>10.194929999999999</v>
      </c>
      <c r="CD111" s="52">
        <v>10.194929999999999</v>
      </c>
      <c r="CE111" s="52">
        <v>10.194929999999999</v>
      </c>
      <c r="CF111" s="52">
        <v>10.194929999999999</v>
      </c>
      <c r="CG111" s="52">
        <v>10.194929999999999</v>
      </c>
      <c r="CH111" s="52">
        <v>10.194929999999999</v>
      </c>
      <c r="CI111" s="52">
        <v>10.194929999999999</v>
      </c>
      <c r="CJ111" s="52">
        <v>10.194929999999999</v>
      </c>
      <c r="CK111" s="52">
        <v>10.194929999999999</v>
      </c>
      <c r="CL111" s="52">
        <v>10.194929999999999</v>
      </c>
      <c r="CM111" s="52">
        <v>10.194929999999999</v>
      </c>
      <c r="CN111" s="52">
        <v>10.194929999999999</v>
      </c>
      <c r="CO111" s="52">
        <v>10.194929999999999</v>
      </c>
      <c r="CP111" s="52">
        <v>10.194929999999999</v>
      </c>
      <c r="CQ111" s="52">
        <v>10.194929999999999</v>
      </c>
      <c r="CR111" s="52">
        <v>10.194929999999999</v>
      </c>
      <c r="CS111" s="52">
        <v>10.194929999999999</v>
      </c>
      <c r="CT111" s="52">
        <v>10.194929999999999</v>
      </c>
      <c r="CU111" s="52">
        <v>10.194929999999999</v>
      </c>
      <c r="CV111" s="52">
        <v>10.194929999999999</v>
      </c>
      <c r="CW111" s="52">
        <v>10.194929999999999</v>
      </c>
      <c r="CX111" s="52">
        <v>10.194929999999999</v>
      </c>
      <c r="CY111" s="52">
        <v>10.194929999999999</v>
      </c>
      <c r="CZ111" s="52">
        <v>10.194929999999999</v>
      </c>
      <c r="DA111" s="52">
        <v>10.194929999999999</v>
      </c>
      <c r="DB111" s="52">
        <v>10.194929999999999</v>
      </c>
      <c r="DC111" s="52">
        <v>10.194929999999999</v>
      </c>
      <c r="DD111" s="52">
        <v>10.194929999999999</v>
      </c>
      <c r="DE111" s="52">
        <v>10.194929999999999</v>
      </c>
      <c r="DF111" s="52">
        <v>10.194929999999999</v>
      </c>
      <c r="DG111" s="52">
        <v>10.194929999999999</v>
      </c>
      <c r="DH111" s="52">
        <v>10.194929999999999</v>
      </c>
      <c r="DI111" s="52">
        <v>10.194929999999999</v>
      </c>
      <c r="DJ111" s="52">
        <v>10.194929999999999</v>
      </c>
      <c r="DK111" s="52">
        <v>10.194929999999999</v>
      </c>
      <c r="DL111" s="52">
        <v>10.194929999999999</v>
      </c>
      <c r="DM111" s="52">
        <v>10.194929999999999</v>
      </c>
      <c r="DN111" s="52">
        <v>10.194929999999999</v>
      </c>
      <c r="DO111" s="52">
        <v>10.194929999999999</v>
      </c>
      <c r="DP111" s="52">
        <v>10.194929999999999</v>
      </c>
      <c r="DQ111" s="52">
        <v>10.194929999999999</v>
      </c>
      <c r="DR111" s="52">
        <v>10.194929999999999</v>
      </c>
      <c r="DS111" s="52">
        <v>10.194929999999999</v>
      </c>
      <c r="DT111" s="52">
        <v>10.194929999999999</v>
      </c>
      <c r="DU111" s="52">
        <v>10.194929999999999</v>
      </c>
      <c r="DV111" s="52">
        <v>10.194929999999999</v>
      </c>
      <c r="DW111" s="52">
        <v>10.194929999999999</v>
      </c>
      <c r="DX111" s="52">
        <v>10.194929999999999</v>
      </c>
      <c r="DY111" s="52">
        <v>10.194929999999999</v>
      </c>
      <c r="DZ111" s="52">
        <v>10.194929999999999</v>
      </c>
      <c r="EA111" s="52">
        <v>10.194929999999999</v>
      </c>
      <c r="EB111" s="52">
        <v>10.194929999999999</v>
      </c>
      <c r="EC111" s="52">
        <v>10.194929999999999</v>
      </c>
      <c r="ED111" s="52">
        <v>10.194929999999999</v>
      </c>
      <c r="EE111" s="52">
        <v>10.194929999999999</v>
      </c>
      <c r="EF111" s="52">
        <v>10.194929999999999</v>
      </c>
      <c r="EG111" s="52">
        <v>10.194929999999999</v>
      </c>
      <c r="EH111" s="52">
        <v>10.194929999999999</v>
      </c>
      <c r="EI111" s="52">
        <v>10.194929999999999</v>
      </c>
      <c r="EJ111" s="52">
        <v>10.194929999999999</v>
      </c>
      <c r="EK111" s="52">
        <v>10.194929999999999</v>
      </c>
      <c r="EL111" s="52">
        <v>10.194929999999999</v>
      </c>
      <c r="EM111" s="52">
        <v>10.194929999999999</v>
      </c>
      <c r="EN111" s="52">
        <v>10.194929999999999</v>
      </c>
      <c r="EO111" s="52">
        <v>10.194929999999999</v>
      </c>
      <c r="EP111" s="52">
        <v>10.194929999999999</v>
      </c>
      <c r="EQ111" s="52">
        <v>10.194929999999999</v>
      </c>
      <c r="ER111" s="52">
        <v>10.194929999999999</v>
      </c>
      <c r="ES111" s="52">
        <v>10.194929999999999</v>
      </c>
      <c r="ET111" s="52">
        <v>10.194929999999999</v>
      </c>
      <c r="EU111" s="52">
        <v>10.194929999999999</v>
      </c>
      <c r="EV111" s="52">
        <v>10.194929999999999</v>
      </c>
      <c r="EW111" s="52">
        <v>10.194929999999999</v>
      </c>
      <c r="EX111" s="52">
        <v>10.194929999999999</v>
      </c>
      <c r="EY111" s="52">
        <v>10.194929999999999</v>
      </c>
      <c r="EZ111" s="52">
        <v>10.194929999999999</v>
      </c>
      <c r="FA111" s="52">
        <v>10.194929999999999</v>
      </c>
      <c r="FB111" s="52">
        <v>10.194929999999999</v>
      </c>
      <c r="FC111" s="52">
        <v>10.194929999999999</v>
      </c>
      <c r="FD111" s="52">
        <v>10.194929999999999</v>
      </c>
      <c r="FE111" s="52">
        <v>10.194929999999999</v>
      </c>
      <c r="FF111" s="52">
        <v>10.194929999999999</v>
      </c>
      <c r="FG111" s="52">
        <v>10.194929999999999</v>
      </c>
      <c r="FH111" s="52">
        <v>10.194929999999999</v>
      </c>
      <c r="FI111" s="52">
        <v>10.194929999999999</v>
      </c>
      <c r="FJ111" s="52">
        <v>10.194929999999999</v>
      </c>
      <c r="FK111" s="52">
        <v>10.194929999999999</v>
      </c>
      <c r="FL111" s="52">
        <v>10.194929999999999</v>
      </c>
      <c r="FM111" s="52">
        <v>10.194929999999999</v>
      </c>
      <c r="FN111" s="52">
        <v>10.194929999999999</v>
      </c>
      <c r="FO111" s="52">
        <v>10.194929999999999</v>
      </c>
      <c r="FP111" s="52">
        <v>10.194929999999999</v>
      </c>
      <c r="FQ111" s="52">
        <v>10.194929999999999</v>
      </c>
      <c r="FR111" s="52">
        <v>10.194929999999999</v>
      </c>
      <c r="FS111" s="52">
        <v>10.194929999999999</v>
      </c>
      <c r="FT111" s="52">
        <v>10.194929999999999</v>
      </c>
      <c r="FU111" s="52">
        <v>10.194929999999999</v>
      </c>
      <c r="FV111" s="52">
        <v>10.194929999999999</v>
      </c>
      <c r="FW111" s="52">
        <v>10.194929999999999</v>
      </c>
      <c r="FX111" s="52">
        <v>10.194929999999999</v>
      </c>
      <c r="FY111" s="52">
        <v>10.194929999999999</v>
      </c>
      <c r="FZ111" s="52">
        <v>10.194929999999999</v>
      </c>
      <c r="GA111" s="52">
        <v>10.194929999999999</v>
      </c>
      <c r="GB111" s="52">
        <v>10.194929999999999</v>
      </c>
      <c r="GC111" s="52">
        <v>10.194929999999999</v>
      </c>
      <c r="GD111" s="52">
        <v>10.194929999999999</v>
      </c>
      <c r="GE111" s="52">
        <v>10.194929999999999</v>
      </c>
      <c r="GF111" s="52">
        <v>10.194929999999999</v>
      </c>
      <c r="GG111" s="52">
        <v>10.194929999999999</v>
      </c>
      <c r="GH111" s="52">
        <v>10.194929999999999</v>
      </c>
      <c r="GI111" s="52">
        <v>10.194929999999999</v>
      </c>
      <c r="GJ111" s="52">
        <v>10.194929999999999</v>
      </c>
      <c r="GK111" s="52">
        <v>10.194929999999999</v>
      </c>
      <c r="GL111" s="52">
        <v>10.194929999999999</v>
      </c>
      <c r="GM111" s="52">
        <v>10.194929999999999</v>
      </c>
      <c r="GN111" s="52">
        <v>10.194929999999999</v>
      </c>
      <c r="GO111" s="52">
        <v>10.194929999999999</v>
      </c>
      <c r="GP111" s="52">
        <v>10.194929999999999</v>
      </c>
      <c r="GQ111" s="52">
        <v>10.194929999999999</v>
      </c>
      <c r="GR111" s="52">
        <v>10.194929999999999</v>
      </c>
      <c r="GS111" s="52">
        <v>10.194929999999999</v>
      </c>
      <c r="GT111" s="52">
        <v>10.194929999999999</v>
      </c>
      <c r="GU111" s="52">
        <v>10.194929999999999</v>
      </c>
      <c r="GV111" s="52">
        <v>10.194929999999999</v>
      </c>
      <c r="GW111" s="52">
        <v>10.194929999999999</v>
      </c>
      <c r="GX111" s="52">
        <v>10.194929999999999</v>
      </c>
      <c r="GY111" s="52">
        <v>10.194929999999999</v>
      </c>
      <c r="GZ111" s="52">
        <v>10.194929999999999</v>
      </c>
      <c r="HA111" s="52">
        <v>10.194929999999999</v>
      </c>
      <c r="HB111" s="52">
        <v>10.194929999999999</v>
      </c>
      <c r="HC111" s="52">
        <v>10.194929999999999</v>
      </c>
      <c r="HD111" s="52">
        <v>10.194929999999999</v>
      </c>
      <c r="HE111" s="52">
        <v>10.194929999999999</v>
      </c>
      <c r="HF111" s="52">
        <v>10.194929999999999</v>
      </c>
      <c r="HG111" s="52">
        <v>10.194929999999999</v>
      </c>
      <c r="HH111" s="52">
        <v>10.194929999999999</v>
      </c>
      <c r="HI111" s="52">
        <v>10.194929999999999</v>
      </c>
      <c r="HJ111" s="52">
        <v>10.194929999999999</v>
      </c>
      <c r="HK111" s="52">
        <v>10.194929999999999</v>
      </c>
      <c r="HL111" s="52">
        <v>10.194929999999999</v>
      </c>
      <c r="HM111" s="52">
        <v>10.194929999999999</v>
      </c>
      <c r="HN111" s="52">
        <v>10.194929999999999</v>
      </c>
      <c r="HO111" s="52">
        <v>10.194929999999999</v>
      </c>
      <c r="HP111" s="52">
        <v>10.194929999999999</v>
      </c>
      <c r="HQ111" s="52">
        <v>10.194929999999999</v>
      </c>
      <c r="HR111" s="52">
        <v>10.194929999999999</v>
      </c>
      <c r="HS111" s="52">
        <v>10.194929999999999</v>
      </c>
      <c r="HT111" s="52">
        <v>10.194929999999999</v>
      </c>
      <c r="HU111" s="52">
        <v>10.194929999999999</v>
      </c>
      <c r="HV111" s="52">
        <v>10.194929999999999</v>
      </c>
      <c r="HW111" s="52">
        <v>10.194929999999999</v>
      </c>
      <c r="HX111" s="52">
        <v>10.194929999999999</v>
      </c>
      <c r="HY111" s="52">
        <v>10.194929999999999</v>
      </c>
      <c r="HZ111" s="52">
        <v>10.194929999999999</v>
      </c>
      <c r="IA111" s="52">
        <v>10.194929999999999</v>
      </c>
      <c r="IB111" s="52">
        <v>10.194929999999999</v>
      </c>
      <c r="IC111" s="52">
        <v>10.194929999999999</v>
      </c>
      <c r="ID111" s="52">
        <v>10.194929999999999</v>
      </c>
      <c r="IE111" s="52">
        <v>10.194929999999999</v>
      </c>
      <c r="IF111" s="52">
        <v>10.194929999999999</v>
      </c>
      <c r="IG111" s="52">
        <v>10.194929999999999</v>
      </c>
      <c r="IH111" s="52">
        <v>10.194929999999999</v>
      </c>
      <c r="II111" s="52">
        <v>10.194929999999999</v>
      </c>
      <c r="IJ111" s="52">
        <v>10.194929999999999</v>
      </c>
      <c r="IK111" s="52">
        <v>10.194929999999999</v>
      </c>
      <c r="IL111" s="52">
        <v>10.194929999999999</v>
      </c>
      <c r="IM111" s="52">
        <v>10.194929999999999</v>
      </c>
      <c r="IN111" s="52">
        <v>10.194929999999999</v>
      </c>
      <c r="IO111" s="52">
        <v>10.194929999999999</v>
      </c>
      <c r="IP111" s="52">
        <v>10.194929999999999</v>
      </c>
      <c r="IQ111" s="52">
        <v>10.194929999999999</v>
      </c>
      <c r="IR111" s="52">
        <v>10.194929999999999</v>
      </c>
      <c r="IS111" s="52">
        <v>10.194929999999999</v>
      </c>
      <c r="IT111" s="52">
        <v>10.194929999999999</v>
      </c>
      <c r="IU111" s="52">
        <v>10.194929999999999</v>
      </c>
      <c r="IV111" s="52">
        <v>10.194929999999999</v>
      </c>
      <c r="IW111" s="52">
        <v>10.194929999999999</v>
      </c>
      <c r="IX111" s="52">
        <v>10.194929999999999</v>
      </c>
      <c r="IY111" s="52">
        <v>10.194929999999999</v>
      </c>
      <c r="IZ111" s="52">
        <v>10.194929999999999</v>
      </c>
      <c r="JA111" s="52">
        <v>10.194929999999999</v>
      </c>
      <c r="JB111" s="52">
        <v>10.194929999999999</v>
      </c>
      <c r="JC111" s="52">
        <v>10.194929999999999</v>
      </c>
      <c r="JD111" s="52">
        <v>10.194929999999999</v>
      </c>
      <c r="JE111" s="52">
        <v>10.194929999999999</v>
      </c>
      <c r="JF111" s="52">
        <v>10.194929999999999</v>
      </c>
      <c r="JG111" s="52">
        <v>10.194929999999999</v>
      </c>
      <c r="JH111" s="52">
        <v>10.194929999999999</v>
      </c>
      <c r="JI111" s="52">
        <v>10.194929999999999</v>
      </c>
      <c r="JJ111" s="52">
        <v>10.194929999999999</v>
      </c>
      <c r="JK111" s="52">
        <v>10.194929999999999</v>
      </c>
      <c r="JL111" s="52">
        <v>10.194929999999999</v>
      </c>
      <c r="JM111" s="52">
        <v>10.194929999999999</v>
      </c>
      <c r="JN111" s="52">
        <v>10.194929999999999</v>
      </c>
      <c r="JO111" s="52">
        <v>10.194929999999999</v>
      </c>
      <c r="JP111" s="52">
        <v>10.194929999999999</v>
      </c>
      <c r="JQ111" s="52">
        <v>10.194929999999999</v>
      </c>
      <c r="JR111" s="52">
        <v>10.194929999999999</v>
      </c>
      <c r="JS111" s="52">
        <v>10.194929999999999</v>
      </c>
      <c r="JT111" s="52">
        <v>10.194929999999999</v>
      </c>
      <c r="JU111" s="52">
        <v>10.194929999999999</v>
      </c>
      <c r="JV111" s="52">
        <v>10.194929999999999</v>
      </c>
      <c r="JW111" s="52">
        <v>10.194929999999999</v>
      </c>
      <c r="JX111" s="52">
        <v>10.194929999999999</v>
      </c>
      <c r="JY111" s="52">
        <v>10.194929999999999</v>
      </c>
      <c r="JZ111" s="52">
        <v>10.194929999999999</v>
      </c>
      <c r="KA111" s="52">
        <v>10.194929999999999</v>
      </c>
      <c r="KB111" s="52">
        <v>10.194929999999999</v>
      </c>
      <c r="KC111" s="52">
        <v>10.194929999999999</v>
      </c>
      <c r="KD111" s="52">
        <v>10.194929999999999</v>
      </c>
      <c r="KE111" s="52">
        <v>10.194929999999999</v>
      </c>
      <c r="KF111" s="52">
        <v>10.194929999999999</v>
      </c>
      <c r="KG111" s="52">
        <v>10.194929999999999</v>
      </c>
      <c r="KH111" s="52">
        <v>10.194929999999999</v>
      </c>
      <c r="KI111" s="52">
        <v>10.194929999999999</v>
      </c>
      <c r="KJ111" s="52">
        <v>10.194929999999999</v>
      </c>
      <c r="KK111" s="52">
        <v>10.194929999999999</v>
      </c>
      <c r="KL111" s="52">
        <v>10.194929999999999</v>
      </c>
      <c r="KM111" s="52">
        <v>10.194929999999999</v>
      </c>
      <c r="KN111" s="52">
        <v>10.194929999999999</v>
      </c>
      <c r="KO111" s="52">
        <v>10.194929999999999</v>
      </c>
      <c r="KP111" s="52">
        <v>10.194929999999999</v>
      </c>
      <c r="KQ111" s="52">
        <v>10.194929999999999</v>
      </c>
      <c r="KR111" s="52">
        <v>10.194929999999999</v>
      </c>
      <c r="KS111" s="52">
        <v>10.194929999999999</v>
      </c>
      <c r="KT111" s="52">
        <v>10.194929999999999</v>
      </c>
      <c r="KU111" s="52">
        <v>10.194929999999999</v>
      </c>
      <c r="KV111" s="52">
        <v>10.194929999999999</v>
      </c>
      <c r="KW111" s="52">
        <v>10.194929999999999</v>
      </c>
      <c r="KX111" s="52">
        <v>10.194929999999999</v>
      </c>
      <c r="KY111" s="52">
        <v>10.194929999999999</v>
      </c>
      <c r="KZ111" s="52">
        <v>10.194929999999999</v>
      </c>
      <c r="LA111" s="52">
        <v>10.194929999999999</v>
      </c>
      <c r="LB111" s="52">
        <v>10.194929999999999</v>
      </c>
      <c r="LC111" s="52">
        <v>10.194929999999999</v>
      </c>
      <c r="LD111" s="52">
        <v>10.194929999999999</v>
      </c>
      <c r="LE111" s="52">
        <v>10.194929999999999</v>
      </c>
      <c r="LF111" s="52">
        <v>10.194929999999999</v>
      </c>
      <c r="LG111" s="52">
        <v>10.194929999999999</v>
      </c>
      <c r="LH111" s="52">
        <v>10.194929999999999</v>
      </c>
      <c r="LI111" s="52">
        <v>10.194929999999999</v>
      </c>
      <c r="LJ111" s="52">
        <v>10.194929999999999</v>
      </c>
      <c r="LK111" s="52">
        <v>10.194929999999999</v>
      </c>
      <c r="LL111" s="52">
        <v>10.194929999999999</v>
      </c>
      <c r="LM111" s="52">
        <v>10.194929999999999</v>
      </c>
      <c r="LN111" s="52">
        <v>10.194929999999999</v>
      </c>
      <c r="LO111" s="52">
        <v>10.194929999999999</v>
      </c>
      <c r="LP111" s="52">
        <v>10.194929999999999</v>
      </c>
      <c r="LQ111" s="52">
        <v>10.194929999999999</v>
      </c>
      <c r="LR111" s="52">
        <v>10.194929999999999</v>
      </c>
      <c r="LS111" s="52">
        <v>10.194929999999999</v>
      </c>
      <c r="LT111" s="52">
        <v>10.194929999999999</v>
      </c>
      <c r="LU111" s="52">
        <v>10.194929999999999</v>
      </c>
      <c r="LV111" s="52">
        <v>10.194929999999999</v>
      </c>
      <c r="LW111" s="52">
        <v>10.194929999999999</v>
      </c>
      <c r="LX111" s="52">
        <v>10.194929999999999</v>
      </c>
      <c r="LY111" s="52">
        <v>10.194929999999999</v>
      </c>
      <c r="LZ111" s="52">
        <v>10.194929999999999</v>
      </c>
      <c r="MA111" s="52">
        <v>10.194929999999999</v>
      </c>
      <c r="MB111" s="52">
        <v>10.194929999999999</v>
      </c>
      <c r="MC111" s="52">
        <v>10.194929999999999</v>
      </c>
      <c r="MD111" s="52">
        <v>10.194929999999999</v>
      </c>
      <c r="ME111" s="52">
        <v>10.194929999999999</v>
      </c>
      <c r="MF111" s="52">
        <v>10.194929999999999</v>
      </c>
      <c r="MG111" s="52">
        <v>10.194929999999999</v>
      </c>
      <c r="MH111" s="52">
        <v>10.194929999999999</v>
      </c>
      <c r="MI111" s="52">
        <v>10.194929999999999</v>
      </c>
      <c r="MJ111" s="52">
        <v>10.194929999999999</v>
      </c>
      <c r="MK111" s="52">
        <v>10.194929999999999</v>
      </c>
      <c r="ML111" s="52">
        <v>10.194929999999999</v>
      </c>
      <c r="MM111" s="52">
        <v>10.194929999999999</v>
      </c>
      <c r="MN111" s="52">
        <v>10.194929999999999</v>
      </c>
      <c r="MO111" s="52">
        <v>10.194929999999999</v>
      </c>
      <c r="MP111" s="52">
        <v>10.194929999999999</v>
      </c>
      <c r="MQ111" s="52">
        <v>10.194929999999999</v>
      </c>
      <c r="MR111" s="52">
        <v>10.194929999999999</v>
      </c>
      <c r="MS111" s="52">
        <v>10.194929999999999</v>
      </c>
      <c r="MT111" s="52">
        <v>10.194929999999999</v>
      </c>
      <c r="MU111" s="52">
        <v>10.194929999999999</v>
      </c>
      <c r="MV111" s="52">
        <v>10.194929999999999</v>
      </c>
      <c r="MW111" s="52">
        <v>10.194929999999999</v>
      </c>
      <c r="MX111" s="52">
        <v>10.194929999999999</v>
      </c>
      <c r="MY111" s="52">
        <v>10.194929999999999</v>
      </c>
      <c r="MZ111" s="52">
        <v>10.194929999999999</v>
      </c>
      <c r="NA111" s="52">
        <v>10.194929999999999</v>
      </c>
      <c r="NB111" s="52">
        <v>10.194929999999999</v>
      </c>
      <c r="NC111" s="52">
        <v>10.194929999999999</v>
      </c>
      <c r="ND111" s="52">
        <v>10.194929999999999</v>
      </c>
      <c r="NE111" s="52">
        <v>10.194929999999999</v>
      </c>
      <c r="NF111" s="52">
        <v>10.194929999999999</v>
      </c>
      <c r="NG111" s="52">
        <v>10.194929999999999</v>
      </c>
      <c r="NH111" s="52">
        <v>10.194929999999999</v>
      </c>
      <c r="NI111" s="37">
        <v>10.194929999999999</v>
      </c>
      <c r="NJ111" s="37">
        <v>10.194929999999999</v>
      </c>
      <c r="NK111" s="37">
        <v>10.194929999999999</v>
      </c>
      <c r="NL111" s="37">
        <v>10.194929999999999</v>
      </c>
      <c r="NM111" s="37">
        <v>10.194929999999999</v>
      </c>
      <c r="NN111" s="37">
        <v>10.194929999999999</v>
      </c>
      <c r="NO111" s="37">
        <v>10.194929999999999</v>
      </c>
      <c r="NP111" s="37">
        <v>10.194929999999999</v>
      </c>
      <c r="NQ111" s="37">
        <v>10.194929999999999</v>
      </c>
      <c r="NR111" s="37">
        <v>10.194929999999999</v>
      </c>
      <c r="NS111" s="37">
        <v>10.194929999999999</v>
      </c>
      <c r="NT111" s="37">
        <v>10.194929999999999</v>
      </c>
      <c r="NU111" s="37">
        <v>10.194929999999999</v>
      </c>
      <c r="NV111" s="37">
        <v>10.194929999999999</v>
      </c>
      <c r="NW111" s="37">
        <v>10.194929999999999</v>
      </c>
      <c r="NX111" s="37">
        <v>10.194929999999999</v>
      </c>
      <c r="NY111" s="37">
        <v>10.194929999999999</v>
      </c>
      <c r="NZ111" s="37">
        <v>10.194929999999999</v>
      </c>
      <c r="OA111" s="37">
        <v>10.194929999999999</v>
      </c>
      <c r="OB111" s="37">
        <v>10.194929999999999</v>
      </c>
      <c r="OC111" s="37">
        <v>10.194929999999999</v>
      </c>
      <c r="OD111" s="37">
        <v>10.194929999999999</v>
      </c>
      <c r="OE111" s="37">
        <v>10.194929999999999</v>
      </c>
      <c r="OF111" s="37">
        <v>10.194929999999999</v>
      </c>
      <c r="OG111" s="37">
        <v>10.194929999999999</v>
      </c>
      <c r="OH111" s="37">
        <v>10.194929999999999</v>
      </c>
      <c r="OI111" s="37">
        <v>10.194929999999999</v>
      </c>
      <c r="OJ111" s="37">
        <v>10.194929999999999</v>
      </c>
      <c r="OK111" s="37">
        <v>10.194929999999999</v>
      </c>
      <c r="OL111" s="37">
        <v>10.194929999999999</v>
      </c>
      <c r="OM111" s="37">
        <v>10.194929999999999</v>
      </c>
      <c r="ON111" s="37">
        <v>10.194929999999999</v>
      </c>
      <c r="OO111" s="37">
        <v>10.194929999999999</v>
      </c>
      <c r="OP111" s="37">
        <v>10.194929999999999</v>
      </c>
      <c r="OQ111" s="37">
        <v>10.194929999999999</v>
      </c>
      <c r="OR111" s="37">
        <v>10.194929999999999</v>
      </c>
      <c r="OS111" s="37">
        <v>10.194929999999999</v>
      </c>
      <c r="OT111" s="37">
        <v>10.194929999999999</v>
      </c>
      <c r="OU111" s="37">
        <v>10.194929999999999</v>
      </c>
      <c r="OV111" s="37">
        <v>10.194929999999999</v>
      </c>
      <c r="OW111" s="37">
        <v>10.194929999999999</v>
      </c>
      <c r="OX111" s="37">
        <v>10.194929999999999</v>
      </c>
      <c r="OY111" s="37">
        <v>10.194929999999999</v>
      </c>
      <c r="OZ111" s="37">
        <v>10.194929999999999</v>
      </c>
      <c r="PA111" s="37">
        <v>10.194929999999999</v>
      </c>
      <c r="PB111" s="37">
        <v>10.194929999999999</v>
      </c>
      <c r="PC111" s="37">
        <v>10.194929999999999</v>
      </c>
      <c r="PD111" s="37">
        <v>10.194929999999999</v>
      </c>
      <c r="PE111" s="37">
        <v>10.194929999999999</v>
      </c>
      <c r="PF111" s="37">
        <v>10.194929999999999</v>
      </c>
      <c r="PG111" s="37">
        <v>10.194929999999999</v>
      </c>
      <c r="PH111" s="37">
        <v>10.194929999999999</v>
      </c>
      <c r="PI111" s="37">
        <v>10.194929999999999</v>
      </c>
      <c r="PJ111" s="37">
        <v>10.194929999999999</v>
      </c>
      <c r="PK111" s="37">
        <v>10.194929999999999</v>
      </c>
      <c r="PL111" s="37">
        <v>10.194929999999999</v>
      </c>
      <c r="PM111" s="37">
        <v>10.194929999999999</v>
      </c>
      <c r="PN111" s="37">
        <v>10.194929999999999</v>
      </c>
      <c r="PO111" s="37">
        <v>10.194929999999999</v>
      </c>
      <c r="PP111" s="37">
        <v>10.194929999999999</v>
      </c>
      <c r="PQ111" s="37">
        <v>10.194929999999999</v>
      </c>
      <c r="PR111" s="37">
        <v>10.194929999999999</v>
      </c>
      <c r="PS111" s="15">
        <v>10.194929999999999</v>
      </c>
      <c r="PT111" s="15">
        <v>10.194929999999999</v>
      </c>
      <c r="PU111" s="15">
        <v>10.194929999999999</v>
      </c>
      <c r="PV111" s="15">
        <v>10.194929999999999</v>
      </c>
      <c r="PW111" s="15">
        <v>10.194929999999999</v>
      </c>
      <c r="PX111" s="15">
        <v>10.194929999999999</v>
      </c>
      <c r="PY111" s="15">
        <v>10.194929999999999</v>
      </c>
      <c r="PZ111" s="15">
        <v>10.194929999999999</v>
      </c>
      <c r="QA111" s="15">
        <v>10.194929999999999</v>
      </c>
      <c r="QB111" s="15">
        <v>10.194929999999999</v>
      </c>
      <c r="QC111" s="15">
        <v>10.194929999999999</v>
      </c>
      <c r="QD111" s="15">
        <v>10.194929999999999</v>
      </c>
      <c r="QE111" s="15">
        <v>10.194929999999999</v>
      </c>
      <c r="QF111" s="15">
        <v>10.194929999999999</v>
      </c>
      <c r="QG111" s="15">
        <v>10.194929999999999</v>
      </c>
      <c r="QH111" s="15">
        <v>10.57729</v>
      </c>
    </row>
    <row r="112" spans="1:510" x14ac:dyDescent="0.2">
      <c r="A112" s="37">
        <v>110</v>
      </c>
      <c r="B112" s="37" t="s">
        <v>1020</v>
      </c>
      <c r="C112" s="17">
        <f>+'Detalle Compras'!D112</f>
        <v>20231030583</v>
      </c>
      <c r="D112" s="55">
        <f>+IF(B112="","",EA112)</f>
        <v>6.5343910000000003</v>
      </c>
      <c r="E112" s="14">
        <f>+IF(B112="","",'Detalle Compras'!S112+0)</f>
        <v>45422</v>
      </c>
      <c r="F112" s="14">
        <f>+IF(B112="","",EOMONTH('Detalle Compras'!Q112,G112)+10)</f>
        <v>7193</v>
      </c>
      <c r="G112" s="50">
        <f t="shared" si="17"/>
        <v>235</v>
      </c>
      <c r="H112" s="50">
        <f t="shared" si="18"/>
        <v>337</v>
      </c>
      <c r="I112" s="37">
        <v>0</v>
      </c>
      <c r="J112" s="37">
        <v>0</v>
      </c>
      <c r="K112" s="37">
        <v>6.5343910000000003</v>
      </c>
      <c r="L112" s="52">
        <v>6.5343910000000003</v>
      </c>
      <c r="M112" s="52">
        <v>6.5343910000000003</v>
      </c>
      <c r="N112" s="52">
        <v>6.5343910000000003</v>
      </c>
      <c r="O112" s="52">
        <v>6.5343910000000003</v>
      </c>
      <c r="P112" s="52">
        <v>6.5343910000000003</v>
      </c>
      <c r="Q112" s="52">
        <v>6.5343910000000003</v>
      </c>
      <c r="R112" s="52">
        <v>6.5343910000000003</v>
      </c>
      <c r="S112" s="52">
        <v>6.5343910000000003</v>
      </c>
      <c r="T112" s="52">
        <v>6.5343910000000003</v>
      </c>
      <c r="U112" s="52">
        <v>6.5343910000000003</v>
      </c>
      <c r="V112" s="52">
        <v>6.5343910000000003</v>
      </c>
      <c r="W112" s="52">
        <v>6.5343910000000003</v>
      </c>
      <c r="X112" s="52">
        <v>6.5343910000000003</v>
      </c>
      <c r="Y112" s="52">
        <v>6.5343910000000003</v>
      </c>
      <c r="Z112" s="52">
        <v>6.5343910000000003</v>
      </c>
      <c r="AA112" s="52">
        <v>6.5343910000000003</v>
      </c>
      <c r="AB112" s="52">
        <v>6.5343910000000003</v>
      </c>
      <c r="AC112" s="52">
        <v>6.5343910000000003</v>
      </c>
      <c r="AD112" s="52">
        <v>6.5343910000000003</v>
      </c>
      <c r="AE112" s="52">
        <v>6.5343910000000003</v>
      </c>
      <c r="AF112" s="52">
        <v>6.5343910000000003</v>
      </c>
      <c r="AG112" s="52">
        <v>6.5343910000000003</v>
      </c>
      <c r="AH112" s="52">
        <v>6.5343910000000003</v>
      </c>
      <c r="AI112" s="52">
        <v>6.5343910000000003</v>
      </c>
      <c r="AJ112" s="52">
        <v>6.5343910000000003</v>
      </c>
      <c r="AK112" s="52">
        <v>6.5343910000000003</v>
      </c>
      <c r="AL112" s="52">
        <v>6.5343910000000003</v>
      </c>
      <c r="AM112" s="52">
        <v>6.5343910000000003</v>
      </c>
      <c r="AN112" s="52">
        <v>6.5343910000000003</v>
      </c>
      <c r="AO112" s="52">
        <v>6.5343910000000003</v>
      </c>
      <c r="AP112" s="52">
        <v>6.5343910000000003</v>
      </c>
      <c r="AQ112" s="52">
        <v>6.5343910000000003</v>
      </c>
      <c r="AR112" s="52">
        <v>6.5343910000000003</v>
      </c>
      <c r="AS112" s="52">
        <v>6.5343910000000003</v>
      </c>
      <c r="AT112" s="52">
        <v>6.5343910000000003</v>
      </c>
      <c r="AU112" s="52">
        <v>6.5343910000000003</v>
      </c>
      <c r="AV112" s="52">
        <v>6.5343910000000003</v>
      </c>
      <c r="AW112" s="52">
        <v>6.5343910000000003</v>
      </c>
      <c r="AX112" s="52">
        <v>6.5343910000000003</v>
      </c>
      <c r="AY112" s="52">
        <v>6.5343910000000003</v>
      </c>
      <c r="AZ112" s="52">
        <v>6.5343910000000003</v>
      </c>
      <c r="BA112" s="52">
        <v>6.5343910000000003</v>
      </c>
      <c r="BB112" s="52">
        <v>6.5343910000000003</v>
      </c>
      <c r="BC112" s="52">
        <v>6.5343910000000003</v>
      </c>
      <c r="BD112" s="52">
        <v>6.5343910000000003</v>
      </c>
      <c r="BE112" s="52">
        <v>6.5343910000000003</v>
      </c>
      <c r="BF112" s="52">
        <v>6.5343910000000003</v>
      </c>
      <c r="BG112" s="52">
        <v>6.5343910000000003</v>
      </c>
      <c r="BH112" s="52">
        <v>6.5343910000000003</v>
      </c>
      <c r="BI112" s="52">
        <v>6.5343910000000003</v>
      </c>
      <c r="BJ112" s="52">
        <v>6.5343910000000003</v>
      </c>
      <c r="BK112" s="52">
        <v>6.5343910000000003</v>
      </c>
      <c r="BL112" s="52">
        <v>6.5343910000000003</v>
      </c>
      <c r="BM112" s="52">
        <v>6.5343910000000003</v>
      </c>
      <c r="BN112" s="52">
        <v>6.5343910000000003</v>
      </c>
      <c r="BO112" s="52">
        <v>6.5343910000000003</v>
      </c>
      <c r="BP112" s="52">
        <v>6.5343910000000003</v>
      </c>
      <c r="BQ112" s="52">
        <v>6.5343910000000003</v>
      </c>
      <c r="BR112" s="52">
        <v>6.5343910000000003</v>
      </c>
      <c r="BS112" s="52">
        <v>6.5343910000000003</v>
      </c>
      <c r="BT112" s="52">
        <v>6.5343910000000003</v>
      </c>
      <c r="BU112" s="52">
        <v>6.5343910000000003</v>
      </c>
      <c r="BV112" s="52">
        <v>6.5343910000000003</v>
      </c>
      <c r="BW112" s="52">
        <v>6.5343910000000003</v>
      </c>
      <c r="BX112" s="52">
        <v>6.5343910000000003</v>
      </c>
      <c r="BY112" s="52">
        <v>6.5343910000000003</v>
      </c>
      <c r="BZ112" s="52">
        <v>6.5343910000000003</v>
      </c>
      <c r="CA112" s="52">
        <v>6.5343910000000003</v>
      </c>
      <c r="CB112" s="52">
        <v>6.5343910000000003</v>
      </c>
      <c r="CC112" s="52">
        <v>6.5343910000000003</v>
      </c>
      <c r="CD112" s="52">
        <v>6.5343910000000003</v>
      </c>
      <c r="CE112" s="52">
        <v>6.5343910000000003</v>
      </c>
      <c r="CF112" s="52">
        <v>6.5343910000000003</v>
      </c>
      <c r="CG112" s="52">
        <v>6.5343910000000003</v>
      </c>
      <c r="CH112" s="52">
        <v>6.5343910000000003</v>
      </c>
      <c r="CI112" s="52">
        <v>6.5343910000000003</v>
      </c>
      <c r="CJ112" s="52">
        <v>6.5343910000000003</v>
      </c>
      <c r="CK112" s="52">
        <v>6.5343910000000003</v>
      </c>
      <c r="CL112" s="52">
        <v>6.5343910000000003</v>
      </c>
      <c r="CM112" s="52">
        <v>6.5343910000000003</v>
      </c>
      <c r="CN112" s="52">
        <v>6.5343910000000003</v>
      </c>
      <c r="CO112" s="52">
        <v>6.5343910000000003</v>
      </c>
      <c r="CP112" s="52">
        <v>6.5343910000000003</v>
      </c>
      <c r="CQ112" s="52">
        <v>6.5343910000000003</v>
      </c>
      <c r="CR112" s="52">
        <v>6.5343910000000003</v>
      </c>
      <c r="CS112" s="52">
        <v>6.5343910000000003</v>
      </c>
      <c r="CT112" s="52">
        <v>6.5343910000000003</v>
      </c>
      <c r="CU112" s="52">
        <v>6.5343910000000003</v>
      </c>
      <c r="CV112" s="52">
        <v>6.5343910000000003</v>
      </c>
      <c r="CW112" s="52">
        <v>6.5343910000000003</v>
      </c>
      <c r="CX112" s="52">
        <v>6.5343910000000003</v>
      </c>
      <c r="CY112" s="52">
        <v>6.5343910000000003</v>
      </c>
      <c r="CZ112" s="52">
        <v>6.5343910000000003</v>
      </c>
      <c r="DA112" s="52">
        <v>6.5343910000000003</v>
      </c>
      <c r="DB112" s="52">
        <v>6.5343910000000003</v>
      </c>
      <c r="DC112" s="52">
        <v>6.5343910000000003</v>
      </c>
      <c r="DD112" s="52">
        <v>6.5343910000000003</v>
      </c>
      <c r="DE112" s="52">
        <v>6.5343910000000003</v>
      </c>
      <c r="DF112" s="52">
        <v>6.5343910000000003</v>
      </c>
      <c r="DG112" s="52">
        <v>6.5343910000000003</v>
      </c>
      <c r="DH112" s="52">
        <v>6.5343910000000003</v>
      </c>
      <c r="DI112" s="52">
        <v>6.5343910000000003</v>
      </c>
      <c r="DJ112" s="52">
        <v>6.5343910000000003</v>
      </c>
      <c r="DK112" s="52">
        <v>6.5343910000000003</v>
      </c>
      <c r="DL112" s="52">
        <v>6.5343910000000003</v>
      </c>
      <c r="DM112" s="52">
        <v>6.5343910000000003</v>
      </c>
      <c r="DN112" s="52">
        <v>6.5343910000000003</v>
      </c>
      <c r="DO112" s="52">
        <v>6.5343910000000003</v>
      </c>
      <c r="DP112" s="52">
        <v>6.5343910000000003</v>
      </c>
      <c r="DQ112" s="52">
        <v>6.5343910000000003</v>
      </c>
      <c r="DR112" s="52">
        <v>6.5343910000000003</v>
      </c>
      <c r="DS112" s="52">
        <v>6.5343910000000003</v>
      </c>
      <c r="DT112" s="52">
        <v>6.5343910000000003</v>
      </c>
      <c r="DU112" s="52">
        <v>6.5343910000000003</v>
      </c>
      <c r="DV112" s="52">
        <v>6.5343910000000003</v>
      </c>
      <c r="DW112" s="52">
        <v>6.5343910000000003</v>
      </c>
      <c r="DX112" s="52">
        <v>6.5343910000000003</v>
      </c>
      <c r="DY112" s="52">
        <v>6.5343910000000003</v>
      </c>
      <c r="DZ112" s="52">
        <v>6.5343910000000003</v>
      </c>
      <c r="EA112" s="52">
        <v>6.5343910000000003</v>
      </c>
      <c r="EB112" s="52">
        <v>6.5343910000000003</v>
      </c>
      <c r="EC112" s="52">
        <v>6.5343910000000003</v>
      </c>
      <c r="ED112" s="52">
        <v>6.5343910000000003</v>
      </c>
      <c r="EE112" s="52">
        <v>6.5343910000000003</v>
      </c>
      <c r="EF112" s="52">
        <v>6.5343910000000003</v>
      </c>
      <c r="EG112" s="52">
        <v>6.5343910000000003</v>
      </c>
      <c r="EH112" s="52">
        <v>6.5343910000000003</v>
      </c>
      <c r="EI112" s="52">
        <v>6.5343910000000003</v>
      </c>
      <c r="EJ112" s="52">
        <v>6.5343910000000003</v>
      </c>
      <c r="EK112" s="52">
        <v>6.5343910000000003</v>
      </c>
      <c r="EL112" s="52">
        <v>6.5343910000000003</v>
      </c>
      <c r="EM112" s="52">
        <v>6.5343910000000003</v>
      </c>
      <c r="EN112" s="52">
        <v>6.5343910000000003</v>
      </c>
      <c r="EO112" s="52">
        <v>6.5343910000000003</v>
      </c>
      <c r="EP112" s="52">
        <v>6.5343910000000003</v>
      </c>
      <c r="EQ112" s="52">
        <v>6.5343910000000003</v>
      </c>
      <c r="ER112" s="52">
        <v>6.5343910000000003</v>
      </c>
      <c r="ES112" s="52">
        <v>6.5343910000000003</v>
      </c>
      <c r="ET112" s="52">
        <v>6.5343910000000003</v>
      </c>
      <c r="EU112" s="52">
        <v>6.5343910000000003</v>
      </c>
      <c r="EV112" s="52">
        <v>6.5343910000000003</v>
      </c>
      <c r="EW112" s="52">
        <v>6.5343910000000003</v>
      </c>
      <c r="EX112" s="52">
        <v>6.5343910000000003</v>
      </c>
      <c r="EY112" s="52">
        <v>6.5343910000000003</v>
      </c>
      <c r="EZ112" s="52">
        <v>6.5343910000000003</v>
      </c>
      <c r="FA112" s="52">
        <v>6.5343910000000003</v>
      </c>
      <c r="FB112" s="52">
        <v>6.5343910000000003</v>
      </c>
      <c r="FC112" s="52">
        <v>6.5343910000000003</v>
      </c>
      <c r="FD112" s="52">
        <v>6.5343910000000003</v>
      </c>
      <c r="FE112" s="52">
        <v>6.5343910000000003</v>
      </c>
      <c r="FF112" s="52">
        <v>6.5343910000000003</v>
      </c>
      <c r="FG112" s="52">
        <v>6.5343910000000003</v>
      </c>
      <c r="FH112" s="52">
        <v>6.5343910000000003</v>
      </c>
      <c r="FI112" s="52">
        <v>6.5343910000000003</v>
      </c>
      <c r="FJ112" s="52">
        <v>6.5343910000000003</v>
      </c>
      <c r="FK112" s="52">
        <v>6.5343910000000003</v>
      </c>
      <c r="FL112" s="52">
        <v>6.5343910000000003</v>
      </c>
      <c r="FM112" s="52">
        <v>6.5343910000000003</v>
      </c>
      <c r="FN112" s="52">
        <v>6.5343910000000003</v>
      </c>
      <c r="FO112" s="52">
        <v>6.5343910000000003</v>
      </c>
      <c r="FP112" s="52">
        <v>6.5343910000000003</v>
      </c>
      <c r="FQ112" s="52">
        <v>6.5343910000000003</v>
      </c>
      <c r="FR112" s="52">
        <v>6.5343910000000003</v>
      </c>
      <c r="FS112" s="52">
        <v>6.5343910000000003</v>
      </c>
      <c r="FT112" s="52">
        <v>6.5343910000000003</v>
      </c>
      <c r="FU112" s="52">
        <v>6.5343910000000003</v>
      </c>
      <c r="FV112" s="52">
        <v>6.5343910000000003</v>
      </c>
      <c r="FW112" s="52">
        <v>6.5343910000000003</v>
      </c>
      <c r="FX112" s="52">
        <v>6.5343910000000003</v>
      </c>
      <c r="FY112" s="52">
        <v>6.5343910000000003</v>
      </c>
      <c r="FZ112" s="52">
        <v>6.5343910000000003</v>
      </c>
      <c r="GA112" s="52">
        <v>6.5343910000000003</v>
      </c>
      <c r="GB112" s="52">
        <v>6.5343910000000003</v>
      </c>
      <c r="GC112" s="52">
        <v>6.5343910000000003</v>
      </c>
      <c r="GD112" s="52">
        <v>6.5343910000000003</v>
      </c>
      <c r="GE112" s="52">
        <v>6.5343910000000003</v>
      </c>
      <c r="GF112" s="52">
        <v>6.5343910000000003</v>
      </c>
      <c r="GG112" s="52">
        <v>6.5343910000000003</v>
      </c>
      <c r="GH112" s="52">
        <v>6.5343910000000003</v>
      </c>
      <c r="GI112" s="52">
        <v>6.5343910000000003</v>
      </c>
      <c r="GJ112" s="52">
        <v>6.5343910000000003</v>
      </c>
      <c r="GK112" s="52">
        <v>6.5343910000000003</v>
      </c>
      <c r="GL112" s="52">
        <v>6.5343910000000003</v>
      </c>
      <c r="GM112" s="52">
        <v>6.5343910000000003</v>
      </c>
      <c r="GN112" s="52">
        <v>6.5343910000000003</v>
      </c>
      <c r="GO112" s="52">
        <v>6.5343910000000003</v>
      </c>
      <c r="GP112" s="52">
        <v>6.5343910000000003</v>
      </c>
      <c r="GQ112" s="52">
        <v>6.5343910000000003</v>
      </c>
      <c r="GR112" s="52">
        <v>6.5343910000000003</v>
      </c>
      <c r="GS112" s="52">
        <v>6.5343910000000003</v>
      </c>
      <c r="GT112" s="52">
        <v>6.5343910000000003</v>
      </c>
      <c r="GU112" s="52">
        <v>6.5343910000000003</v>
      </c>
      <c r="GV112" s="52">
        <v>6.5343910000000003</v>
      </c>
      <c r="GW112" s="52">
        <v>6.5343910000000003</v>
      </c>
      <c r="GX112" s="52">
        <v>6.5343910000000003</v>
      </c>
      <c r="GY112" s="52">
        <v>6.5343910000000003</v>
      </c>
      <c r="GZ112" s="52">
        <v>6.5343910000000003</v>
      </c>
      <c r="HA112" s="52">
        <v>6.5343910000000003</v>
      </c>
      <c r="HB112" s="52">
        <v>6.5343910000000003</v>
      </c>
      <c r="HC112" s="52">
        <v>6.5343910000000003</v>
      </c>
      <c r="HD112" s="52">
        <v>6.5343910000000003</v>
      </c>
      <c r="HE112" s="52">
        <v>6.5343910000000003</v>
      </c>
      <c r="HF112" s="52">
        <v>6.5343910000000003</v>
      </c>
      <c r="HG112" s="52">
        <v>6.5343910000000003</v>
      </c>
      <c r="HH112" s="52">
        <v>6.5343910000000003</v>
      </c>
      <c r="HI112" s="52">
        <v>6.5343910000000003</v>
      </c>
      <c r="HJ112" s="52">
        <v>6.5343910000000003</v>
      </c>
      <c r="HK112" s="52">
        <v>6.5343910000000003</v>
      </c>
      <c r="HL112" s="52">
        <v>6.5343910000000003</v>
      </c>
      <c r="HM112" s="52">
        <v>6.5343910000000003</v>
      </c>
      <c r="HN112" s="52">
        <v>6.5343910000000003</v>
      </c>
      <c r="HO112" s="52">
        <v>6.5343910000000003</v>
      </c>
      <c r="HP112" s="52">
        <v>6.5343910000000003</v>
      </c>
      <c r="HQ112" s="52">
        <v>6.5343910000000003</v>
      </c>
      <c r="HR112" s="52">
        <v>6.5343910000000003</v>
      </c>
      <c r="HS112" s="52">
        <v>6.5343910000000003</v>
      </c>
      <c r="HT112" s="52">
        <v>6.5343910000000003</v>
      </c>
      <c r="HU112" s="52">
        <v>6.5343910000000003</v>
      </c>
      <c r="HV112" s="52">
        <v>6.5343910000000003</v>
      </c>
      <c r="HW112" s="52">
        <v>6.5343910000000003</v>
      </c>
      <c r="HX112" s="52">
        <v>6.5343910000000003</v>
      </c>
      <c r="HY112" s="52">
        <v>6.5343910000000003</v>
      </c>
      <c r="HZ112" s="52">
        <v>6.5343910000000003</v>
      </c>
      <c r="IA112" s="52">
        <v>6.5343910000000003</v>
      </c>
      <c r="IB112" s="52">
        <v>6.5343910000000003</v>
      </c>
      <c r="IC112" s="52">
        <v>6.5343910000000003</v>
      </c>
      <c r="ID112" s="52">
        <v>6.5343910000000003</v>
      </c>
      <c r="IE112" s="52">
        <v>6.5343910000000003</v>
      </c>
      <c r="IF112" s="52">
        <v>6.5343910000000003</v>
      </c>
      <c r="IG112" s="52">
        <v>6.5343910000000003</v>
      </c>
      <c r="IH112" s="52">
        <v>6.5343910000000003</v>
      </c>
      <c r="II112" s="52">
        <v>6.5343910000000003</v>
      </c>
      <c r="IJ112" s="52">
        <v>6.5343910000000003</v>
      </c>
      <c r="IK112" s="52">
        <v>6.346813</v>
      </c>
      <c r="IL112" s="52">
        <v>0</v>
      </c>
      <c r="IM112" s="52">
        <v>0</v>
      </c>
      <c r="IN112" s="52">
        <v>0</v>
      </c>
      <c r="IO112" s="52">
        <v>0</v>
      </c>
      <c r="IP112" s="52">
        <v>0</v>
      </c>
      <c r="IQ112" s="52">
        <v>0</v>
      </c>
      <c r="IR112" s="52">
        <v>0</v>
      </c>
      <c r="IS112" s="52">
        <v>0</v>
      </c>
      <c r="IT112" s="52">
        <v>0</v>
      </c>
      <c r="IU112" s="52">
        <v>0</v>
      </c>
      <c r="IV112" s="52">
        <v>0</v>
      </c>
      <c r="IW112" s="52">
        <v>0</v>
      </c>
      <c r="IX112" s="52">
        <v>0</v>
      </c>
      <c r="IY112" s="52">
        <v>0</v>
      </c>
      <c r="IZ112" s="52">
        <v>0</v>
      </c>
      <c r="JA112" s="52">
        <v>0</v>
      </c>
      <c r="JB112" s="52">
        <v>0</v>
      </c>
      <c r="JC112" s="52">
        <v>0</v>
      </c>
      <c r="JD112" s="52">
        <v>0</v>
      </c>
      <c r="JE112" s="52">
        <v>0</v>
      </c>
      <c r="JF112" s="52">
        <v>0</v>
      </c>
      <c r="JG112" s="52">
        <v>0</v>
      </c>
      <c r="JH112" s="52">
        <v>0</v>
      </c>
      <c r="JI112" s="52">
        <v>0</v>
      </c>
      <c r="JJ112" s="52">
        <v>0</v>
      </c>
      <c r="JK112" s="52">
        <v>0</v>
      </c>
      <c r="JL112" s="52">
        <v>0</v>
      </c>
      <c r="JM112" s="52">
        <v>0</v>
      </c>
      <c r="JN112" s="52">
        <v>0</v>
      </c>
      <c r="JO112" s="52">
        <v>0</v>
      </c>
      <c r="JP112" s="52">
        <v>0</v>
      </c>
      <c r="JQ112" s="52">
        <v>0</v>
      </c>
      <c r="JR112" s="52">
        <v>0</v>
      </c>
      <c r="JS112" s="52">
        <v>0</v>
      </c>
      <c r="JT112" s="52">
        <v>0</v>
      </c>
      <c r="JU112" s="52">
        <v>0</v>
      </c>
      <c r="JV112" s="52">
        <v>0</v>
      </c>
      <c r="JW112" s="52">
        <v>0</v>
      </c>
      <c r="JX112" s="52">
        <v>0</v>
      </c>
      <c r="JY112" s="52">
        <v>0</v>
      </c>
      <c r="JZ112" s="52">
        <v>0</v>
      </c>
      <c r="KA112" s="52">
        <v>0</v>
      </c>
      <c r="KB112" s="52">
        <v>0</v>
      </c>
      <c r="KC112" s="52">
        <v>0</v>
      </c>
      <c r="KD112" s="52">
        <v>0</v>
      </c>
      <c r="KE112" s="52">
        <v>0</v>
      </c>
      <c r="KF112" s="52">
        <v>0</v>
      </c>
      <c r="KG112" s="52">
        <v>0</v>
      </c>
      <c r="KH112" s="52">
        <v>0</v>
      </c>
      <c r="KI112" s="52">
        <v>0</v>
      </c>
      <c r="KJ112" s="52">
        <v>0</v>
      </c>
      <c r="KK112" s="52">
        <v>0</v>
      </c>
      <c r="KL112" s="52">
        <v>0</v>
      </c>
      <c r="KM112" s="52">
        <v>0</v>
      </c>
      <c r="KN112" s="52">
        <v>0</v>
      </c>
      <c r="KO112" s="52">
        <v>0</v>
      </c>
      <c r="KP112" s="52">
        <v>0</v>
      </c>
      <c r="KQ112" s="52">
        <v>0</v>
      </c>
      <c r="KR112" s="52">
        <v>0</v>
      </c>
      <c r="KS112" s="52">
        <v>0</v>
      </c>
      <c r="KT112" s="52">
        <v>0</v>
      </c>
      <c r="KU112" s="52">
        <v>0</v>
      </c>
      <c r="KV112" s="52">
        <v>0</v>
      </c>
      <c r="KW112" s="52">
        <v>0</v>
      </c>
      <c r="KX112" s="52">
        <v>0</v>
      </c>
      <c r="KY112" s="52">
        <v>0</v>
      </c>
      <c r="KZ112" s="52">
        <v>0</v>
      </c>
      <c r="LA112" s="52">
        <v>0</v>
      </c>
      <c r="LB112" s="52">
        <v>0</v>
      </c>
      <c r="LC112" s="52">
        <v>0</v>
      </c>
      <c r="LD112" s="52">
        <v>0</v>
      </c>
      <c r="LE112" s="52">
        <v>0</v>
      </c>
      <c r="LF112" s="52">
        <v>0</v>
      </c>
      <c r="LG112" s="52">
        <v>0</v>
      </c>
      <c r="LH112" s="52">
        <v>0</v>
      </c>
      <c r="LI112" s="52">
        <v>0</v>
      </c>
      <c r="LJ112" s="52">
        <v>0</v>
      </c>
      <c r="LK112" s="52">
        <v>0</v>
      </c>
      <c r="LL112" s="52">
        <v>0</v>
      </c>
      <c r="LM112" s="52">
        <v>0</v>
      </c>
      <c r="LN112" s="52">
        <v>0</v>
      </c>
      <c r="LO112" s="52">
        <v>0</v>
      </c>
      <c r="LP112" s="52">
        <v>0</v>
      </c>
      <c r="LQ112" s="52">
        <v>0</v>
      </c>
      <c r="LR112" s="52">
        <v>0</v>
      </c>
      <c r="LS112" s="52">
        <v>0</v>
      </c>
      <c r="LT112" s="52">
        <v>0</v>
      </c>
      <c r="LU112" s="52">
        <v>0</v>
      </c>
      <c r="LV112" s="52">
        <v>0</v>
      </c>
      <c r="LW112" s="52">
        <v>0</v>
      </c>
      <c r="LX112" s="52">
        <v>0</v>
      </c>
      <c r="LY112" s="52">
        <v>0</v>
      </c>
      <c r="LZ112" s="52">
        <v>0</v>
      </c>
      <c r="MA112" s="52">
        <v>0</v>
      </c>
      <c r="MB112" s="52">
        <v>0</v>
      </c>
      <c r="MC112" s="52">
        <v>0</v>
      </c>
      <c r="MD112" s="52">
        <v>0</v>
      </c>
      <c r="ME112" s="52">
        <v>0</v>
      </c>
      <c r="MF112" s="52">
        <v>0</v>
      </c>
      <c r="MG112" s="52">
        <v>0</v>
      </c>
      <c r="MH112" s="52">
        <v>0</v>
      </c>
      <c r="MI112" s="52">
        <v>0</v>
      </c>
      <c r="MJ112" s="52">
        <v>0</v>
      </c>
      <c r="MK112" s="52">
        <v>0</v>
      </c>
      <c r="ML112" s="52">
        <v>0</v>
      </c>
      <c r="MM112" s="52">
        <v>0</v>
      </c>
      <c r="MN112" s="52">
        <v>0</v>
      </c>
      <c r="MO112" s="52">
        <v>0</v>
      </c>
      <c r="MP112" s="52">
        <v>0</v>
      </c>
      <c r="MQ112" s="52">
        <v>0</v>
      </c>
      <c r="MR112" s="52">
        <v>0</v>
      </c>
      <c r="MS112" s="52">
        <v>0</v>
      </c>
      <c r="MT112" s="52">
        <v>0</v>
      </c>
      <c r="MU112" s="52">
        <v>0</v>
      </c>
      <c r="MV112" s="52">
        <v>0</v>
      </c>
      <c r="MW112" s="52">
        <v>0</v>
      </c>
      <c r="MX112" s="52">
        <v>0</v>
      </c>
      <c r="MY112" s="52">
        <v>0</v>
      </c>
      <c r="MZ112" s="52">
        <v>0</v>
      </c>
      <c r="NA112" s="52">
        <v>0</v>
      </c>
      <c r="NB112" s="52">
        <v>0</v>
      </c>
      <c r="NC112" s="52">
        <v>0</v>
      </c>
      <c r="ND112" s="52">
        <v>0</v>
      </c>
      <c r="NE112" s="52"/>
      <c r="NF112" s="52"/>
      <c r="NG112" s="52"/>
      <c r="NH112" s="52"/>
    </row>
    <row r="113" spans="1:372" x14ac:dyDescent="0.2">
      <c r="A113" s="37">
        <v>111</v>
      </c>
      <c r="B113" s="37" t="s">
        <v>1025</v>
      </c>
      <c r="C113" s="17">
        <f>+'Detalle Compras'!D113</f>
        <v>20231213669</v>
      </c>
      <c r="D113" s="55">
        <f t="shared" si="16"/>
        <v>11.858879999999999</v>
      </c>
      <c r="E113" s="14">
        <f>+IF(B113="","",'Detalle Compras'!S113+0)</f>
        <v>45483</v>
      </c>
      <c r="F113" s="14">
        <f>+IF(B113="","",EOMONTH('Detalle Compras'!Q113,G113)+10)</f>
        <v>10846</v>
      </c>
      <c r="G113" s="50">
        <f t="shared" si="17"/>
        <v>355</v>
      </c>
      <c r="H113" s="50">
        <f t="shared" si="18"/>
        <v>337</v>
      </c>
      <c r="I113" s="37">
        <v>0</v>
      </c>
      <c r="J113" s="37">
        <v>0</v>
      </c>
      <c r="K113" s="37">
        <v>0</v>
      </c>
      <c r="L113" s="52">
        <v>0</v>
      </c>
      <c r="M113" s="52">
        <v>11.858879999999999</v>
      </c>
      <c r="N113" s="52">
        <v>11.858879999999999</v>
      </c>
      <c r="O113" s="52">
        <v>11.858879999999999</v>
      </c>
      <c r="P113" s="52">
        <v>11.858879999999999</v>
      </c>
      <c r="Q113" s="52">
        <v>11.858879999999999</v>
      </c>
      <c r="R113" s="52">
        <v>11.858879999999999</v>
      </c>
      <c r="S113" s="52">
        <v>11.858879999999999</v>
      </c>
      <c r="T113" s="52">
        <v>11.858879999999999</v>
      </c>
      <c r="U113" s="52">
        <v>11.858879999999999</v>
      </c>
      <c r="V113" s="52">
        <v>11.858879999999999</v>
      </c>
      <c r="W113" s="52">
        <v>11.858879999999999</v>
      </c>
      <c r="X113" s="52">
        <v>11.858879999999999</v>
      </c>
      <c r="Y113" s="52">
        <v>11.858879999999999</v>
      </c>
      <c r="Z113" s="52">
        <v>11.858879999999999</v>
      </c>
      <c r="AA113" s="52">
        <v>11.858879999999999</v>
      </c>
      <c r="AB113" s="52">
        <v>11.858879999999999</v>
      </c>
      <c r="AC113" s="52">
        <v>11.858879999999999</v>
      </c>
      <c r="AD113" s="52">
        <v>11.858879999999999</v>
      </c>
      <c r="AE113" s="52">
        <v>11.858879999999999</v>
      </c>
      <c r="AF113" s="52">
        <v>11.858879999999999</v>
      </c>
      <c r="AG113" s="52">
        <v>11.858879999999999</v>
      </c>
      <c r="AH113" s="52">
        <v>11.858879999999999</v>
      </c>
      <c r="AI113" s="52">
        <v>11.858879999999999</v>
      </c>
      <c r="AJ113" s="52">
        <v>11.858879999999999</v>
      </c>
      <c r="AK113" s="52">
        <v>11.858879999999999</v>
      </c>
      <c r="AL113" s="52">
        <v>11.858879999999999</v>
      </c>
      <c r="AM113" s="52">
        <v>11.858879999999999</v>
      </c>
      <c r="AN113" s="52">
        <v>11.858879999999999</v>
      </c>
      <c r="AO113" s="52">
        <v>11.858879999999999</v>
      </c>
      <c r="AP113" s="52">
        <v>11.858879999999999</v>
      </c>
      <c r="AQ113" s="52">
        <v>11.858879999999999</v>
      </c>
      <c r="AR113" s="52">
        <v>11.858879999999999</v>
      </c>
      <c r="AS113" s="52">
        <v>11.858879999999999</v>
      </c>
      <c r="AT113" s="52">
        <v>11.858879999999999</v>
      </c>
      <c r="AU113" s="52">
        <v>11.858879999999999</v>
      </c>
      <c r="AV113" s="52">
        <v>11.858879999999999</v>
      </c>
      <c r="AW113" s="52">
        <v>11.858879999999999</v>
      </c>
      <c r="AX113" s="52">
        <v>11.858879999999999</v>
      </c>
      <c r="AY113" s="52">
        <v>11.858879999999999</v>
      </c>
      <c r="AZ113" s="52">
        <v>11.858879999999999</v>
      </c>
      <c r="BA113" s="52">
        <v>11.858879999999999</v>
      </c>
      <c r="BB113" s="52">
        <v>11.858879999999999</v>
      </c>
      <c r="BC113" s="52">
        <v>11.858879999999999</v>
      </c>
      <c r="BD113" s="52">
        <v>11.858879999999999</v>
      </c>
      <c r="BE113" s="52">
        <v>11.858879999999999</v>
      </c>
      <c r="BF113" s="52">
        <v>11.858879999999999</v>
      </c>
      <c r="BG113" s="52">
        <v>11.858879999999999</v>
      </c>
      <c r="BH113" s="52">
        <v>11.858879999999999</v>
      </c>
      <c r="BI113" s="52">
        <v>11.858879999999999</v>
      </c>
      <c r="BJ113" s="52">
        <v>11.858879999999999</v>
      </c>
      <c r="BK113" s="52">
        <v>11.858879999999999</v>
      </c>
      <c r="BL113" s="52">
        <v>11.858879999999999</v>
      </c>
      <c r="BM113" s="52">
        <v>11.858879999999999</v>
      </c>
      <c r="BN113" s="52">
        <v>11.858879999999999</v>
      </c>
      <c r="BO113" s="52">
        <v>11.858879999999999</v>
      </c>
      <c r="BP113" s="52">
        <v>11.858879999999999</v>
      </c>
      <c r="BQ113" s="52">
        <v>11.858879999999999</v>
      </c>
      <c r="BR113" s="52">
        <v>11.858879999999999</v>
      </c>
      <c r="BS113" s="52">
        <v>11.858879999999999</v>
      </c>
      <c r="BT113" s="52">
        <v>11.858879999999999</v>
      </c>
      <c r="BU113" s="52">
        <v>11.858879999999999</v>
      </c>
      <c r="BV113" s="52">
        <v>11.858879999999999</v>
      </c>
      <c r="BW113" s="52">
        <v>11.858879999999999</v>
      </c>
      <c r="BX113" s="52">
        <v>11.858879999999999</v>
      </c>
      <c r="BY113" s="52">
        <v>11.858879999999999</v>
      </c>
      <c r="BZ113" s="52">
        <v>11.858879999999999</v>
      </c>
      <c r="CA113" s="52">
        <v>11.858879999999999</v>
      </c>
      <c r="CB113" s="52">
        <v>11.858879999999999</v>
      </c>
      <c r="CC113" s="52">
        <v>11.858879999999999</v>
      </c>
      <c r="CD113" s="52">
        <v>11.858879999999999</v>
      </c>
      <c r="CE113" s="52">
        <v>11.858879999999999</v>
      </c>
      <c r="CF113" s="52">
        <v>11.858879999999999</v>
      </c>
      <c r="CG113" s="52">
        <v>11.858879999999999</v>
      </c>
      <c r="CH113" s="52">
        <v>11.858879999999999</v>
      </c>
      <c r="CI113" s="52">
        <v>11.858879999999999</v>
      </c>
      <c r="CJ113" s="52">
        <v>11.858879999999999</v>
      </c>
      <c r="CK113" s="52">
        <v>11.858879999999999</v>
      </c>
      <c r="CL113" s="52">
        <v>11.858879999999999</v>
      </c>
      <c r="CM113" s="52">
        <v>11.858879999999999</v>
      </c>
      <c r="CN113" s="52">
        <v>11.858879999999999</v>
      </c>
      <c r="CO113" s="52">
        <v>11.858879999999999</v>
      </c>
      <c r="CP113" s="52">
        <v>11.858879999999999</v>
      </c>
      <c r="CQ113" s="52">
        <v>11.858879999999999</v>
      </c>
      <c r="CR113" s="52">
        <v>11.858879999999999</v>
      </c>
      <c r="CS113" s="52">
        <v>11.858879999999999</v>
      </c>
      <c r="CT113" s="52">
        <v>11.858879999999999</v>
      </c>
      <c r="CU113" s="52">
        <v>11.858879999999999</v>
      </c>
      <c r="CV113" s="52">
        <v>11.858879999999999</v>
      </c>
      <c r="CW113" s="52">
        <v>11.858879999999999</v>
      </c>
      <c r="CX113" s="52">
        <v>11.858879999999999</v>
      </c>
      <c r="CY113" s="52">
        <v>11.858879999999999</v>
      </c>
      <c r="CZ113" s="52">
        <v>11.858879999999999</v>
      </c>
      <c r="DA113" s="52">
        <v>11.858879999999999</v>
      </c>
      <c r="DB113" s="52">
        <v>11.858879999999999</v>
      </c>
      <c r="DC113" s="52">
        <v>11.858879999999999</v>
      </c>
      <c r="DD113" s="52">
        <v>11.858879999999999</v>
      </c>
      <c r="DE113" s="52">
        <v>11.858879999999999</v>
      </c>
      <c r="DF113" s="52">
        <v>11.858879999999999</v>
      </c>
      <c r="DG113" s="52">
        <v>11.858879999999999</v>
      </c>
      <c r="DH113" s="52">
        <v>11.858879999999999</v>
      </c>
      <c r="DI113" s="52">
        <v>11.858879999999999</v>
      </c>
      <c r="DJ113" s="52">
        <v>11.858879999999999</v>
      </c>
      <c r="DK113" s="52">
        <v>11.858879999999999</v>
      </c>
      <c r="DL113" s="52">
        <v>11.858879999999999</v>
      </c>
      <c r="DM113" s="52">
        <v>11.858879999999999</v>
      </c>
      <c r="DN113" s="52">
        <v>11.858879999999999</v>
      </c>
      <c r="DO113" s="52">
        <v>11.858879999999999</v>
      </c>
      <c r="DP113" s="52">
        <v>11.858879999999999</v>
      </c>
      <c r="DQ113" s="52">
        <v>11.858879999999999</v>
      </c>
      <c r="DR113" s="52">
        <v>11.858879999999999</v>
      </c>
      <c r="DS113" s="52">
        <v>11.858879999999999</v>
      </c>
      <c r="DT113" s="52">
        <v>11.858879999999999</v>
      </c>
      <c r="DU113" s="52">
        <v>11.858879999999999</v>
      </c>
      <c r="DV113" s="52">
        <v>11.858879999999999</v>
      </c>
      <c r="DW113" s="52">
        <v>11.858879999999999</v>
      </c>
      <c r="DX113" s="52">
        <v>11.858879999999999</v>
      </c>
      <c r="DY113" s="52">
        <v>11.858879999999999</v>
      </c>
      <c r="DZ113" s="52">
        <v>11.858879999999999</v>
      </c>
      <c r="EA113" s="52">
        <v>11.858879999999999</v>
      </c>
      <c r="EB113" s="52">
        <v>11.858879999999999</v>
      </c>
      <c r="EC113" s="52">
        <v>11.858879999999999</v>
      </c>
      <c r="ED113" s="52">
        <v>11.858879999999999</v>
      </c>
      <c r="EE113" s="52">
        <v>11.858879999999999</v>
      </c>
      <c r="EF113" s="52">
        <v>11.858879999999999</v>
      </c>
      <c r="EG113" s="52">
        <v>11.858879999999999</v>
      </c>
      <c r="EH113" s="52">
        <v>11.858879999999999</v>
      </c>
      <c r="EI113" s="52">
        <v>11.858879999999999</v>
      </c>
      <c r="EJ113" s="52">
        <v>11.858879999999999</v>
      </c>
      <c r="EK113" s="52">
        <v>11.858879999999999</v>
      </c>
      <c r="EL113" s="52">
        <v>11.858879999999999</v>
      </c>
      <c r="EM113" s="52">
        <v>11.858879999999999</v>
      </c>
      <c r="EN113" s="52">
        <v>11.858879999999999</v>
      </c>
      <c r="EO113" s="52">
        <v>11.858879999999999</v>
      </c>
      <c r="EP113" s="52">
        <v>11.858879999999999</v>
      </c>
      <c r="EQ113" s="52">
        <v>11.858879999999999</v>
      </c>
      <c r="ER113" s="52">
        <v>11.858879999999999</v>
      </c>
      <c r="ES113" s="52">
        <v>11.858879999999999</v>
      </c>
      <c r="ET113" s="52">
        <v>11.858879999999999</v>
      </c>
      <c r="EU113" s="52">
        <v>11.858879999999999</v>
      </c>
      <c r="EV113" s="52">
        <v>11.858879999999999</v>
      </c>
      <c r="EW113" s="52">
        <v>11.858879999999999</v>
      </c>
      <c r="EX113" s="52">
        <v>11.858879999999999</v>
      </c>
      <c r="EY113" s="52">
        <v>11.858879999999999</v>
      </c>
      <c r="EZ113" s="52">
        <v>11.858879999999999</v>
      </c>
      <c r="FA113" s="52">
        <v>11.858879999999999</v>
      </c>
      <c r="FB113" s="52">
        <v>11.858879999999999</v>
      </c>
      <c r="FC113" s="52">
        <v>11.858879999999999</v>
      </c>
      <c r="FD113" s="52">
        <v>11.858879999999999</v>
      </c>
      <c r="FE113" s="52">
        <v>11.858879999999999</v>
      </c>
      <c r="FF113" s="52">
        <v>11.858879999999999</v>
      </c>
      <c r="FG113" s="52">
        <v>11.858879999999999</v>
      </c>
      <c r="FH113" s="52">
        <v>11.858879999999999</v>
      </c>
      <c r="FI113" s="52">
        <v>11.858879999999999</v>
      </c>
      <c r="FJ113" s="52">
        <v>11.858879999999999</v>
      </c>
      <c r="FK113" s="52">
        <v>11.858879999999999</v>
      </c>
      <c r="FL113" s="52">
        <v>11.858879999999999</v>
      </c>
      <c r="FM113" s="52">
        <v>11.858879999999999</v>
      </c>
      <c r="FN113" s="52">
        <v>11.858879999999999</v>
      </c>
      <c r="FO113" s="52">
        <v>11.858879999999999</v>
      </c>
      <c r="FP113" s="52">
        <v>11.858879999999999</v>
      </c>
      <c r="FQ113" s="52">
        <v>11.858879999999999</v>
      </c>
      <c r="FR113" s="52">
        <v>11.858879999999999</v>
      </c>
      <c r="FS113" s="52">
        <v>11.858879999999999</v>
      </c>
      <c r="FT113" s="52">
        <v>11.858879999999999</v>
      </c>
      <c r="FU113" s="52">
        <v>11.858879999999999</v>
      </c>
      <c r="FV113" s="52">
        <v>11.858879999999999</v>
      </c>
      <c r="FW113" s="52">
        <v>11.858879999999999</v>
      </c>
      <c r="FX113" s="52">
        <v>11.858879999999999</v>
      </c>
      <c r="FY113" s="52">
        <v>11.858879999999999</v>
      </c>
      <c r="FZ113" s="52">
        <v>11.858879999999999</v>
      </c>
      <c r="GA113" s="52">
        <v>11.858879999999999</v>
      </c>
      <c r="GB113" s="52">
        <v>11.858879999999999</v>
      </c>
      <c r="GC113" s="52">
        <v>11.858879999999999</v>
      </c>
      <c r="GD113" s="52">
        <v>11.858879999999999</v>
      </c>
      <c r="GE113" s="52">
        <v>11.858879999999999</v>
      </c>
      <c r="GF113" s="52">
        <v>11.858879999999999</v>
      </c>
      <c r="GG113" s="52">
        <v>11.858879999999999</v>
      </c>
      <c r="GH113" s="52">
        <v>11.858879999999999</v>
      </c>
      <c r="GI113" s="52">
        <v>11.858879999999999</v>
      </c>
      <c r="GJ113" s="52">
        <v>11.858879999999999</v>
      </c>
      <c r="GK113" s="52">
        <v>11.858879999999999</v>
      </c>
      <c r="GL113" s="52">
        <v>11.858879999999999</v>
      </c>
      <c r="GM113" s="52">
        <v>11.858879999999999</v>
      </c>
      <c r="GN113" s="52">
        <v>11.858879999999999</v>
      </c>
      <c r="GO113" s="52">
        <v>11.858879999999999</v>
      </c>
      <c r="GP113" s="52">
        <v>11.858879999999999</v>
      </c>
      <c r="GQ113" s="52">
        <v>11.858879999999999</v>
      </c>
      <c r="GR113" s="52">
        <v>11.858879999999999</v>
      </c>
      <c r="GS113" s="52">
        <v>11.858879999999999</v>
      </c>
      <c r="GT113" s="52">
        <v>11.858879999999999</v>
      </c>
      <c r="GU113" s="52">
        <v>11.858879999999999</v>
      </c>
      <c r="GV113" s="52">
        <v>11.858879999999999</v>
      </c>
      <c r="GW113" s="52">
        <v>11.858879999999999</v>
      </c>
      <c r="GX113" s="52">
        <v>11.858879999999999</v>
      </c>
      <c r="GY113" s="52">
        <v>11.858879999999999</v>
      </c>
      <c r="GZ113" s="52">
        <v>11.858879999999999</v>
      </c>
      <c r="HA113" s="52">
        <v>11.858879999999999</v>
      </c>
      <c r="HB113" s="52">
        <v>11.858879999999999</v>
      </c>
      <c r="HC113" s="52">
        <v>11.858879999999999</v>
      </c>
      <c r="HD113" s="52">
        <v>11.858879999999999</v>
      </c>
      <c r="HE113" s="52">
        <v>11.858879999999999</v>
      </c>
      <c r="HF113" s="52">
        <v>11.858879999999999</v>
      </c>
      <c r="HG113" s="52">
        <v>11.858879999999999</v>
      </c>
      <c r="HH113" s="52">
        <v>11.858879999999999</v>
      </c>
      <c r="HI113" s="52">
        <v>11.858879999999999</v>
      </c>
      <c r="HJ113" s="52">
        <v>11.858879999999999</v>
      </c>
      <c r="HK113" s="52">
        <v>11.858879999999999</v>
      </c>
      <c r="HL113" s="52">
        <v>11.858879999999999</v>
      </c>
      <c r="HM113" s="52">
        <v>11.858879999999999</v>
      </c>
      <c r="HN113" s="52">
        <v>11.858879999999999</v>
      </c>
      <c r="HO113" s="52">
        <v>11.858879999999999</v>
      </c>
      <c r="HP113" s="52">
        <v>11.858879999999999</v>
      </c>
      <c r="HQ113" s="52">
        <v>11.858879999999999</v>
      </c>
      <c r="HR113" s="52">
        <v>11.858879999999999</v>
      </c>
      <c r="HS113" s="52">
        <v>11.858879999999999</v>
      </c>
      <c r="HT113" s="52">
        <v>11.858879999999999</v>
      </c>
      <c r="HU113" s="52">
        <v>11.858879999999999</v>
      </c>
      <c r="HV113" s="52">
        <v>11.858879999999999</v>
      </c>
      <c r="HW113" s="52">
        <v>11.858879999999999</v>
      </c>
      <c r="HX113" s="52">
        <v>11.858879999999999</v>
      </c>
      <c r="HY113" s="52">
        <v>11.858879999999999</v>
      </c>
      <c r="HZ113" s="52">
        <v>11.858879999999999</v>
      </c>
      <c r="IA113" s="52">
        <v>11.858879999999999</v>
      </c>
      <c r="IB113" s="52">
        <v>11.858879999999999</v>
      </c>
      <c r="IC113" s="52">
        <v>11.858879999999999</v>
      </c>
      <c r="ID113" s="52">
        <v>11.858879999999999</v>
      </c>
      <c r="IE113" s="52">
        <v>11.858879999999999</v>
      </c>
      <c r="IF113" s="52">
        <v>11.858879999999999</v>
      </c>
      <c r="IG113" s="52">
        <v>11.858879999999999</v>
      </c>
      <c r="IH113" s="52">
        <v>11.858879999999999</v>
      </c>
      <c r="II113" s="52">
        <v>11.858879999999999</v>
      </c>
      <c r="IJ113" s="52">
        <v>11.858879999999999</v>
      </c>
      <c r="IK113" s="52">
        <v>11.858879999999999</v>
      </c>
      <c r="IL113" s="52">
        <v>11.858879999999999</v>
      </c>
      <c r="IM113" s="52">
        <v>11.858879999999999</v>
      </c>
      <c r="IN113" s="52">
        <v>11.858879999999999</v>
      </c>
      <c r="IO113" s="52">
        <v>11.858879999999999</v>
      </c>
      <c r="IP113" s="52">
        <v>11.858879999999999</v>
      </c>
      <c r="IQ113" s="52">
        <v>11.858879999999999</v>
      </c>
      <c r="IR113" s="52">
        <v>11.858879999999999</v>
      </c>
      <c r="IS113" s="52">
        <v>11.858879999999999</v>
      </c>
      <c r="IT113" s="52">
        <v>11.858879999999999</v>
      </c>
      <c r="IU113" s="52">
        <v>11.858879999999999</v>
      </c>
      <c r="IV113" s="52">
        <v>11.858879999999999</v>
      </c>
      <c r="IW113" s="52">
        <v>11.858879999999999</v>
      </c>
      <c r="IX113" s="52">
        <v>11.858879999999999</v>
      </c>
      <c r="IY113" s="52">
        <v>11.858879999999999</v>
      </c>
      <c r="IZ113" s="52">
        <v>11.858879999999999</v>
      </c>
      <c r="JA113" s="52">
        <v>11.858879999999999</v>
      </c>
      <c r="JB113" s="52">
        <v>11.858879999999999</v>
      </c>
      <c r="JC113" s="52">
        <v>11.858879999999999</v>
      </c>
      <c r="JD113" s="52">
        <v>11.858879999999999</v>
      </c>
      <c r="JE113" s="52">
        <v>11.858879999999999</v>
      </c>
      <c r="JF113" s="52">
        <v>11.858879999999999</v>
      </c>
      <c r="JG113" s="52">
        <v>11.858879999999999</v>
      </c>
      <c r="JH113" s="52">
        <v>11.858879999999999</v>
      </c>
      <c r="JI113" s="52">
        <v>11.858879999999999</v>
      </c>
      <c r="JJ113" s="52">
        <v>11.858879999999999</v>
      </c>
      <c r="JK113" s="52">
        <v>11.858879999999999</v>
      </c>
      <c r="JL113" s="52">
        <v>11.858879999999999</v>
      </c>
      <c r="JM113" s="52">
        <v>11.858879999999999</v>
      </c>
      <c r="JN113" s="52">
        <v>11.858879999999999</v>
      </c>
      <c r="JO113" s="52">
        <v>11.858879999999999</v>
      </c>
      <c r="JP113" s="52">
        <v>11.858879999999999</v>
      </c>
      <c r="JQ113" s="52">
        <v>11.858879999999999</v>
      </c>
      <c r="JR113" s="52">
        <v>11.858879999999999</v>
      </c>
      <c r="JS113" s="52">
        <v>11.858879999999999</v>
      </c>
      <c r="JT113" s="52">
        <v>11.858879999999999</v>
      </c>
      <c r="JU113" s="52">
        <v>11.858879999999999</v>
      </c>
      <c r="JV113" s="52">
        <v>11.858879999999999</v>
      </c>
      <c r="JW113" s="52">
        <v>11.858879999999999</v>
      </c>
      <c r="JX113" s="52">
        <v>11.858879999999999</v>
      </c>
      <c r="JY113" s="52">
        <v>11.858879999999999</v>
      </c>
      <c r="JZ113" s="52">
        <v>11.858879999999999</v>
      </c>
      <c r="KA113" s="52">
        <v>11.858879999999999</v>
      </c>
      <c r="KB113" s="52">
        <v>11.858879999999999</v>
      </c>
      <c r="KC113" s="52">
        <v>11.858879999999999</v>
      </c>
      <c r="KD113" s="52">
        <v>11.858879999999999</v>
      </c>
      <c r="KE113" s="52">
        <v>11.858879999999999</v>
      </c>
      <c r="KF113" s="52">
        <v>11.858879999999999</v>
      </c>
      <c r="KG113" s="52">
        <v>11.858879999999999</v>
      </c>
      <c r="KH113" s="52">
        <v>11.858879999999999</v>
      </c>
      <c r="KI113" s="52">
        <v>11.858879999999999</v>
      </c>
      <c r="KJ113" s="52">
        <v>11.858879999999999</v>
      </c>
      <c r="KK113" s="52">
        <v>11.858879999999999</v>
      </c>
      <c r="KL113" s="52">
        <v>11.858879999999999</v>
      </c>
      <c r="KM113" s="52">
        <v>11.858879999999999</v>
      </c>
      <c r="KN113" s="52">
        <v>11.858879999999999</v>
      </c>
      <c r="KO113" s="52">
        <v>11.858879999999999</v>
      </c>
      <c r="KP113" s="52">
        <v>11.858879999999999</v>
      </c>
      <c r="KQ113" s="52">
        <v>11.858879999999999</v>
      </c>
      <c r="KR113" s="52">
        <v>11.858879999999999</v>
      </c>
      <c r="KS113" s="52">
        <v>11.858879999999999</v>
      </c>
      <c r="KT113" s="52">
        <v>11.858879999999999</v>
      </c>
      <c r="KU113" s="52">
        <v>11.858879999999999</v>
      </c>
      <c r="KV113" s="52">
        <v>11.858879999999999</v>
      </c>
      <c r="KW113" s="52">
        <v>11.858879999999999</v>
      </c>
      <c r="KX113" s="37">
        <v>11.858879999999999</v>
      </c>
      <c r="KY113" s="37">
        <v>11.858879999999999</v>
      </c>
      <c r="KZ113" s="37">
        <v>11.858879999999999</v>
      </c>
      <c r="LA113" s="37">
        <v>11.858879999999999</v>
      </c>
      <c r="LB113" s="37">
        <v>11.858879999999999</v>
      </c>
      <c r="LC113" s="37">
        <v>11.858879999999999</v>
      </c>
      <c r="LD113" s="37">
        <v>11.858879999999999</v>
      </c>
      <c r="LE113" s="37">
        <v>11.858879999999999</v>
      </c>
      <c r="LF113" s="37">
        <v>11.858879999999999</v>
      </c>
      <c r="LG113" s="37">
        <v>11.858879999999999</v>
      </c>
      <c r="LH113" s="37">
        <v>11.858879999999999</v>
      </c>
      <c r="LI113" s="37">
        <v>11.858879999999999</v>
      </c>
      <c r="LJ113" s="37">
        <v>11.858879999999999</v>
      </c>
      <c r="LK113" s="37">
        <v>11.858879999999999</v>
      </c>
      <c r="LL113" s="37">
        <v>11.858879999999999</v>
      </c>
      <c r="LM113" s="37">
        <v>11.858879999999999</v>
      </c>
      <c r="LN113" s="37">
        <v>11.858879999999999</v>
      </c>
      <c r="LO113" s="37">
        <v>11.858879999999999</v>
      </c>
      <c r="LP113" s="37">
        <v>11.858879999999999</v>
      </c>
      <c r="LQ113" s="37">
        <v>11.858879999999999</v>
      </c>
      <c r="LR113" s="37">
        <v>11.858879999999999</v>
      </c>
      <c r="LS113" s="37">
        <v>11.858879999999999</v>
      </c>
      <c r="LT113" s="37">
        <v>11.858879999999999</v>
      </c>
      <c r="LU113" s="37">
        <v>11.858879999999999</v>
      </c>
      <c r="LV113" s="37">
        <v>11.858879999999999</v>
      </c>
      <c r="LW113" s="37">
        <v>11.858879999999999</v>
      </c>
      <c r="LX113" s="37">
        <v>11.858879999999999</v>
      </c>
      <c r="LY113" s="37">
        <v>11.858879999999999</v>
      </c>
      <c r="LZ113" s="37">
        <v>11.858879999999999</v>
      </c>
      <c r="MA113" s="37">
        <v>11.858879999999999</v>
      </c>
      <c r="MB113" s="37">
        <v>11.858879999999999</v>
      </c>
      <c r="MC113" s="37">
        <v>11.858879999999999</v>
      </c>
      <c r="MD113" s="37">
        <v>11.858879999999999</v>
      </c>
      <c r="ME113" s="37">
        <v>11.858879999999999</v>
      </c>
      <c r="MF113" s="37">
        <v>11.858879999999999</v>
      </c>
      <c r="MG113" s="37">
        <v>11.858879999999999</v>
      </c>
      <c r="MH113" s="37">
        <v>11.858879999999999</v>
      </c>
      <c r="MI113" s="37">
        <v>11.858879999999999</v>
      </c>
      <c r="MJ113" s="37">
        <v>11.858879999999999</v>
      </c>
      <c r="MK113" s="37">
        <v>11.858879999999999</v>
      </c>
      <c r="ML113" s="37">
        <v>11.858879999999999</v>
      </c>
      <c r="MM113" s="37">
        <v>11.858879999999999</v>
      </c>
      <c r="MN113" s="37">
        <v>11.858879999999999</v>
      </c>
      <c r="MO113" s="37">
        <v>11.858879999999999</v>
      </c>
      <c r="MP113" s="37">
        <v>11.858879999999999</v>
      </c>
      <c r="MQ113" s="37">
        <v>11.858879999999999</v>
      </c>
      <c r="MR113" s="37">
        <v>11.858879999999999</v>
      </c>
      <c r="MS113" s="37">
        <v>11.858879999999999</v>
      </c>
      <c r="MT113" s="37">
        <v>11.858879999999999</v>
      </c>
      <c r="MU113" s="37">
        <v>11.858879999999999</v>
      </c>
      <c r="MV113" s="37">
        <v>11.858879999999999</v>
      </c>
      <c r="MW113" s="37">
        <v>11.858879999999999</v>
      </c>
      <c r="MX113" s="37">
        <v>11.858879999999999</v>
      </c>
      <c r="MY113" s="37">
        <v>11.858879999999999</v>
      </c>
      <c r="MZ113" s="37">
        <v>11.858879999999999</v>
      </c>
      <c r="NA113" s="37">
        <v>11.858879999999999</v>
      </c>
      <c r="NB113" s="37">
        <v>11.858879999999999</v>
      </c>
      <c r="NC113" s="37">
        <v>11.737439999999999</v>
      </c>
      <c r="ND113" s="37">
        <v>0</v>
      </c>
    </row>
    <row r="114" spans="1:372" x14ac:dyDescent="0.2">
      <c r="A114" s="37">
        <v>112</v>
      </c>
      <c r="B114" s="37" t="s">
        <v>1030</v>
      </c>
      <c r="C114" s="17">
        <f>+'Detalle Compras'!D114</f>
        <v>20231226678</v>
      </c>
      <c r="D114" s="55">
        <f t="shared" si="16"/>
        <v>12.871936</v>
      </c>
      <c r="E114" s="14">
        <f>+IF(B114="","",'Detalle Compras'!S114+0)</f>
        <v>45483</v>
      </c>
      <c r="F114" s="14">
        <f>+IF(B114="","",EOMONTH('Detalle Compras'!Q114,G114)+10)</f>
        <v>10846</v>
      </c>
      <c r="G114" s="50">
        <f t="shared" si="17"/>
        <v>355</v>
      </c>
      <c r="H114" s="50">
        <f t="shared" si="18"/>
        <v>337</v>
      </c>
      <c r="I114" s="37">
        <v>0</v>
      </c>
      <c r="J114" s="37">
        <v>0</v>
      </c>
      <c r="K114" s="37">
        <v>0</v>
      </c>
      <c r="L114" s="37">
        <v>0</v>
      </c>
      <c r="M114" s="52">
        <v>12.871936</v>
      </c>
      <c r="N114" s="52">
        <v>12.871936</v>
      </c>
      <c r="O114" s="52">
        <v>12.871936</v>
      </c>
      <c r="P114" s="52">
        <v>12.871936</v>
      </c>
      <c r="Q114" s="52">
        <v>12.871936</v>
      </c>
      <c r="R114" s="52">
        <v>12.871936</v>
      </c>
      <c r="S114" s="52">
        <v>12.871936</v>
      </c>
      <c r="T114" s="52">
        <v>12.871936</v>
      </c>
      <c r="U114" s="52">
        <v>12.871936</v>
      </c>
      <c r="V114" s="52">
        <v>12.871936</v>
      </c>
      <c r="W114" s="52">
        <v>12.871936</v>
      </c>
      <c r="X114" s="52">
        <v>12.871936</v>
      </c>
      <c r="Y114" s="52">
        <v>12.871936</v>
      </c>
      <c r="Z114" s="52">
        <v>12.871936</v>
      </c>
      <c r="AA114" s="52">
        <v>12.871936</v>
      </c>
      <c r="AB114" s="52">
        <v>12.871936</v>
      </c>
      <c r="AC114" s="52">
        <v>12.871936</v>
      </c>
      <c r="AD114" s="52">
        <v>12.871936</v>
      </c>
      <c r="AE114" s="52">
        <v>12.871936</v>
      </c>
      <c r="AF114" s="52">
        <v>12.871936</v>
      </c>
      <c r="AG114" s="52">
        <v>12.871936</v>
      </c>
      <c r="AH114" s="52">
        <v>12.871936</v>
      </c>
      <c r="AI114" s="52">
        <v>12.871936</v>
      </c>
      <c r="AJ114" s="52">
        <v>12.871936</v>
      </c>
      <c r="AK114" s="52">
        <v>12.871936</v>
      </c>
      <c r="AL114" s="52">
        <v>12.871936</v>
      </c>
      <c r="AM114" s="52">
        <v>12.871936</v>
      </c>
      <c r="AN114" s="52">
        <v>12.871936</v>
      </c>
      <c r="AO114" s="52">
        <v>12.871936</v>
      </c>
      <c r="AP114" s="52">
        <v>12.871936</v>
      </c>
      <c r="AQ114" s="52">
        <v>12.871936</v>
      </c>
      <c r="AR114" s="52">
        <v>12.871936</v>
      </c>
      <c r="AS114" s="52">
        <v>12.871936</v>
      </c>
      <c r="AT114" s="52">
        <v>12.871936</v>
      </c>
      <c r="AU114" s="52">
        <v>12.871936</v>
      </c>
      <c r="AV114" s="52">
        <v>12.871936</v>
      </c>
      <c r="AW114" s="52">
        <v>12.871936</v>
      </c>
      <c r="AX114" s="52">
        <v>12.871936</v>
      </c>
      <c r="AY114" s="52">
        <v>12.871936</v>
      </c>
      <c r="AZ114" s="52">
        <v>12.871936</v>
      </c>
      <c r="BA114" s="52">
        <v>12.871936</v>
      </c>
      <c r="BB114" s="52">
        <v>12.871936</v>
      </c>
      <c r="BC114" s="52">
        <v>12.871936</v>
      </c>
      <c r="BD114" s="52">
        <v>12.871936</v>
      </c>
      <c r="BE114" s="52">
        <v>12.871936</v>
      </c>
      <c r="BF114" s="52">
        <v>12.871936</v>
      </c>
      <c r="BG114" s="52">
        <v>12.871936</v>
      </c>
      <c r="BH114" s="52">
        <v>12.871936</v>
      </c>
      <c r="BI114" s="52">
        <v>12.871936</v>
      </c>
      <c r="BJ114" s="52">
        <v>12.871936</v>
      </c>
      <c r="BK114" s="52">
        <v>12.871936</v>
      </c>
      <c r="BL114" s="52">
        <v>12.871936</v>
      </c>
      <c r="BM114" s="52">
        <v>12.871936</v>
      </c>
      <c r="BN114" s="52">
        <v>12.871936</v>
      </c>
      <c r="BO114" s="52">
        <v>12.871936</v>
      </c>
      <c r="BP114" s="52">
        <v>12.871936</v>
      </c>
      <c r="BQ114" s="52">
        <v>12.871936</v>
      </c>
      <c r="BR114" s="52">
        <v>12.871936</v>
      </c>
      <c r="BS114" s="52">
        <v>12.871936</v>
      </c>
      <c r="BT114" s="52">
        <v>12.871936</v>
      </c>
      <c r="BU114" s="52">
        <v>12.871936</v>
      </c>
      <c r="BV114" s="52">
        <v>12.871936</v>
      </c>
      <c r="BW114" s="52">
        <v>12.871936</v>
      </c>
      <c r="BX114" s="52">
        <v>12.871936</v>
      </c>
      <c r="BY114" s="52">
        <v>12.871936</v>
      </c>
      <c r="BZ114" s="52">
        <v>12.871936</v>
      </c>
      <c r="CA114" s="52">
        <v>12.871936</v>
      </c>
      <c r="CB114" s="52">
        <v>12.871936</v>
      </c>
      <c r="CC114" s="52">
        <v>12.871936</v>
      </c>
      <c r="CD114" s="52">
        <v>12.871936</v>
      </c>
      <c r="CE114" s="52">
        <v>12.871936</v>
      </c>
      <c r="CF114" s="52">
        <v>12.871936</v>
      </c>
      <c r="CG114" s="52">
        <v>12.871936</v>
      </c>
      <c r="CH114" s="52">
        <v>12.871936</v>
      </c>
      <c r="CI114" s="52">
        <v>12.871936</v>
      </c>
      <c r="CJ114" s="52">
        <v>12.871936</v>
      </c>
      <c r="CK114" s="52">
        <v>12.871936</v>
      </c>
      <c r="CL114" s="52">
        <v>12.871936</v>
      </c>
      <c r="CM114" s="52">
        <v>12.871936</v>
      </c>
      <c r="CN114" s="52">
        <v>12.871936</v>
      </c>
      <c r="CO114" s="52">
        <v>12.871936</v>
      </c>
      <c r="CP114" s="52">
        <v>12.871936</v>
      </c>
      <c r="CQ114" s="52">
        <v>12.871936</v>
      </c>
      <c r="CR114" s="52">
        <v>12.871936</v>
      </c>
      <c r="CS114" s="52">
        <v>12.871936</v>
      </c>
      <c r="CT114" s="52">
        <v>12.871936</v>
      </c>
      <c r="CU114" s="52">
        <v>12.871936</v>
      </c>
      <c r="CV114" s="52">
        <v>12.871936</v>
      </c>
      <c r="CW114" s="52">
        <v>12.871936</v>
      </c>
      <c r="CX114" s="52">
        <v>12.871936</v>
      </c>
      <c r="CY114" s="52">
        <v>12.871936</v>
      </c>
      <c r="CZ114" s="52">
        <v>12.871936</v>
      </c>
      <c r="DA114" s="52">
        <v>12.871936</v>
      </c>
      <c r="DB114" s="52">
        <v>12.871936</v>
      </c>
      <c r="DC114" s="52">
        <v>12.871936</v>
      </c>
      <c r="DD114" s="52">
        <v>12.871936</v>
      </c>
      <c r="DE114" s="52">
        <v>12.871936</v>
      </c>
      <c r="DF114" s="52">
        <v>12.871936</v>
      </c>
      <c r="DG114" s="52">
        <v>12.871936</v>
      </c>
      <c r="DH114" s="52">
        <v>12.871936</v>
      </c>
      <c r="DI114" s="52">
        <v>12.871936</v>
      </c>
      <c r="DJ114" s="52">
        <v>12.871936</v>
      </c>
      <c r="DK114" s="52">
        <v>12.871936</v>
      </c>
      <c r="DL114" s="52">
        <v>12.871936</v>
      </c>
      <c r="DM114" s="52">
        <v>12.871936</v>
      </c>
      <c r="DN114" s="52">
        <v>12.871936</v>
      </c>
      <c r="DO114" s="52">
        <v>12.871936</v>
      </c>
      <c r="DP114" s="52">
        <v>12.871936</v>
      </c>
      <c r="DQ114" s="52">
        <v>12.871936</v>
      </c>
      <c r="DR114" s="52">
        <v>12.871936</v>
      </c>
      <c r="DS114" s="52">
        <v>12.871936</v>
      </c>
      <c r="DT114" s="52">
        <v>12.871936</v>
      </c>
      <c r="DU114" s="52">
        <v>12.871936</v>
      </c>
      <c r="DV114" s="52">
        <v>12.871936</v>
      </c>
      <c r="DW114" s="52">
        <v>12.871936</v>
      </c>
      <c r="DX114" s="52">
        <v>12.871936</v>
      </c>
      <c r="DY114" s="52">
        <v>12.871936</v>
      </c>
      <c r="DZ114" s="52">
        <v>12.871936</v>
      </c>
      <c r="EA114" s="52">
        <v>12.871936</v>
      </c>
      <c r="EB114" s="52">
        <v>12.871936</v>
      </c>
      <c r="EC114" s="52">
        <v>12.871936</v>
      </c>
      <c r="ED114" s="52">
        <v>12.871936</v>
      </c>
      <c r="EE114" s="52">
        <v>12.871936</v>
      </c>
      <c r="EF114" s="52">
        <v>12.871936</v>
      </c>
      <c r="EG114" s="52">
        <v>12.871936</v>
      </c>
      <c r="EH114" s="52">
        <v>12.871936</v>
      </c>
      <c r="EI114" s="52">
        <v>12.871936</v>
      </c>
      <c r="EJ114" s="52">
        <v>12.871936</v>
      </c>
      <c r="EK114" s="52">
        <v>12.871936</v>
      </c>
      <c r="EL114" s="52">
        <v>12.871936</v>
      </c>
      <c r="EM114" s="52">
        <v>12.871936</v>
      </c>
      <c r="EN114" s="52">
        <v>12.871936</v>
      </c>
      <c r="EO114" s="52">
        <v>12.871936</v>
      </c>
      <c r="EP114" s="52">
        <v>12.871936</v>
      </c>
      <c r="EQ114" s="52">
        <v>12.871936</v>
      </c>
      <c r="ER114" s="52">
        <v>12.871936</v>
      </c>
      <c r="ES114" s="52">
        <v>12.871936</v>
      </c>
      <c r="ET114" s="52">
        <v>12.871936</v>
      </c>
      <c r="EU114" s="52">
        <v>12.871936</v>
      </c>
      <c r="EV114" s="52">
        <v>12.871936</v>
      </c>
      <c r="EW114" s="52">
        <v>12.871936</v>
      </c>
      <c r="EX114" s="52">
        <v>12.871936</v>
      </c>
      <c r="EY114" s="52">
        <v>12.871936</v>
      </c>
      <c r="EZ114" s="52">
        <v>12.871936</v>
      </c>
      <c r="FA114" s="52">
        <v>12.871936</v>
      </c>
      <c r="FB114" s="52">
        <v>12.871936</v>
      </c>
      <c r="FC114" s="52">
        <v>12.871936</v>
      </c>
      <c r="FD114" s="52">
        <v>12.871936</v>
      </c>
      <c r="FE114" s="52">
        <v>12.871936</v>
      </c>
      <c r="FF114" s="52">
        <v>12.871936</v>
      </c>
      <c r="FG114" s="52">
        <v>12.871936</v>
      </c>
      <c r="FH114" s="52">
        <v>12.871936</v>
      </c>
      <c r="FI114" s="52">
        <v>12.871936</v>
      </c>
      <c r="FJ114" s="52">
        <v>12.871936</v>
      </c>
      <c r="FK114" s="52">
        <v>12.871936</v>
      </c>
      <c r="FL114" s="52">
        <v>12.871936</v>
      </c>
      <c r="FM114" s="52">
        <v>12.871936</v>
      </c>
      <c r="FN114" s="52">
        <v>12.871936</v>
      </c>
      <c r="FO114" s="52">
        <v>12.871936</v>
      </c>
      <c r="FP114" s="52">
        <v>12.871936</v>
      </c>
      <c r="FQ114" s="52">
        <v>12.871936</v>
      </c>
      <c r="FR114" s="52">
        <v>12.871936</v>
      </c>
      <c r="FS114" s="52">
        <v>12.871936</v>
      </c>
      <c r="FT114" s="52">
        <v>12.871936</v>
      </c>
      <c r="FU114" s="52">
        <v>12.871936</v>
      </c>
      <c r="FV114" s="52">
        <v>12.871936</v>
      </c>
      <c r="FW114" s="52">
        <v>12.871936</v>
      </c>
      <c r="FX114" s="52">
        <v>12.871936</v>
      </c>
      <c r="FY114" s="52">
        <v>12.871936</v>
      </c>
      <c r="FZ114" s="52">
        <v>12.871936</v>
      </c>
      <c r="GA114" s="52">
        <v>12.871936</v>
      </c>
      <c r="GB114" s="52">
        <v>12.871936</v>
      </c>
      <c r="GC114" s="52">
        <v>12.871936</v>
      </c>
      <c r="GD114" s="52">
        <v>12.871936</v>
      </c>
      <c r="GE114" s="52">
        <v>12.871936</v>
      </c>
      <c r="GF114" s="52">
        <v>12.871936</v>
      </c>
      <c r="GG114" s="52">
        <v>12.871936</v>
      </c>
      <c r="GH114" s="52">
        <v>12.871936</v>
      </c>
      <c r="GI114" s="52">
        <v>12.871936</v>
      </c>
      <c r="GJ114" s="52">
        <v>12.871936</v>
      </c>
      <c r="GK114" s="52">
        <v>12.871936</v>
      </c>
      <c r="GL114" s="52">
        <v>12.871936</v>
      </c>
      <c r="GM114" s="52">
        <v>12.871936</v>
      </c>
      <c r="GN114" s="52">
        <v>12.871936</v>
      </c>
      <c r="GO114" s="52">
        <v>12.871936</v>
      </c>
      <c r="GP114" s="52">
        <v>12.871936</v>
      </c>
      <c r="GQ114" s="52">
        <v>12.871936</v>
      </c>
      <c r="GR114" s="52">
        <v>12.871936</v>
      </c>
      <c r="GS114" s="52">
        <v>12.871936</v>
      </c>
      <c r="GT114" s="52">
        <v>12.871936</v>
      </c>
      <c r="GU114" s="52">
        <v>12.871936</v>
      </c>
      <c r="GV114" s="52">
        <v>12.871936</v>
      </c>
      <c r="GW114" s="52">
        <v>12.871936</v>
      </c>
      <c r="GX114" s="52">
        <v>12.871936</v>
      </c>
      <c r="GY114" s="52">
        <v>12.871936</v>
      </c>
      <c r="GZ114" s="52">
        <v>12.871936</v>
      </c>
      <c r="HA114" s="52">
        <v>12.871936</v>
      </c>
      <c r="HB114" s="52">
        <v>12.871936</v>
      </c>
      <c r="HC114" s="52">
        <v>12.871936</v>
      </c>
      <c r="HD114" s="52">
        <v>12.871936</v>
      </c>
      <c r="HE114" s="52">
        <v>12.871936</v>
      </c>
      <c r="HF114" s="52">
        <v>12.871936</v>
      </c>
      <c r="HG114" s="52">
        <v>12.871936</v>
      </c>
      <c r="HH114" s="52">
        <v>12.871936</v>
      </c>
      <c r="HI114" s="52">
        <v>12.871936</v>
      </c>
      <c r="HJ114" s="52">
        <v>12.871936</v>
      </c>
      <c r="HK114" s="52">
        <v>12.871936</v>
      </c>
      <c r="HL114" s="52">
        <v>12.871936</v>
      </c>
      <c r="HM114" s="52">
        <v>12.871936</v>
      </c>
      <c r="HN114" s="52">
        <v>12.871936</v>
      </c>
      <c r="HO114" s="52">
        <v>12.871936</v>
      </c>
      <c r="HP114" s="52">
        <v>12.871936</v>
      </c>
      <c r="HQ114" s="52">
        <v>12.871936</v>
      </c>
      <c r="HR114" s="52">
        <v>12.871936</v>
      </c>
      <c r="HS114" s="52">
        <v>12.871936</v>
      </c>
      <c r="HT114" s="52">
        <v>12.871936</v>
      </c>
      <c r="HU114" s="52">
        <v>12.871936</v>
      </c>
      <c r="HV114" s="52">
        <v>12.871936</v>
      </c>
      <c r="HW114" s="52">
        <v>12.871936</v>
      </c>
      <c r="HX114" s="52">
        <v>12.871936</v>
      </c>
      <c r="HY114" s="52">
        <v>12.871936</v>
      </c>
      <c r="HZ114" s="52">
        <v>12.871936</v>
      </c>
      <c r="IA114" s="52">
        <v>12.871936</v>
      </c>
      <c r="IB114" s="52">
        <v>12.871936</v>
      </c>
      <c r="IC114" s="52">
        <v>12.871936</v>
      </c>
      <c r="ID114" s="52">
        <v>12.871936</v>
      </c>
      <c r="IE114" s="52">
        <v>12.871936</v>
      </c>
      <c r="IF114" s="52">
        <v>12.871936</v>
      </c>
      <c r="IG114" s="52">
        <v>12.871936</v>
      </c>
      <c r="IH114" s="52">
        <v>12.871936</v>
      </c>
      <c r="II114" s="52">
        <v>12.871936</v>
      </c>
      <c r="IJ114" s="52">
        <v>12.871936</v>
      </c>
      <c r="IK114" s="52">
        <v>12.871936</v>
      </c>
      <c r="IL114" s="52">
        <v>12.871936</v>
      </c>
      <c r="IM114" s="52">
        <v>12.871936</v>
      </c>
      <c r="IN114" s="52">
        <v>12.871936</v>
      </c>
      <c r="IO114" s="52">
        <v>12.871936</v>
      </c>
      <c r="IP114" s="52">
        <v>12.871936</v>
      </c>
      <c r="IQ114" s="52">
        <v>12.871936</v>
      </c>
      <c r="IR114" s="52">
        <v>12.871936</v>
      </c>
      <c r="IS114" s="52">
        <v>12.871936</v>
      </c>
      <c r="IT114" s="52">
        <v>12.871936</v>
      </c>
      <c r="IU114" s="52">
        <v>12.871936</v>
      </c>
      <c r="IV114" s="52">
        <v>12.871936</v>
      </c>
      <c r="IW114" s="52">
        <v>12.871936</v>
      </c>
      <c r="IX114" s="52">
        <v>12.871936</v>
      </c>
      <c r="IY114" s="52">
        <v>12.871936</v>
      </c>
      <c r="IZ114" s="52">
        <v>12.871936</v>
      </c>
      <c r="JA114" s="52">
        <v>12.871936</v>
      </c>
      <c r="JB114" s="52">
        <v>12.871936</v>
      </c>
      <c r="JC114" s="52">
        <v>12.871936</v>
      </c>
      <c r="JD114" s="52">
        <v>12.871936</v>
      </c>
      <c r="JE114" s="52">
        <v>12.871936</v>
      </c>
      <c r="JF114" s="52">
        <v>12.871936</v>
      </c>
      <c r="JG114" s="52">
        <v>12.871936</v>
      </c>
      <c r="JH114" s="52">
        <v>12.871936</v>
      </c>
      <c r="JI114" s="52">
        <v>12.871936</v>
      </c>
      <c r="JJ114" s="52">
        <v>12.871936</v>
      </c>
      <c r="JK114" s="52">
        <v>12.871936</v>
      </c>
      <c r="JL114" s="52">
        <v>12.871936</v>
      </c>
      <c r="JM114" s="52">
        <v>12.871936</v>
      </c>
      <c r="JN114" s="52">
        <v>12.871936</v>
      </c>
      <c r="JO114" s="52">
        <v>12.871936</v>
      </c>
      <c r="JP114" s="52">
        <v>12.871936</v>
      </c>
      <c r="JQ114" s="52">
        <v>12.871936</v>
      </c>
      <c r="JR114" s="52">
        <v>12.871936</v>
      </c>
      <c r="JS114" s="52">
        <v>12.871936</v>
      </c>
      <c r="JT114" s="52">
        <v>12.871936</v>
      </c>
      <c r="JU114" s="52">
        <v>12.871936</v>
      </c>
      <c r="JV114" s="52">
        <v>12.871936</v>
      </c>
      <c r="JW114" s="52">
        <v>12.871936</v>
      </c>
      <c r="JX114" s="52">
        <v>12.871936</v>
      </c>
      <c r="JY114" s="52">
        <v>12.871936</v>
      </c>
      <c r="JZ114" s="52">
        <v>12.871936</v>
      </c>
      <c r="KA114" s="52">
        <v>12.871936</v>
      </c>
      <c r="KB114" s="52">
        <v>12.871936</v>
      </c>
      <c r="KC114" s="52">
        <v>12.871936</v>
      </c>
      <c r="KD114" s="52">
        <v>12.871936</v>
      </c>
      <c r="KE114" s="52">
        <v>12.871936</v>
      </c>
      <c r="KF114" s="52">
        <v>12.871936</v>
      </c>
      <c r="KG114" s="52">
        <v>12.871936</v>
      </c>
      <c r="KH114" s="52">
        <v>12.871936</v>
      </c>
      <c r="KI114" s="52">
        <v>12.871936</v>
      </c>
      <c r="KJ114" s="52">
        <v>12.871936</v>
      </c>
      <c r="KK114" s="52">
        <v>12.871936</v>
      </c>
      <c r="KL114" s="52">
        <v>12.871936</v>
      </c>
      <c r="KM114" s="52">
        <v>12.871936</v>
      </c>
      <c r="KN114" s="52">
        <v>12.871936</v>
      </c>
      <c r="KO114" s="52">
        <v>12.871936</v>
      </c>
      <c r="KP114" s="52">
        <v>12.871936</v>
      </c>
      <c r="KQ114" s="52">
        <v>12.871936</v>
      </c>
      <c r="KR114" s="52">
        <v>12.871936</v>
      </c>
      <c r="KS114" s="52">
        <v>12.871936</v>
      </c>
      <c r="KT114" s="52">
        <v>12.871936</v>
      </c>
      <c r="KU114" s="52">
        <v>12.871936</v>
      </c>
      <c r="KV114" s="52">
        <v>12.871936</v>
      </c>
      <c r="KW114" s="52">
        <v>12.871936</v>
      </c>
      <c r="KX114" s="52">
        <v>12.871936</v>
      </c>
      <c r="KY114" s="52">
        <v>12.871936</v>
      </c>
      <c r="KZ114" s="52">
        <v>12.871936</v>
      </c>
      <c r="LA114" s="52">
        <v>12.871936</v>
      </c>
      <c r="LB114" s="52">
        <v>12.871936</v>
      </c>
      <c r="LC114" s="52">
        <v>12.871936</v>
      </c>
      <c r="LD114" s="52">
        <v>12.871936</v>
      </c>
      <c r="LE114" s="52">
        <v>12.871936</v>
      </c>
      <c r="LF114" s="52">
        <v>12.871936</v>
      </c>
      <c r="LG114" s="52">
        <v>12.871936</v>
      </c>
      <c r="LH114" s="52">
        <v>12.871936</v>
      </c>
      <c r="LI114" s="52">
        <v>12.871936</v>
      </c>
      <c r="LJ114" s="52">
        <v>12.871936</v>
      </c>
      <c r="LK114" s="52">
        <v>12.871936</v>
      </c>
      <c r="LL114" s="52">
        <v>12.871936</v>
      </c>
      <c r="LM114" s="52">
        <v>12.871936</v>
      </c>
      <c r="LN114" s="52">
        <v>12.871936</v>
      </c>
      <c r="LO114" s="52">
        <v>12.871936</v>
      </c>
      <c r="LP114" s="52">
        <v>12.871936</v>
      </c>
      <c r="LQ114" s="52">
        <v>12.871936</v>
      </c>
      <c r="LR114" s="52">
        <v>12.871936</v>
      </c>
      <c r="LS114" s="52">
        <v>12.871936</v>
      </c>
      <c r="LT114" s="52">
        <v>12.871936</v>
      </c>
      <c r="LU114" s="52">
        <v>12.871936</v>
      </c>
      <c r="LV114" s="52">
        <v>12.871936</v>
      </c>
      <c r="LW114" s="52">
        <v>12.871936</v>
      </c>
      <c r="LX114" s="52">
        <v>12.871936</v>
      </c>
      <c r="LY114" s="52">
        <v>12.871936</v>
      </c>
      <c r="LZ114" s="52">
        <v>12.871936</v>
      </c>
      <c r="MA114" s="52">
        <v>12.871936</v>
      </c>
      <c r="MB114" s="52">
        <v>12.871936</v>
      </c>
      <c r="MC114" s="52">
        <v>12.871936</v>
      </c>
      <c r="MD114" s="52">
        <v>12.871936</v>
      </c>
      <c r="ME114" s="52">
        <v>12.871936</v>
      </c>
      <c r="MF114" s="52">
        <v>12.871936</v>
      </c>
      <c r="MG114" s="52">
        <v>12.871936</v>
      </c>
      <c r="MH114" s="52">
        <v>12.871936</v>
      </c>
      <c r="MI114" s="52">
        <v>12.871936</v>
      </c>
      <c r="MJ114" s="52">
        <v>12.871936</v>
      </c>
      <c r="MK114" s="52">
        <v>12.871936</v>
      </c>
      <c r="ML114" s="52">
        <v>12.871936</v>
      </c>
      <c r="MM114" s="52">
        <v>12.871936</v>
      </c>
      <c r="MN114" s="52">
        <v>12.871936</v>
      </c>
      <c r="MO114" s="52">
        <v>12.871936</v>
      </c>
      <c r="MP114" s="52">
        <v>12.871936</v>
      </c>
      <c r="MQ114" s="52">
        <v>12.871936</v>
      </c>
      <c r="MR114" s="52">
        <v>12.871936</v>
      </c>
      <c r="MS114" s="52">
        <v>12.871936</v>
      </c>
      <c r="MT114" s="52">
        <v>12.871936</v>
      </c>
      <c r="MU114" s="52">
        <v>12.871936</v>
      </c>
      <c r="MV114" s="52">
        <v>12.871936</v>
      </c>
      <c r="MW114" s="52">
        <v>12.871936</v>
      </c>
      <c r="MX114" s="52">
        <v>12.871936</v>
      </c>
      <c r="MY114" s="52">
        <v>12.871936</v>
      </c>
      <c r="MZ114" s="52">
        <v>12.871936</v>
      </c>
      <c r="NA114" s="52">
        <v>12.871936</v>
      </c>
      <c r="NB114" s="52">
        <v>12.871936</v>
      </c>
      <c r="NC114" s="52">
        <v>13.956096000000001</v>
      </c>
      <c r="ND114" s="52">
        <v>0</v>
      </c>
      <c r="NE114" s="52"/>
      <c r="NF114" s="52"/>
      <c r="NG114" s="52"/>
      <c r="NH114" s="52"/>
    </row>
    <row r="115" spans="1:372" x14ac:dyDescent="0.2">
      <c r="A115" s="37">
        <v>113</v>
      </c>
      <c r="B115" s="37" t="s">
        <v>1035</v>
      </c>
      <c r="C115" s="17">
        <f>+'Detalle Compras'!D115</f>
        <v>20231226679</v>
      </c>
      <c r="D115" s="55">
        <f t="shared" si="16"/>
        <v>12.175185000000001</v>
      </c>
      <c r="E115" s="14">
        <f>+IF(B115="","",'Detalle Compras'!S115+0)</f>
        <v>45483</v>
      </c>
      <c r="F115" s="14">
        <f>+IF(B115="","",EOMONTH('Detalle Compras'!Q115,G115)+10)</f>
        <v>10846</v>
      </c>
      <c r="G115" s="50">
        <f t="shared" si="17"/>
        <v>355</v>
      </c>
      <c r="H115" s="50">
        <f t="shared" si="18"/>
        <v>337</v>
      </c>
      <c r="I115" s="37">
        <v>0</v>
      </c>
      <c r="J115" s="37">
        <v>0</v>
      </c>
      <c r="K115" s="37">
        <v>0</v>
      </c>
      <c r="L115" s="37">
        <v>0</v>
      </c>
      <c r="M115" s="52">
        <v>12.175185000000001</v>
      </c>
      <c r="N115" s="52">
        <v>12.175185000000001</v>
      </c>
      <c r="O115" s="52">
        <v>12.175185000000001</v>
      </c>
      <c r="P115" s="52">
        <v>12.175185000000001</v>
      </c>
      <c r="Q115" s="52">
        <v>12.175185000000001</v>
      </c>
      <c r="R115" s="52">
        <v>12.175185000000001</v>
      </c>
      <c r="S115" s="52">
        <v>12.175185000000001</v>
      </c>
      <c r="T115" s="52">
        <v>12.175185000000001</v>
      </c>
      <c r="U115" s="52">
        <v>12.175185000000001</v>
      </c>
      <c r="V115" s="52">
        <v>12.175185000000001</v>
      </c>
      <c r="W115" s="52">
        <v>12.175185000000001</v>
      </c>
      <c r="X115" s="52">
        <v>12.175185000000001</v>
      </c>
      <c r="Y115" s="52">
        <v>12.175185000000001</v>
      </c>
      <c r="Z115" s="52">
        <v>12.175185000000001</v>
      </c>
      <c r="AA115" s="52">
        <v>12.175185000000001</v>
      </c>
      <c r="AB115" s="52">
        <v>12.175185000000001</v>
      </c>
      <c r="AC115" s="52">
        <v>12.175185000000001</v>
      </c>
      <c r="AD115" s="52">
        <v>12.175185000000001</v>
      </c>
      <c r="AE115" s="52">
        <v>12.175185000000001</v>
      </c>
      <c r="AF115" s="52">
        <v>12.175185000000001</v>
      </c>
      <c r="AG115" s="52">
        <v>12.175185000000001</v>
      </c>
      <c r="AH115" s="52">
        <v>12.175185000000001</v>
      </c>
      <c r="AI115" s="52">
        <v>12.175185000000001</v>
      </c>
      <c r="AJ115" s="52">
        <v>12.175185000000001</v>
      </c>
      <c r="AK115" s="52">
        <v>12.175185000000001</v>
      </c>
      <c r="AL115" s="52">
        <v>12.175185000000001</v>
      </c>
      <c r="AM115" s="52">
        <v>12.175185000000001</v>
      </c>
      <c r="AN115" s="52">
        <v>12.175185000000001</v>
      </c>
      <c r="AO115" s="52">
        <v>12.175185000000001</v>
      </c>
      <c r="AP115" s="52">
        <v>12.175185000000001</v>
      </c>
      <c r="AQ115" s="52">
        <v>12.175185000000001</v>
      </c>
      <c r="AR115" s="52">
        <v>12.175185000000001</v>
      </c>
      <c r="AS115" s="52">
        <v>12.175185000000001</v>
      </c>
      <c r="AT115" s="52">
        <v>12.175185000000001</v>
      </c>
      <c r="AU115" s="52">
        <v>12.175185000000001</v>
      </c>
      <c r="AV115" s="52">
        <v>12.175185000000001</v>
      </c>
      <c r="AW115" s="52">
        <v>12.175185000000001</v>
      </c>
      <c r="AX115" s="52">
        <v>12.175185000000001</v>
      </c>
      <c r="AY115" s="52">
        <v>12.175185000000001</v>
      </c>
      <c r="AZ115" s="52">
        <v>12.175185000000001</v>
      </c>
      <c r="BA115" s="52">
        <v>12.175185000000001</v>
      </c>
      <c r="BB115" s="52">
        <v>12.175185000000001</v>
      </c>
      <c r="BC115" s="52">
        <v>12.175185000000001</v>
      </c>
      <c r="BD115" s="52">
        <v>12.175185000000001</v>
      </c>
      <c r="BE115" s="52">
        <v>12.175185000000001</v>
      </c>
      <c r="BF115" s="52">
        <v>12.175185000000001</v>
      </c>
      <c r="BG115" s="52">
        <v>12.175185000000001</v>
      </c>
      <c r="BH115" s="52">
        <v>12.175185000000001</v>
      </c>
      <c r="BI115" s="52">
        <v>12.175185000000001</v>
      </c>
      <c r="BJ115" s="52">
        <v>12.175185000000001</v>
      </c>
      <c r="BK115" s="52">
        <v>12.175185000000001</v>
      </c>
      <c r="BL115" s="52">
        <v>12.175185000000001</v>
      </c>
      <c r="BM115" s="52">
        <v>12.175185000000001</v>
      </c>
      <c r="BN115" s="52">
        <v>12.175185000000001</v>
      </c>
      <c r="BO115" s="52">
        <v>12.175185000000001</v>
      </c>
      <c r="BP115" s="52">
        <v>12.175185000000001</v>
      </c>
      <c r="BQ115" s="52">
        <v>12.175185000000001</v>
      </c>
      <c r="BR115" s="52">
        <v>12.175185000000001</v>
      </c>
      <c r="BS115" s="52">
        <v>12.175185000000001</v>
      </c>
      <c r="BT115" s="52">
        <v>12.175185000000001</v>
      </c>
      <c r="BU115" s="52">
        <v>12.175185000000001</v>
      </c>
      <c r="BV115" s="52">
        <v>12.175185000000001</v>
      </c>
      <c r="BW115" s="52">
        <v>12.175185000000001</v>
      </c>
      <c r="BX115" s="52">
        <v>12.175185000000001</v>
      </c>
      <c r="BY115" s="52">
        <v>12.175185000000001</v>
      </c>
      <c r="BZ115" s="52">
        <v>12.175185000000001</v>
      </c>
      <c r="CA115" s="52">
        <v>12.175185000000001</v>
      </c>
      <c r="CB115" s="52">
        <v>12.175185000000001</v>
      </c>
      <c r="CC115" s="52">
        <v>12.175185000000001</v>
      </c>
      <c r="CD115" s="52">
        <v>12.175185000000001</v>
      </c>
      <c r="CE115" s="52">
        <v>12.175185000000001</v>
      </c>
      <c r="CF115" s="52">
        <v>12.175185000000001</v>
      </c>
      <c r="CG115" s="52">
        <v>12.175185000000001</v>
      </c>
      <c r="CH115" s="52">
        <v>12.175185000000001</v>
      </c>
      <c r="CI115" s="52">
        <v>12.175185000000001</v>
      </c>
      <c r="CJ115" s="52">
        <v>12.175185000000001</v>
      </c>
      <c r="CK115" s="52">
        <v>12.175185000000001</v>
      </c>
      <c r="CL115" s="52">
        <v>12.175185000000001</v>
      </c>
      <c r="CM115" s="52">
        <v>12.175185000000001</v>
      </c>
      <c r="CN115" s="52">
        <v>12.175185000000001</v>
      </c>
      <c r="CO115" s="52">
        <v>12.175185000000001</v>
      </c>
      <c r="CP115" s="52">
        <v>12.175185000000001</v>
      </c>
      <c r="CQ115" s="52">
        <v>12.175185000000001</v>
      </c>
      <c r="CR115" s="52">
        <v>12.175185000000001</v>
      </c>
      <c r="CS115" s="52">
        <v>12.175185000000001</v>
      </c>
      <c r="CT115" s="52">
        <v>12.175185000000001</v>
      </c>
      <c r="CU115" s="52">
        <v>12.175185000000001</v>
      </c>
      <c r="CV115" s="52">
        <v>12.175185000000001</v>
      </c>
      <c r="CW115" s="52">
        <v>12.175185000000001</v>
      </c>
      <c r="CX115" s="52">
        <v>12.175185000000001</v>
      </c>
      <c r="CY115" s="52">
        <v>12.175185000000001</v>
      </c>
      <c r="CZ115" s="52">
        <v>12.175185000000001</v>
      </c>
      <c r="DA115" s="52">
        <v>12.175185000000001</v>
      </c>
      <c r="DB115" s="52">
        <v>12.175185000000001</v>
      </c>
      <c r="DC115" s="52">
        <v>12.175185000000001</v>
      </c>
      <c r="DD115" s="52">
        <v>12.175185000000001</v>
      </c>
      <c r="DE115" s="52">
        <v>12.175185000000001</v>
      </c>
      <c r="DF115" s="52">
        <v>12.175185000000001</v>
      </c>
      <c r="DG115" s="52">
        <v>12.175185000000001</v>
      </c>
      <c r="DH115" s="52">
        <v>12.175185000000001</v>
      </c>
      <c r="DI115" s="52">
        <v>12.175185000000001</v>
      </c>
      <c r="DJ115" s="52">
        <v>12.175185000000001</v>
      </c>
      <c r="DK115" s="52">
        <v>12.175185000000001</v>
      </c>
      <c r="DL115" s="52">
        <v>12.175185000000001</v>
      </c>
      <c r="DM115" s="52">
        <v>12.175185000000001</v>
      </c>
      <c r="DN115" s="52">
        <v>12.175185000000001</v>
      </c>
      <c r="DO115" s="52">
        <v>12.175185000000001</v>
      </c>
      <c r="DP115" s="52">
        <v>12.175185000000001</v>
      </c>
      <c r="DQ115" s="52">
        <v>12.175185000000001</v>
      </c>
      <c r="DR115" s="52">
        <v>12.175185000000001</v>
      </c>
      <c r="DS115" s="52">
        <v>12.175185000000001</v>
      </c>
      <c r="DT115" s="52">
        <v>12.175185000000001</v>
      </c>
      <c r="DU115" s="52">
        <v>12.175185000000001</v>
      </c>
      <c r="DV115" s="52">
        <v>12.175185000000001</v>
      </c>
      <c r="DW115" s="52">
        <v>12.175185000000001</v>
      </c>
      <c r="DX115" s="52">
        <v>12.175185000000001</v>
      </c>
      <c r="DY115" s="52">
        <v>12.175185000000001</v>
      </c>
      <c r="DZ115" s="52">
        <v>12.175185000000001</v>
      </c>
      <c r="EA115" s="52">
        <v>12.175185000000001</v>
      </c>
      <c r="EB115" s="52">
        <v>12.175185000000001</v>
      </c>
      <c r="EC115" s="52">
        <v>12.175185000000001</v>
      </c>
      <c r="ED115" s="52">
        <v>12.175185000000001</v>
      </c>
      <c r="EE115" s="52">
        <v>12.175185000000001</v>
      </c>
      <c r="EF115" s="52">
        <v>12.175185000000001</v>
      </c>
      <c r="EG115" s="52">
        <v>12.175185000000001</v>
      </c>
      <c r="EH115" s="52">
        <v>12.175185000000001</v>
      </c>
      <c r="EI115" s="52">
        <v>12.175185000000001</v>
      </c>
      <c r="EJ115" s="52">
        <v>12.175185000000001</v>
      </c>
      <c r="EK115" s="52">
        <v>12.175185000000001</v>
      </c>
      <c r="EL115" s="52">
        <v>12.175185000000001</v>
      </c>
      <c r="EM115" s="52">
        <v>12.175185000000001</v>
      </c>
      <c r="EN115" s="52">
        <v>12.175185000000001</v>
      </c>
      <c r="EO115" s="52">
        <v>12.175185000000001</v>
      </c>
      <c r="EP115" s="52">
        <v>12.175185000000001</v>
      </c>
      <c r="EQ115" s="52">
        <v>12.175185000000001</v>
      </c>
      <c r="ER115" s="52">
        <v>12.175185000000001</v>
      </c>
      <c r="ES115" s="52">
        <v>12.175185000000001</v>
      </c>
      <c r="ET115" s="52">
        <v>12.175185000000001</v>
      </c>
      <c r="EU115" s="52">
        <v>12.175185000000001</v>
      </c>
      <c r="EV115" s="52">
        <v>12.175185000000001</v>
      </c>
      <c r="EW115" s="52">
        <v>12.175185000000001</v>
      </c>
      <c r="EX115" s="52">
        <v>12.175185000000001</v>
      </c>
      <c r="EY115" s="52">
        <v>12.175185000000001</v>
      </c>
      <c r="EZ115" s="52">
        <v>12.175185000000001</v>
      </c>
      <c r="FA115" s="52">
        <v>12.175185000000001</v>
      </c>
      <c r="FB115" s="52">
        <v>12.175185000000001</v>
      </c>
      <c r="FC115" s="52">
        <v>12.175185000000001</v>
      </c>
      <c r="FD115" s="52">
        <v>12.175185000000001</v>
      </c>
      <c r="FE115" s="52">
        <v>12.175185000000001</v>
      </c>
      <c r="FF115" s="52">
        <v>12.175185000000001</v>
      </c>
      <c r="FG115" s="52">
        <v>12.175185000000001</v>
      </c>
      <c r="FH115" s="52">
        <v>12.175185000000001</v>
      </c>
      <c r="FI115" s="52">
        <v>12.175185000000001</v>
      </c>
      <c r="FJ115" s="52">
        <v>12.175185000000001</v>
      </c>
      <c r="FK115" s="52">
        <v>12.175185000000001</v>
      </c>
      <c r="FL115" s="52">
        <v>12.175185000000001</v>
      </c>
      <c r="FM115" s="52">
        <v>12.175185000000001</v>
      </c>
      <c r="FN115" s="52">
        <v>12.175185000000001</v>
      </c>
      <c r="FO115" s="52">
        <v>12.175185000000001</v>
      </c>
      <c r="FP115" s="52">
        <v>12.175185000000001</v>
      </c>
      <c r="FQ115" s="52">
        <v>12.175185000000001</v>
      </c>
      <c r="FR115" s="52">
        <v>12.175185000000001</v>
      </c>
      <c r="FS115" s="52">
        <v>12.175185000000001</v>
      </c>
      <c r="FT115" s="52">
        <v>12.175185000000001</v>
      </c>
      <c r="FU115" s="52">
        <v>12.175185000000001</v>
      </c>
      <c r="FV115" s="52">
        <v>12.175185000000001</v>
      </c>
      <c r="FW115" s="52">
        <v>12.175185000000001</v>
      </c>
      <c r="FX115" s="52">
        <v>12.175185000000001</v>
      </c>
      <c r="FY115" s="52">
        <v>12.175185000000001</v>
      </c>
      <c r="FZ115" s="52">
        <v>12.175185000000001</v>
      </c>
      <c r="GA115" s="52">
        <v>12.175185000000001</v>
      </c>
      <c r="GB115" s="52">
        <v>12.175185000000001</v>
      </c>
      <c r="GC115" s="52">
        <v>12.175185000000001</v>
      </c>
      <c r="GD115" s="52">
        <v>12.175185000000001</v>
      </c>
      <c r="GE115" s="52">
        <v>12.175185000000001</v>
      </c>
      <c r="GF115" s="52">
        <v>12.175185000000001</v>
      </c>
      <c r="GG115" s="52">
        <v>12.175185000000001</v>
      </c>
      <c r="GH115" s="52">
        <v>12.175185000000001</v>
      </c>
      <c r="GI115" s="52">
        <v>12.175185000000001</v>
      </c>
      <c r="GJ115" s="52">
        <v>12.175185000000001</v>
      </c>
      <c r="GK115" s="52">
        <v>12.175185000000001</v>
      </c>
      <c r="GL115" s="52">
        <v>12.175185000000001</v>
      </c>
      <c r="GM115" s="52">
        <v>12.175185000000001</v>
      </c>
      <c r="GN115" s="52">
        <v>12.175185000000001</v>
      </c>
      <c r="GO115" s="52">
        <v>12.175185000000001</v>
      </c>
      <c r="GP115" s="52">
        <v>12.175185000000001</v>
      </c>
      <c r="GQ115" s="52">
        <v>12.175185000000001</v>
      </c>
      <c r="GR115" s="52">
        <v>12.175185000000001</v>
      </c>
      <c r="GS115" s="52">
        <v>12.175185000000001</v>
      </c>
      <c r="GT115" s="52">
        <v>12.175185000000001</v>
      </c>
      <c r="GU115" s="52">
        <v>12.175185000000001</v>
      </c>
      <c r="GV115" s="52">
        <v>12.175185000000001</v>
      </c>
      <c r="GW115" s="52">
        <v>12.175185000000001</v>
      </c>
      <c r="GX115" s="52">
        <v>12.175185000000001</v>
      </c>
      <c r="GY115" s="52">
        <v>12.175185000000001</v>
      </c>
      <c r="GZ115" s="52">
        <v>12.175185000000001</v>
      </c>
      <c r="HA115" s="52">
        <v>12.175185000000001</v>
      </c>
      <c r="HB115" s="52">
        <v>12.175185000000001</v>
      </c>
      <c r="HC115" s="52">
        <v>12.175185000000001</v>
      </c>
      <c r="HD115" s="52">
        <v>12.175185000000001</v>
      </c>
      <c r="HE115" s="52">
        <v>12.175185000000001</v>
      </c>
      <c r="HF115" s="52">
        <v>12.175185000000001</v>
      </c>
      <c r="HG115" s="52">
        <v>12.175185000000001</v>
      </c>
      <c r="HH115" s="52">
        <v>12.175185000000001</v>
      </c>
      <c r="HI115" s="52">
        <v>12.175185000000001</v>
      </c>
      <c r="HJ115" s="52">
        <v>12.175185000000001</v>
      </c>
      <c r="HK115" s="52">
        <v>12.175185000000001</v>
      </c>
      <c r="HL115" s="52">
        <v>12.175185000000001</v>
      </c>
      <c r="HM115" s="52">
        <v>12.175185000000001</v>
      </c>
      <c r="HN115" s="52">
        <v>12.175185000000001</v>
      </c>
      <c r="HO115" s="52">
        <v>12.175185000000001</v>
      </c>
      <c r="HP115" s="52">
        <v>12.175185000000001</v>
      </c>
      <c r="HQ115" s="52">
        <v>12.175185000000001</v>
      </c>
      <c r="HR115" s="52">
        <v>12.175185000000001</v>
      </c>
      <c r="HS115" s="52">
        <v>12.175185000000001</v>
      </c>
      <c r="HT115" s="52">
        <v>12.175185000000001</v>
      </c>
      <c r="HU115" s="52">
        <v>12.175185000000001</v>
      </c>
      <c r="HV115" s="52">
        <v>12.175185000000001</v>
      </c>
      <c r="HW115" s="52">
        <v>12.175185000000001</v>
      </c>
      <c r="HX115" s="52">
        <v>12.175185000000001</v>
      </c>
      <c r="HY115" s="52">
        <v>12.175185000000001</v>
      </c>
      <c r="HZ115" s="52">
        <v>12.175185000000001</v>
      </c>
      <c r="IA115" s="52">
        <v>12.175185000000001</v>
      </c>
      <c r="IB115" s="52">
        <v>12.175185000000001</v>
      </c>
      <c r="IC115" s="52">
        <v>12.175185000000001</v>
      </c>
      <c r="ID115" s="52">
        <v>12.175185000000001</v>
      </c>
      <c r="IE115" s="52">
        <v>12.175185000000001</v>
      </c>
      <c r="IF115" s="52">
        <v>12.175185000000001</v>
      </c>
      <c r="IG115" s="52">
        <v>12.175185000000001</v>
      </c>
      <c r="IH115" s="52">
        <v>12.175185000000001</v>
      </c>
      <c r="II115" s="52">
        <v>12.175185000000001</v>
      </c>
      <c r="IJ115" s="52">
        <v>12.175185000000001</v>
      </c>
      <c r="IK115" s="52">
        <v>12.175185000000001</v>
      </c>
      <c r="IL115" s="52">
        <v>12.175185000000001</v>
      </c>
      <c r="IM115" s="52">
        <v>12.175185000000001</v>
      </c>
      <c r="IN115" s="52">
        <v>12.175185000000001</v>
      </c>
      <c r="IO115" s="52">
        <v>12.175185000000001</v>
      </c>
      <c r="IP115" s="52">
        <v>12.175185000000001</v>
      </c>
      <c r="IQ115" s="52">
        <v>12.175185000000001</v>
      </c>
      <c r="IR115" s="52">
        <v>12.175185000000001</v>
      </c>
      <c r="IS115" s="52">
        <v>12.175185000000001</v>
      </c>
      <c r="IT115" s="52">
        <v>12.175185000000001</v>
      </c>
      <c r="IU115" s="52">
        <v>12.175185000000001</v>
      </c>
      <c r="IV115" s="52">
        <v>12.175185000000001</v>
      </c>
      <c r="IW115" s="52">
        <v>12.175185000000001</v>
      </c>
      <c r="IX115" s="52">
        <v>12.175185000000001</v>
      </c>
      <c r="IY115" s="52">
        <v>12.175185000000001</v>
      </c>
      <c r="IZ115" s="52">
        <v>12.175185000000001</v>
      </c>
      <c r="JA115" s="52">
        <v>12.175185000000001</v>
      </c>
      <c r="JB115" s="52">
        <v>12.175185000000001</v>
      </c>
      <c r="JC115" s="52">
        <v>12.175185000000001</v>
      </c>
      <c r="JD115" s="52">
        <v>12.175185000000001</v>
      </c>
      <c r="JE115" s="52">
        <v>12.175185000000001</v>
      </c>
      <c r="JF115" s="52">
        <v>12.175185000000001</v>
      </c>
      <c r="JG115" s="52">
        <v>12.175185000000001</v>
      </c>
      <c r="JH115" s="52">
        <v>12.175185000000001</v>
      </c>
      <c r="JI115" s="52">
        <v>12.175185000000001</v>
      </c>
      <c r="JJ115" s="52">
        <v>12.175185000000001</v>
      </c>
      <c r="JK115" s="52">
        <v>12.175185000000001</v>
      </c>
      <c r="JL115" s="52">
        <v>12.175185000000001</v>
      </c>
      <c r="JM115" s="52">
        <v>12.175185000000001</v>
      </c>
      <c r="JN115" s="52">
        <v>12.175185000000001</v>
      </c>
      <c r="JO115" s="52">
        <v>12.175185000000001</v>
      </c>
      <c r="JP115" s="52">
        <v>12.175185000000001</v>
      </c>
      <c r="JQ115" s="52">
        <v>12.175185000000001</v>
      </c>
      <c r="JR115" s="52">
        <v>12.175185000000001</v>
      </c>
      <c r="JS115" s="52">
        <v>12.175185000000001</v>
      </c>
      <c r="JT115" s="52">
        <v>12.175185000000001</v>
      </c>
      <c r="JU115" s="52">
        <v>12.175185000000001</v>
      </c>
      <c r="JV115" s="52">
        <v>12.175185000000001</v>
      </c>
      <c r="JW115" s="52">
        <v>12.175185000000001</v>
      </c>
      <c r="JX115" s="52">
        <v>12.175185000000001</v>
      </c>
      <c r="JY115" s="52">
        <v>12.175185000000001</v>
      </c>
      <c r="JZ115" s="52">
        <v>12.175185000000001</v>
      </c>
      <c r="KA115" s="52">
        <v>12.175185000000001</v>
      </c>
      <c r="KB115" s="52">
        <v>12.175185000000001</v>
      </c>
      <c r="KC115" s="52">
        <v>12.175185000000001</v>
      </c>
      <c r="KD115" s="52">
        <v>12.175185000000001</v>
      </c>
      <c r="KE115" s="52">
        <v>12.175185000000001</v>
      </c>
      <c r="KF115" s="52">
        <v>12.175185000000001</v>
      </c>
      <c r="KG115" s="52">
        <v>12.175185000000001</v>
      </c>
      <c r="KH115" s="52">
        <v>12.175185000000001</v>
      </c>
      <c r="KI115" s="52">
        <v>12.175185000000001</v>
      </c>
      <c r="KJ115" s="52">
        <v>12.175185000000001</v>
      </c>
      <c r="KK115" s="52">
        <v>12.175185000000001</v>
      </c>
      <c r="KL115" s="52">
        <v>12.175185000000001</v>
      </c>
      <c r="KM115" s="52">
        <v>12.175185000000001</v>
      </c>
      <c r="KN115" s="52">
        <v>12.175185000000001</v>
      </c>
      <c r="KO115" s="52">
        <v>12.175185000000001</v>
      </c>
      <c r="KP115" s="52">
        <v>12.175185000000001</v>
      </c>
      <c r="KQ115" s="52">
        <v>12.175185000000001</v>
      </c>
      <c r="KR115" s="52">
        <v>12.175185000000001</v>
      </c>
      <c r="KS115" s="52">
        <v>12.175185000000001</v>
      </c>
      <c r="KT115" s="52">
        <v>12.175185000000001</v>
      </c>
      <c r="KU115" s="52">
        <v>12.175185000000001</v>
      </c>
      <c r="KV115" s="52">
        <v>12.175185000000001</v>
      </c>
      <c r="KW115" s="52">
        <v>12.175185000000001</v>
      </c>
      <c r="KX115" s="52">
        <v>12.175185000000001</v>
      </c>
      <c r="KY115" s="52">
        <v>12.175185000000001</v>
      </c>
      <c r="KZ115" s="52">
        <v>12.175185000000001</v>
      </c>
      <c r="LA115" s="52">
        <v>12.175185000000001</v>
      </c>
      <c r="LB115" s="52">
        <v>12.175185000000001</v>
      </c>
      <c r="LC115" s="52">
        <v>12.175185000000001</v>
      </c>
      <c r="LD115" s="52">
        <v>12.175185000000001</v>
      </c>
      <c r="LE115" s="52">
        <v>12.175185000000001</v>
      </c>
      <c r="LF115" s="52">
        <v>12.175185000000001</v>
      </c>
      <c r="LG115" s="52">
        <v>12.175185000000001</v>
      </c>
      <c r="LH115" s="52">
        <v>12.175185000000001</v>
      </c>
      <c r="LI115" s="52">
        <v>12.175185000000001</v>
      </c>
      <c r="LJ115" s="52">
        <v>12.175185000000001</v>
      </c>
      <c r="LK115" s="52">
        <v>12.175185000000001</v>
      </c>
      <c r="LL115" s="52">
        <v>12.175185000000001</v>
      </c>
      <c r="LM115" s="52">
        <v>12.175185000000001</v>
      </c>
      <c r="LN115" s="52">
        <v>12.175185000000001</v>
      </c>
      <c r="LO115" s="52">
        <v>12.175185000000001</v>
      </c>
      <c r="LP115" s="52">
        <v>12.175185000000001</v>
      </c>
      <c r="LQ115" s="52">
        <v>12.175185000000001</v>
      </c>
      <c r="LR115" s="52">
        <v>12.175185000000001</v>
      </c>
      <c r="LS115" s="52">
        <v>12.175185000000001</v>
      </c>
      <c r="LT115" s="52">
        <v>12.175185000000001</v>
      </c>
      <c r="LU115" s="52">
        <v>12.175185000000001</v>
      </c>
      <c r="LV115" s="52">
        <v>12.175185000000001</v>
      </c>
      <c r="LW115" s="52">
        <v>12.175185000000001</v>
      </c>
      <c r="LX115" s="52">
        <v>12.175185000000001</v>
      </c>
      <c r="LY115" s="52">
        <v>12.175185000000001</v>
      </c>
      <c r="LZ115" s="52">
        <v>12.175185000000001</v>
      </c>
      <c r="MA115" s="52">
        <v>12.175185000000001</v>
      </c>
      <c r="MB115" s="52">
        <v>12.175185000000001</v>
      </c>
      <c r="MC115" s="52">
        <v>12.175185000000001</v>
      </c>
      <c r="MD115" s="52">
        <v>12.175185000000001</v>
      </c>
      <c r="ME115" s="52">
        <v>12.175185000000001</v>
      </c>
      <c r="MF115" s="52">
        <v>12.175185000000001</v>
      </c>
      <c r="MG115" s="52">
        <v>12.175185000000001</v>
      </c>
      <c r="MH115" s="52">
        <v>12.175185000000001</v>
      </c>
      <c r="MI115" s="52">
        <v>12.175185000000001</v>
      </c>
      <c r="MJ115" s="52">
        <v>12.175185000000001</v>
      </c>
      <c r="MK115" s="52">
        <v>12.175185000000001</v>
      </c>
      <c r="ML115" s="52">
        <v>12.175185000000001</v>
      </c>
      <c r="MM115" s="52">
        <v>12.175185000000001</v>
      </c>
      <c r="MN115" s="52">
        <v>12.175185000000001</v>
      </c>
      <c r="MO115" s="52">
        <v>12.175185000000001</v>
      </c>
      <c r="MP115" s="52">
        <v>12.175185000000001</v>
      </c>
      <c r="MQ115" s="52">
        <v>12.175185000000001</v>
      </c>
      <c r="MR115" s="52">
        <v>12.175185000000001</v>
      </c>
      <c r="MS115" s="52">
        <v>12.175185000000001</v>
      </c>
      <c r="MT115" s="52">
        <v>12.175185000000001</v>
      </c>
      <c r="MU115" s="52">
        <v>12.175185000000001</v>
      </c>
      <c r="MV115" s="52">
        <v>12.175185000000001</v>
      </c>
      <c r="MW115" s="52">
        <v>12.175185000000001</v>
      </c>
      <c r="MX115" s="52">
        <v>12.175185000000001</v>
      </c>
      <c r="MY115" s="52">
        <v>12.175185000000001</v>
      </c>
      <c r="MZ115" s="52">
        <v>12.175185000000001</v>
      </c>
      <c r="NA115" s="52">
        <v>12.175185000000001</v>
      </c>
      <c r="NB115" s="52">
        <v>12.175185000000001</v>
      </c>
      <c r="NC115" s="52">
        <v>13.200659999999999</v>
      </c>
      <c r="ND115" s="52">
        <v>0</v>
      </c>
      <c r="NE115" s="52"/>
      <c r="NF115" s="52"/>
      <c r="NG115" s="52"/>
      <c r="NH115" s="52"/>
    </row>
    <row r="116" spans="1:372" x14ac:dyDescent="0.2">
      <c r="A116" s="37">
        <v>114</v>
      </c>
      <c r="B116" s="37" t="s">
        <v>1039</v>
      </c>
      <c r="C116" s="17">
        <f>+'Detalle Compras'!D116</f>
        <v>20231226680</v>
      </c>
      <c r="D116" s="55">
        <f t="shared" si="16"/>
        <v>5.8182299999999998</v>
      </c>
      <c r="E116" s="14">
        <f>+IF(B116="","",'Detalle Compras'!S116+0)</f>
        <v>45483</v>
      </c>
      <c r="F116" s="14">
        <f>+IF(B116="","",EOMONTH('Detalle Compras'!Q116,G116)+10)</f>
        <v>10846</v>
      </c>
      <c r="G116" s="50">
        <f t="shared" si="17"/>
        <v>355</v>
      </c>
      <c r="H116" s="50">
        <f t="shared" si="18"/>
        <v>337</v>
      </c>
      <c r="I116" s="37">
        <v>0</v>
      </c>
      <c r="J116" s="37">
        <v>0</v>
      </c>
      <c r="K116" s="37">
        <v>0</v>
      </c>
      <c r="L116" s="37">
        <v>0</v>
      </c>
      <c r="M116" s="52">
        <v>5.8182299999999998</v>
      </c>
      <c r="N116" s="52">
        <v>5.8182299999999998</v>
      </c>
      <c r="O116" s="52">
        <v>5.8182299999999998</v>
      </c>
      <c r="P116" s="52">
        <v>5.8182299999999998</v>
      </c>
      <c r="Q116" s="52">
        <v>5.8182299999999998</v>
      </c>
      <c r="R116" s="52">
        <v>5.8182299999999998</v>
      </c>
      <c r="S116" s="52">
        <v>5.8182299999999998</v>
      </c>
      <c r="T116" s="52">
        <v>5.8182299999999998</v>
      </c>
      <c r="U116" s="52">
        <v>5.8182299999999998</v>
      </c>
      <c r="V116" s="52">
        <v>5.8182299999999998</v>
      </c>
      <c r="W116" s="52">
        <v>5.8182299999999998</v>
      </c>
      <c r="X116" s="52">
        <v>5.8182299999999998</v>
      </c>
      <c r="Y116" s="52">
        <v>5.8182299999999998</v>
      </c>
      <c r="Z116" s="52">
        <v>5.8182299999999998</v>
      </c>
      <c r="AA116" s="52">
        <v>5.8182299999999998</v>
      </c>
      <c r="AB116" s="52">
        <v>5.8182299999999998</v>
      </c>
      <c r="AC116" s="52">
        <v>5.8182299999999998</v>
      </c>
      <c r="AD116" s="52">
        <v>5.8182299999999998</v>
      </c>
      <c r="AE116" s="52">
        <v>5.8182299999999998</v>
      </c>
      <c r="AF116" s="52">
        <v>5.8182299999999998</v>
      </c>
      <c r="AG116" s="52">
        <v>5.8182299999999998</v>
      </c>
      <c r="AH116" s="52">
        <v>5.8182299999999998</v>
      </c>
      <c r="AI116" s="52">
        <v>5.8182299999999998</v>
      </c>
      <c r="AJ116" s="52">
        <v>5.8182299999999998</v>
      </c>
      <c r="AK116" s="52">
        <v>5.8182299999999998</v>
      </c>
      <c r="AL116" s="52">
        <v>5.8182299999999998</v>
      </c>
      <c r="AM116" s="52">
        <v>5.8182299999999998</v>
      </c>
      <c r="AN116" s="52">
        <v>5.8182299999999998</v>
      </c>
      <c r="AO116" s="52">
        <v>5.8182299999999998</v>
      </c>
      <c r="AP116" s="52">
        <v>5.8182299999999998</v>
      </c>
      <c r="AQ116" s="52">
        <v>5.8182299999999998</v>
      </c>
      <c r="AR116" s="52">
        <v>5.8182299999999998</v>
      </c>
      <c r="AS116" s="52">
        <v>5.8182299999999998</v>
      </c>
      <c r="AT116" s="52">
        <v>5.8182299999999998</v>
      </c>
      <c r="AU116" s="52">
        <v>5.8182299999999998</v>
      </c>
      <c r="AV116" s="52">
        <v>5.8182299999999998</v>
      </c>
      <c r="AW116" s="52">
        <v>5.8182299999999998</v>
      </c>
      <c r="AX116" s="52">
        <v>5.8182299999999998</v>
      </c>
      <c r="AY116" s="52">
        <v>5.8182299999999998</v>
      </c>
      <c r="AZ116" s="52">
        <v>5.8182299999999998</v>
      </c>
      <c r="BA116" s="52">
        <v>5.8182299999999998</v>
      </c>
      <c r="BB116" s="52">
        <v>5.8182299999999998</v>
      </c>
      <c r="BC116" s="52">
        <v>5.8182299999999998</v>
      </c>
      <c r="BD116" s="52">
        <v>5.8182299999999998</v>
      </c>
      <c r="BE116" s="52">
        <v>5.8182299999999998</v>
      </c>
      <c r="BF116" s="52">
        <v>5.8182299999999998</v>
      </c>
      <c r="BG116" s="52">
        <v>5.8182299999999998</v>
      </c>
      <c r="BH116" s="52">
        <v>5.8182299999999998</v>
      </c>
      <c r="BI116" s="52">
        <v>5.8182299999999998</v>
      </c>
      <c r="BJ116" s="52">
        <v>5.8182299999999998</v>
      </c>
      <c r="BK116" s="52">
        <v>5.8182299999999998</v>
      </c>
      <c r="BL116" s="52">
        <v>5.8182299999999998</v>
      </c>
      <c r="BM116" s="52">
        <v>5.8182299999999998</v>
      </c>
      <c r="BN116" s="52">
        <v>5.8182299999999998</v>
      </c>
      <c r="BO116" s="52">
        <v>5.8182299999999998</v>
      </c>
      <c r="BP116" s="52">
        <v>5.8182299999999998</v>
      </c>
      <c r="BQ116" s="52">
        <v>5.8182299999999998</v>
      </c>
      <c r="BR116" s="52">
        <v>5.8182299999999998</v>
      </c>
      <c r="BS116" s="52">
        <v>5.8182299999999998</v>
      </c>
      <c r="BT116" s="52">
        <v>5.8182299999999998</v>
      </c>
      <c r="BU116" s="52">
        <v>5.8182299999999998</v>
      </c>
      <c r="BV116" s="52">
        <v>5.8182299999999998</v>
      </c>
      <c r="BW116" s="52">
        <v>5.8182299999999998</v>
      </c>
      <c r="BX116" s="52">
        <v>5.8182299999999998</v>
      </c>
      <c r="BY116" s="52">
        <v>5.8182299999999998</v>
      </c>
      <c r="BZ116" s="52">
        <v>5.8182299999999998</v>
      </c>
      <c r="CA116" s="52">
        <v>5.8182299999999998</v>
      </c>
      <c r="CB116" s="52">
        <v>5.8182299999999998</v>
      </c>
      <c r="CC116" s="52">
        <v>5.8182299999999998</v>
      </c>
      <c r="CD116" s="52">
        <v>5.8182299999999998</v>
      </c>
      <c r="CE116" s="52">
        <v>5.8182299999999998</v>
      </c>
      <c r="CF116" s="52">
        <v>5.8182299999999998</v>
      </c>
      <c r="CG116" s="52">
        <v>5.8182299999999998</v>
      </c>
      <c r="CH116" s="52">
        <v>5.8182299999999998</v>
      </c>
      <c r="CI116" s="52">
        <v>5.8182299999999998</v>
      </c>
      <c r="CJ116" s="52">
        <v>5.8182299999999998</v>
      </c>
      <c r="CK116" s="52">
        <v>5.8182299999999998</v>
      </c>
      <c r="CL116" s="52">
        <v>5.8182299999999998</v>
      </c>
      <c r="CM116" s="52">
        <v>5.8182299999999998</v>
      </c>
      <c r="CN116" s="52">
        <v>5.8182299999999998</v>
      </c>
      <c r="CO116" s="52">
        <v>5.8182299999999998</v>
      </c>
      <c r="CP116" s="52">
        <v>5.8182299999999998</v>
      </c>
      <c r="CQ116" s="52">
        <v>5.8182299999999998</v>
      </c>
      <c r="CR116" s="52">
        <v>5.8182299999999998</v>
      </c>
      <c r="CS116" s="52">
        <v>5.8182299999999998</v>
      </c>
      <c r="CT116" s="52">
        <v>5.8182299999999998</v>
      </c>
      <c r="CU116" s="52">
        <v>5.8182299999999998</v>
      </c>
      <c r="CV116" s="52">
        <v>5.8182299999999998</v>
      </c>
      <c r="CW116" s="52">
        <v>5.8182299999999998</v>
      </c>
      <c r="CX116" s="52">
        <v>5.8182299999999998</v>
      </c>
      <c r="CY116" s="52">
        <v>5.8182299999999998</v>
      </c>
      <c r="CZ116" s="52">
        <v>5.8182299999999998</v>
      </c>
      <c r="DA116" s="52">
        <v>5.8182299999999998</v>
      </c>
      <c r="DB116" s="52">
        <v>5.8182299999999998</v>
      </c>
      <c r="DC116" s="52">
        <v>5.8182299999999998</v>
      </c>
      <c r="DD116" s="52">
        <v>5.8182299999999998</v>
      </c>
      <c r="DE116" s="52">
        <v>5.8182299999999998</v>
      </c>
      <c r="DF116" s="52">
        <v>5.8182299999999998</v>
      </c>
      <c r="DG116" s="52">
        <v>5.8182299999999998</v>
      </c>
      <c r="DH116" s="52">
        <v>5.8182299999999998</v>
      </c>
      <c r="DI116" s="52">
        <v>5.8182299999999998</v>
      </c>
      <c r="DJ116" s="52">
        <v>5.8182299999999998</v>
      </c>
      <c r="DK116" s="52">
        <v>5.8182299999999998</v>
      </c>
      <c r="DL116" s="52">
        <v>5.8182299999999998</v>
      </c>
      <c r="DM116" s="52">
        <v>5.8182299999999998</v>
      </c>
      <c r="DN116" s="52">
        <v>5.8182299999999998</v>
      </c>
      <c r="DO116" s="52">
        <v>5.8182299999999998</v>
      </c>
      <c r="DP116" s="52">
        <v>5.8182299999999998</v>
      </c>
      <c r="DQ116" s="52">
        <v>5.8182299999999998</v>
      </c>
      <c r="DR116" s="52">
        <v>5.8182299999999998</v>
      </c>
      <c r="DS116" s="52">
        <v>5.8182299999999998</v>
      </c>
      <c r="DT116" s="52">
        <v>5.8182299999999998</v>
      </c>
      <c r="DU116" s="52">
        <v>5.8182299999999998</v>
      </c>
      <c r="DV116" s="52">
        <v>5.8182299999999998</v>
      </c>
      <c r="DW116" s="52">
        <v>5.8182299999999998</v>
      </c>
      <c r="DX116" s="52">
        <v>5.8182299999999998</v>
      </c>
      <c r="DY116" s="52">
        <v>5.8182299999999998</v>
      </c>
      <c r="DZ116" s="52">
        <v>5.8182299999999998</v>
      </c>
      <c r="EA116" s="52">
        <v>5.8182299999999998</v>
      </c>
      <c r="EB116" s="52">
        <v>5.8182299999999998</v>
      </c>
      <c r="EC116" s="52">
        <v>5.8182299999999998</v>
      </c>
      <c r="ED116" s="52">
        <v>5.8182299999999998</v>
      </c>
      <c r="EE116" s="52">
        <v>5.8182299999999998</v>
      </c>
      <c r="EF116" s="52">
        <v>5.8182299999999998</v>
      </c>
      <c r="EG116" s="52">
        <v>5.8182299999999998</v>
      </c>
      <c r="EH116" s="52">
        <v>5.8182299999999998</v>
      </c>
      <c r="EI116" s="52">
        <v>5.8182299999999998</v>
      </c>
      <c r="EJ116" s="52">
        <v>5.8182299999999998</v>
      </c>
      <c r="EK116" s="52">
        <v>5.8182299999999998</v>
      </c>
      <c r="EL116" s="52">
        <v>5.8182299999999998</v>
      </c>
      <c r="EM116" s="52">
        <v>5.8182299999999998</v>
      </c>
      <c r="EN116" s="52">
        <v>5.8182299999999998</v>
      </c>
      <c r="EO116" s="52">
        <v>5.8182299999999998</v>
      </c>
      <c r="EP116" s="52">
        <v>5.8182299999999998</v>
      </c>
      <c r="EQ116" s="52">
        <v>5.8182299999999998</v>
      </c>
      <c r="ER116" s="52">
        <v>5.8182299999999998</v>
      </c>
      <c r="ES116" s="52">
        <v>5.8182299999999998</v>
      </c>
      <c r="ET116" s="52">
        <v>5.8182299999999998</v>
      </c>
      <c r="EU116" s="52">
        <v>5.8182299999999998</v>
      </c>
      <c r="EV116" s="52">
        <v>5.8182299999999998</v>
      </c>
      <c r="EW116" s="52">
        <v>5.8182299999999998</v>
      </c>
      <c r="EX116" s="52">
        <v>5.8182299999999998</v>
      </c>
      <c r="EY116" s="52">
        <v>5.8182299999999998</v>
      </c>
      <c r="EZ116" s="52">
        <v>5.8182299999999998</v>
      </c>
      <c r="FA116" s="52">
        <v>5.8182299999999998</v>
      </c>
      <c r="FB116" s="52">
        <v>5.8182299999999998</v>
      </c>
      <c r="FC116" s="52">
        <v>5.8182299999999998</v>
      </c>
      <c r="FD116" s="52">
        <v>5.8182299999999998</v>
      </c>
      <c r="FE116" s="52">
        <v>5.8182299999999998</v>
      </c>
      <c r="FF116" s="52">
        <v>5.8182299999999998</v>
      </c>
      <c r="FG116" s="52">
        <v>5.8182299999999998</v>
      </c>
      <c r="FH116" s="52">
        <v>5.8182299999999998</v>
      </c>
      <c r="FI116" s="52">
        <v>5.8182299999999998</v>
      </c>
      <c r="FJ116" s="52">
        <v>5.8182299999999998</v>
      </c>
      <c r="FK116" s="52">
        <v>5.8182299999999998</v>
      </c>
      <c r="FL116" s="52">
        <v>5.8182299999999998</v>
      </c>
      <c r="FM116" s="52">
        <v>5.8182299999999998</v>
      </c>
      <c r="FN116" s="52">
        <v>5.8182299999999998</v>
      </c>
      <c r="FO116" s="52">
        <v>5.8182299999999998</v>
      </c>
      <c r="FP116" s="52">
        <v>5.8182299999999998</v>
      </c>
      <c r="FQ116" s="52">
        <v>5.8182299999999998</v>
      </c>
      <c r="FR116" s="52">
        <v>5.8182299999999998</v>
      </c>
      <c r="FS116" s="52">
        <v>5.8182299999999998</v>
      </c>
      <c r="FT116" s="52">
        <v>5.8182299999999998</v>
      </c>
      <c r="FU116" s="52">
        <v>5.8182299999999998</v>
      </c>
      <c r="FV116" s="52">
        <v>5.8182299999999998</v>
      </c>
      <c r="FW116" s="52">
        <v>5.8182299999999998</v>
      </c>
      <c r="FX116" s="52">
        <v>5.8182299999999998</v>
      </c>
      <c r="FY116" s="52">
        <v>5.8182299999999998</v>
      </c>
      <c r="FZ116" s="52">
        <v>5.8182299999999998</v>
      </c>
      <c r="GA116" s="52">
        <v>5.8182299999999998</v>
      </c>
      <c r="GB116" s="52">
        <v>5.8182299999999998</v>
      </c>
      <c r="GC116" s="52">
        <v>5.8182299999999998</v>
      </c>
      <c r="GD116" s="52">
        <v>5.8182299999999998</v>
      </c>
      <c r="GE116" s="52">
        <v>5.8182299999999998</v>
      </c>
      <c r="GF116" s="52">
        <v>5.8182299999999998</v>
      </c>
      <c r="GG116" s="52">
        <v>5.8182299999999998</v>
      </c>
      <c r="GH116" s="52">
        <v>5.8182299999999998</v>
      </c>
      <c r="GI116" s="52">
        <v>5.8182299999999998</v>
      </c>
      <c r="GJ116" s="52">
        <v>5.8182299999999998</v>
      </c>
      <c r="GK116" s="52">
        <v>5.8182299999999998</v>
      </c>
      <c r="GL116" s="52">
        <v>5.8182299999999998</v>
      </c>
      <c r="GM116" s="52">
        <v>5.8182299999999998</v>
      </c>
      <c r="GN116" s="52">
        <v>5.8182299999999998</v>
      </c>
      <c r="GO116" s="52">
        <v>5.8182299999999998</v>
      </c>
      <c r="GP116" s="52">
        <v>5.8182299999999998</v>
      </c>
      <c r="GQ116" s="52">
        <v>5.8182299999999998</v>
      </c>
      <c r="GR116" s="52">
        <v>5.8182299999999998</v>
      </c>
      <c r="GS116" s="52">
        <v>5.8182299999999998</v>
      </c>
      <c r="GT116" s="52">
        <v>5.8182299999999998</v>
      </c>
      <c r="GU116" s="52">
        <v>5.8182299999999998</v>
      </c>
      <c r="GV116" s="52">
        <v>5.8182299999999998</v>
      </c>
      <c r="GW116" s="52">
        <v>5.8182299999999998</v>
      </c>
      <c r="GX116" s="52">
        <v>5.8182299999999998</v>
      </c>
      <c r="GY116" s="52">
        <v>5.8182299999999998</v>
      </c>
      <c r="GZ116" s="52">
        <v>5.8182299999999998</v>
      </c>
      <c r="HA116" s="52">
        <v>5.8182299999999998</v>
      </c>
      <c r="HB116" s="52">
        <v>5.8182299999999998</v>
      </c>
      <c r="HC116" s="52">
        <v>5.8182299999999998</v>
      </c>
      <c r="HD116" s="52">
        <v>5.8182299999999998</v>
      </c>
      <c r="HE116" s="52">
        <v>5.8182299999999998</v>
      </c>
      <c r="HF116" s="52">
        <v>5.8182299999999998</v>
      </c>
      <c r="HG116" s="52">
        <v>5.8182299999999998</v>
      </c>
      <c r="HH116" s="52">
        <v>5.8182299999999998</v>
      </c>
      <c r="HI116" s="52">
        <v>5.8182299999999998</v>
      </c>
      <c r="HJ116" s="52">
        <v>5.8182299999999998</v>
      </c>
      <c r="HK116" s="52">
        <v>5.8182299999999998</v>
      </c>
      <c r="HL116" s="52">
        <v>5.8182299999999998</v>
      </c>
      <c r="HM116" s="52">
        <v>5.8182299999999998</v>
      </c>
      <c r="HN116" s="52">
        <v>5.8182299999999998</v>
      </c>
      <c r="HO116" s="52">
        <v>5.8182299999999998</v>
      </c>
      <c r="HP116" s="52">
        <v>5.8182299999999998</v>
      </c>
      <c r="HQ116" s="52">
        <v>5.8182299999999998</v>
      </c>
      <c r="HR116" s="52">
        <v>5.8182299999999998</v>
      </c>
      <c r="HS116" s="52">
        <v>5.8182299999999998</v>
      </c>
      <c r="HT116" s="52">
        <v>5.8182299999999998</v>
      </c>
      <c r="HU116" s="52">
        <v>5.8182299999999998</v>
      </c>
      <c r="HV116" s="52">
        <v>5.8182299999999998</v>
      </c>
      <c r="HW116" s="52">
        <v>5.8182299999999998</v>
      </c>
      <c r="HX116" s="52">
        <v>5.8182299999999998</v>
      </c>
      <c r="HY116" s="52">
        <v>5.8182299999999998</v>
      </c>
      <c r="HZ116" s="52">
        <v>5.8182299999999998</v>
      </c>
      <c r="IA116" s="52">
        <v>5.8182299999999998</v>
      </c>
      <c r="IB116" s="52">
        <v>5.8182299999999998</v>
      </c>
      <c r="IC116" s="52">
        <v>5.8182299999999998</v>
      </c>
      <c r="ID116" s="52">
        <v>5.8182299999999998</v>
      </c>
      <c r="IE116" s="52">
        <v>5.8182299999999998</v>
      </c>
      <c r="IF116" s="52">
        <v>5.8182299999999998</v>
      </c>
      <c r="IG116" s="52">
        <v>5.8182299999999998</v>
      </c>
      <c r="IH116" s="52">
        <v>5.8182299999999998</v>
      </c>
      <c r="II116" s="52">
        <v>5.8182299999999998</v>
      </c>
      <c r="IJ116" s="52">
        <v>5.8182299999999998</v>
      </c>
      <c r="IK116" s="52">
        <v>5.8182299999999998</v>
      </c>
      <c r="IL116" s="52">
        <v>5.8182299999999998</v>
      </c>
      <c r="IM116" s="52">
        <v>5.8182299999999998</v>
      </c>
      <c r="IN116" s="52">
        <v>5.8182299999999998</v>
      </c>
      <c r="IO116" s="52">
        <v>5.8182299999999998</v>
      </c>
      <c r="IP116" s="52">
        <v>5.8182299999999998</v>
      </c>
      <c r="IQ116" s="52">
        <v>5.8182299999999998</v>
      </c>
      <c r="IR116" s="52">
        <v>5.8182299999999998</v>
      </c>
      <c r="IS116" s="52">
        <v>5.8182299999999998</v>
      </c>
      <c r="IT116" s="52">
        <v>5.8182299999999998</v>
      </c>
      <c r="IU116" s="52">
        <v>5.8182299999999998</v>
      </c>
      <c r="IV116" s="52">
        <v>5.8182299999999998</v>
      </c>
      <c r="IW116" s="52">
        <v>5.8182299999999998</v>
      </c>
      <c r="IX116" s="52">
        <v>5.8182299999999998</v>
      </c>
      <c r="IY116" s="52">
        <v>5.8182299999999998</v>
      </c>
      <c r="IZ116" s="52">
        <v>5.8182299999999998</v>
      </c>
      <c r="JA116" s="52">
        <v>5.8182299999999998</v>
      </c>
      <c r="JB116" s="52">
        <v>5.8182299999999998</v>
      </c>
      <c r="JC116" s="52">
        <v>5.8182299999999998</v>
      </c>
      <c r="JD116" s="52">
        <v>5.8182299999999998</v>
      </c>
      <c r="JE116" s="52">
        <v>5.8182299999999998</v>
      </c>
      <c r="JF116" s="52">
        <v>5.8182299999999998</v>
      </c>
      <c r="JG116" s="52">
        <v>5.8182299999999998</v>
      </c>
      <c r="JH116" s="52">
        <v>5.8182299999999998</v>
      </c>
      <c r="JI116" s="52">
        <v>5.8182299999999998</v>
      </c>
      <c r="JJ116" s="52">
        <v>5.8182299999999998</v>
      </c>
      <c r="JK116" s="52">
        <v>5.8182299999999998</v>
      </c>
      <c r="JL116" s="52">
        <v>5.8182299999999998</v>
      </c>
      <c r="JM116" s="52">
        <v>5.8182299999999998</v>
      </c>
      <c r="JN116" s="52">
        <v>5.8182299999999998</v>
      </c>
      <c r="JO116" s="52">
        <v>5.8182299999999998</v>
      </c>
      <c r="JP116" s="52">
        <v>5.8182299999999998</v>
      </c>
      <c r="JQ116" s="52">
        <v>5.8182299999999998</v>
      </c>
      <c r="JR116" s="52">
        <v>5.8182299999999998</v>
      </c>
      <c r="JS116" s="52">
        <v>5.8182299999999998</v>
      </c>
      <c r="JT116" s="52">
        <v>5.8182299999999998</v>
      </c>
      <c r="JU116" s="52">
        <v>5.8182299999999998</v>
      </c>
      <c r="JV116" s="52">
        <v>5.8182299999999998</v>
      </c>
      <c r="JW116" s="52">
        <v>5.8182299999999998</v>
      </c>
      <c r="JX116" s="52">
        <v>5.8182299999999998</v>
      </c>
      <c r="JY116" s="52">
        <v>5.8182299999999998</v>
      </c>
      <c r="JZ116" s="52">
        <v>5.8182299999999998</v>
      </c>
      <c r="KA116" s="52">
        <v>5.8182299999999998</v>
      </c>
      <c r="KB116" s="52">
        <v>5.8182299999999998</v>
      </c>
      <c r="KC116" s="52">
        <v>5.8182299999999998</v>
      </c>
      <c r="KD116" s="52">
        <v>5.8182299999999998</v>
      </c>
      <c r="KE116" s="52">
        <v>5.8182299999999998</v>
      </c>
      <c r="KF116" s="52">
        <v>5.8182299999999998</v>
      </c>
      <c r="KG116" s="52">
        <v>5.8182299999999998</v>
      </c>
      <c r="KH116" s="52">
        <v>5.8182299999999998</v>
      </c>
      <c r="KI116" s="52">
        <v>5.8182299999999998</v>
      </c>
      <c r="KJ116" s="52">
        <v>5.8182299999999998</v>
      </c>
      <c r="KK116" s="52">
        <v>5.8182299999999998</v>
      </c>
      <c r="KL116" s="52">
        <v>5.8182299999999998</v>
      </c>
      <c r="KM116" s="52">
        <v>5.8182299999999998</v>
      </c>
      <c r="KN116" s="52">
        <v>5.8182299999999998</v>
      </c>
      <c r="KO116" s="52">
        <v>5.8182299999999998</v>
      </c>
      <c r="KP116" s="52">
        <v>5.8182299999999998</v>
      </c>
      <c r="KQ116" s="52">
        <v>5.8182299999999998</v>
      </c>
      <c r="KR116" s="52">
        <v>5.8182299999999998</v>
      </c>
      <c r="KS116" s="52">
        <v>5.8182299999999998</v>
      </c>
      <c r="KT116" s="52">
        <v>5.8182299999999998</v>
      </c>
      <c r="KU116" s="52">
        <v>5.8182299999999998</v>
      </c>
      <c r="KV116" s="52">
        <v>5.8182299999999998</v>
      </c>
      <c r="KW116" s="52">
        <v>5.8182299999999998</v>
      </c>
      <c r="KX116" s="52">
        <v>5.8182299999999998</v>
      </c>
      <c r="KY116" s="52">
        <v>5.8182299999999998</v>
      </c>
      <c r="KZ116" s="52">
        <v>5.8182299999999998</v>
      </c>
      <c r="LA116" s="52">
        <v>5.8182299999999998</v>
      </c>
      <c r="LB116" s="52">
        <v>5.8182299999999998</v>
      </c>
      <c r="LC116" s="52">
        <v>5.8182299999999998</v>
      </c>
      <c r="LD116" s="52">
        <v>5.8182299999999998</v>
      </c>
      <c r="LE116" s="52">
        <v>5.8182299999999998</v>
      </c>
      <c r="LF116" s="52">
        <v>5.8182299999999998</v>
      </c>
      <c r="LG116" s="52">
        <v>5.8182299999999998</v>
      </c>
      <c r="LH116" s="52">
        <v>5.8182299999999998</v>
      </c>
      <c r="LI116" s="52">
        <v>5.8182299999999998</v>
      </c>
      <c r="LJ116" s="52">
        <v>5.8182299999999998</v>
      </c>
      <c r="LK116" s="52">
        <v>5.8182299999999998</v>
      </c>
      <c r="LL116" s="52">
        <v>5.8182299999999998</v>
      </c>
      <c r="LM116" s="52">
        <v>5.8182299999999998</v>
      </c>
      <c r="LN116" s="52">
        <v>5.8182299999999998</v>
      </c>
      <c r="LO116" s="52">
        <v>5.8182299999999998</v>
      </c>
      <c r="LP116" s="52">
        <v>5.8182299999999998</v>
      </c>
      <c r="LQ116" s="52">
        <v>5.8182299999999998</v>
      </c>
      <c r="LR116" s="52">
        <v>5.8182299999999998</v>
      </c>
      <c r="LS116" s="52">
        <v>5.8182299999999998</v>
      </c>
      <c r="LT116" s="52">
        <v>5.8182299999999998</v>
      </c>
      <c r="LU116" s="52">
        <v>5.8182299999999998</v>
      </c>
      <c r="LV116" s="52">
        <v>5.8182299999999998</v>
      </c>
      <c r="LW116" s="52">
        <v>5.8182299999999998</v>
      </c>
      <c r="LX116" s="52">
        <v>5.8182299999999998</v>
      </c>
      <c r="LY116" s="52">
        <v>5.8182299999999998</v>
      </c>
      <c r="LZ116" s="52">
        <v>5.8182299999999998</v>
      </c>
      <c r="MA116" s="52">
        <v>5.8182299999999998</v>
      </c>
      <c r="MB116" s="52">
        <v>5.8182299999999998</v>
      </c>
      <c r="MC116" s="52">
        <v>5.8182299999999998</v>
      </c>
      <c r="MD116" s="52">
        <v>5.8182299999999998</v>
      </c>
      <c r="ME116" s="52">
        <v>5.8182299999999998</v>
      </c>
      <c r="MF116" s="52">
        <v>5.8182299999999998</v>
      </c>
      <c r="MG116" s="52">
        <v>5.8182299999999998</v>
      </c>
      <c r="MH116" s="52">
        <v>5.8182299999999998</v>
      </c>
      <c r="MI116" s="52">
        <v>5.8182299999999998</v>
      </c>
      <c r="MJ116" s="52">
        <v>5.8182299999999998</v>
      </c>
      <c r="MK116" s="52">
        <v>5.8182299999999998</v>
      </c>
      <c r="ML116" s="52">
        <v>5.8182299999999998</v>
      </c>
      <c r="MM116" s="52">
        <v>5.8182299999999998</v>
      </c>
      <c r="MN116" s="52">
        <v>5.8182299999999998</v>
      </c>
      <c r="MO116" s="52">
        <v>5.8182299999999998</v>
      </c>
      <c r="MP116" s="52">
        <v>5.8182299999999998</v>
      </c>
      <c r="MQ116" s="52">
        <v>5.8182299999999998</v>
      </c>
      <c r="MR116" s="52">
        <v>5.8182299999999998</v>
      </c>
      <c r="MS116" s="52">
        <v>5.8182299999999998</v>
      </c>
      <c r="MT116" s="52">
        <v>5.8182299999999998</v>
      </c>
      <c r="MU116" s="52">
        <v>5.8182299999999998</v>
      </c>
      <c r="MV116" s="52">
        <v>5.8182299999999998</v>
      </c>
      <c r="MW116" s="52">
        <v>5.8182299999999998</v>
      </c>
      <c r="MX116" s="52">
        <v>5.8182299999999998</v>
      </c>
      <c r="MY116" s="52">
        <v>5.8182299999999998</v>
      </c>
      <c r="MZ116" s="52">
        <v>5.8182299999999998</v>
      </c>
      <c r="NA116" s="52">
        <v>5.8182299999999998</v>
      </c>
      <c r="NB116" s="52">
        <v>5.8182299999999998</v>
      </c>
      <c r="NC116" s="52">
        <v>6.3082799999999999</v>
      </c>
      <c r="ND116" s="52">
        <v>0</v>
      </c>
      <c r="NE116" s="52"/>
      <c r="NF116" s="52"/>
      <c r="NG116" s="52"/>
      <c r="NH116" s="52"/>
    </row>
    <row r="117" spans="1:372" x14ac:dyDescent="0.2">
      <c r="A117" s="37">
        <v>115</v>
      </c>
      <c r="B117" s="37" t="s">
        <v>1044</v>
      </c>
      <c r="C117" s="17">
        <f>+'Detalle Compras'!D117</f>
        <v>20231222676</v>
      </c>
      <c r="D117" s="55">
        <f t="shared" si="16"/>
        <v>12.587719</v>
      </c>
      <c r="E117" s="14">
        <f>+IF(B117="","",'Detalle Compras'!S117+0)</f>
        <v>45483</v>
      </c>
      <c r="F117" s="14">
        <f>+IF(B117="","",EOMONTH('Detalle Compras'!Q117,G117)+10)</f>
        <v>7559</v>
      </c>
      <c r="G117" s="50">
        <f t="shared" si="17"/>
        <v>247</v>
      </c>
      <c r="H117" s="50">
        <f t="shared" si="18"/>
        <v>337</v>
      </c>
      <c r="I117" s="37">
        <v>0</v>
      </c>
      <c r="J117" s="37">
        <v>0</v>
      </c>
      <c r="K117" s="37">
        <v>0</v>
      </c>
      <c r="L117" s="37">
        <v>0</v>
      </c>
      <c r="M117" s="52">
        <v>12.587719</v>
      </c>
      <c r="N117" s="52">
        <v>12.587719</v>
      </c>
      <c r="O117" s="52">
        <v>12.587719</v>
      </c>
      <c r="P117" s="52">
        <v>12.587719</v>
      </c>
      <c r="Q117" s="52">
        <v>12.587719</v>
      </c>
      <c r="R117" s="52">
        <v>12.587719</v>
      </c>
      <c r="S117" s="52">
        <v>12.587719</v>
      </c>
      <c r="T117" s="52">
        <v>12.587719</v>
      </c>
      <c r="U117" s="52">
        <v>12.587719</v>
      </c>
      <c r="V117" s="52">
        <v>12.587719</v>
      </c>
      <c r="W117" s="52">
        <v>12.587719</v>
      </c>
      <c r="X117" s="52">
        <v>12.587719</v>
      </c>
      <c r="Y117" s="52">
        <v>12.587719</v>
      </c>
      <c r="Z117" s="52">
        <v>12.587719</v>
      </c>
      <c r="AA117" s="52">
        <v>12.587719</v>
      </c>
      <c r="AB117" s="52">
        <v>12.587719</v>
      </c>
      <c r="AC117" s="52">
        <v>12.587719</v>
      </c>
      <c r="AD117" s="52">
        <v>12.587719</v>
      </c>
      <c r="AE117" s="52">
        <v>12.587719</v>
      </c>
      <c r="AF117" s="52">
        <v>12.587719</v>
      </c>
      <c r="AG117" s="52">
        <v>12.587719</v>
      </c>
      <c r="AH117" s="52">
        <v>12.587719</v>
      </c>
      <c r="AI117" s="52">
        <v>12.587719</v>
      </c>
      <c r="AJ117" s="52">
        <v>12.587719</v>
      </c>
      <c r="AK117" s="52">
        <v>12.587719</v>
      </c>
      <c r="AL117" s="52">
        <v>12.587719</v>
      </c>
      <c r="AM117" s="52">
        <v>12.587719</v>
      </c>
      <c r="AN117" s="52">
        <v>12.587719</v>
      </c>
      <c r="AO117" s="52">
        <v>12.587719</v>
      </c>
      <c r="AP117" s="52">
        <v>12.587719</v>
      </c>
      <c r="AQ117" s="52">
        <v>12.587719</v>
      </c>
      <c r="AR117" s="52">
        <v>12.587719</v>
      </c>
      <c r="AS117" s="52">
        <v>12.587719</v>
      </c>
      <c r="AT117" s="52">
        <v>12.587719</v>
      </c>
      <c r="AU117" s="52">
        <v>12.587719</v>
      </c>
      <c r="AV117" s="52">
        <v>12.587719</v>
      </c>
      <c r="AW117" s="52">
        <v>12.587719</v>
      </c>
      <c r="AX117" s="52">
        <v>12.587719</v>
      </c>
      <c r="AY117" s="52">
        <v>12.587719</v>
      </c>
      <c r="AZ117" s="52">
        <v>12.587719</v>
      </c>
      <c r="BA117" s="52">
        <v>12.587719</v>
      </c>
      <c r="BB117" s="52">
        <v>12.587719</v>
      </c>
      <c r="BC117" s="52">
        <v>12.587719</v>
      </c>
      <c r="BD117" s="52">
        <v>12.587719</v>
      </c>
      <c r="BE117" s="52">
        <v>12.587719</v>
      </c>
      <c r="BF117" s="52">
        <v>12.587719</v>
      </c>
      <c r="BG117" s="52">
        <v>12.587719</v>
      </c>
      <c r="BH117" s="52">
        <v>12.587719</v>
      </c>
      <c r="BI117" s="52">
        <v>12.587719</v>
      </c>
      <c r="BJ117" s="52">
        <v>12.587719</v>
      </c>
      <c r="BK117" s="52">
        <v>12.587719</v>
      </c>
      <c r="BL117" s="52">
        <v>12.587719</v>
      </c>
      <c r="BM117" s="52">
        <v>12.587719</v>
      </c>
      <c r="BN117" s="52">
        <v>12.587719</v>
      </c>
      <c r="BO117" s="52">
        <v>12.587719</v>
      </c>
      <c r="BP117" s="52">
        <v>12.587719</v>
      </c>
      <c r="BQ117" s="52">
        <v>12.587719</v>
      </c>
      <c r="BR117" s="52">
        <v>12.587719</v>
      </c>
      <c r="BS117" s="52">
        <v>12.587719</v>
      </c>
      <c r="BT117" s="52">
        <v>12.587719</v>
      </c>
      <c r="BU117" s="52">
        <v>12.587719</v>
      </c>
      <c r="BV117" s="52">
        <v>12.587719</v>
      </c>
      <c r="BW117" s="52">
        <v>12.587719</v>
      </c>
      <c r="BX117" s="52">
        <v>12.587719</v>
      </c>
      <c r="BY117" s="52">
        <v>12.587719</v>
      </c>
      <c r="BZ117" s="52">
        <v>12.587719</v>
      </c>
      <c r="CA117" s="52">
        <v>12.587719</v>
      </c>
      <c r="CB117" s="52">
        <v>12.587719</v>
      </c>
      <c r="CC117" s="52">
        <v>12.587719</v>
      </c>
      <c r="CD117" s="52">
        <v>12.587719</v>
      </c>
      <c r="CE117" s="52">
        <v>12.587719</v>
      </c>
      <c r="CF117" s="52">
        <v>12.587719</v>
      </c>
      <c r="CG117" s="52">
        <v>12.587719</v>
      </c>
      <c r="CH117" s="52">
        <v>12.587719</v>
      </c>
      <c r="CI117" s="52">
        <v>12.587719</v>
      </c>
      <c r="CJ117" s="52">
        <v>12.587719</v>
      </c>
      <c r="CK117" s="52">
        <v>12.587719</v>
      </c>
      <c r="CL117" s="52">
        <v>12.587719</v>
      </c>
      <c r="CM117" s="52">
        <v>12.587719</v>
      </c>
      <c r="CN117" s="52">
        <v>12.587719</v>
      </c>
      <c r="CO117" s="52">
        <v>12.587719</v>
      </c>
      <c r="CP117" s="52">
        <v>12.587719</v>
      </c>
      <c r="CQ117" s="52">
        <v>12.587719</v>
      </c>
      <c r="CR117" s="52">
        <v>12.587719</v>
      </c>
      <c r="CS117" s="52">
        <v>12.587719</v>
      </c>
      <c r="CT117" s="52">
        <v>12.587719</v>
      </c>
      <c r="CU117" s="52">
        <v>12.587719</v>
      </c>
      <c r="CV117" s="52">
        <v>12.587719</v>
      </c>
      <c r="CW117" s="52">
        <v>12.587719</v>
      </c>
      <c r="CX117" s="52">
        <v>12.587719</v>
      </c>
      <c r="CY117" s="52">
        <v>12.587719</v>
      </c>
      <c r="CZ117" s="52">
        <v>12.587719</v>
      </c>
      <c r="DA117" s="52">
        <v>12.587719</v>
      </c>
      <c r="DB117" s="52">
        <v>12.587719</v>
      </c>
      <c r="DC117" s="52">
        <v>12.587719</v>
      </c>
      <c r="DD117" s="52">
        <v>12.587719</v>
      </c>
      <c r="DE117" s="52">
        <v>12.587719</v>
      </c>
      <c r="DF117" s="52">
        <v>12.587719</v>
      </c>
      <c r="DG117" s="52">
        <v>12.587719</v>
      </c>
      <c r="DH117" s="52">
        <v>12.587719</v>
      </c>
      <c r="DI117" s="52">
        <v>12.587719</v>
      </c>
      <c r="DJ117" s="52">
        <v>12.587719</v>
      </c>
      <c r="DK117" s="52">
        <v>12.587719</v>
      </c>
      <c r="DL117" s="52">
        <v>12.587719</v>
      </c>
      <c r="DM117" s="52">
        <v>12.587719</v>
      </c>
      <c r="DN117" s="52">
        <v>12.587719</v>
      </c>
      <c r="DO117" s="52">
        <v>12.587719</v>
      </c>
      <c r="DP117" s="52">
        <v>12.587719</v>
      </c>
      <c r="DQ117" s="52">
        <v>12.587719</v>
      </c>
      <c r="DR117" s="52">
        <v>12.587719</v>
      </c>
      <c r="DS117" s="52">
        <v>12.587719</v>
      </c>
      <c r="DT117" s="52">
        <v>12.587719</v>
      </c>
      <c r="DU117" s="52">
        <v>12.587719</v>
      </c>
      <c r="DV117" s="52">
        <v>12.587719</v>
      </c>
      <c r="DW117" s="52">
        <v>12.587719</v>
      </c>
      <c r="DX117" s="52">
        <v>12.587719</v>
      </c>
      <c r="DY117" s="52">
        <v>12.587719</v>
      </c>
      <c r="DZ117" s="52">
        <v>12.587719</v>
      </c>
      <c r="EA117" s="52">
        <v>12.587719</v>
      </c>
      <c r="EB117" s="52">
        <v>12.587719</v>
      </c>
      <c r="EC117" s="52">
        <v>12.587719</v>
      </c>
      <c r="ED117" s="52">
        <v>12.587719</v>
      </c>
      <c r="EE117" s="52">
        <v>12.587719</v>
      </c>
      <c r="EF117" s="52">
        <v>12.587719</v>
      </c>
      <c r="EG117" s="52">
        <v>12.587719</v>
      </c>
      <c r="EH117" s="52">
        <v>12.587719</v>
      </c>
      <c r="EI117" s="52">
        <v>12.587719</v>
      </c>
      <c r="EJ117" s="52">
        <v>12.587719</v>
      </c>
      <c r="EK117" s="52">
        <v>12.587719</v>
      </c>
      <c r="EL117" s="52">
        <v>12.587719</v>
      </c>
      <c r="EM117" s="52">
        <v>12.587719</v>
      </c>
      <c r="EN117" s="52">
        <v>12.587719</v>
      </c>
      <c r="EO117" s="52">
        <v>12.587719</v>
      </c>
      <c r="EP117" s="52">
        <v>12.587719</v>
      </c>
      <c r="EQ117" s="52">
        <v>12.587719</v>
      </c>
      <c r="ER117" s="52">
        <v>12.587719</v>
      </c>
      <c r="ES117" s="52">
        <v>12.587719</v>
      </c>
      <c r="ET117" s="52">
        <v>12.587719</v>
      </c>
      <c r="EU117" s="52">
        <v>12.587719</v>
      </c>
      <c r="EV117" s="52">
        <v>12.587719</v>
      </c>
      <c r="EW117" s="52">
        <v>12.587719</v>
      </c>
      <c r="EX117" s="52">
        <v>12.587719</v>
      </c>
      <c r="EY117" s="52">
        <v>12.587719</v>
      </c>
      <c r="EZ117" s="52">
        <v>12.587719</v>
      </c>
      <c r="FA117" s="52">
        <v>12.587719</v>
      </c>
      <c r="FB117" s="52">
        <v>12.587719</v>
      </c>
      <c r="FC117" s="52">
        <v>12.587719</v>
      </c>
      <c r="FD117" s="52">
        <v>12.587719</v>
      </c>
      <c r="FE117" s="52">
        <v>12.587719</v>
      </c>
      <c r="FF117" s="52">
        <v>12.587719</v>
      </c>
      <c r="FG117" s="52">
        <v>12.587719</v>
      </c>
      <c r="FH117" s="52">
        <v>12.587719</v>
      </c>
      <c r="FI117" s="52">
        <v>12.587719</v>
      </c>
      <c r="FJ117" s="52">
        <v>12.587719</v>
      </c>
      <c r="FK117" s="52">
        <v>12.587719</v>
      </c>
      <c r="FL117" s="52">
        <v>12.587719</v>
      </c>
      <c r="FM117" s="52">
        <v>12.587719</v>
      </c>
      <c r="FN117" s="52">
        <v>12.587719</v>
      </c>
      <c r="FO117" s="52">
        <v>12.587719</v>
      </c>
      <c r="FP117" s="52">
        <v>12.587719</v>
      </c>
      <c r="FQ117" s="52">
        <v>12.587719</v>
      </c>
      <c r="FR117" s="52">
        <v>12.587719</v>
      </c>
      <c r="FS117" s="52">
        <v>12.587719</v>
      </c>
      <c r="FT117" s="52">
        <v>12.587719</v>
      </c>
      <c r="FU117" s="52">
        <v>12.587719</v>
      </c>
      <c r="FV117" s="52">
        <v>12.587719</v>
      </c>
      <c r="FW117" s="52">
        <v>12.587719</v>
      </c>
      <c r="FX117" s="52">
        <v>12.587719</v>
      </c>
      <c r="FY117" s="52">
        <v>12.587719</v>
      </c>
      <c r="FZ117" s="52">
        <v>12.587719</v>
      </c>
      <c r="GA117" s="52">
        <v>12.587719</v>
      </c>
      <c r="GB117" s="52">
        <v>12.587719</v>
      </c>
      <c r="GC117" s="52">
        <v>12.587719</v>
      </c>
      <c r="GD117" s="52">
        <v>12.587719</v>
      </c>
      <c r="GE117" s="52">
        <v>12.587719</v>
      </c>
      <c r="GF117" s="52">
        <v>12.587719</v>
      </c>
      <c r="GG117" s="52">
        <v>12.587719</v>
      </c>
      <c r="GH117" s="52">
        <v>12.587719</v>
      </c>
      <c r="GI117" s="52">
        <v>12.587719</v>
      </c>
      <c r="GJ117" s="52">
        <v>12.587719</v>
      </c>
      <c r="GK117" s="52">
        <v>12.587719</v>
      </c>
      <c r="GL117" s="52">
        <v>12.587719</v>
      </c>
      <c r="GM117" s="52">
        <v>12.587719</v>
      </c>
      <c r="GN117" s="52">
        <v>12.587719</v>
      </c>
      <c r="GO117" s="52">
        <v>12.587719</v>
      </c>
      <c r="GP117" s="52">
        <v>12.587719</v>
      </c>
      <c r="GQ117" s="52">
        <v>12.587719</v>
      </c>
      <c r="GR117" s="52">
        <v>12.587719</v>
      </c>
      <c r="GS117" s="52">
        <v>12.587719</v>
      </c>
      <c r="GT117" s="52">
        <v>12.587719</v>
      </c>
      <c r="GU117" s="52">
        <v>12.587719</v>
      </c>
      <c r="GV117" s="52">
        <v>12.587719</v>
      </c>
      <c r="GW117" s="52">
        <v>12.587719</v>
      </c>
      <c r="GX117" s="52">
        <v>12.587719</v>
      </c>
      <c r="GY117" s="52">
        <v>12.587719</v>
      </c>
      <c r="GZ117" s="52">
        <v>12.587719</v>
      </c>
      <c r="HA117" s="52">
        <v>12.587719</v>
      </c>
      <c r="HB117" s="52">
        <v>12.587719</v>
      </c>
      <c r="HC117" s="52">
        <v>12.587719</v>
      </c>
      <c r="HD117" s="52">
        <v>12.587719</v>
      </c>
      <c r="HE117" s="52">
        <v>12.587719</v>
      </c>
      <c r="HF117" s="52">
        <v>12.587719</v>
      </c>
      <c r="HG117" s="52">
        <v>12.587719</v>
      </c>
      <c r="HH117" s="52">
        <v>12.587719</v>
      </c>
      <c r="HI117" s="52">
        <v>12.587719</v>
      </c>
      <c r="HJ117" s="52">
        <v>12.587719</v>
      </c>
      <c r="HK117" s="52">
        <v>12.587719</v>
      </c>
      <c r="HL117" s="52">
        <v>12.587719</v>
      </c>
      <c r="HM117" s="52">
        <v>12.587719</v>
      </c>
      <c r="HN117" s="52">
        <v>12.587719</v>
      </c>
      <c r="HO117" s="52">
        <v>12.587719</v>
      </c>
      <c r="HP117" s="52">
        <v>12.587719</v>
      </c>
      <c r="HQ117" s="52">
        <v>12.587719</v>
      </c>
      <c r="HR117" s="52">
        <v>12.587719</v>
      </c>
      <c r="HS117" s="52">
        <v>12.587719</v>
      </c>
      <c r="HT117" s="52">
        <v>12.587719</v>
      </c>
      <c r="HU117" s="52">
        <v>12.587719</v>
      </c>
      <c r="HV117" s="52">
        <v>12.587719</v>
      </c>
      <c r="HW117" s="52">
        <v>12.587719</v>
      </c>
      <c r="HX117" s="52">
        <v>12.587719</v>
      </c>
      <c r="HY117" s="52">
        <v>12.587719</v>
      </c>
      <c r="HZ117" s="52">
        <v>12.587719</v>
      </c>
      <c r="IA117" s="52">
        <v>12.587719</v>
      </c>
      <c r="IB117" s="52">
        <v>12.587719</v>
      </c>
      <c r="IC117" s="52">
        <v>12.587719</v>
      </c>
      <c r="ID117" s="52">
        <v>12.587719</v>
      </c>
      <c r="IE117" s="52">
        <v>12.587719</v>
      </c>
      <c r="IF117" s="52">
        <v>12.587719</v>
      </c>
      <c r="IG117" s="52">
        <v>12.587719</v>
      </c>
      <c r="IH117" s="52">
        <v>12.587719</v>
      </c>
      <c r="II117" s="52">
        <v>12.587719</v>
      </c>
      <c r="IJ117" s="52">
        <v>12.587719</v>
      </c>
      <c r="IK117" s="52">
        <v>12.587719</v>
      </c>
      <c r="IL117" s="52">
        <v>12.587719</v>
      </c>
      <c r="IM117" s="52">
        <v>12.587719</v>
      </c>
      <c r="IN117" s="52">
        <v>12.587719</v>
      </c>
      <c r="IO117" s="52">
        <v>12.587719</v>
      </c>
      <c r="IP117" s="52">
        <v>12.587719</v>
      </c>
      <c r="IQ117" s="52">
        <v>12.587719</v>
      </c>
      <c r="IR117" s="52">
        <v>12.587719</v>
      </c>
      <c r="IS117" s="52">
        <v>12.587719</v>
      </c>
      <c r="IT117" s="52">
        <v>12.587719</v>
      </c>
      <c r="IU117" s="52">
        <v>12.587719</v>
      </c>
      <c r="IV117" s="52">
        <v>12.587719</v>
      </c>
      <c r="IW117" s="52">
        <v>12.587719</v>
      </c>
      <c r="IX117" s="52">
        <v>12.587719</v>
      </c>
      <c r="IY117" s="52">
        <v>12.984317000000001</v>
      </c>
      <c r="IZ117" s="52">
        <v>0</v>
      </c>
      <c r="JA117" s="52">
        <v>0</v>
      </c>
      <c r="JB117" s="52">
        <v>0</v>
      </c>
      <c r="JC117" s="52">
        <v>0</v>
      </c>
      <c r="JD117" s="52">
        <v>0</v>
      </c>
      <c r="JE117" s="52">
        <v>0</v>
      </c>
      <c r="JF117" s="52">
        <v>0</v>
      </c>
      <c r="JG117" s="52">
        <v>0</v>
      </c>
      <c r="JH117" s="52">
        <v>0</v>
      </c>
      <c r="JI117" s="52">
        <v>0</v>
      </c>
      <c r="JJ117" s="52">
        <v>0</v>
      </c>
      <c r="JK117" s="52">
        <v>0</v>
      </c>
      <c r="JL117" s="52">
        <v>0</v>
      </c>
      <c r="JM117" s="52">
        <v>0</v>
      </c>
      <c r="JN117" s="52">
        <v>0</v>
      </c>
      <c r="JO117" s="52">
        <v>0</v>
      </c>
      <c r="JP117" s="52">
        <v>0</v>
      </c>
      <c r="JQ117" s="52">
        <v>0</v>
      </c>
      <c r="JR117" s="52">
        <v>0</v>
      </c>
      <c r="JS117" s="52">
        <v>0</v>
      </c>
      <c r="JT117" s="52">
        <v>0</v>
      </c>
      <c r="JU117" s="52">
        <v>0</v>
      </c>
      <c r="JV117" s="52">
        <v>0</v>
      </c>
      <c r="JW117" s="52">
        <v>0</v>
      </c>
      <c r="JX117" s="52">
        <v>0</v>
      </c>
      <c r="JY117" s="52">
        <v>0</v>
      </c>
      <c r="JZ117" s="52">
        <v>0</v>
      </c>
      <c r="KA117" s="52">
        <v>0</v>
      </c>
      <c r="KB117" s="52">
        <v>0</v>
      </c>
      <c r="KC117" s="52">
        <v>0</v>
      </c>
      <c r="KD117" s="52">
        <v>0</v>
      </c>
      <c r="KE117" s="52">
        <v>0</v>
      </c>
      <c r="KF117" s="52">
        <v>0</v>
      </c>
      <c r="KG117" s="52">
        <v>0</v>
      </c>
      <c r="KH117" s="52">
        <v>0</v>
      </c>
      <c r="KI117" s="52">
        <v>0</v>
      </c>
      <c r="KJ117" s="52">
        <v>0</v>
      </c>
      <c r="KK117" s="52">
        <v>0</v>
      </c>
      <c r="KL117" s="52">
        <v>0</v>
      </c>
      <c r="KM117" s="52">
        <v>0</v>
      </c>
      <c r="KN117" s="52">
        <v>0</v>
      </c>
      <c r="KO117" s="52">
        <v>0</v>
      </c>
      <c r="KP117" s="52">
        <v>0</v>
      </c>
      <c r="KQ117" s="52">
        <v>0</v>
      </c>
      <c r="KR117" s="52">
        <v>0</v>
      </c>
      <c r="KS117" s="52">
        <v>0</v>
      </c>
      <c r="KT117" s="52">
        <v>0</v>
      </c>
      <c r="KU117" s="52">
        <v>0</v>
      </c>
      <c r="KV117" s="52">
        <v>0</v>
      </c>
      <c r="KW117" s="52">
        <v>0</v>
      </c>
      <c r="KX117" s="52">
        <v>0</v>
      </c>
      <c r="KY117" s="52">
        <v>0</v>
      </c>
      <c r="KZ117" s="52">
        <v>0</v>
      </c>
      <c r="LA117" s="52">
        <v>0</v>
      </c>
      <c r="LB117" s="52">
        <v>0</v>
      </c>
      <c r="LC117" s="52">
        <v>0</v>
      </c>
      <c r="LD117" s="52">
        <v>0</v>
      </c>
      <c r="LE117" s="52">
        <v>0</v>
      </c>
      <c r="LF117" s="52">
        <v>0</v>
      </c>
      <c r="LG117" s="52">
        <v>0</v>
      </c>
      <c r="LH117" s="52">
        <v>0</v>
      </c>
      <c r="LI117" s="52">
        <v>0</v>
      </c>
      <c r="LJ117" s="52">
        <v>0</v>
      </c>
      <c r="LK117" s="52">
        <v>0</v>
      </c>
      <c r="LL117" s="52">
        <v>0</v>
      </c>
      <c r="LM117" s="52">
        <v>0</v>
      </c>
      <c r="LN117" s="52">
        <v>0</v>
      </c>
      <c r="LO117" s="52">
        <v>0</v>
      </c>
      <c r="LP117" s="52">
        <v>0</v>
      </c>
      <c r="LQ117" s="52">
        <v>0</v>
      </c>
      <c r="LR117" s="52">
        <v>0</v>
      </c>
      <c r="LS117" s="52">
        <v>0</v>
      </c>
      <c r="LT117" s="52">
        <v>0</v>
      </c>
      <c r="LU117" s="52">
        <v>0</v>
      </c>
      <c r="LV117" s="52">
        <v>0</v>
      </c>
      <c r="LW117" s="52">
        <v>0</v>
      </c>
      <c r="LX117" s="52">
        <v>0</v>
      </c>
      <c r="LY117" s="52">
        <v>0</v>
      </c>
      <c r="LZ117" s="52">
        <v>0</v>
      </c>
      <c r="MA117" s="52">
        <v>0</v>
      </c>
      <c r="MB117" s="52">
        <v>0</v>
      </c>
      <c r="MC117" s="52">
        <v>0</v>
      </c>
      <c r="MD117" s="52">
        <v>0</v>
      </c>
      <c r="ME117" s="52">
        <v>0</v>
      </c>
      <c r="MF117" s="52">
        <v>0</v>
      </c>
      <c r="MG117" s="52">
        <v>0</v>
      </c>
      <c r="MH117" s="52">
        <v>0</v>
      </c>
      <c r="MI117" s="52">
        <v>0</v>
      </c>
      <c r="MJ117" s="52">
        <v>0</v>
      </c>
      <c r="MK117" s="52">
        <v>0</v>
      </c>
      <c r="ML117" s="52">
        <v>0</v>
      </c>
      <c r="MM117" s="52">
        <v>0</v>
      </c>
      <c r="MN117" s="52">
        <v>0</v>
      </c>
      <c r="MO117" s="52">
        <v>0</v>
      </c>
      <c r="MP117" s="52">
        <v>0</v>
      </c>
      <c r="MQ117" s="52">
        <v>0</v>
      </c>
      <c r="MR117" s="52">
        <v>0</v>
      </c>
      <c r="MS117" s="52">
        <v>0</v>
      </c>
      <c r="MT117" s="52">
        <v>0</v>
      </c>
      <c r="MU117" s="52">
        <v>0</v>
      </c>
      <c r="MV117" s="52">
        <v>0</v>
      </c>
      <c r="MW117" s="52">
        <v>0</v>
      </c>
      <c r="MX117" s="52">
        <v>0</v>
      </c>
      <c r="MY117" s="52">
        <v>0</v>
      </c>
      <c r="MZ117" s="52">
        <v>0</v>
      </c>
      <c r="NA117" s="52">
        <v>0</v>
      </c>
      <c r="NB117" s="52">
        <v>0</v>
      </c>
      <c r="NC117" s="52">
        <v>0</v>
      </c>
      <c r="ND117" s="52">
        <v>0</v>
      </c>
      <c r="NE117" s="52"/>
      <c r="NF117" s="52"/>
      <c r="NG117" s="52"/>
      <c r="NH117" s="52"/>
    </row>
    <row r="118" spans="1:372" x14ac:dyDescent="0.2">
      <c r="A118" s="37">
        <v>116</v>
      </c>
      <c r="B118" s="37" t="s">
        <v>1049</v>
      </c>
      <c r="C118" s="17">
        <f>+'Detalle Compras'!D118</f>
        <v>20231222677</v>
      </c>
      <c r="D118" s="55">
        <f t="shared" si="16"/>
        <v>9.9927740000000007</v>
      </c>
      <c r="E118" s="14">
        <f>+IF(B118="","",'Detalle Compras'!S118+0)</f>
        <v>45483</v>
      </c>
      <c r="F118" s="14">
        <f>+IF(B118="","",EOMONTH('Detalle Compras'!Q118,G118)+10)</f>
        <v>10846</v>
      </c>
      <c r="G118" s="50">
        <f t="shared" si="17"/>
        <v>355</v>
      </c>
      <c r="H118" s="50">
        <f t="shared" si="18"/>
        <v>337</v>
      </c>
      <c r="I118" s="37">
        <v>0</v>
      </c>
      <c r="J118" s="37">
        <v>0</v>
      </c>
      <c r="K118" s="37">
        <v>0</v>
      </c>
      <c r="L118" s="52">
        <v>0</v>
      </c>
      <c r="M118" s="52">
        <v>9.9927740000000007</v>
      </c>
      <c r="N118" s="52">
        <v>9.9927740000000007</v>
      </c>
      <c r="O118" s="52">
        <v>9.9927740000000007</v>
      </c>
      <c r="P118" s="52">
        <v>9.9927740000000007</v>
      </c>
      <c r="Q118" s="52">
        <v>9.9927740000000007</v>
      </c>
      <c r="R118" s="52">
        <v>9.9927740000000007</v>
      </c>
      <c r="S118" s="52">
        <v>9.9927740000000007</v>
      </c>
      <c r="T118" s="52">
        <v>9.9927740000000007</v>
      </c>
      <c r="U118" s="52">
        <v>9.9927740000000007</v>
      </c>
      <c r="V118" s="52">
        <v>9.9927740000000007</v>
      </c>
      <c r="W118" s="52">
        <v>9.9927740000000007</v>
      </c>
      <c r="X118" s="52">
        <v>9.9927740000000007</v>
      </c>
      <c r="Y118" s="52">
        <v>9.9927740000000007</v>
      </c>
      <c r="Z118" s="52">
        <v>9.9927740000000007</v>
      </c>
      <c r="AA118" s="52">
        <v>9.9927740000000007</v>
      </c>
      <c r="AB118" s="52">
        <v>9.9927740000000007</v>
      </c>
      <c r="AC118" s="52">
        <v>9.9927740000000007</v>
      </c>
      <c r="AD118" s="52">
        <v>9.9927740000000007</v>
      </c>
      <c r="AE118" s="52">
        <v>9.9927740000000007</v>
      </c>
      <c r="AF118" s="52">
        <v>9.9927740000000007</v>
      </c>
      <c r="AG118" s="52">
        <v>9.9927740000000007</v>
      </c>
      <c r="AH118" s="52">
        <v>9.9927740000000007</v>
      </c>
      <c r="AI118" s="52">
        <v>9.9927740000000007</v>
      </c>
      <c r="AJ118" s="52">
        <v>9.9927740000000007</v>
      </c>
      <c r="AK118" s="52">
        <v>9.9927740000000007</v>
      </c>
      <c r="AL118" s="52">
        <v>9.9927740000000007</v>
      </c>
      <c r="AM118" s="52">
        <v>9.9927740000000007</v>
      </c>
      <c r="AN118" s="52">
        <v>9.9927740000000007</v>
      </c>
      <c r="AO118" s="52">
        <v>9.9927740000000007</v>
      </c>
      <c r="AP118" s="52">
        <v>9.9927740000000007</v>
      </c>
      <c r="AQ118" s="52">
        <v>9.9927740000000007</v>
      </c>
      <c r="AR118" s="52">
        <v>9.9927740000000007</v>
      </c>
      <c r="AS118" s="52">
        <v>9.9927740000000007</v>
      </c>
      <c r="AT118" s="52">
        <v>9.9927740000000007</v>
      </c>
      <c r="AU118" s="52">
        <v>9.9927740000000007</v>
      </c>
      <c r="AV118" s="52">
        <v>9.9927740000000007</v>
      </c>
      <c r="AW118" s="52">
        <v>9.9927740000000007</v>
      </c>
      <c r="AX118" s="52">
        <v>9.9927740000000007</v>
      </c>
      <c r="AY118" s="52">
        <v>9.9927740000000007</v>
      </c>
      <c r="AZ118" s="52">
        <v>9.9927740000000007</v>
      </c>
      <c r="BA118" s="52">
        <v>9.9927740000000007</v>
      </c>
      <c r="BB118" s="52">
        <v>9.9927740000000007</v>
      </c>
      <c r="BC118" s="52">
        <v>9.9927740000000007</v>
      </c>
      <c r="BD118" s="52">
        <v>9.9927740000000007</v>
      </c>
      <c r="BE118" s="52">
        <v>9.9927740000000007</v>
      </c>
      <c r="BF118" s="52">
        <v>9.9927740000000007</v>
      </c>
      <c r="BG118" s="52">
        <v>9.9927740000000007</v>
      </c>
      <c r="BH118" s="52">
        <v>9.9927740000000007</v>
      </c>
      <c r="BI118" s="52">
        <v>9.9927740000000007</v>
      </c>
      <c r="BJ118" s="52">
        <v>9.9927740000000007</v>
      </c>
      <c r="BK118" s="52">
        <v>9.9927740000000007</v>
      </c>
      <c r="BL118" s="52">
        <v>9.9927740000000007</v>
      </c>
      <c r="BM118" s="52">
        <v>9.9927740000000007</v>
      </c>
      <c r="BN118" s="52">
        <v>9.9927740000000007</v>
      </c>
      <c r="BO118" s="52">
        <v>9.9927740000000007</v>
      </c>
      <c r="BP118" s="52">
        <v>9.9927740000000007</v>
      </c>
      <c r="BQ118" s="52">
        <v>9.9927740000000007</v>
      </c>
      <c r="BR118" s="52">
        <v>9.9927740000000007</v>
      </c>
      <c r="BS118" s="52">
        <v>9.9927740000000007</v>
      </c>
      <c r="BT118" s="52">
        <v>9.9927740000000007</v>
      </c>
      <c r="BU118" s="52">
        <v>9.9927740000000007</v>
      </c>
      <c r="BV118" s="52">
        <v>9.9927740000000007</v>
      </c>
      <c r="BW118" s="52">
        <v>9.9927740000000007</v>
      </c>
      <c r="BX118" s="52">
        <v>9.9927740000000007</v>
      </c>
      <c r="BY118" s="52">
        <v>9.9927740000000007</v>
      </c>
      <c r="BZ118" s="52">
        <v>9.9927740000000007</v>
      </c>
      <c r="CA118" s="52">
        <v>9.9927740000000007</v>
      </c>
      <c r="CB118" s="52">
        <v>9.9927740000000007</v>
      </c>
      <c r="CC118" s="52">
        <v>9.9927740000000007</v>
      </c>
      <c r="CD118" s="52">
        <v>9.9927740000000007</v>
      </c>
      <c r="CE118" s="52">
        <v>9.9927740000000007</v>
      </c>
      <c r="CF118" s="52">
        <v>9.9927740000000007</v>
      </c>
      <c r="CG118" s="52">
        <v>9.9927740000000007</v>
      </c>
      <c r="CH118" s="52">
        <v>9.9927740000000007</v>
      </c>
      <c r="CI118" s="52">
        <v>9.9927740000000007</v>
      </c>
      <c r="CJ118" s="52">
        <v>9.9927740000000007</v>
      </c>
      <c r="CK118" s="52">
        <v>9.9927740000000007</v>
      </c>
      <c r="CL118" s="52">
        <v>9.9927740000000007</v>
      </c>
      <c r="CM118" s="52">
        <v>9.9927740000000007</v>
      </c>
      <c r="CN118" s="52">
        <v>9.9927740000000007</v>
      </c>
      <c r="CO118" s="52">
        <v>9.9927740000000007</v>
      </c>
      <c r="CP118" s="52">
        <v>9.9927740000000007</v>
      </c>
      <c r="CQ118" s="52">
        <v>9.9927740000000007</v>
      </c>
      <c r="CR118" s="52">
        <v>9.9927740000000007</v>
      </c>
      <c r="CS118" s="52">
        <v>9.9927740000000007</v>
      </c>
      <c r="CT118" s="52">
        <v>9.9927740000000007</v>
      </c>
      <c r="CU118" s="52">
        <v>9.9927740000000007</v>
      </c>
      <c r="CV118" s="52">
        <v>9.9927740000000007</v>
      </c>
      <c r="CW118" s="52">
        <v>9.9927740000000007</v>
      </c>
      <c r="CX118" s="52">
        <v>9.9927740000000007</v>
      </c>
      <c r="CY118" s="52">
        <v>9.9927740000000007</v>
      </c>
      <c r="CZ118" s="52">
        <v>9.9927740000000007</v>
      </c>
      <c r="DA118" s="52">
        <v>9.9927740000000007</v>
      </c>
      <c r="DB118" s="52">
        <v>9.9927740000000007</v>
      </c>
      <c r="DC118" s="52">
        <v>9.9927740000000007</v>
      </c>
      <c r="DD118" s="52">
        <v>9.9927740000000007</v>
      </c>
      <c r="DE118" s="52">
        <v>9.9927740000000007</v>
      </c>
      <c r="DF118" s="52">
        <v>9.9927740000000007</v>
      </c>
      <c r="DG118" s="52">
        <v>9.9927740000000007</v>
      </c>
      <c r="DH118" s="52">
        <v>9.9927740000000007</v>
      </c>
      <c r="DI118" s="52">
        <v>9.9927740000000007</v>
      </c>
      <c r="DJ118" s="52">
        <v>9.9927740000000007</v>
      </c>
      <c r="DK118" s="52">
        <v>9.9927740000000007</v>
      </c>
      <c r="DL118" s="52">
        <v>9.9927740000000007</v>
      </c>
      <c r="DM118" s="52">
        <v>9.9927740000000007</v>
      </c>
      <c r="DN118" s="52">
        <v>9.9927740000000007</v>
      </c>
      <c r="DO118" s="52">
        <v>9.9927740000000007</v>
      </c>
      <c r="DP118" s="52">
        <v>9.9927740000000007</v>
      </c>
      <c r="DQ118" s="52">
        <v>9.9927740000000007</v>
      </c>
      <c r="DR118" s="52">
        <v>9.9927740000000007</v>
      </c>
      <c r="DS118" s="52">
        <v>9.9927740000000007</v>
      </c>
      <c r="DT118" s="52">
        <v>9.9927740000000007</v>
      </c>
      <c r="DU118" s="52">
        <v>9.9927740000000007</v>
      </c>
      <c r="DV118" s="52">
        <v>9.9927740000000007</v>
      </c>
      <c r="DW118" s="52">
        <v>9.9927740000000007</v>
      </c>
      <c r="DX118" s="52">
        <v>9.9927740000000007</v>
      </c>
      <c r="DY118" s="52">
        <v>9.9927740000000007</v>
      </c>
      <c r="DZ118" s="52">
        <v>9.9927740000000007</v>
      </c>
      <c r="EA118" s="52">
        <v>9.9927740000000007</v>
      </c>
      <c r="EB118" s="52">
        <v>9.9927740000000007</v>
      </c>
      <c r="EC118" s="52">
        <v>9.9927740000000007</v>
      </c>
      <c r="ED118" s="52">
        <v>9.9927740000000007</v>
      </c>
      <c r="EE118" s="52">
        <v>9.9927740000000007</v>
      </c>
      <c r="EF118" s="52">
        <v>9.9927740000000007</v>
      </c>
      <c r="EG118" s="52">
        <v>9.9927740000000007</v>
      </c>
      <c r="EH118" s="52">
        <v>9.9927740000000007</v>
      </c>
      <c r="EI118" s="52">
        <v>9.9927740000000007</v>
      </c>
      <c r="EJ118" s="52">
        <v>9.9927740000000007</v>
      </c>
      <c r="EK118" s="52">
        <v>9.9927740000000007</v>
      </c>
      <c r="EL118" s="52">
        <v>9.9927740000000007</v>
      </c>
      <c r="EM118" s="52">
        <v>9.9927740000000007</v>
      </c>
      <c r="EN118" s="52">
        <v>9.9927740000000007</v>
      </c>
      <c r="EO118" s="52">
        <v>9.9927740000000007</v>
      </c>
      <c r="EP118" s="52">
        <v>9.9927740000000007</v>
      </c>
      <c r="EQ118" s="52">
        <v>9.9927740000000007</v>
      </c>
      <c r="ER118" s="52">
        <v>9.9927740000000007</v>
      </c>
      <c r="ES118" s="52">
        <v>9.9927740000000007</v>
      </c>
      <c r="ET118" s="52">
        <v>9.9927740000000007</v>
      </c>
      <c r="EU118" s="52">
        <v>9.9927740000000007</v>
      </c>
      <c r="EV118" s="52">
        <v>9.9927740000000007</v>
      </c>
      <c r="EW118" s="52">
        <v>9.9927740000000007</v>
      </c>
      <c r="EX118" s="52">
        <v>9.9927740000000007</v>
      </c>
      <c r="EY118" s="52">
        <v>9.9927740000000007</v>
      </c>
      <c r="EZ118" s="52">
        <v>9.9927740000000007</v>
      </c>
      <c r="FA118" s="52">
        <v>9.9927740000000007</v>
      </c>
      <c r="FB118" s="52">
        <v>9.9927740000000007</v>
      </c>
      <c r="FC118" s="52">
        <v>9.9927740000000007</v>
      </c>
      <c r="FD118" s="52">
        <v>9.9927740000000007</v>
      </c>
      <c r="FE118" s="52">
        <v>9.9927740000000007</v>
      </c>
      <c r="FF118" s="52">
        <v>9.9927740000000007</v>
      </c>
      <c r="FG118" s="52">
        <v>9.9927740000000007</v>
      </c>
      <c r="FH118" s="52">
        <v>9.9927740000000007</v>
      </c>
      <c r="FI118" s="52">
        <v>9.9927740000000007</v>
      </c>
      <c r="FJ118" s="52">
        <v>9.9927740000000007</v>
      </c>
      <c r="FK118" s="52">
        <v>9.9927740000000007</v>
      </c>
      <c r="FL118" s="52">
        <v>9.9927740000000007</v>
      </c>
      <c r="FM118" s="52">
        <v>9.9927740000000007</v>
      </c>
      <c r="FN118" s="52">
        <v>9.9927740000000007</v>
      </c>
      <c r="FO118" s="52">
        <v>9.9927740000000007</v>
      </c>
      <c r="FP118" s="52">
        <v>9.9927740000000007</v>
      </c>
      <c r="FQ118" s="52">
        <v>9.9927740000000007</v>
      </c>
      <c r="FR118" s="52">
        <v>9.9927740000000007</v>
      </c>
      <c r="FS118" s="52">
        <v>9.9927740000000007</v>
      </c>
      <c r="FT118" s="52">
        <v>9.9927740000000007</v>
      </c>
      <c r="FU118" s="52">
        <v>9.9927740000000007</v>
      </c>
      <c r="FV118" s="52">
        <v>9.9927740000000007</v>
      </c>
      <c r="FW118" s="52">
        <v>9.9927740000000007</v>
      </c>
      <c r="FX118" s="52">
        <v>9.9927740000000007</v>
      </c>
      <c r="FY118" s="52">
        <v>9.9927740000000007</v>
      </c>
      <c r="FZ118" s="52">
        <v>9.9927740000000007</v>
      </c>
      <c r="GA118" s="52">
        <v>9.9927740000000007</v>
      </c>
      <c r="GB118" s="52">
        <v>9.9927740000000007</v>
      </c>
      <c r="GC118" s="52">
        <v>9.9927740000000007</v>
      </c>
      <c r="GD118" s="52">
        <v>9.9927740000000007</v>
      </c>
      <c r="GE118" s="52">
        <v>9.9927740000000007</v>
      </c>
      <c r="GF118" s="52">
        <v>9.9927740000000007</v>
      </c>
      <c r="GG118" s="52">
        <v>9.9927740000000007</v>
      </c>
      <c r="GH118" s="52">
        <v>9.9927740000000007</v>
      </c>
      <c r="GI118" s="52">
        <v>9.9927740000000007</v>
      </c>
      <c r="GJ118" s="52">
        <v>9.9927740000000007</v>
      </c>
      <c r="GK118" s="52">
        <v>9.9927740000000007</v>
      </c>
      <c r="GL118" s="52">
        <v>9.9927740000000007</v>
      </c>
      <c r="GM118" s="52">
        <v>9.9927740000000007</v>
      </c>
      <c r="GN118" s="52">
        <v>9.9927740000000007</v>
      </c>
      <c r="GO118" s="52">
        <v>9.9927740000000007</v>
      </c>
      <c r="GP118" s="52">
        <v>9.9927740000000007</v>
      </c>
      <c r="GQ118" s="52">
        <v>9.9927740000000007</v>
      </c>
      <c r="GR118" s="52">
        <v>9.9927740000000007</v>
      </c>
      <c r="GS118" s="52">
        <v>9.9927740000000007</v>
      </c>
      <c r="GT118" s="52">
        <v>9.9927740000000007</v>
      </c>
      <c r="GU118" s="52">
        <v>9.9927740000000007</v>
      </c>
      <c r="GV118" s="52">
        <v>9.9927740000000007</v>
      </c>
      <c r="GW118" s="52">
        <v>9.9927740000000007</v>
      </c>
      <c r="GX118" s="52">
        <v>9.9927740000000007</v>
      </c>
      <c r="GY118" s="52">
        <v>9.9927740000000007</v>
      </c>
      <c r="GZ118" s="52">
        <v>9.9927740000000007</v>
      </c>
      <c r="HA118" s="52">
        <v>9.9927740000000007</v>
      </c>
      <c r="HB118" s="52">
        <v>9.9927740000000007</v>
      </c>
      <c r="HC118" s="52">
        <v>9.9927740000000007</v>
      </c>
      <c r="HD118" s="52">
        <v>9.9927740000000007</v>
      </c>
      <c r="HE118" s="52">
        <v>9.9927740000000007</v>
      </c>
      <c r="HF118" s="52">
        <v>9.9927740000000007</v>
      </c>
      <c r="HG118" s="52">
        <v>9.9927740000000007</v>
      </c>
      <c r="HH118" s="52">
        <v>9.9927740000000007</v>
      </c>
      <c r="HI118" s="52">
        <v>9.9927740000000007</v>
      </c>
      <c r="HJ118" s="52">
        <v>9.9927740000000007</v>
      </c>
      <c r="HK118" s="52">
        <v>9.9927740000000007</v>
      </c>
      <c r="HL118" s="52">
        <v>9.9927740000000007</v>
      </c>
      <c r="HM118" s="52">
        <v>9.9927740000000007</v>
      </c>
      <c r="HN118" s="52">
        <v>9.9927740000000007</v>
      </c>
      <c r="HO118" s="52">
        <v>9.9927740000000007</v>
      </c>
      <c r="HP118" s="52">
        <v>9.9927740000000007</v>
      </c>
      <c r="HQ118" s="52">
        <v>9.9927740000000007</v>
      </c>
      <c r="HR118" s="52">
        <v>9.9927740000000007</v>
      </c>
      <c r="HS118" s="52">
        <v>9.9927740000000007</v>
      </c>
      <c r="HT118" s="52">
        <v>9.9927740000000007</v>
      </c>
      <c r="HU118" s="52">
        <v>9.9927740000000007</v>
      </c>
      <c r="HV118" s="52">
        <v>9.9927740000000007</v>
      </c>
      <c r="HW118" s="52">
        <v>9.9927740000000007</v>
      </c>
      <c r="HX118" s="52">
        <v>9.9927740000000007</v>
      </c>
      <c r="HY118" s="52">
        <v>9.9927740000000007</v>
      </c>
      <c r="HZ118" s="52">
        <v>9.9927740000000007</v>
      </c>
      <c r="IA118" s="52">
        <v>9.9927740000000007</v>
      </c>
      <c r="IB118" s="52">
        <v>9.9927740000000007</v>
      </c>
      <c r="IC118" s="52">
        <v>9.9927740000000007</v>
      </c>
      <c r="ID118" s="52">
        <v>9.9927740000000007</v>
      </c>
      <c r="IE118" s="52">
        <v>9.9927740000000007</v>
      </c>
      <c r="IF118" s="52">
        <v>9.9927740000000007</v>
      </c>
      <c r="IG118" s="52">
        <v>9.9927740000000007</v>
      </c>
      <c r="IH118" s="52">
        <v>9.9927740000000007</v>
      </c>
      <c r="II118" s="52">
        <v>9.9927740000000007</v>
      </c>
      <c r="IJ118" s="52">
        <v>9.9927740000000007</v>
      </c>
      <c r="IK118" s="52">
        <v>9.9927740000000007</v>
      </c>
      <c r="IL118" s="52">
        <v>9.9927740000000007</v>
      </c>
      <c r="IM118" s="52">
        <v>9.9927740000000007</v>
      </c>
      <c r="IN118" s="52">
        <v>9.9927740000000007</v>
      </c>
      <c r="IO118" s="52">
        <v>9.9927740000000007</v>
      </c>
      <c r="IP118" s="52">
        <v>9.9927740000000007</v>
      </c>
      <c r="IQ118" s="52">
        <v>9.9927740000000007</v>
      </c>
      <c r="IR118" s="52">
        <v>9.9927740000000007</v>
      </c>
      <c r="IS118" s="52">
        <v>9.9927740000000007</v>
      </c>
      <c r="IT118" s="52">
        <v>9.9927740000000007</v>
      </c>
      <c r="IU118" s="52">
        <v>9.9927740000000007</v>
      </c>
      <c r="IV118" s="52">
        <v>9.9927740000000007</v>
      </c>
      <c r="IW118" s="52">
        <v>9.9927740000000007</v>
      </c>
      <c r="IX118" s="52">
        <v>9.9927740000000007</v>
      </c>
      <c r="IY118" s="52">
        <v>9.9927740000000007</v>
      </c>
      <c r="IZ118" s="52">
        <v>9.9927740000000007</v>
      </c>
      <c r="JA118" s="52">
        <v>9.9927740000000007</v>
      </c>
      <c r="JB118" s="52">
        <v>9.9927740000000007</v>
      </c>
      <c r="JC118" s="52">
        <v>9.9927740000000007</v>
      </c>
      <c r="JD118" s="52">
        <v>9.9927740000000007</v>
      </c>
      <c r="JE118" s="52">
        <v>9.9927740000000007</v>
      </c>
      <c r="JF118" s="52">
        <v>9.9927740000000007</v>
      </c>
      <c r="JG118" s="52">
        <v>9.9927740000000007</v>
      </c>
      <c r="JH118" s="52">
        <v>9.9927740000000007</v>
      </c>
      <c r="JI118" s="52">
        <v>9.9927740000000007</v>
      </c>
      <c r="JJ118" s="52">
        <v>9.9927740000000007</v>
      </c>
      <c r="JK118" s="52">
        <v>9.9927740000000007</v>
      </c>
      <c r="JL118" s="52">
        <v>9.9927740000000007</v>
      </c>
      <c r="JM118" s="52">
        <v>9.9927740000000007</v>
      </c>
      <c r="JN118" s="52">
        <v>9.9927740000000007</v>
      </c>
      <c r="JO118" s="52">
        <v>9.9927740000000007</v>
      </c>
      <c r="JP118" s="52">
        <v>9.9927740000000007</v>
      </c>
      <c r="JQ118" s="52">
        <v>9.9927740000000007</v>
      </c>
      <c r="JR118" s="52">
        <v>9.9927740000000007</v>
      </c>
      <c r="JS118" s="52">
        <v>9.9927740000000007</v>
      </c>
      <c r="JT118" s="52">
        <v>9.9927740000000007</v>
      </c>
      <c r="JU118" s="52">
        <v>9.9927740000000007</v>
      </c>
      <c r="JV118" s="52">
        <v>9.9927740000000007</v>
      </c>
      <c r="JW118" s="52">
        <v>9.9927740000000007</v>
      </c>
      <c r="JX118" s="52">
        <v>9.9927740000000007</v>
      </c>
      <c r="JY118" s="52">
        <v>9.9927740000000007</v>
      </c>
      <c r="JZ118" s="52">
        <v>9.9927740000000007</v>
      </c>
      <c r="KA118" s="52">
        <v>9.9927740000000007</v>
      </c>
      <c r="KB118" s="52">
        <v>9.9927740000000007</v>
      </c>
      <c r="KC118" s="52">
        <v>9.9927740000000007</v>
      </c>
      <c r="KD118" s="52">
        <v>9.9927740000000007</v>
      </c>
      <c r="KE118" s="52">
        <v>9.9927740000000007</v>
      </c>
      <c r="KF118" s="52">
        <v>9.9927740000000007</v>
      </c>
      <c r="KG118" s="52">
        <v>9.9927740000000007</v>
      </c>
      <c r="KH118" s="52">
        <v>9.9927740000000007</v>
      </c>
      <c r="KI118" s="52">
        <v>9.9927740000000007</v>
      </c>
      <c r="KJ118" s="52">
        <v>9.9927740000000007</v>
      </c>
      <c r="KK118" s="52">
        <v>9.9927740000000007</v>
      </c>
      <c r="KL118" s="52">
        <v>9.9927740000000007</v>
      </c>
      <c r="KM118" s="52">
        <v>9.9927740000000007</v>
      </c>
      <c r="KN118" s="52">
        <v>9.9927740000000007</v>
      </c>
      <c r="KO118" s="52">
        <v>9.9927740000000007</v>
      </c>
      <c r="KP118" s="52">
        <v>9.9927740000000007</v>
      </c>
      <c r="KQ118" s="52">
        <v>9.9927740000000007</v>
      </c>
      <c r="KR118" s="52">
        <v>9.9927740000000007</v>
      </c>
      <c r="KS118" s="52">
        <v>9.9927740000000007</v>
      </c>
      <c r="KT118" s="52">
        <v>9.9927740000000007</v>
      </c>
      <c r="KU118" s="52">
        <v>9.9927740000000007</v>
      </c>
      <c r="KV118" s="52">
        <v>9.9927740000000007</v>
      </c>
      <c r="KW118" s="52">
        <v>9.9927740000000007</v>
      </c>
      <c r="KX118" s="52">
        <v>9.9927740000000007</v>
      </c>
      <c r="KY118" s="52">
        <v>9.9927740000000007</v>
      </c>
      <c r="KZ118" s="52">
        <v>9.9927740000000007</v>
      </c>
      <c r="LA118" s="52">
        <v>9.9927740000000007</v>
      </c>
      <c r="LB118" s="52">
        <v>9.9927740000000007</v>
      </c>
      <c r="LC118" s="52">
        <v>9.9927740000000007</v>
      </c>
      <c r="LD118" s="52">
        <v>9.9927740000000007</v>
      </c>
      <c r="LE118" s="52">
        <v>9.9927740000000007</v>
      </c>
      <c r="LF118" s="52">
        <v>9.9927740000000007</v>
      </c>
      <c r="LG118" s="52">
        <v>9.9927740000000007</v>
      </c>
      <c r="LH118" s="52">
        <v>9.9927740000000007</v>
      </c>
      <c r="LI118" s="52">
        <v>9.9927740000000007</v>
      </c>
      <c r="LJ118" s="52">
        <v>9.9927740000000007</v>
      </c>
      <c r="LK118" s="52">
        <v>9.9927740000000007</v>
      </c>
      <c r="LL118" s="52">
        <v>9.9927740000000007</v>
      </c>
      <c r="LM118" s="52">
        <v>9.9927740000000007</v>
      </c>
      <c r="LN118" s="52">
        <v>9.9927740000000007</v>
      </c>
      <c r="LO118" s="52">
        <v>9.9927740000000007</v>
      </c>
      <c r="LP118" s="52">
        <v>9.9927740000000007</v>
      </c>
      <c r="LQ118" s="52">
        <v>9.9927740000000007</v>
      </c>
      <c r="LR118" s="52">
        <v>9.9927740000000007</v>
      </c>
      <c r="LS118" s="52">
        <v>9.9927740000000007</v>
      </c>
      <c r="LT118" s="52">
        <v>9.9927740000000007</v>
      </c>
      <c r="LU118" s="52">
        <v>9.9927740000000007</v>
      </c>
      <c r="LV118" s="52">
        <v>9.9927740000000007</v>
      </c>
      <c r="LW118" s="52">
        <v>9.9927740000000007</v>
      </c>
      <c r="LX118" s="52">
        <v>9.9927740000000007</v>
      </c>
      <c r="LY118" s="52">
        <v>9.9927740000000007</v>
      </c>
      <c r="LZ118" s="52">
        <v>9.9927740000000007</v>
      </c>
      <c r="MA118" s="52">
        <v>9.9927740000000007</v>
      </c>
      <c r="MB118" s="52">
        <v>9.9927740000000007</v>
      </c>
      <c r="MC118" s="52">
        <v>9.9927740000000007</v>
      </c>
      <c r="MD118" s="52">
        <v>9.9927740000000007</v>
      </c>
      <c r="ME118" s="52">
        <v>9.9927740000000007</v>
      </c>
      <c r="MF118" s="52">
        <v>9.9927740000000007</v>
      </c>
      <c r="MG118" s="52">
        <v>9.9927740000000007</v>
      </c>
      <c r="MH118" s="52">
        <v>9.9927740000000007</v>
      </c>
      <c r="MI118" s="52">
        <v>9.9927740000000007</v>
      </c>
      <c r="MJ118" s="52">
        <v>9.9927740000000007</v>
      </c>
      <c r="MK118" s="52">
        <v>9.9927740000000007</v>
      </c>
      <c r="ML118" s="52">
        <v>9.9927740000000007</v>
      </c>
      <c r="MM118" s="52">
        <v>9.9927740000000007</v>
      </c>
      <c r="MN118" s="52">
        <v>9.9927740000000007</v>
      </c>
      <c r="MO118" s="52">
        <v>9.9927740000000007</v>
      </c>
      <c r="MP118" s="52">
        <v>9.9927740000000007</v>
      </c>
      <c r="MQ118" s="52">
        <v>9.9927740000000007</v>
      </c>
      <c r="MR118" s="52">
        <v>9.9927740000000007</v>
      </c>
      <c r="MS118" s="52">
        <v>9.9927740000000007</v>
      </c>
      <c r="MT118" s="52">
        <v>9.9927740000000007</v>
      </c>
      <c r="MU118" s="52">
        <v>9.9927740000000007</v>
      </c>
      <c r="MV118" s="52">
        <v>9.9927740000000007</v>
      </c>
      <c r="MW118" s="52">
        <v>9.9927740000000007</v>
      </c>
      <c r="MX118" s="52">
        <v>9.9927740000000007</v>
      </c>
      <c r="MY118" s="52">
        <v>9.9927740000000007</v>
      </c>
      <c r="MZ118" s="52">
        <v>9.9927740000000007</v>
      </c>
      <c r="NA118" s="52">
        <v>9.9927740000000007</v>
      </c>
      <c r="NB118" s="52">
        <v>9.9927740000000007</v>
      </c>
      <c r="NC118" s="52">
        <v>10.834432</v>
      </c>
      <c r="ND118" s="52">
        <v>0</v>
      </c>
      <c r="NE118" s="52"/>
      <c r="NF118" s="52"/>
      <c r="NG118" s="52"/>
    </row>
    <row r="119" spans="1:372" x14ac:dyDescent="0.2">
      <c r="A119" s="37">
        <v>117</v>
      </c>
      <c r="B119" s="37" t="s">
        <v>1054</v>
      </c>
      <c r="C119" s="17">
        <f>+'Detalle Compras'!D119</f>
        <v>20231228688</v>
      </c>
      <c r="D119" s="55">
        <f t="shared" si="16"/>
        <v>13.252635</v>
      </c>
      <c r="E119" s="14">
        <f>+IF(B119="","",'Detalle Compras'!S119+0)</f>
        <v>45483</v>
      </c>
      <c r="F119" s="14">
        <f>+IF(B119="","",EOMONTH('Detalle Compras'!Q119,G119)+10)</f>
        <v>10846</v>
      </c>
      <c r="G119" s="50">
        <f t="shared" si="17"/>
        <v>355</v>
      </c>
      <c r="H119" s="50">
        <f t="shared" si="18"/>
        <v>337</v>
      </c>
      <c r="I119" s="37">
        <v>0</v>
      </c>
      <c r="J119" s="37">
        <v>0</v>
      </c>
      <c r="K119" s="37">
        <v>0</v>
      </c>
      <c r="L119" s="37">
        <v>0</v>
      </c>
      <c r="M119" s="52">
        <v>13.252635</v>
      </c>
      <c r="N119" s="52">
        <v>13.252635</v>
      </c>
      <c r="O119" s="52">
        <v>13.252635</v>
      </c>
      <c r="P119" s="52">
        <v>13.252635</v>
      </c>
      <c r="Q119" s="52">
        <v>13.252635</v>
      </c>
      <c r="R119" s="52">
        <v>13.252635</v>
      </c>
      <c r="S119" s="52">
        <v>13.252635</v>
      </c>
      <c r="T119" s="52">
        <v>13.252635</v>
      </c>
      <c r="U119" s="52">
        <v>13.252635</v>
      </c>
      <c r="V119" s="52">
        <v>13.252635</v>
      </c>
      <c r="W119" s="52">
        <v>13.252635</v>
      </c>
      <c r="X119" s="52">
        <v>13.252635</v>
      </c>
      <c r="Y119" s="52">
        <v>13.252635</v>
      </c>
      <c r="Z119" s="52">
        <v>13.252635</v>
      </c>
      <c r="AA119" s="52">
        <v>13.252635</v>
      </c>
      <c r="AB119" s="52">
        <v>13.252635</v>
      </c>
      <c r="AC119" s="52">
        <v>13.252635</v>
      </c>
      <c r="AD119" s="52">
        <v>13.252635</v>
      </c>
      <c r="AE119" s="52">
        <v>13.252635</v>
      </c>
      <c r="AF119" s="52">
        <v>13.252635</v>
      </c>
      <c r="AG119" s="52">
        <v>13.252635</v>
      </c>
      <c r="AH119" s="52">
        <v>13.252635</v>
      </c>
      <c r="AI119" s="52">
        <v>13.252635</v>
      </c>
      <c r="AJ119" s="52">
        <v>13.252635</v>
      </c>
      <c r="AK119" s="52">
        <v>13.252635</v>
      </c>
      <c r="AL119" s="52">
        <v>13.252635</v>
      </c>
      <c r="AM119" s="52">
        <v>13.252635</v>
      </c>
      <c r="AN119" s="52">
        <v>13.252635</v>
      </c>
      <c r="AO119" s="52">
        <v>13.252635</v>
      </c>
      <c r="AP119" s="52">
        <v>13.252635</v>
      </c>
      <c r="AQ119" s="52">
        <v>13.252635</v>
      </c>
      <c r="AR119" s="52">
        <v>13.252635</v>
      </c>
      <c r="AS119" s="52">
        <v>13.252635</v>
      </c>
      <c r="AT119" s="52">
        <v>13.252635</v>
      </c>
      <c r="AU119" s="52">
        <v>13.252635</v>
      </c>
      <c r="AV119" s="52">
        <v>13.252635</v>
      </c>
      <c r="AW119" s="52">
        <v>13.252635</v>
      </c>
      <c r="AX119" s="52">
        <v>13.252635</v>
      </c>
      <c r="AY119" s="52">
        <v>13.252635</v>
      </c>
      <c r="AZ119" s="52">
        <v>13.252635</v>
      </c>
      <c r="BA119" s="52">
        <v>13.252635</v>
      </c>
      <c r="BB119" s="52">
        <v>13.252635</v>
      </c>
      <c r="BC119" s="52">
        <v>13.252635</v>
      </c>
      <c r="BD119" s="52">
        <v>13.252635</v>
      </c>
      <c r="BE119" s="52">
        <v>13.252635</v>
      </c>
      <c r="BF119" s="52">
        <v>13.252635</v>
      </c>
      <c r="BG119" s="52">
        <v>13.252635</v>
      </c>
      <c r="BH119" s="52">
        <v>13.252635</v>
      </c>
      <c r="BI119" s="52">
        <v>13.252635</v>
      </c>
      <c r="BJ119" s="52">
        <v>13.252635</v>
      </c>
      <c r="BK119" s="52">
        <v>13.252635</v>
      </c>
      <c r="BL119" s="52">
        <v>13.252635</v>
      </c>
      <c r="BM119" s="52">
        <v>13.252635</v>
      </c>
      <c r="BN119" s="52">
        <v>13.252635</v>
      </c>
      <c r="BO119" s="52">
        <v>13.252635</v>
      </c>
      <c r="BP119" s="52">
        <v>13.252635</v>
      </c>
      <c r="BQ119" s="52">
        <v>13.252635</v>
      </c>
      <c r="BR119" s="52">
        <v>13.252635</v>
      </c>
      <c r="BS119" s="52">
        <v>13.252635</v>
      </c>
      <c r="BT119" s="52">
        <v>13.252635</v>
      </c>
      <c r="BU119" s="52">
        <v>13.252635</v>
      </c>
      <c r="BV119" s="52">
        <v>13.252635</v>
      </c>
      <c r="BW119" s="52">
        <v>13.252635</v>
      </c>
      <c r="BX119" s="52">
        <v>13.252635</v>
      </c>
      <c r="BY119" s="52">
        <v>13.252635</v>
      </c>
      <c r="BZ119" s="52">
        <v>13.252635</v>
      </c>
      <c r="CA119" s="52">
        <v>13.252635</v>
      </c>
      <c r="CB119" s="52">
        <v>13.252635</v>
      </c>
      <c r="CC119" s="52">
        <v>13.252635</v>
      </c>
      <c r="CD119" s="52">
        <v>13.252635</v>
      </c>
      <c r="CE119" s="52">
        <v>13.252635</v>
      </c>
      <c r="CF119" s="52">
        <v>13.252635</v>
      </c>
      <c r="CG119" s="52">
        <v>13.252635</v>
      </c>
      <c r="CH119" s="52">
        <v>13.252635</v>
      </c>
      <c r="CI119" s="52">
        <v>13.252635</v>
      </c>
      <c r="CJ119" s="52">
        <v>13.252635</v>
      </c>
      <c r="CK119" s="52">
        <v>13.252635</v>
      </c>
      <c r="CL119" s="52">
        <v>13.252635</v>
      </c>
      <c r="CM119" s="52">
        <v>13.252635</v>
      </c>
      <c r="CN119" s="52">
        <v>13.252635</v>
      </c>
      <c r="CO119" s="52">
        <v>13.252635</v>
      </c>
      <c r="CP119" s="52">
        <v>13.252635</v>
      </c>
      <c r="CQ119" s="52">
        <v>13.252635</v>
      </c>
      <c r="CR119" s="52">
        <v>13.252635</v>
      </c>
      <c r="CS119" s="52">
        <v>13.252635</v>
      </c>
      <c r="CT119" s="52">
        <v>13.252635</v>
      </c>
      <c r="CU119" s="52">
        <v>13.252635</v>
      </c>
      <c r="CV119" s="52">
        <v>13.252635</v>
      </c>
      <c r="CW119" s="52">
        <v>13.252635</v>
      </c>
      <c r="CX119" s="52">
        <v>13.252635</v>
      </c>
      <c r="CY119" s="52">
        <v>13.252635</v>
      </c>
      <c r="CZ119" s="52">
        <v>13.252635</v>
      </c>
      <c r="DA119" s="52">
        <v>13.252635</v>
      </c>
      <c r="DB119" s="52">
        <v>13.252635</v>
      </c>
      <c r="DC119" s="52">
        <v>13.252635</v>
      </c>
      <c r="DD119" s="52">
        <v>13.252635</v>
      </c>
      <c r="DE119" s="52">
        <v>13.252635</v>
      </c>
      <c r="DF119" s="52">
        <v>13.252635</v>
      </c>
      <c r="DG119" s="52">
        <v>13.252635</v>
      </c>
      <c r="DH119" s="52">
        <v>13.252635</v>
      </c>
      <c r="DI119" s="52">
        <v>13.252635</v>
      </c>
      <c r="DJ119" s="52">
        <v>13.252635</v>
      </c>
      <c r="DK119" s="52">
        <v>13.252635</v>
      </c>
      <c r="DL119" s="52">
        <v>13.252635</v>
      </c>
      <c r="DM119" s="52">
        <v>13.252635</v>
      </c>
      <c r="DN119" s="52">
        <v>13.252635</v>
      </c>
      <c r="DO119" s="52">
        <v>13.252635</v>
      </c>
      <c r="DP119" s="52">
        <v>13.252635</v>
      </c>
      <c r="DQ119" s="52">
        <v>13.252635</v>
      </c>
      <c r="DR119" s="52">
        <v>13.252635</v>
      </c>
      <c r="DS119" s="52">
        <v>13.252635</v>
      </c>
      <c r="DT119" s="52">
        <v>13.252635</v>
      </c>
      <c r="DU119" s="52">
        <v>13.252635</v>
      </c>
      <c r="DV119" s="52">
        <v>13.252635</v>
      </c>
      <c r="DW119" s="52">
        <v>13.252635</v>
      </c>
      <c r="DX119" s="52">
        <v>13.252635</v>
      </c>
      <c r="DY119" s="52">
        <v>13.252635</v>
      </c>
      <c r="DZ119" s="52">
        <v>13.252635</v>
      </c>
      <c r="EA119" s="52">
        <v>13.252635</v>
      </c>
      <c r="EB119" s="52">
        <v>13.252635</v>
      </c>
      <c r="EC119" s="52">
        <v>13.252635</v>
      </c>
      <c r="ED119" s="52">
        <v>13.252635</v>
      </c>
      <c r="EE119" s="52">
        <v>13.252635</v>
      </c>
      <c r="EF119" s="52">
        <v>13.252635</v>
      </c>
      <c r="EG119" s="52">
        <v>13.252635</v>
      </c>
      <c r="EH119" s="52">
        <v>13.252635</v>
      </c>
      <c r="EI119" s="52">
        <v>13.252635</v>
      </c>
      <c r="EJ119" s="52">
        <v>13.252635</v>
      </c>
      <c r="EK119" s="52">
        <v>13.252635</v>
      </c>
      <c r="EL119" s="52">
        <v>13.252635</v>
      </c>
      <c r="EM119" s="52">
        <v>13.252635</v>
      </c>
      <c r="EN119" s="52">
        <v>13.252635</v>
      </c>
      <c r="EO119" s="52">
        <v>13.252635</v>
      </c>
      <c r="EP119" s="52">
        <v>13.252635</v>
      </c>
      <c r="EQ119" s="52">
        <v>13.252635</v>
      </c>
      <c r="ER119" s="52">
        <v>13.252635</v>
      </c>
      <c r="ES119" s="52">
        <v>13.252635</v>
      </c>
      <c r="ET119" s="52">
        <v>13.252635</v>
      </c>
      <c r="EU119" s="52">
        <v>13.252635</v>
      </c>
      <c r="EV119" s="52">
        <v>13.252635</v>
      </c>
      <c r="EW119" s="52">
        <v>13.252635</v>
      </c>
      <c r="EX119" s="52">
        <v>13.252635</v>
      </c>
      <c r="EY119" s="52">
        <v>13.252635</v>
      </c>
      <c r="EZ119" s="52">
        <v>13.252635</v>
      </c>
      <c r="FA119" s="52">
        <v>13.252635</v>
      </c>
      <c r="FB119" s="52">
        <v>13.252635</v>
      </c>
      <c r="FC119" s="52">
        <v>13.252635</v>
      </c>
      <c r="FD119" s="52">
        <v>13.252635</v>
      </c>
      <c r="FE119" s="52">
        <v>13.252635</v>
      </c>
      <c r="FF119" s="52">
        <v>13.252635</v>
      </c>
      <c r="FG119" s="52">
        <v>13.252635</v>
      </c>
      <c r="FH119" s="52">
        <v>13.252635</v>
      </c>
      <c r="FI119" s="52">
        <v>13.252635</v>
      </c>
      <c r="FJ119" s="52">
        <v>13.252635</v>
      </c>
      <c r="FK119" s="52">
        <v>13.252635</v>
      </c>
      <c r="FL119" s="52">
        <v>13.252635</v>
      </c>
      <c r="FM119" s="52">
        <v>13.252635</v>
      </c>
      <c r="FN119" s="52">
        <v>13.252635</v>
      </c>
      <c r="FO119" s="52">
        <v>13.252635</v>
      </c>
      <c r="FP119" s="52">
        <v>13.252635</v>
      </c>
      <c r="FQ119" s="52">
        <v>13.252635</v>
      </c>
      <c r="FR119" s="52">
        <v>13.252635</v>
      </c>
      <c r="FS119" s="52">
        <v>13.252635</v>
      </c>
      <c r="FT119" s="52">
        <v>13.252635</v>
      </c>
      <c r="FU119" s="52">
        <v>13.252635</v>
      </c>
      <c r="FV119" s="52">
        <v>13.252635</v>
      </c>
      <c r="FW119" s="52">
        <v>13.252635</v>
      </c>
      <c r="FX119" s="52">
        <v>13.252635</v>
      </c>
      <c r="FY119" s="52">
        <v>13.252635</v>
      </c>
      <c r="FZ119" s="52">
        <v>13.252635</v>
      </c>
      <c r="GA119" s="52">
        <v>13.252635</v>
      </c>
      <c r="GB119" s="52">
        <v>13.252635</v>
      </c>
      <c r="GC119" s="52">
        <v>13.252635</v>
      </c>
      <c r="GD119" s="52">
        <v>13.252635</v>
      </c>
      <c r="GE119" s="52">
        <v>13.252635</v>
      </c>
      <c r="GF119" s="52">
        <v>13.252635</v>
      </c>
      <c r="GG119" s="52">
        <v>13.252635</v>
      </c>
      <c r="GH119" s="52">
        <v>13.252635</v>
      </c>
      <c r="GI119" s="52">
        <v>13.252635</v>
      </c>
      <c r="GJ119" s="52">
        <v>13.252635</v>
      </c>
      <c r="GK119" s="52">
        <v>13.252635</v>
      </c>
      <c r="GL119" s="52">
        <v>13.252635</v>
      </c>
      <c r="GM119" s="52">
        <v>13.252635</v>
      </c>
      <c r="GN119" s="52">
        <v>13.252635</v>
      </c>
      <c r="GO119" s="52">
        <v>13.252635</v>
      </c>
      <c r="GP119" s="52">
        <v>13.252635</v>
      </c>
      <c r="GQ119" s="52">
        <v>13.252635</v>
      </c>
      <c r="GR119" s="52">
        <v>13.252635</v>
      </c>
      <c r="GS119" s="52">
        <v>13.252635</v>
      </c>
      <c r="GT119" s="52">
        <v>13.252635</v>
      </c>
      <c r="GU119" s="52">
        <v>13.252635</v>
      </c>
      <c r="GV119" s="52">
        <v>13.252635</v>
      </c>
      <c r="GW119" s="52">
        <v>13.252635</v>
      </c>
      <c r="GX119" s="52">
        <v>13.252635</v>
      </c>
      <c r="GY119" s="52">
        <v>13.252635</v>
      </c>
      <c r="GZ119" s="52">
        <v>13.252635</v>
      </c>
      <c r="HA119" s="52">
        <v>13.252635</v>
      </c>
      <c r="HB119" s="52">
        <v>13.252635</v>
      </c>
      <c r="HC119" s="52">
        <v>13.252635</v>
      </c>
      <c r="HD119" s="52">
        <v>13.252635</v>
      </c>
      <c r="HE119" s="52">
        <v>13.252635</v>
      </c>
      <c r="HF119" s="52">
        <v>13.252635</v>
      </c>
      <c r="HG119" s="52">
        <v>13.252635</v>
      </c>
      <c r="HH119" s="52">
        <v>13.252635</v>
      </c>
      <c r="HI119" s="52">
        <v>13.252635</v>
      </c>
      <c r="HJ119" s="52">
        <v>13.252635</v>
      </c>
      <c r="HK119" s="52">
        <v>13.252635</v>
      </c>
      <c r="HL119" s="52">
        <v>13.252635</v>
      </c>
      <c r="HM119" s="52">
        <v>13.252635</v>
      </c>
      <c r="HN119" s="52">
        <v>13.252635</v>
      </c>
      <c r="HO119" s="52">
        <v>13.252635</v>
      </c>
      <c r="HP119" s="52">
        <v>13.252635</v>
      </c>
      <c r="HQ119" s="52">
        <v>13.252635</v>
      </c>
      <c r="HR119" s="52">
        <v>13.252635</v>
      </c>
      <c r="HS119" s="52">
        <v>13.252635</v>
      </c>
      <c r="HT119" s="52">
        <v>13.252635</v>
      </c>
      <c r="HU119" s="52">
        <v>13.252635</v>
      </c>
      <c r="HV119" s="52">
        <v>13.252635</v>
      </c>
      <c r="HW119" s="52">
        <v>13.252635</v>
      </c>
      <c r="HX119" s="52">
        <v>13.252635</v>
      </c>
      <c r="HY119" s="52">
        <v>13.252635</v>
      </c>
      <c r="HZ119" s="52">
        <v>13.252635</v>
      </c>
      <c r="IA119" s="52">
        <v>13.252635</v>
      </c>
      <c r="IB119" s="52">
        <v>13.252635</v>
      </c>
      <c r="IC119" s="52">
        <v>13.252635</v>
      </c>
      <c r="ID119" s="52">
        <v>13.252635</v>
      </c>
      <c r="IE119" s="52">
        <v>13.252635</v>
      </c>
      <c r="IF119" s="52">
        <v>13.252635</v>
      </c>
      <c r="IG119" s="52">
        <v>13.252635</v>
      </c>
      <c r="IH119" s="52">
        <v>13.252635</v>
      </c>
      <c r="II119" s="52">
        <v>13.252635</v>
      </c>
      <c r="IJ119" s="52">
        <v>13.252635</v>
      </c>
      <c r="IK119" s="52">
        <v>13.252635</v>
      </c>
      <c r="IL119" s="52">
        <v>13.252635</v>
      </c>
      <c r="IM119" s="52">
        <v>13.252635</v>
      </c>
      <c r="IN119" s="52">
        <v>13.252635</v>
      </c>
      <c r="IO119" s="52">
        <v>13.252635</v>
      </c>
      <c r="IP119" s="52">
        <v>13.252635</v>
      </c>
      <c r="IQ119" s="52">
        <v>13.252635</v>
      </c>
      <c r="IR119" s="52">
        <v>13.252635</v>
      </c>
      <c r="IS119" s="52">
        <v>13.252635</v>
      </c>
      <c r="IT119" s="52">
        <v>13.252635</v>
      </c>
      <c r="IU119" s="52">
        <v>13.252635</v>
      </c>
      <c r="IV119" s="52">
        <v>13.252635</v>
      </c>
      <c r="IW119" s="52">
        <v>13.252635</v>
      </c>
      <c r="IX119" s="52">
        <v>13.252635</v>
      </c>
      <c r="IY119" s="52">
        <v>13.252635</v>
      </c>
      <c r="IZ119" s="52">
        <v>13.252635</v>
      </c>
      <c r="JA119" s="52">
        <v>13.252635</v>
      </c>
      <c r="JB119" s="52">
        <v>13.252635</v>
      </c>
      <c r="JC119" s="52">
        <v>13.252635</v>
      </c>
      <c r="JD119" s="52">
        <v>13.252635</v>
      </c>
      <c r="JE119" s="52">
        <v>13.252635</v>
      </c>
      <c r="JF119" s="52">
        <v>13.252635</v>
      </c>
      <c r="JG119" s="52">
        <v>13.252635</v>
      </c>
      <c r="JH119" s="52">
        <v>13.252635</v>
      </c>
      <c r="JI119" s="52">
        <v>13.252635</v>
      </c>
      <c r="JJ119" s="52">
        <v>13.252635</v>
      </c>
      <c r="JK119" s="52">
        <v>13.252635</v>
      </c>
      <c r="JL119" s="52">
        <v>13.252635</v>
      </c>
      <c r="JM119" s="52">
        <v>13.252635</v>
      </c>
      <c r="JN119" s="52">
        <v>13.252635</v>
      </c>
      <c r="JO119" s="52">
        <v>13.252635</v>
      </c>
      <c r="JP119" s="52">
        <v>13.252635</v>
      </c>
      <c r="JQ119" s="52">
        <v>13.252635</v>
      </c>
      <c r="JR119" s="52">
        <v>13.252635</v>
      </c>
      <c r="JS119" s="52">
        <v>13.252635</v>
      </c>
      <c r="JT119" s="52">
        <v>13.252635</v>
      </c>
      <c r="JU119" s="52">
        <v>13.252635</v>
      </c>
      <c r="JV119" s="52">
        <v>13.252635</v>
      </c>
      <c r="JW119" s="52">
        <v>13.252635</v>
      </c>
      <c r="JX119" s="52">
        <v>13.252635</v>
      </c>
      <c r="JY119" s="52">
        <v>13.252635</v>
      </c>
      <c r="JZ119" s="52">
        <v>13.252635</v>
      </c>
      <c r="KA119" s="52">
        <v>13.252635</v>
      </c>
      <c r="KB119" s="52">
        <v>13.252635</v>
      </c>
      <c r="KC119" s="52">
        <v>13.252635</v>
      </c>
      <c r="KD119" s="52">
        <v>13.252635</v>
      </c>
      <c r="KE119" s="52">
        <v>13.252635</v>
      </c>
      <c r="KF119" s="52">
        <v>13.252635</v>
      </c>
      <c r="KG119" s="52">
        <v>13.252635</v>
      </c>
      <c r="KH119" s="52">
        <v>13.252635</v>
      </c>
      <c r="KI119" s="52">
        <v>13.252635</v>
      </c>
      <c r="KJ119" s="52">
        <v>13.252635</v>
      </c>
      <c r="KK119" s="52">
        <v>13.252635</v>
      </c>
      <c r="KL119" s="52">
        <v>13.252635</v>
      </c>
      <c r="KM119" s="52">
        <v>13.252635</v>
      </c>
      <c r="KN119" s="52">
        <v>13.252635</v>
      </c>
      <c r="KO119" s="37">
        <v>13.252635</v>
      </c>
      <c r="KP119" s="37">
        <v>13.252635</v>
      </c>
      <c r="KQ119" s="37">
        <v>13.252635</v>
      </c>
      <c r="KR119" s="37">
        <v>13.252635</v>
      </c>
      <c r="KS119" s="37">
        <v>13.252635</v>
      </c>
      <c r="KT119" s="37">
        <v>13.252635</v>
      </c>
      <c r="KU119" s="37">
        <v>13.252635</v>
      </c>
      <c r="KV119" s="37">
        <v>13.252635</v>
      </c>
      <c r="KW119" s="37">
        <v>13.252635</v>
      </c>
      <c r="KX119" s="37">
        <v>13.252635</v>
      </c>
      <c r="KY119" s="37">
        <v>13.252635</v>
      </c>
      <c r="KZ119" s="37">
        <v>13.252635</v>
      </c>
      <c r="LA119" s="37">
        <v>13.252635</v>
      </c>
      <c r="LB119" s="37">
        <v>13.252635</v>
      </c>
      <c r="LC119" s="37">
        <v>13.252635</v>
      </c>
      <c r="LD119" s="37">
        <v>13.252635</v>
      </c>
      <c r="LE119" s="37">
        <v>13.252635</v>
      </c>
      <c r="LF119" s="37">
        <v>13.252635</v>
      </c>
      <c r="LG119" s="37">
        <v>13.252635</v>
      </c>
      <c r="LH119" s="37">
        <v>13.252635</v>
      </c>
      <c r="LI119" s="37">
        <v>13.252635</v>
      </c>
      <c r="LJ119" s="37">
        <v>13.252635</v>
      </c>
      <c r="LK119" s="37">
        <v>13.252635</v>
      </c>
      <c r="LL119" s="37">
        <v>13.252635</v>
      </c>
      <c r="LM119" s="37">
        <v>13.252635</v>
      </c>
      <c r="LN119" s="37">
        <v>13.252635</v>
      </c>
      <c r="LO119" s="37">
        <v>13.252635</v>
      </c>
      <c r="LP119" s="37">
        <v>13.252635</v>
      </c>
      <c r="LQ119" s="37">
        <v>13.252635</v>
      </c>
      <c r="LR119" s="37">
        <v>13.252635</v>
      </c>
      <c r="LS119" s="37">
        <v>13.252635</v>
      </c>
      <c r="LT119" s="37">
        <v>13.252635</v>
      </c>
      <c r="LU119" s="37">
        <v>13.252635</v>
      </c>
      <c r="LV119" s="37">
        <v>13.252635</v>
      </c>
      <c r="LW119" s="37">
        <v>13.252635</v>
      </c>
      <c r="LX119" s="37">
        <v>13.252635</v>
      </c>
      <c r="LY119" s="37">
        <v>13.252635</v>
      </c>
      <c r="LZ119" s="37">
        <v>13.252635</v>
      </c>
      <c r="MA119" s="37">
        <v>13.252635</v>
      </c>
      <c r="MB119" s="37">
        <v>13.252635</v>
      </c>
      <c r="MC119" s="37">
        <v>13.252635</v>
      </c>
      <c r="MD119" s="37">
        <v>13.252635</v>
      </c>
      <c r="ME119" s="37">
        <v>13.252635</v>
      </c>
      <c r="MF119" s="37">
        <v>13.252635</v>
      </c>
      <c r="MG119" s="37">
        <v>13.252635</v>
      </c>
      <c r="MH119" s="37">
        <v>13.252635</v>
      </c>
      <c r="MI119" s="37">
        <v>13.252635</v>
      </c>
      <c r="MJ119" s="37">
        <v>13.252635</v>
      </c>
      <c r="MK119" s="37">
        <v>13.252635</v>
      </c>
      <c r="ML119" s="37">
        <v>13.252635</v>
      </c>
      <c r="MM119" s="37">
        <v>13.252635</v>
      </c>
      <c r="MN119" s="37">
        <v>13.252635</v>
      </c>
      <c r="MO119" s="37">
        <v>13.252635</v>
      </c>
      <c r="MP119" s="37">
        <v>13.252635</v>
      </c>
      <c r="MQ119" s="37">
        <v>13.252635</v>
      </c>
      <c r="MR119" s="37">
        <v>13.252635</v>
      </c>
      <c r="MS119" s="37">
        <v>13.252635</v>
      </c>
      <c r="MT119" s="37">
        <v>13.252635</v>
      </c>
      <c r="MU119" s="37">
        <v>13.252635</v>
      </c>
      <c r="MV119" s="37">
        <v>13.252635</v>
      </c>
      <c r="MW119" s="37">
        <v>13.252635</v>
      </c>
      <c r="MX119" s="37">
        <v>13.252635</v>
      </c>
      <c r="MY119" s="37">
        <v>13.252635</v>
      </c>
      <c r="MZ119" s="37">
        <v>13.252635</v>
      </c>
      <c r="NA119" s="37">
        <v>13.252635</v>
      </c>
      <c r="NB119" s="37">
        <v>13.252635</v>
      </c>
      <c r="NC119" s="37">
        <v>14.36886</v>
      </c>
      <c r="ND119" s="37">
        <v>0</v>
      </c>
    </row>
    <row r="120" spans="1:372" x14ac:dyDescent="0.2">
      <c r="A120" s="37">
        <v>118</v>
      </c>
      <c r="B120" s="37" t="s">
        <v>1059</v>
      </c>
      <c r="C120" s="17">
        <f>+'Detalle Compras'!D120</f>
        <v>20231228689</v>
      </c>
      <c r="D120" s="55">
        <f t="shared" si="16"/>
        <v>12.64208</v>
      </c>
      <c r="E120" s="14">
        <f>+IF(B120="","",'Detalle Compras'!S120+0)</f>
        <v>45483</v>
      </c>
      <c r="F120" s="14">
        <f>+IF(B120="","",EOMONTH('Detalle Compras'!Q120,G120)+10)</f>
        <v>10846</v>
      </c>
      <c r="G120" s="50">
        <f t="shared" si="17"/>
        <v>355</v>
      </c>
      <c r="H120" s="50">
        <f t="shared" si="18"/>
        <v>337</v>
      </c>
      <c r="I120" s="37">
        <v>0</v>
      </c>
      <c r="J120" s="37">
        <v>0</v>
      </c>
      <c r="K120" s="37">
        <v>0</v>
      </c>
      <c r="L120" s="37">
        <v>0</v>
      </c>
      <c r="M120" s="52">
        <v>12.64208</v>
      </c>
      <c r="N120" s="52">
        <v>12.64208</v>
      </c>
      <c r="O120" s="52">
        <v>12.64208</v>
      </c>
      <c r="P120" s="52">
        <v>12.64208</v>
      </c>
      <c r="Q120" s="52">
        <v>12.64208</v>
      </c>
      <c r="R120" s="52">
        <v>12.64208</v>
      </c>
      <c r="S120" s="52">
        <v>12.64208</v>
      </c>
      <c r="T120" s="52">
        <v>12.64208</v>
      </c>
      <c r="U120" s="52">
        <v>12.64208</v>
      </c>
      <c r="V120" s="52">
        <v>12.64208</v>
      </c>
      <c r="W120" s="52">
        <v>12.64208</v>
      </c>
      <c r="X120" s="52">
        <v>12.64208</v>
      </c>
      <c r="Y120" s="52">
        <v>12.64208</v>
      </c>
      <c r="Z120" s="52">
        <v>12.64208</v>
      </c>
      <c r="AA120" s="52">
        <v>12.64208</v>
      </c>
      <c r="AB120" s="52">
        <v>12.64208</v>
      </c>
      <c r="AC120" s="52">
        <v>12.64208</v>
      </c>
      <c r="AD120" s="52">
        <v>12.64208</v>
      </c>
      <c r="AE120" s="52">
        <v>12.64208</v>
      </c>
      <c r="AF120" s="52">
        <v>12.64208</v>
      </c>
      <c r="AG120" s="52">
        <v>12.64208</v>
      </c>
      <c r="AH120" s="52">
        <v>12.64208</v>
      </c>
      <c r="AI120" s="52">
        <v>12.64208</v>
      </c>
      <c r="AJ120" s="52">
        <v>12.64208</v>
      </c>
      <c r="AK120" s="52">
        <v>12.64208</v>
      </c>
      <c r="AL120" s="52">
        <v>12.64208</v>
      </c>
      <c r="AM120" s="52">
        <v>12.64208</v>
      </c>
      <c r="AN120" s="52">
        <v>12.64208</v>
      </c>
      <c r="AO120" s="52">
        <v>12.64208</v>
      </c>
      <c r="AP120" s="52">
        <v>12.64208</v>
      </c>
      <c r="AQ120" s="52">
        <v>12.64208</v>
      </c>
      <c r="AR120" s="52">
        <v>12.64208</v>
      </c>
      <c r="AS120" s="52">
        <v>12.64208</v>
      </c>
      <c r="AT120" s="52">
        <v>12.64208</v>
      </c>
      <c r="AU120" s="52">
        <v>12.64208</v>
      </c>
      <c r="AV120" s="52">
        <v>12.64208</v>
      </c>
      <c r="AW120" s="52">
        <v>12.64208</v>
      </c>
      <c r="AX120" s="52">
        <v>12.64208</v>
      </c>
      <c r="AY120" s="52">
        <v>12.64208</v>
      </c>
      <c r="AZ120" s="52">
        <v>12.64208</v>
      </c>
      <c r="BA120" s="52">
        <v>12.64208</v>
      </c>
      <c r="BB120" s="52">
        <v>12.64208</v>
      </c>
      <c r="BC120" s="52">
        <v>12.64208</v>
      </c>
      <c r="BD120" s="52">
        <v>12.64208</v>
      </c>
      <c r="BE120" s="52">
        <v>12.64208</v>
      </c>
      <c r="BF120" s="52">
        <v>12.64208</v>
      </c>
      <c r="BG120" s="52">
        <v>12.64208</v>
      </c>
      <c r="BH120" s="52">
        <v>12.64208</v>
      </c>
      <c r="BI120" s="52">
        <v>12.64208</v>
      </c>
      <c r="BJ120" s="52">
        <v>12.64208</v>
      </c>
      <c r="BK120" s="52">
        <v>12.64208</v>
      </c>
      <c r="BL120" s="52">
        <v>12.64208</v>
      </c>
      <c r="BM120" s="52">
        <v>12.64208</v>
      </c>
      <c r="BN120" s="52">
        <v>12.64208</v>
      </c>
      <c r="BO120" s="52">
        <v>12.64208</v>
      </c>
      <c r="BP120" s="52">
        <v>12.64208</v>
      </c>
      <c r="BQ120" s="52">
        <v>12.64208</v>
      </c>
      <c r="BR120" s="52">
        <v>12.64208</v>
      </c>
      <c r="BS120" s="52">
        <v>12.64208</v>
      </c>
      <c r="BT120" s="52">
        <v>12.64208</v>
      </c>
      <c r="BU120" s="52">
        <v>12.64208</v>
      </c>
      <c r="BV120" s="52">
        <v>12.64208</v>
      </c>
      <c r="BW120" s="52">
        <v>12.64208</v>
      </c>
      <c r="BX120" s="52">
        <v>12.64208</v>
      </c>
      <c r="BY120" s="52">
        <v>12.64208</v>
      </c>
      <c r="BZ120" s="52">
        <v>12.64208</v>
      </c>
      <c r="CA120" s="52">
        <v>12.64208</v>
      </c>
      <c r="CB120" s="52">
        <v>12.64208</v>
      </c>
      <c r="CC120" s="52">
        <v>12.64208</v>
      </c>
      <c r="CD120" s="52">
        <v>12.64208</v>
      </c>
      <c r="CE120" s="52">
        <v>12.64208</v>
      </c>
      <c r="CF120" s="52">
        <v>12.64208</v>
      </c>
      <c r="CG120" s="52">
        <v>12.64208</v>
      </c>
      <c r="CH120" s="52">
        <v>12.64208</v>
      </c>
      <c r="CI120" s="52">
        <v>12.64208</v>
      </c>
      <c r="CJ120" s="52">
        <v>12.64208</v>
      </c>
      <c r="CK120" s="52">
        <v>12.64208</v>
      </c>
      <c r="CL120" s="52">
        <v>12.64208</v>
      </c>
      <c r="CM120" s="52">
        <v>12.64208</v>
      </c>
      <c r="CN120" s="52">
        <v>12.64208</v>
      </c>
      <c r="CO120" s="52">
        <v>12.64208</v>
      </c>
      <c r="CP120" s="52">
        <v>12.64208</v>
      </c>
      <c r="CQ120" s="52">
        <v>12.64208</v>
      </c>
      <c r="CR120" s="52">
        <v>12.64208</v>
      </c>
      <c r="CS120" s="52">
        <v>12.64208</v>
      </c>
      <c r="CT120" s="52">
        <v>12.64208</v>
      </c>
      <c r="CU120" s="52">
        <v>12.64208</v>
      </c>
      <c r="CV120" s="52">
        <v>12.64208</v>
      </c>
      <c r="CW120" s="52">
        <v>12.64208</v>
      </c>
      <c r="CX120" s="52">
        <v>12.64208</v>
      </c>
      <c r="CY120" s="52">
        <v>12.64208</v>
      </c>
      <c r="CZ120" s="52">
        <v>12.64208</v>
      </c>
      <c r="DA120" s="52">
        <v>12.64208</v>
      </c>
      <c r="DB120" s="52">
        <v>12.64208</v>
      </c>
      <c r="DC120" s="52">
        <v>12.64208</v>
      </c>
      <c r="DD120" s="52">
        <v>12.64208</v>
      </c>
      <c r="DE120" s="52">
        <v>12.64208</v>
      </c>
      <c r="DF120" s="52">
        <v>12.64208</v>
      </c>
      <c r="DG120" s="52">
        <v>12.64208</v>
      </c>
      <c r="DH120" s="52">
        <v>12.64208</v>
      </c>
      <c r="DI120" s="52">
        <v>12.64208</v>
      </c>
      <c r="DJ120" s="52">
        <v>12.64208</v>
      </c>
      <c r="DK120" s="52">
        <v>12.64208</v>
      </c>
      <c r="DL120" s="52">
        <v>12.64208</v>
      </c>
      <c r="DM120" s="52">
        <v>12.64208</v>
      </c>
      <c r="DN120" s="52">
        <v>12.64208</v>
      </c>
      <c r="DO120" s="52">
        <v>12.64208</v>
      </c>
      <c r="DP120" s="52">
        <v>12.64208</v>
      </c>
      <c r="DQ120" s="52">
        <v>12.64208</v>
      </c>
      <c r="DR120" s="52">
        <v>12.64208</v>
      </c>
      <c r="DS120" s="52">
        <v>12.64208</v>
      </c>
      <c r="DT120" s="52">
        <v>12.64208</v>
      </c>
      <c r="DU120" s="52">
        <v>12.64208</v>
      </c>
      <c r="DV120" s="52">
        <v>12.64208</v>
      </c>
      <c r="DW120" s="52">
        <v>12.64208</v>
      </c>
      <c r="DX120" s="52">
        <v>12.64208</v>
      </c>
      <c r="DY120" s="52">
        <v>12.64208</v>
      </c>
      <c r="DZ120" s="52">
        <v>12.64208</v>
      </c>
      <c r="EA120" s="52">
        <v>12.64208</v>
      </c>
      <c r="EB120" s="52">
        <v>12.64208</v>
      </c>
      <c r="EC120" s="52">
        <v>12.64208</v>
      </c>
      <c r="ED120" s="52">
        <v>12.64208</v>
      </c>
      <c r="EE120" s="52">
        <v>12.64208</v>
      </c>
      <c r="EF120" s="52">
        <v>12.64208</v>
      </c>
      <c r="EG120" s="52">
        <v>12.64208</v>
      </c>
      <c r="EH120" s="52">
        <v>12.64208</v>
      </c>
      <c r="EI120" s="52">
        <v>12.64208</v>
      </c>
      <c r="EJ120" s="52">
        <v>12.64208</v>
      </c>
      <c r="EK120" s="52">
        <v>12.64208</v>
      </c>
      <c r="EL120" s="52">
        <v>12.64208</v>
      </c>
      <c r="EM120" s="52">
        <v>12.64208</v>
      </c>
      <c r="EN120" s="52">
        <v>12.64208</v>
      </c>
      <c r="EO120" s="52">
        <v>12.64208</v>
      </c>
      <c r="EP120" s="52">
        <v>12.64208</v>
      </c>
      <c r="EQ120" s="52">
        <v>12.64208</v>
      </c>
      <c r="ER120" s="52">
        <v>12.64208</v>
      </c>
      <c r="ES120" s="52">
        <v>12.64208</v>
      </c>
      <c r="ET120" s="52">
        <v>12.64208</v>
      </c>
      <c r="EU120" s="52">
        <v>12.64208</v>
      </c>
      <c r="EV120" s="52">
        <v>12.64208</v>
      </c>
      <c r="EW120" s="52">
        <v>12.64208</v>
      </c>
      <c r="EX120" s="52">
        <v>12.64208</v>
      </c>
      <c r="EY120" s="52">
        <v>12.64208</v>
      </c>
      <c r="EZ120" s="52">
        <v>12.64208</v>
      </c>
      <c r="FA120" s="52">
        <v>12.64208</v>
      </c>
      <c r="FB120" s="52">
        <v>12.64208</v>
      </c>
      <c r="FC120" s="52">
        <v>12.64208</v>
      </c>
      <c r="FD120" s="52">
        <v>12.64208</v>
      </c>
      <c r="FE120" s="52">
        <v>12.64208</v>
      </c>
      <c r="FF120" s="52">
        <v>12.64208</v>
      </c>
      <c r="FG120" s="52">
        <v>12.64208</v>
      </c>
      <c r="FH120" s="52">
        <v>12.64208</v>
      </c>
      <c r="FI120" s="52">
        <v>12.64208</v>
      </c>
      <c r="FJ120" s="52">
        <v>12.64208</v>
      </c>
      <c r="FK120" s="52">
        <v>12.64208</v>
      </c>
      <c r="FL120" s="52">
        <v>12.64208</v>
      </c>
      <c r="FM120" s="52">
        <v>12.64208</v>
      </c>
      <c r="FN120" s="52">
        <v>12.64208</v>
      </c>
      <c r="FO120" s="52">
        <v>12.64208</v>
      </c>
      <c r="FP120" s="52">
        <v>12.64208</v>
      </c>
      <c r="FQ120" s="52">
        <v>12.64208</v>
      </c>
      <c r="FR120" s="52">
        <v>12.64208</v>
      </c>
      <c r="FS120" s="52">
        <v>12.64208</v>
      </c>
      <c r="FT120" s="52">
        <v>12.64208</v>
      </c>
      <c r="FU120" s="52">
        <v>12.64208</v>
      </c>
      <c r="FV120" s="52">
        <v>12.64208</v>
      </c>
      <c r="FW120" s="52">
        <v>12.64208</v>
      </c>
      <c r="FX120" s="52">
        <v>12.64208</v>
      </c>
      <c r="FY120" s="52">
        <v>12.64208</v>
      </c>
      <c r="FZ120" s="52">
        <v>12.64208</v>
      </c>
      <c r="GA120" s="52">
        <v>12.64208</v>
      </c>
      <c r="GB120" s="52">
        <v>12.64208</v>
      </c>
      <c r="GC120" s="52">
        <v>12.64208</v>
      </c>
      <c r="GD120" s="52">
        <v>12.64208</v>
      </c>
      <c r="GE120" s="52">
        <v>12.64208</v>
      </c>
      <c r="GF120" s="52">
        <v>12.64208</v>
      </c>
      <c r="GG120" s="52">
        <v>12.64208</v>
      </c>
      <c r="GH120" s="52">
        <v>12.64208</v>
      </c>
      <c r="GI120" s="52">
        <v>12.64208</v>
      </c>
      <c r="GJ120" s="52">
        <v>12.64208</v>
      </c>
      <c r="GK120" s="52">
        <v>12.64208</v>
      </c>
      <c r="GL120" s="52">
        <v>12.64208</v>
      </c>
      <c r="GM120" s="52">
        <v>12.64208</v>
      </c>
      <c r="GN120" s="52">
        <v>12.64208</v>
      </c>
      <c r="GO120" s="52">
        <v>12.64208</v>
      </c>
      <c r="GP120" s="52">
        <v>12.64208</v>
      </c>
      <c r="GQ120" s="52">
        <v>12.64208</v>
      </c>
      <c r="GR120" s="52">
        <v>12.64208</v>
      </c>
      <c r="GS120" s="52">
        <v>12.64208</v>
      </c>
      <c r="GT120" s="52">
        <v>12.64208</v>
      </c>
      <c r="GU120" s="52">
        <v>12.64208</v>
      </c>
      <c r="GV120" s="52">
        <v>12.64208</v>
      </c>
      <c r="GW120" s="52">
        <v>12.64208</v>
      </c>
      <c r="GX120" s="52">
        <v>12.64208</v>
      </c>
      <c r="GY120" s="52">
        <v>12.64208</v>
      </c>
      <c r="GZ120" s="52">
        <v>12.64208</v>
      </c>
      <c r="HA120" s="52">
        <v>12.64208</v>
      </c>
      <c r="HB120" s="52">
        <v>12.64208</v>
      </c>
      <c r="HC120" s="52">
        <v>12.64208</v>
      </c>
      <c r="HD120" s="52">
        <v>12.64208</v>
      </c>
      <c r="HE120" s="52">
        <v>12.64208</v>
      </c>
      <c r="HF120" s="52">
        <v>12.64208</v>
      </c>
      <c r="HG120" s="52">
        <v>12.64208</v>
      </c>
      <c r="HH120" s="52">
        <v>12.64208</v>
      </c>
      <c r="HI120" s="52">
        <v>12.64208</v>
      </c>
      <c r="HJ120" s="52">
        <v>12.64208</v>
      </c>
      <c r="HK120" s="52">
        <v>12.64208</v>
      </c>
      <c r="HL120" s="52">
        <v>12.64208</v>
      </c>
      <c r="HM120" s="52">
        <v>12.64208</v>
      </c>
      <c r="HN120" s="52">
        <v>12.64208</v>
      </c>
      <c r="HO120" s="52">
        <v>12.64208</v>
      </c>
      <c r="HP120" s="52">
        <v>12.64208</v>
      </c>
      <c r="HQ120" s="52">
        <v>12.64208</v>
      </c>
      <c r="HR120" s="52">
        <v>12.64208</v>
      </c>
      <c r="HS120" s="52">
        <v>12.64208</v>
      </c>
      <c r="HT120" s="52">
        <v>12.64208</v>
      </c>
      <c r="HU120" s="52">
        <v>12.64208</v>
      </c>
      <c r="HV120" s="52">
        <v>12.64208</v>
      </c>
      <c r="HW120" s="52">
        <v>12.64208</v>
      </c>
      <c r="HX120" s="52">
        <v>12.64208</v>
      </c>
      <c r="HY120" s="52">
        <v>12.64208</v>
      </c>
      <c r="HZ120" s="52">
        <v>12.64208</v>
      </c>
      <c r="IA120" s="52">
        <v>12.64208</v>
      </c>
      <c r="IB120" s="52">
        <v>12.64208</v>
      </c>
      <c r="IC120" s="52">
        <v>12.64208</v>
      </c>
      <c r="ID120" s="52">
        <v>12.64208</v>
      </c>
      <c r="IE120" s="52">
        <v>12.64208</v>
      </c>
      <c r="IF120" s="52">
        <v>12.64208</v>
      </c>
      <c r="IG120" s="52">
        <v>12.64208</v>
      </c>
      <c r="IH120" s="52">
        <v>12.64208</v>
      </c>
      <c r="II120" s="52">
        <v>12.64208</v>
      </c>
      <c r="IJ120" s="52">
        <v>12.64208</v>
      </c>
      <c r="IK120" s="52">
        <v>12.64208</v>
      </c>
      <c r="IL120" s="52">
        <v>12.64208</v>
      </c>
      <c r="IM120" s="52">
        <v>12.64208</v>
      </c>
      <c r="IN120" s="52">
        <v>12.64208</v>
      </c>
      <c r="IO120" s="52">
        <v>12.64208</v>
      </c>
      <c r="IP120" s="52">
        <v>12.64208</v>
      </c>
      <c r="IQ120" s="52">
        <v>12.64208</v>
      </c>
      <c r="IR120" s="52">
        <v>12.64208</v>
      </c>
      <c r="IS120" s="52">
        <v>12.64208</v>
      </c>
      <c r="IT120" s="52">
        <v>12.64208</v>
      </c>
      <c r="IU120" s="52">
        <v>12.64208</v>
      </c>
      <c r="IV120" s="52">
        <v>12.64208</v>
      </c>
      <c r="IW120" s="52">
        <v>12.64208</v>
      </c>
      <c r="IX120" s="52">
        <v>12.64208</v>
      </c>
      <c r="IY120" s="52">
        <v>12.64208</v>
      </c>
      <c r="IZ120" s="52">
        <v>12.64208</v>
      </c>
      <c r="JA120" s="52">
        <v>12.64208</v>
      </c>
      <c r="JB120" s="52">
        <v>12.64208</v>
      </c>
      <c r="JC120" s="52">
        <v>12.64208</v>
      </c>
      <c r="JD120" s="52">
        <v>12.64208</v>
      </c>
      <c r="JE120" s="52">
        <v>12.64208</v>
      </c>
      <c r="JF120" s="52">
        <v>12.64208</v>
      </c>
      <c r="JG120" s="52">
        <v>12.64208</v>
      </c>
      <c r="JH120" s="52">
        <v>12.64208</v>
      </c>
      <c r="JI120" s="52">
        <v>12.64208</v>
      </c>
      <c r="JJ120" s="52">
        <v>12.64208</v>
      </c>
      <c r="JK120" s="52">
        <v>12.64208</v>
      </c>
      <c r="JL120" s="52">
        <v>12.64208</v>
      </c>
      <c r="JM120" s="52">
        <v>12.64208</v>
      </c>
      <c r="JN120" s="52">
        <v>12.64208</v>
      </c>
      <c r="JO120" s="52">
        <v>12.64208</v>
      </c>
      <c r="JP120" s="52">
        <v>12.64208</v>
      </c>
      <c r="JQ120" s="52">
        <v>12.64208</v>
      </c>
      <c r="JR120" s="52">
        <v>12.64208</v>
      </c>
      <c r="JS120" s="52">
        <v>12.64208</v>
      </c>
      <c r="JT120" s="52">
        <v>12.64208</v>
      </c>
      <c r="JU120" s="52">
        <v>12.64208</v>
      </c>
      <c r="JV120" s="52">
        <v>12.64208</v>
      </c>
      <c r="JW120" s="52">
        <v>12.64208</v>
      </c>
      <c r="JX120" s="52">
        <v>12.64208</v>
      </c>
      <c r="JY120" s="52">
        <v>12.64208</v>
      </c>
      <c r="JZ120" s="52">
        <v>12.64208</v>
      </c>
      <c r="KA120" s="52">
        <v>12.64208</v>
      </c>
      <c r="KB120" s="52">
        <v>12.64208</v>
      </c>
      <c r="KC120" s="52">
        <v>12.64208</v>
      </c>
      <c r="KD120" s="52">
        <v>12.64208</v>
      </c>
      <c r="KE120" s="52">
        <v>12.64208</v>
      </c>
      <c r="KF120" s="52">
        <v>12.64208</v>
      </c>
      <c r="KG120" s="52">
        <v>12.64208</v>
      </c>
      <c r="KH120" s="52">
        <v>12.64208</v>
      </c>
      <c r="KI120" s="52">
        <v>12.64208</v>
      </c>
      <c r="KJ120" s="52">
        <v>12.64208</v>
      </c>
      <c r="KK120" s="52">
        <v>12.64208</v>
      </c>
      <c r="KL120" s="52">
        <v>12.64208</v>
      </c>
      <c r="KM120" s="52">
        <v>12.64208</v>
      </c>
      <c r="KN120" s="52">
        <v>12.64208</v>
      </c>
      <c r="KO120" s="52">
        <v>12.64208</v>
      </c>
      <c r="KP120" s="52">
        <v>12.64208</v>
      </c>
      <c r="KQ120" s="52">
        <v>12.64208</v>
      </c>
      <c r="KR120" s="52">
        <v>12.64208</v>
      </c>
      <c r="KS120" s="52">
        <v>12.64208</v>
      </c>
      <c r="KT120" s="52">
        <v>12.64208</v>
      </c>
      <c r="KU120" s="52">
        <v>12.64208</v>
      </c>
      <c r="KV120" s="52">
        <v>12.64208</v>
      </c>
      <c r="KW120" s="52">
        <v>12.64208</v>
      </c>
      <c r="KX120" s="52">
        <v>12.64208</v>
      </c>
      <c r="KY120" s="52">
        <v>12.64208</v>
      </c>
      <c r="KZ120" s="52">
        <v>12.64208</v>
      </c>
      <c r="LA120" s="52">
        <v>12.64208</v>
      </c>
      <c r="LB120" s="52">
        <v>12.64208</v>
      </c>
      <c r="LC120" s="52">
        <v>12.64208</v>
      </c>
      <c r="LD120" s="52">
        <v>12.64208</v>
      </c>
      <c r="LE120" s="52">
        <v>12.64208</v>
      </c>
      <c r="LF120" s="52">
        <v>12.64208</v>
      </c>
      <c r="LG120" s="52">
        <v>12.64208</v>
      </c>
      <c r="LH120" s="52">
        <v>12.64208</v>
      </c>
      <c r="LI120" s="52">
        <v>12.64208</v>
      </c>
      <c r="LJ120" s="52">
        <v>12.64208</v>
      </c>
      <c r="LK120" s="52">
        <v>12.64208</v>
      </c>
      <c r="LL120" s="52">
        <v>12.64208</v>
      </c>
      <c r="LM120" s="52">
        <v>12.64208</v>
      </c>
      <c r="LN120" s="52">
        <v>12.64208</v>
      </c>
      <c r="LO120" s="52">
        <v>12.64208</v>
      </c>
      <c r="LP120" s="52">
        <v>12.64208</v>
      </c>
      <c r="LQ120" s="52">
        <v>12.64208</v>
      </c>
      <c r="LR120" s="52">
        <v>12.64208</v>
      </c>
      <c r="LS120" s="52">
        <v>12.64208</v>
      </c>
      <c r="LT120" s="52">
        <v>12.64208</v>
      </c>
      <c r="LU120" s="52">
        <v>12.64208</v>
      </c>
      <c r="LV120" s="52">
        <v>12.64208</v>
      </c>
      <c r="LW120" s="52">
        <v>12.64208</v>
      </c>
      <c r="LX120" s="52">
        <v>12.64208</v>
      </c>
      <c r="LY120" s="52">
        <v>12.64208</v>
      </c>
      <c r="LZ120" s="52">
        <v>12.64208</v>
      </c>
      <c r="MA120" s="52">
        <v>12.64208</v>
      </c>
      <c r="MB120" s="52">
        <v>12.64208</v>
      </c>
      <c r="MC120" s="52">
        <v>12.64208</v>
      </c>
      <c r="MD120" s="52">
        <v>12.64208</v>
      </c>
      <c r="ME120" s="52">
        <v>12.64208</v>
      </c>
      <c r="MF120" s="52">
        <v>12.64208</v>
      </c>
      <c r="MG120" s="52">
        <v>12.64208</v>
      </c>
      <c r="MH120" s="52">
        <v>12.64208</v>
      </c>
      <c r="MI120" s="52">
        <v>12.64208</v>
      </c>
      <c r="MJ120" s="52">
        <v>12.64208</v>
      </c>
      <c r="MK120" s="52">
        <v>12.64208</v>
      </c>
      <c r="ML120" s="52">
        <v>12.64208</v>
      </c>
      <c r="MM120" s="52">
        <v>12.64208</v>
      </c>
      <c r="MN120" s="52">
        <v>12.64208</v>
      </c>
      <c r="MO120" s="52">
        <v>12.64208</v>
      </c>
      <c r="MP120" s="52">
        <v>12.64208</v>
      </c>
      <c r="MQ120" s="52">
        <v>12.64208</v>
      </c>
      <c r="MR120" s="52">
        <v>12.64208</v>
      </c>
      <c r="MS120" s="52">
        <v>12.64208</v>
      </c>
      <c r="MT120" s="52">
        <v>12.64208</v>
      </c>
      <c r="MU120" s="52">
        <v>12.64208</v>
      </c>
      <c r="MV120" s="52">
        <v>12.64208</v>
      </c>
      <c r="MW120" s="52">
        <v>12.64208</v>
      </c>
      <c r="MX120" s="52">
        <v>12.64208</v>
      </c>
      <c r="MY120" s="52">
        <v>12.64208</v>
      </c>
      <c r="MZ120" s="52">
        <v>12.64208</v>
      </c>
      <c r="NA120" s="52">
        <v>12.64208</v>
      </c>
      <c r="NB120" s="52">
        <v>12.64208</v>
      </c>
      <c r="NC120" s="52">
        <v>13.70688</v>
      </c>
      <c r="ND120" s="52">
        <v>0</v>
      </c>
      <c r="NE120" s="52"/>
      <c r="NF120" s="52"/>
      <c r="NG120" s="52"/>
      <c r="NH120" s="52"/>
    </row>
    <row r="121" spans="1:372" x14ac:dyDescent="0.2">
      <c r="A121" s="37">
        <v>119</v>
      </c>
      <c r="B121" s="37" t="s">
        <v>1064</v>
      </c>
      <c r="C121" s="17">
        <f>+'Detalle Compras'!D121</f>
        <v>20231228690</v>
      </c>
      <c r="D121" s="55">
        <f t="shared" si="16"/>
        <v>13.252635</v>
      </c>
      <c r="E121" s="14">
        <f>+IF(B121="","",'Detalle Compras'!S121+0)</f>
        <v>45483</v>
      </c>
      <c r="F121" s="14">
        <f>+IF(B121="","",EOMONTH('Detalle Compras'!Q121,G121)+10)</f>
        <v>10846</v>
      </c>
      <c r="G121" s="50">
        <f t="shared" si="17"/>
        <v>355</v>
      </c>
      <c r="H121" s="50">
        <f t="shared" si="18"/>
        <v>337</v>
      </c>
      <c r="I121" s="37">
        <v>0</v>
      </c>
      <c r="J121" s="37">
        <v>0</v>
      </c>
      <c r="K121" s="37">
        <v>0</v>
      </c>
      <c r="L121" s="37">
        <v>0</v>
      </c>
      <c r="M121" s="52">
        <v>13.252635</v>
      </c>
      <c r="N121" s="52">
        <v>13.252635</v>
      </c>
      <c r="O121" s="52">
        <v>13.252635</v>
      </c>
      <c r="P121" s="52">
        <v>13.252635</v>
      </c>
      <c r="Q121" s="52">
        <v>13.252635</v>
      </c>
      <c r="R121" s="52">
        <v>13.252635</v>
      </c>
      <c r="S121" s="52">
        <v>13.252635</v>
      </c>
      <c r="T121" s="52">
        <v>13.252635</v>
      </c>
      <c r="U121" s="52">
        <v>13.252635</v>
      </c>
      <c r="V121" s="52">
        <v>13.252635</v>
      </c>
      <c r="W121" s="52">
        <v>13.252635</v>
      </c>
      <c r="X121" s="52">
        <v>13.252635</v>
      </c>
      <c r="Y121" s="52">
        <v>13.252635</v>
      </c>
      <c r="Z121" s="52">
        <v>13.252635</v>
      </c>
      <c r="AA121" s="52">
        <v>13.252635</v>
      </c>
      <c r="AB121" s="52">
        <v>13.252635</v>
      </c>
      <c r="AC121" s="52">
        <v>13.252635</v>
      </c>
      <c r="AD121" s="52">
        <v>13.252635</v>
      </c>
      <c r="AE121" s="52">
        <v>13.252635</v>
      </c>
      <c r="AF121" s="52">
        <v>13.252635</v>
      </c>
      <c r="AG121" s="52">
        <v>13.252635</v>
      </c>
      <c r="AH121" s="52">
        <v>13.252635</v>
      </c>
      <c r="AI121" s="52">
        <v>13.252635</v>
      </c>
      <c r="AJ121" s="52">
        <v>13.252635</v>
      </c>
      <c r="AK121" s="52">
        <v>13.252635</v>
      </c>
      <c r="AL121" s="52">
        <v>13.252635</v>
      </c>
      <c r="AM121" s="52">
        <v>13.252635</v>
      </c>
      <c r="AN121" s="52">
        <v>13.252635</v>
      </c>
      <c r="AO121" s="52">
        <v>13.252635</v>
      </c>
      <c r="AP121" s="52">
        <v>13.252635</v>
      </c>
      <c r="AQ121" s="52">
        <v>13.252635</v>
      </c>
      <c r="AR121" s="52">
        <v>13.252635</v>
      </c>
      <c r="AS121" s="52">
        <v>13.252635</v>
      </c>
      <c r="AT121" s="52">
        <v>13.252635</v>
      </c>
      <c r="AU121" s="52">
        <v>13.252635</v>
      </c>
      <c r="AV121" s="52">
        <v>13.252635</v>
      </c>
      <c r="AW121" s="52">
        <v>13.252635</v>
      </c>
      <c r="AX121" s="52">
        <v>13.252635</v>
      </c>
      <c r="AY121" s="52">
        <v>13.252635</v>
      </c>
      <c r="AZ121" s="52">
        <v>13.252635</v>
      </c>
      <c r="BA121" s="52">
        <v>13.252635</v>
      </c>
      <c r="BB121" s="52">
        <v>13.252635</v>
      </c>
      <c r="BC121" s="52">
        <v>13.252635</v>
      </c>
      <c r="BD121" s="52">
        <v>13.252635</v>
      </c>
      <c r="BE121" s="52">
        <v>13.252635</v>
      </c>
      <c r="BF121" s="52">
        <v>13.252635</v>
      </c>
      <c r="BG121" s="52">
        <v>13.252635</v>
      </c>
      <c r="BH121" s="52">
        <v>13.252635</v>
      </c>
      <c r="BI121" s="52">
        <v>13.252635</v>
      </c>
      <c r="BJ121" s="52">
        <v>13.252635</v>
      </c>
      <c r="BK121" s="52">
        <v>13.252635</v>
      </c>
      <c r="BL121" s="52">
        <v>13.252635</v>
      </c>
      <c r="BM121" s="52">
        <v>13.252635</v>
      </c>
      <c r="BN121" s="52">
        <v>13.252635</v>
      </c>
      <c r="BO121" s="52">
        <v>13.252635</v>
      </c>
      <c r="BP121" s="52">
        <v>13.252635</v>
      </c>
      <c r="BQ121" s="52">
        <v>13.252635</v>
      </c>
      <c r="BR121" s="52">
        <v>13.252635</v>
      </c>
      <c r="BS121" s="52">
        <v>13.252635</v>
      </c>
      <c r="BT121" s="52">
        <v>13.252635</v>
      </c>
      <c r="BU121" s="52">
        <v>13.252635</v>
      </c>
      <c r="BV121" s="52">
        <v>13.252635</v>
      </c>
      <c r="BW121" s="52">
        <v>13.252635</v>
      </c>
      <c r="BX121" s="52">
        <v>13.252635</v>
      </c>
      <c r="BY121" s="52">
        <v>13.252635</v>
      </c>
      <c r="BZ121" s="52">
        <v>13.252635</v>
      </c>
      <c r="CA121" s="52">
        <v>13.252635</v>
      </c>
      <c r="CB121" s="52">
        <v>13.252635</v>
      </c>
      <c r="CC121" s="52">
        <v>13.252635</v>
      </c>
      <c r="CD121" s="52">
        <v>13.252635</v>
      </c>
      <c r="CE121" s="52">
        <v>13.252635</v>
      </c>
      <c r="CF121" s="52">
        <v>13.252635</v>
      </c>
      <c r="CG121" s="52">
        <v>13.252635</v>
      </c>
      <c r="CH121" s="52">
        <v>13.252635</v>
      </c>
      <c r="CI121" s="52">
        <v>13.252635</v>
      </c>
      <c r="CJ121" s="52">
        <v>13.252635</v>
      </c>
      <c r="CK121" s="52">
        <v>13.252635</v>
      </c>
      <c r="CL121" s="52">
        <v>13.252635</v>
      </c>
      <c r="CM121" s="52">
        <v>13.252635</v>
      </c>
      <c r="CN121" s="52">
        <v>13.252635</v>
      </c>
      <c r="CO121" s="52">
        <v>13.252635</v>
      </c>
      <c r="CP121" s="52">
        <v>13.252635</v>
      </c>
      <c r="CQ121" s="52">
        <v>13.252635</v>
      </c>
      <c r="CR121" s="52">
        <v>13.252635</v>
      </c>
      <c r="CS121" s="52">
        <v>13.252635</v>
      </c>
      <c r="CT121" s="52">
        <v>13.252635</v>
      </c>
      <c r="CU121" s="52">
        <v>13.252635</v>
      </c>
      <c r="CV121" s="52">
        <v>13.252635</v>
      </c>
      <c r="CW121" s="52">
        <v>13.252635</v>
      </c>
      <c r="CX121" s="52">
        <v>13.252635</v>
      </c>
      <c r="CY121" s="52">
        <v>13.252635</v>
      </c>
      <c r="CZ121" s="52">
        <v>13.252635</v>
      </c>
      <c r="DA121" s="52">
        <v>13.252635</v>
      </c>
      <c r="DB121" s="52">
        <v>13.252635</v>
      </c>
      <c r="DC121" s="52">
        <v>13.252635</v>
      </c>
      <c r="DD121" s="52">
        <v>13.252635</v>
      </c>
      <c r="DE121" s="52">
        <v>13.252635</v>
      </c>
      <c r="DF121" s="52">
        <v>13.252635</v>
      </c>
      <c r="DG121" s="52">
        <v>13.252635</v>
      </c>
      <c r="DH121" s="52">
        <v>13.252635</v>
      </c>
      <c r="DI121" s="52">
        <v>13.252635</v>
      </c>
      <c r="DJ121" s="52">
        <v>13.252635</v>
      </c>
      <c r="DK121" s="52">
        <v>13.252635</v>
      </c>
      <c r="DL121" s="52">
        <v>13.252635</v>
      </c>
      <c r="DM121" s="52">
        <v>13.252635</v>
      </c>
      <c r="DN121" s="52">
        <v>13.252635</v>
      </c>
      <c r="DO121" s="52">
        <v>13.252635</v>
      </c>
      <c r="DP121" s="52">
        <v>13.252635</v>
      </c>
      <c r="DQ121" s="52">
        <v>13.252635</v>
      </c>
      <c r="DR121" s="52">
        <v>13.252635</v>
      </c>
      <c r="DS121" s="52">
        <v>13.252635</v>
      </c>
      <c r="DT121" s="52">
        <v>13.252635</v>
      </c>
      <c r="DU121" s="52">
        <v>13.252635</v>
      </c>
      <c r="DV121" s="52">
        <v>13.252635</v>
      </c>
      <c r="DW121" s="52">
        <v>13.252635</v>
      </c>
      <c r="DX121" s="52">
        <v>13.252635</v>
      </c>
      <c r="DY121" s="52">
        <v>13.252635</v>
      </c>
      <c r="DZ121" s="52">
        <v>13.252635</v>
      </c>
      <c r="EA121" s="52">
        <v>13.252635</v>
      </c>
      <c r="EB121" s="52">
        <v>13.252635</v>
      </c>
      <c r="EC121" s="52">
        <v>13.252635</v>
      </c>
      <c r="ED121" s="52">
        <v>13.252635</v>
      </c>
      <c r="EE121" s="52">
        <v>13.252635</v>
      </c>
      <c r="EF121" s="52">
        <v>13.252635</v>
      </c>
      <c r="EG121" s="52">
        <v>13.252635</v>
      </c>
      <c r="EH121" s="52">
        <v>13.252635</v>
      </c>
      <c r="EI121" s="52">
        <v>13.252635</v>
      </c>
      <c r="EJ121" s="52">
        <v>13.252635</v>
      </c>
      <c r="EK121" s="52">
        <v>13.252635</v>
      </c>
      <c r="EL121" s="52">
        <v>13.252635</v>
      </c>
      <c r="EM121" s="52">
        <v>13.252635</v>
      </c>
      <c r="EN121" s="52">
        <v>13.252635</v>
      </c>
      <c r="EO121" s="52">
        <v>13.252635</v>
      </c>
      <c r="EP121" s="52">
        <v>13.252635</v>
      </c>
      <c r="EQ121" s="52">
        <v>13.252635</v>
      </c>
      <c r="ER121" s="52">
        <v>13.252635</v>
      </c>
      <c r="ES121" s="52">
        <v>13.252635</v>
      </c>
      <c r="ET121" s="52">
        <v>13.252635</v>
      </c>
      <c r="EU121" s="52">
        <v>13.252635</v>
      </c>
      <c r="EV121" s="52">
        <v>13.252635</v>
      </c>
      <c r="EW121" s="52">
        <v>13.252635</v>
      </c>
      <c r="EX121" s="52">
        <v>13.252635</v>
      </c>
      <c r="EY121" s="52">
        <v>13.252635</v>
      </c>
      <c r="EZ121" s="52">
        <v>13.252635</v>
      </c>
      <c r="FA121" s="52">
        <v>13.252635</v>
      </c>
      <c r="FB121" s="52">
        <v>13.252635</v>
      </c>
      <c r="FC121" s="52">
        <v>13.252635</v>
      </c>
      <c r="FD121" s="52">
        <v>13.252635</v>
      </c>
      <c r="FE121" s="52">
        <v>13.252635</v>
      </c>
      <c r="FF121" s="52">
        <v>13.252635</v>
      </c>
      <c r="FG121" s="52">
        <v>13.252635</v>
      </c>
      <c r="FH121" s="52">
        <v>13.252635</v>
      </c>
      <c r="FI121" s="52">
        <v>13.252635</v>
      </c>
      <c r="FJ121" s="52">
        <v>13.252635</v>
      </c>
      <c r="FK121" s="52">
        <v>13.252635</v>
      </c>
      <c r="FL121" s="52">
        <v>13.252635</v>
      </c>
      <c r="FM121" s="52">
        <v>13.252635</v>
      </c>
      <c r="FN121" s="52">
        <v>13.252635</v>
      </c>
      <c r="FO121" s="52">
        <v>13.252635</v>
      </c>
      <c r="FP121" s="52">
        <v>13.252635</v>
      </c>
      <c r="FQ121" s="52">
        <v>13.252635</v>
      </c>
      <c r="FR121" s="52">
        <v>13.252635</v>
      </c>
      <c r="FS121" s="52">
        <v>13.252635</v>
      </c>
      <c r="FT121" s="52">
        <v>13.252635</v>
      </c>
      <c r="FU121" s="52">
        <v>13.252635</v>
      </c>
      <c r="FV121" s="52">
        <v>13.252635</v>
      </c>
      <c r="FW121" s="52">
        <v>13.252635</v>
      </c>
      <c r="FX121" s="52">
        <v>13.252635</v>
      </c>
      <c r="FY121" s="52">
        <v>13.252635</v>
      </c>
      <c r="FZ121" s="52">
        <v>13.252635</v>
      </c>
      <c r="GA121" s="52">
        <v>13.252635</v>
      </c>
      <c r="GB121" s="52">
        <v>13.252635</v>
      </c>
      <c r="GC121" s="52">
        <v>13.252635</v>
      </c>
      <c r="GD121" s="52">
        <v>13.252635</v>
      </c>
      <c r="GE121" s="52">
        <v>13.252635</v>
      </c>
      <c r="GF121" s="52">
        <v>13.252635</v>
      </c>
      <c r="GG121" s="52">
        <v>13.252635</v>
      </c>
      <c r="GH121" s="52">
        <v>13.252635</v>
      </c>
      <c r="GI121" s="52">
        <v>13.252635</v>
      </c>
      <c r="GJ121" s="52">
        <v>13.252635</v>
      </c>
      <c r="GK121" s="52">
        <v>13.252635</v>
      </c>
      <c r="GL121" s="52">
        <v>13.252635</v>
      </c>
      <c r="GM121" s="52">
        <v>13.252635</v>
      </c>
      <c r="GN121" s="52">
        <v>13.252635</v>
      </c>
      <c r="GO121" s="52">
        <v>13.252635</v>
      </c>
      <c r="GP121" s="52">
        <v>13.252635</v>
      </c>
      <c r="GQ121" s="52">
        <v>13.252635</v>
      </c>
      <c r="GR121" s="52">
        <v>13.252635</v>
      </c>
      <c r="GS121" s="52">
        <v>13.252635</v>
      </c>
      <c r="GT121" s="52">
        <v>13.252635</v>
      </c>
      <c r="GU121" s="52">
        <v>13.252635</v>
      </c>
      <c r="GV121" s="52">
        <v>13.252635</v>
      </c>
      <c r="GW121" s="52">
        <v>13.252635</v>
      </c>
      <c r="GX121" s="52">
        <v>13.252635</v>
      </c>
      <c r="GY121" s="52">
        <v>13.252635</v>
      </c>
      <c r="GZ121" s="52">
        <v>13.252635</v>
      </c>
      <c r="HA121" s="52">
        <v>13.252635</v>
      </c>
      <c r="HB121" s="52">
        <v>13.252635</v>
      </c>
      <c r="HC121" s="52">
        <v>13.252635</v>
      </c>
      <c r="HD121" s="52">
        <v>13.252635</v>
      </c>
      <c r="HE121" s="52">
        <v>13.252635</v>
      </c>
      <c r="HF121" s="52">
        <v>13.252635</v>
      </c>
      <c r="HG121" s="52">
        <v>13.252635</v>
      </c>
      <c r="HH121" s="52">
        <v>13.252635</v>
      </c>
      <c r="HI121" s="52">
        <v>13.252635</v>
      </c>
      <c r="HJ121" s="52">
        <v>13.252635</v>
      </c>
      <c r="HK121" s="52">
        <v>13.252635</v>
      </c>
      <c r="HL121" s="52">
        <v>13.252635</v>
      </c>
      <c r="HM121" s="52">
        <v>13.252635</v>
      </c>
      <c r="HN121" s="52">
        <v>13.252635</v>
      </c>
      <c r="HO121" s="52">
        <v>13.252635</v>
      </c>
      <c r="HP121" s="52">
        <v>13.252635</v>
      </c>
      <c r="HQ121" s="52">
        <v>13.252635</v>
      </c>
      <c r="HR121" s="52">
        <v>13.252635</v>
      </c>
      <c r="HS121" s="52">
        <v>13.252635</v>
      </c>
      <c r="HT121" s="52">
        <v>13.252635</v>
      </c>
      <c r="HU121" s="52">
        <v>13.252635</v>
      </c>
      <c r="HV121" s="52">
        <v>13.252635</v>
      </c>
      <c r="HW121" s="52">
        <v>13.252635</v>
      </c>
      <c r="HX121" s="52">
        <v>13.252635</v>
      </c>
      <c r="HY121" s="52">
        <v>13.252635</v>
      </c>
      <c r="HZ121" s="52">
        <v>13.252635</v>
      </c>
      <c r="IA121" s="52">
        <v>13.252635</v>
      </c>
      <c r="IB121" s="52">
        <v>13.252635</v>
      </c>
      <c r="IC121" s="52">
        <v>13.252635</v>
      </c>
      <c r="ID121" s="52">
        <v>13.252635</v>
      </c>
      <c r="IE121" s="52">
        <v>13.252635</v>
      </c>
      <c r="IF121" s="52">
        <v>13.252635</v>
      </c>
      <c r="IG121" s="52">
        <v>13.252635</v>
      </c>
      <c r="IH121" s="52">
        <v>13.252635</v>
      </c>
      <c r="II121" s="52">
        <v>13.252635</v>
      </c>
      <c r="IJ121" s="52">
        <v>13.252635</v>
      </c>
      <c r="IK121" s="52">
        <v>13.252635</v>
      </c>
      <c r="IL121" s="52">
        <v>13.252635</v>
      </c>
      <c r="IM121" s="52">
        <v>13.252635</v>
      </c>
      <c r="IN121" s="52">
        <v>13.252635</v>
      </c>
      <c r="IO121" s="52">
        <v>13.252635</v>
      </c>
      <c r="IP121" s="52">
        <v>13.252635</v>
      </c>
      <c r="IQ121" s="52">
        <v>13.252635</v>
      </c>
      <c r="IR121" s="52">
        <v>13.252635</v>
      </c>
      <c r="IS121" s="52">
        <v>13.252635</v>
      </c>
      <c r="IT121" s="52">
        <v>13.252635</v>
      </c>
      <c r="IU121" s="52">
        <v>13.252635</v>
      </c>
      <c r="IV121" s="52">
        <v>13.252635</v>
      </c>
      <c r="IW121" s="52">
        <v>13.252635</v>
      </c>
      <c r="IX121" s="52">
        <v>13.252635</v>
      </c>
      <c r="IY121" s="52">
        <v>13.252635</v>
      </c>
      <c r="IZ121" s="52">
        <v>13.252635</v>
      </c>
      <c r="JA121" s="52">
        <v>13.252635</v>
      </c>
      <c r="JB121" s="52">
        <v>13.252635</v>
      </c>
      <c r="JC121" s="52">
        <v>13.252635</v>
      </c>
      <c r="JD121" s="52">
        <v>13.252635</v>
      </c>
      <c r="JE121" s="52">
        <v>13.252635</v>
      </c>
      <c r="JF121" s="52">
        <v>13.252635</v>
      </c>
      <c r="JG121" s="52">
        <v>13.252635</v>
      </c>
      <c r="JH121" s="52">
        <v>13.252635</v>
      </c>
      <c r="JI121" s="52">
        <v>13.252635</v>
      </c>
      <c r="JJ121" s="52">
        <v>13.252635</v>
      </c>
      <c r="JK121" s="52">
        <v>13.252635</v>
      </c>
      <c r="JL121" s="52">
        <v>13.252635</v>
      </c>
      <c r="JM121" s="52">
        <v>13.252635</v>
      </c>
      <c r="JN121" s="52">
        <v>13.252635</v>
      </c>
      <c r="JO121" s="52">
        <v>13.252635</v>
      </c>
      <c r="JP121" s="52">
        <v>13.252635</v>
      </c>
      <c r="JQ121" s="52">
        <v>13.252635</v>
      </c>
      <c r="JR121" s="52">
        <v>13.252635</v>
      </c>
      <c r="JS121" s="52">
        <v>13.252635</v>
      </c>
      <c r="JT121" s="52">
        <v>13.252635</v>
      </c>
      <c r="JU121" s="52">
        <v>13.252635</v>
      </c>
      <c r="JV121" s="52">
        <v>13.252635</v>
      </c>
      <c r="JW121" s="52">
        <v>13.252635</v>
      </c>
      <c r="JX121" s="52">
        <v>13.252635</v>
      </c>
      <c r="JY121" s="52">
        <v>13.252635</v>
      </c>
      <c r="JZ121" s="52">
        <v>13.252635</v>
      </c>
      <c r="KA121" s="52">
        <v>13.252635</v>
      </c>
      <c r="KB121" s="52">
        <v>13.252635</v>
      </c>
      <c r="KC121" s="52">
        <v>13.252635</v>
      </c>
      <c r="KD121" s="52">
        <v>13.252635</v>
      </c>
      <c r="KE121" s="52">
        <v>13.252635</v>
      </c>
      <c r="KF121" s="52">
        <v>13.252635</v>
      </c>
      <c r="KG121" s="52">
        <v>13.252635</v>
      </c>
      <c r="KH121" s="52">
        <v>13.252635</v>
      </c>
      <c r="KI121" s="52">
        <v>13.252635</v>
      </c>
      <c r="KJ121" s="52">
        <v>13.252635</v>
      </c>
      <c r="KK121" s="52">
        <v>13.252635</v>
      </c>
      <c r="KL121" s="52">
        <v>13.252635</v>
      </c>
      <c r="KM121" s="52">
        <v>13.252635</v>
      </c>
      <c r="KN121" s="52">
        <v>13.252635</v>
      </c>
      <c r="KO121" s="52">
        <v>13.252635</v>
      </c>
      <c r="KP121" s="52">
        <v>13.252635</v>
      </c>
      <c r="KQ121" s="52">
        <v>13.252635</v>
      </c>
      <c r="KR121" s="52">
        <v>13.252635</v>
      </c>
      <c r="KS121" s="52">
        <v>13.252635</v>
      </c>
      <c r="KT121" s="52">
        <v>13.252635</v>
      </c>
      <c r="KU121" s="52">
        <v>13.252635</v>
      </c>
      <c r="KV121" s="52">
        <v>13.252635</v>
      </c>
      <c r="KW121" s="52">
        <v>13.252635</v>
      </c>
      <c r="KX121" s="52">
        <v>13.252635</v>
      </c>
      <c r="KY121" s="52">
        <v>13.252635</v>
      </c>
      <c r="KZ121" s="52">
        <v>13.252635</v>
      </c>
      <c r="LA121" s="37">
        <v>13.252635</v>
      </c>
      <c r="LB121" s="37">
        <v>13.252635</v>
      </c>
      <c r="LC121" s="37">
        <v>13.252635</v>
      </c>
      <c r="LD121" s="37">
        <v>13.252635</v>
      </c>
      <c r="LE121" s="37">
        <v>13.252635</v>
      </c>
      <c r="LF121" s="37">
        <v>13.252635</v>
      </c>
      <c r="LG121" s="37">
        <v>13.252635</v>
      </c>
      <c r="LH121" s="37">
        <v>13.252635</v>
      </c>
      <c r="LI121" s="37">
        <v>13.252635</v>
      </c>
      <c r="LJ121" s="37">
        <v>13.252635</v>
      </c>
      <c r="LK121" s="37">
        <v>13.252635</v>
      </c>
      <c r="LL121" s="37">
        <v>13.252635</v>
      </c>
      <c r="LM121" s="37">
        <v>13.252635</v>
      </c>
      <c r="LN121" s="37">
        <v>13.252635</v>
      </c>
      <c r="LO121" s="37">
        <v>13.252635</v>
      </c>
      <c r="LP121" s="37">
        <v>13.252635</v>
      </c>
      <c r="LQ121" s="37">
        <v>13.252635</v>
      </c>
      <c r="LR121" s="37">
        <v>13.252635</v>
      </c>
      <c r="LS121" s="37">
        <v>13.252635</v>
      </c>
      <c r="LT121" s="37">
        <v>13.252635</v>
      </c>
      <c r="LU121" s="37">
        <v>13.252635</v>
      </c>
      <c r="LV121" s="37">
        <v>13.252635</v>
      </c>
      <c r="LW121" s="37">
        <v>13.252635</v>
      </c>
      <c r="LX121" s="37">
        <v>13.252635</v>
      </c>
      <c r="LY121" s="37">
        <v>13.252635</v>
      </c>
      <c r="LZ121" s="37">
        <v>13.252635</v>
      </c>
      <c r="MA121" s="37">
        <v>13.252635</v>
      </c>
      <c r="MB121" s="37">
        <v>13.252635</v>
      </c>
      <c r="MC121" s="37">
        <v>13.252635</v>
      </c>
      <c r="MD121" s="37">
        <v>13.252635</v>
      </c>
      <c r="ME121" s="37">
        <v>13.252635</v>
      </c>
      <c r="MF121" s="37">
        <v>13.252635</v>
      </c>
      <c r="MG121" s="37">
        <v>13.252635</v>
      </c>
      <c r="MH121" s="37">
        <v>13.252635</v>
      </c>
      <c r="MI121" s="37">
        <v>13.252635</v>
      </c>
      <c r="MJ121" s="37">
        <v>13.252635</v>
      </c>
      <c r="MK121" s="37">
        <v>13.252635</v>
      </c>
      <c r="ML121" s="37">
        <v>13.252635</v>
      </c>
      <c r="MM121" s="37">
        <v>13.252635</v>
      </c>
      <c r="MN121" s="37">
        <v>13.252635</v>
      </c>
      <c r="MO121" s="37">
        <v>13.252635</v>
      </c>
      <c r="MP121" s="37">
        <v>13.252635</v>
      </c>
      <c r="MQ121" s="37">
        <v>13.252635</v>
      </c>
      <c r="MR121" s="37">
        <v>13.252635</v>
      </c>
      <c r="MS121" s="37">
        <v>13.252635</v>
      </c>
      <c r="MT121" s="37">
        <v>13.252635</v>
      </c>
      <c r="MU121" s="37">
        <v>13.252635</v>
      </c>
      <c r="MV121" s="37">
        <v>13.252635</v>
      </c>
      <c r="MW121" s="37">
        <v>13.252635</v>
      </c>
      <c r="MX121" s="37">
        <v>13.252635</v>
      </c>
      <c r="MY121" s="37">
        <v>13.252635</v>
      </c>
      <c r="MZ121" s="37">
        <v>13.252635</v>
      </c>
      <c r="NA121" s="37">
        <v>13.252635</v>
      </c>
      <c r="NB121" s="37">
        <v>13.252635</v>
      </c>
      <c r="NC121" s="37">
        <v>14.36886</v>
      </c>
      <c r="ND121" s="37">
        <v>0</v>
      </c>
    </row>
    <row r="122" spans="1:372" x14ac:dyDescent="0.2">
      <c r="A122" s="37">
        <v>120</v>
      </c>
      <c r="B122" s="37" t="s">
        <v>1069</v>
      </c>
      <c r="C122" s="17">
        <f>+'Detalle Compras'!D122</f>
        <v>20231227684</v>
      </c>
      <c r="D122" s="55">
        <f t="shared" si="16"/>
        <v>11.097735</v>
      </c>
      <c r="E122" s="14">
        <f>+IF(B122="","",'Detalle Compras'!S122+0)</f>
        <v>45483</v>
      </c>
      <c r="F122" s="14">
        <f>+IF(B122="","",EOMONTH('Detalle Compras'!Q122,G122)+10)</f>
        <v>10846</v>
      </c>
      <c r="G122" s="50">
        <f t="shared" si="17"/>
        <v>355</v>
      </c>
      <c r="H122" s="50">
        <f t="shared" si="18"/>
        <v>337</v>
      </c>
      <c r="I122" s="37">
        <v>0</v>
      </c>
      <c r="J122" s="37">
        <v>0</v>
      </c>
      <c r="K122" s="37">
        <v>0</v>
      </c>
      <c r="L122" s="37">
        <v>0</v>
      </c>
      <c r="M122" s="52">
        <v>11.097735</v>
      </c>
      <c r="N122" s="52">
        <v>11.097735</v>
      </c>
      <c r="O122" s="52">
        <v>11.097735</v>
      </c>
      <c r="P122" s="52">
        <v>11.097735</v>
      </c>
      <c r="Q122" s="52">
        <v>11.097735</v>
      </c>
      <c r="R122" s="52">
        <v>11.097735</v>
      </c>
      <c r="S122" s="52">
        <v>11.097735</v>
      </c>
      <c r="T122" s="52">
        <v>11.097735</v>
      </c>
      <c r="U122" s="52">
        <v>11.097735</v>
      </c>
      <c r="V122" s="52">
        <v>11.097735</v>
      </c>
      <c r="W122" s="52">
        <v>11.097735</v>
      </c>
      <c r="X122" s="52">
        <v>11.097735</v>
      </c>
      <c r="Y122" s="52">
        <v>11.097735</v>
      </c>
      <c r="Z122" s="52">
        <v>11.097735</v>
      </c>
      <c r="AA122" s="52">
        <v>11.097735</v>
      </c>
      <c r="AB122" s="52">
        <v>11.097735</v>
      </c>
      <c r="AC122" s="52">
        <v>11.097735</v>
      </c>
      <c r="AD122" s="52">
        <v>11.097735</v>
      </c>
      <c r="AE122" s="52">
        <v>11.097735</v>
      </c>
      <c r="AF122" s="52">
        <v>11.097735</v>
      </c>
      <c r="AG122" s="52">
        <v>11.097735</v>
      </c>
      <c r="AH122" s="52">
        <v>11.097735</v>
      </c>
      <c r="AI122" s="52">
        <v>11.097735</v>
      </c>
      <c r="AJ122" s="52">
        <v>11.097735</v>
      </c>
      <c r="AK122" s="52">
        <v>11.097735</v>
      </c>
      <c r="AL122" s="52">
        <v>11.097735</v>
      </c>
      <c r="AM122" s="52">
        <v>11.097735</v>
      </c>
      <c r="AN122" s="52">
        <v>11.097735</v>
      </c>
      <c r="AO122" s="52">
        <v>11.097735</v>
      </c>
      <c r="AP122" s="52">
        <v>11.097735</v>
      </c>
      <c r="AQ122" s="52">
        <v>11.097735</v>
      </c>
      <c r="AR122" s="52">
        <v>11.097735</v>
      </c>
      <c r="AS122" s="52">
        <v>11.097735</v>
      </c>
      <c r="AT122" s="52">
        <v>11.097735</v>
      </c>
      <c r="AU122" s="52">
        <v>11.097735</v>
      </c>
      <c r="AV122" s="52">
        <v>11.097735</v>
      </c>
      <c r="AW122" s="52">
        <v>11.097735</v>
      </c>
      <c r="AX122" s="52">
        <v>11.097735</v>
      </c>
      <c r="AY122" s="52">
        <v>11.097735</v>
      </c>
      <c r="AZ122" s="52">
        <v>11.097735</v>
      </c>
      <c r="BA122" s="52">
        <v>11.097735</v>
      </c>
      <c r="BB122" s="52">
        <v>11.097735</v>
      </c>
      <c r="BC122" s="52">
        <v>11.097735</v>
      </c>
      <c r="BD122" s="52">
        <v>11.097735</v>
      </c>
      <c r="BE122" s="52">
        <v>11.097735</v>
      </c>
      <c r="BF122" s="52">
        <v>11.097735</v>
      </c>
      <c r="BG122" s="52">
        <v>11.097735</v>
      </c>
      <c r="BH122" s="52">
        <v>11.097735</v>
      </c>
      <c r="BI122" s="52">
        <v>11.097735</v>
      </c>
      <c r="BJ122" s="52">
        <v>11.097735</v>
      </c>
      <c r="BK122" s="52">
        <v>11.097735</v>
      </c>
      <c r="BL122" s="52">
        <v>11.097735</v>
      </c>
      <c r="BM122" s="52">
        <v>11.097735</v>
      </c>
      <c r="BN122" s="52">
        <v>11.097735</v>
      </c>
      <c r="BO122" s="52">
        <v>11.097735</v>
      </c>
      <c r="BP122" s="52">
        <v>11.097735</v>
      </c>
      <c r="BQ122" s="52">
        <v>11.097735</v>
      </c>
      <c r="BR122" s="52">
        <v>11.097735</v>
      </c>
      <c r="BS122" s="52">
        <v>11.097735</v>
      </c>
      <c r="BT122" s="52">
        <v>11.097735</v>
      </c>
      <c r="BU122" s="52">
        <v>11.097735</v>
      </c>
      <c r="BV122" s="52">
        <v>11.097735</v>
      </c>
      <c r="BW122" s="52">
        <v>11.097735</v>
      </c>
      <c r="BX122" s="52">
        <v>11.097735</v>
      </c>
      <c r="BY122" s="52">
        <v>11.097735</v>
      </c>
      <c r="BZ122" s="52">
        <v>11.097735</v>
      </c>
      <c r="CA122" s="52">
        <v>11.097735</v>
      </c>
      <c r="CB122" s="52">
        <v>11.097735</v>
      </c>
      <c r="CC122" s="52">
        <v>11.097735</v>
      </c>
      <c r="CD122" s="52">
        <v>11.097735</v>
      </c>
      <c r="CE122" s="52">
        <v>11.097735</v>
      </c>
      <c r="CF122" s="52">
        <v>11.097735</v>
      </c>
      <c r="CG122" s="52">
        <v>11.097735</v>
      </c>
      <c r="CH122" s="52">
        <v>11.097735</v>
      </c>
      <c r="CI122" s="52">
        <v>11.097735</v>
      </c>
      <c r="CJ122" s="52">
        <v>11.097735</v>
      </c>
      <c r="CK122" s="52">
        <v>11.097735</v>
      </c>
      <c r="CL122" s="52">
        <v>11.097735</v>
      </c>
      <c r="CM122" s="52">
        <v>11.097735</v>
      </c>
      <c r="CN122" s="52">
        <v>11.097735</v>
      </c>
      <c r="CO122" s="52">
        <v>11.097735</v>
      </c>
      <c r="CP122" s="52">
        <v>11.097735</v>
      </c>
      <c r="CQ122" s="52">
        <v>11.097735</v>
      </c>
      <c r="CR122" s="52">
        <v>11.097735</v>
      </c>
      <c r="CS122" s="52">
        <v>11.097735</v>
      </c>
      <c r="CT122" s="52">
        <v>11.097735</v>
      </c>
      <c r="CU122" s="52">
        <v>11.097735</v>
      </c>
      <c r="CV122" s="52">
        <v>11.097735</v>
      </c>
      <c r="CW122" s="52">
        <v>11.097735</v>
      </c>
      <c r="CX122" s="52">
        <v>11.097735</v>
      </c>
      <c r="CY122" s="52">
        <v>11.097735</v>
      </c>
      <c r="CZ122" s="52">
        <v>11.097735</v>
      </c>
      <c r="DA122" s="52">
        <v>11.097735</v>
      </c>
      <c r="DB122" s="52">
        <v>11.097735</v>
      </c>
      <c r="DC122" s="52">
        <v>11.097735</v>
      </c>
      <c r="DD122" s="52">
        <v>11.097735</v>
      </c>
      <c r="DE122" s="52">
        <v>11.097735</v>
      </c>
      <c r="DF122" s="52">
        <v>11.097735</v>
      </c>
      <c r="DG122" s="52">
        <v>11.097735</v>
      </c>
      <c r="DH122" s="52">
        <v>11.097735</v>
      </c>
      <c r="DI122" s="52">
        <v>11.097735</v>
      </c>
      <c r="DJ122" s="52">
        <v>11.097735</v>
      </c>
      <c r="DK122" s="52">
        <v>11.097735</v>
      </c>
      <c r="DL122" s="52">
        <v>11.097735</v>
      </c>
      <c r="DM122" s="52">
        <v>11.097735</v>
      </c>
      <c r="DN122" s="52">
        <v>11.097735</v>
      </c>
      <c r="DO122" s="52">
        <v>11.097735</v>
      </c>
      <c r="DP122" s="52">
        <v>11.097735</v>
      </c>
      <c r="DQ122" s="52">
        <v>11.097735</v>
      </c>
      <c r="DR122" s="52">
        <v>11.097735</v>
      </c>
      <c r="DS122" s="52">
        <v>11.097735</v>
      </c>
      <c r="DT122" s="52">
        <v>11.097735</v>
      </c>
      <c r="DU122" s="52">
        <v>11.097735</v>
      </c>
      <c r="DV122" s="52">
        <v>11.097735</v>
      </c>
      <c r="DW122" s="52">
        <v>11.097735</v>
      </c>
      <c r="DX122" s="52">
        <v>11.097735</v>
      </c>
      <c r="DY122" s="52">
        <v>11.097735</v>
      </c>
      <c r="DZ122" s="52">
        <v>11.097735</v>
      </c>
      <c r="EA122" s="52">
        <v>11.097735</v>
      </c>
      <c r="EB122" s="52">
        <v>11.097735</v>
      </c>
      <c r="EC122" s="52">
        <v>11.097735</v>
      </c>
      <c r="ED122" s="52">
        <v>11.097735</v>
      </c>
      <c r="EE122" s="52">
        <v>11.097735</v>
      </c>
      <c r="EF122" s="52">
        <v>11.097735</v>
      </c>
      <c r="EG122" s="52">
        <v>11.097735</v>
      </c>
      <c r="EH122" s="52">
        <v>11.097735</v>
      </c>
      <c r="EI122" s="52">
        <v>11.097735</v>
      </c>
      <c r="EJ122" s="52">
        <v>11.097735</v>
      </c>
      <c r="EK122" s="52">
        <v>11.097735</v>
      </c>
      <c r="EL122" s="52">
        <v>11.097735</v>
      </c>
      <c r="EM122" s="52">
        <v>11.097735</v>
      </c>
      <c r="EN122" s="52">
        <v>11.097735</v>
      </c>
      <c r="EO122" s="52">
        <v>11.097735</v>
      </c>
      <c r="EP122" s="52">
        <v>11.097735</v>
      </c>
      <c r="EQ122" s="52">
        <v>11.097735</v>
      </c>
      <c r="ER122" s="52">
        <v>11.097735</v>
      </c>
      <c r="ES122" s="52">
        <v>11.097735</v>
      </c>
      <c r="ET122" s="52">
        <v>11.097735</v>
      </c>
      <c r="EU122" s="52">
        <v>11.097735</v>
      </c>
      <c r="EV122" s="52">
        <v>11.097735</v>
      </c>
      <c r="EW122" s="52">
        <v>11.097735</v>
      </c>
      <c r="EX122" s="52">
        <v>11.097735</v>
      </c>
      <c r="EY122" s="52">
        <v>11.097735</v>
      </c>
      <c r="EZ122" s="52">
        <v>11.097735</v>
      </c>
      <c r="FA122" s="52">
        <v>11.097735</v>
      </c>
      <c r="FB122" s="52">
        <v>11.097735</v>
      </c>
      <c r="FC122" s="52">
        <v>11.097735</v>
      </c>
      <c r="FD122" s="52">
        <v>11.097735</v>
      </c>
      <c r="FE122" s="52">
        <v>11.097735</v>
      </c>
      <c r="FF122" s="52">
        <v>11.097735</v>
      </c>
      <c r="FG122" s="52">
        <v>11.097735</v>
      </c>
      <c r="FH122" s="52">
        <v>11.097735</v>
      </c>
      <c r="FI122" s="52">
        <v>11.097735</v>
      </c>
      <c r="FJ122" s="52">
        <v>11.097735</v>
      </c>
      <c r="FK122" s="52">
        <v>11.097735</v>
      </c>
      <c r="FL122" s="52">
        <v>11.097735</v>
      </c>
      <c r="FM122" s="52">
        <v>11.097735</v>
      </c>
      <c r="FN122" s="52">
        <v>11.097735</v>
      </c>
      <c r="FO122" s="52">
        <v>11.097735</v>
      </c>
      <c r="FP122" s="52">
        <v>11.097735</v>
      </c>
      <c r="FQ122" s="52">
        <v>11.097735</v>
      </c>
      <c r="FR122" s="52">
        <v>11.097735</v>
      </c>
      <c r="FS122" s="52">
        <v>11.097735</v>
      </c>
      <c r="FT122" s="52">
        <v>11.097735</v>
      </c>
      <c r="FU122" s="52">
        <v>11.097735</v>
      </c>
      <c r="FV122" s="52">
        <v>11.097735</v>
      </c>
      <c r="FW122" s="52">
        <v>11.097735</v>
      </c>
      <c r="FX122" s="52">
        <v>11.097735</v>
      </c>
      <c r="FY122" s="52">
        <v>11.097735</v>
      </c>
      <c r="FZ122" s="52">
        <v>11.097735</v>
      </c>
      <c r="GA122" s="52">
        <v>11.097735</v>
      </c>
      <c r="GB122" s="52">
        <v>11.097735</v>
      </c>
      <c r="GC122" s="52">
        <v>11.097735</v>
      </c>
      <c r="GD122" s="52">
        <v>11.097735</v>
      </c>
      <c r="GE122" s="52">
        <v>11.097735</v>
      </c>
      <c r="GF122" s="52">
        <v>11.097735</v>
      </c>
      <c r="GG122" s="52">
        <v>11.097735</v>
      </c>
      <c r="GH122" s="52">
        <v>11.097735</v>
      </c>
      <c r="GI122" s="52">
        <v>11.097735</v>
      </c>
      <c r="GJ122" s="52">
        <v>11.097735</v>
      </c>
      <c r="GK122" s="52">
        <v>11.097735</v>
      </c>
      <c r="GL122" s="52">
        <v>11.097735</v>
      </c>
      <c r="GM122" s="52">
        <v>11.097735</v>
      </c>
      <c r="GN122" s="52">
        <v>11.097735</v>
      </c>
      <c r="GO122" s="52">
        <v>11.097735</v>
      </c>
      <c r="GP122" s="52">
        <v>11.097735</v>
      </c>
      <c r="GQ122" s="52">
        <v>11.097735</v>
      </c>
      <c r="GR122" s="52">
        <v>11.097735</v>
      </c>
      <c r="GS122" s="52">
        <v>11.097735</v>
      </c>
      <c r="GT122" s="52">
        <v>11.097735</v>
      </c>
      <c r="GU122" s="52">
        <v>11.097735</v>
      </c>
      <c r="GV122" s="52">
        <v>11.097735</v>
      </c>
      <c r="GW122" s="52">
        <v>11.097735</v>
      </c>
      <c r="GX122" s="52">
        <v>11.097735</v>
      </c>
      <c r="GY122" s="52">
        <v>11.097735</v>
      </c>
      <c r="GZ122" s="52">
        <v>11.097735</v>
      </c>
      <c r="HA122" s="52">
        <v>11.097735</v>
      </c>
      <c r="HB122" s="52">
        <v>11.097735</v>
      </c>
      <c r="HC122" s="52">
        <v>11.097735</v>
      </c>
      <c r="HD122" s="52">
        <v>11.097735</v>
      </c>
      <c r="HE122" s="52">
        <v>11.097735</v>
      </c>
      <c r="HF122" s="52">
        <v>11.097735</v>
      </c>
      <c r="HG122" s="52">
        <v>11.097735</v>
      </c>
      <c r="HH122" s="52">
        <v>11.097735</v>
      </c>
      <c r="HI122" s="52">
        <v>11.097735</v>
      </c>
      <c r="HJ122" s="52">
        <v>11.097735</v>
      </c>
      <c r="HK122" s="52">
        <v>11.097735</v>
      </c>
      <c r="HL122" s="52">
        <v>11.097735</v>
      </c>
      <c r="HM122" s="52">
        <v>11.097735</v>
      </c>
      <c r="HN122" s="52">
        <v>11.097735</v>
      </c>
      <c r="HO122" s="52">
        <v>11.097735</v>
      </c>
      <c r="HP122" s="52">
        <v>11.097735</v>
      </c>
      <c r="HQ122" s="52">
        <v>11.097735</v>
      </c>
      <c r="HR122" s="52">
        <v>11.097735</v>
      </c>
      <c r="HS122" s="52">
        <v>11.097735</v>
      </c>
      <c r="HT122" s="52">
        <v>11.097735</v>
      </c>
      <c r="HU122" s="52">
        <v>11.097735</v>
      </c>
      <c r="HV122" s="52">
        <v>11.097735</v>
      </c>
      <c r="HW122" s="52">
        <v>11.097735</v>
      </c>
      <c r="HX122" s="52">
        <v>11.097735</v>
      </c>
      <c r="HY122" s="52">
        <v>11.097735</v>
      </c>
      <c r="HZ122" s="52">
        <v>11.097735</v>
      </c>
      <c r="IA122" s="52">
        <v>11.097735</v>
      </c>
      <c r="IB122" s="52">
        <v>11.097735</v>
      </c>
      <c r="IC122" s="52">
        <v>11.097735</v>
      </c>
      <c r="ID122" s="52">
        <v>11.097735</v>
      </c>
      <c r="IE122" s="52">
        <v>11.097735</v>
      </c>
      <c r="IF122" s="52">
        <v>11.097735</v>
      </c>
      <c r="IG122" s="52">
        <v>11.097735</v>
      </c>
      <c r="IH122" s="52">
        <v>11.097735</v>
      </c>
      <c r="II122" s="52">
        <v>11.097735</v>
      </c>
      <c r="IJ122" s="52">
        <v>11.097735</v>
      </c>
      <c r="IK122" s="52">
        <v>11.097735</v>
      </c>
      <c r="IL122" s="52">
        <v>11.097735</v>
      </c>
      <c r="IM122" s="52">
        <v>11.097735</v>
      </c>
      <c r="IN122" s="52">
        <v>11.097735</v>
      </c>
      <c r="IO122" s="52">
        <v>11.097735</v>
      </c>
      <c r="IP122" s="52">
        <v>11.097735</v>
      </c>
      <c r="IQ122" s="52">
        <v>11.097735</v>
      </c>
      <c r="IR122" s="52">
        <v>11.097735</v>
      </c>
      <c r="IS122" s="52">
        <v>11.097735</v>
      </c>
      <c r="IT122" s="52">
        <v>11.097735</v>
      </c>
      <c r="IU122" s="52">
        <v>11.097735</v>
      </c>
      <c r="IV122" s="52">
        <v>11.097735</v>
      </c>
      <c r="IW122" s="52">
        <v>11.097735</v>
      </c>
      <c r="IX122" s="52">
        <v>11.097735</v>
      </c>
      <c r="IY122" s="52">
        <v>11.097735</v>
      </c>
      <c r="IZ122" s="52">
        <v>11.097735</v>
      </c>
      <c r="JA122" s="52">
        <v>11.097735</v>
      </c>
      <c r="JB122" s="52">
        <v>11.097735</v>
      </c>
      <c r="JC122" s="52">
        <v>11.097735</v>
      </c>
      <c r="JD122" s="52">
        <v>11.097735</v>
      </c>
      <c r="JE122" s="52">
        <v>11.097735</v>
      </c>
      <c r="JF122" s="52">
        <v>11.097735</v>
      </c>
      <c r="JG122" s="52">
        <v>11.097735</v>
      </c>
      <c r="JH122" s="52">
        <v>11.097735</v>
      </c>
      <c r="JI122" s="52">
        <v>11.097735</v>
      </c>
      <c r="JJ122" s="52">
        <v>11.097735</v>
      </c>
      <c r="JK122" s="52">
        <v>11.097735</v>
      </c>
      <c r="JL122" s="52">
        <v>11.097735</v>
      </c>
      <c r="JM122" s="52">
        <v>11.097735</v>
      </c>
      <c r="JN122" s="52">
        <v>11.097735</v>
      </c>
      <c r="JO122" s="52">
        <v>11.097735</v>
      </c>
      <c r="JP122" s="52">
        <v>11.097735</v>
      </c>
      <c r="JQ122" s="52">
        <v>11.097735</v>
      </c>
      <c r="JR122" s="52">
        <v>11.097735</v>
      </c>
      <c r="JS122" s="52">
        <v>11.097735</v>
      </c>
      <c r="JT122" s="52">
        <v>11.097735</v>
      </c>
      <c r="JU122" s="52">
        <v>11.097735</v>
      </c>
      <c r="JV122" s="52">
        <v>11.097735</v>
      </c>
      <c r="JW122" s="52">
        <v>11.097735</v>
      </c>
      <c r="JX122" s="52">
        <v>11.097735</v>
      </c>
      <c r="JY122" s="52">
        <v>11.097735</v>
      </c>
      <c r="JZ122" s="52">
        <v>11.097735</v>
      </c>
      <c r="KA122" s="52">
        <v>11.097735</v>
      </c>
      <c r="KB122" s="52">
        <v>11.097735</v>
      </c>
      <c r="KC122" s="52">
        <v>11.097735</v>
      </c>
      <c r="KD122" s="52">
        <v>11.097735</v>
      </c>
      <c r="KE122" s="52">
        <v>11.097735</v>
      </c>
      <c r="KF122" s="52">
        <v>11.097735</v>
      </c>
      <c r="KG122" s="52">
        <v>11.097735</v>
      </c>
      <c r="KH122" s="52">
        <v>11.097735</v>
      </c>
      <c r="KI122" s="52">
        <v>11.097735</v>
      </c>
      <c r="KJ122" s="52">
        <v>11.097735</v>
      </c>
      <c r="KK122" s="52">
        <v>11.097735</v>
      </c>
      <c r="KL122" s="52">
        <v>11.097735</v>
      </c>
      <c r="KM122" s="52">
        <v>11.097735</v>
      </c>
      <c r="KN122" s="52">
        <v>11.097735</v>
      </c>
      <c r="KO122" s="52">
        <v>11.097735</v>
      </c>
      <c r="KP122" s="52">
        <v>11.097735</v>
      </c>
      <c r="KQ122" s="52">
        <v>11.097735</v>
      </c>
      <c r="KR122" s="52">
        <v>11.097735</v>
      </c>
      <c r="KS122" s="52">
        <v>11.097735</v>
      </c>
      <c r="KT122" s="52">
        <v>11.097735</v>
      </c>
      <c r="KU122" s="52">
        <v>11.097735</v>
      </c>
      <c r="KV122" s="52">
        <v>11.097735</v>
      </c>
      <c r="KW122" s="52">
        <v>11.097735</v>
      </c>
      <c r="KX122" s="52">
        <v>11.097735</v>
      </c>
      <c r="KY122" s="52">
        <v>11.097735</v>
      </c>
      <c r="KZ122" s="52">
        <v>11.097735</v>
      </c>
      <c r="LA122" s="52">
        <v>11.097735</v>
      </c>
      <c r="LB122" s="52">
        <v>11.097735</v>
      </c>
      <c r="LC122" s="52">
        <v>11.097735</v>
      </c>
      <c r="LD122" s="52">
        <v>11.097735</v>
      </c>
      <c r="LE122" s="52">
        <v>11.097735</v>
      </c>
      <c r="LF122" s="52">
        <v>11.097735</v>
      </c>
      <c r="LG122" s="52">
        <v>11.097735</v>
      </c>
      <c r="LH122" s="52">
        <v>11.097735</v>
      </c>
      <c r="LI122" s="52">
        <v>11.097735</v>
      </c>
      <c r="LJ122" s="52">
        <v>11.097735</v>
      </c>
      <c r="LK122" s="52">
        <v>11.097735</v>
      </c>
      <c r="LL122" s="52">
        <v>11.097735</v>
      </c>
      <c r="LM122" s="52">
        <v>11.097735</v>
      </c>
      <c r="LN122" s="52">
        <v>11.097735</v>
      </c>
      <c r="LO122" s="52">
        <v>11.097735</v>
      </c>
      <c r="LP122" s="52">
        <v>11.097735</v>
      </c>
      <c r="LQ122" s="52">
        <v>11.097735</v>
      </c>
      <c r="LR122" s="52">
        <v>11.097735</v>
      </c>
      <c r="LS122" s="52">
        <v>11.097735</v>
      </c>
      <c r="LT122" s="52">
        <v>11.097735</v>
      </c>
      <c r="LU122" s="52">
        <v>11.097735</v>
      </c>
      <c r="LV122" s="52">
        <v>11.097735</v>
      </c>
      <c r="LW122" s="52">
        <v>11.097735</v>
      </c>
      <c r="LX122" s="52">
        <v>11.097735</v>
      </c>
      <c r="LY122" s="52">
        <v>11.097735</v>
      </c>
      <c r="LZ122" s="52">
        <v>11.097735</v>
      </c>
      <c r="MA122" s="52">
        <v>11.097735</v>
      </c>
      <c r="MB122" s="52">
        <v>11.097735</v>
      </c>
      <c r="MC122" s="52">
        <v>11.097735</v>
      </c>
      <c r="MD122" s="52">
        <v>11.097735</v>
      </c>
      <c r="ME122" s="52">
        <v>11.097735</v>
      </c>
      <c r="MF122" s="52">
        <v>11.097735</v>
      </c>
      <c r="MG122" s="52">
        <v>11.097735</v>
      </c>
      <c r="MH122" s="52">
        <v>11.097735</v>
      </c>
      <c r="MI122" s="52">
        <v>11.097735</v>
      </c>
      <c r="MJ122" s="52">
        <v>11.097735</v>
      </c>
      <c r="MK122" s="52">
        <v>11.097735</v>
      </c>
      <c r="ML122" s="52">
        <v>11.097735</v>
      </c>
      <c r="MM122" s="52">
        <v>11.097735</v>
      </c>
      <c r="MN122" s="52">
        <v>11.097735</v>
      </c>
      <c r="MO122" s="52">
        <v>11.097735</v>
      </c>
      <c r="MP122" s="52">
        <v>11.097735</v>
      </c>
      <c r="MQ122" s="52">
        <v>11.097735</v>
      </c>
      <c r="MR122" s="52">
        <v>11.097735</v>
      </c>
      <c r="MS122" s="52">
        <v>11.097735</v>
      </c>
      <c r="MT122" s="52">
        <v>11.097735</v>
      </c>
      <c r="MU122" s="52">
        <v>11.097735</v>
      </c>
      <c r="MV122" s="52">
        <v>11.097735</v>
      </c>
      <c r="MW122" s="52">
        <v>11.097735</v>
      </c>
      <c r="MX122" s="52">
        <v>11.097735</v>
      </c>
      <c r="MY122" s="52">
        <v>11.097735</v>
      </c>
      <c r="MZ122" s="52">
        <v>11.097735</v>
      </c>
      <c r="NA122" s="52">
        <v>11.097735</v>
      </c>
      <c r="NB122" s="52">
        <v>11.097735</v>
      </c>
      <c r="NC122" s="52">
        <v>12.03246</v>
      </c>
      <c r="ND122" s="52">
        <v>0</v>
      </c>
      <c r="NE122" s="52"/>
      <c r="NF122" s="52"/>
      <c r="NG122" s="52"/>
      <c r="NH122" s="52"/>
    </row>
    <row r="123" spans="1:372" x14ac:dyDescent="0.2">
      <c r="A123" s="37">
        <v>121</v>
      </c>
      <c r="B123" s="37" t="s">
        <v>1074</v>
      </c>
      <c r="C123" s="17">
        <f>+'Detalle Compras'!D123</f>
        <v>20231229695</v>
      </c>
      <c r="D123" s="55">
        <f t="shared" si="16"/>
        <v>12.354760000000001</v>
      </c>
      <c r="E123" s="14">
        <f>+IF(B123="","",'Detalle Compras'!S123+0)</f>
        <v>45483</v>
      </c>
      <c r="F123" s="14">
        <f>+IF(B123="","",EOMONTH('Detalle Compras'!Q123,G123)+10)</f>
        <v>10846</v>
      </c>
      <c r="G123" s="50">
        <f t="shared" si="17"/>
        <v>355</v>
      </c>
      <c r="H123" s="50">
        <f t="shared" si="18"/>
        <v>337</v>
      </c>
      <c r="I123" s="37">
        <v>0</v>
      </c>
      <c r="J123" s="37">
        <v>0</v>
      </c>
      <c r="K123" s="37">
        <v>0</v>
      </c>
      <c r="L123" s="37">
        <v>0</v>
      </c>
      <c r="M123" s="52">
        <v>12.354760000000001</v>
      </c>
      <c r="N123" s="52">
        <v>12.354760000000001</v>
      </c>
      <c r="O123" s="52">
        <v>12.354760000000001</v>
      </c>
      <c r="P123" s="52">
        <v>12.354760000000001</v>
      </c>
      <c r="Q123" s="52">
        <v>12.354760000000001</v>
      </c>
      <c r="R123" s="52">
        <v>12.354760000000001</v>
      </c>
      <c r="S123" s="52">
        <v>12.354760000000001</v>
      </c>
      <c r="T123" s="52">
        <v>12.354760000000001</v>
      </c>
      <c r="U123" s="52">
        <v>12.354760000000001</v>
      </c>
      <c r="V123" s="52">
        <v>12.354760000000001</v>
      </c>
      <c r="W123" s="52">
        <v>12.354760000000001</v>
      </c>
      <c r="X123" s="52">
        <v>12.354760000000001</v>
      </c>
      <c r="Y123" s="52">
        <v>12.354760000000001</v>
      </c>
      <c r="Z123" s="52">
        <v>12.354760000000001</v>
      </c>
      <c r="AA123" s="52">
        <v>12.354760000000001</v>
      </c>
      <c r="AB123" s="52">
        <v>12.354760000000001</v>
      </c>
      <c r="AC123" s="52">
        <v>12.354760000000001</v>
      </c>
      <c r="AD123" s="52">
        <v>12.354760000000001</v>
      </c>
      <c r="AE123" s="52">
        <v>12.354760000000001</v>
      </c>
      <c r="AF123" s="52">
        <v>12.354760000000001</v>
      </c>
      <c r="AG123" s="52">
        <v>12.354760000000001</v>
      </c>
      <c r="AH123" s="52">
        <v>12.354760000000001</v>
      </c>
      <c r="AI123" s="52">
        <v>12.354760000000001</v>
      </c>
      <c r="AJ123" s="52">
        <v>12.354760000000001</v>
      </c>
      <c r="AK123" s="52">
        <v>12.354760000000001</v>
      </c>
      <c r="AL123" s="52">
        <v>12.354760000000001</v>
      </c>
      <c r="AM123" s="52">
        <v>12.354760000000001</v>
      </c>
      <c r="AN123" s="52">
        <v>12.354760000000001</v>
      </c>
      <c r="AO123" s="52">
        <v>12.354760000000001</v>
      </c>
      <c r="AP123" s="52">
        <v>12.354760000000001</v>
      </c>
      <c r="AQ123" s="52">
        <v>12.354760000000001</v>
      </c>
      <c r="AR123" s="52">
        <v>12.354760000000001</v>
      </c>
      <c r="AS123" s="52">
        <v>12.354760000000001</v>
      </c>
      <c r="AT123" s="52">
        <v>12.354760000000001</v>
      </c>
      <c r="AU123" s="52">
        <v>12.354760000000001</v>
      </c>
      <c r="AV123" s="52">
        <v>12.354760000000001</v>
      </c>
      <c r="AW123" s="52">
        <v>12.354760000000001</v>
      </c>
      <c r="AX123" s="52">
        <v>12.354760000000001</v>
      </c>
      <c r="AY123" s="52">
        <v>12.354760000000001</v>
      </c>
      <c r="AZ123" s="52">
        <v>12.354760000000001</v>
      </c>
      <c r="BA123" s="52">
        <v>12.354760000000001</v>
      </c>
      <c r="BB123" s="52">
        <v>12.354760000000001</v>
      </c>
      <c r="BC123" s="52">
        <v>12.354760000000001</v>
      </c>
      <c r="BD123" s="52">
        <v>12.354760000000001</v>
      </c>
      <c r="BE123" s="52">
        <v>12.354760000000001</v>
      </c>
      <c r="BF123" s="52">
        <v>12.354760000000001</v>
      </c>
      <c r="BG123" s="52">
        <v>12.354760000000001</v>
      </c>
      <c r="BH123" s="52">
        <v>12.354760000000001</v>
      </c>
      <c r="BI123" s="52">
        <v>12.354760000000001</v>
      </c>
      <c r="BJ123" s="52">
        <v>12.354760000000001</v>
      </c>
      <c r="BK123" s="52">
        <v>12.354760000000001</v>
      </c>
      <c r="BL123" s="52">
        <v>12.354760000000001</v>
      </c>
      <c r="BM123" s="52">
        <v>12.354760000000001</v>
      </c>
      <c r="BN123" s="52">
        <v>12.354760000000001</v>
      </c>
      <c r="BO123" s="52">
        <v>12.354760000000001</v>
      </c>
      <c r="BP123" s="52">
        <v>12.354760000000001</v>
      </c>
      <c r="BQ123" s="52">
        <v>12.354760000000001</v>
      </c>
      <c r="BR123" s="52">
        <v>12.354760000000001</v>
      </c>
      <c r="BS123" s="52">
        <v>12.354760000000001</v>
      </c>
      <c r="BT123" s="52">
        <v>12.354760000000001</v>
      </c>
      <c r="BU123" s="52">
        <v>12.354760000000001</v>
      </c>
      <c r="BV123" s="52">
        <v>12.354760000000001</v>
      </c>
      <c r="BW123" s="52">
        <v>12.354760000000001</v>
      </c>
      <c r="BX123" s="52">
        <v>12.354760000000001</v>
      </c>
      <c r="BY123" s="52">
        <v>12.354760000000001</v>
      </c>
      <c r="BZ123" s="52">
        <v>12.354760000000001</v>
      </c>
      <c r="CA123" s="52">
        <v>12.354760000000001</v>
      </c>
      <c r="CB123" s="52">
        <v>12.354760000000001</v>
      </c>
      <c r="CC123" s="52">
        <v>12.354760000000001</v>
      </c>
      <c r="CD123" s="52">
        <v>12.354760000000001</v>
      </c>
      <c r="CE123" s="52">
        <v>12.354760000000001</v>
      </c>
      <c r="CF123" s="52">
        <v>12.354760000000001</v>
      </c>
      <c r="CG123" s="52">
        <v>12.354760000000001</v>
      </c>
      <c r="CH123" s="52">
        <v>12.354760000000001</v>
      </c>
      <c r="CI123" s="52">
        <v>12.354760000000001</v>
      </c>
      <c r="CJ123" s="52">
        <v>12.354760000000001</v>
      </c>
      <c r="CK123" s="52">
        <v>12.354760000000001</v>
      </c>
      <c r="CL123" s="52">
        <v>12.354760000000001</v>
      </c>
      <c r="CM123" s="52">
        <v>12.354760000000001</v>
      </c>
      <c r="CN123" s="52">
        <v>12.354760000000001</v>
      </c>
      <c r="CO123" s="52">
        <v>12.354760000000001</v>
      </c>
      <c r="CP123" s="52">
        <v>12.354760000000001</v>
      </c>
      <c r="CQ123" s="52">
        <v>12.354760000000001</v>
      </c>
      <c r="CR123" s="52">
        <v>12.354760000000001</v>
      </c>
      <c r="CS123" s="52">
        <v>12.354760000000001</v>
      </c>
      <c r="CT123" s="52">
        <v>12.354760000000001</v>
      </c>
      <c r="CU123" s="52">
        <v>12.354760000000001</v>
      </c>
      <c r="CV123" s="52">
        <v>12.354760000000001</v>
      </c>
      <c r="CW123" s="52">
        <v>12.354760000000001</v>
      </c>
      <c r="CX123" s="52">
        <v>12.354760000000001</v>
      </c>
      <c r="CY123" s="52">
        <v>12.354760000000001</v>
      </c>
      <c r="CZ123" s="52">
        <v>12.354760000000001</v>
      </c>
      <c r="DA123" s="52">
        <v>12.354760000000001</v>
      </c>
      <c r="DB123" s="52">
        <v>12.354760000000001</v>
      </c>
      <c r="DC123" s="52">
        <v>12.354760000000001</v>
      </c>
      <c r="DD123" s="52">
        <v>12.354760000000001</v>
      </c>
      <c r="DE123" s="52">
        <v>12.354760000000001</v>
      </c>
      <c r="DF123" s="52">
        <v>12.354760000000001</v>
      </c>
      <c r="DG123" s="52">
        <v>12.354760000000001</v>
      </c>
      <c r="DH123" s="52">
        <v>12.354760000000001</v>
      </c>
      <c r="DI123" s="52">
        <v>12.354760000000001</v>
      </c>
      <c r="DJ123" s="52">
        <v>12.354760000000001</v>
      </c>
      <c r="DK123" s="52">
        <v>12.354760000000001</v>
      </c>
      <c r="DL123" s="52">
        <v>12.354760000000001</v>
      </c>
      <c r="DM123" s="52">
        <v>12.354760000000001</v>
      </c>
      <c r="DN123" s="52">
        <v>12.354760000000001</v>
      </c>
      <c r="DO123" s="52">
        <v>12.354760000000001</v>
      </c>
      <c r="DP123" s="52">
        <v>12.354760000000001</v>
      </c>
      <c r="DQ123" s="52">
        <v>12.354760000000001</v>
      </c>
      <c r="DR123" s="52">
        <v>12.354760000000001</v>
      </c>
      <c r="DS123" s="52">
        <v>12.354760000000001</v>
      </c>
      <c r="DT123" s="52">
        <v>12.354760000000001</v>
      </c>
      <c r="DU123" s="52">
        <v>12.354760000000001</v>
      </c>
      <c r="DV123" s="52">
        <v>12.354760000000001</v>
      </c>
      <c r="DW123" s="52">
        <v>12.354760000000001</v>
      </c>
      <c r="DX123" s="52">
        <v>12.354760000000001</v>
      </c>
      <c r="DY123" s="52">
        <v>12.354760000000001</v>
      </c>
      <c r="DZ123" s="52">
        <v>12.354760000000001</v>
      </c>
      <c r="EA123" s="52">
        <v>12.354760000000001</v>
      </c>
      <c r="EB123" s="52">
        <v>12.354760000000001</v>
      </c>
      <c r="EC123" s="52">
        <v>12.354760000000001</v>
      </c>
      <c r="ED123" s="52">
        <v>12.354760000000001</v>
      </c>
      <c r="EE123" s="52">
        <v>12.354760000000001</v>
      </c>
      <c r="EF123" s="52">
        <v>12.354760000000001</v>
      </c>
      <c r="EG123" s="52">
        <v>12.354760000000001</v>
      </c>
      <c r="EH123" s="52">
        <v>12.354760000000001</v>
      </c>
      <c r="EI123" s="52">
        <v>12.354760000000001</v>
      </c>
      <c r="EJ123" s="52">
        <v>12.354760000000001</v>
      </c>
      <c r="EK123" s="52">
        <v>12.354760000000001</v>
      </c>
      <c r="EL123" s="52">
        <v>12.354760000000001</v>
      </c>
      <c r="EM123" s="52">
        <v>12.354760000000001</v>
      </c>
      <c r="EN123" s="52">
        <v>12.354760000000001</v>
      </c>
      <c r="EO123" s="52">
        <v>12.354760000000001</v>
      </c>
      <c r="EP123" s="52">
        <v>12.354760000000001</v>
      </c>
      <c r="EQ123" s="52">
        <v>12.354760000000001</v>
      </c>
      <c r="ER123" s="52">
        <v>12.354760000000001</v>
      </c>
      <c r="ES123" s="52">
        <v>12.354760000000001</v>
      </c>
      <c r="ET123" s="52">
        <v>12.354760000000001</v>
      </c>
      <c r="EU123" s="52">
        <v>12.354760000000001</v>
      </c>
      <c r="EV123" s="52">
        <v>12.354760000000001</v>
      </c>
      <c r="EW123" s="52">
        <v>12.354760000000001</v>
      </c>
      <c r="EX123" s="52">
        <v>12.354760000000001</v>
      </c>
      <c r="EY123" s="52">
        <v>12.354760000000001</v>
      </c>
      <c r="EZ123" s="52">
        <v>12.354760000000001</v>
      </c>
      <c r="FA123" s="52">
        <v>12.354760000000001</v>
      </c>
      <c r="FB123" s="52">
        <v>12.354760000000001</v>
      </c>
      <c r="FC123" s="52">
        <v>12.354760000000001</v>
      </c>
      <c r="FD123" s="52">
        <v>12.354760000000001</v>
      </c>
      <c r="FE123" s="52">
        <v>12.354760000000001</v>
      </c>
      <c r="FF123" s="52">
        <v>12.354760000000001</v>
      </c>
      <c r="FG123" s="52">
        <v>12.354760000000001</v>
      </c>
      <c r="FH123" s="52">
        <v>12.354760000000001</v>
      </c>
      <c r="FI123" s="52">
        <v>12.354760000000001</v>
      </c>
      <c r="FJ123" s="52">
        <v>12.354760000000001</v>
      </c>
      <c r="FK123" s="52">
        <v>12.354760000000001</v>
      </c>
      <c r="FL123" s="52">
        <v>12.354760000000001</v>
      </c>
      <c r="FM123" s="52">
        <v>12.354760000000001</v>
      </c>
      <c r="FN123" s="52">
        <v>12.354760000000001</v>
      </c>
      <c r="FO123" s="52">
        <v>12.354760000000001</v>
      </c>
      <c r="FP123" s="52">
        <v>12.354760000000001</v>
      </c>
      <c r="FQ123" s="52">
        <v>12.354760000000001</v>
      </c>
      <c r="FR123" s="52">
        <v>12.354760000000001</v>
      </c>
      <c r="FS123" s="52">
        <v>12.354760000000001</v>
      </c>
      <c r="FT123" s="52">
        <v>12.354760000000001</v>
      </c>
      <c r="FU123" s="52">
        <v>12.354760000000001</v>
      </c>
      <c r="FV123" s="52">
        <v>12.354760000000001</v>
      </c>
      <c r="FW123" s="52">
        <v>12.354760000000001</v>
      </c>
      <c r="FX123" s="52">
        <v>12.354760000000001</v>
      </c>
      <c r="FY123" s="52">
        <v>12.354760000000001</v>
      </c>
      <c r="FZ123" s="52">
        <v>12.354760000000001</v>
      </c>
      <c r="GA123" s="52">
        <v>12.354760000000001</v>
      </c>
      <c r="GB123" s="52">
        <v>12.354760000000001</v>
      </c>
      <c r="GC123" s="52">
        <v>12.354760000000001</v>
      </c>
      <c r="GD123" s="52">
        <v>12.354760000000001</v>
      </c>
      <c r="GE123" s="52">
        <v>12.354760000000001</v>
      </c>
      <c r="GF123" s="52">
        <v>12.354760000000001</v>
      </c>
      <c r="GG123" s="52">
        <v>12.354760000000001</v>
      </c>
      <c r="GH123" s="52">
        <v>12.354760000000001</v>
      </c>
      <c r="GI123" s="52">
        <v>12.354760000000001</v>
      </c>
      <c r="GJ123" s="52">
        <v>12.354760000000001</v>
      </c>
      <c r="GK123" s="52">
        <v>12.354760000000001</v>
      </c>
      <c r="GL123" s="52">
        <v>12.354760000000001</v>
      </c>
      <c r="GM123" s="52">
        <v>12.354760000000001</v>
      </c>
      <c r="GN123" s="52">
        <v>12.354760000000001</v>
      </c>
      <c r="GO123" s="52">
        <v>12.354760000000001</v>
      </c>
      <c r="GP123" s="52">
        <v>12.354760000000001</v>
      </c>
      <c r="GQ123" s="52">
        <v>12.354760000000001</v>
      </c>
      <c r="GR123" s="52">
        <v>12.354760000000001</v>
      </c>
      <c r="GS123" s="52">
        <v>12.354760000000001</v>
      </c>
      <c r="GT123" s="52">
        <v>12.354760000000001</v>
      </c>
      <c r="GU123" s="52">
        <v>12.354760000000001</v>
      </c>
      <c r="GV123" s="52">
        <v>12.354760000000001</v>
      </c>
      <c r="GW123" s="52">
        <v>12.354760000000001</v>
      </c>
      <c r="GX123" s="52">
        <v>12.354760000000001</v>
      </c>
      <c r="GY123" s="52">
        <v>12.354760000000001</v>
      </c>
      <c r="GZ123" s="52">
        <v>12.354760000000001</v>
      </c>
      <c r="HA123" s="52">
        <v>12.354760000000001</v>
      </c>
      <c r="HB123" s="52">
        <v>12.354760000000001</v>
      </c>
      <c r="HC123" s="52">
        <v>12.354760000000001</v>
      </c>
      <c r="HD123" s="52">
        <v>12.354760000000001</v>
      </c>
      <c r="HE123" s="52">
        <v>12.354760000000001</v>
      </c>
      <c r="HF123" s="52">
        <v>12.354760000000001</v>
      </c>
      <c r="HG123" s="52">
        <v>12.354760000000001</v>
      </c>
      <c r="HH123" s="52">
        <v>12.354760000000001</v>
      </c>
      <c r="HI123" s="52">
        <v>12.354760000000001</v>
      </c>
      <c r="HJ123" s="52">
        <v>12.354760000000001</v>
      </c>
      <c r="HK123" s="52">
        <v>12.354760000000001</v>
      </c>
      <c r="HL123" s="52">
        <v>12.354760000000001</v>
      </c>
      <c r="HM123" s="52">
        <v>12.354760000000001</v>
      </c>
      <c r="HN123" s="52">
        <v>12.354760000000001</v>
      </c>
      <c r="HO123" s="52">
        <v>12.354760000000001</v>
      </c>
      <c r="HP123" s="52">
        <v>12.354760000000001</v>
      </c>
      <c r="HQ123" s="52">
        <v>12.354760000000001</v>
      </c>
      <c r="HR123" s="52">
        <v>12.354760000000001</v>
      </c>
      <c r="HS123" s="52">
        <v>12.354760000000001</v>
      </c>
      <c r="HT123" s="52">
        <v>12.354760000000001</v>
      </c>
      <c r="HU123" s="52">
        <v>12.354760000000001</v>
      </c>
      <c r="HV123" s="52">
        <v>12.354760000000001</v>
      </c>
      <c r="HW123" s="52">
        <v>12.354760000000001</v>
      </c>
      <c r="HX123" s="52">
        <v>12.354760000000001</v>
      </c>
      <c r="HY123" s="52">
        <v>12.354760000000001</v>
      </c>
      <c r="HZ123" s="52">
        <v>12.354760000000001</v>
      </c>
      <c r="IA123" s="52">
        <v>12.354760000000001</v>
      </c>
      <c r="IB123" s="52">
        <v>12.354760000000001</v>
      </c>
      <c r="IC123" s="52">
        <v>12.354760000000001</v>
      </c>
      <c r="ID123" s="52">
        <v>12.354760000000001</v>
      </c>
      <c r="IE123" s="52">
        <v>12.354760000000001</v>
      </c>
      <c r="IF123" s="52">
        <v>12.354760000000001</v>
      </c>
      <c r="IG123" s="52">
        <v>12.354760000000001</v>
      </c>
      <c r="IH123" s="52">
        <v>12.354760000000001</v>
      </c>
      <c r="II123" s="52">
        <v>12.354760000000001</v>
      </c>
      <c r="IJ123" s="52">
        <v>12.354760000000001</v>
      </c>
      <c r="IK123" s="52">
        <v>12.354760000000001</v>
      </c>
      <c r="IL123" s="52">
        <v>12.354760000000001</v>
      </c>
      <c r="IM123" s="52">
        <v>12.354760000000001</v>
      </c>
      <c r="IN123" s="52">
        <v>12.354760000000001</v>
      </c>
      <c r="IO123" s="52">
        <v>12.354760000000001</v>
      </c>
      <c r="IP123" s="52">
        <v>12.354760000000001</v>
      </c>
      <c r="IQ123" s="52">
        <v>12.354760000000001</v>
      </c>
      <c r="IR123" s="52">
        <v>12.354760000000001</v>
      </c>
      <c r="IS123" s="52">
        <v>12.354760000000001</v>
      </c>
      <c r="IT123" s="52">
        <v>12.354760000000001</v>
      </c>
      <c r="IU123" s="52">
        <v>12.354760000000001</v>
      </c>
      <c r="IV123" s="52">
        <v>12.354760000000001</v>
      </c>
      <c r="IW123" s="52">
        <v>12.354760000000001</v>
      </c>
      <c r="IX123" s="52">
        <v>12.354760000000001</v>
      </c>
      <c r="IY123" s="52">
        <v>12.354760000000001</v>
      </c>
      <c r="IZ123" s="52">
        <v>12.354760000000001</v>
      </c>
      <c r="JA123" s="52">
        <v>12.354760000000001</v>
      </c>
      <c r="JB123" s="52">
        <v>12.354760000000001</v>
      </c>
      <c r="JC123" s="52">
        <v>12.354760000000001</v>
      </c>
      <c r="JD123" s="52">
        <v>12.354760000000001</v>
      </c>
      <c r="JE123" s="52">
        <v>12.354760000000001</v>
      </c>
      <c r="JF123" s="52">
        <v>12.354760000000001</v>
      </c>
      <c r="JG123" s="52">
        <v>12.354760000000001</v>
      </c>
      <c r="JH123" s="52">
        <v>12.354760000000001</v>
      </c>
      <c r="JI123" s="52">
        <v>12.354760000000001</v>
      </c>
      <c r="JJ123" s="52">
        <v>12.354760000000001</v>
      </c>
      <c r="JK123" s="52">
        <v>12.354760000000001</v>
      </c>
      <c r="JL123" s="52">
        <v>12.354760000000001</v>
      </c>
      <c r="JM123" s="52">
        <v>12.354760000000001</v>
      </c>
      <c r="JN123" s="52">
        <v>12.354760000000001</v>
      </c>
      <c r="JO123" s="52">
        <v>12.354760000000001</v>
      </c>
      <c r="JP123" s="52">
        <v>12.354760000000001</v>
      </c>
      <c r="JQ123" s="52">
        <v>12.354760000000001</v>
      </c>
      <c r="JR123" s="52">
        <v>12.354760000000001</v>
      </c>
      <c r="JS123" s="52">
        <v>12.354760000000001</v>
      </c>
      <c r="JT123" s="52">
        <v>12.354760000000001</v>
      </c>
      <c r="JU123" s="52">
        <v>12.354760000000001</v>
      </c>
      <c r="JV123" s="52">
        <v>12.354760000000001</v>
      </c>
      <c r="JW123" s="52">
        <v>12.354760000000001</v>
      </c>
      <c r="JX123" s="52">
        <v>12.354760000000001</v>
      </c>
      <c r="JY123" s="52">
        <v>12.354760000000001</v>
      </c>
      <c r="JZ123" s="52">
        <v>12.354760000000001</v>
      </c>
      <c r="KA123" s="52">
        <v>12.354760000000001</v>
      </c>
      <c r="KB123" s="52">
        <v>12.354760000000001</v>
      </c>
      <c r="KC123" s="52">
        <v>12.354760000000001</v>
      </c>
      <c r="KD123" s="52">
        <v>12.354760000000001</v>
      </c>
      <c r="KE123" s="52">
        <v>12.354760000000001</v>
      </c>
      <c r="KF123" s="52">
        <v>12.354760000000001</v>
      </c>
      <c r="KG123" s="52">
        <v>12.354760000000001</v>
      </c>
      <c r="KH123" s="52">
        <v>12.354760000000001</v>
      </c>
      <c r="KI123" s="52">
        <v>12.354760000000001</v>
      </c>
      <c r="KJ123" s="52">
        <v>12.354760000000001</v>
      </c>
      <c r="KK123" s="52">
        <v>12.354760000000001</v>
      </c>
      <c r="KL123" s="52">
        <v>12.354760000000001</v>
      </c>
      <c r="KM123" s="52">
        <v>12.354760000000001</v>
      </c>
      <c r="KN123" s="52">
        <v>12.354760000000001</v>
      </c>
      <c r="KO123" s="37">
        <v>12.354760000000001</v>
      </c>
      <c r="KP123" s="37">
        <v>12.354760000000001</v>
      </c>
      <c r="KQ123" s="37">
        <v>12.354760000000001</v>
      </c>
      <c r="KR123" s="37">
        <v>12.354760000000001</v>
      </c>
      <c r="KS123" s="37">
        <v>12.354760000000001</v>
      </c>
      <c r="KT123" s="37">
        <v>12.354760000000001</v>
      </c>
      <c r="KU123" s="37">
        <v>12.354760000000001</v>
      </c>
      <c r="KV123" s="37">
        <v>12.354760000000001</v>
      </c>
      <c r="KW123" s="37">
        <v>12.354760000000001</v>
      </c>
      <c r="KX123" s="37">
        <v>12.354760000000001</v>
      </c>
      <c r="KY123" s="37">
        <v>12.354760000000001</v>
      </c>
      <c r="KZ123" s="37">
        <v>12.354760000000001</v>
      </c>
      <c r="LA123" s="37">
        <v>12.354760000000001</v>
      </c>
      <c r="LB123" s="37">
        <v>12.354760000000001</v>
      </c>
      <c r="LC123" s="37">
        <v>12.354760000000001</v>
      </c>
      <c r="LD123" s="37">
        <v>12.354760000000001</v>
      </c>
      <c r="LE123" s="37">
        <v>12.354760000000001</v>
      </c>
      <c r="LF123" s="37">
        <v>12.354760000000001</v>
      </c>
      <c r="LG123" s="37">
        <v>12.354760000000001</v>
      </c>
      <c r="LH123" s="37">
        <v>12.354760000000001</v>
      </c>
      <c r="LI123" s="37">
        <v>12.354760000000001</v>
      </c>
      <c r="LJ123" s="37">
        <v>12.354760000000001</v>
      </c>
      <c r="LK123" s="37">
        <v>12.354760000000001</v>
      </c>
      <c r="LL123" s="37">
        <v>12.354760000000001</v>
      </c>
      <c r="LM123" s="37">
        <v>12.354760000000001</v>
      </c>
      <c r="LN123" s="37">
        <v>12.354760000000001</v>
      </c>
      <c r="LO123" s="37">
        <v>12.354760000000001</v>
      </c>
      <c r="LP123" s="37">
        <v>12.354760000000001</v>
      </c>
      <c r="LQ123" s="37">
        <v>12.354760000000001</v>
      </c>
      <c r="LR123" s="37">
        <v>12.354760000000001</v>
      </c>
      <c r="LS123" s="37">
        <v>12.354760000000001</v>
      </c>
      <c r="LT123" s="37">
        <v>12.354760000000001</v>
      </c>
      <c r="LU123" s="37">
        <v>12.354760000000001</v>
      </c>
      <c r="LV123" s="37">
        <v>12.354760000000001</v>
      </c>
      <c r="LW123" s="37">
        <v>12.354760000000001</v>
      </c>
      <c r="LX123" s="37">
        <v>12.354760000000001</v>
      </c>
      <c r="LY123" s="37">
        <v>12.354760000000001</v>
      </c>
      <c r="LZ123" s="37">
        <v>12.354760000000001</v>
      </c>
      <c r="MA123" s="37">
        <v>12.354760000000001</v>
      </c>
      <c r="MB123" s="37">
        <v>12.354760000000001</v>
      </c>
      <c r="MC123" s="37">
        <v>12.354760000000001</v>
      </c>
      <c r="MD123" s="37">
        <v>12.354760000000001</v>
      </c>
      <c r="ME123" s="37">
        <v>12.354760000000001</v>
      </c>
      <c r="MF123" s="37">
        <v>12.354760000000001</v>
      </c>
      <c r="MG123" s="37">
        <v>12.354760000000001</v>
      </c>
      <c r="MH123" s="37">
        <v>12.354760000000001</v>
      </c>
      <c r="MI123" s="37">
        <v>12.354760000000001</v>
      </c>
      <c r="MJ123" s="37">
        <v>12.354760000000001</v>
      </c>
      <c r="MK123" s="37">
        <v>12.354760000000001</v>
      </c>
      <c r="ML123" s="37">
        <v>12.354760000000001</v>
      </c>
      <c r="MM123" s="37">
        <v>12.354760000000001</v>
      </c>
      <c r="MN123" s="37">
        <v>12.354760000000001</v>
      </c>
      <c r="MO123" s="37">
        <v>12.354760000000001</v>
      </c>
      <c r="MP123" s="37">
        <v>12.354760000000001</v>
      </c>
      <c r="MQ123" s="37">
        <v>12.354760000000001</v>
      </c>
      <c r="MR123" s="37">
        <v>12.354760000000001</v>
      </c>
      <c r="MS123" s="37">
        <v>12.354760000000001</v>
      </c>
      <c r="MT123" s="37">
        <v>12.354760000000001</v>
      </c>
      <c r="MU123" s="37">
        <v>12.354760000000001</v>
      </c>
      <c r="MV123" s="37">
        <v>12.354760000000001</v>
      </c>
      <c r="MW123" s="37">
        <v>12.354760000000001</v>
      </c>
      <c r="MX123" s="37">
        <v>12.354760000000001</v>
      </c>
      <c r="MY123" s="37">
        <v>12.354760000000001</v>
      </c>
      <c r="MZ123" s="37">
        <v>12.354760000000001</v>
      </c>
      <c r="NA123" s="37">
        <v>12.354760000000001</v>
      </c>
      <c r="NB123" s="37">
        <v>12.354760000000001</v>
      </c>
      <c r="NC123" s="37">
        <v>13.39536</v>
      </c>
      <c r="ND123" s="37">
        <v>0</v>
      </c>
    </row>
    <row r="124" spans="1:372" x14ac:dyDescent="0.2">
      <c r="A124" s="37">
        <v>122</v>
      </c>
      <c r="B124" s="37" t="s">
        <v>1079</v>
      </c>
      <c r="C124" s="17">
        <f>+'Detalle Compras'!D124</f>
        <v>20231227686</v>
      </c>
      <c r="D124" s="55">
        <f t="shared" si="16"/>
        <v>9.6611349999999998</v>
      </c>
      <c r="E124" s="14">
        <f>+IF(B124="","",'Detalle Compras'!S124+0)</f>
        <v>45483</v>
      </c>
      <c r="F124" s="14">
        <f>+IF(B124="","",EOMONTH('Detalle Compras'!Q124,G124)+10)</f>
        <v>10846</v>
      </c>
      <c r="G124" s="50">
        <f t="shared" si="17"/>
        <v>355</v>
      </c>
      <c r="H124" s="50">
        <f t="shared" si="18"/>
        <v>337</v>
      </c>
      <c r="I124" s="37">
        <v>0</v>
      </c>
      <c r="J124" s="37">
        <v>0</v>
      </c>
      <c r="K124" s="37">
        <v>0</v>
      </c>
      <c r="L124" s="37">
        <v>0</v>
      </c>
      <c r="M124" s="52">
        <v>9.6611349999999998</v>
      </c>
      <c r="N124" s="52">
        <v>9.6611349999999998</v>
      </c>
      <c r="O124" s="52">
        <v>9.6611349999999998</v>
      </c>
      <c r="P124" s="52">
        <v>9.6611349999999998</v>
      </c>
      <c r="Q124" s="52">
        <v>9.6611349999999998</v>
      </c>
      <c r="R124" s="52">
        <v>9.6611349999999998</v>
      </c>
      <c r="S124" s="52">
        <v>9.6611349999999998</v>
      </c>
      <c r="T124" s="52">
        <v>9.6611349999999998</v>
      </c>
      <c r="U124" s="52">
        <v>9.6611349999999998</v>
      </c>
      <c r="V124" s="52">
        <v>9.6611349999999998</v>
      </c>
      <c r="W124" s="52">
        <v>9.6611349999999998</v>
      </c>
      <c r="X124" s="52">
        <v>9.6611349999999998</v>
      </c>
      <c r="Y124" s="52">
        <v>9.6611349999999998</v>
      </c>
      <c r="Z124" s="52">
        <v>9.6611349999999998</v>
      </c>
      <c r="AA124" s="52">
        <v>9.6611349999999998</v>
      </c>
      <c r="AB124" s="52">
        <v>9.6611349999999998</v>
      </c>
      <c r="AC124" s="52">
        <v>9.6611349999999998</v>
      </c>
      <c r="AD124" s="52">
        <v>9.6611349999999998</v>
      </c>
      <c r="AE124" s="52">
        <v>9.6611349999999998</v>
      </c>
      <c r="AF124" s="52">
        <v>9.6611349999999998</v>
      </c>
      <c r="AG124" s="52">
        <v>9.6611349999999998</v>
      </c>
      <c r="AH124" s="52">
        <v>9.6611349999999998</v>
      </c>
      <c r="AI124" s="52">
        <v>9.6611349999999998</v>
      </c>
      <c r="AJ124" s="52">
        <v>9.6611349999999998</v>
      </c>
      <c r="AK124" s="52">
        <v>9.6611349999999998</v>
      </c>
      <c r="AL124" s="52">
        <v>9.6611349999999998</v>
      </c>
      <c r="AM124" s="52">
        <v>9.6611349999999998</v>
      </c>
      <c r="AN124" s="52">
        <v>9.6611349999999998</v>
      </c>
      <c r="AO124" s="52">
        <v>9.6611349999999998</v>
      </c>
      <c r="AP124" s="52">
        <v>9.6611349999999998</v>
      </c>
      <c r="AQ124" s="52">
        <v>9.6611349999999998</v>
      </c>
      <c r="AR124" s="52">
        <v>9.6611349999999998</v>
      </c>
      <c r="AS124" s="52">
        <v>9.6611349999999998</v>
      </c>
      <c r="AT124" s="52">
        <v>9.6611349999999998</v>
      </c>
      <c r="AU124" s="52">
        <v>9.6611349999999998</v>
      </c>
      <c r="AV124" s="52">
        <v>9.6611349999999998</v>
      </c>
      <c r="AW124" s="52">
        <v>9.6611349999999998</v>
      </c>
      <c r="AX124" s="52">
        <v>9.6611349999999998</v>
      </c>
      <c r="AY124" s="52">
        <v>9.6611349999999998</v>
      </c>
      <c r="AZ124" s="52">
        <v>9.6611349999999998</v>
      </c>
      <c r="BA124" s="52">
        <v>9.6611349999999998</v>
      </c>
      <c r="BB124" s="52">
        <v>9.6611349999999998</v>
      </c>
      <c r="BC124" s="52">
        <v>9.6611349999999998</v>
      </c>
      <c r="BD124" s="52">
        <v>9.6611349999999998</v>
      </c>
      <c r="BE124" s="52">
        <v>9.6611349999999998</v>
      </c>
      <c r="BF124" s="52">
        <v>9.6611349999999998</v>
      </c>
      <c r="BG124" s="52">
        <v>9.6611349999999998</v>
      </c>
      <c r="BH124" s="52">
        <v>9.6611349999999998</v>
      </c>
      <c r="BI124" s="52">
        <v>9.6611349999999998</v>
      </c>
      <c r="BJ124" s="52">
        <v>9.6611349999999998</v>
      </c>
      <c r="BK124" s="52">
        <v>9.6611349999999998</v>
      </c>
      <c r="BL124" s="52">
        <v>9.6611349999999998</v>
      </c>
      <c r="BM124" s="52">
        <v>9.6611349999999998</v>
      </c>
      <c r="BN124" s="52">
        <v>9.6611349999999998</v>
      </c>
      <c r="BO124" s="52">
        <v>9.6611349999999998</v>
      </c>
      <c r="BP124" s="52">
        <v>9.6611349999999998</v>
      </c>
      <c r="BQ124" s="52">
        <v>9.6611349999999998</v>
      </c>
      <c r="BR124" s="52">
        <v>9.6611349999999998</v>
      </c>
      <c r="BS124" s="52">
        <v>9.6611349999999998</v>
      </c>
      <c r="BT124" s="52">
        <v>9.6611349999999998</v>
      </c>
      <c r="BU124" s="52">
        <v>9.6611349999999998</v>
      </c>
      <c r="BV124" s="52">
        <v>9.6611349999999998</v>
      </c>
      <c r="BW124" s="52">
        <v>9.6611349999999998</v>
      </c>
      <c r="BX124" s="52">
        <v>9.6611349999999998</v>
      </c>
      <c r="BY124" s="52">
        <v>9.6611349999999998</v>
      </c>
      <c r="BZ124" s="52">
        <v>9.6611349999999998</v>
      </c>
      <c r="CA124" s="52">
        <v>9.6611349999999998</v>
      </c>
      <c r="CB124" s="52">
        <v>9.6611349999999998</v>
      </c>
      <c r="CC124" s="52">
        <v>9.6611349999999998</v>
      </c>
      <c r="CD124" s="52">
        <v>9.6611349999999998</v>
      </c>
      <c r="CE124" s="52">
        <v>9.6611349999999998</v>
      </c>
      <c r="CF124" s="52">
        <v>9.6611349999999998</v>
      </c>
      <c r="CG124" s="52">
        <v>9.6611349999999998</v>
      </c>
      <c r="CH124" s="52">
        <v>9.6611349999999998</v>
      </c>
      <c r="CI124" s="52">
        <v>9.6611349999999998</v>
      </c>
      <c r="CJ124" s="52">
        <v>9.6611349999999998</v>
      </c>
      <c r="CK124" s="52">
        <v>9.6611349999999998</v>
      </c>
      <c r="CL124" s="52">
        <v>9.6611349999999998</v>
      </c>
      <c r="CM124" s="52">
        <v>9.6611349999999998</v>
      </c>
      <c r="CN124" s="52">
        <v>9.6611349999999998</v>
      </c>
      <c r="CO124" s="52">
        <v>9.6611349999999998</v>
      </c>
      <c r="CP124" s="52">
        <v>9.6611349999999998</v>
      </c>
      <c r="CQ124" s="52">
        <v>9.6611349999999998</v>
      </c>
      <c r="CR124" s="52">
        <v>9.6611349999999998</v>
      </c>
      <c r="CS124" s="52">
        <v>9.6611349999999998</v>
      </c>
      <c r="CT124" s="52">
        <v>9.6611349999999998</v>
      </c>
      <c r="CU124" s="52">
        <v>9.6611349999999998</v>
      </c>
      <c r="CV124" s="52">
        <v>9.6611349999999998</v>
      </c>
      <c r="CW124" s="52">
        <v>9.6611349999999998</v>
      </c>
      <c r="CX124" s="52">
        <v>9.6611349999999998</v>
      </c>
      <c r="CY124" s="52">
        <v>9.6611349999999998</v>
      </c>
      <c r="CZ124" s="52">
        <v>9.6611349999999998</v>
      </c>
      <c r="DA124" s="52">
        <v>9.6611349999999998</v>
      </c>
      <c r="DB124" s="52">
        <v>9.6611349999999998</v>
      </c>
      <c r="DC124" s="52">
        <v>9.6611349999999998</v>
      </c>
      <c r="DD124" s="52">
        <v>9.6611349999999998</v>
      </c>
      <c r="DE124" s="52">
        <v>9.6611349999999998</v>
      </c>
      <c r="DF124" s="52">
        <v>9.6611349999999998</v>
      </c>
      <c r="DG124" s="52">
        <v>9.6611349999999998</v>
      </c>
      <c r="DH124" s="52">
        <v>9.6611349999999998</v>
      </c>
      <c r="DI124" s="52">
        <v>9.6611349999999998</v>
      </c>
      <c r="DJ124" s="52">
        <v>9.6611349999999998</v>
      </c>
      <c r="DK124" s="52">
        <v>9.6611349999999998</v>
      </c>
      <c r="DL124" s="52">
        <v>9.6611349999999998</v>
      </c>
      <c r="DM124" s="52">
        <v>9.6611349999999998</v>
      </c>
      <c r="DN124" s="52">
        <v>9.6611349999999998</v>
      </c>
      <c r="DO124" s="52">
        <v>9.6611349999999998</v>
      </c>
      <c r="DP124" s="52">
        <v>9.6611349999999998</v>
      </c>
      <c r="DQ124" s="52">
        <v>9.6611349999999998</v>
      </c>
      <c r="DR124" s="52">
        <v>9.6611349999999998</v>
      </c>
      <c r="DS124" s="52">
        <v>9.6611349999999998</v>
      </c>
      <c r="DT124" s="52">
        <v>9.6611349999999998</v>
      </c>
      <c r="DU124" s="52">
        <v>9.6611349999999998</v>
      </c>
      <c r="DV124" s="52">
        <v>9.6611349999999998</v>
      </c>
      <c r="DW124" s="52">
        <v>9.6611349999999998</v>
      </c>
      <c r="DX124" s="52">
        <v>9.6611349999999998</v>
      </c>
      <c r="DY124" s="52">
        <v>9.6611349999999998</v>
      </c>
      <c r="DZ124" s="52">
        <v>9.6611349999999998</v>
      </c>
      <c r="EA124" s="52">
        <v>9.6611349999999998</v>
      </c>
      <c r="EB124" s="52">
        <v>9.6611349999999998</v>
      </c>
      <c r="EC124" s="52">
        <v>9.6611349999999998</v>
      </c>
      <c r="ED124" s="52">
        <v>9.6611349999999998</v>
      </c>
      <c r="EE124" s="52">
        <v>9.6611349999999998</v>
      </c>
      <c r="EF124" s="52">
        <v>9.6611349999999998</v>
      </c>
      <c r="EG124" s="52">
        <v>9.6611349999999998</v>
      </c>
      <c r="EH124" s="52">
        <v>9.6611349999999998</v>
      </c>
      <c r="EI124" s="52">
        <v>9.6611349999999998</v>
      </c>
      <c r="EJ124" s="52">
        <v>9.6611349999999998</v>
      </c>
      <c r="EK124" s="52">
        <v>9.6611349999999998</v>
      </c>
      <c r="EL124" s="52">
        <v>9.6611349999999998</v>
      </c>
      <c r="EM124" s="52">
        <v>9.6611349999999998</v>
      </c>
      <c r="EN124" s="52">
        <v>9.6611349999999998</v>
      </c>
      <c r="EO124" s="52">
        <v>9.6611349999999998</v>
      </c>
      <c r="EP124" s="52">
        <v>9.6611349999999998</v>
      </c>
      <c r="EQ124" s="52">
        <v>9.6611349999999998</v>
      </c>
      <c r="ER124" s="52">
        <v>9.6611349999999998</v>
      </c>
      <c r="ES124" s="52">
        <v>9.6611349999999998</v>
      </c>
      <c r="ET124" s="52">
        <v>9.6611349999999998</v>
      </c>
      <c r="EU124" s="52">
        <v>9.6611349999999998</v>
      </c>
      <c r="EV124" s="52">
        <v>9.6611349999999998</v>
      </c>
      <c r="EW124" s="52">
        <v>9.6611349999999998</v>
      </c>
      <c r="EX124" s="52">
        <v>9.6611349999999998</v>
      </c>
      <c r="EY124" s="52">
        <v>9.6611349999999998</v>
      </c>
      <c r="EZ124" s="52">
        <v>9.6611349999999998</v>
      </c>
      <c r="FA124" s="52">
        <v>9.6611349999999998</v>
      </c>
      <c r="FB124" s="52">
        <v>9.6611349999999998</v>
      </c>
      <c r="FC124" s="52">
        <v>9.6611349999999998</v>
      </c>
      <c r="FD124" s="52">
        <v>9.6611349999999998</v>
      </c>
      <c r="FE124" s="52">
        <v>9.6611349999999998</v>
      </c>
      <c r="FF124" s="52">
        <v>9.6611349999999998</v>
      </c>
      <c r="FG124" s="52">
        <v>9.6611349999999998</v>
      </c>
      <c r="FH124" s="52">
        <v>9.6611349999999998</v>
      </c>
      <c r="FI124" s="52">
        <v>9.6611349999999998</v>
      </c>
      <c r="FJ124" s="52">
        <v>9.6611349999999998</v>
      </c>
      <c r="FK124" s="52">
        <v>9.6611349999999998</v>
      </c>
      <c r="FL124" s="52">
        <v>9.6611349999999998</v>
      </c>
      <c r="FM124" s="52">
        <v>9.6611349999999998</v>
      </c>
      <c r="FN124" s="52">
        <v>9.6611349999999998</v>
      </c>
      <c r="FO124" s="52">
        <v>9.6611349999999998</v>
      </c>
      <c r="FP124" s="52">
        <v>9.6611349999999998</v>
      </c>
      <c r="FQ124" s="52">
        <v>9.6611349999999998</v>
      </c>
      <c r="FR124" s="52">
        <v>9.6611349999999998</v>
      </c>
      <c r="FS124" s="52">
        <v>9.6611349999999998</v>
      </c>
      <c r="FT124" s="52">
        <v>9.6611349999999998</v>
      </c>
      <c r="FU124" s="52">
        <v>9.6611349999999998</v>
      </c>
      <c r="FV124" s="52">
        <v>9.6611349999999998</v>
      </c>
      <c r="FW124" s="52">
        <v>9.6611349999999998</v>
      </c>
      <c r="FX124" s="52">
        <v>9.6611349999999998</v>
      </c>
      <c r="FY124" s="52">
        <v>9.6611349999999998</v>
      </c>
      <c r="FZ124" s="52">
        <v>9.6611349999999998</v>
      </c>
      <c r="GA124" s="52">
        <v>9.6611349999999998</v>
      </c>
      <c r="GB124" s="52">
        <v>9.6611349999999998</v>
      </c>
      <c r="GC124" s="52">
        <v>9.6611349999999998</v>
      </c>
      <c r="GD124" s="52">
        <v>9.6611349999999998</v>
      </c>
      <c r="GE124" s="52">
        <v>9.6611349999999998</v>
      </c>
      <c r="GF124" s="52">
        <v>9.6611349999999998</v>
      </c>
      <c r="GG124" s="52">
        <v>9.6611349999999998</v>
      </c>
      <c r="GH124" s="52">
        <v>9.6611349999999998</v>
      </c>
      <c r="GI124" s="52">
        <v>9.6611349999999998</v>
      </c>
      <c r="GJ124" s="52">
        <v>9.6611349999999998</v>
      </c>
      <c r="GK124" s="52">
        <v>9.6611349999999998</v>
      </c>
      <c r="GL124" s="52">
        <v>9.6611349999999998</v>
      </c>
      <c r="GM124" s="52">
        <v>9.6611349999999998</v>
      </c>
      <c r="GN124" s="52">
        <v>9.6611349999999998</v>
      </c>
      <c r="GO124" s="52">
        <v>9.6611349999999998</v>
      </c>
      <c r="GP124" s="52">
        <v>9.6611349999999998</v>
      </c>
      <c r="GQ124" s="52">
        <v>9.6611349999999998</v>
      </c>
      <c r="GR124" s="52">
        <v>9.6611349999999998</v>
      </c>
      <c r="GS124" s="52">
        <v>9.6611349999999998</v>
      </c>
      <c r="GT124" s="52">
        <v>9.6611349999999998</v>
      </c>
      <c r="GU124" s="52">
        <v>9.6611349999999998</v>
      </c>
      <c r="GV124" s="52">
        <v>9.6611349999999998</v>
      </c>
      <c r="GW124" s="52">
        <v>9.6611349999999998</v>
      </c>
      <c r="GX124" s="52">
        <v>9.6611349999999998</v>
      </c>
      <c r="GY124" s="52">
        <v>9.6611349999999998</v>
      </c>
      <c r="GZ124" s="52">
        <v>9.6611349999999998</v>
      </c>
      <c r="HA124" s="52">
        <v>9.6611349999999998</v>
      </c>
      <c r="HB124" s="52">
        <v>9.6611349999999998</v>
      </c>
      <c r="HC124" s="52">
        <v>9.6611349999999998</v>
      </c>
      <c r="HD124" s="52">
        <v>9.6611349999999998</v>
      </c>
      <c r="HE124" s="52">
        <v>9.6611349999999998</v>
      </c>
      <c r="HF124" s="52">
        <v>9.6611349999999998</v>
      </c>
      <c r="HG124" s="52">
        <v>9.6611349999999998</v>
      </c>
      <c r="HH124" s="52">
        <v>9.6611349999999998</v>
      </c>
      <c r="HI124" s="52">
        <v>9.6611349999999998</v>
      </c>
      <c r="HJ124" s="52">
        <v>9.6611349999999998</v>
      </c>
      <c r="HK124" s="52">
        <v>9.6611349999999998</v>
      </c>
      <c r="HL124" s="52">
        <v>9.6611349999999998</v>
      </c>
      <c r="HM124" s="52">
        <v>9.6611349999999998</v>
      </c>
      <c r="HN124" s="52">
        <v>9.6611349999999998</v>
      </c>
      <c r="HO124" s="52">
        <v>9.6611349999999998</v>
      </c>
      <c r="HP124" s="52">
        <v>9.6611349999999998</v>
      </c>
      <c r="HQ124" s="52">
        <v>9.6611349999999998</v>
      </c>
      <c r="HR124" s="52">
        <v>9.6611349999999998</v>
      </c>
      <c r="HS124" s="52">
        <v>9.6611349999999998</v>
      </c>
      <c r="HT124" s="52">
        <v>9.6611349999999998</v>
      </c>
      <c r="HU124" s="52">
        <v>9.6611349999999998</v>
      </c>
      <c r="HV124" s="52">
        <v>9.6611349999999998</v>
      </c>
      <c r="HW124" s="52">
        <v>9.6611349999999998</v>
      </c>
      <c r="HX124" s="52">
        <v>9.6611349999999998</v>
      </c>
      <c r="HY124" s="52">
        <v>9.6611349999999998</v>
      </c>
      <c r="HZ124" s="52">
        <v>9.6611349999999998</v>
      </c>
      <c r="IA124" s="52">
        <v>9.6611349999999998</v>
      </c>
      <c r="IB124" s="52">
        <v>9.6611349999999998</v>
      </c>
      <c r="IC124" s="52">
        <v>9.6611349999999998</v>
      </c>
      <c r="ID124" s="52">
        <v>9.6611349999999998</v>
      </c>
      <c r="IE124" s="52">
        <v>9.6611349999999998</v>
      </c>
      <c r="IF124" s="52">
        <v>9.6611349999999998</v>
      </c>
      <c r="IG124" s="52">
        <v>9.6611349999999998</v>
      </c>
      <c r="IH124" s="52">
        <v>9.6611349999999998</v>
      </c>
      <c r="II124" s="52">
        <v>9.6611349999999998</v>
      </c>
      <c r="IJ124" s="52">
        <v>9.6611349999999998</v>
      </c>
      <c r="IK124" s="52">
        <v>9.6611349999999998</v>
      </c>
      <c r="IL124" s="52">
        <v>9.6611349999999998</v>
      </c>
      <c r="IM124" s="52">
        <v>9.6611349999999998</v>
      </c>
      <c r="IN124" s="52">
        <v>9.6611349999999998</v>
      </c>
      <c r="IO124" s="52">
        <v>9.6611349999999998</v>
      </c>
      <c r="IP124" s="52">
        <v>9.6611349999999998</v>
      </c>
      <c r="IQ124" s="52">
        <v>9.6611349999999998</v>
      </c>
      <c r="IR124" s="52">
        <v>9.6611349999999998</v>
      </c>
      <c r="IS124" s="52">
        <v>9.6611349999999998</v>
      </c>
      <c r="IT124" s="52">
        <v>9.6611349999999998</v>
      </c>
      <c r="IU124" s="52">
        <v>9.6611349999999998</v>
      </c>
      <c r="IV124" s="52">
        <v>9.6611349999999998</v>
      </c>
      <c r="IW124" s="52">
        <v>9.6611349999999998</v>
      </c>
      <c r="IX124" s="52">
        <v>9.6611349999999998</v>
      </c>
      <c r="IY124" s="52">
        <v>9.6611349999999998</v>
      </c>
      <c r="IZ124" s="52">
        <v>9.6611349999999998</v>
      </c>
      <c r="JA124" s="52">
        <v>9.6611349999999998</v>
      </c>
      <c r="JB124" s="52">
        <v>9.6611349999999998</v>
      </c>
      <c r="JC124" s="52">
        <v>9.6611349999999998</v>
      </c>
      <c r="JD124" s="52">
        <v>9.6611349999999998</v>
      </c>
      <c r="JE124" s="52">
        <v>9.6611349999999998</v>
      </c>
      <c r="JF124" s="52">
        <v>9.6611349999999998</v>
      </c>
      <c r="JG124" s="52">
        <v>9.6611349999999998</v>
      </c>
      <c r="JH124" s="52">
        <v>9.6611349999999998</v>
      </c>
      <c r="JI124" s="52">
        <v>9.6611349999999998</v>
      </c>
      <c r="JJ124" s="52">
        <v>9.6611349999999998</v>
      </c>
      <c r="JK124" s="52">
        <v>9.6611349999999998</v>
      </c>
      <c r="JL124" s="52">
        <v>9.6611349999999998</v>
      </c>
      <c r="JM124" s="52">
        <v>9.6611349999999998</v>
      </c>
      <c r="JN124" s="52">
        <v>9.6611349999999998</v>
      </c>
      <c r="JO124" s="52">
        <v>9.6611349999999998</v>
      </c>
      <c r="JP124" s="52">
        <v>9.6611349999999998</v>
      </c>
      <c r="JQ124" s="52">
        <v>9.6611349999999998</v>
      </c>
      <c r="JR124" s="52">
        <v>9.6611349999999998</v>
      </c>
      <c r="JS124" s="52">
        <v>9.6611349999999998</v>
      </c>
      <c r="JT124" s="52">
        <v>9.6611349999999998</v>
      </c>
      <c r="JU124" s="52">
        <v>9.6611349999999998</v>
      </c>
      <c r="JV124" s="52">
        <v>9.6611349999999998</v>
      </c>
      <c r="JW124" s="52">
        <v>9.6611349999999998</v>
      </c>
      <c r="JX124" s="52">
        <v>9.6611349999999998</v>
      </c>
      <c r="JY124" s="52">
        <v>9.6611349999999998</v>
      </c>
      <c r="JZ124" s="52">
        <v>9.6611349999999998</v>
      </c>
      <c r="KA124" s="52">
        <v>9.6611349999999998</v>
      </c>
      <c r="KB124" s="52">
        <v>9.6611349999999998</v>
      </c>
      <c r="KC124" s="52">
        <v>9.6611349999999998</v>
      </c>
      <c r="KD124" s="52">
        <v>9.6611349999999998</v>
      </c>
      <c r="KE124" s="52">
        <v>9.6611349999999998</v>
      </c>
      <c r="KF124" s="52">
        <v>9.6611349999999998</v>
      </c>
      <c r="KG124" s="52">
        <v>9.6611349999999998</v>
      </c>
      <c r="KH124" s="52">
        <v>9.6611349999999998</v>
      </c>
      <c r="KI124" s="52">
        <v>9.6611349999999998</v>
      </c>
      <c r="KJ124" s="52">
        <v>9.6611349999999998</v>
      </c>
      <c r="KK124" s="52">
        <v>9.6611349999999998</v>
      </c>
      <c r="KL124" s="52">
        <v>9.6611349999999998</v>
      </c>
      <c r="KM124" s="52">
        <v>9.6611349999999998</v>
      </c>
      <c r="KN124" s="52">
        <v>9.6611349999999998</v>
      </c>
      <c r="KO124" s="52">
        <v>9.6611349999999998</v>
      </c>
      <c r="KP124" s="52">
        <v>9.6611349999999998</v>
      </c>
      <c r="KQ124" s="52">
        <v>9.6611349999999998</v>
      </c>
      <c r="KR124" s="52">
        <v>9.6611349999999998</v>
      </c>
      <c r="KS124" s="52">
        <v>9.6611349999999998</v>
      </c>
      <c r="KT124" s="52">
        <v>9.6611349999999998</v>
      </c>
      <c r="KU124" s="52">
        <v>9.6611349999999998</v>
      </c>
      <c r="KV124" s="52">
        <v>9.6611349999999998</v>
      </c>
      <c r="KW124" s="52">
        <v>9.6611349999999998</v>
      </c>
      <c r="KX124" s="52">
        <v>9.6611349999999998</v>
      </c>
      <c r="KY124" s="52">
        <v>9.6611349999999998</v>
      </c>
      <c r="KZ124" s="52">
        <v>9.6611349999999998</v>
      </c>
      <c r="LA124" s="52">
        <v>9.6611349999999998</v>
      </c>
      <c r="LB124" s="52">
        <v>9.6611349999999998</v>
      </c>
      <c r="LC124" s="52">
        <v>9.6611349999999998</v>
      </c>
      <c r="LD124" s="52">
        <v>9.6611349999999998</v>
      </c>
      <c r="LE124" s="52">
        <v>9.6611349999999998</v>
      </c>
      <c r="LF124" s="52">
        <v>9.6611349999999998</v>
      </c>
      <c r="LG124" s="52">
        <v>9.6611349999999998</v>
      </c>
      <c r="LH124" s="52">
        <v>9.6611349999999998</v>
      </c>
      <c r="LI124" s="52">
        <v>9.6611349999999998</v>
      </c>
      <c r="LJ124" s="52">
        <v>9.6611349999999998</v>
      </c>
      <c r="LK124" s="52">
        <v>9.6611349999999998</v>
      </c>
      <c r="LL124" s="52">
        <v>9.6611349999999998</v>
      </c>
      <c r="LM124" s="52">
        <v>9.6611349999999998</v>
      </c>
      <c r="LN124" s="52">
        <v>9.6611349999999998</v>
      </c>
      <c r="LO124" s="52">
        <v>9.6611349999999998</v>
      </c>
      <c r="LP124" s="52">
        <v>9.6611349999999998</v>
      </c>
      <c r="LQ124" s="52">
        <v>9.6611349999999998</v>
      </c>
      <c r="LR124" s="52">
        <v>9.6611349999999998</v>
      </c>
      <c r="LS124" s="52">
        <v>9.6611349999999998</v>
      </c>
      <c r="LT124" s="52">
        <v>9.6611349999999998</v>
      </c>
      <c r="LU124" s="52">
        <v>9.6611349999999998</v>
      </c>
      <c r="LV124" s="52">
        <v>9.6611349999999998</v>
      </c>
      <c r="LW124" s="52">
        <v>9.6611349999999998</v>
      </c>
      <c r="LX124" s="52">
        <v>9.6611349999999998</v>
      </c>
      <c r="LY124" s="52">
        <v>9.6611349999999998</v>
      </c>
      <c r="LZ124" s="52">
        <v>9.6611349999999998</v>
      </c>
      <c r="MA124" s="52">
        <v>9.6611349999999998</v>
      </c>
      <c r="MB124" s="52">
        <v>9.6611349999999998</v>
      </c>
      <c r="MC124" s="52">
        <v>9.6611349999999998</v>
      </c>
      <c r="MD124" s="52">
        <v>9.6611349999999998</v>
      </c>
      <c r="ME124" s="52">
        <v>9.6611349999999998</v>
      </c>
      <c r="MF124" s="52">
        <v>9.6611349999999998</v>
      </c>
      <c r="MG124" s="52">
        <v>9.6611349999999998</v>
      </c>
      <c r="MH124" s="52">
        <v>9.6611349999999998</v>
      </c>
      <c r="MI124" s="52">
        <v>9.6611349999999998</v>
      </c>
      <c r="MJ124" s="52">
        <v>9.6611349999999998</v>
      </c>
      <c r="MK124" s="52">
        <v>9.6611349999999998</v>
      </c>
      <c r="ML124" s="52">
        <v>9.6611349999999998</v>
      </c>
      <c r="MM124" s="52">
        <v>9.6611349999999998</v>
      </c>
      <c r="MN124" s="52">
        <v>9.6611349999999998</v>
      </c>
      <c r="MO124" s="52">
        <v>9.6611349999999998</v>
      </c>
      <c r="MP124" s="52">
        <v>9.6611349999999998</v>
      </c>
      <c r="MQ124" s="52">
        <v>9.6611349999999998</v>
      </c>
      <c r="MR124" s="52">
        <v>9.6611349999999998</v>
      </c>
      <c r="MS124" s="52">
        <v>9.6611349999999998</v>
      </c>
      <c r="MT124" s="52">
        <v>9.6611349999999998</v>
      </c>
      <c r="MU124" s="52">
        <v>9.6611349999999998</v>
      </c>
      <c r="MV124" s="52">
        <v>9.6611349999999998</v>
      </c>
      <c r="MW124" s="52">
        <v>9.6611349999999998</v>
      </c>
      <c r="MX124" s="52">
        <v>9.6611349999999998</v>
      </c>
      <c r="MY124" s="52">
        <v>9.6611349999999998</v>
      </c>
      <c r="MZ124" s="52">
        <v>9.6611349999999998</v>
      </c>
      <c r="NA124" s="52">
        <v>9.6611349999999998</v>
      </c>
      <c r="NB124" s="52">
        <v>9.6611349999999998</v>
      </c>
      <c r="NC124" s="52">
        <v>10.47486</v>
      </c>
      <c r="ND124" s="52">
        <v>0</v>
      </c>
      <c r="NE124" s="52"/>
      <c r="NF124" s="52"/>
      <c r="NG124" s="52"/>
      <c r="NH124" s="52"/>
    </row>
    <row r="125" spans="1:372" x14ac:dyDescent="0.2">
      <c r="A125" s="37">
        <v>123</v>
      </c>
      <c r="B125" s="37" t="s">
        <v>1084</v>
      </c>
      <c r="C125" s="17">
        <f>+'Detalle Compras'!D125</f>
        <v>20231229696</v>
      </c>
      <c r="D125" s="55">
        <f t="shared" si="16"/>
        <v>12.53032</v>
      </c>
      <c r="E125" s="14">
        <f>+IF(B125="","",'Detalle Compras'!S125+0)</f>
        <v>45483</v>
      </c>
      <c r="F125" s="14">
        <f>+IF(B125="","",EOMONTH('Detalle Compras'!Q125,G125)+10)</f>
        <v>8289</v>
      </c>
      <c r="G125" s="50">
        <f t="shared" si="17"/>
        <v>271</v>
      </c>
      <c r="H125" s="50">
        <f t="shared" si="18"/>
        <v>337</v>
      </c>
      <c r="I125" s="37">
        <v>0</v>
      </c>
      <c r="J125" s="37">
        <v>0</v>
      </c>
      <c r="K125" s="37">
        <v>0</v>
      </c>
      <c r="L125" s="37">
        <v>0</v>
      </c>
      <c r="M125" s="52">
        <v>12.53032</v>
      </c>
      <c r="N125" s="52">
        <v>12.53032</v>
      </c>
      <c r="O125" s="52">
        <v>12.53032</v>
      </c>
      <c r="P125" s="52">
        <v>12.53032</v>
      </c>
      <c r="Q125" s="52">
        <v>12.53032</v>
      </c>
      <c r="R125" s="52">
        <v>12.53032</v>
      </c>
      <c r="S125" s="52">
        <v>12.53032</v>
      </c>
      <c r="T125" s="52">
        <v>12.53032</v>
      </c>
      <c r="U125" s="52">
        <v>12.53032</v>
      </c>
      <c r="V125" s="52">
        <v>12.53032</v>
      </c>
      <c r="W125" s="52">
        <v>12.53032</v>
      </c>
      <c r="X125" s="52">
        <v>12.53032</v>
      </c>
      <c r="Y125" s="52">
        <v>12.53032</v>
      </c>
      <c r="Z125" s="52">
        <v>12.53032</v>
      </c>
      <c r="AA125" s="52">
        <v>12.53032</v>
      </c>
      <c r="AB125" s="52">
        <v>12.53032</v>
      </c>
      <c r="AC125" s="52">
        <v>12.53032</v>
      </c>
      <c r="AD125" s="52">
        <v>12.53032</v>
      </c>
      <c r="AE125" s="52">
        <v>12.53032</v>
      </c>
      <c r="AF125" s="52">
        <v>12.53032</v>
      </c>
      <c r="AG125" s="52">
        <v>12.53032</v>
      </c>
      <c r="AH125" s="52">
        <v>12.53032</v>
      </c>
      <c r="AI125" s="52">
        <v>12.53032</v>
      </c>
      <c r="AJ125" s="52">
        <v>12.53032</v>
      </c>
      <c r="AK125" s="52">
        <v>12.53032</v>
      </c>
      <c r="AL125" s="52">
        <v>12.53032</v>
      </c>
      <c r="AM125" s="52">
        <v>12.53032</v>
      </c>
      <c r="AN125" s="52">
        <v>12.53032</v>
      </c>
      <c r="AO125" s="52">
        <v>12.53032</v>
      </c>
      <c r="AP125" s="52">
        <v>12.53032</v>
      </c>
      <c r="AQ125" s="52">
        <v>12.53032</v>
      </c>
      <c r="AR125" s="52">
        <v>12.53032</v>
      </c>
      <c r="AS125" s="52">
        <v>12.53032</v>
      </c>
      <c r="AT125" s="52">
        <v>12.53032</v>
      </c>
      <c r="AU125" s="52">
        <v>12.53032</v>
      </c>
      <c r="AV125" s="52">
        <v>12.53032</v>
      </c>
      <c r="AW125" s="52">
        <v>12.53032</v>
      </c>
      <c r="AX125" s="52">
        <v>12.53032</v>
      </c>
      <c r="AY125" s="52">
        <v>12.53032</v>
      </c>
      <c r="AZ125" s="52">
        <v>12.53032</v>
      </c>
      <c r="BA125" s="52">
        <v>12.53032</v>
      </c>
      <c r="BB125" s="52">
        <v>12.53032</v>
      </c>
      <c r="BC125" s="52">
        <v>12.53032</v>
      </c>
      <c r="BD125" s="52">
        <v>12.53032</v>
      </c>
      <c r="BE125" s="52">
        <v>12.53032</v>
      </c>
      <c r="BF125" s="52">
        <v>12.53032</v>
      </c>
      <c r="BG125" s="52">
        <v>12.53032</v>
      </c>
      <c r="BH125" s="52">
        <v>12.53032</v>
      </c>
      <c r="BI125" s="52">
        <v>12.53032</v>
      </c>
      <c r="BJ125" s="52">
        <v>12.53032</v>
      </c>
      <c r="BK125" s="52">
        <v>12.53032</v>
      </c>
      <c r="BL125" s="52">
        <v>12.53032</v>
      </c>
      <c r="BM125" s="52">
        <v>12.53032</v>
      </c>
      <c r="BN125" s="52">
        <v>12.53032</v>
      </c>
      <c r="BO125" s="52">
        <v>12.53032</v>
      </c>
      <c r="BP125" s="52">
        <v>12.53032</v>
      </c>
      <c r="BQ125" s="52">
        <v>12.53032</v>
      </c>
      <c r="BR125" s="52">
        <v>12.53032</v>
      </c>
      <c r="BS125" s="52">
        <v>12.53032</v>
      </c>
      <c r="BT125" s="52">
        <v>12.53032</v>
      </c>
      <c r="BU125" s="52">
        <v>12.53032</v>
      </c>
      <c r="BV125" s="52">
        <v>12.53032</v>
      </c>
      <c r="BW125" s="52">
        <v>12.53032</v>
      </c>
      <c r="BX125" s="52">
        <v>12.53032</v>
      </c>
      <c r="BY125" s="52">
        <v>12.53032</v>
      </c>
      <c r="BZ125" s="52">
        <v>12.53032</v>
      </c>
      <c r="CA125" s="52">
        <v>12.53032</v>
      </c>
      <c r="CB125" s="52">
        <v>12.53032</v>
      </c>
      <c r="CC125" s="52">
        <v>12.53032</v>
      </c>
      <c r="CD125" s="52">
        <v>12.53032</v>
      </c>
      <c r="CE125" s="52">
        <v>12.53032</v>
      </c>
      <c r="CF125" s="52">
        <v>12.53032</v>
      </c>
      <c r="CG125" s="52">
        <v>12.53032</v>
      </c>
      <c r="CH125" s="52">
        <v>12.53032</v>
      </c>
      <c r="CI125" s="52">
        <v>12.53032</v>
      </c>
      <c r="CJ125" s="52">
        <v>12.53032</v>
      </c>
      <c r="CK125" s="52">
        <v>12.53032</v>
      </c>
      <c r="CL125" s="52">
        <v>12.53032</v>
      </c>
      <c r="CM125" s="52">
        <v>12.53032</v>
      </c>
      <c r="CN125" s="52">
        <v>12.53032</v>
      </c>
      <c r="CO125" s="52">
        <v>12.53032</v>
      </c>
      <c r="CP125" s="52">
        <v>12.53032</v>
      </c>
      <c r="CQ125" s="52">
        <v>12.53032</v>
      </c>
      <c r="CR125" s="52">
        <v>12.53032</v>
      </c>
      <c r="CS125" s="52">
        <v>12.53032</v>
      </c>
      <c r="CT125" s="52">
        <v>12.53032</v>
      </c>
      <c r="CU125" s="52">
        <v>12.53032</v>
      </c>
      <c r="CV125" s="52">
        <v>12.53032</v>
      </c>
      <c r="CW125" s="52">
        <v>12.53032</v>
      </c>
      <c r="CX125" s="52">
        <v>12.53032</v>
      </c>
      <c r="CY125" s="52">
        <v>12.53032</v>
      </c>
      <c r="CZ125" s="52">
        <v>12.53032</v>
      </c>
      <c r="DA125" s="52">
        <v>12.53032</v>
      </c>
      <c r="DB125" s="52">
        <v>12.53032</v>
      </c>
      <c r="DC125" s="52">
        <v>12.53032</v>
      </c>
      <c r="DD125" s="52">
        <v>12.53032</v>
      </c>
      <c r="DE125" s="52">
        <v>12.53032</v>
      </c>
      <c r="DF125" s="52">
        <v>12.53032</v>
      </c>
      <c r="DG125" s="52">
        <v>12.53032</v>
      </c>
      <c r="DH125" s="52">
        <v>12.53032</v>
      </c>
      <c r="DI125" s="52">
        <v>12.53032</v>
      </c>
      <c r="DJ125" s="52">
        <v>12.53032</v>
      </c>
      <c r="DK125" s="52">
        <v>12.53032</v>
      </c>
      <c r="DL125" s="52">
        <v>12.53032</v>
      </c>
      <c r="DM125" s="52">
        <v>12.53032</v>
      </c>
      <c r="DN125" s="52">
        <v>12.53032</v>
      </c>
      <c r="DO125" s="52">
        <v>12.53032</v>
      </c>
      <c r="DP125" s="52">
        <v>12.53032</v>
      </c>
      <c r="DQ125" s="52">
        <v>12.53032</v>
      </c>
      <c r="DR125" s="52">
        <v>12.53032</v>
      </c>
      <c r="DS125" s="52">
        <v>12.53032</v>
      </c>
      <c r="DT125" s="52">
        <v>12.53032</v>
      </c>
      <c r="DU125" s="52">
        <v>12.53032</v>
      </c>
      <c r="DV125" s="52">
        <v>12.53032</v>
      </c>
      <c r="DW125" s="52">
        <v>12.53032</v>
      </c>
      <c r="DX125" s="52">
        <v>12.53032</v>
      </c>
      <c r="DY125" s="52">
        <v>12.53032</v>
      </c>
      <c r="DZ125" s="52">
        <v>12.53032</v>
      </c>
      <c r="EA125" s="52">
        <v>12.53032</v>
      </c>
      <c r="EB125" s="52">
        <v>12.53032</v>
      </c>
      <c r="EC125" s="52">
        <v>12.53032</v>
      </c>
      <c r="ED125" s="52">
        <v>12.53032</v>
      </c>
      <c r="EE125" s="52">
        <v>12.53032</v>
      </c>
      <c r="EF125" s="52">
        <v>12.53032</v>
      </c>
      <c r="EG125" s="52">
        <v>12.53032</v>
      </c>
      <c r="EH125" s="52">
        <v>12.53032</v>
      </c>
      <c r="EI125" s="52">
        <v>12.53032</v>
      </c>
      <c r="EJ125" s="52">
        <v>12.53032</v>
      </c>
      <c r="EK125" s="52">
        <v>12.53032</v>
      </c>
      <c r="EL125" s="52">
        <v>12.53032</v>
      </c>
      <c r="EM125" s="52">
        <v>12.53032</v>
      </c>
      <c r="EN125" s="52">
        <v>12.53032</v>
      </c>
      <c r="EO125" s="52">
        <v>12.53032</v>
      </c>
      <c r="EP125" s="52">
        <v>12.53032</v>
      </c>
      <c r="EQ125" s="52">
        <v>12.53032</v>
      </c>
      <c r="ER125" s="52">
        <v>12.53032</v>
      </c>
      <c r="ES125" s="52">
        <v>12.53032</v>
      </c>
      <c r="ET125" s="52">
        <v>12.53032</v>
      </c>
      <c r="EU125" s="52">
        <v>12.53032</v>
      </c>
      <c r="EV125" s="52">
        <v>12.53032</v>
      </c>
      <c r="EW125" s="52">
        <v>12.53032</v>
      </c>
      <c r="EX125" s="52">
        <v>12.53032</v>
      </c>
      <c r="EY125" s="52">
        <v>12.53032</v>
      </c>
      <c r="EZ125" s="52">
        <v>12.53032</v>
      </c>
      <c r="FA125" s="52">
        <v>12.53032</v>
      </c>
      <c r="FB125" s="52">
        <v>12.53032</v>
      </c>
      <c r="FC125" s="52">
        <v>12.53032</v>
      </c>
      <c r="FD125" s="52">
        <v>12.53032</v>
      </c>
      <c r="FE125" s="52">
        <v>12.53032</v>
      </c>
      <c r="FF125" s="52">
        <v>12.53032</v>
      </c>
      <c r="FG125" s="52">
        <v>12.53032</v>
      </c>
      <c r="FH125" s="52">
        <v>12.53032</v>
      </c>
      <c r="FI125" s="52">
        <v>12.53032</v>
      </c>
      <c r="FJ125" s="52">
        <v>12.53032</v>
      </c>
      <c r="FK125" s="52">
        <v>12.53032</v>
      </c>
      <c r="FL125" s="52">
        <v>12.53032</v>
      </c>
      <c r="FM125" s="52">
        <v>12.53032</v>
      </c>
      <c r="FN125" s="52">
        <v>12.53032</v>
      </c>
      <c r="FO125" s="52">
        <v>12.53032</v>
      </c>
      <c r="FP125" s="52">
        <v>12.53032</v>
      </c>
      <c r="FQ125" s="52">
        <v>12.53032</v>
      </c>
      <c r="FR125" s="52">
        <v>12.53032</v>
      </c>
      <c r="FS125" s="52">
        <v>12.53032</v>
      </c>
      <c r="FT125" s="52">
        <v>12.53032</v>
      </c>
      <c r="FU125" s="52">
        <v>12.53032</v>
      </c>
      <c r="FV125" s="52">
        <v>12.53032</v>
      </c>
      <c r="FW125" s="52">
        <v>12.53032</v>
      </c>
      <c r="FX125" s="52">
        <v>12.53032</v>
      </c>
      <c r="FY125" s="52">
        <v>12.53032</v>
      </c>
      <c r="FZ125" s="52">
        <v>12.53032</v>
      </c>
      <c r="GA125" s="52">
        <v>12.53032</v>
      </c>
      <c r="GB125" s="52">
        <v>12.53032</v>
      </c>
      <c r="GC125" s="52">
        <v>12.53032</v>
      </c>
      <c r="GD125" s="52">
        <v>12.53032</v>
      </c>
      <c r="GE125" s="52">
        <v>12.53032</v>
      </c>
      <c r="GF125" s="52">
        <v>12.53032</v>
      </c>
      <c r="GG125" s="52">
        <v>12.53032</v>
      </c>
      <c r="GH125" s="52">
        <v>12.53032</v>
      </c>
      <c r="GI125" s="52">
        <v>12.53032</v>
      </c>
      <c r="GJ125" s="52">
        <v>12.53032</v>
      </c>
      <c r="GK125" s="52">
        <v>12.53032</v>
      </c>
      <c r="GL125" s="52">
        <v>12.53032</v>
      </c>
      <c r="GM125" s="52">
        <v>12.53032</v>
      </c>
      <c r="GN125" s="52">
        <v>12.53032</v>
      </c>
      <c r="GO125" s="52">
        <v>12.53032</v>
      </c>
      <c r="GP125" s="52">
        <v>12.53032</v>
      </c>
      <c r="GQ125" s="52">
        <v>12.53032</v>
      </c>
      <c r="GR125" s="52">
        <v>12.53032</v>
      </c>
      <c r="GS125" s="52">
        <v>12.53032</v>
      </c>
      <c r="GT125" s="52">
        <v>12.53032</v>
      </c>
      <c r="GU125" s="52">
        <v>12.53032</v>
      </c>
      <c r="GV125" s="52">
        <v>12.53032</v>
      </c>
      <c r="GW125" s="52">
        <v>12.53032</v>
      </c>
      <c r="GX125" s="52">
        <v>12.53032</v>
      </c>
      <c r="GY125" s="52">
        <v>12.53032</v>
      </c>
      <c r="GZ125" s="52">
        <v>12.53032</v>
      </c>
      <c r="HA125" s="52">
        <v>12.53032</v>
      </c>
      <c r="HB125" s="52">
        <v>12.53032</v>
      </c>
      <c r="HC125" s="52">
        <v>12.53032</v>
      </c>
      <c r="HD125" s="52">
        <v>12.53032</v>
      </c>
      <c r="HE125" s="52">
        <v>12.53032</v>
      </c>
      <c r="HF125" s="52">
        <v>12.53032</v>
      </c>
      <c r="HG125" s="52">
        <v>12.53032</v>
      </c>
      <c r="HH125" s="52">
        <v>12.53032</v>
      </c>
      <c r="HI125" s="52">
        <v>12.53032</v>
      </c>
      <c r="HJ125" s="52">
        <v>12.53032</v>
      </c>
      <c r="HK125" s="52">
        <v>12.53032</v>
      </c>
      <c r="HL125" s="52">
        <v>12.53032</v>
      </c>
      <c r="HM125" s="52">
        <v>12.53032</v>
      </c>
      <c r="HN125" s="52">
        <v>12.53032</v>
      </c>
      <c r="HO125" s="52">
        <v>12.53032</v>
      </c>
      <c r="HP125" s="52">
        <v>12.53032</v>
      </c>
      <c r="HQ125" s="52">
        <v>12.53032</v>
      </c>
      <c r="HR125" s="52">
        <v>12.53032</v>
      </c>
      <c r="HS125" s="52">
        <v>12.53032</v>
      </c>
      <c r="HT125" s="52">
        <v>12.53032</v>
      </c>
      <c r="HU125" s="52">
        <v>12.53032</v>
      </c>
      <c r="HV125" s="52">
        <v>12.53032</v>
      </c>
      <c r="HW125" s="52">
        <v>12.53032</v>
      </c>
      <c r="HX125" s="52">
        <v>12.53032</v>
      </c>
      <c r="HY125" s="52">
        <v>12.53032</v>
      </c>
      <c r="HZ125" s="52">
        <v>12.53032</v>
      </c>
      <c r="IA125" s="52">
        <v>12.53032</v>
      </c>
      <c r="IB125" s="52">
        <v>12.53032</v>
      </c>
      <c r="IC125" s="52">
        <v>12.53032</v>
      </c>
      <c r="ID125" s="52">
        <v>12.53032</v>
      </c>
      <c r="IE125" s="52">
        <v>12.53032</v>
      </c>
      <c r="IF125" s="52">
        <v>12.53032</v>
      </c>
      <c r="IG125" s="52">
        <v>12.53032</v>
      </c>
      <c r="IH125" s="52">
        <v>12.53032</v>
      </c>
      <c r="II125" s="52">
        <v>12.53032</v>
      </c>
      <c r="IJ125" s="52">
        <v>12.53032</v>
      </c>
      <c r="IK125" s="52">
        <v>12.53032</v>
      </c>
      <c r="IL125" s="52">
        <v>12.53032</v>
      </c>
      <c r="IM125" s="52">
        <v>12.53032</v>
      </c>
      <c r="IN125" s="52">
        <v>12.53032</v>
      </c>
      <c r="IO125" s="52">
        <v>12.53032</v>
      </c>
      <c r="IP125" s="52">
        <v>12.53032</v>
      </c>
      <c r="IQ125" s="52">
        <v>12.53032</v>
      </c>
      <c r="IR125" s="52">
        <v>12.53032</v>
      </c>
      <c r="IS125" s="52">
        <v>12.53032</v>
      </c>
      <c r="IT125" s="52">
        <v>12.53032</v>
      </c>
      <c r="IU125" s="52">
        <v>12.53032</v>
      </c>
      <c r="IV125" s="52">
        <v>12.53032</v>
      </c>
      <c r="IW125" s="52">
        <v>12.53032</v>
      </c>
      <c r="IX125" s="52">
        <v>12.53032</v>
      </c>
      <c r="IY125" s="52">
        <v>12.53032</v>
      </c>
      <c r="IZ125" s="52">
        <v>12.53032</v>
      </c>
      <c r="JA125" s="52">
        <v>12.53032</v>
      </c>
      <c r="JB125" s="52">
        <v>12.53032</v>
      </c>
      <c r="JC125" s="52">
        <v>12.53032</v>
      </c>
      <c r="JD125" s="52">
        <v>12.53032</v>
      </c>
      <c r="JE125" s="52">
        <v>12.53032</v>
      </c>
      <c r="JF125" s="52">
        <v>12.53032</v>
      </c>
      <c r="JG125" s="52">
        <v>12.53032</v>
      </c>
      <c r="JH125" s="52">
        <v>12.53032</v>
      </c>
      <c r="JI125" s="52">
        <v>12.53032</v>
      </c>
      <c r="JJ125" s="52">
        <v>12.53032</v>
      </c>
      <c r="JK125" s="52">
        <v>12.53032</v>
      </c>
      <c r="JL125" s="52">
        <v>12.53032</v>
      </c>
      <c r="JM125" s="52">
        <v>12.53032</v>
      </c>
      <c r="JN125" s="52">
        <v>12.53032</v>
      </c>
      <c r="JO125" s="52">
        <v>12.53032</v>
      </c>
      <c r="JP125" s="52">
        <v>12.53032</v>
      </c>
      <c r="JQ125" s="52">
        <v>12.53032</v>
      </c>
      <c r="JR125" s="52">
        <v>12.53032</v>
      </c>
      <c r="JS125" s="52">
        <v>12.53032</v>
      </c>
      <c r="JT125" s="52">
        <v>12.53032</v>
      </c>
      <c r="JU125" s="52">
        <v>12.53032</v>
      </c>
      <c r="JV125" s="52">
        <v>12.53032</v>
      </c>
      <c r="JW125" s="52">
        <v>12.61007</v>
      </c>
      <c r="JX125" s="52">
        <v>0</v>
      </c>
      <c r="JY125" s="52">
        <v>0</v>
      </c>
      <c r="JZ125" s="52">
        <v>0</v>
      </c>
      <c r="KA125" s="52">
        <v>0</v>
      </c>
      <c r="KB125" s="52">
        <v>0</v>
      </c>
      <c r="KC125" s="52">
        <v>0</v>
      </c>
      <c r="KD125" s="52">
        <v>0</v>
      </c>
      <c r="KE125" s="52">
        <v>0</v>
      </c>
      <c r="KF125" s="52">
        <v>0</v>
      </c>
      <c r="KG125" s="52">
        <v>0</v>
      </c>
      <c r="KH125" s="52">
        <v>0</v>
      </c>
      <c r="KI125" s="52">
        <v>0</v>
      </c>
      <c r="KJ125" s="52">
        <v>0</v>
      </c>
      <c r="KK125" s="52">
        <v>0</v>
      </c>
      <c r="KL125" s="52">
        <v>0</v>
      </c>
      <c r="KM125" s="52">
        <v>0</v>
      </c>
      <c r="KN125" s="52">
        <v>0</v>
      </c>
      <c r="KO125" s="52">
        <v>0</v>
      </c>
      <c r="KP125" s="52">
        <v>0</v>
      </c>
      <c r="KQ125" s="52">
        <v>0</v>
      </c>
      <c r="KR125" s="52">
        <v>0</v>
      </c>
      <c r="KS125" s="52">
        <v>0</v>
      </c>
      <c r="KT125" s="52">
        <v>0</v>
      </c>
      <c r="KU125" s="52">
        <v>0</v>
      </c>
      <c r="KV125" s="52">
        <v>0</v>
      </c>
      <c r="KW125" s="52">
        <v>0</v>
      </c>
      <c r="KX125" s="52">
        <v>0</v>
      </c>
      <c r="KY125" s="52">
        <v>0</v>
      </c>
      <c r="KZ125" s="52">
        <v>0</v>
      </c>
      <c r="LA125" s="52">
        <v>0</v>
      </c>
      <c r="LB125" s="52">
        <v>0</v>
      </c>
      <c r="LC125" s="52">
        <v>0</v>
      </c>
      <c r="LD125" s="52">
        <v>0</v>
      </c>
      <c r="LE125" s="52">
        <v>0</v>
      </c>
      <c r="LF125" s="52">
        <v>0</v>
      </c>
      <c r="LG125" s="52">
        <v>0</v>
      </c>
      <c r="LH125" s="52">
        <v>0</v>
      </c>
      <c r="LI125" s="52">
        <v>0</v>
      </c>
      <c r="LJ125" s="52">
        <v>0</v>
      </c>
      <c r="LK125" s="52">
        <v>0</v>
      </c>
      <c r="LL125" s="52">
        <v>0</v>
      </c>
      <c r="LM125" s="52">
        <v>0</v>
      </c>
      <c r="LN125" s="52">
        <v>0</v>
      </c>
      <c r="LO125" s="52">
        <v>0</v>
      </c>
      <c r="LP125" s="52">
        <v>0</v>
      </c>
      <c r="LQ125" s="52">
        <v>0</v>
      </c>
      <c r="LR125" s="52">
        <v>0</v>
      </c>
      <c r="LS125" s="52">
        <v>0</v>
      </c>
      <c r="LT125" s="52">
        <v>0</v>
      </c>
      <c r="LU125" s="52">
        <v>0</v>
      </c>
      <c r="LV125" s="52">
        <v>0</v>
      </c>
      <c r="LW125" s="52">
        <v>0</v>
      </c>
      <c r="LX125" s="52">
        <v>0</v>
      </c>
      <c r="LY125" s="52">
        <v>0</v>
      </c>
      <c r="LZ125" s="52">
        <v>0</v>
      </c>
      <c r="MA125" s="52">
        <v>0</v>
      </c>
      <c r="MB125" s="52">
        <v>0</v>
      </c>
      <c r="MC125" s="52">
        <v>0</v>
      </c>
      <c r="MD125" s="52">
        <v>0</v>
      </c>
      <c r="ME125" s="52">
        <v>0</v>
      </c>
      <c r="MF125" s="52">
        <v>0</v>
      </c>
      <c r="MG125" s="52">
        <v>0</v>
      </c>
      <c r="MH125" s="52">
        <v>0</v>
      </c>
      <c r="MI125" s="52">
        <v>0</v>
      </c>
      <c r="MJ125" s="52">
        <v>0</v>
      </c>
      <c r="MK125" s="52">
        <v>0</v>
      </c>
      <c r="ML125" s="52">
        <v>0</v>
      </c>
      <c r="MM125" s="52">
        <v>0</v>
      </c>
      <c r="MN125" s="52">
        <v>0</v>
      </c>
      <c r="MO125" s="52">
        <v>0</v>
      </c>
      <c r="MP125" s="52">
        <v>0</v>
      </c>
      <c r="MQ125" s="52">
        <v>0</v>
      </c>
      <c r="MR125" s="52">
        <v>0</v>
      </c>
      <c r="MS125" s="52">
        <v>0</v>
      </c>
      <c r="MT125" s="52">
        <v>0</v>
      </c>
      <c r="MU125" s="52">
        <v>0</v>
      </c>
      <c r="MV125" s="52">
        <v>0</v>
      </c>
      <c r="MW125" s="52">
        <v>0</v>
      </c>
      <c r="MX125" s="52">
        <v>0</v>
      </c>
      <c r="MY125" s="52">
        <v>0</v>
      </c>
      <c r="MZ125" s="52">
        <v>0</v>
      </c>
      <c r="NA125" s="52">
        <v>0</v>
      </c>
      <c r="NB125" s="52">
        <v>0</v>
      </c>
      <c r="NC125" s="52">
        <v>0</v>
      </c>
      <c r="ND125" s="52">
        <v>0</v>
      </c>
      <c r="NE125" s="52"/>
      <c r="NF125" s="52"/>
      <c r="NG125" s="52"/>
      <c r="NH125" s="52"/>
    </row>
    <row r="126" spans="1:372" x14ac:dyDescent="0.2">
      <c r="A126" s="37">
        <v>124</v>
      </c>
      <c r="B126" s="37" t="s">
        <v>1089</v>
      </c>
      <c r="C126" s="17">
        <f>+'Detalle Compras'!D126</f>
        <v>20231227687</v>
      </c>
      <c r="D126" s="55">
        <f t="shared" si="16"/>
        <v>9.2301549999999999</v>
      </c>
      <c r="E126" s="14">
        <f>+IF(B126="","",'Detalle Compras'!S126+0)</f>
        <v>45483</v>
      </c>
      <c r="F126" s="14">
        <f>+IF(B126="","",EOMONTH('Detalle Compras'!Q126,G126)+10)</f>
        <v>10846</v>
      </c>
      <c r="G126" s="50">
        <f t="shared" si="17"/>
        <v>355</v>
      </c>
      <c r="H126" s="50">
        <f t="shared" si="18"/>
        <v>337</v>
      </c>
      <c r="I126" s="37">
        <v>0</v>
      </c>
      <c r="J126" s="37">
        <v>0</v>
      </c>
      <c r="K126" s="37">
        <v>0</v>
      </c>
      <c r="L126" s="37">
        <v>0</v>
      </c>
      <c r="M126" s="52">
        <v>9.2301549999999999</v>
      </c>
      <c r="N126" s="52">
        <v>9.2301549999999999</v>
      </c>
      <c r="O126" s="52">
        <v>9.2301549999999999</v>
      </c>
      <c r="P126" s="52">
        <v>9.2301549999999999</v>
      </c>
      <c r="Q126" s="52">
        <v>9.2301549999999999</v>
      </c>
      <c r="R126" s="52">
        <v>9.2301549999999999</v>
      </c>
      <c r="S126" s="52">
        <v>9.2301549999999999</v>
      </c>
      <c r="T126" s="52">
        <v>9.2301549999999999</v>
      </c>
      <c r="U126" s="52">
        <v>9.2301549999999999</v>
      </c>
      <c r="V126" s="52">
        <v>9.2301549999999999</v>
      </c>
      <c r="W126" s="52">
        <v>9.2301549999999999</v>
      </c>
      <c r="X126" s="52">
        <v>9.2301549999999999</v>
      </c>
      <c r="Y126" s="52">
        <v>9.2301549999999999</v>
      </c>
      <c r="Z126" s="52">
        <v>9.2301549999999999</v>
      </c>
      <c r="AA126" s="52">
        <v>9.2301549999999999</v>
      </c>
      <c r="AB126" s="52">
        <v>9.2301549999999999</v>
      </c>
      <c r="AC126" s="52">
        <v>9.2301549999999999</v>
      </c>
      <c r="AD126" s="52">
        <v>9.2301549999999999</v>
      </c>
      <c r="AE126" s="52">
        <v>9.2301549999999999</v>
      </c>
      <c r="AF126" s="52">
        <v>9.2301549999999999</v>
      </c>
      <c r="AG126" s="52">
        <v>9.2301549999999999</v>
      </c>
      <c r="AH126" s="52">
        <v>9.2301549999999999</v>
      </c>
      <c r="AI126" s="52">
        <v>9.2301549999999999</v>
      </c>
      <c r="AJ126" s="52">
        <v>9.2301549999999999</v>
      </c>
      <c r="AK126" s="52">
        <v>9.2301549999999999</v>
      </c>
      <c r="AL126" s="52">
        <v>9.2301549999999999</v>
      </c>
      <c r="AM126" s="52">
        <v>9.2301549999999999</v>
      </c>
      <c r="AN126" s="52">
        <v>9.2301549999999999</v>
      </c>
      <c r="AO126" s="52">
        <v>9.2301549999999999</v>
      </c>
      <c r="AP126" s="52">
        <v>9.2301549999999999</v>
      </c>
      <c r="AQ126" s="52">
        <v>9.2301549999999999</v>
      </c>
      <c r="AR126" s="52">
        <v>9.2301549999999999</v>
      </c>
      <c r="AS126" s="52">
        <v>9.2301549999999999</v>
      </c>
      <c r="AT126" s="52">
        <v>9.2301549999999999</v>
      </c>
      <c r="AU126" s="52">
        <v>9.2301549999999999</v>
      </c>
      <c r="AV126" s="52">
        <v>9.2301549999999999</v>
      </c>
      <c r="AW126" s="52">
        <v>9.2301549999999999</v>
      </c>
      <c r="AX126" s="52">
        <v>9.2301549999999999</v>
      </c>
      <c r="AY126" s="52">
        <v>9.2301549999999999</v>
      </c>
      <c r="AZ126" s="52">
        <v>9.2301549999999999</v>
      </c>
      <c r="BA126" s="52">
        <v>9.2301549999999999</v>
      </c>
      <c r="BB126" s="52">
        <v>9.2301549999999999</v>
      </c>
      <c r="BC126" s="52">
        <v>9.2301549999999999</v>
      </c>
      <c r="BD126" s="52">
        <v>9.2301549999999999</v>
      </c>
      <c r="BE126" s="52">
        <v>9.2301549999999999</v>
      </c>
      <c r="BF126" s="52">
        <v>9.2301549999999999</v>
      </c>
      <c r="BG126" s="52">
        <v>9.2301549999999999</v>
      </c>
      <c r="BH126" s="52">
        <v>9.2301549999999999</v>
      </c>
      <c r="BI126" s="52">
        <v>9.2301549999999999</v>
      </c>
      <c r="BJ126" s="52">
        <v>9.2301549999999999</v>
      </c>
      <c r="BK126" s="52">
        <v>9.2301549999999999</v>
      </c>
      <c r="BL126" s="52">
        <v>9.2301549999999999</v>
      </c>
      <c r="BM126" s="52">
        <v>9.2301549999999999</v>
      </c>
      <c r="BN126" s="52">
        <v>9.2301549999999999</v>
      </c>
      <c r="BO126" s="52">
        <v>9.2301549999999999</v>
      </c>
      <c r="BP126" s="52">
        <v>9.2301549999999999</v>
      </c>
      <c r="BQ126" s="52">
        <v>9.2301549999999999</v>
      </c>
      <c r="BR126" s="52">
        <v>9.2301549999999999</v>
      </c>
      <c r="BS126" s="52">
        <v>9.2301549999999999</v>
      </c>
      <c r="BT126" s="52">
        <v>9.2301549999999999</v>
      </c>
      <c r="BU126" s="52">
        <v>9.2301549999999999</v>
      </c>
      <c r="BV126" s="52">
        <v>9.2301549999999999</v>
      </c>
      <c r="BW126" s="52">
        <v>9.2301549999999999</v>
      </c>
      <c r="BX126" s="52">
        <v>9.2301549999999999</v>
      </c>
      <c r="BY126" s="52">
        <v>9.2301549999999999</v>
      </c>
      <c r="BZ126" s="52">
        <v>9.2301549999999999</v>
      </c>
      <c r="CA126" s="52">
        <v>9.2301549999999999</v>
      </c>
      <c r="CB126" s="52">
        <v>9.2301549999999999</v>
      </c>
      <c r="CC126" s="52">
        <v>9.2301549999999999</v>
      </c>
      <c r="CD126" s="52">
        <v>9.2301549999999999</v>
      </c>
      <c r="CE126" s="52">
        <v>9.2301549999999999</v>
      </c>
      <c r="CF126" s="52">
        <v>9.2301549999999999</v>
      </c>
      <c r="CG126" s="52">
        <v>9.2301549999999999</v>
      </c>
      <c r="CH126" s="52">
        <v>9.2301549999999999</v>
      </c>
      <c r="CI126" s="52">
        <v>9.2301549999999999</v>
      </c>
      <c r="CJ126" s="52">
        <v>9.2301549999999999</v>
      </c>
      <c r="CK126" s="52">
        <v>9.2301549999999999</v>
      </c>
      <c r="CL126" s="52">
        <v>9.2301549999999999</v>
      </c>
      <c r="CM126" s="52">
        <v>9.2301549999999999</v>
      </c>
      <c r="CN126" s="52">
        <v>9.2301549999999999</v>
      </c>
      <c r="CO126" s="52">
        <v>9.2301549999999999</v>
      </c>
      <c r="CP126" s="52">
        <v>9.2301549999999999</v>
      </c>
      <c r="CQ126" s="52">
        <v>9.2301549999999999</v>
      </c>
      <c r="CR126" s="52">
        <v>9.2301549999999999</v>
      </c>
      <c r="CS126" s="52">
        <v>9.2301549999999999</v>
      </c>
      <c r="CT126" s="52">
        <v>9.2301549999999999</v>
      </c>
      <c r="CU126" s="52">
        <v>9.2301549999999999</v>
      </c>
      <c r="CV126" s="52">
        <v>9.2301549999999999</v>
      </c>
      <c r="CW126" s="52">
        <v>9.2301549999999999</v>
      </c>
      <c r="CX126" s="52">
        <v>9.2301549999999999</v>
      </c>
      <c r="CY126" s="52">
        <v>9.2301549999999999</v>
      </c>
      <c r="CZ126" s="52">
        <v>9.2301549999999999</v>
      </c>
      <c r="DA126" s="52">
        <v>9.2301549999999999</v>
      </c>
      <c r="DB126" s="52">
        <v>9.2301549999999999</v>
      </c>
      <c r="DC126" s="52">
        <v>9.2301549999999999</v>
      </c>
      <c r="DD126" s="52">
        <v>9.2301549999999999</v>
      </c>
      <c r="DE126" s="52">
        <v>9.2301549999999999</v>
      </c>
      <c r="DF126" s="52">
        <v>9.2301549999999999</v>
      </c>
      <c r="DG126" s="52">
        <v>9.2301549999999999</v>
      </c>
      <c r="DH126" s="52">
        <v>9.2301549999999999</v>
      </c>
      <c r="DI126" s="52">
        <v>9.2301549999999999</v>
      </c>
      <c r="DJ126" s="52">
        <v>9.2301549999999999</v>
      </c>
      <c r="DK126" s="52">
        <v>9.2301549999999999</v>
      </c>
      <c r="DL126" s="52">
        <v>9.2301549999999999</v>
      </c>
      <c r="DM126" s="52">
        <v>9.2301549999999999</v>
      </c>
      <c r="DN126" s="52">
        <v>9.2301549999999999</v>
      </c>
      <c r="DO126" s="52">
        <v>9.2301549999999999</v>
      </c>
      <c r="DP126" s="52">
        <v>9.2301549999999999</v>
      </c>
      <c r="DQ126" s="52">
        <v>9.2301549999999999</v>
      </c>
      <c r="DR126" s="52">
        <v>9.2301549999999999</v>
      </c>
      <c r="DS126" s="52">
        <v>9.2301549999999999</v>
      </c>
      <c r="DT126" s="52">
        <v>9.2301549999999999</v>
      </c>
      <c r="DU126" s="52">
        <v>9.2301549999999999</v>
      </c>
      <c r="DV126" s="52">
        <v>9.2301549999999999</v>
      </c>
      <c r="DW126" s="52">
        <v>9.2301549999999999</v>
      </c>
      <c r="DX126" s="52">
        <v>9.2301549999999999</v>
      </c>
      <c r="DY126" s="52">
        <v>9.2301549999999999</v>
      </c>
      <c r="DZ126" s="52">
        <v>9.2301549999999999</v>
      </c>
      <c r="EA126" s="52">
        <v>9.2301549999999999</v>
      </c>
      <c r="EB126" s="52">
        <v>9.2301549999999999</v>
      </c>
      <c r="EC126" s="52">
        <v>9.2301549999999999</v>
      </c>
      <c r="ED126" s="52">
        <v>9.2301549999999999</v>
      </c>
      <c r="EE126" s="52">
        <v>9.2301549999999999</v>
      </c>
      <c r="EF126" s="52">
        <v>9.2301549999999999</v>
      </c>
      <c r="EG126" s="52">
        <v>9.2301549999999999</v>
      </c>
      <c r="EH126" s="52">
        <v>9.2301549999999999</v>
      </c>
      <c r="EI126" s="52">
        <v>9.2301549999999999</v>
      </c>
      <c r="EJ126" s="52">
        <v>9.2301549999999999</v>
      </c>
      <c r="EK126" s="52">
        <v>9.2301549999999999</v>
      </c>
      <c r="EL126" s="52">
        <v>9.2301549999999999</v>
      </c>
      <c r="EM126" s="52">
        <v>9.2301549999999999</v>
      </c>
      <c r="EN126" s="52">
        <v>9.2301549999999999</v>
      </c>
      <c r="EO126" s="52">
        <v>9.2301549999999999</v>
      </c>
      <c r="EP126" s="52">
        <v>9.2301549999999999</v>
      </c>
      <c r="EQ126" s="52">
        <v>9.2301549999999999</v>
      </c>
      <c r="ER126" s="52">
        <v>9.2301549999999999</v>
      </c>
      <c r="ES126" s="52">
        <v>9.2301549999999999</v>
      </c>
      <c r="ET126" s="52">
        <v>9.2301549999999999</v>
      </c>
      <c r="EU126" s="52">
        <v>9.2301549999999999</v>
      </c>
      <c r="EV126" s="52">
        <v>9.2301549999999999</v>
      </c>
      <c r="EW126" s="52">
        <v>9.2301549999999999</v>
      </c>
      <c r="EX126" s="52">
        <v>9.2301549999999999</v>
      </c>
      <c r="EY126" s="52">
        <v>9.2301549999999999</v>
      </c>
      <c r="EZ126" s="52">
        <v>9.2301549999999999</v>
      </c>
      <c r="FA126" s="52">
        <v>9.2301549999999999</v>
      </c>
      <c r="FB126" s="52">
        <v>9.2301549999999999</v>
      </c>
      <c r="FC126" s="52">
        <v>9.2301549999999999</v>
      </c>
      <c r="FD126" s="52">
        <v>9.2301549999999999</v>
      </c>
      <c r="FE126" s="52">
        <v>9.2301549999999999</v>
      </c>
      <c r="FF126" s="52">
        <v>9.2301549999999999</v>
      </c>
      <c r="FG126" s="52">
        <v>9.2301549999999999</v>
      </c>
      <c r="FH126" s="52">
        <v>9.2301549999999999</v>
      </c>
      <c r="FI126" s="52">
        <v>9.2301549999999999</v>
      </c>
      <c r="FJ126" s="52">
        <v>9.2301549999999999</v>
      </c>
      <c r="FK126" s="52">
        <v>9.2301549999999999</v>
      </c>
      <c r="FL126" s="52">
        <v>9.2301549999999999</v>
      </c>
      <c r="FM126" s="52">
        <v>9.2301549999999999</v>
      </c>
      <c r="FN126" s="52">
        <v>9.2301549999999999</v>
      </c>
      <c r="FO126" s="52">
        <v>9.2301549999999999</v>
      </c>
      <c r="FP126" s="52">
        <v>9.2301549999999999</v>
      </c>
      <c r="FQ126" s="52">
        <v>9.2301549999999999</v>
      </c>
      <c r="FR126" s="52">
        <v>9.2301549999999999</v>
      </c>
      <c r="FS126" s="52">
        <v>9.2301549999999999</v>
      </c>
      <c r="FT126" s="52">
        <v>9.2301549999999999</v>
      </c>
      <c r="FU126" s="52">
        <v>9.2301549999999999</v>
      </c>
      <c r="FV126" s="52">
        <v>9.2301549999999999</v>
      </c>
      <c r="FW126" s="52">
        <v>9.2301549999999999</v>
      </c>
      <c r="FX126" s="52">
        <v>9.2301549999999999</v>
      </c>
      <c r="FY126" s="52">
        <v>9.2301549999999999</v>
      </c>
      <c r="FZ126" s="52">
        <v>9.2301549999999999</v>
      </c>
      <c r="GA126" s="52">
        <v>9.2301549999999999</v>
      </c>
      <c r="GB126" s="52">
        <v>9.2301549999999999</v>
      </c>
      <c r="GC126" s="52">
        <v>9.2301549999999999</v>
      </c>
      <c r="GD126" s="52">
        <v>9.2301549999999999</v>
      </c>
      <c r="GE126" s="52">
        <v>9.2301549999999999</v>
      </c>
      <c r="GF126" s="52">
        <v>9.2301549999999999</v>
      </c>
      <c r="GG126" s="52">
        <v>9.2301549999999999</v>
      </c>
      <c r="GH126" s="52">
        <v>9.2301549999999999</v>
      </c>
      <c r="GI126" s="52">
        <v>9.2301549999999999</v>
      </c>
      <c r="GJ126" s="52">
        <v>9.2301549999999999</v>
      </c>
      <c r="GK126" s="52">
        <v>9.2301549999999999</v>
      </c>
      <c r="GL126" s="52">
        <v>9.2301549999999999</v>
      </c>
      <c r="GM126" s="52">
        <v>9.2301549999999999</v>
      </c>
      <c r="GN126" s="52">
        <v>9.2301549999999999</v>
      </c>
      <c r="GO126" s="52">
        <v>9.2301549999999999</v>
      </c>
      <c r="GP126" s="52">
        <v>9.2301549999999999</v>
      </c>
      <c r="GQ126" s="52">
        <v>9.2301549999999999</v>
      </c>
      <c r="GR126" s="52">
        <v>9.2301549999999999</v>
      </c>
      <c r="GS126" s="52">
        <v>9.2301549999999999</v>
      </c>
      <c r="GT126" s="52">
        <v>9.2301549999999999</v>
      </c>
      <c r="GU126" s="52">
        <v>9.2301549999999999</v>
      </c>
      <c r="GV126" s="52">
        <v>9.2301549999999999</v>
      </c>
      <c r="GW126" s="52">
        <v>9.2301549999999999</v>
      </c>
      <c r="GX126" s="52">
        <v>9.2301549999999999</v>
      </c>
      <c r="GY126" s="52">
        <v>9.2301549999999999</v>
      </c>
      <c r="GZ126" s="52">
        <v>9.2301549999999999</v>
      </c>
      <c r="HA126" s="52">
        <v>9.2301549999999999</v>
      </c>
      <c r="HB126" s="52">
        <v>9.2301549999999999</v>
      </c>
      <c r="HC126" s="52">
        <v>9.2301549999999999</v>
      </c>
      <c r="HD126" s="52">
        <v>9.2301549999999999</v>
      </c>
      <c r="HE126" s="52">
        <v>9.2301549999999999</v>
      </c>
      <c r="HF126" s="52">
        <v>9.2301549999999999</v>
      </c>
      <c r="HG126" s="52">
        <v>9.2301549999999999</v>
      </c>
      <c r="HH126" s="52">
        <v>9.2301549999999999</v>
      </c>
      <c r="HI126" s="52">
        <v>9.2301549999999999</v>
      </c>
      <c r="HJ126" s="52">
        <v>9.2301549999999999</v>
      </c>
      <c r="HK126" s="52">
        <v>9.2301549999999999</v>
      </c>
      <c r="HL126" s="52">
        <v>9.2301549999999999</v>
      </c>
      <c r="HM126" s="52">
        <v>9.2301549999999999</v>
      </c>
      <c r="HN126" s="52">
        <v>9.2301549999999999</v>
      </c>
      <c r="HO126" s="52">
        <v>9.2301549999999999</v>
      </c>
      <c r="HP126" s="52">
        <v>9.2301549999999999</v>
      </c>
      <c r="HQ126" s="52">
        <v>9.2301549999999999</v>
      </c>
      <c r="HR126" s="52">
        <v>9.2301549999999999</v>
      </c>
      <c r="HS126" s="52">
        <v>9.2301549999999999</v>
      </c>
      <c r="HT126" s="52">
        <v>9.2301549999999999</v>
      </c>
      <c r="HU126" s="52">
        <v>9.2301549999999999</v>
      </c>
      <c r="HV126" s="52">
        <v>9.2301549999999999</v>
      </c>
      <c r="HW126" s="52">
        <v>9.2301549999999999</v>
      </c>
      <c r="HX126" s="52">
        <v>9.2301549999999999</v>
      </c>
      <c r="HY126" s="52">
        <v>9.2301549999999999</v>
      </c>
      <c r="HZ126" s="52">
        <v>9.2301549999999999</v>
      </c>
      <c r="IA126" s="52">
        <v>9.2301549999999999</v>
      </c>
      <c r="IB126" s="52">
        <v>9.2301549999999999</v>
      </c>
      <c r="IC126" s="52">
        <v>9.2301549999999999</v>
      </c>
      <c r="ID126" s="52">
        <v>9.2301549999999999</v>
      </c>
      <c r="IE126" s="52">
        <v>9.2301549999999999</v>
      </c>
      <c r="IF126" s="52">
        <v>9.2301549999999999</v>
      </c>
      <c r="IG126" s="52">
        <v>9.2301549999999999</v>
      </c>
      <c r="IH126" s="52">
        <v>9.2301549999999999</v>
      </c>
      <c r="II126" s="52">
        <v>9.2301549999999999</v>
      </c>
      <c r="IJ126" s="52">
        <v>9.2301549999999999</v>
      </c>
      <c r="IK126" s="52">
        <v>9.2301549999999999</v>
      </c>
      <c r="IL126" s="52">
        <v>9.2301549999999999</v>
      </c>
      <c r="IM126" s="52">
        <v>9.2301549999999999</v>
      </c>
      <c r="IN126" s="52">
        <v>9.2301549999999999</v>
      </c>
      <c r="IO126" s="52">
        <v>9.2301549999999999</v>
      </c>
      <c r="IP126" s="52">
        <v>9.2301549999999999</v>
      </c>
      <c r="IQ126" s="52">
        <v>9.2301549999999999</v>
      </c>
      <c r="IR126" s="52">
        <v>9.2301549999999999</v>
      </c>
      <c r="IS126" s="52">
        <v>9.2301549999999999</v>
      </c>
      <c r="IT126" s="52">
        <v>9.2301549999999999</v>
      </c>
      <c r="IU126" s="52">
        <v>9.2301549999999999</v>
      </c>
      <c r="IV126" s="52">
        <v>9.2301549999999999</v>
      </c>
      <c r="IW126" s="52">
        <v>9.2301549999999999</v>
      </c>
      <c r="IX126" s="52">
        <v>9.2301549999999999</v>
      </c>
      <c r="IY126" s="52">
        <v>9.2301549999999999</v>
      </c>
      <c r="IZ126" s="52">
        <v>9.2301549999999999</v>
      </c>
      <c r="JA126" s="52">
        <v>9.2301549999999999</v>
      </c>
      <c r="JB126" s="52">
        <v>9.2301549999999999</v>
      </c>
      <c r="JC126" s="52">
        <v>9.2301549999999999</v>
      </c>
      <c r="JD126" s="52">
        <v>9.2301549999999999</v>
      </c>
      <c r="JE126" s="52">
        <v>9.2301549999999999</v>
      </c>
      <c r="JF126" s="52">
        <v>9.2301549999999999</v>
      </c>
      <c r="JG126" s="52">
        <v>9.2301549999999999</v>
      </c>
      <c r="JH126" s="52">
        <v>9.2301549999999999</v>
      </c>
      <c r="JI126" s="52">
        <v>9.2301549999999999</v>
      </c>
      <c r="JJ126" s="52">
        <v>9.2301549999999999</v>
      </c>
      <c r="JK126" s="52">
        <v>9.2301549999999999</v>
      </c>
      <c r="JL126" s="52">
        <v>9.2301549999999999</v>
      </c>
      <c r="JM126" s="52">
        <v>9.2301549999999999</v>
      </c>
      <c r="JN126" s="52">
        <v>9.2301549999999999</v>
      </c>
      <c r="JO126" s="52">
        <v>9.2301549999999999</v>
      </c>
      <c r="JP126" s="52">
        <v>9.2301549999999999</v>
      </c>
      <c r="JQ126" s="52">
        <v>9.2301549999999999</v>
      </c>
      <c r="JR126" s="52">
        <v>9.2301549999999999</v>
      </c>
      <c r="JS126" s="52">
        <v>9.2301549999999999</v>
      </c>
      <c r="JT126" s="52">
        <v>9.2301549999999999</v>
      </c>
      <c r="JU126" s="52">
        <v>9.2301549999999999</v>
      </c>
      <c r="JV126" s="52">
        <v>9.2301549999999999</v>
      </c>
      <c r="JW126" s="52">
        <v>9.2301549999999999</v>
      </c>
      <c r="JX126" s="52">
        <v>9.2301549999999999</v>
      </c>
      <c r="JY126" s="52">
        <v>9.2301549999999999</v>
      </c>
      <c r="JZ126" s="52">
        <v>9.2301549999999999</v>
      </c>
      <c r="KA126" s="52">
        <v>9.2301549999999999</v>
      </c>
      <c r="KB126" s="52">
        <v>9.2301549999999999</v>
      </c>
      <c r="KC126" s="52">
        <v>9.2301549999999999</v>
      </c>
      <c r="KD126" s="52">
        <v>9.2301549999999999</v>
      </c>
      <c r="KE126" s="52">
        <v>9.2301549999999999</v>
      </c>
      <c r="KF126" s="52">
        <v>9.2301549999999999</v>
      </c>
      <c r="KG126" s="52">
        <v>9.2301549999999999</v>
      </c>
      <c r="KH126" s="52">
        <v>9.2301549999999999</v>
      </c>
      <c r="KI126" s="52">
        <v>9.2301549999999999</v>
      </c>
      <c r="KJ126" s="52">
        <v>9.2301549999999999</v>
      </c>
      <c r="KK126" s="52">
        <v>9.2301549999999999</v>
      </c>
      <c r="KL126" s="52">
        <v>9.2301549999999999</v>
      </c>
      <c r="KM126" s="52">
        <v>9.2301549999999999</v>
      </c>
      <c r="KN126" s="52">
        <v>9.2301549999999999</v>
      </c>
      <c r="KO126" s="52">
        <v>9.2301549999999999</v>
      </c>
      <c r="KP126" s="52">
        <v>9.2301549999999999</v>
      </c>
      <c r="KQ126" s="52">
        <v>9.2301549999999999</v>
      </c>
      <c r="KR126" s="52">
        <v>9.2301549999999999</v>
      </c>
      <c r="KS126" s="52">
        <v>9.2301549999999999</v>
      </c>
      <c r="KT126" s="52">
        <v>9.2301549999999999</v>
      </c>
      <c r="KU126" s="52">
        <v>9.2301549999999999</v>
      </c>
      <c r="KV126" s="52">
        <v>9.2301549999999999</v>
      </c>
      <c r="KW126" s="52">
        <v>9.2301549999999999</v>
      </c>
      <c r="KX126" s="52">
        <v>9.2301549999999999</v>
      </c>
      <c r="KY126" s="52">
        <v>9.2301549999999999</v>
      </c>
      <c r="KZ126" s="52">
        <v>9.2301549999999999</v>
      </c>
      <c r="LA126" s="37">
        <v>9.2301549999999999</v>
      </c>
      <c r="LB126" s="37">
        <v>9.2301549999999999</v>
      </c>
      <c r="LC126" s="37">
        <v>9.2301549999999999</v>
      </c>
      <c r="LD126" s="37">
        <v>9.2301549999999999</v>
      </c>
      <c r="LE126" s="37">
        <v>9.2301549999999999</v>
      </c>
      <c r="LF126" s="37">
        <v>9.2301549999999999</v>
      </c>
      <c r="LG126" s="37">
        <v>9.2301549999999999</v>
      </c>
      <c r="LH126" s="37">
        <v>9.2301549999999999</v>
      </c>
      <c r="LI126" s="37">
        <v>9.2301549999999999</v>
      </c>
      <c r="LJ126" s="37">
        <v>9.2301549999999999</v>
      </c>
      <c r="LK126" s="37">
        <v>9.2301549999999999</v>
      </c>
      <c r="LL126" s="37">
        <v>9.2301549999999999</v>
      </c>
      <c r="LM126" s="37">
        <v>9.2301549999999999</v>
      </c>
      <c r="LN126" s="37">
        <v>9.2301549999999999</v>
      </c>
      <c r="LO126" s="37">
        <v>9.2301549999999999</v>
      </c>
      <c r="LP126" s="37">
        <v>9.2301549999999999</v>
      </c>
      <c r="LQ126" s="37">
        <v>9.2301549999999999</v>
      </c>
      <c r="LR126" s="37">
        <v>9.2301549999999999</v>
      </c>
      <c r="LS126" s="37">
        <v>9.2301549999999999</v>
      </c>
      <c r="LT126" s="37">
        <v>9.2301549999999999</v>
      </c>
      <c r="LU126" s="37">
        <v>9.2301549999999999</v>
      </c>
      <c r="LV126" s="37">
        <v>9.2301549999999999</v>
      </c>
      <c r="LW126" s="37">
        <v>9.2301549999999999</v>
      </c>
      <c r="LX126" s="37">
        <v>9.2301549999999999</v>
      </c>
      <c r="LY126" s="37">
        <v>9.2301549999999999</v>
      </c>
      <c r="LZ126" s="37">
        <v>9.2301549999999999</v>
      </c>
      <c r="MA126" s="37">
        <v>9.2301549999999999</v>
      </c>
      <c r="MB126" s="37">
        <v>9.2301549999999999</v>
      </c>
      <c r="MC126" s="37">
        <v>9.2301549999999999</v>
      </c>
      <c r="MD126" s="37">
        <v>9.2301549999999999</v>
      </c>
      <c r="ME126" s="37">
        <v>9.2301549999999999</v>
      </c>
      <c r="MF126" s="37">
        <v>9.2301549999999999</v>
      </c>
      <c r="MG126" s="37">
        <v>9.2301549999999999</v>
      </c>
      <c r="MH126" s="37">
        <v>9.2301549999999999</v>
      </c>
      <c r="MI126" s="37">
        <v>9.2301549999999999</v>
      </c>
      <c r="MJ126" s="37">
        <v>9.2301549999999999</v>
      </c>
      <c r="MK126" s="37">
        <v>9.2301549999999999</v>
      </c>
      <c r="ML126" s="37">
        <v>9.2301549999999999</v>
      </c>
      <c r="MM126" s="37">
        <v>9.2301549999999999</v>
      </c>
      <c r="MN126" s="37">
        <v>9.2301549999999999</v>
      </c>
      <c r="MO126" s="37">
        <v>9.2301549999999999</v>
      </c>
      <c r="MP126" s="37">
        <v>9.2301549999999999</v>
      </c>
      <c r="MQ126" s="37">
        <v>9.2301549999999999</v>
      </c>
      <c r="MR126" s="37">
        <v>9.2301549999999999</v>
      </c>
      <c r="MS126" s="37">
        <v>9.2301549999999999</v>
      </c>
      <c r="MT126" s="37">
        <v>9.2301549999999999</v>
      </c>
      <c r="MU126" s="37">
        <v>9.2301549999999999</v>
      </c>
      <c r="MV126" s="37">
        <v>9.2301549999999999</v>
      </c>
      <c r="MW126" s="37">
        <v>9.2301549999999999</v>
      </c>
      <c r="MX126" s="37">
        <v>9.2301549999999999</v>
      </c>
      <c r="MY126" s="37">
        <v>9.2301549999999999</v>
      </c>
      <c r="MZ126" s="37">
        <v>9.2301549999999999</v>
      </c>
      <c r="NA126" s="37">
        <v>9.2301549999999999</v>
      </c>
      <c r="NB126" s="37">
        <v>9.2301549999999999</v>
      </c>
      <c r="NC126" s="37">
        <v>10.007580000000001</v>
      </c>
      <c r="ND126" s="37">
        <v>0</v>
      </c>
    </row>
    <row r="127" spans="1:372" x14ac:dyDescent="0.2">
      <c r="A127" s="37">
        <v>125</v>
      </c>
      <c r="B127" s="37" t="s">
        <v>1093</v>
      </c>
      <c r="C127" s="17">
        <f>+'Detalle Compras'!D127</f>
        <v>20231228692</v>
      </c>
      <c r="D127" s="55">
        <f t="shared" si="16"/>
        <v>5.8185890000000002</v>
      </c>
      <c r="E127" s="14">
        <f>+IF(B127="","",'Detalle Compras'!S127+0)</f>
        <v>45483</v>
      </c>
      <c r="F127" s="14">
        <f>+IF(B127="","",EOMONTH('Detalle Compras'!Q127,G127)+10)</f>
        <v>10846</v>
      </c>
      <c r="G127" s="50">
        <f t="shared" si="17"/>
        <v>355</v>
      </c>
      <c r="H127" s="50">
        <f t="shared" si="18"/>
        <v>337</v>
      </c>
      <c r="I127" s="37">
        <v>0</v>
      </c>
      <c r="J127" s="37">
        <v>0</v>
      </c>
      <c r="K127" s="37">
        <v>0</v>
      </c>
      <c r="L127" s="37">
        <v>0</v>
      </c>
      <c r="M127" s="37">
        <v>5.8185890000000002</v>
      </c>
      <c r="N127" s="37">
        <v>5.8185890000000002</v>
      </c>
      <c r="O127" s="37">
        <v>5.8185890000000002</v>
      </c>
      <c r="P127" s="37">
        <v>5.8185890000000002</v>
      </c>
      <c r="Q127" s="37">
        <v>5.8185890000000002</v>
      </c>
      <c r="R127" s="37">
        <v>5.8185890000000002</v>
      </c>
      <c r="S127" s="37">
        <v>5.8185890000000002</v>
      </c>
      <c r="T127" s="37">
        <v>5.8185890000000002</v>
      </c>
      <c r="U127" s="37">
        <v>5.8185890000000002</v>
      </c>
      <c r="V127" s="37">
        <v>5.8185890000000002</v>
      </c>
      <c r="W127" s="37">
        <v>5.8185890000000002</v>
      </c>
      <c r="X127" s="37">
        <v>5.8185890000000002</v>
      </c>
      <c r="Y127" s="37">
        <v>5.8185890000000002</v>
      </c>
      <c r="Z127" s="37">
        <v>5.8185890000000002</v>
      </c>
      <c r="AA127" s="37">
        <v>5.8185890000000002</v>
      </c>
      <c r="AB127" s="37">
        <v>5.8185890000000002</v>
      </c>
      <c r="AC127" s="37">
        <v>5.8185890000000002</v>
      </c>
      <c r="AD127" s="37">
        <v>5.8185890000000002</v>
      </c>
      <c r="AE127" s="37">
        <v>5.8185890000000002</v>
      </c>
      <c r="AF127" s="37">
        <v>5.8185890000000002</v>
      </c>
      <c r="AG127" s="37">
        <v>5.8185890000000002</v>
      </c>
      <c r="AH127" s="37">
        <v>5.8185890000000002</v>
      </c>
      <c r="AI127" s="37">
        <v>5.8185890000000002</v>
      </c>
      <c r="AJ127" s="37">
        <v>5.8185890000000002</v>
      </c>
      <c r="AK127" s="37">
        <v>5.8185890000000002</v>
      </c>
      <c r="AL127" s="37">
        <v>5.8185890000000002</v>
      </c>
      <c r="AM127" s="37">
        <v>5.8185890000000002</v>
      </c>
      <c r="AN127" s="37">
        <v>5.8185890000000002</v>
      </c>
      <c r="AO127" s="37">
        <v>5.8185890000000002</v>
      </c>
      <c r="AP127" s="37">
        <v>5.8185890000000002</v>
      </c>
      <c r="AQ127" s="37">
        <v>5.8185890000000002</v>
      </c>
      <c r="AR127" s="37">
        <v>5.8185890000000002</v>
      </c>
      <c r="AS127" s="37">
        <v>5.8185890000000002</v>
      </c>
      <c r="AT127" s="37">
        <v>5.8185890000000002</v>
      </c>
      <c r="AU127" s="37">
        <v>5.8185890000000002</v>
      </c>
      <c r="AV127" s="37">
        <v>5.8185890000000002</v>
      </c>
      <c r="AW127" s="37">
        <v>5.8185890000000002</v>
      </c>
      <c r="AX127" s="37">
        <v>5.8185890000000002</v>
      </c>
      <c r="AY127" s="37">
        <v>5.8185890000000002</v>
      </c>
      <c r="AZ127" s="37">
        <v>5.8185890000000002</v>
      </c>
      <c r="BA127" s="37">
        <v>5.8185890000000002</v>
      </c>
      <c r="BB127" s="37">
        <v>5.8185890000000002</v>
      </c>
      <c r="BC127" s="37">
        <v>5.8185890000000002</v>
      </c>
      <c r="BD127" s="37">
        <v>5.8185890000000002</v>
      </c>
      <c r="BE127" s="37">
        <v>5.8185890000000002</v>
      </c>
      <c r="BF127" s="37">
        <v>5.8185890000000002</v>
      </c>
      <c r="BG127" s="37">
        <v>5.8185890000000002</v>
      </c>
      <c r="BH127" s="37">
        <v>5.8185890000000002</v>
      </c>
      <c r="BI127" s="37">
        <v>5.8185890000000002</v>
      </c>
      <c r="BJ127" s="37">
        <v>5.8185890000000002</v>
      </c>
      <c r="BK127" s="37">
        <v>5.8185890000000002</v>
      </c>
      <c r="BL127" s="37">
        <v>5.8185890000000002</v>
      </c>
      <c r="BM127" s="37">
        <v>5.8185890000000002</v>
      </c>
      <c r="BN127" s="37">
        <v>5.8185890000000002</v>
      </c>
      <c r="BO127" s="37">
        <v>5.8185890000000002</v>
      </c>
      <c r="BP127" s="37">
        <v>5.8185890000000002</v>
      </c>
      <c r="BQ127" s="37">
        <v>5.8185890000000002</v>
      </c>
      <c r="BR127" s="37">
        <v>5.8185890000000002</v>
      </c>
      <c r="BS127" s="37">
        <v>5.8185890000000002</v>
      </c>
      <c r="BT127" s="37">
        <v>5.8185890000000002</v>
      </c>
      <c r="BU127" s="37">
        <v>5.8185890000000002</v>
      </c>
      <c r="BV127" s="37">
        <v>5.8185890000000002</v>
      </c>
      <c r="BW127" s="37">
        <v>5.8185890000000002</v>
      </c>
      <c r="BX127" s="37">
        <v>5.8185890000000002</v>
      </c>
      <c r="BY127" s="37">
        <v>5.8185890000000002</v>
      </c>
      <c r="BZ127" s="37">
        <v>5.8185890000000002</v>
      </c>
      <c r="CA127" s="37">
        <v>5.8185890000000002</v>
      </c>
      <c r="CB127" s="37">
        <v>5.8185890000000002</v>
      </c>
      <c r="CC127" s="37">
        <v>5.8185890000000002</v>
      </c>
      <c r="CD127" s="37">
        <v>5.8185890000000002</v>
      </c>
      <c r="CE127" s="37">
        <v>5.8185890000000002</v>
      </c>
      <c r="CF127" s="37">
        <v>5.8185890000000002</v>
      </c>
      <c r="CG127" s="37">
        <v>5.8185890000000002</v>
      </c>
      <c r="CH127" s="37">
        <v>5.8185890000000002</v>
      </c>
      <c r="CI127" s="37">
        <v>5.8185890000000002</v>
      </c>
      <c r="CJ127" s="37">
        <v>5.8185890000000002</v>
      </c>
      <c r="CK127" s="37">
        <v>5.8185890000000002</v>
      </c>
      <c r="CL127" s="37">
        <v>5.8185890000000002</v>
      </c>
      <c r="CM127" s="37">
        <v>5.8185890000000002</v>
      </c>
      <c r="CN127" s="37">
        <v>5.8185890000000002</v>
      </c>
      <c r="CO127" s="37">
        <v>5.8185890000000002</v>
      </c>
      <c r="CP127" s="37">
        <v>5.8185890000000002</v>
      </c>
      <c r="CQ127" s="37">
        <v>5.8185890000000002</v>
      </c>
      <c r="CR127" s="37">
        <v>5.8185890000000002</v>
      </c>
      <c r="CS127" s="37">
        <v>5.8185890000000002</v>
      </c>
      <c r="CT127" s="37">
        <v>5.8185890000000002</v>
      </c>
      <c r="CU127" s="37">
        <v>5.8185890000000002</v>
      </c>
      <c r="CV127" s="37">
        <v>5.8185890000000002</v>
      </c>
      <c r="CW127" s="37">
        <v>5.8185890000000002</v>
      </c>
      <c r="CX127" s="37">
        <v>5.8185890000000002</v>
      </c>
      <c r="CY127" s="37">
        <v>5.8185890000000002</v>
      </c>
      <c r="CZ127" s="37">
        <v>5.8185890000000002</v>
      </c>
      <c r="DA127" s="37">
        <v>5.8185890000000002</v>
      </c>
      <c r="DB127" s="37">
        <v>5.8185890000000002</v>
      </c>
      <c r="DC127" s="37">
        <v>5.8185890000000002</v>
      </c>
      <c r="DD127" s="37">
        <v>5.8185890000000002</v>
      </c>
      <c r="DE127" s="37">
        <v>5.8185890000000002</v>
      </c>
      <c r="DF127" s="37">
        <v>5.8185890000000002</v>
      </c>
      <c r="DG127" s="37">
        <v>5.8185890000000002</v>
      </c>
      <c r="DH127" s="37">
        <v>5.8185890000000002</v>
      </c>
      <c r="DI127" s="37">
        <v>5.8185890000000002</v>
      </c>
      <c r="DJ127" s="37">
        <v>5.8185890000000002</v>
      </c>
      <c r="DK127" s="37">
        <v>5.8185890000000002</v>
      </c>
      <c r="DL127" s="37">
        <v>5.8185890000000002</v>
      </c>
      <c r="DM127" s="37">
        <v>5.8185890000000002</v>
      </c>
      <c r="DN127" s="37">
        <v>5.8185890000000002</v>
      </c>
      <c r="DO127" s="37">
        <v>5.8185890000000002</v>
      </c>
      <c r="DP127" s="37">
        <v>5.8185890000000002</v>
      </c>
      <c r="DQ127" s="37">
        <v>5.8185890000000002</v>
      </c>
      <c r="DR127" s="37">
        <v>5.8185890000000002</v>
      </c>
      <c r="DS127" s="37">
        <v>5.8185890000000002</v>
      </c>
      <c r="DT127" s="37">
        <v>5.8185890000000002</v>
      </c>
      <c r="DU127" s="37">
        <v>5.8185890000000002</v>
      </c>
      <c r="DV127" s="37">
        <v>5.8185890000000002</v>
      </c>
      <c r="DW127" s="37">
        <v>5.8185890000000002</v>
      </c>
      <c r="DX127" s="37">
        <v>5.8185890000000002</v>
      </c>
      <c r="DY127" s="37">
        <v>5.8185890000000002</v>
      </c>
      <c r="DZ127" s="37">
        <v>5.8185890000000002</v>
      </c>
      <c r="EA127" s="37">
        <v>5.8185890000000002</v>
      </c>
      <c r="EB127" s="37">
        <v>5.8185890000000002</v>
      </c>
      <c r="EC127" s="37">
        <v>5.8185890000000002</v>
      </c>
      <c r="ED127" s="37">
        <v>5.8185890000000002</v>
      </c>
      <c r="EE127" s="37">
        <v>5.8185890000000002</v>
      </c>
      <c r="EF127" s="37">
        <v>5.8185890000000002</v>
      </c>
      <c r="EG127" s="37">
        <v>5.8185890000000002</v>
      </c>
      <c r="EH127" s="37">
        <v>5.8185890000000002</v>
      </c>
      <c r="EI127" s="37">
        <v>5.8185890000000002</v>
      </c>
      <c r="EJ127" s="37">
        <v>5.8185890000000002</v>
      </c>
      <c r="EK127" s="37">
        <v>5.8185890000000002</v>
      </c>
      <c r="EL127" s="37">
        <v>5.8185890000000002</v>
      </c>
      <c r="EM127" s="37">
        <v>5.8185890000000002</v>
      </c>
      <c r="EN127" s="37">
        <v>5.8185890000000002</v>
      </c>
      <c r="EO127" s="37">
        <v>5.8185890000000002</v>
      </c>
      <c r="EP127" s="37">
        <v>5.8185890000000002</v>
      </c>
      <c r="EQ127" s="37">
        <v>5.8185890000000002</v>
      </c>
      <c r="ER127" s="37">
        <v>5.8185890000000002</v>
      </c>
      <c r="ES127" s="37">
        <v>5.8185890000000002</v>
      </c>
      <c r="ET127" s="37">
        <v>5.8185890000000002</v>
      </c>
      <c r="EU127" s="37">
        <v>5.8185890000000002</v>
      </c>
      <c r="EV127" s="37">
        <v>5.8185890000000002</v>
      </c>
      <c r="EW127" s="37">
        <v>5.8185890000000002</v>
      </c>
      <c r="EX127" s="37">
        <v>5.8185890000000002</v>
      </c>
      <c r="EY127" s="37">
        <v>5.8185890000000002</v>
      </c>
      <c r="EZ127" s="37">
        <v>5.8185890000000002</v>
      </c>
      <c r="FA127" s="37">
        <v>5.8185890000000002</v>
      </c>
      <c r="FB127" s="37">
        <v>5.8185890000000002</v>
      </c>
      <c r="FC127" s="37">
        <v>5.8185890000000002</v>
      </c>
      <c r="FD127" s="37">
        <v>5.8185890000000002</v>
      </c>
      <c r="FE127" s="37">
        <v>5.8185890000000002</v>
      </c>
      <c r="FF127" s="37">
        <v>5.8185890000000002</v>
      </c>
      <c r="FG127" s="37">
        <v>5.8185890000000002</v>
      </c>
      <c r="FH127" s="37">
        <v>5.8185890000000002</v>
      </c>
      <c r="FI127" s="37">
        <v>5.8185890000000002</v>
      </c>
      <c r="FJ127" s="37">
        <v>5.8185890000000002</v>
      </c>
      <c r="FK127" s="37">
        <v>5.8185890000000002</v>
      </c>
      <c r="FL127" s="37">
        <v>5.8185890000000002</v>
      </c>
      <c r="FM127" s="37">
        <v>5.8185890000000002</v>
      </c>
      <c r="FN127" s="37">
        <v>5.8185890000000002</v>
      </c>
      <c r="FO127" s="37">
        <v>5.8185890000000002</v>
      </c>
      <c r="FP127" s="37">
        <v>5.8185890000000002</v>
      </c>
      <c r="FQ127" s="37">
        <v>5.8185890000000002</v>
      </c>
      <c r="FR127" s="37">
        <v>5.8185890000000002</v>
      </c>
      <c r="FS127" s="37">
        <v>5.8185890000000002</v>
      </c>
      <c r="FT127" s="37">
        <v>5.8185890000000002</v>
      </c>
      <c r="FU127" s="37">
        <v>5.8185890000000002</v>
      </c>
      <c r="FV127" s="37">
        <v>5.8185890000000002</v>
      </c>
      <c r="FW127" s="37">
        <v>5.8185890000000002</v>
      </c>
      <c r="FX127" s="37">
        <v>5.8185890000000002</v>
      </c>
      <c r="FY127" s="37">
        <v>5.8185890000000002</v>
      </c>
      <c r="FZ127" s="37">
        <v>5.8185890000000002</v>
      </c>
      <c r="GA127" s="37">
        <v>5.8185890000000002</v>
      </c>
      <c r="GB127" s="37">
        <v>5.8185890000000002</v>
      </c>
      <c r="GC127" s="37">
        <v>5.8185890000000002</v>
      </c>
      <c r="GD127" s="37">
        <v>5.8185890000000002</v>
      </c>
      <c r="GE127" s="37">
        <v>5.8185890000000002</v>
      </c>
      <c r="GF127" s="37">
        <v>5.8185890000000002</v>
      </c>
      <c r="GG127" s="37">
        <v>5.8185890000000002</v>
      </c>
      <c r="GH127" s="37">
        <v>5.8185890000000002</v>
      </c>
      <c r="GI127" s="37">
        <v>5.8185890000000002</v>
      </c>
      <c r="GJ127" s="37">
        <v>5.8185890000000002</v>
      </c>
      <c r="GK127" s="37">
        <v>5.8185890000000002</v>
      </c>
      <c r="GL127" s="37">
        <v>5.8185890000000002</v>
      </c>
      <c r="GM127" s="37">
        <v>5.8185890000000002</v>
      </c>
      <c r="GN127" s="37">
        <v>5.8185890000000002</v>
      </c>
      <c r="GO127" s="37">
        <v>5.8185890000000002</v>
      </c>
      <c r="GP127" s="37">
        <v>5.8185890000000002</v>
      </c>
      <c r="GQ127" s="37">
        <v>5.8185890000000002</v>
      </c>
      <c r="GR127" s="37">
        <v>5.8185890000000002</v>
      </c>
      <c r="GS127" s="37">
        <v>5.8185890000000002</v>
      </c>
      <c r="GT127" s="37">
        <v>5.8185890000000002</v>
      </c>
      <c r="GU127" s="37">
        <v>5.8185890000000002</v>
      </c>
      <c r="GV127" s="37">
        <v>5.8185890000000002</v>
      </c>
      <c r="GW127" s="37">
        <v>5.8185890000000002</v>
      </c>
      <c r="GX127" s="37">
        <v>5.8185890000000002</v>
      </c>
      <c r="GY127" s="37">
        <v>5.8185890000000002</v>
      </c>
      <c r="GZ127" s="37">
        <v>5.8185890000000002</v>
      </c>
      <c r="HA127" s="37">
        <v>5.8185890000000002</v>
      </c>
      <c r="HB127" s="37">
        <v>5.8185890000000002</v>
      </c>
      <c r="HC127" s="37">
        <v>5.8185890000000002</v>
      </c>
      <c r="HD127" s="37">
        <v>5.8185890000000002</v>
      </c>
      <c r="HE127" s="37">
        <v>5.8185890000000002</v>
      </c>
      <c r="HF127" s="37">
        <v>5.8185890000000002</v>
      </c>
      <c r="HG127" s="37">
        <v>5.8185890000000002</v>
      </c>
      <c r="HH127" s="37">
        <v>5.8185890000000002</v>
      </c>
      <c r="HI127" s="37">
        <v>5.8185890000000002</v>
      </c>
      <c r="HJ127" s="37">
        <v>5.8185890000000002</v>
      </c>
      <c r="HK127" s="37">
        <v>5.8185890000000002</v>
      </c>
      <c r="HL127" s="37">
        <v>5.8185890000000002</v>
      </c>
      <c r="HM127" s="37">
        <v>5.8185890000000002</v>
      </c>
      <c r="HN127" s="37">
        <v>5.8185890000000002</v>
      </c>
      <c r="HO127" s="37">
        <v>5.8185890000000002</v>
      </c>
      <c r="HP127" s="37">
        <v>5.8185890000000002</v>
      </c>
      <c r="HQ127" s="37">
        <v>5.8185890000000002</v>
      </c>
      <c r="HR127" s="37">
        <v>5.8185890000000002</v>
      </c>
      <c r="HS127" s="37">
        <v>5.8185890000000002</v>
      </c>
      <c r="HT127" s="37">
        <v>5.8185890000000002</v>
      </c>
      <c r="HU127" s="37">
        <v>5.8185890000000002</v>
      </c>
      <c r="HV127" s="37">
        <v>5.8185890000000002</v>
      </c>
      <c r="HW127" s="37">
        <v>5.8185890000000002</v>
      </c>
      <c r="HX127" s="37">
        <v>5.8185890000000002</v>
      </c>
      <c r="HY127" s="37">
        <v>5.8185890000000002</v>
      </c>
      <c r="HZ127" s="37">
        <v>5.8185890000000002</v>
      </c>
      <c r="IA127" s="37">
        <v>5.8185890000000002</v>
      </c>
      <c r="IB127" s="37">
        <v>5.8185890000000002</v>
      </c>
      <c r="IC127" s="37">
        <v>5.8185890000000002</v>
      </c>
      <c r="ID127" s="37">
        <v>5.8185890000000002</v>
      </c>
      <c r="IE127" s="37">
        <v>5.8185890000000002</v>
      </c>
      <c r="IF127" s="37">
        <v>5.8185890000000002</v>
      </c>
      <c r="IG127" s="37">
        <v>5.8185890000000002</v>
      </c>
      <c r="IH127" s="37">
        <v>5.8185890000000002</v>
      </c>
      <c r="II127" s="37">
        <v>5.8185890000000002</v>
      </c>
      <c r="IJ127" s="37">
        <v>5.8185890000000002</v>
      </c>
      <c r="IK127" s="37">
        <v>5.8185890000000002</v>
      </c>
      <c r="IL127" s="37">
        <v>5.8185890000000002</v>
      </c>
      <c r="IM127" s="37">
        <v>5.8185890000000002</v>
      </c>
      <c r="IN127" s="37">
        <v>5.8185890000000002</v>
      </c>
      <c r="IO127" s="37">
        <v>5.8185890000000002</v>
      </c>
      <c r="IP127" s="37">
        <v>5.8185890000000002</v>
      </c>
      <c r="IQ127" s="37">
        <v>5.8185890000000002</v>
      </c>
      <c r="IR127" s="37">
        <v>5.8185890000000002</v>
      </c>
      <c r="IS127" s="37">
        <v>5.8185890000000002</v>
      </c>
      <c r="IT127" s="37">
        <v>5.8185890000000002</v>
      </c>
      <c r="IU127" s="37">
        <v>5.8185890000000002</v>
      </c>
      <c r="IV127" s="37">
        <v>5.8185890000000002</v>
      </c>
      <c r="IW127" s="37">
        <v>5.8185890000000002</v>
      </c>
      <c r="IX127" s="37">
        <v>5.8185890000000002</v>
      </c>
      <c r="IY127" s="37">
        <v>5.8185890000000002</v>
      </c>
      <c r="IZ127" s="37">
        <v>5.8185890000000002</v>
      </c>
      <c r="JA127" s="37">
        <v>5.8185890000000002</v>
      </c>
      <c r="JB127" s="37">
        <v>5.8185890000000002</v>
      </c>
      <c r="JC127" s="37">
        <v>5.8185890000000002</v>
      </c>
      <c r="JD127" s="37">
        <v>5.8185890000000002</v>
      </c>
      <c r="JE127" s="37">
        <v>5.8185890000000002</v>
      </c>
      <c r="JF127" s="37">
        <v>5.8185890000000002</v>
      </c>
      <c r="JG127" s="37">
        <v>5.8185890000000002</v>
      </c>
      <c r="JH127" s="37">
        <v>5.8185890000000002</v>
      </c>
      <c r="JI127" s="37">
        <v>5.8185890000000002</v>
      </c>
      <c r="JJ127" s="37">
        <v>5.8185890000000002</v>
      </c>
      <c r="JK127" s="37">
        <v>5.8185890000000002</v>
      </c>
      <c r="JL127" s="37">
        <v>5.8185890000000002</v>
      </c>
      <c r="JM127" s="37">
        <v>5.8185890000000002</v>
      </c>
      <c r="JN127" s="37">
        <v>5.8185890000000002</v>
      </c>
      <c r="JO127" s="37">
        <v>5.8185890000000002</v>
      </c>
      <c r="JP127" s="37">
        <v>5.8185890000000002</v>
      </c>
      <c r="JQ127" s="37">
        <v>5.8185890000000002</v>
      </c>
      <c r="JR127" s="37">
        <v>5.8185890000000002</v>
      </c>
      <c r="JS127" s="37">
        <v>5.8185890000000002</v>
      </c>
      <c r="JT127" s="37">
        <v>5.8185890000000002</v>
      </c>
      <c r="JU127" s="37">
        <v>5.8185890000000002</v>
      </c>
      <c r="JV127" s="37">
        <v>5.8185890000000002</v>
      </c>
      <c r="JW127" s="37">
        <v>5.8185890000000002</v>
      </c>
      <c r="JX127" s="37">
        <v>5.8185890000000002</v>
      </c>
      <c r="JY127" s="37">
        <v>5.8185890000000002</v>
      </c>
      <c r="JZ127" s="37">
        <v>5.8185890000000002</v>
      </c>
      <c r="KA127" s="37">
        <v>5.8185890000000002</v>
      </c>
      <c r="KB127" s="37">
        <v>5.8185890000000002</v>
      </c>
      <c r="KC127" s="37">
        <v>5.8185890000000002</v>
      </c>
      <c r="KD127" s="37">
        <v>5.8185890000000002</v>
      </c>
      <c r="KE127" s="37">
        <v>5.8185890000000002</v>
      </c>
      <c r="KF127" s="37">
        <v>5.8185890000000002</v>
      </c>
      <c r="KG127" s="37">
        <v>5.8185890000000002</v>
      </c>
      <c r="KH127" s="37">
        <v>5.8185890000000002</v>
      </c>
      <c r="KI127" s="37">
        <v>5.8185890000000002</v>
      </c>
      <c r="KJ127" s="37">
        <v>5.8185890000000002</v>
      </c>
      <c r="KK127" s="37">
        <v>5.8185890000000002</v>
      </c>
      <c r="KL127" s="37">
        <v>5.8185890000000002</v>
      </c>
      <c r="KM127" s="37">
        <v>5.8185890000000002</v>
      </c>
      <c r="KN127" s="37">
        <v>5.8185890000000002</v>
      </c>
      <c r="KO127" s="37">
        <v>5.8185890000000002</v>
      </c>
      <c r="KP127" s="37">
        <v>5.8185890000000002</v>
      </c>
      <c r="KQ127" s="37">
        <v>5.8185890000000002</v>
      </c>
      <c r="KR127" s="37">
        <v>5.8185890000000002</v>
      </c>
      <c r="KS127" s="37">
        <v>5.8185890000000002</v>
      </c>
      <c r="KT127" s="37">
        <v>5.8185890000000002</v>
      </c>
      <c r="KU127" s="37">
        <v>5.8185890000000002</v>
      </c>
      <c r="KV127" s="37">
        <v>5.8185890000000002</v>
      </c>
      <c r="KW127" s="37">
        <v>5.8185890000000002</v>
      </c>
      <c r="KX127" s="37">
        <v>5.8185890000000002</v>
      </c>
      <c r="KY127" s="37">
        <v>5.8185890000000002</v>
      </c>
      <c r="KZ127" s="37">
        <v>5.8185890000000002</v>
      </c>
      <c r="LA127" s="37">
        <v>5.8185890000000002</v>
      </c>
      <c r="LB127" s="37">
        <v>5.8185890000000002</v>
      </c>
      <c r="LC127" s="37">
        <v>5.8185890000000002</v>
      </c>
      <c r="LD127" s="37">
        <v>5.8185890000000002</v>
      </c>
      <c r="LE127" s="37">
        <v>5.8185890000000002</v>
      </c>
      <c r="LF127" s="37">
        <v>5.8185890000000002</v>
      </c>
      <c r="LG127" s="37">
        <v>5.8185890000000002</v>
      </c>
      <c r="LH127" s="37">
        <v>5.8185890000000002</v>
      </c>
      <c r="LI127" s="37">
        <v>5.8185890000000002</v>
      </c>
      <c r="LJ127" s="37">
        <v>5.8185890000000002</v>
      </c>
      <c r="LK127" s="37">
        <v>5.8185890000000002</v>
      </c>
      <c r="LL127" s="37">
        <v>5.8185890000000002</v>
      </c>
      <c r="LM127" s="37">
        <v>5.8185890000000002</v>
      </c>
      <c r="LN127" s="37">
        <v>5.8185890000000002</v>
      </c>
      <c r="LO127" s="37">
        <v>5.8185890000000002</v>
      </c>
      <c r="LP127" s="37">
        <v>5.8185890000000002</v>
      </c>
      <c r="LQ127" s="37">
        <v>5.8185890000000002</v>
      </c>
      <c r="LR127" s="37">
        <v>5.8185890000000002</v>
      </c>
      <c r="LS127" s="37">
        <v>5.8185890000000002</v>
      </c>
      <c r="LT127" s="37">
        <v>5.8185890000000002</v>
      </c>
      <c r="LU127" s="37">
        <v>5.8185890000000002</v>
      </c>
      <c r="LV127" s="37">
        <v>5.8185890000000002</v>
      </c>
      <c r="LW127" s="37">
        <v>5.8185890000000002</v>
      </c>
      <c r="LX127" s="37">
        <v>5.8185890000000002</v>
      </c>
      <c r="LY127" s="37">
        <v>5.8185890000000002</v>
      </c>
      <c r="LZ127" s="37">
        <v>5.8185890000000002</v>
      </c>
      <c r="MA127" s="37">
        <v>5.8185890000000002</v>
      </c>
      <c r="MB127" s="37">
        <v>5.8185890000000002</v>
      </c>
      <c r="MC127" s="37">
        <v>5.8185890000000002</v>
      </c>
      <c r="MD127" s="37">
        <v>5.8185890000000002</v>
      </c>
      <c r="ME127" s="37">
        <v>5.8185890000000002</v>
      </c>
      <c r="MF127" s="37">
        <v>5.8185890000000002</v>
      </c>
      <c r="MG127" s="37">
        <v>5.8185890000000002</v>
      </c>
      <c r="MH127" s="37">
        <v>5.8185890000000002</v>
      </c>
      <c r="MI127" s="37">
        <v>5.8185890000000002</v>
      </c>
      <c r="MJ127" s="37">
        <v>5.8185890000000002</v>
      </c>
      <c r="MK127" s="37">
        <v>5.8185890000000002</v>
      </c>
      <c r="ML127" s="37">
        <v>5.8185890000000002</v>
      </c>
      <c r="MM127" s="37">
        <v>5.8185890000000002</v>
      </c>
      <c r="MN127" s="37">
        <v>5.8185890000000002</v>
      </c>
      <c r="MO127" s="37">
        <v>5.8185890000000002</v>
      </c>
      <c r="MP127" s="37">
        <v>5.8185890000000002</v>
      </c>
      <c r="MQ127" s="37">
        <v>5.8185890000000002</v>
      </c>
      <c r="MR127" s="37">
        <v>5.8185890000000002</v>
      </c>
      <c r="MS127" s="37">
        <v>5.8185890000000002</v>
      </c>
      <c r="MT127" s="37">
        <v>5.8185890000000002</v>
      </c>
      <c r="MU127" s="37">
        <v>5.8185890000000002</v>
      </c>
      <c r="MV127" s="37">
        <v>5.8185890000000002</v>
      </c>
      <c r="MW127" s="37">
        <v>5.8185890000000002</v>
      </c>
      <c r="MX127" s="37">
        <v>5.8185890000000002</v>
      </c>
      <c r="MY127" s="37">
        <v>5.8185890000000002</v>
      </c>
      <c r="MZ127" s="37">
        <v>5.8185890000000002</v>
      </c>
      <c r="NA127" s="37">
        <v>5.8185890000000002</v>
      </c>
      <c r="NB127" s="37">
        <v>5.8185890000000002</v>
      </c>
      <c r="NC127" s="37">
        <v>6.3086690000000001</v>
      </c>
      <c r="ND127" s="37">
        <v>0</v>
      </c>
    </row>
    <row r="128" spans="1:372" x14ac:dyDescent="0.2">
      <c r="A128" s="37">
        <v>126</v>
      </c>
      <c r="B128" s="37" t="s">
        <v>1097</v>
      </c>
      <c r="C128" s="17">
        <f>+'Detalle Compras'!D128</f>
        <v>20231229697</v>
      </c>
      <c r="D128" s="55">
        <f t="shared" si="16"/>
        <v>7.2548300000000001</v>
      </c>
      <c r="E128" s="14">
        <f>+IF(B128="","",'Detalle Compras'!S128+0)</f>
        <v>45483</v>
      </c>
      <c r="F128" s="14">
        <f>+IF(B128="","",EOMONTH('Detalle Compras'!Q128,G128)+10)</f>
        <v>10846</v>
      </c>
      <c r="G128" s="50">
        <f t="shared" si="17"/>
        <v>355</v>
      </c>
      <c r="H128" s="50">
        <f t="shared" si="18"/>
        <v>337</v>
      </c>
      <c r="I128" s="37">
        <v>0</v>
      </c>
      <c r="J128" s="37">
        <v>0</v>
      </c>
      <c r="K128" s="37">
        <v>0</v>
      </c>
      <c r="L128" s="37">
        <v>0</v>
      </c>
      <c r="M128" s="37">
        <v>7.2548300000000001</v>
      </c>
      <c r="N128" s="37">
        <v>7.2548300000000001</v>
      </c>
      <c r="O128" s="37">
        <v>7.2548300000000001</v>
      </c>
      <c r="P128" s="37">
        <v>7.2548300000000001</v>
      </c>
      <c r="Q128" s="37">
        <v>7.2548300000000001</v>
      </c>
      <c r="R128" s="37">
        <v>7.2548300000000001</v>
      </c>
      <c r="S128" s="37">
        <v>7.2548300000000001</v>
      </c>
      <c r="T128" s="37">
        <v>7.2548300000000001</v>
      </c>
      <c r="U128" s="37">
        <v>7.2548300000000001</v>
      </c>
      <c r="V128" s="37">
        <v>7.2548300000000001</v>
      </c>
      <c r="W128" s="37">
        <v>7.2548300000000001</v>
      </c>
      <c r="X128" s="37">
        <v>7.2548300000000001</v>
      </c>
      <c r="Y128" s="37">
        <v>7.2548300000000001</v>
      </c>
      <c r="Z128" s="37">
        <v>7.2548300000000001</v>
      </c>
      <c r="AA128" s="37">
        <v>7.2548300000000001</v>
      </c>
      <c r="AB128" s="37">
        <v>7.2548300000000001</v>
      </c>
      <c r="AC128" s="37">
        <v>7.2548300000000001</v>
      </c>
      <c r="AD128" s="37">
        <v>7.2548300000000001</v>
      </c>
      <c r="AE128" s="37">
        <v>7.2548300000000001</v>
      </c>
      <c r="AF128" s="37">
        <v>7.2548300000000001</v>
      </c>
      <c r="AG128" s="37">
        <v>7.2548300000000001</v>
      </c>
      <c r="AH128" s="37">
        <v>7.2548300000000001</v>
      </c>
      <c r="AI128" s="37">
        <v>7.2548300000000001</v>
      </c>
      <c r="AJ128" s="37">
        <v>7.2548300000000001</v>
      </c>
      <c r="AK128" s="37">
        <v>7.2548300000000001</v>
      </c>
      <c r="AL128" s="37">
        <v>7.2548300000000001</v>
      </c>
      <c r="AM128" s="37">
        <v>7.2548300000000001</v>
      </c>
      <c r="AN128" s="37">
        <v>7.2548300000000001</v>
      </c>
      <c r="AO128" s="37">
        <v>7.2548300000000001</v>
      </c>
      <c r="AP128" s="37">
        <v>7.2548300000000001</v>
      </c>
      <c r="AQ128" s="37">
        <v>7.2548300000000001</v>
      </c>
      <c r="AR128" s="37">
        <v>7.2548300000000001</v>
      </c>
      <c r="AS128" s="37">
        <v>7.2548300000000001</v>
      </c>
      <c r="AT128" s="37">
        <v>7.2548300000000001</v>
      </c>
      <c r="AU128" s="37">
        <v>7.2548300000000001</v>
      </c>
      <c r="AV128" s="37">
        <v>7.2548300000000001</v>
      </c>
      <c r="AW128" s="37">
        <v>7.2548300000000001</v>
      </c>
      <c r="AX128" s="37">
        <v>7.2548300000000001</v>
      </c>
      <c r="AY128" s="37">
        <v>7.2548300000000001</v>
      </c>
      <c r="AZ128" s="37">
        <v>7.2548300000000001</v>
      </c>
      <c r="BA128" s="37">
        <v>7.2548300000000001</v>
      </c>
      <c r="BB128" s="37">
        <v>7.2548300000000001</v>
      </c>
      <c r="BC128" s="37">
        <v>7.2548300000000001</v>
      </c>
      <c r="BD128" s="37">
        <v>7.2548300000000001</v>
      </c>
      <c r="BE128" s="37">
        <v>7.2548300000000001</v>
      </c>
      <c r="BF128" s="37">
        <v>7.2548300000000001</v>
      </c>
      <c r="BG128" s="37">
        <v>7.2548300000000001</v>
      </c>
      <c r="BH128" s="37">
        <v>7.2548300000000001</v>
      </c>
      <c r="BI128" s="37">
        <v>7.2548300000000001</v>
      </c>
      <c r="BJ128" s="37">
        <v>7.2548300000000001</v>
      </c>
      <c r="BK128" s="37">
        <v>7.2548300000000001</v>
      </c>
      <c r="BL128" s="37">
        <v>7.2548300000000001</v>
      </c>
      <c r="BM128" s="37">
        <v>7.2548300000000001</v>
      </c>
      <c r="BN128" s="37">
        <v>7.2548300000000001</v>
      </c>
      <c r="BO128" s="37">
        <v>7.2548300000000001</v>
      </c>
      <c r="BP128" s="37">
        <v>7.2548300000000001</v>
      </c>
      <c r="BQ128" s="37">
        <v>7.2548300000000001</v>
      </c>
      <c r="BR128" s="37">
        <v>7.2548300000000001</v>
      </c>
      <c r="BS128" s="37">
        <v>7.2548300000000001</v>
      </c>
      <c r="BT128" s="37">
        <v>7.2548300000000001</v>
      </c>
      <c r="BU128" s="37">
        <v>7.2548300000000001</v>
      </c>
      <c r="BV128" s="37">
        <v>7.2548300000000001</v>
      </c>
      <c r="BW128" s="37">
        <v>7.2548300000000001</v>
      </c>
      <c r="BX128" s="37">
        <v>7.2548300000000001</v>
      </c>
      <c r="BY128" s="37">
        <v>7.2548300000000001</v>
      </c>
      <c r="BZ128" s="37">
        <v>7.2548300000000001</v>
      </c>
      <c r="CA128" s="37">
        <v>7.2548300000000001</v>
      </c>
      <c r="CB128" s="37">
        <v>7.2548300000000001</v>
      </c>
      <c r="CC128" s="37">
        <v>7.2548300000000001</v>
      </c>
      <c r="CD128" s="37">
        <v>7.2548300000000001</v>
      </c>
      <c r="CE128" s="37">
        <v>7.2548300000000001</v>
      </c>
      <c r="CF128" s="37">
        <v>7.2548300000000001</v>
      </c>
      <c r="CG128" s="37">
        <v>7.2548300000000001</v>
      </c>
      <c r="CH128" s="37">
        <v>7.2548300000000001</v>
      </c>
      <c r="CI128" s="37">
        <v>7.2548300000000001</v>
      </c>
      <c r="CJ128" s="37">
        <v>7.2548300000000001</v>
      </c>
      <c r="CK128" s="37">
        <v>7.2548300000000001</v>
      </c>
      <c r="CL128" s="37">
        <v>7.2548300000000001</v>
      </c>
      <c r="CM128" s="37">
        <v>7.2548300000000001</v>
      </c>
      <c r="CN128" s="37">
        <v>7.2548300000000001</v>
      </c>
      <c r="CO128" s="37">
        <v>7.2548300000000001</v>
      </c>
      <c r="CP128" s="37">
        <v>7.2548300000000001</v>
      </c>
      <c r="CQ128" s="37">
        <v>7.2548300000000001</v>
      </c>
      <c r="CR128" s="37">
        <v>7.2548300000000001</v>
      </c>
      <c r="CS128" s="37">
        <v>7.2548300000000001</v>
      </c>
      <c r="CT128" s="37">
        <v>7.2548300000000001</v>
      </c>
      <c r="CU128" s="37">
        <v>7.2548300000000001</v>
      </c>
      <c r="CV128" s="37">
        <v>7.2548300000000001</v>
      </c>
      <c r="CW128" s="37">
        <v>7.2548300000000001</v>
      </c>
      <c r="CX128" s="37">
        <v>7.2548300000000001</v>
      </c>
      <c r="CY128" s="37">
        <v>7.2548300000000001</v>
      </c>
      <c r="CZ128" s="37">
        <v>7.2548300000000001</v>
      </c>
      <c r="DA128" s="37">
        <v>7.2548300000000001</v>
      </c>
      <c r="DB128" s="37">
        <v>7.2548300000000001</v>
      </c>
      <c r="DC128" s="37">
        <v>7.2548300000000001</v>
      </c>
      <c r="DD128" s="37">
        <v>7.2548300000000001</v>
      </c>
      <c r="DE128" s="37">
        <v>7.2548300000000001</v>
      </c>
      <c r="DF128" s="37">
        <v>7.2548300000000001</v>
      </c>
      <c r="DG128" s="37">
        <v>7.2548300000000001</v>
      </c>
      <c r="DH128" s="37">
        <v>7.2548300000000001</v>
      </c>
      <c r="DI128" s="37">
        <v>7.2548300000000001</v>
      </c>
      <c r="DJ128" s="37">
        <v>7.2548300000000001</v>
      </c>
      <c r="DK128" s="37">
        <v>7.2548300000000001</v>
      </c>
      <c r="DL128" s="37">
        <v>7.2548300000000001</v>
      </c>
      <c r="DM128" s="37">
        <v>7.2548300000000001</v>
      </c>
      <c r="DN128" s="37">
        <v>7.2548300000000001</v>
      </c>
      <c r="DO128" s="37">
        <v>7.2548300000000001</v>
      </c>
      <c r="DP128" s="37">
        <v>7.2548300000000001</v>
      </c>
      <c r="DQ128" s="37">
        <v>7.2548300000000001</v>
      </c>
      <c r="DR128" s="37">
        <v>7.2548300000000001</v>
      </c>
      <c r="DS128" s="37">
        <v>7.2548300000000001</v>
      </c>
      <c r="DT128" s="37">
        <v>7.2548300000000001</v>
      </c>
      <c r="DU128" s="37">
        <v>7.2548300000000001</v>
      </c>
      <c r="DV128" s="37">
        <v>7.2548300000000001</v>
      </c>
      <c r="DW128" s="37">
        <v>7.2548300000000001</v>
      </c>
      <c r="DX128" s="37">
        <v>7.2548300000000001</v>
      </c>
      <c r="DY128" s="37">
        <v>7.2548300000000001</v>
      </c>
      <c r="DZ128" s="37">
        <v>7.2548300000000001</v>
      </c>
      <c r="EA128" s="37">
        <v>7.2548300000000001</v>
      </c>
      <c r="EB128" s="37">
        <v>7.2548300000000001</v>
      </c>
      <c r="EC128" s="37">
        <v>7.2548300000000001</v>
      </c>
      <c r="ED128" s="37">
        <v>7.2548300000000001</v>
      </c>
      <c r="EE128" s="37">
        <v>7.2548300000000001</v>
      </c>
      <c r="EF128" s="37">
        <v>7.2548300000000001</v>
      </c>
      <c r="EG128" s="37">
        <v>7.2548300000000001</v>
      </c>
      <c r="EH128" s="37">
        <v>7.2548300000000001</v>
      </c>
      <c r="EI128" s="37">
        <v>7.2548300000000001</v>
      </c>
      <c r="EJ128" s="37">
        <v>7.2548300000000001</v>
      </c>
      <c r="EK128" s="37">
        <v>7.2548300000000001</v>
      </c>
      <c r="EL128" s="37">
        <v>7.2548300000000001</v>
      </c>
      <c r="EM128" s="37">
        <v>7.2548300000000001</v>
      </c>
      <c r="EN128" s="37">
        <v>7.2548300000000001</v>
      </c>
      <c r="EO128" s="37">
        <v>7.2548300000000001</v>
      </c>
      <c r="EP128" s="37">
        <v>7.2548300000000001</v>
      </c>
      <c r="EQ128" s="37">
        <v>7.2548300000000001</v>
      </c>
      <c r="ER128" s="37">
        <v>7.2548300000000001</v>
      </c>
      <c r="ES128" s="37">
        <v>7.2548300000000001</v>
      </c>
      <c r="ET128" s="37">
        <v>7.2548300000000001</v>
      </c>
      <c r="EU128" s="37">
        <v>7.2548300000000001</v>
      </c>
      <c r="EV128" s="37">
        <v>7.2548300000000001</v>
      </c>
      <c r="EW128" s="37">
        <v>7.2548300000000001</v>
      </c>
      <c r="EX128" s="37">
        <v>7.2548300000000001</v>
      </c>
      <c r="EY128" s="37">
        <v>7.2548300000000001</v>
      </c>
      <c r="EZ128" s="37">
        <v>7.2548300000000001</v>
      </c>
      <c r="FA128" s="37">
        <v>7.2548300000000001</v>
      </c>
      <c r="FB128" s="37">
        <v>7.2548300000000001</v>
      </c>
      <c r="FC128" s="37">
        <v>7.2548300000000001</v>
      </c>
      <c r="FD128" s="37">
        <v>7.2548300000000001</v>
      </c>
      <c r="FE128" s="37">
        <v>7.2548300000000001</v>
      </c>
      <c r="FF128" s="37">
        <v>7.2548300000000001</v>
      </c>
      <c r="FG128" s="37">
        <v>7.2548300000000001</v>
      </c>
      <c r="FH128" s="37">
        <v>7.2548300000000001</v>
      </c>
      <c r="FI128" s="37">
        <v>7.2548300000000001</v>
      </c>
      <c r="FJ128" s="37">
        <v>7.2548300000000001</v>
      </c>
      <c r="FK128" s="37">
        <v>7.2548300000000001</v>
      </c>
      <c r="FL128" s="37">
        <v>7.2548300000000001</v>
      </c>
      <c r="FM128" s="37">
        <v>7.2548300000000001</v>
      </c>
      <c r="FN128" s="37">
        <v>7.2548300000000001</v>
      </c>
      <c r="FO128" s="37">
        <v>7.2548300000000001</v>
      </c>
      <c r="FP128" s="37">
        <v>7.2548300000000001</v>
      </c>
      <c r="FQ128" s="37">
        <v>7.2548300000000001</v>
      </c>
      <c r="FR128" s="37">
        <v>7.2548300000000001</v>
      </c>
      <c r="FS128" s="37">
        <v>7.2548300000000001</v>
      </c>
      <c r="FT128" s="37">
        <v>7.2548300000000001</v>
      </c>
      <c r="FU128" s="37">
        <v>7.2548300000000001</v>
      </c>
      <c r="FV128" s="37">
        <v>7.2548300000000001</v>
      </c>
      <c r="FW128" s="37">
        <v>7.2548300000000001</v>
      </c>
      <c r="FX128" s="37">
        <v>7.2548300000000001</v>
      </c>
      <c r="FY128" s="37">
        <v>7.2548300000000001</v>
      </c>
      <c r="FZ128" s="37">
        <v>7.2548300000000001</v>
      </c>
      <c r="GA128" s="37">
        <v>7.2548300000000001</v>
      </c>
      <c r="GB128" s="37">
        <v>7.2548300000000001</v>
      </c>
      <c r="GC128" s="37">
        <v>7.2548300000000001</v>
      </c>
      <c r="GD128" s="37">
        <v>7.2548300000000001</v>
      </c>
      <c r="GE128" s="37">
        <v>7.2548300000000001</v>
      </c>
      <c r="GF128" s="37">
        <v>7.2548300000000001</v>
      </c>
      <c r="GG128" s="37">
        <v>7.2548300000000001</v>
      </c>
      <c r="GH128" s="37">
        <v>7.2548300000000001</v>
      </c>
      <c r="GI128" s="37">
        <v>7.2548300000000001</v>
      </c>
      <c r="GJ128" s="37">
        <v>7.2548300000000001</v>
      </c>
      <c r="GK128" s="37">
        <v>7.2548300000000001</v>
      </c>
      <c r="GL128" s="37">
        <v>7.2548300000000001</v>
      </c>
      <c r="GM128" s="37">
        <v>7.2548300000000001</v>
      </c>
      <c r="GN128" s="37">
        <v>7.2548300000000001</v>
      </c>
      <c r="GO128" s="37">
        <v>7.2548300000000001</v>
      </c>
      <c r="GP128" s="37">
        <v>7.2548300000000001</v>
      </c>
      <c r="GQ128" s="37">
        <v>7.2548300000000001</v>
      </c>
      <c r="GR128" s="37">
        <v>7.2548300000000001</v>
      </c>
      <c r="GS128" s="37">
        <v>7.2548300000000001</v>
      </c>
      <c r="GT128" s="37">
        <v>7.2548300000000001</v>
      </c>
      <c r="GU128" s="37">
        <v>7.2548300000000001</v>
      </c>
      <c r="GV128" s="37">
        <v>7.2548300000000001</v>
      </c>
      <c r="GW128" s="37">
        <v>7.2548300000000001</v>
      </c>
      <c r="GX128" s="37">
        <v>7.2548300000000001</v>
      </c>
      <c r="GY128" s="37">
        <v>7.2548300000000001</v>
      </c>
      <c r="GZ128" s="37">
        <v>7.2548300000000001</v>
      </c>
      <c r="HA128" s="37">
        <v>7.2548300000000001</v>
      </c>
      <c r="HB128" s="37">
        <v>7.2548300000000001</v>
      </c>
      <c r="HC128" s="37">
        <v>7.2548300000000001</v>
      </c>
      <c r="HD128" s="37">
        <v>7.2548300000000001</v>
      </c>
      <c r="HE128" s="37">
        <v>7.2548300000000001</v>
      </c>
      <c r="HF128" s="37">
        <v>7.2548300000000001</v>
      </c>
      <c r="HG128" s="37">
        <v>7.2548300000000001</v>
      </c>
      <c r="HH128" s="37">
        <v>7.2548300000000001</v>
      </c>
      <c r="HI128" s="37">
        <v>7.2548300000000001</v>
      </c>
      <c r="HJ128" s="37">
        <v>7.2548300000000001</v>
      </c>
      <c r="HK128" s="37">
        <v>7.2548300000000001</v>
      </c>
      <c r="HL128" s="37">
        <v>7.2548300000000001</v>
      </c>
      <c r="HM128" s="37">
        <v>7.2548300000000001</v>
      </c>
      <c r="HN128" s="37">
        <v>7.2548300000000001</v>
      </c>
      <c r="HO128" s="37">
        <v>7.2548300000000001</v>
      </c>
      <c r="HP128" s="37">
        <v>7.2548300000000001</v>
      </c>
      <c r="HQ128" s="37">
        <v>7.2548300000000001</v>
      </c>
      <c r="HR128" s="37">
        <v>7.2548300000000001</v>
      </c>
      <c r="HS128" s="37">
        <v>7.2548300000000001</v>
      </c>
      <c r="HT128" s="37">
        <v>7.2548300000000001</v>
      </c>
      <c r="HU128" s="37">
        <v>7.2548300000000001</v>
      </c>
      <c r="HV128" s="37">
        <v>7.2548300000000001</v>
      </c>
      <c r="HW128" s="37">
        <v>7.2548300000000001</v>
      </c>
      <c r="HX128" s="37">
        <v>7.2548300000000001</v>
      </c>
      <c r="HY128" s="37">
        <v>7.2548300000000001</v>
      </c>
      <c r="HZ128" s="37">
        <v>7.2548300000000001</v>
      </c>
      <c r="IA128" s="37">
        <v>7.2548300000000001</v>
      </c>
      <c r="IB128" s="37">
        <v>7.2548300000000001</v>
      </c>
      <c r="IC128" s="37">
        <v>7.2548300000000001</v>
      </c>
      <c r="ID128" s="37">
        <v>7.2548300000000001</v>
      </c>
      <c r="IE128" s="37">
        <v>7.2548300000000001</v>
      </c>
      <c r="IF128" s="37">
        <v>7.2548300000000001</v>
      </c>
      <c r="IG128" s="37">
        <v>7.2548300000000001</v>
      </c>
      <c r="IH128" s="37">
        <v>7.2548300000000001</v>
      </c>
      <c r="II128" s="37">
        <v>7.2548300000000001</v>
      </c>
      <c r="IJ128" s="37">
        <v>7.2548300000000001</v>
      </c>
      <c r="IK128" s="37">
        <v>7.2548300000000001</v>
      </c>
      <c r="IL128" s="37">
        <v>7.2548300000000001</v>
      </c>
      <c r="IM128" s="37">
        <v>7.2548300000000001</v>
      </c>
      <c r="IN128" s="37">
        <v>7.2548300000000001</v>
      </c>
      <c r="IO128" s="37">
        <v>7.2548300000000001</v>
      </c>
      <c r="IP128" s="37">
        <v>7.2548300000000001</v>
      </c>
      <c r="IQ128" s="37">
        <v>7.2548300000000001</v>
      </c>
      <c r="IR128" s="37">
        <v>7.2548300000000001</v>
      </c>
      <c r="IS128" s="37">
        <v>7.2548300000000001</v>
      </c>
      <c r="IT128" s="37">
        <v>7.2548300000000001</v>
      </c>
      <c r="IU128" s="37">
        <v>7.2548300000000001</v>
      </c>
      <c r="IV128" s="37">
        <v>7.2548300000000001</v>
      </c>
      <c r="IW128" s="37">
        <v>7.2548300000000001</v>
      </c>
      <c r="IX128" s="37">
        <v>7.2548300000000001</v>
      </c>
      <c r="IY128" s="37">
        <v>7.2548300000000001</v>
      </c>
      <c r="IZ128" s="37">
        <v>7.2548300000000001</v>
      </c>
      <c r="JA128" s="37">
        <v>7.2548300000000001</v>
      </c>
      <c r="JB128" s="37">
        <v>7.2548300000000001</v>
      </c>
      <c r="JC128" s="37">
        <v>7.2548300000000001</v>
      </c>
      <c r="JD128" s="37">
        <v>7.2548300000000001</v>
      </c>
      <c r="JE128" s="37">
        <v>7.2548300000000001</v>
      </c>
      <c r="JF128" s="37">
        <v>7.2548300000000001</v>
      </c>
      <c r="JG128" s="37">
        <v>7.2548300000000001</v>
      </c>
      <c r="JH128" s="37">
        <v>7.2548300000000001</v>
      </c>
      <c r="JI128" s="37">
        <v>7.2548300000000001</v>
      </c>
      <c r="JJ128" s="37">
        <v>7.2548300000000001</v>
      </c>
      <c r="JK128" s="37">
        <v>7.2548300000000001</v>
      </c>
      <c r="JL128" s="37">
        <v>7.2548300000000001</v>
      </c>
      <c r="JM128" s="37">
        <v>7.2548300000000001</v>
      </c>
      <c r="JN128" s="37">
        <v>7.2548300000000001</v>
      </c>
      <c r="JO128" s="37">
        <v>7.2548300000000001</v>
      </c>
      <c r="JP128" s="37">
        <v>7.2548300000000001</v>
      </c>
      <c r="JQ128" s="37">
        <v>7.2548300000000001</v>
      </c>
      <c r="JR128" s="37">
        <v>7.2548300000000001</v>
      </c>
      <c r="JS128" s="37">
        <v>7.2548300000000001</v>
      </c>
      <c r="JT128" s="37">
        <v>7.2548300000000001</v>
      </c>
      <c r="JU128" s="37">
        <v>7.2548300000000001</v>
      </c>
      <c r="JV128" s="37">
        <v>7.2548300000000001</v>
      </c>
      <c r="JW128" s="37">
        <v>7.2548300000000001</v>
      </c>
      <c r="JX128" s="37">
        <v>7.2548300000000001</v>
      </c>
      <c r="JY128" s="37">
        <v>7.2548300000000001</v>
      </c>
      <c r="JZ128" s="37">
        <v>7.2548300000000001</v>
      </c>
      <c r="KA128" s="37">
        <v>7.2548300000000001</v>
      </c>
      <c r="KB128" s="37">
        <v>7.2548300000000001</v>
      </c>
      <c r="KC128" s="37">
        <v>7.2548300000000001</v>
      </c>
      <c r="KD128" s="37">
        <v>7.2548300000000001</v>
      </c>
      <c r="KE128" s="37">
        <v>7.2548300000000001</v>
      </c>
      <c r="KF128" s="37">
        <v>7.2548300000000001</v>
      </c>
      <c r="KG128" s="37">
        <v>7.2548300000000001</v>
      </c>
      <c r="KH128" s="37">
        <v>7.2548300000000001</v>
      </c>
      <c r="KI128" s="37">
        <v>7.2548300000000001</v>
      </c>
      <c r="KJ128" s="37">
        <v>7.2548300000000001</v>
      </c>
      <c r="KK128" s="37">
        <v>7.2548300000000001</v>
      </c>
      <c r="KL128" s="37">
        <v>7.2548300000000001</v>
      </c>
      <c r="KM128" s="37">
        <v>7.2548300000000001</v>
      </c>
      <c r="KN128" s="37">
        <v>7.2548300000000001</v>
      </c>
      <c r="KO128" s="37">
        <v>7.2548300000000001</v>
      </c>
      <c r="KP128" s="37">
        <v>7.2548300000000001</v>
      </c>
      <c r="KQ128" s="37">
        <v>7.2548300000000001</v>
      </c>
      <c r="KR128" s="37">
        <v>7.2548300000000001</v>
      </c>
      <c r="KS128" s="37">
        <v>7.2548300000000001</v>
      </c>
      <c r="KT128" s="37">
        <v>7.2548300000000001</v>
      </c>
      <c r="KU128" s="37">
        <v>7.2548300000000001</v>
      </c>
      <c r="KV128" s="37">
        <v>7.2548300000000001</v>
      </c>
      <c r="KW128" s="37">
        <v>7.2548300000000001</v>
      </c>
      <c r="KX128" s="37">
        <v>7.2548300000000001</v>
      </c>
      <c r="KY128" s="37">
        <v>7.2548300000000001</v>
      </c>
      <c r="KZ128" s="37">
        <v>7.2548300000000001</v>
      </c>
      <c r="LA128" s="37">
        <v>7.2548300000000001</v>
      </c>
      <c r="LB128" s="37">
        <v>7.2548300000000001</v>
      </c>
      <c r="LC128" s="37">
        <v>7.2548300000000001</v>
      </c>
      <c r="LD128" s="37">
        <v>7.2548300000000001</v>
      </c>
      <c r="LE128" s="37">
        <v>7.2548300000000001</v>
      </c>
      <c r="LF128" s="37">
        <v>7.2548300000000001</v>
      </c>
      <c r="LG128" s="37">
        <v>7.2548300000000001</v>
      </c>
      <c r="LH128" s="37">
        <v>7.2548300000000001</v>
      </c>
      <c r="LI128" s="37">
        <v>7.2548300000000001</v>
      </c>
      <c r="LJ128" s="37">
        <v>7.2548300000000001</v>
      </c>
      <c r="LK128" s="37">
        <v>7.2548300000000001</v>
      </c>
      <c r="LL128" s="37">
        <v>7.2548300000000001</v>
      </c>
      <c r="LM128" s="37">
        <v>7.2548300000000001</v>
      </c>
      <c r="LN128" s="37">
        <v>7.2548300000000001</v>
      </c>
      <c r="LO128" s="37">
        <v>7.2548300000000001</v>
      </c>
      <c r="LP128" s="37">
        <v>7.2548300000000001</v>
      </c>
      <c r="LQ128" s="37">
        <v>7.2548300000000001</v>
      </c>
      <c r="LR128" s="37">
        <v>7.2548300000000001</v>
      </c>
      <c r="LS128" s="37">
        <v>7.2548300000000001</v>
      </c>
      <c r="LT128" s="37">
        <v>7.2548300000000001</v>
      </c>
      <c r="LU128" s="37">
        <v>7.2548300000000001</v>
      </c>
      <c r="LV128" s="37">
        <v>7.2548300000000001</v>
      </c>
      <c r="LW128" s="37">
        <v>7.2548300000000001</v>
      </c>
      <c r="LX128" s="37">
        <v>7.2548300000000001</v>
      </c>
      <c r="LY128" s="37">
        <v>7.2548300000000001</v>
      </c>
      <c r="LZ128" s="37">
        <v>7.2548300000000001</v>
      </c>
      <c r="MA128" s="37">
        <v>7.2548300000000001</v>
      </c>
      <c r="MB128" s="37">
        <v>7.2548300000000001</v>
      </c>
      <c r="MC128" s="37">
        <v>7.2548300000000001</v>
      </c>
      <c r="MD128" s="37">
        <v>7.2548300000000001</v>
      </c>
      <c r="ME128" s="37">
        <v>7.2548300000000001</v>
      </c>
      <c r="MF128" s="37">
        <v>7.2548300000000001</v>
      </c>
      <c r="MG128" s="37">
        <v>7.2548300000000001</v>
      </c>
      <c r="MH128" s="37">
        <v>7.2548300000000001</v>
      </c>
      <c r="MI128" s="37">
        <v>7.2548300000000001</v>
      </c>
      <c r="MJ128" s="37">
        <v>7.2548300000000001</v>
      </c>
      <c r="MK128" s="37">
        <v>7.2548300000000001</v>
      </c>
      <c r="ML128" s="37">
        <v>7.2548300000000001</v>
      </c>
      <c r="MM128" s="37">
        <v>7.2548300000000001</v>
      </c>
      <c r="MN128" s="37">
        <v>7.2548300000000001</v>
      </c>
      <c r="MO128" s="37">
        <v>7.2548300000000001</v>
      </c>
      <c r="MP128" s="37">
        <v>7.2548300000000001</v>
      </c>
      <c r="MQ128" s="37">
        <v>7.2548300000000001</v>
      </c>
      <c r="MR128" s="37">
        <v>7.2548300000000001</v>
      </c>
      <c r="MS128" s="37">
        <v>7.2548300000000001</v>
      </c>
      <c r="MT128" s="37">
        <v>7.2548300000000001</v>
      </c>
      <c r="MU128" s="37">
        <v>7.2548300000000001</v>
      </c>
      <c r="MV128" s="37">
        <v>7.2548300000000001</v>
      </c>
      <c r="MW128" s="37">
        <v>7.2548300000000001</v>
      </c>
      <c r="MX128" s="37">
        <v>7.2548300000000001</v>
      </c>
      <c r="MY128" s="37">
        <v>7.2548300000000001</v>
      </c>
      <c r="MZ128" s="37">
        <v>7.2548300000000001</v>
      </c>
      <c r="NA128" s="37">
        <v>7.2548300000000001</v>
      </c>
      <c r="NB128" s="37">
        <v>7.2548300000000001</v>
      </c>
      <c r="NC128" s="37">
        <v>7.8658799999999998</v>
      </c>
      <c r="ND128" s="37">
        <v>0</v>
      </c>
    </row>
    <row r="129" spans="1:368" x14ac:dyDescent="0.2">
      <c r="A129" s="37">
        <v>127</v>
      </c>
      <c r="B129" s="37" t="s">
        <v>1102</v>
      </c>
      <c r="C129" s="17">
        <f>+'Detalle Compras'!D129</f>
        <v>20231229699</v>
      </c>
      <c r="D129" s="55">
        <f t="shared" si="16"/>
        <v>12.175185000000001</v>
      </c>
      <c r="E129" s="14">
        <f>+IF(B129="","",'Detalle Compras'!S129+0)</f>
        <v>45483</v>
      </c>
      <c r="F129" s="14">
        <f>+IF(B129="","",EOMONTH('Detalle Compras'!Q129,G129)+10)</f>
        <v>10846</v>
      </c>
      <c r="G129" s="50">
        <f t="shared" si="17"/>
        <v>355</v>
      </c>
      <c r="H129" s="50">
        <f t="shared" si="18"/>
        <v>337</v>
      </c>
      <c r="I129" s="37">
        <v>0</v>
      </c>
      <c r="J129" s="37">
        <v>0</v>
      </c>
      <c r="K129" s="37">
        <v>0</v>
      </c>
      <c r="L129" s="37">
        <v>0</v>
      </c>
      <c r="M129" s="37">
        <v>12.175185000000001</v>
      </c>
      <c r="N129" s="37">
        <v>12.175185000000001</v>
      </c>
      <c r="O129" s="37">
        <v>12.175185000000001</v>
      </c>
      <c r="P129" s="37">
        <v>12.175185000000001</v>
      </c>
      <c r="Q129" s="37">
        <v>12.175185000000001</v>
      </c>
      <c r="R129" s="37">
        <v>12.175185000000001</v>
      </c>
      <c r="S129" s="37">
        <v>12.175185000000001</v>
      </c>
      <c r="T129" s="37">
        <v>12.175185000000001</v>
      </c>
      <c r="U129" s="37">
        <v>12.175185000000001</v>
      </c>
      <c r="V129" s="37">
        <v>12.175185000000001</v>
      </c>
      <c r="W129" s="37">
        <v>12.175185000000001</v>
      </c>
      <c r="X129" s="37">
        <v>12.175185000000001</v>
      </c>
      <c r="Y129" s="37">
        <v>12.175185000000001</v>
      </c>
      <c r="Z129" s="37">
        <v>12.175185000000001</v>
      </c>
      <c r="AA129" s="37">
        <v>12.175185000000001</v>
      </c>
      <c r="AB129" s="37">
        <v>12.175185000000001</v>
      </c>
      <c r="AC129" s="37">
        <v>12.175185000000001</v>
      </c>
      <c r="AD129" s="37">
        <v>12.175185000000001</v>
      </c>
      <c r="AE129" s="37">
        <v>12.175185000000001</v>
      </c>
      <c r="AF129" s="37">
        <v>12.175185000000001</v>
      </c>
      <c r="AG129" s="37">
        <v>12.175185000000001</v>
      </c>
      <c r="AH129" s="37">
        <v>12.175185000000001</v>
      </c>
      <c r="AI129" s="37">
        <v>12.175185000000001</v>
      </c>
      <c r="AJ129" s="37">
        <v>12.175185000000001</v>
      </c>
      <c r="AK129" s="37">
        <v>12.175185000000001</v>
      </c>
      <c r="AL129" s="37">
        <v>12.175185000000001</v>
      </c>
      <c r="AM129" s="37">
        <v>12.175185000000001</v>
      </c>
      <c r="AN129" s="37">
        <v>12.175185000000001</v>
      </c>
      <c r="AO129" s="37">
        <v>12.175185000000001</v>
      </c>
      <c r="AP129" s="37">
        <v>12.175185000000001</v>
      </c>
      <c r="AQ129" s="37">
        <v>12.175185000000001</v>
      </c>
      <c r="AR129" s="37">
        <v>12.175185000000001</v>
      </c>
      <c r="AS129" s="37">
        <v>12.175185000000001</v>
      </c>
      <c r="AT129" s="37">
        <v>12.175185000000001</v>
      </c>
      <c r="AU129" s="37">
        <v>12.175185000000001</v>
      </c>
      <c r="AV129" s="37">
        <v>12.175185000000001</v>
      </c>
      <c r="AW129" s="37">
        <v>12.175185000000001</v>
      </c>
      <c r="AX129" s="37">
        <v>12.175185000000001</v>
      </c>
      <c r="AY129" s="37">
        <v>12.175185000000001</v>
      </c>
      <c r="AZ129" s="37">
        <v>12.175185000000001</v>
      </c>
      <c r="BA129" s="37">
        <v>12.175185000000001</v>
      </c>
      <c r="BB129" s="37">
        <v>12.175185000000001</v>
      </c>
      <c r="BC129" s="37">
        <v>12.175185000000001</v>
      </c>
      <c r="BD129" s="37">
        <v>12.175185000000001</v>
      </c>
      <c r="BE129" s="37">
        <v>12.175185000000001</v>
      </c>
      <c r="BF129" s="37">
        <v>12.175185000000001</v>
      </c>
      <c r="BG129" s="37">
        <v>12.175185000000001</v>
      </c>
      <c r="BH129" s="37">
        <v>12.175185000000001</v>
      </c>
      <c r="BI129" s="37">
        <v>12.175185000000001</v>
      </c>
      <c r="BJ129" s="37">
        <v>12.175185000000001</v>
      </c>
      <c r="BK129" s="37">
        <v>12.175185000000001</v>
      </c>
      <c r="BL129" s="37">
        <v>12.175185000000001</v>
      </c>
      <c r="BM129" s="37">
        <v>12.175185000000001</v>
      </c>
      <c r="BN129" s="37">
        <v>12.175185000000001</v>
      </c>
      <c r="BO129" s="37">
        <v>12.175185000000001</v>
      </c>
      <c r="BP129" s="37">
        <v>12.175185000000001</v>
      </c>
      <c r="BQ129" s="37">
        <v>12.175185000000001</v>
      </c>
      <c r="BR129" s="37">
        <v>12.175185000000001</v>
      </c>
      <c r="BS129" s="37">
        <v>12.175185000000001</v>
      </c>
      <c r="BT129" s="37">
        <v>12.175185000000001</v>
      </c>
      <c r="BU129" s="37">
        <v>12.175185000000001</v>
      </c>
      <c r="BV129" s="37">
        <v>12.175185000000001</v>
      </c>
      <c r="BW129" s="37">
        <v>12.175185000000001</v>
      </c>
      <c r="BX129" s="37">
        <v>12.175185000000001</v>
      </c>
      <c r="BY129" s="37">
        <v>12.175185000000001</v>
      </c>
      <c r="BZ129" s="37">
        <v>12.175185000000001</v>
      </c>
      <c r="CA129" s="37">
        <v>12.175185000000001</v>
      </c>
      <c r="CB129" s="37">
        <v>12.175185000000001</v>
      </c>
      <c r="CC129" s="37">
        <v>12.175185000000001</v>
      </c>
      <c r="CD129" s="37">
        <v>12.175185000000001</v>
      </c>
      <c r="CE129" s="37">
        <v>12.175185000000001</v>
      </c>
      <c r="CF129" s="37">
        <v>12.175185000000001</v>
      </c>
      <c r="CG129" s="37">
        <v>12.175185000000001</v>
      </c>
      <c r="CH129" s="37">
        <v>12.175185000000001</v>
      </c>
      <c r="CI129" s="37">
        <v>12.175185000000001</v>
      </c>
      <c r="CJ129" s="37">
        <v>12.175185000000001</v>
      </c>
      <c r="CK129" s="37">
        <v>12.175185000000001</v>
      </c>
      <c r="CL129" s="37">
        <v>12.175185000000001</v>
      </c>
      <c r="CM129" s="37">
        <v>12.175185000000001</v>
      </c>
      <c r="CN129" s="37">
        <v>12.175185000000001</v>
      </c>
      <c r="CO129" s="37">
        <v>12.175185000000001</v>
      </c>
      <c r="CP129" s="37">
        <v>12.175185000000001</v>
      </c>
      <c r="CQ129" s="37">
        <v>12.175185000000001</v>
      </c>
      <c r="CR129" s="37">
        <v>12.175185000000001</v>
      </c>
      <c r="CS129" s="37">
        <v>12.175185000000001</v>
      </c>
      <c r="CT129" s="37">
        <v>12.175185000000001</v>
      </c>
      <c r="CU129" s="37">
        <v>12.175185000000001</v>
      </c>
      <c r="CV129" s="37">
        <v>12.175185000000001</v>
      </c>
      <c r="CW129" s="37">
        <v>12.175185000000001</v>
      </c>
      <c r="CX129" s="37">
        <v>12.175185000000001</v>
      </c>
      <c r="CY129" s="37">
        <v>12.175185000000001</v>
      </c>
      <c r="CZ129" s="37">
        <v>12.175185000000001</v>
      </c>
      <c r="DA129" s="37">
        <v>12.175185000000001</v>
      </c>
      <c r="DB129" s="37">
        <v>12.175185000000001</v>
      </c>
      <c r="DC129" s="37">
        <v>12.175185000000001</v>
      </c>
      <c r="DD129" s="37">
        <v>12.175185000000001</v>
      </c>
      <c r="DE129" s="37">
        <v>12.175185000000001</v>
      </c>
      <c r="DF129" s="37">
        <v>12.175185000000001</v>
      </c>
      <c r="DG129" s="37">
        <v>12.175185000000001</v>
      </c>
      <c r="DH129" s="37">
        <v>12.175185000000001</v>
      </c>
      <c r="DI129" s="37">
        <v>12.175185000000001</v>
      </c>
      <c r="DJ129" s="37">
        <v>12.175185000000001</v>
      </c>
      <c r="DK129" s="37">
        <v>12.175185000000001</v>
      </c>
      <c r="DL129" s="37">
        <v>12.175185000000001</v>
      </c>
      <c r="DM129" s="37">
        <v>12.175185000000001</v>
      </c>
      <c r="DN129" s="37">
        <v>12.175185000000001</v>
      </c>
      <c r="DO129" s="37">
        <v>12.175185000000001</v>
      </c>
      <c r="DP129" s="37">
        <v>12.175185000000001</v>
      </c>
      <c r="DQ129" s="37">
        <v>12.175185000000001</v>
      </c>
      <c r="DR129" s="37">
        <v>12.175185000000001</v>
      </c>
      <c r="DS129" s="37">
        <v>12.175185000000001</v>
      </c>
      <c r="DT129" s="37">
        <v>12.175185000000001</v>
      </c>
      <c r="DU129" s="37">
        <v>12.175185000000001</v>
      </c>
      <c r="DV129" s="37">
        <v>12.175185000000001</v>
      </c>
      <c r="DW129" s="37">
        <v>12.175185000000001</v>
      </c>
      <c r="DX129" s="37">
        <v>12.175185000000001</v>
      </c>
      <c r="DY129" s="37">
        <v>12.175185000000001</v>
      </c>
      <c r="DZ129" s="37">
        <v>12.175185000000001</v>
      </c>
      <c r="EA129" s="37">
        <v>12.175185000000001</v>
      </c>
      <c r="EB129" s="37">
        <v>12.175185000000001</v>
      </c>
      <c r="EC129" s="37">
        <v>12.175185000000001</v>
      </c>
      <c r="ED129" s="37">
        <v>12.175185000000001</v>
      </c>
      <c r="EE129" s="37">
        <v>12.175185000000001</v>
      </c>
      <c r="EF129" s="37">
        <v>12.175185000000001</v>
      </c>
      <c r="EG129" s="37">
        <v>12.175185000000001</v>
      </c>
      <c r="EH129" s="37">
        <v>12.175185000000001</v>
      </c>
      <c r="EI129" s="37">
        <v>12.175185000000001</v>
      </c>
      <c r="EJ129" s="37">
        <v>12.175185000000001</v>
      </c>
      <c r="EK129" s="37">
        <v>12.175185000000001</v>
      </c>
      <c r="EL129" s="37">
        <v>12.175185000000001</v>
      </c>
      <c r="EM129" s="37">
        <v>12.175185000000001</v>
      </c>
      <c r="EN129" s="37">
        <v>12.175185000000001</v>
      </c>
      <c r="EO129" s="37">
        <v>12.175185000000001</v>
      </c>
      <c r="EP129" s="37">
        <v>12.175185000000001</v>
      </c>
      <c r="EQ129" s="37">
        <v>12.175185000000001</v>
      </c>
      <c r="ER129" s="37">
        <v>12.175185000000001</v>
      </c>
      <c r="ES129" s="37">
        <v>12.175185000000001</v>
      </c>
      <c r="ET129" s="37">
        <v>12.175185000000001</v>
      </c>
      <c r="EU129" s="37">
        <v>12.175185000000001</v>
      </c>
      <c r="EV129" s="37">
        <v>12.175185000000001</v>
      </c>
      <c r="EW129" s="37">
        <v>12.175185000000001</v>
      </c>
      <c r="EX129" s="37">
        <v>12.175185000000001</v>
      </c>
      <c r="EY129" s="37">
        <v>12.175185000000001</v>
      </c>
      <c r="EZ129" s="37">
        <v>12.175185000000001</v>
      </c>
      <c r="FA129" s="37">
        <v>12.175185000000001</v>
      </c>
      <c r="FB129" s="37">
        <v>12.175185000000001</v>
      </c>
      <c r="FC129" s="37">
        <v>12.175185000000001</v>
      </c>
      <c r="FD129" s="37">
        <v>12.175185000000001</v>
      </c>
      <c r="FE129" s="37">
        <v>12.175185000000001</v>
      </c>
      <c r="FF129" s="37">
        <v>12.175185000000001</v>
      </c>
      <c r="FG129" s="37">
        <v>12.175185000000001</v>
      </c>
      <c r="FH129" s="37">
        <v>12.175185000000001</v>
      </c>
      <c r="FI129" s="37">
        <v>12.175185000000001</v>
      </c>
      <c r="FJ129" s="37">
        <v>12.175185000000001</v>
      </c>
      <c r="FK129" s="37">
        <v>12.175185000000001</v>
      </c>
      <c r="FL129" s="37">
        <v>12.175185000000001</v>
      </c>
      <c r="FM129" s="37">
        <v>12.175185000000001</v>
      </c>
      <c r="FN129" s="37">
        <v>12.175185000000001</v>
      </c>
      <c r="FO129" s="37">
        <v>12.175185000000001</v>
      </c>
      <c r="FP129" s="37">
        <v>12.175185000000001</v>
      </c>
      <c r="FQ129" s="37">
        <v>12.175185000000001</v>
      </c>
      <c r="FR129" s="37">
        <v>12.175185000000001</v>
      </c>
      <c r="FS129" s="37">
        <v>12.175185000000001</v>
      </c>
      <c r="FT129" s="37">
        <v>12.175185000000001</v>
      </c>
      <c r="FU129" s="37">
        <v>12.175185000000001</v>
      </c>
      <c r="FV129" s="37">
        <v>12.175185000000001</v>
      </c>
      <c r="FW129" s="37">
        <v>12.175185000000001</v>
      </c>
      <c r="FX129" s="37">
        <v>12.175185000000001</v>
      </c>
      <c r="FY129" s="37">
        <v>12.175185000000001</v>
      </c>
      <c r="FZ129" s="37">
        <v>12.175185000000001</v>
      </c>
      <c r="GA129" s="37">
        <v>12.175185000000001</v>
      </c>
      <c r="GB129" s="37">
        <v>12.175185000000001</v>
      </c>
      <c r="GC129" s="37">
        <v>12.175185000000001</v>
      </c>
      <c r="GD129" s="37">
        <v>12.175185000000001</v>
      </c>
      <c r="GE129" s="37">
        <v>12.175185000000001</v>
      </c>
      <c r="GF129" s="37">
        <v>12.175185000000001</v>
      </c>
      <c r="GG129" s="37">
        <v>12.175185000000001</v>
      </c>
      <c r="GH129" s="37">
        <v>12.175185000000001</v>
      </c>
      <c r="GI129" s="37">
        <v>12.175185000000001</v>
      </c>
      <c r="GJ129" s="37">
        <v>12.175185000000001</v>
      </c>
      <c r="GK129" s="37">
        <v>12.175185000000001</v>
      </c>
      <c r="GL129" s="37">
        <v>12.175185000000001</v>
      </c>
      <c r="GM129" s="37">
        <v>12.175185000000001</v>
      </c>
      <c r="GN129" s="37">
        <v>12.175185000000001</v>
      </c>
      <c r="GO129" s="37">
        <v>12.175185000000001</v>
      </c>
      <c r="GP129" s="37">
        <v>12.175185000000001</v>
      </c>
      <c r="GQ129" s="37">
        <v>12.175185000000001</v>
      </c>
      <c r="GR129" s="37">
        <v>12.175185000000001</v>
      </c>
      <c r="GS129" s="37">
        <v>12.175185000000001</v>
      </c>
      <c r="GT129" s="37">
        <v>12.175185000000001</v>
      </c>
      <c r="GU129" s="37">
        <v>12.175185000000001</v>
      </c>
      <c r="GV129" s="37">
        <v>12.175185000000001</v>
      </c>
      <c r="GW129" s="37">
        <v>12.175185000000001</v>
      </c>
      <c r="GX129" s="37">
        <v>12.175185000000001</v>
      </c>
      <c r="GY129" s="37">
        <v>12.175185000000001</v>
      </c>
      <c r="GZ129" s="37">
        <v>12.175185000000001</v>
      </c>
      <c r="HA129" s="37">
        <v>12.175185000000001</v>
      </c>
      <c r="HB129" s="37">
        <v>12.175185000000001</v>
      </c>
      <c r="HC129" s="37">
        <v>12.175185000000001</v>
      </c>
      <c r="HD129" s="37">
        <v>12.175185000000001</v>
      </c>
      <c r="HE129" s="37">
        <v>12.175185000000001</v>
      </c>
      <c r="HF129" s="37">
        <v>12.175185000000001</v>
      </c>
      <c r="HG129" s="37">
        <v>12.175185000000001</v>
      </c>
      <c r="HH129" s="37">
        <v>12.175185000000001</v>
      </c>
      <c r="HI129" s="37">
        <v>12.175185000000001</v>
      </c>
      <c r="HJ129" s="37">
        <v>12.175185000000001</v>
      </c>
      <c r="HK129" s="37">
        <v>12.175185000000001</v>
      </c>
      <c r="HL129" s="37">
        <v>12.175185000000001</v>
      </c>
      <c r="HM129" s="37">
        <v>12.175185000000001</v>
      </c>
      <c r="HN129" s="37">
        <v>12.175185000000001</v>
      </c>
      <c r="HO129" s="37">
        <v>12.175185000000001</v>
      </c>
      <c r="HP129" s="37">
        <v>12.175185000000001</v>
      </c>
      <c r="HQ129" s="37">
        <v>12.175185000000001</v>
      </c>
      <c r="HR129" s="37">
        <v>12.175185000000001</v>
      </c>
      <c r="HS129" s="37">
        <v>12.175185000000001</v>
      </c>
      <c r="HT129" s="37">
        <v>12.175185000000001</v>
      </c>
      <c r="HU129" s="37">
        <v>12.175185000000001</v>
      </c>
      <c r="HV129" s="37">
        <v>12.175185000000001</v>
      </c>
      <c r="HW129" s="37">
        <v>12.175185000000001</v>
      </c>
      <c r="HX129" s="37">
        <v>12.175185000000001</v>
      </c>
      <c r="HY129" s="37">
        <v>12.175185000000001</v>
      </c>
      <c r="HZ129" s="37">
        <v>12.175185000000001</v>
      </c>
      <c r="IA129" s="37">
        <v>12.175185000000001</v>
      </c>
      <c r="IB129" s="37">
        <v>12.175185000000001</v>
      </c>
      <c r="IC129" s="37">
        <v>12.175185000000001</v>
      </c>
      <c r="ID129" s="37">
        <v>12.175185000000001</v>
      </c>
      <c r="IE129" s="37">
        <v>12.175185000000001</v>
      </c>
      <c r="IF129" s="37">
        <v>12.175185000000001</v>
      </c>
      <c r="IG129" s="37">
        <v>12.175185000000001</v>
      </c>
      <c r="IH129" s="37">
        <v>12.175185000000001</v>
      </c>
      <c r="II129" s="37">
        <v>12.175185000000001</v>
      </c>
      <c r="IJ129" s="37">
        <v>12.175185000000001</v>
      </c>
      <c r="IK129" s="37">
        <v>12.175185000000001</v>
      </c>
      <c r="IL129" s="37">
        <v>12.175185000000001</v>
      </c>
      <c r="IM129" s="37">
        <v>12.175185000000001</v>
      </c>
      <c r="IN129" s="37">
        <v>12.175185000000001</v>
      </c>
      <c r="IO129" s="37">
        <v>12.175185000000001</v>
      </c>
      <c r="IP129" s="37">
        <v>12.175185000000001</v>
      </c>
      <c r="IQ129" s="37">
        <v>12.175185000000001</v>
      </c>
      <c r="IR129" s="37">
        <v>12.175185000000001</v>
      </c>
      <c r="IS129" s="37">
        <v>12.175185000000001</v>
      </c>
      <c r="IT129" s="37">
        <v>12.175185000000001</v>
      </c>
      <c r="IU129" s="37">
        <v>12.175185000000001</v>
      </c>
      <c r="IV129" s="37">
        <v>12.175185000000001</v>
      </c>
      <c r="IW129" s="37">
        <v>12.175185000000001</v>
      </c>
      <c r="IX129" s="37">
        <v>12.175185000000001</v>
      </c>
      <c r="IY129" s="37">
        <v>12.175185000000001</v>
      </c>
      <c r="IZ129" s="37">
        <v>12.175185000000001</v>
      </c>
      <c r="JA129" s="37">
        <v>12.175185000000001</v>
      </c>
      <c r="JB129" s="37">
        <v>12.175185000000001</v>
      </c>
      <c r="JC129" s="37">
        <v>12.175185000000001</v>
      </c>
      <c r="JD129" s="37">
        <v>12.175185000000001</v>
      </c>
      <c r="JE129" s="37">
        <v>12.175185000000001</v>
      </c>
      <c r="JF129" s="37">
        <v>12.175185000000001</v>
      </c>
      <c r="JG129" s="37">
        <v>12.175185000000001</v>
      </c>
      <c r="JH129" s="37">
        <v>12.175185000000001</v>
      </c>
      <c r="JI129" s="37">
        <v>12.175185000000001</v>
      </c>
      <c r="JJ129" s="37">
        <v>12.175185000000001</v>
      </c>
      <c r="JK129" s="37">
        <v>12.175185000000001</v>
      </c>
      <c r="JL129" s="37">
        <v>12.175185000000001</v>
      </c>
      <c r="JM129" s="37">
        <v>12.175185000000001</v>
      </c>
      <c r="JN129" s="37">
        <v>12.175185000000001</v>
      </c>
      <c r="JO129" s="37">
        <v>12.175185000000001</v>
      </c>
      <c r="JP129" s="37">
        <v>12.175185000000001</v>
      </c>
      <c r="JQ129" s="37">
        <v>12.175185000000001</v>
      </c>
      <c r="JR129" s="37">
        <v>12.175185000000001</v>
      </c>
      <c r="JS129" s="37">
        <v>12.175185000000001</v>
      </c>
      <c r="JT129" s="37">
        <v>12.175185000000001</v>
      </c>
      <c r="JU129" s="37">
        <v>12.175185000000001</v>
      </c>
      <c r="JV129" s="37">
        <v>12.175185000000001</v>
      </c>
      <c r="JW129" s="37">
        <v>12.175185000000001</v>
      </c>
      <c r="JX129" s="37">
        <v>12.175185000000001</v>
      </c>
      <c r="JY129" s="37">
        <v>12.175185000000001</v>
      </c>
      <c r="JZ129" s="37">
        <v>12.175185000000001</v>
      </c>
      <c r="KA129" s="37">
        <v>12.175185000000001</v>
      </c>
      <c r="KB129" s="37">
        <v>12.175185000000001</v>
      </c>
      <c r="KC129" s="37">
        <v>12.175185000000001</v>
      </c>
      <c r="KD129" s="37">
        <v>12.175185000000001</v>
      </c>
      <c r="KE129" s="37">
        <v>12.175185000000001</v>
      </c>
      <c r="KF129" s="37">
        <v>12.175185000000001</v>
      </c>
      <c r="KG129" s="37">
        <v>12.175185000000001</v>
      </c>
      <c r="KH129" s="37">
        <v>12.175185000000001</v>
      </c>
      <c r="KI129" s="37">
        <v>12.175185000000001</v>
      </c>
      <c r="KJ129" s="37">
        <v>12.175185000000001</v>
      </c>
      <c r="KK129" s="37">
        <v>12.175185000000001</v>
      </c>
      <c r="KL129" s="37">
        <v>12.175185000000001</v>
      </c>
      <c r="KM129" s="37">
        <v>12.175185000000001</v>
      </c>
      <c r="KN129" s="37">
        <v>12.175185000000001</v>
      </c>
      <c r="KO129" s="37">
        <v>12.175185000000001</v>
      </c>
      <c r="KP129" s="37">
        <v>12.175185000000001</v>
      </c>
      <c r="KQ129" s="37">
        <v>12.175185000000001</v>
      </c>
      <c r="KR129" s="37">
        <v>12.175185000000001</v>
      </c>
      <c r="KS129" s="37">
        <v>12.175185000000001</v>
      </c>
      <c r="KT129" s="37">
        <v>12.175185000000001</v>
      </c>
      <c r="KU129" s="37">
        <v>12.175185000000001</v>
      </c>
      <c r="KV129" s="37">
        <v>12.175185000000001</v>
      </c>
      <c r="KW129" s="37">
        <v>12.175185000000001</v>
      </c>
      <c r="KX129" s="37">
        <v>12.175185000000001</v>
      </c>
      <c r="KY129" s="37">
        <v>12.175185000000001</v>
      </c>
      <c r="KZ129" s="37">
        <v>12.175185000000001</v>
      </c>
      <c r="LA129" s="37">
        <v>12.175185000000001</v>
      </c>
      <c r="LB129" s="37">
        <v>12.175185000000001</v>
      </c>
      <c r="LC129" s="37">
        <v>12.175185000000001</v>
      </c>
      <c r="LD129" s="37">
        <v>12.175185000000001</v>
      </c>
      <c r="LE129" s="37">
        <v>12.175185000000001</v>
      </c>
      <c r="LF129" s="37">
        <v>12.175185000000001</v>
      </c>
      <c r="LG129" s="37">
        <v>12.175185000000001</v>
      </c>
      <c r="LH129" s="37">
        <v>12.175185000000001</v>
      </c>
      <c r="LI129" s="37">
        <v>12.175185000000001</v>
      </c>
      <c r="LJ129" s="37">
        <v>12.175185000000001</v>
      </c>
      <c r="LK129" s="37">
        <v>12.175185000000001</v>
      </c>
      <c r="LL129" s="37">
        <v>12.175185000000001</v>
      </c>
      <c r="LM129" s="37">
        <v>12.175185000000001</v>
      </c>
      <c r="LN129" s="37">
        <v>12.175185000000001</v>
      </c>
      <c r="LO129" s="37">
        <v>12.175185000000001</v>
      </c>
      <c r="LP129" s="37">
        <v>12.175185000000001</v>
      </c>
      <c r="LQ129" s="37">
        <v>12.175185000000001</v>
      </c>
      <c r="LR129" s="37">
        <v>12.175185000000001</v>
      </c>
      <c r="LS129" s="37">
        <v>12.175185000000001</v>
      </c>
      <c r="LT129" s="37">
        <v>12.175185000000001</v>
      </c>
      <c r="LU129" s="37">
        <v>12.175185000000001</v>
      </c>
      <c r="LV129" s="37">
        <v>12.175185000000001</v>
      </c>
      <c r="LW129" s="37">
        <v>12.175185000000001</v>
      </c>
      <c r="LX129" s="37">
        <v>12.175185000000001</v>
      </c>
      <c r="LY129" s="37">
        <v>12.175185000000001</v>
      </c>
      <c r="LZ129" s="37">
        <v>12.175185000000001</v>
      </c>
      <c r="MA129" s="37">
        <v>12.175185000000001</v>
      </c>
      <c r="MB129" s="37">
        <v>12.175185000000001</v>
      </c>
      <c r="MC129" s="37">
        <v>12.175185000000001</v>
      </c>
      <c r="MD129" s="37">
        <v>12.175185000000001</v>
      </c>
      <c r="ME129" s="37">
        <v>12.175185000000001</v>
      </c>
      <c r="MF129" s="37">
        <v>12.175185000000001</v>
      </c>
      <c r="MG129" s="37">
        <v>12.175185000000001</v>
      </c>
      <c r="MH129" s="37">
        <v>12.175185000000001</v>
      </c>
      <c r="MI129" s="37">
        <v>12.175185000000001</v>
      </c>
      <c r="MJ129" s="37">
        <v>12.175185000000001</v>
      </c>
      <c r="MK129" s="37">
        <v>12.175185000000001</v>
      </c>
      <c r="ML129" s="37">
        <v>12.175185000000001</v>
      </c>
      <c r="MM129" s="37">
        <v>12.175185000000001</v>
      </c>
      <c r="MN129" s="37">
        <v>12.175185000000001</v>
      </c>
      <c r="MO129" s="37">
        <v>12.175185000000001</v>
      </c>
      <c r="MP129" s="37">
        <v>12.175185000000001</v>
      </c>
      <c r="MQ129" s="37">
        <v>12.175185000000001</v>
      </c>
      <c r="MR129" s="37">
        <v>12.175185000000001</v>
      </c>
      <c r="MS129" s="37">
        <v>12.175185000000001</v>
      </c>
      <c r="MT129" s="37">
        <v>12.175185000000001</v>
      </c>
      <c r="MU129" s="37">
        <v>12.175185000000001</v>
      </c>
      <c r="MV129" s="37">
        <v>12.175185000000001</v>
      </c>
      <c r="MW129" s="37">
        <v>12.175185000000001</v>
      </c>
      <c r="MX129" s="37">
        <v>12.175185000000001</v>
      </c>
      <c r="MY129" s="37">
        <v>12.175185000000001</v>
      </c>
      <c r="MZ129" s="37">
        <v>12.175185000000001</v>
      </c>
      <c r="NA129" s="37">
        <v>12.175185000000001</v>
      </c>
      <c r="NB129" s="37">
        <v>12.175185000000001</v>
      </c>
      <c r="NC129" s="37">
        <v>13.200659999999999</v>
      </c>
      <c r="ND129" s="37">
        <v>0</v>
      </c>
    </row>
    <row r="130" spans="1:368" x14ac:dyDescent="0.2">
      <c r="A130" s="37">
        <v>128</v>
      </c>
      <c r="B130" s="37" t="s">
        <v>1107</v>
      </c>
      <c r="C130" s="17">
        <f>+'Detalle Compras'!D130</f>
        <v>20231228693</v>
      </c>
      <c r="D130" s="55">
        <f t="shared" si="16"/>
        <v>8.2894269999999999</v>
      </c>
      <c r="E130" s="14">
        <f>+IF(B130="","",'Detalle Compras'!S130+0)</f>
        <v>45483</v>
      </c>
      <c r="F130" s="14">
        <f>+IF(B130="","",EOMONTH('Detalle Compras'!Q130,G130)+10)</f>
        <v>6828</v>
      </c>
      <c r="G130" s="50">
        <f t="shared" si="17"/>
        <v>223</v>
      </c>
      <c r="H130" s="50">
        <f t="shared" si="18"/>
        <v>337</v>
      </c>
      <c r="I130" s="37">
        <v>0</v>
      </c>
      <c r="J130" s="37">
        <v>0</v>
      </c>
      <c r="K130" s="37">
        <v>0</v>
      </c>
      <c r="L130" s="37">
        <v>0</v>
      </c>
      <c r="M130" s="37">
        <v>8.2894269999999999</v>
      </c>
      <c r="N130" s="37">
        <v>8.2894269999999999</v>
      </c>
      <c r="O130" s="37">
        <v>8.2894269999999999</v>
      </c>
      <c r="P130" s="37">
        <v>8.2894269999999999</v>
      </c>
      <c r="Q130" s="37">
        <v>8.2894269999999999</v>
      </c>
      <c r="R130" s="37">
        <v>8.2894269999999999</v>
      </c>
      <c r="S130" s="37">
        <v>8.2894269999999999</v>
      </c>
      <c r="T130" s="37">
        <v>8.2894269999999999</v>
      </c>
      <c r="U130" s="37">
        <v>8.2894269999999999</v>
      </c>
      <c r="V130" s="37">
        <v>8.2894269999999999</v>
      </c>
      <c r="W130" s="37">
        <v>8.2894269999999999</v>
      </c>
      <c r="X130" s="37">
        <v>8.2894269999999999</v>
      </c>
      <c r="Y130" s="37">
        <v>8.2894269999999999</v>
      </c>
      <c r="Z130" s="37">
        <v>8.2894269999999999</v>
      </c>
      <c r="AA130" s="37">
        <v>8.2894269999999999</v>
      </c>
      <c r="AB130" s="37">
        <v>8.2894269999999999</v>
      </c>
      <c r="AC130" s="37">
        <v>8.2894269999999999</v>
      </c>
      <c r="AD130" s="37">
        <v>8.2894269999999999</v>
      </c>
      <c r="AE130" s="37">
        <v>8.2894269999999999</v>
      </c>
      <c r="AF130" s="37">
        <v>8.2894269999999999</v>
      </c>
      <c r="AG130" s="37">
        <v>8.2894269999999999</v>
      </c>
      <c r="AH130" s="37">
        <v>8.2894269999999999</v>
      </c>
      <c r="AI130" s="37">
        <v>8.2894269999999999</v>
      </c>
      <c r="AJ130" s="37">
        <v>8.2894269999999999</v>
      </c>
      <c r="AK130" s="37">
        <v>8.2894269999999999</v>
      </c>
      <c r="AL130" s="37">
        <v>8.2894269999999999</v>
      </c>
      <c r="AM130" s="37">
        <v>8.2894269999999999</v>
      </c>
      <c r="AN130" s="37">
        <v>8.2894269999999999</v>
      </c>
      <c r="AO130" s="37">
        <v>8.2894269999999999</v>
      </c>
      <c r="AP130" s="37">
        <v>8.2894269999999999</v>
      </c>
      <c r="AQ130" s="37">
        <v>8.2894269999999999</v>
      </c>
      <c r="AR130" s="37">
        <v>8.2894269999999999</v>
      </c>
      <c r="AS130" s="37">
        <v>8.2894269999999999</v>
      </c>
      <c r="AT130" s="37">
        <v>8.2894269999999999</v>
      </c>
      <c r="AU130" s="37">
        <v>8.2894269999999999</v>
      </c>
      <c r="AV130" s="37">
        <v>8.2894269999999999</v>
      </c>
      <c r="AW130" s="37">
        <v>8.2894269999999999</v>
      </c>
      <c r="AX130" s="37">
        <v>8.2894269999999999</v>
      </c>
      <c r="AY130" s="37">
        <v>8.2894269999999999</v>
      </c>
      <c r="AZ130" s="37">
        <v>8.2894269999999999</v>
      </c>
      <c r="BA130" s="37">
        <v>8.2894269999999999</v>
      </c>
      <c r="BB130" s="37">
        <v>8.2894269999999999</v>
      </c>
      <c r="BC130" s="37">
        <v>8.2894269999999999</v>
      </c>
      <c r="BD130" s="37">
        <v>8.2894269999999999</v>
      </c>
      <c r="BE130" s="37">
        <v>8.2894269999999999</v>
      </c>
      <c r="BF130" s="37">
        <v>8.2894269999999999</v>
      </c>
      <c r="BG130" s="37">
        <v>8.2894269999999999</v>
      </c>
      <c r="BH130" s="37">
        <v>8.2894269999999999</v>
      </c>
      <c r="BI130" s="37">
        <v>8.2894269999999999</v>
      </c>
      <c r="BJ130" s="37">
        <v>8.2894269999999999</v>
      </c>
      <c r="BK130" s="37">
        <v>8.2894269999999999</v>
      </c>
      <c r="BL130" s="37">
        <v>8.2894269999999999</v>
      </c>
      <c r="BM130" s="37">
        <v>8.2894269999999999</v>
      </c>
      <c r="BN130" s="37">
        <v>8.2894269999999999</v>
      </c>
      <c r="BO130" s="37">
        <v>8.2894269999999999</v>
      </c>
      <c r="BP130" s="37">
        <v>8.2894269999999999</v>
      </c>
      <c r="BQ130" s="37">
        <v>8.2894269999999999</v>
      </c>
      <c r="BR130" s="37">
        <v>8.2894269999999999</v>
      </c>
      <c r="BS130" s="37">
        <v>8.2894269999999999</v>
      </c>
      <c r="BT130" s="37">
        <v>8.2894269999999999</v>
      </c>
      <c r="BU130" s="37">
        <v>8.2894269999999999</v>
      </c>
      <c r="BV130" s="37">
        <v>8.2894269999999999</v>
      </c>
      <c r="BW130" s="37">
        <v>8.2894269999999999</v>
      </c>
      <c r="BX130" s="37">
        <v>8.2894269999999999</v>
      </c>
      <c r="BY130" s="37">
        <v>8.2894269999999999</v>
      </c>
      <c r="BZ130" s="37">
        <v>8.2894269999999999</v>
      </c>
      <c r="CA130" s="37">
        <v>8.2894269999999999</v>
      </c>
      <c r="CB130" s="37">
        <v>8.2894269999999999</v>
      </c>
      <c r="CC130" s="37">
        <v>8.2894269999999999</v>
      </c>
      <c r="CD130" s="37">
        <v>8.2894269999999999</v>
      </c>
      <c r="CE130" s="37">
        <v>8.2894269999999999</v>
      </c>
      <c r="CF130" s="37">
        <v>8.2894269999999999</v>
      </c>
      <c r="CG130" s="37">
        <v>8.2894269999999999</v>
      </c>
      <c r="CH130" s="37">
        <v>8.2894269999999999</v>
      </c>
      <c r="CI130" s="37">
        <v>8.2894269999999999</v>
      </c>
      <c r="CJ130" s="37">
        <v>8.2894269999999999</v>
      </c>
      <c r="CK130" s="37">
        <v>8.2894269999999999</v>
      </c>
      <c r="CL130" s="37">
        <v>8.2894269999999999</v>
      </c>
      <c r="CM130" s="37">
        <v>8.2894269999999999</v>
      </c>
      <c r="CN130" s="37">
        <v>8.2894269999999999</v>
      </c>
      <c r="CO130" s="37">
        <v>8.2894269999999999</v>
      </c>
      <c r="CP130" s="37">
        <v>8.2894269999999999</v>
      </c>
      <c r="CQ130" s="37">
        <v>8.2894269999999999</v>
      </c>
      <c r="CR130" s="37">
        <v>8.2894269999999999</v>
      </c>
      <c r="CS130" s="37">
        <v>8.2894269999999999</v>
      </c>
      <c r="CT130" s="37">
        <v>8.2894269999999999</v>
      </c>
      <c r="CU130" s="37">
        <v>8.2894269999999999</v>
      </c>
      <c r="CV130" s="37">
        <v>8.2894269999999999</v>
      </c>
      <c r="CW130" s="37">
        <v>8.2894269999999999</v>
      </c>
      <c r="CX130" s="37">
        <v>8.2894269999999999</v>
      </c>
      <c r="CY130" s="37">
        <v>8.2894269999999999</v>
      </c>
      <c r="CZ130" s="37">
        <v>8.2894269999999999</v>
      </c>
      <c r="DA130" s="37">
        <v>8.2894269999999999</v>
      </c>
      <c r="DB130" s="37">
        <v>8.2894269999999999</v>
      </c>
      <c r="DC130" s="37">
        <v>8.2894269999999999</v>
      </c>
      <c r="DD130" s="37">
        <v>8.2894269999999999</v>
      </c>
      <c r="DE130" s="37">
        <v>8.2894269999999999</v>
      </c>
      <c r="DF130" s="37">
        <v>8.2894269999999999</v>
      </c>
      <c r="DG130" s="37">
        <v>8.2894269999999999</v>
      </c>
      <c r="DH130" s="37">
        <v>8.2894269999999999</v>
      </c>
      <c r="DI130" s="37">
        <v>8.2894269999999999</v>
      </c>
      <c r="DJ130" s="37">
        <v>8.2894269999999999</v>
      </c>
      <c r="DK130" s="37">
        <v>8.2894269999999999</v>
      </c>
      <c r="DL130" s="37">
        <v>8.2894269999999999</v>
      </c>
      <c r="DM130" s="37">
        <v>8.2894269999999999</v>
      </c>
      <c r="DN130" s="37">
        <v>8.2894269999999999</v>
      </c>
      <c r="DO130" s="37">
        <v>8.2894269999999999</v>
      </c>
      <c r="DP130" s="37">
        <v>8.2894269999999999</v>
      </c>
      <c r="DQ130" s="37">
        <v>8.2894269999999999</v>
      </c>
      <c r="DR130" s="37">
        <v>8.2894269999999999</v>
      </c>
      <c r="DS130" s="37">
        <v>8.2894269999999999</v>
      </c>
      <c r="DT130" s="37">
        <v>8.2894269999999999</v>
      </c>
      <c r="DU130" s="37">
        <v>8.2894269999999999</v>
      </c>
      <c r="DV130" s="37">
        <v>8.2894269999999999</v>
      </c>
      <c r="DW130" s="37">
        <v>8.2894269999999999</v>
      </c>
      <c r="DX130" s="37">
        <v>8.2894269999999999</v>
      </c>
      <c r="DY130" s="37">
        <v>8.2894269999999999</v>
      </c>
      <c r="DZ130" s="37">
        <v>8.2894269999999999</v>
      </c>
      <c r="EA130" s="37">
        <v>8.2894269999999999</v>
      </c>
      <c r="EB130" s="37">
        <v>8.2894269999999999</v>
      </c>
      <c r="EC130" s="37">
        <v>8.2894269999999999</v>
      </c>
      <c r="ED130" s="37">
        <v>8.2894269999999999</v>
      </c>
      <c r="EE130" s="37">
        <v>8.2894269999999999</v>
      </c>
      <c r="EF130" s="37">
        <v>8.2894269999999999</v>
      </c>
      <c r="EG130" s="37">
        <v>8.2894269999999999</v>
      </c>
      <c r="EH130" s="37">
        <v>8.2894269999999999</v>
      </c>
      <c r="EI130" s="37">
        <v>8.2894269999999999</v>
      </c>
      <c r="EJ130" s="37">
        <v>8.2894269999999999</v>
      </c>
      <c r="EK130" s="37">
        <v>8.2894269999999999</v>
      </c>
      <c r="EL130" s="37">
        <v>8.2894269999999999</v>
      </c>
      <c r="EM130" s="37">
        <v>8.2894269999999999</v>
      </c>
      <c r="EN130" s="37">
        <v>8.2894269999999999</v>
      </c>
      <c r="EO130" s="37">
        <v>8.2894269999999999</v>
      </c>
      <c r="EP130" s="37">
        <v>8.2894269999999999</v>
      </c>
      <c r="EQ130" s="37">
        <v>8.2894269999999999</v>
      </c>
      <c r="ER130" s="37">
        <v>8.2894269999999999</v>
      </c>
      <c r="ES130" s="37">
        <v>8.2894269999999999</v>
      </c>
      <c r="ET130" s="37">
        <v>8.2894269999999999</v>
      </c>
      <c r="EU130" s="37">
        <v>8.2894269999999999</v>
      </c>
      <c r="EV130" s="37">
        <v>8.2894269999999999</v>
      </c>
      <c r="EW130" s="37">
        <v>8.2894269999999999</v>
      </c>
      <c r="EX130" s="37">
        <v>8.2894269999999999</v>
      </c>
      <c r="EY130" s="37">
        <v>8.2894269999999999</v>
      </c>
      <c r="EZ130" s="37">
        <v>8.2894269999999999</v>
      </c>
      <c r="FA130" s="37">
        <v>8.2894269999999999</v>
      </c>
      <c r="FB130" s="37">
        <v>8.2894269999999999</v>
      </c>
      <c r="FC130" s="37">
        <v>8.2894269999999999</v>
      </c>
      <c r="FD130" s="37">
        <v>8.2894269999999999</v>
      </c>
      <c r="FE130" s="37">
        <v>8.2894269999999999</v>
      </c>
      <c r="FF130" s="37">
        <v>8.2894269999999999</v>
      </c>
      <c r="FG130" s="37">
        <v>8.2894269999999999</v>
      </c>
      <c r="FH130" s="37">
        <v>8.2894269999999999</v>
      </c>
      <c r="FI130" s="37">
        <v>8.2894269999999999</v>
      </c>
      <c r="FJ130" s="37">
        <v>8.2894269999999999</v>
      </c>
      <c r="FK130" s="37">
        <v>8.2894269999999999</v>
      </c>
      <c r="FL130" s="37">
        <v>8.2894269999999999</v>
      </c>
      <c r="FM130" s="37">
        <v>8.2894269999999999</v>
      </c>
      <c r="FN130" s="37">
        <v>8.2894269999999999</v>
      </c>
      <c r="FO130" s="37">
        <v>8.2894269999999999</v>
      </c>
      <c r="FP130" s="37">
        <v>8.2894269999999999</v>
      </c>
      <c r="FQ130" s="37">
        <v>8.2894269999999999</v>
      </c>
      <c r="FR130" s="37">
        <v>8.2894269999999999</v>
      </c>
      <c r="FS130" s="37">
        <v>8.2894269999999999</v>
      </c>
      <c r="FT130" s="37">
        <v>8.2894269999999999</v>
      </c>
      <c r="FU130" s="37">
        <v>8.2894269999999999</v>
      </c>
      <c r="FV130" s="37">
        <v>8.2894269999999999</v>
      </c>
      <c r="FW130" s="37">
        <v>8.2894269999999999</v>
      </c>
      <c r="FX130" s="37">
        <v>8.2894269999999999</v>
      </c>
      <c r="FY130" s="37">
        <v>8.2894269999999999</v>
      </c>
      <c r="FZ130" s="37">
        <v>8.2894269999999999</v>
      </c>
      <c r="GA130" s="37">
        <v>8.2894269999999999</v>
      </c>
      <c r="GB130" s="37">
        <v>8.2894269999999999</v>
      </c>
      <c r="GC130" s="37">
        <v>8.2894269999999999</v>
      </c>
      <c r="GD130" s="37">
        <v>8.2894269999999999</v>
      </c>
      <c r="GE130" s="37">
        <v>8.2894269999999999</v>
      </c>
      <c r="GF130" s="37">
        <v>8.2894269999999999</v>
      </c>
      <c r="GG130" s="37">
        <v>8.2894269999999999</v>
      </c>
      <c r="GH130" s="37">
        <v>8.2894269999999999</v>
      </c>
      <c r="GI130" s="37">
        <v>8.2894269999999999</v>
      </c>
      <c r="GJ130" s="37">
        <v>8.2894269999999999</v>
      </c>
      <c r="GK130" s="37">
        <v>8.2894269999999999</v>
      </c>
      <c r="GL130" s="37">
        <v>8.2894269999999999</v>
      </c>
      <c r="GM130" s="37">
        <v>8.2894269999999999</v>
      </c>
      <c r="GN130" s="37">
        <v>8.2894269999999999</v>
      </c>
      <c r="GO130" s="37">
        <v>8.2894269999999999</v>
      </c>
      <c r="GP130" s="37">
        <v>8.2894269999999999</v>
      </c>
      <c r="GQ130" s="37">
        <v>8.2894269999999999</v>
      </c>
      <c r="GR130" s="37">
        <v>8.2894269999999999</v>
      </c>
      <c r="GS130" s="37">
        <v>8.2894269999999999</v>
      </c>
      <c r="GT130" s="37">
        <v>8.2894269999999999</v>
      </c>
      <c r="GU130" s="37">
        <v>8.2894269999999999</v>
      </c>
      <c r="GV130" s="37">
        <v>8.2894269999999999</v>
      </c>
      <c r="GW130" s="37">
        <v>8.2894269999999999</v>
      </c>
      <c r="GX130" s="37">
        <v>8.2894269999999999</v>
      </c>
      <c r="GY130" s="37">
        <v>8.2894269999999999</v>
      </c>
      <c r="GZ130" s="37">
        <v>8.2894269999999999</v>
      </c>
      <c r="HA130" s="37">
        <v>8.2894269999999999</v>
      </c>
      <c r="HB130" s="37">
        <v>8.2894269999999999</v>
      </c>
      <c r="HC130" s="37">
        <v>8.2894269999999999</v>
      </c>
      <c r="HD130" s="37">
        <v>8.2894269999999999</v>
      </c>
      <c r="HE130" s="37">
        <v>8.2894269999999999</v>
      </c>
      <c r="HF130" s="37">
        <v>8.2894269999999999</v>
      </c>
      <c r="HG130" s="37">
        <v>8.2894269999999999</v>
      </c>
      <c r="HH130" s="37">
        <v>8.2894269999999999</v>
      </c>
      <c r="HI130" s="37">
        <v>8.2894269999999999</v>
      </c>
      <c r="HJ130" s="37">
        <v>8.2894269999999999</v>
      </c>
      <c r="HK130" s="37">
        <v>8.2894269999999999</v>
      </c>
      <c r="HL130" s="37">
        <v>8.2894269999999999</v>
      </c>
      <c r="HM130" s="37">
        <v>8.2894269999999999</v>
      </c>
      <c r="HN130" s="37">
        <v>8.2894269999999999</v>
      </c>
      <c r="HO130" s="37">
        <v>8.2894269999999999</v>
      </c>
      <c r="HP130" s="37">
        <v>8.2894269999999999</v>
      </c>
      <c r="HQ130" s="37">
        <v>8.2894269999999999</v>
      </c>
      <c r="HR130" s="37">
        <v>8.2894269999999999</v>
      </c>
      <c r="HS130" s="37">
        <v>8.2894269999999999</v>
      </c>
      <c r="HT130" s="37">
        <v>8.2894269999999999</v>
      </c>
      <c r="HU130" s="37">
        <v>8.2894269999999999</v>
      </c>
      <c r="HV130" s="37">
        <v>8.2894269999999999</v>
      </c>
      <c r="HW130" s="37">
        <v>8.2894269999999999</v>
      </c>
      <c r="HX130" s="37">
        <v>8.2894269999999999</v>
      </c>
      <c r="HY130" s="37">
        <v>8.2894269999999999</v>
      </c>
      <c r="HZ130" s="37">
        <v>8.2894269999999999</v>
      </c>
      <c r="IA130" s="37">
        <v>8.3593390000000003</v>
      </c>
      <c r="IB130" s="37">
        <v>0</v>
      </c>
      <c r="IC130" s="37">
        <v>0</v>
      </c>
      <c r="ID130" s="37">
        <v>0</v>
      </c>
      <c r="IE130" s="37">
        <v>0</v>
      </c>
      <c r="IF130" s="37">
        <v>0</v>
      </c>
      <c r="IG130" s="37">
        <v>0</v>
      </c>
      <c r="IH130" s="37">
        <v>0</v>
      </c>
      <c r="II130" s="37">
        <v>0</v>
      </c>
      <c r="IJ130" s="37">
        <v>0</v>
      </c>
      <c r="IK130" s="37">
        <v>0</v>
      </c>
      <c r="IL130" s="37">
        <v>0</v>
      </c>
      <c r="IM130" s="37">
        <v>0</v>
      </c>
      <c r="IN130" s="37">
        <v>0</v>
      </c>
      <c r="IO130" s="37">
        <v>0</v>
      </c>
      <c r="IP130" s="37">
        <v>0</v>
      </c>
      <c r="IQ130" s="37">
        <v>0</v>
      </c>
      <c r="IR130" s="37">
        <v>0</v>
      </c>
      <c r="IS130" s="37">
        <v>0</v>
      </c>
      <c r="IT130" s="37">
        <v>0</v>
      </c>
      <c r="IU130" s="37">
        <v>0</v>
      </c>
      <c r="IV130" s="37">
        <v>0</v>
      </c>
      <c r="IW130" s="37">
        <v>0</v>
      </c>
      <c r="IX130" s="37">
        <v>0</v>
      </c>
      <c r="IY130" s="37">
        <v>0</v>
      </c>
      <c r="IZ130" s="37">
        <v>0</v>
      </c>
      <c r="JA130" s="37">
        <v>0</v>
      </c>
      <c r="JB130" s="37">
        <v>0</v>
      </c>
      <c r="JC130" s="37">
        <v>0</v>
      </c>
      <c r="JD130" s="37">
        <v>0</v>
      </c>
      <c r="JE130" s="37">
        <v>0</v>
      </c>
      <c r="JF130" s="37">
        <v>0</v>
      </c>
      <c r="JG130" s="37">
        <v>0</v>
      </c>
      <c r="JH130" s="37">
        <v>0</v>
      </c>
      <c r="JI130" s="37">
        <v>0</v>
      </c>
      <c r="JJ130" s="37">
        <v>0</v>
      </c>
      <c r="JK130" s="37">
        <v>0</v>
      </c>
      <c r="JL130" s="37">
        <v>0</v>
      </c>
      <c r="JM130" s="37">
        <v>0</v>
      </c>
      <c r="JN130" s="37">
        <v>0</v>
      </c>
      <c r="JO130" s="37">
        <v>0</v>
      </c>
      <c r="JP130" s="37">
        <v>0</v>
      </c>
      <c r="JQ130" s="37">
        <v>0</v>
      </c>
      <c r="JR130" s="37">
        <v>0</v>
      </c>
      <c r="JS130" s="37">
        <v>0</v>
      </c>
      <c r="JT130" s="37">
        <v>0</v>
      </c>
      <c r="JU130" s="37">
        <v>0</v>
      </c>
      <c r="JV130" s="37">
        <v>0</v>
      </c>
      <c r="JW130" s="37">
        <v>0</v>
      </c>
      <c r="JX130" s="37">
        <v>0</v>
      </c>
      <c r="JY130" s="37">
        <v>0</v>
      </c>
      <c r="JZ130" s="37">
        <v>0</v>
      </c>
      <c r="KA130" s="37">
        <v>0</v>
      </c>
      <c r="KB130" s="37">
        <v>0</v>
      </c>
      <c r="KC130" s="37">
        <v>0</v>
      </c>
      <c r="KD130" s="37">
        <v>0</v>
      </c>
      <c r="KE130" s="37">
        <v>0</v>
      </c>
      <c r="KF130" s="37">
        <v>0</v>
      </c>
      <c r="KG130" s="37">
        <v>0</v>
      </c>
      <c r="KH130" s="37">
        <v>0</v>
      </c>
      <c r="KI130" s="37">
        <v>0</v>
      </c>
      <c r="KJ130" s="37">
        <v>0</v>
      </c>
      <c r="KK130" s="37">
        <v>0</v>
      </c>
      <c r="KL130" s="37">
        <v>0</v>
      </c>
      <c r="KM130" s="37">
        <v>0</v>
      </c>
      <c r="KN130" s="37">
        <v>0</v>
      </c>
      <c r="KO130" s="37">
        <v>0</v>
      </c>
      <c r="KP130" s="37">
        <v>0</v>
      </c>
      <c r="KQ130" s="37">
        <v>0</v>
      </c>
      <c r="KR130" s="37">
        <v>0</v>
      </c>
      <c r="KS130" s="37">
        <v>0</v>
      </c>
      <c r="KT130" s="37">
        <v>0</v>
      </c>
      <c r="KU130" s="37">
        <v>0</v>
      </c>
      <c r="KV130" s="37">
        <v>0</v>
      </c>
      <c r="KW130" s="37">
        <v>0</v>
      </c>
      <c r="KX130" s="37">
        <v>0</v>
      </c>
      <c r="KY130" s="37">
        <v>0</v>
      </c>
      <c r="KZ130" s="37">
        <v>0</v>
      </c>
      <c r="LA130" s="37">
        <v>0</v>
      </c>
      <c r="LB130" s="37">
        <v>0</v>
      </c>
      <c r="LC130" s="37">
        <v>0</v>
      </c>
      <c r="LD130" s="37">
        <v>0</v>
      </c>
      <c r="LE130" s="37">
        <v>0</v>
      </c>
      <c r="LF130" s="37">
        <v>0</v>
      </c>
      <c r="LG130" s="37">
        <v>0</v>
      </c>
      <c r="LH130" s="37">
        <v>0</v>
      </c>
      <c r="LI130" s="37">
        <v>0</v>
      </c>
      <c r="LJ130" s="37">
        <v>0</v>
      </c>
      <c r="LK130" s="37">
        <v>0</v>
      </c>
      <c r="LL130" s="37">
        <v>0</v>
      </c>
      <c r="LM130" s="37">
        <v>0</v>
      </c>
      <c r="LN130" s="37">
        <v>0</v>
      </c>
      <c r="LO130" s="37">
        <v>0</v>
      </c>
      <c r="LP130" s="37">
        <v>0</v>
      </c>
      <c r="LQ130" s="37">
        <v>0</v>
      </c>
      <c r="LR130" s="37">
        <v>0</v>
      </c>
      <c r="LS130" s="37">
        <v>0</v>
      </c>
      <c r="LT130" s="37">
        <v>0</v>
      </c>
      <c r="LU130" s="37">
        <v>0</v>
      </c>
      <c r="LV130" s="37">
        <v>0</v>
      </c>
      <c r="LW130" s="37">
        <v>0</v>
      </c>
      <c r="LX130" s="37">
        <v>0</v>
      </c>
      <c r="LY130" s="37">
        <v>0</v>
      </c>
      <c r="LZ130" s="37">
        <v>0</v>
      </c>
      <c r="MA130" s="37">
        <v>0</v>
      </c>
      <c r="MB130" s="37">
        <v>0</v>
      </c>
      <c r="MC130" s="37">
        <v>0</v>
      </c>
      <c r="MD130" s="37">
        <v>0</v>
      </c>
      <c r="ME130" s="37">
        <v>0</v>
      </c>
      <c r="MF130" s="37">
        <v>0</v>
      </c>
      <c r="MG130" s="37">
        <v>0</v>
      </c>
      <c r="MH130" s="37">
        <v>0</v>
      </c>
      <c r="MI130" s="37">
        <v>0</v>
      </c>
      <c r="MJ130" s="37">
        <v>0</v>
      </c>
      <c r="MK130" s="37">
        <v>0</v>
      </c>
      <c r="ML130" s="37">
        <v>0</v>
      </c>
      <c r="MM130" s="37">
        <v>0</v>
      </c>
      <c r="MN130" s="37">
        <v>0</v>
      </c>
      <c r="MO130" s="37">
        <v>0</v>
      </c>
      <c r="MP130" s="37">
        <v>0</v>
      </c>
      <c r="MQ130" s="37">
        <v>0</v>
      </c>
      <c r="MR130" s="37">
        <v>0</v>
      </c>
      <c r="MS130" s="37">
        <v>0</v>
      </c>
      <c r="MT130" s="37">
        <v>0</v>
      </c>
      <c r="MU130" s="37">
        <v>0</v>
      </c>
      <c r="MV130" s="37">
        <v>0</v>
      </c>
      <c r="MW130" s="37">
        <v>0</v>
      </c>
      <c r="MX130" s="37">
        <v>0</v>
      </c>
      <c r="MY130" s="37">
        <v>0</v>
      </c>
      <c r="MZ130" s="37">
        <v>0</v>
      </c>
      <c r="NA130" s="37">
        <v>0</v>
      </c>
      <c r="NB130" s="37">
        <v>0</v>
      </c>
      <c r="NC130" s="37">
        <v>0</v>
      </c>
      <c r="ND130" s="37">
        <v>0</v>
      </c>
    </row>
    <row r="131" spans="1:368" x14ac:dyDescent="0.2">
      <c r="A131" s="37">
        <v>129</v>
      </c>
      <c r="B131" s="37" t="s">
        <v>1112</v>
      </c>
      <c r="C131" s="17">
        <f>+'Detalle Compras'!D131</f>
        <v>20231229700</v>
      </c>
      <c r="D131" s="55">
        <f t="shared" si="16"/>
        <v>12.175185000000001</v>
      </c>
      <c r="E131" s="14">
        <f>+IF(B131="","",'Detalle Compras'!S131+0)</f>
        <v>45483</v>
      </c>
      <c r="F131" s="14">
        <f>+IF(B131="","",EOMONTH('Detalle Compras'!Q131,G131)+10)</f>
        <v>10846</v>
      </c>
      <c r="G131" s="50">
        <f t="shared" si="17"/>
        <v>355</v>
      </c>
      <c r="H131" s="50">
        <f t="shared" si="18"/>
        <v>337</v>
      </c>
      <c r="I131" s="37">
        <v>0</v>
      </c>
      <c r="J131" s="37">
        <v>0</v>
      </c>
      <c r="K131" s="37">
        <v>0</v>
      </c>
      <c r="L131" s="37">
        <v>0</v>
      </c>
      <c r="M131" s="37">
        <v>12.175185000000001</v>
      </c>
      <c r="N131" s="37">
        <v>12.175185000000001</v>
      </c>
      <c r="O131" s="37">
        <v>12.175185000000001</v>
      </c>
      <c r="P131" s="37">
        <v>12.175185000000001</v>
      </c>
      <c r="Q131" s="37">
        <v>12.175185000000001</v>
      </c>
      <c r="R131" s="37">
        <v>12.175185000000001</v>
      </c>
      <c r="S131" s="37">
        <v>12.175185000000001</v>
      </c>
      <c r="T131" s="37">
        <v>12.175185000000001</v>
      </c>
      <c r="U131" s="37">
        <v>12.175185000000001</v>
      </c>
      <c r="V131" s="37">
        <v>12.175185000000001</v>
      </c>
      <c r="W131" s="37">
        <v>12.175185000000001</v>
      </c>
      <c r="X131" s="37">
        <v>12.175185000000001</v>
      </c>
      <c r="Y131" s="37">
        <v>12.175185000000001</v>
      </c>
      <c r="Z131" s="37">
        <v>12.175185000000001</v>
      </c>
      <c r="AA131" s="37">
        <v>12.175185000000001</v>
      </c>
      <c r="AB131" s="37">
        <v>12.175185000000001</v>
      </c>
      <c r="AC131" s="37">
        <v>12.175185000000001</v>
      </c>
      <c r="AD131" s="37">
        <v>12.175185000000001</v>
      </c>
      <c r="AE131" s="37">
        <v>12.175185000000001</v>
      </c>
      <c r="AF131" s="37">
        <v>12.175185000000001</v>
      </c>
      <c r="AG131" s="37">
        <v>12.175185000000001</v>
      </c>
      <c r="AH131" s="37">
        <v>12.175185000000001</v>
      </c>
      <c r="AI131" s="37">
        <v>12.175185000000001</v>
      </c>
      <c r="AJ131" s="37">
        <v>12.175185000000001</v>
      </c>
      <c r="AK131" s="37">
        <v>12.175185000000001</v>
      </c>
      <c r="AL131" s="37">
        <v>12.175185000000001</v>
      </c>
      <c r="AM131" s="37">
        <v>12.175185000000001</v>
      </c>
      <c r="AN131" s="37">
        <v>12.175185000000001</v>
      </c>
      <c r="AO131" s="37">
        <v>12.175185000000001</v>
      </c>
      <c r="AP131" s="37">
        <v>12.175185000000001</v>
      </c>
      <c r="AQ131" s="37">
        <v>12.175185000000001</v>
      </c>
      <c r="AR131" s="37">
        <v>12.175185000000001</v>
      </c>
      <c r="AS131" s="37">
        <v>12.175185000000001</v>
      </c>
      <c r="AT131" s="37">
        <v>12.175185000000001</v>
      </c>
      <c r="AU131" s="37">
        <v>12.175185000000001</v>
      </c>
      <c r="AV131" s="37">
        <v>12.175185000000001</v>
      </c>
      <c r="AW131" s="37">
        <v>12.175185000000001</v>
      </c>
      <c r="AX131" s="37">
        <v>12.175185000000001</v>
      </c>
      <c r="AY131" s="37">
        <v>12.175185000000001</v>
      </c>
      <c r="AZ131" s="37">
        <v>12.175185000000001</v>
      </c>
      <c r="BA131" s="37">
        <v>12.175185000000001</v>
      </c>
      <c r="BB131" s="37">
        <v>12.175185000000001</v>
      </c>
      <c r="BC131" s="37">
        <v>12.175185000000001</v>
      </c>
      <c r="BD131" s="37">
        <v>12.175185000000001</v>
      </c>
      <c r="BE131" s="37">
        <v>12.175185000000001</v>
      </c>
      <c r="BF131" s="37">
        <v>12.175185000000001</v>
      </c>
      <c r="BG131" s="37">
        <v>12.175185000000001</v>
      </c>
      <c r="BH131" s="37">
        <v>12.175185000000001</v>
      </c>
      <c r="BI131" s="37">
        <v>12.175185000000001</v>
      </c>
      <c r="BJ131" s="37">
        <v>12.175185000000001</v>
      </c>
      <c r="BK131" s="37">
        <v>12.175185000000001</v>
      </c>
      <c r="BL131" s="37">
        <v>12.175185000000001</v>
      </c>
      <c r="BM131" s="37">
        <v>12.175185000000001</v>
      </c>
      <c r="BN131" s="37">
        <v>12.175185000000001</v>
      </c>
      <c r="BO131" s="37">
        <v>12.175185000000001</v>
      </c>
      <c r="BP131" s="37">
        <v>12.175185000000001</v>
      </c>
      <c r="BQ131" s="37">
        <v>12.175185000000001</v>
      </c>
      <c r="BR131" s="37">
        <v>12.175185000000001</v>
      </c>
      <c r="BS131" s="37">
        <v>12.175185000000001</v>
      </c>
      <c r="BT131" s="37">
        <v>12.175185000000001</v>
      </c>
      <c r="BU131" s="37">
        <v>12.175185000000001</v>
      </c>
      <c r="BV131" s="37">
        <v>12.175185000000001</v>
      </c>
      <c r="BW131" s="37">
        <v>12.175185000000001</v>
      </c>
      <c r="BX131" s="37">
        <v>12.175185000000001</v>
      </c>
      <c r="BY131" s="37">
        <v>12.175185000000001</v>
      </c>
      <c r="BZ131" s="37">
        <v>12.175185000000001</v>
      </c>
      <c r="CA131" s="37">
        <v>12.175185000000001</v>
      </c>
      <c r="CB131" s="37">
        <v>12.175185000000001</v>
      </c>
      <c r="CC131" s="37">
        <v>12.175185000000001</v>
      </c>
      <c r="CD131" s="37">
        <v>12.175185000000001</v>
      </c>
      <c r="CE131" s="37">
        <v>12.175185000000001</v>
      </c>
      <c r="CF131" s="37">
        <v>12.175185000000001</v>
      </c>
      <c r="CG131" s="37">
        <v>12.175185000000001</v>
      </c>
      <c r="CH131" s="37">
        <v>12.175185000000001</v>
      </c>
      <c r="CI131" s="37">
        <v>12.175185000000001</v>
      </c>
      <c r="CJ131" s="37">
        <v>12.175185000000001</v>
      </c>
      <c r="CK131" s="37">
        <v>12.175185000000001</v>
      </c>
      <c r="CL131" s="37">
        <v>12.175185000000001</v>
      </c>
      <c r="CM131" s="37">
        <v>12.175185000000001</v>
      </c>
      <c r="CN131" s="37">
        <v>12.175185000000001</v>
      </c>
      <c r="CO131" s="37">
        <v>12.175185000000001</v>
      </c>
      <c r="CP131" s="37">
        <v>12.175185000000001</v>
      </c>
      <c r="CQ131" s="37">
        <v>12.175185000000001</v>
      </c>
      <c r="CR131" s="37">
        <v>12.175185000000001</v>
      </c>
      <c r="CS131" s="37">
        <v>12.175185000000001</v>
      </c>
      <c r="CT131" s="37">
        <v>12.175185000000001</v>
      </c>
      <c r="CU131" s="37">
        <v>12.175185000000001</v>
      </c>
      <c r="CV131" s="37">
        <v>12.175185000000001</v>
      </c>
      <c r="CW131" s="37">
        <v>12.175185000000001</v>
      </c>
      <c r="CX131" s="37">
        <v>12.175185000000001</v>
      </c>
      <c r="CY131" s="37">
        <v>12.175185000000001</v>
      </c>
      <c r="CZ131" s="37">
        <v>12.175185000000001</v>
      </c>
      <c r="DA131" s="37">
        <v>12.175185000000001</v>
      </c>
      <c r="DB131" s="37">
        <v>12.175185000000001</v>
      </c>
      <c r="DC131" s="37">
        <v>12.175185000000001</v>
      </c>
      <c r="DD131" s="37">
        <v>12.175185000000001</v>
      </c>
      <c r="DE131" s="37">
        <v>12.175185000000001</v>
      </c>
      <c r="DF131" s="37">
        <v>12.175185000000001</v>
      </c>
      <c r="DG131" s="37">
        <v>12.175185000000001</v>
      </c>
      <c r="DH131" s="37">
        <v>12.175185000000001</v>
      </c>
      <c r="DI131" s="37">
        <v>12.175185000000001</v>
      </c>
      <c r="DJ131" s="37">
        <v>12.175185000000001</v>
      </c>
      <c r="DK131" s="37">
        <v>12.175185000000001</v>
      </c>
      <c r="DL131" s="37">
        <v>12.175185000000001</v>
      </c>
      <c r="DM131" s="37">
        <v>12.175185000000001</v>
      </c>
      <c r="DN131" s="37">
        <v>12.175185000000001</v>
      </c>
      <c r="DO131" s="37">
        <v>12.175185000000001</v>
      </c>
      <c r="DP131" s="37">
        <v>12.175185000000001</v>
      </c>
      <c r="DQ131" s="37">
        <v>12.175185000000001</v>
      </c>
      <c r="DR131" s="37">
        <v>12.175185000000001</v>
      </c>
      <c r="DS131" s="37">
        <v>12.175185000000001</v>
      </c>
      <c r="DT131" s="37">
        <v>12.175185000000001</v>
      </c>
      <c r="DU131" s="37">
        <v>12.175185000000001</v>
      </c>
      <c r="DV131" s="37">
        <v>12.175185000000001</v>
      </c>
      <c r="DW131" s="37">
        <v>12.175185000000001</v>
      </c>
      <c r="DX131" s="37">
        <v>12.175185000000001</v>
      </c>
      <c r="DY131" s="37">
        <v>12.175185000000001</v>
      </c>
      <c r="DZ131" s="37">
        <v>12.175185000000001</v>
      </c>
      <c r="EA131" s="37">
        <v>12.175185000000001</v>
      </c>
      <c r="EB131" s="37">
        <v>12.175185000000001</v>
      </c>
      <c r="EC131" s="37">
        <v>12.175185000000001</v>
      </c>
      <c r="ED131" s="37">
        <v>12.175185000000001</v>
      </c>
      <c r="EE131" s="37">
        <v>12.175185000000001</v>
      </c>
      <c r="EF131" s="37">
        <v>12.175185000000001</v>
      </c>
      <c r="EG131" s="37">
        <v>12.175185000000001</v>
      </c>
      <c r="EH131" s="37">
        <v>12.175185000000001</v>
      </c>
      <c r="EI131" s="37">
        <v>12.175185000000001</v>
      </c>
      <c r="EJ131" s="37">
        <v>12.175185000000001</v>
      </c>
      <c r="EK131" s="37">
        <v>12.175185000000001</v>
      </c>
      <c r="EL131" s="37">
        <v>12.175185000000001</v>
      </c>
      <c r="EM131" s="37">
        <v>12.175185000000001</v>
      </c>
      <c r="EN131" s="37">
        <v>12.175185000000001</v>
      </c>
      <c r="EO131" s="37">
        <v>12.175185000000001</v>
      </c>
      <c r="EP131" s="37">
        <v>12.175185000000001</v>
      </c>
      <c r="EQ131" s="37">
        <v>12.175185000000001</v>
      </c>
      <c r="ER131" s="37">
        <v>12.175185000000001</v>
      </c>
      <c r="ES131" s="37">
        <v>12.175185000000001</v>
      </c>
      <c r="ET131" s="37">
        <v>12.175185000000001</v>
      </c>
      <c r="EU131" s="37">
        <v>12.175185000000001</v>
      </c>
      <c r="EV131" s="37">
        <v>12.175185000000001</v>
      </c>
      <c r="EW131" s="37">
        <v>12.175185000000001</v>
      </c>
      <c r="EX131" s="37">
        <v>12.175185000000001</v>
      </c>
      <c r="EY131" s="37">
        <v>12.175185000000001</v>
      </c>
      <c r="EZ131" s="37">
        <v>12.175185000000001</v>
      </c>
      <c r="FA131" s="37">
        <v>12.175185000000001</v>
      </c>
      <c r="FB131" s="37">
        <v>12.175185000000001</v>
      </c>
      <c r="FC131" s="37">
        <v>12.175185000000001</v>
      </c>
      <c r="FD131" s="37">
        <v>12.175185000000001</v>
      </c>
      <c r="FE131" s="37">
        <v>12.175185000000001</v>
      </c>
      <c r="FF131" s="37">
        <v>12.175185000000001</v>
      </c>
      <c r="FG131" s="37">
        <v>12.175185000000001</v>
      </c>
      <c r="FH131" s="37">
        <v>12.175185000000001</v>
      </c>
      <c r="FI131" s="37">
        <v>12.175185000000001</v>
      </c>
      <c r="FJ131" s="37">
        <v>12.175185000000001</v>
      </c>
      <c r="FK131" s="37">
        <v>12.175185000000001</v>
      </c>
      <c r="FL131" s="37">
        <v>12.175185000000001</v>
      </c>
      <c r="FM131" s="37">
        <v>12.175185000000001</v>
      </c>
      <c r="FN131" s="37">
        <v>12.175185000000001</v>
      </c>
      <c r="FO131" s="37">
        <v>12.175185000000001</v>
      </c>
      <c r="FP131" s="37">
        <v>12.175185000000001</v>
      </c>
      <c r="FQ131" s="37">
        <v>12.175185000000001</v>
      </c>
      <c r="FR131" s="37">
        <v>12.175185000000001</v>
      </c>
      <c r="FS131" s="37">
        <v>12.175185000000001</v>
      </c>
      <c r="FT131" s="37">
        <v>12.175185000000001</v>
      </c>
      <c r="FU131" s="37">
        <v>12.175185000000001</v>
      </c>
      <c r="FV131" s="37">
        <v>12.175185000000001</v>
      </c>
      <c r="FW131" s="37">
        <v>12.175185000000001</v>
      </c>
      <c r="FX131" s="37">
        <v>12.175185000000001</v>
      </c>
      <c r="FY131" s="37">
        <v>12.175185000000001</v>
      </c>
      <c r="FZ131" s="37">
        <v>12.175185000000001</v>
      </c>
      <c r="GA131" s="37">
        <v>12.175185000000001</v>
      </c>
      <c r="GB131" s="37">
        <v>12.175185000000001</v>
      </c>
      <c r="GC131" s="37">
        <v>12.175185000000001</v>
      </c>
      <c r="GD131" s="37">
        <v>12.175185000000001</v>
      </c>
      <c r="GE131" s="37">
        <v>12.175185000000001</v>
      </c>
      <c r="GF131" s="37">
        <v>12.175185000000001</v>
      </c>
      <c r="GG131" s="37">
        <v>12.175185000000001</v>
      </c>
      <c r="GH131" s="37">
        <v>12.175185000000001</v>
      </c>
      <c r="GI131" s="37">
        <v>12.175185000000001</v>
      </c>
      <c r="GJ131" s="37">
        <v>12.175185000000001</v>
      </c>
      <c r="GK131" s="37">
        <v>12.175185000000001</v>
      </c>
      <c r="GL131" s="37">
        <v>12.175185000000001</v>
      </c>
      <c r="GM131" s="37">
        <v>12.175185000000001</v>
      </c>
      <c r="GN131" s="37">
        <v>12.175185000000001</v>
      </c>
      <c r="GO131" s="37">
        <v>12.175185000000001</v>
      </c>
      <c r="GP131" s="37">
        <v>12.175185000000001</v>
      </c>
      <c r="GQ131" s="37">
        <v>12.175185000000001</v>
      </c>
      <c r="GR131" s="37">
        <v>12.175185000000001</v>
      </c>
      <c r="GS131" s="37">
        <v>12.175185000000001</v>
      </c>
      <c r="GT131" s="37">
        <v>12.175185000000001</v>
      </c>
      <c r="GU131" s="37">
        <v>12.175185000000001</v>
      </c>
      <c r="GV131" s="37">
        <v>12.175185000000001</v>
      </c>
      <c r="GW131" s="37">
        <v>12.175185000000001</v>
      </c>
      <c r="GX131" s="37">
        <v>12.175185000000001</v>
      </c>
      <c r="GY131" s="37">
        <v>12.175185000000001</v>
      </c>
      <c r="GZ131" s="37">
        <v>12.175185000000001</v>
      </c>
      <c r="HA131" s="37">
        <v>12.175185000000001</v>
      </c>
      <c r="HB131" s="37">
        <v>12.175185000000001</v>
      </c>
      <c r="HC131" s="37">
        <v>12.175185000000001</v>
      </c>
      <c r="HD131" s="37">
        <v>12.175185000000001</v>
      </c>
      <c r="HE131" s="37">
        <v>12.175185000000001</v>
      </c>
      <c r="HF131" s="37">
        <v>12.175185000000001</v>
      </c>
      <c r="HG131" s="37">
        <v>12.175185000000001</v>
      </c>
      <c r="HH131" s="37">
        <v>12.175185000000001</v>
      </c>
      <c r="HI131" s="37">
        <v>12.175185000000001</v>
      </c>
      <c r="HJ131" s="37">
        <v>12.175185000000001</v>
      </c>
      <c r="HK131" s="37">
        <v>12.175185000000001</v>
      </c>
      <c r="HL131" s="37">
        <v>12.175185000000001</v>
      </c>
      <c r="HM131" s="37">
        <v>12.175185000000001</v>
      </c>
      <c r="HN131" s="37">
        <v>12.175185000000001</v>
      </c>
      <c r="HO131" s="37">
        <v>12.175185000000001</v>
      </c>
      <c r="HP131" s="37">
        <v>12.175185000000001</v>
      </c>
      <c r="HQ131" s="37">
        <v>12.175185000000001</v>
      </c>
      <c r="HR131" s="37">
        <v>12.175185000000001</v>
      </c>
      <c r="HS131" s="37">
        <v>12.175185000000001</v>
      </c>
      <c r="HT131" s="37">
        <v>12.175185000000001</v>
      </c>
      <c r="HU131" s="37">
        <v>12.175185000000001</v>
      </c>
      <c r="HV131" s="37">
        <v>12.175185000000001</v>
      </c>
      <c r="HW131" s="37">
        <v>12.175185000000001</v>
      </c>
      <c r="HX131" s="37">
        <v>12.175185000000001</v>
      </c>
      <c r="HY131" s="37">
        <v>12.175185000000001</v>
      </c>
      <c r="HZ131" s="37">
        <v>12.175185000000001</v>
      </c>
      <c r="IA131" s="37">
        <v>12.175185000000001</v>
      </c>
      <c r="IB131" s="37">
        <v>12.175185000000001</v>
      </c>
      <c r="IC131" s="37">
        <v>12.175185000000001</v>
      </c>
      <c r="ID131" s="37">
        <v>12.175185000000001</v>
      </c>
      <c r="IE131" s="37">
        <v>12.175185000000001</v>
      </c>
      <c r="IF131" s="37">
        <v>12.175185000000001</v>
      </c>
      <c r="IG131" s="37">
        <v>12.175185000000001</v>
      </c>
      <c r="IH131" s="37">
        <v>12.175185000000001</v>
      </c>
      <c r="II131" s="37">
        <v>12.175185000000001</v>
      </c>
      <c r="IJ131" s="37">
        <v>12.175185000000001</v>
      </c>
      <c r="IK131" s="37">
        <v>12.175185000000001</v>
      </c>
      <c r="IL131" s="37">
        <v>12.175185000000001</v>
      </c>
      <c r="IM131" s="37">
        <v>12.175185000000001</v>
      </c>
      <c r="IN131" s="37">
        <v>12.175185000000001</v>
      </c>
      <c r="IO131" s="37">
        <v>12.175185000000001</v>
      </c>
      <c r="IP131" s="37">
        <v>12.175185000000001</v>
      </c>
      <c r="IQ131" s="37">
        <v>12.175185000000001</v>
      </c>
      <c r="IR131" s="37">
        <v>12.175185000000001</v>
      </c>
      <c r="IS131" s="37">
        <v>12.175185000000001</v>
      </c>
      <c r="IT131" s="37">
        <v>12.175185000000001</v>
      </c>
      <c r="IU131" s="37">
        <v>12.175185000000001</v>
      </c>
      <c r="IV131" s="37">
        <v>12.175185000000001</v>
      </c>
      <c r="IW131" s="37">
        <v>12.175185000000001</v>
      </c>
      <c r="IX131" s="37">
        <v>12.175185000000001</v>
      </c>
      <c r="IY131" s="37">
        <v>12.175185000000001</v>
      </c>
      <c r="IZ131" s="37">
        <v>12.175185000000001</v>
      </c>
      <c r="JA131" s="37">
        <v>12.175185000000001</v>
      </c>
      <c r="JB131" s="37">
        <v>12.175185000000001</v>
      </c>
      <c r="JC131" s="37">
        <v>12.175185000000001</v>
      </c>
      <c r="JD131" s="37">
        <v>12.175185000000001</v>
      </c>
      <c r="JE131" s="37">
        <v>12.175185000000001</v>
      </c>
      <c r="JF131" s="37">
        <v>12.175185000000001</v>
      </c>
      <c r="JG131" s="37">
        <v>12.175185000000001</v>
      </c>
      <c r="JH131" s="37">
        <v>12.175185000000001</v>
      </c>
      <c r="JI131" s="37">
        <v>12.175185000000001</v>
      </c>
      <c r="JJ131" s="37">
        <v>12.175185000000001</v>
      </c>
      <c r="JK131" s="37">
        <v>12.175185000000001</v>
      </c>
      <c r="JL131" s="37">
        <v>12.175185000000001</v>
      </c>
      <c r="JM131" s="37">
        <v>12.175185000000001</v>
      </c>
      <c r="JN131" s="37">
        <v>12.175185000000001</v>
      </c>
      <c r="JO131" s="37">
        <v>12.175185000000001</v>
      </c>
      <c r="JP131" s="37">
        <v>12.175185000000001</v>
      </c>
      <c r="JQ131" s="37">
        <v>12.175185000000001</v>
      </c>
      <c r="JR131" s="37">
        <v>12.175185000000001</v>
      </c>
      <c r="JS131" s="37">
        <v>12.175185000000001</v>
      </c>
      <c r="JT131" s="37">
        <v>12.175185000000001</v>
      </c>
      <c r="JU131" s="37">
        <v>12.175185000000001</v>
      </c>
      <c r="JV131" s="37">
        <v>12.175185000000001</v>
      </c>
      <c r="JW131" s="37">
        <v>12.175185000000001</v>
      </c>
      <c r="JX131" s="37">
        <v>12.175185000000001</v>
      </c>
      <c r="JY131" s="37">
        <v>12.175185000000001</v>
      </c>
      <c r="JZ131" s="37">
        <v>12.175185000000001</v>
      </c>
      <c r="KA131" s="37">
        <v>12.175185000000001</v>
      </c>
      <c r="KB131" s="37">
        <v>12.175185000000001</v>
      </c>
      <c r="KC131" s="37">
        <v>12.175185000000001</v>
      </c>
      <c r="KD131" s="37">
        <v>12.175185000000001</v>
      </c>
      <c r="KE131" s="37">
        <v>12.175185000000001</v>
      </c>
      <c r="KF131" s="37">
        <v>12.175185000000001</v>
      </c>
      <c r="KG131" s="37">
        <v>12.175185000000001</v>
      </c>
      <c r="KH131" s="37">
        <v>12.175185000000001</v>
      </c>
      <c r="KI131" s="37">
        <v>12.175185000000001</v>
      </c>
      <c r="KJ131" s="37">
        <v>12.175185000000001</v>
      </c>
      <c r="KK131" s="37">
        <v>12.175185000000001</v>
      </c>
      <c r="KL131" s="37">
        <v>12.175185000000001</v>
      </c>
      <c r="KM131" s="37">
        <v>12.175185000000001</v>
      </c>
      <c r="KN131" s="37">
        <v>12.175185000000001</v>
      </c>
      <c r="KO131" s="37">
        <v>12.175185000000001</v>
      </c>
      <c r="KP131" s="37">
        <v>12.175185000000001</v>
      </c>
      <c r="KQ131" s="37">
        <v>12.175185000000001</v>
      </c>
      <c r="KR131" s="37">
        <v>12.175185000000001</v>
      </c>
      <c r="KS131" s="37">
        <v>12.175185000000001</v>
      </c>
      <c r="KT131" s="37">
        <v>12.175185000000001</v>
      </c>
      <c r="KU131" s="37">
        <v>12.175185000000001</v>
      </c>
      <c r="KV131" s="37">
        <v>12.175185000000001</v>
      </c>
      <c r="KW131" s="37">
        <v>12.175185000000001</v>
      </c>
      <c r="KX131" s="37">
        <v>12.175185000000001</v>
      </c>
      <c r="KY131" s="37">
        <v>12.175185000000001</v>
      </c>
      <c r="KZ131" s="37">
        <v>12.175185000000001</v>
      </c>
      <c r="LA131" s="37">
        <v>12.175185000000001</v>
      </c>
      <c r="LB131" s="37">
        <v>12.175185000000001</v>
      </c>
      <c r="LC131" s="37">
        <v>12.175185000000001</v>
      </c>
      <c r="LD131" s="37">
        <v>12.175185000000001</v>
      </c>
      <c r="LE131" s="37">
        <v>12.175185000000001</v>
      </c>
      <c r="LF131" s="37">
        <v>12.175185000000001</v>
      </c>
      <c r="LG131" s="37">
        <v>12.175185000000001</v>
      </c>
      <c r="LH131" s="37">
        <v>12.175185000000001</v>
      </c>
      <c r="LI131" s="37">
        <v>12.175185000000001</v>
      </c>
      <c r="LJ131" s="37">
        <v>12.175185000000001</v>
      </c>
      <c r="LK131" s="37">
        <v>12.175185000000001</v>
      </c>
      <c r="LL131" s="37">
        <v>12.175185000000001</v>
      </c>
      <c r="LM131" s="37">
        <v>12.175185000000001</v>
      </c>
      <c r="LN131" s="37">
        <v>12.175185000000001</v>
      </c>
      <c r="LO131" s="37">
        <v>12.175185000000001</v>
      </c>
      <c r="LP131" s="37">
        <v>12.175185000000001</v>
      </c>
      <c r="LQ131" s="37">
        <v>12.175185000000001</v>
      </c>
      <c r="LR131" s="37">
        <v>12.175185000000001</v>
      </c>
      <c r="LS131" s="37">
        <v>12.175185000000001</v>
      </c>
      <c r="LT131" s="37">
        <v>12.175185000000001</v>
      </c>
      <c r="LU131" s="37">
        <v>12.175185000000001</v>
      </c>
      <c r="LV131" s="37">
        <v>12.175185000000001</v>
      </c>
      <c r="LW131" s="37">
        <v>12.175185000000001</v>
      </c>
      <c r="LX131" s="37">
        <v>12.175185000000001</v>
      </c>
      <c r="LY131" s="37">
        <v>12.175185000000001</v>
      </c>
      <c r="LZ131" s="37">
        <v>12.175185000000001</v>
      </c>
      <c r="MA131" s="37">
        <v>12.175185000000001</v>
      </c>
      <c r="MB131" s="37">
        <v>12.175185000000001</v>
      </c>
      <c r="MC131" s="37">
        <v>12.175185000000001</v>
      </c>
      <c r="MD131" s="37">
        <v>12.175185000000001</v>
      </c>
      <c r="ME131" s="37">
        <v>12.175185000000001</v>
      </c>
      <c r="MF131" s="37">
        <v>12.175185000000001</v>
      </c>
      <c r="MG131" s="37">
        <v>12.175185000000001</v>
      </c>
      <c r="MH131" s="37">
        <v>12.175185000000001</v>
      </c>
      <c r="MI131" s="37">
        <v>12.175185000000001</v>
      </c>
      <c r="MJ131" s="37">
        <v>12.175185000000001</v>
      </c>
      <c r="MK131" s="37">
        <v>12.175185000000001</v>
      </c>
      <c r="ML131" s="37">
        <v>12.175185000000001</v>
      </c>
      <c r="MM131" s="37">
        <v>12.175185000000001</v>
      </c>
      <c r="MN131" s="37">
        <v>12.175185000000001</v>
      </c>
      <c r="MO131" s="37">
        <v>12.175185000000001</v>
      </c>
      <c r="MP131" s="37">
        <v>12.175185000000001</v>
      </c>
      <c r="MQ131" s="37">
        <v>12.175185000000001</v>
      </c>
      <c r="MR131" s="37">
        <v>12.175185000000001</v>
      </c>
      <c r="MS131" s="37">
        <v>12.175185000000001</v>
      </c>
      <c r="MT131" s="37">
        <v>12.175185000000001</v>
      </c>
      <c r="MU131" s="37">
        <v>12.175185000000001</v>
      </c>
      <c r="MV131" s="37">
        <v>12.175185000000001</v>
      </c>
      <c r="MW131" s="37">
        <v>12.175185000000001</v>
      </c>
      <c r="MX131" s="37">
        <v>12.175185000000001</v>
      </c>
      <c r="MY131" s="37">
        <v>12.175185000000001</v>
      </c>
      <c r="MZ131" s="37">
        <v>12.175185000000001</v>
      </c>
      <c r="NA131" s="37">
        <v>12.175185000000001</v>
      </c>
      <c r="NB131" s="37">
        <v>12.175185000000001</v>
      </c>
      <c r="NC131" s="37">
        <v>13.200659999999999</v>
      </c>
      <c r="ND131" s="37">
        <v>0</v>
      </c>
    </row>
    <row r="132" spans="1:368" x14ac:dyDescent="0.2">
      <c r="A132" s="37">
        <v>130</v>
      </c>
      <c r="B132" s="37" t="s">
        <v>1117</v>
      </c>
      <c r="C132" s="17">
        <f>+'Detalle Compras'!D132</f>
        <v>20231229701</v>
      </c>
      <c r="D132" s="55">
        <f t="shared" ref="D132:D195" si="19">+IF(B132="","",EA132)</f>
        <v>12.412224</v>
      </c>
      <c r="E132" s="14">
        <f>+IF(B132="","",'Detalle Compras'!S132+0)</f>
        <v>45483</v>
      </c>
      <c r="F132" s="14">
        <f>+IF(B132="","",EOMONTH('Detalle Compras'!Q132,G132)+10)</f>
        <v>10846</v>
      </c>
      <c r="G132" s="50">
        <f t="shared" ref="G132:G195" si="20">+COUNTIF(I132:ADF132,"&gt;1")</f>
        <v>355</v>
      </c>
      <c r="H132" s="50">
        <f t="shared" ref="H132:H195" si="21">+COUNT(AF132:ADF132)</f>
        <v>337</v>
      </c>
      <c r="I132" s="37">
        <v>0</v>
      </c>
      <c r="J132" s="37">
        <v>0</v>
      </c>
      <c r="K132" s="37">
        <v>0</v>
      </c>
      <c r="L132" s="37">
        <v>0</v>
      </c>
      <c r="M132" s="37">
        <v>12.412224</v>
      </c>
      <c r="N132" s="37">
        <v>12.412224</v>
      </c>
      <c r="O132" s="37">
        <v>12.412224</v>
      </c>
      <c r="P132" s="37">
        <v>12.412224</v>
      </c>
      <c r="Q132" s="37">
        <v>12.412224</v>
      </c>
      <c r="R132" s="37">
        <v>12.412224</v>
      </c>
      <c r="S132" s="37">
        <v>12.412224</v>
      </c>
      <c r="T132" s="37">
        <v>12.412224</v>
      </c>
      <c r="U132" s="37">
        <v>12.412224</v>
      </c>
      <c r="V132" s="37">
        <v>12.412224</v>
      </c>
      <c r="W132" s="37">
        <v>12.412224</v>
      </c>
      <c r="X132" s="37">
        <v>12.412224</v>
      </c>
      <c r="Y132" s="37">
        <v>12.412224</v>
      </c>
      <c r="Z132" s="37">
        <v>12.412224</v>
      </c>
      <c r="AA132" s="37">
        <v>12.412224</v>
      </c>
      <c r="AB132" s="37">
        <v>12.412224</v>
      </c>
      <c r="AC132" s="37">
        <v>12.412224</v>
      </c>
      <c r="AD132" s="37">
        <v>12.412224</v>
      </c>
      <c r="AE132" s="37">
        <v>12.412224</v>
      </c>
      <c r="AF132" s="37">
        <v>12.412224</v>
      </c>
      <c r="AG132" s="37">
        <v>12.412224</v>
      </c>
      <c r="AH132" s="37">
        <v>12.412224</v>
      </c>
      <c r="AI132" s="37">
        <v>12.412224</v>
      </c>
      <c r="AJ132" s="37">
        <v>12.412224</v>
      </c>
      <c r="AK132" s="37">
        <v>12.412224</v>
      </c>
      <c r="AL132" s="37">
        <v>12.412224</v>
      </c>
      <c r="AM132" s="37">
        <v>12.412224</v>
      </c>
      <c r="AN132" s="37">
        <v>12.412224</v>
      </c>
      <c r="AO132" s="37">
        <v>12.412224</v>
      </c>
      <c r="AP132" s="37">
        <v>12.412224</v>
      </c>
      <c r="AQ132" s="37">
        <v>12.412224</v>
      </c>
      <c r="AR132" s="37">
        <v>12.412224</v>
      </c>
      <c r="AS132" s="37">
        <v>12.412224</v>
      </c>
      <c r="AT132" s="37">
        <v>12.412224</v>
      </c>
      <c r="AU132" s="37">
        <v>12.412224</v>
      </c>
      <c r="AV132" s="37">
        <v>12.412224</v>
      </c>
      <c r="AW132" s="37">
        <v>12.412224</v>
      </c>
      <c r="AX132" s="37">
        <v>12.412224</v>
      </c>
      <c r="AY132" s="37">
        <v>12.412224</v>
      </c>
      <c r="AZ132" s="37">
        <v>12.412224</v>
      </c>
      <c r="BA132" s="37">
        <v>12.412224</v>
      </c>
      <c r="BB132" s="37">
        <v>12.412224</v>
      </c>
      <c r="BC132" s="37">
        <v>12.412224</v>
      </c>
      <c r="BD132" s="37">
        <v>12.412224</v>
      </c>
      <c r="BE132" s="37">
        <v>12.412224</v>
      </c>
      <c r="BF132" s="37">
        <v>12.412224</v>
      </c>
      <c r="BG132" s="37">
        <v>12.412224</v>
      </c>
      <c r="BH132" s="37">
        <v>12.412224</v>
      </c>
      <c r="BI132" s="37">
        <v>12.412224</v>
      </c>
      <c r="BJ132" s="37">
        <v>12.412224</v>
      </c>
      <c r="BK132" s="37">
        <v>12.412224</v>
      </c>
      <c r="BL132" s="37">
        <v>12.412224</v>
      </c>
      <c r="BM132" s="37">
        <v>12.412224</v>
      </c>
      <c r="BN132" s="37">
        <v>12.412224</v>
      </c>
      <c r="BO132" s="37">
        <v>12.412224</v>
      </c>
      <c r="BP132" s="37">
        <v>12.412224</v>
      </c>
      <c r="BQ132" s="37">
        <v>12.412224</v>
      </c>
      <c r="BR132" s="37">
        <v>12.412224</v>
      </c>
      <c r="BS132" s="37">
        <v>12.412224</v>
      </c>
      <c r="BT132" s="37">
        <v>12.412224</v>
      </c>
      <c r="BU132" s="37">
        <v>12.412224</v>
      </c>
      <c r="BV132" s="37">
        <v>12.412224</v>
      </c>
      <c r="BW132" s="37">
        <v>12.412224</v>
      </c>
      <c r="BX132" s="37">
        <v>12.412224</v>
      </c>
      <c r="BY132" s="37">
        <v>12.412224</v>
      </c>
      <c r="BZ132" s="37">
        <v>12.412224</v>
      </c>
      <c r="CA132" s="37">
        <v>12.412224</v>
      </c>
      <c r="CB132" s="37">
        <v>12.412224</v>
      </c>
      <c r="CC132" s="37">
        <v>12.412224</v>
      </c>
      <c r="CD132" s="37">
        <v>12.412224</v>
      </c>
      <c r="CE132" s="37">
        <v>12.412224</v>
      </c>
      <c r="CF132" s="37">
        <v>12.412224</v>
      </c>
      <c r="CG132" s="37">
        <v>12.412224</v>
      </c>
      <c r="CH132" s="37">
        <v>12.412224</v>
      </c>
      <c r="CI132" s="37">
        <v>12.412224</v>
      </c>
      <c r="CJ132" s="37">
        <v>12.412224</v>
      </c>
      <c r="CK132" s="37">
        <v>12.412224</v>
      </c>
      <c r="CL132" s="37">
        <v>12.412224</v>
      </c>
      <c r="CM132" s="37">
        <v>12.412224</v>
      </c>
      <c r="CN132" s="37">
        <v>12.412224</v>
      </c>
      <c r="CO132" s="37">
        <v>12.412224</v>
      </c>
      <c r="CP132" s="37">
        <v>12.412224</v>
      </c>
      <c r="CQ132" s="37">
        <v>12.412224</v>
      </c>
      <c r="CR132" s="37">
        <v>12.412224</v>
      </c>
      <c r="CS132" s="37">
        <v>12.412224</v>
      </c>
      <c r="CT132" s="37">
        <v>12.412224</v>
      </c>
      <c r="CU132" s="37">
        <v>12.412224</v>
      </c>
      <c r="CV132" s="37">
        <v>12.412224</v>
      </c>
      <c r="CW132" s="37">
        <v>12.412224</v>
      </c>
      <c r="CX132" s="37">
        <v>12.412224</v>
      </c>
      <c r="CY132" s="37">
        <v>12.412224</v>
      </c>
      <c r="CZ132" s="37">
        <v>12.412224</v>
      </c>
      <c r="DA132" s="37">
        <v>12.412224</v>
      </c>
      <c r="DB132" s="37">
        <v>12.412224</v>
      </c>
      <c r="DC132" s="37">
        <v>12.412224</v>
      </c>
      <c r="DD132" s="37">
        <v>12.412224</v>
      </c>
      <c r="DE132" s="37">
        <v>12.412224</v>
      </c>
      <c r="DF132" s="37">
        <v>12.412224</v>
      </c>
      <c r="DG132" s="37">
        <v>12.412224</v>
      </c>
      <c r="DH132" s="37">
        <v>12.412224</v>
      </c>
      <c r="DI132" s="37">
        <v>12.412224</v>
      </c>
      <c r="DJ132" s="37">
        <v>12.412224</v>
      </c>
      <c r="DK132" s="37">
        <v>12.412224</v>
      </c>
      <c r="DL132" s="37">
        <v>12.412224</v>
      </c>
      <c r="DM132" s="37">
        <v>12.412224</v>
      </c>
      <c r="DN132" s="37">
        <v>12.412224</v>
      </c>
      <c r="DO132" s="37">
        <v>12.412224</v>
      </c>
      <c r="DP132" s="37">
        <v>12.412224</v>
      </c>
      <c r="DQ132" s="37">
        <v>12.412224</v>
      </c>
      <c r="DR132" s="37">
        <v>12.412224</v>
      </c>
      <c r="DS132" s="37">
        <v>12.412224</v>
      </c>
      <c r="DT132" s="37">
        <v>12.412224</v>
      </c>
      <c r="DU132" s="37">
        <v>12.412224</v>
      </c>
      <c r="DV132" s="37">
        <v>12.412224</v>
      </c>
      <c r="DW132" s="37">
        <v>12.412224</v>
      </c>
      <c r="DX132" s="37">
        <v>12.412224</v>
      </c>
      <c r="DY132" s="37">
        <v>12.412224</v>
      </c>
      <c r="DZ132" s="37">
        <v>12.412224</v>
      </c>
      <c r="EA132" s="37">
        <v>12.412224</v>
      </c>
      <c r="EB132" s="37">
        <v>12.412224</v>
      </c>
      <c r="EC132" s="37">
        <v>12.412224</v>
      </c>
      <c r="ED132" s="37">
        <v>12.412224</v>
      </c>
      <c r="EE132" s="37">
        <v>12.412224</v>
      </c>
      <c r="EF132" s="37">
        <v>12.412224</v>
      </c>
      <c r="EG132" s="37">
        <v>12.412224</v>
      </c>
      <c r="EH132" s="37">
        <v>12.412224</v>
      </c>
      <c r="EI132" s="37">
        <v>12.412224</v>
      </c>
      <c r="EJ132" s="37">
        <v>12.412224</v>
      </c>
      <c r="EK132" s="37">
        <v>12.412224</v>
      </c>
      <c r="EL132" s="37">
        <v>12.412224</v>
      </c>
      <c r="EM132" s="37">
        <v>12.412224</v>
      </c>
      <c r="EN132" s="37">
        <v>12.412224</v>
      </c>
      <c r="EO132" s="37">
        <v>12.412224</v>
      </c>
      <c r="EP132" s="37">
        <v>12.412224</v>
      </c>
      <c r="EQ132" s="37">
        <v>12.412224</v>
      </c>
      <c r="ER132" s="37">
        <v>12.412224</v>
      </c>
      <c r="ES132" s="37">
        <v>12.412224</v>
      </c>
      <c r="ET132" s="37">
        <v>12.412224</v>
      </c>
      <c r="EU132" s="37">
        <v>12.412224</v>
      </c>
      <c r="EV132" s="37">
        <v>12.412224</v>
      </c>
      <c r="EW132" s="37">
        <v>12.412224</v>
      </c>
      <c r="EX132" s="37">
        <v>12.412224</v>
      </c>
      <c r="EY132" s="37">
        <v>12.412224</v>
      </c>
      <c r="EZ132" s="37">
        <v>12.412224</v>
      </c>
      <c r="FA132" s="37">
        <v>12.412224</v>
      </c>
      <c r="FB132" s="37">
        <v>12.412224</v>
      </c>
      <c r="FC132" s="37">
        <v>12.412224</v>
      </c>
      <c r="FD132" s="37">
        <v>12.412224</v>
      </c>
      <c r="FE132" s="37">
        <v>12.412224</v>
      </c>
      <c r="FF132" s="37">
        <v>12.412224</v>
      </c>
      <c r="FG132" s="37">
        <v>12.412224</v>
      </c>
      <c r="FH132" s="37">
        <v>12.412224</v>
      </c>
      <c r="FI132" s="37">
        <v>12.412224</v>
      </c>
      <c r="FJ132" s="37">
        <v>12.412224</v>
      </c>
      <c r="FK132" s="37">
        <v>12.412224</v>
      </c>
      <c r="FL132" s="37">
        <v>12.412224</v>
      </c>
      <c r="FM132" s="37">
        <v>12.412224</v>
      </c>
      <c r="FN132" s="37">
        <v>12.412224</v>
      </c>
      <c r="FO132" s="37">
        <v>12.412224</v>
      </c>
      <c r="FP132" s="37">
        <v>12.412224</v>
      </c>
      <c r="FQ132" s="37">
        <v>12.412224</v>
      </c>
      <c r="FR132" s="37">
        <v>12.412224</v>
      </c>
      <c r="FS132" s="37">
        <v>12.412224</v>
      </c>
      <c r="FT132" s="37">
        <v>12.412224</v>
      </c>
      <c r="FU132" s="37">
        <v>12.412224</v>
      </c>
      <c r="FV132" s="37">
        <v>12.412224</v>
      </c>
      <c r="FW132" s="37">
        <v>12.412224</v>
      </c>
      <c r="FX132" s="37">
        <v>12.412224</v>
      </c>
      <c r="FY132" s="37">
        <v>12.412224</v>
      </c>
      <c r="FZ132" s="37">
        <v>12.412224</v>
      </c>
      <c r="GA132" s="37">
        <v>12.412224</v>
      </c>
      <c r="GB132" s="37">
        <v>12.412224</v>
      </c>
      <c r="GC132" s="37">
        <v>12.412224</v>
      </c>
      <c r="GD132" s="37">
        <v>12.412224</v>
      </c>
      <c r="GE132" s="37">
        <v>12.412224</v>
      </c>
      <c r="GF132" s="37">
        <v>12.412224</v>
      </c>
      <c r="GG132" s="37">
        <v>12.412224</v>
      </c>
      <c r="GH132" s="37">
        <v>12.412224</v>
      </c>
      <c r="GI132" s="37">
        <v>12.412224</v>
      </c>
      <c r="GJ132" s="37">
        <v>12.412224</v>
      </c>
      <c r="GK132" s="37">
        <v>12.412224</v>
      </c>
      <c r="GL132" s="37">
        <v>12.412224</v>
      </c>
      <c r="GM132" s="37">
        <v>12.412224</v>
      </c>
      <c r="GN132" s="37">
        <v>12.412224</v>
      </c>
      <c r="GO132" s="37">
        <v>12.412224</v>
      </c>
      <c r="GP132" s="37">
        <v>12.412224</v>
      </c>
      <c r="GQ132" s="37">
        <v>12.412224</v>
      </c>
      <c r="GR132" s="37">
        <v>12.412224</v>
      </c>
      <c r="GS132" s="37">
        <v>12.412224</v>
      </c>
      <c r="GT132" s="37">
        <v>12.412224</v>
      </c>
      <c r="GU132" s="37">
        <v>12.412224</v>
      </c>
      <c r="GV132" s="37">
        <v>12.412224</v>
      </c>
      <c r="GW132" s="37">
        <v>12.412224</v>
      </c>
      <c r="GX132" s="37">
        <v>12.412224</v>
      </c>
      <c r="GY132" s="37">
        <v>12.412224</v>
      </c>
      <c r="GZ132" s="37">
        <v>12.412224</v>
      </c>
      <c r="HA132" s="37">
        <v>12.412224</v>
      </c>
      <c r="HB132" s="37">
        <v>12.412224</v>
      </c>
      <c r="HC132" s="37">
        <v>12.412224</v>
      </c>
      <c r="HD132" s="37">
        <v>12.412224</v>
      </c>
      <c r="HE132" s="37">
        <v>12.412224</v>
      </c>
      <c r="HF132" s="37">
        <v>12.412224</v>
      </c>
      <c r="HG132" s="37">
        <v>12.412224</v>
      </c>
      <c r="HH132" s="37">
        <v>12.412224</v>
      </c>
      <c r="HI132" s="37">
        <v>12.412224</v>
      </c>
      <c r="HJ132" s="37">
        <v>12.412224</v>
      </c>
      <c r="HK132" s="37">
        <v>12.412224</v>
      </c>
      <c r="HL132" s="37">
        <v>12.412224</v>
      </c>
      <c r="HM132" s="37">
        <v>12.412224</v>
      </c>
      <c r="HN132" s="37">
        <v>12.412224</v>
      </c>
      <c r="HO132" s="37">
        <v>12.412224</v>
      </c>
      <c r="HP132" s="37">
        <v>12.412224</v>
      </c>
      <c r="HQ132" s="37">
        <v>12.412224</v>
      </c>
      <c r="HR132" s="37">
        <v>12.412224</v>
      </c>
      <c r="HS132" s="37">
        <v>12.412224</v>
      </c>
      <c r="HT132" s="37">
        <v>12.412224</v>
      </c>
      <c r="HU132" s="37">
        <v>12.412224</v>
      </c>
      <c r="HV132" s="37">
        <v>12.412224</v>
      </c>
      <c r="HW132" s="37">
        <v>12.412224</v>
      </c>
      <c r="HX132" s="37">
        <v>12.412224</v>
      </c>
      <c r="HY132" s="37">
        <v>12.412224</v>
      </c>
      <c r="HZ132" s="37">
        <v>12.412224</v>
      </c>
      <c r="IA132" s="37">
        <v>12.412224</v>
      </c>
      <c r="IB132" s="37">
        <v>12.412224</v>
      </c>
      <c r="IC132" s="37">
        <v>12.412224</v>
      </c>
      <c r="ID132" s="37">
        <v>12.412224</v>
      </c>
      <c r="IE132" s="37">
        <v>12.412224</v>
      </c>
      <c r="IF132" s="37">
        <v>12.412224</v>
      </c>
      <c r="IG132" s="37">
        <v>12.412224</v>
      </c>
      <c r="IH132" s="37">
        <v>12.412224</v>
      </c>
      <c r="II132" s="37">
        <v>12.412224</v>
      </c>
      <c r="IJ132" s="37">
        <v>12.412224</v>
      </c>
      <c r="IK132" s="37">
        <v>12.412224</v>
      </c>
      <c r="IL132" s="37">
        <v>12.412224</v>
      </c>
      <c r="IM132" s="37">
        <v>12.412224</v>
      </c>
      <c r="IN132" s="37">
        <v>12.412224</v>
      </c>
      <c r="IO132" s="37">
        <v>12.412224</v>
      </c>
      <c r="IP132" s="37">
        <v>12.412224</v>
      </c>
      <c r="IQ132" s="37">
        <v>12.412224</v>
      </c>
      <c r="IR132" s="37">
        <v>12.412224</v>
      </c>
      <c r="IS132" s="37">
        <v>12.412224</v>
      </c>
      <c r="IT132" s="37">
        <v>12.412224</v>
      </c>
      <c r="IU132" s="37">
        <v>12.412224</v>
      </c>
      <c r="IV132" s="37">
        <v>12.412224</v>
      </c>
      <c r="IW132" s="37">
        <v>12.412224</v>
      </c>
      <c r="IX132" s="37">
        <v>12.412224</v>
      </c>
      <c r="IY132" s="37">
        <v>12.412224</v>
      </c>
      <c r="IZ132" s="37">
        <v>12.412224</v>
      </c>
      <c r="JA132" s="37">
        <v>12.412224</v>
      </c>
      <c r="JB132" s="37">
        <v>12.412224</v>
      </c>
      <c r="JC132" s="37">
        <v>12.412224</v>
      </c>
      <c r="JD132" s="37">
        <v>12.412224</v>
      </c>
      <c r="JE132" s="37">
        <v>12.412224</v>
      </c>
      <c r="JF132" s="37">
        <v>12.412224</v>
      </c>
      <c r="JG132" s="37">
        <v>12.412224</v>
      </c>
      <c r="JH132" s="37">
        <v>12.412224</v>
      </c>
      <c r="JI132" s="37">
        <v>12.412224</v>
      </c>
      <c r="JJ132" s="37">
        <v>12.412224</v>
      </c>
      <c r="JK132" s="37">
        <v>12.412224</v>
      </c>
      <c r="JL132" s="37">
        <v>12.412224</v>
      </c>
      <c r="JM132" s="37">
        <v>12.412224</v>
      </c>
      <c r="JN132" s="37">
        <v>12.412224</v>
      </c>
      <c r="JO132" s="37">
        <v>12.412224</v>
      </c>
      <c r="JP132" s="37">
        <v>12.412224</v>
      </c>
      <c r="JQ132" s="37">
        <v>12.412224</v>
      </c>
      <c r="JR132" s="37">
        <v>12.412224</v>
      </c>
      <c r="JS132" s="37">
        <v>12.412224</v>
      </c>
      <c r="JT132" s="37">
        <v>12.412224</v>
      </c>
      <c r="JU132" s="37">
        <v>12.412224</v>
      </c>
      <c r="JV132" s="37">
        <v>12.412224</v>
      </c>
      <c r="JW132" s="37">
        <v>12.412224</v>
      </c>
      <c r="JX132" s="37">
        <v>12.412224</v>
      </c>
      <c r="JY132" s="37">
        <v>12.412224</v>
      </c>
      <c r="JZ132" s="37">
        <v>12.412224</v>
      </c>
      <c r="KA132" s="37">
        <v>12.412224</v>
      </c>
      <c r="KB132" s="37">
        <v>12.412224</v>
      </c>
      <c r="KC132" s="37">
        <v>12.412224</v>
      </c>
      <c r="KD132" s="37">
        <v>12.412224</v>
      </c>
      <c r="KE132" s="37">
        <v>12.412224</v>
      </c>
      <c r="KF132" s="37">
        <v>12.412224</v>
      </c>
      <c r="KG132" s="37">
        <v>12.412224</v>
      </c>
      <c r="KH132" s="37">
        <v>12.412224</v>
      </c>
      <c r="KI132" s="37">
        <v>12.412224</v>
      </c>
      <c r="KJ132" s="37">
        <v>12.412224</v>
      </c>
      <c r="KK132" s="37">
        <v>12.412224</v>
      </c>
      <c r="KL132" s="37">
        <v>12.412224</v>
      </c>
      <c r="KM132" s="37">
        <v>12.412224</v>
      </c>
      <c r="KN132" s="37">
        <v>12.412224</v>
      </c>
      <c r="KO132" s="37">
        <v>12.412224</v>
      </c>
      <c r="KP132" s="37">
        <v>12.412224</v>
      </c>
      <c r="KQ132" s="37">
        <v>12.412224</v>
      </c>
      <c r="KR132" s="37">
        <v>12.412224</v>
      </c>
      <c r="KS132" s="37">
        <v>12.412224</v>
      </c>
      <c r="KT132" s="37">
        <v>12.412224</v>
      </c>
      <c r="KU132" s="37">
        <v>12.412224</v>
      </c>
      <c r="KV132" s="37">
        <v>12.412224</v>
      </c>
      <c r="KW132" s="37">
        <v>12.412224</v>
      </c>
      <c r="KX132" s="37">
        <v>12.412224</v>
      </c>
      <c r="KY132" s="37">
        <v>12.412224</v>
      </c>
      <c r="KZ132" s="37">
        <v>12.412224</v>
      </c>
      <c r="LA132" s="37">
        <v>12.412224</v>
      </c>
      <c r="LB132" s="37">
        <v>12.412224</v>
      </c>
      <c r="LC132" s="37">
        <v>12.412224</v>
      </c>
      <c r="LD132" s="37">
        <v>12.412224</v>
      </c>
      <c r="LE132" s="37">
        <v>12.412224</v>
      </c>
      <c r="LF132" s="37">
        <v>12.412224</v>
      </c>
      <c r="LG132" s="37">
        <v>12.412224</v>
      </c>
      <c r="LH132" s="37">
        <v>12.412224</v>
      </c>
      <c r="LI132" s="37">
        <v>12.412224</v>
      </c>
      <c r="LJ132" s="37">
        <v>12.412224</v>
      </c>
      <c r="LK132" s="37">
        <v>12.412224</v>
      </c>
      <c r="LL132" s="37">
        <v>12.412224</v>
      </c>
      <c r="LM132" s="37">
        <v>12.412224</v>
      </c>
      <c r="LN132" s="37">
        <v>12.412224</v>
      </c>
      <c r="LO132" s="37">
        <v>12.412224</v>
      </c>
      <c r="LP132" s="37">
        <v>12.412224</v>
      </c>
      <c r="LQ132" s="37">
        <v>12.412224</v>
      </c>
      <c r="LR132" s="37">
        <v>12.412224</v>
      </c>
      <c r="LS132" s="37">
        <v>12.412224</v>
      </c>
      <c r="LT132" s="37">
        <v>12.412224</v>
      </c>
      <c r="LU132" s="37">
        <v>12.412224</v>
      </c>
      <c r="LV132" s="37">
        <v>12.412224</v>
      </c>
      <c r="LW132" s="37">
        <v>12.412224</v>
      </c>
      <c r="LX132" s="37">
        <v>12.412224</v>
      </c>
      <c r="LY132" s="37">
        <v>12.412224</v>
      </c>
      <c r="LZ132" s="37">
        <v>12.412224</v>
      </c>
      <c r="MA132" s="37">
        <v>12.412224</v>
      </c>
      <c r="MB132" s="37">
        <v>12.412224</v>
      </c>
      <c r="MC132" s="37">
        <v>12.412224</v>
      </c>
      <c r="MD132" s="37">
        <v>12.412224</v>
      </c>
      <c r="ME132" s="37">
        <v>12.412224</v>
      </c>
      <c r="MF132" s="37">
        <v>12.412224</v>
      </c>
      <c r="MG132" s="37">
        <v>12.412224</v>
      </c>
      <c r="MH132" s="37">
        <v>12.412224</v>
      </c>
      <c r="MI132" s="37">
        <v>12.412224</v>
      </c>
      <c r="MJ132" s="37">
        <v>12.412224</v>
      </c>
      <c r="MK132" s="37">
        <v>12.412224</v>
      </c>
      <c r="ML132" s="37">
        <v>12.412224</v>
      </c>
      <c r="MM132" s="37">
        <v>12.412224</v>
      </c>
      <c r="MN132" s="37">
        <v>12.412224</v>
      </c>
      <c r="MO132" s="37">
        <v>12.412224</v>
      </c>
      <c r="MP132" s="37">
        <v>12.412224</v>
      </c>
      <c r="MQ132" s="37">
        <v>12.412224</v>
      </c>
      <c r="MR132" s="37">
        <v>12.412224</v>
      </c>
      <c r="MS132" s="37">
        <v>12.412224</v>
      </c>
      <c r="MT132" s="37">
        <v>12.412224</v>
      </c>
      <c r="MU132" s="37">
        <v>12.412224</v>
      </c>
      <c r="MV132" s="37">
        <v>12.412224</v>
      </c>
      <c r="MW132" s="37">
        <v>12.412224</v>
      </c>
      <c r="MX132" s="37">
        <v>12.412224</v>
      </c>
      <c r="MY132" s="37">
        <v>12.412224</v>
      </c>
      <c r="MZ132" s="37">
        <v>12.412224</v>
      </c>
      <c r="NA132" s="37">
        <v>12.412224</v>
      </c>
      <c r="NB132" s="37">
        <v>12.412224</v>
      </c>
      <c r="NC132" s="37">
        <v>13.457663999999999</v>
      </c>
      <c r="ND132" s="37">
        <v>0</v>
      </c>
    </row>
    <row r="133" spans="1:368" x14ac:dyDescent="0.2">
      <c r="A133" s="37">
        <v>131</v>
      </c>
      <c r="B133" s="37" t="s">
        <v>1122</v>
      </c>
      <c r="C133" s="17">
        <f>+'Detalle Compras'!D133</f>
        <v>20231229703</v>
      </c>
      <c r="D133" s="55">
        <f t="shared" si="19"/>
        <v>11.097735</v>
      </c>
      <c r="E133" s="14">
        <f>+IF(B133="","",'Detalle Compras'!S133+0)</f>
        <v>45483</v>
      </c>
      <c r="F133" s="14">
        <f>+IF(B133="","",EOMONTH('Detalle Compras'!Q133,G133)+10)</f>
        <v>10846</v>
      </c>
      <c r="G133" s="50">
        <f t="shared" si="20"/>
        <v>355</v>
      </c>
      <c r="H133" s="50">
        <f t="shared" si="21"/>
        <v>337</v>
      </c>
      <c r="I133" s="37">
        <v>0</v>
      </c>
      <c r="J133" s="37">
        <v>0</v>
      </c>
      <c r="K133" s="37">
        <v>0</v>
      </c>
      <c r="L133" s="37">
        <v>0</v>
      </c>
      <c r="M133" s="37">
        <v>11.097735</v>
      </c>
      <c r="N133" s="37">
        <v>11.097735</v>
      </c>
      <c r="O133" s="37">
        <v>11.097735</v>
      </c>
      <c r="P133" s="37">
        <v>11.097735</v>
      </c>
      <c r="Q133" s="37">
        <v>11.097735</v>
      </c>
      <c r="R133" s="37">
        <v>11.097735</v>
      </c>
      <c r="S133" s="37">
        <v>11.097735</v>
      </c>
      <c r="T133" s="37">
        <v>11.097735</v>
      </c>
      <c r="U133" s="37">
        <v>11.097735</v>
      </c>
      <c r="V133" s="37">
        <v>11.097735</v>
      </c>
      <c r="W133" s="37">
        <v>11.097735</v>
      </c>
      <c r="X133" s="37">
        <v>11.097735</v>
      </c>
      <c r="Y133" s="37">
        <v>11.097735</v>
      </c>
      <c r="Z133" s="37">
        <v>11.097735</v>
      </c>
      <c r="AA133" s="37">
        <v>11.097735</v>
      </c>
      <c r="AB133" s="37">
        <v>11.097735</v>
      </c>
      <c r="AC133" s="37">
        <v>11.097735</v>
      </c>
      <c r="AD133" s="37">
        <v>11.097735</v>
      </c>
      <c r="AE133" s="37">
        <v>11.097735</v>
      </c>
      <c r="AF133" s="37">
        <v>11.097735</v>
      </c>
      <c r="AG133" s="37">
        <v>11.097735</v>
      </c>
      <c r="AH133" s="37">
        <v>11.097735</v>
      </c>
      <c r="AI133" s="37">
        <v>11.097735</v>
      </c>
      <c r="AJ133" s="37">
        <v>11.097735</v>
      </c>
      <c r="AK133" s="37">
        <v>11.097735</v>
      </c>
      <c r="AL133" s="37">
        <v>11.097735</v>
      </c>
      <c r="AM133" s="37">
        <v>11.097735</v>
      </c>
      <c r="AN133" s="37">
        <v>11.097735</v>
      </c>
      <c r="AO133" s="37">
        <v>11.097735</v>
      </c>
      <c r="AP133" s="37">
        <v>11.097735</v>
      </c>
      <c r="AQ133" s="37">
        <v>11.097735</v>
      </c>
      <c r="AR133" s="37">
        <v>11.097735</v>
      </c>
      <c r="AS133" s="37">
        <v>11.097735</v>
      </c>
      <c r="AT133" s="37">
        <v>11.097735</v>
      </c>
      <c r="AU133" s="37">
        <v>11.097735</v>
      </c>
      <c r="AV133" s="37">
        <v>11.097735</v>
      </c>
      <c r="AW133" s="37">
        <v>11.097735</v>
      </c>
      <c r="AX133" s="37">
        <v>11.097735</v>
      </c>
      <c r="AY133" s="37">
        <v>11.097735</v>
      </c>
      <c r="AZ133" s="37">
        <v>11.097735</v>
      </c>
      <c r="BA133" s="37">
        <v>11.097735</v>
      </c>
      <c r="BB133" s="37">
        <v>11.097735</v>
      </c>
      <c r="BC133" s="37">
        <v>11.097735</v>
      </c>
      <c r="BD133" s="37">
        <v>11.097735</v>
      </c>
      <c r="BE133" s="37">
        <v>11.097735</v>
      </c>
      <c r="BF133" s="37">
        <v>11.097735</v>
      </c>
      <c r="BG133" s="37">
        <v>11.097735</v>
      </c>
      <c r="BH133" s="37">
        <v>11.097735</v>
      </c>
      <c r="BI133" s="37">
        <v>11.097735</v>
      </c>
      <c r="BJ133" s="37">
        <v>11.097735</v>
      </c>
      <c r="BK133" s="37">
        <v>11.097735</v>
      </c>
      <c r="BL133" s="37">
        <v>11.097735</v>
      </c>
      <c r="BM133" s="37">
        <v>11.097735</v>
      </c>
      <c r="BN133" s="37">
        <v>11.097735</v>
      </c>
      <c r="BO133" s="37">
        <v>11.097735</v>
      </c>
      <c r="BP133" s="37">
        <v>11.097735</v>
      </c>
      <c r="BQ133" s="37">
        <v>11.097735</v>
      </c>
      <c r="BR133" s="37">
        <v>11.097735</v>
      </c>
      <c r="BS133" s="37">
        <v>11.097735</v>
      </c>
      <c r="BT133" s="37">
        <v>11.097735</v>
      </c>
      <c r="BU133" s="37">
        <v>11.097735</v>
      </c>
      <c r="BV133" s="37">
        <v>11.097735</v>
      </c>
      <c r="BW133" s="37">
        <v>11.097735</v>
      </c>
      <c r="BX133" s="37">
        <v>11.097735</v>
      </c>
      <c r="BY133" s="37">
        <v>11.097735</v>
      </c>
      <c r="BZ133" s="37">
        <v>11.097735</v>
      </c>
      <c r="CA133" s="37">
        <v>11.097735</v>
      </c>
      <c r="CB133" s="37">
        <v>11.097735</v>
      </c>
      <c r="CC133" s="37">
        <v>11.097735</v>
      </c>
      <c r="CD133" s="37">
        <v>11.097735</v>
      </c>
      <c r="CE133" s="37">
        <v>11.097735</v>
      </c>
      <c r="CF133" s="37">
        <v>11.097735</v>
      </c>
      <c r="CG133" s="37">
        <v>11.097735</v>
      </c>
      <c r="CH133" s="37">
        <v>11.097735</v>
      </c>
      <c r="CI133" s="37">
        <v>11.097735</v>
      </c>
      <c r="CJ133" s="37">
        <v>11.097735</v>
      </c>
      <c r="CK133" s="37">
        <v>11.097735</v>
      </c>
      <c r="CL133" s="37">
        <v>11.097735</v>
      </c>
      <c r="CM133" s="37">
        <v>11.097735</v>
      </c>
      <c r="CN133" s="37">
        <v>11.097735</v>
      </c>
      <c r="CO133" s="37">
        <v>11.097735</v>
      </c>
      <c r="CP133" s="37">
        <v>11.097735</v>
      </c>
      <c r="CQ133" s="37">
        <v>11.097735</v>
      </c>
      <c r="CR133" s="37">
        <v>11.097735</v>
      </c>
      <c r="CS133" s="37">
        <v>11.097735</v>
      </c>
      <c r="CT133" s="37">
        <v>11.097735</v>
      </c>
      <c r="CU133" s="37">
        <v>11.097735</v>
      </c>
      <c r="CV133" s="37">
        <v>11.097735</v>
      </c>
      <c r="CW133" s="37">
        <v>11.097735</v>
      </c>
      <c r="CX133" s="37">
        <v>11.097735</v>
      </c>
      <c r="CY133" s="37">
        <v>11.097735</v>
      </c>
      <c r="CZ133" s="37">
        <v>11.097735</v>
      </c>
      <c r="DA133" s="37">
        <v>11.097735</v>
      </c>
      <c r="DB133" s="37">
        <v>11.097735</v>
      </c>
      <c r="DC133" s="37">
        <v>11.097735</v>
      </c>
      <c r="DD133" s="37">
        <v>11.097735</v>
      </c>
      <c r="DE133" s="37">
        <v>11.097735</v>
      </c>
      <c r="DF133" s="37">
        <v>11.097735</v>
      </c>
      <c r="DG133" s="37">
        <v>11.097735</v>
      </c>
      <c r="DH133" s="37">
        <v>11.097735</v>
      </c>
      <c r="DI133" s="37">
        <v>11.097735</v>
      </c>
      <c r="DJ133" s="37">
        <v>11.097735</v>
      </c>
      <c r="DK133" s="37">
        <v>11.097735</v>
      </c>
      <c r="DL133" s="37">
        <v>11.097735</v>
      </c>
      <c r="DM133" s="37">
        <v>11.097735</v>
      </c>
      <c r="DN133" s="37">
        <v>11.097735</v>
      </c>
      <c r="DO133" s="37">
        <v>11.097735</v>
      </c>
      <c r="DP133" s="37">
        <v>11.097735</v>
      </c>
      <c r="DQ133" s="37">
        <v>11.097735</v>
      </c>
      <c r="DR133" s="37">
        <v>11.097735</v>
      </c>
      <c r="DS133" s="37">
        <v>11.097735</v>
      </c>
      <c r="DT133" s="37">
        <v>11.097735</v>
      </c>
      <c r="DU133" s="37">
        <v>11.097735</v>
      </c>
      <c r="DV133" s="37">
        <v>11.097735</v>
      </c>
      <c r="DW133" s="37">
        <v>11.097735</v>
      </c>
      <c r="DX133" s="37">
        <v>11.097735</v>
      </c>
      <c r="DY133" s="37">
        <v>11.097735</v>
      </c>
      <c r="DZ133" s="37">
        <v>11.097735</v>
      </c>
      <c r="EA133" s="37">
        <v>11.097735</v>
      </c>
      <c r="EB133" s="37">
        <v>11.097735</v>
      </c>
      <c r="EC133" s="37">
        <v>11.097735</v>
      </c>
      <c r="ED133" s="37">
        <v>11.097735</v>
      </c>
      <c r="EE133" s="37">
        <v>11.097735</v>
      </c>
      <c r="EF133" s="37">
        <v>11.097735</v>
      </c>
      <c r="EG133" s="37">
        <v>11.097735</v>
      </c>
      <c r="EH133" s="37">
        <v>11.097735</v>
      </c>
      <c r="EI133" s="37">
        <v>11.097735</v>
      </c>
      <c r="EJ133" s="37">
        <v>11.097735</v>
      </c>
      <c r="EK133" s="37">
        <v>11.097735</v>
      </c>
      <c r="EL133" s="37">
        <v>11.097735</v>
      </c>
      <c r="EM133" s="37">
        <v>11.097735</v>
      </c>
      <c r="EN133" s="37">
        <v>11.097735</v>
      </c>
      <c r="EO133" s="37">
        <v>11.097735</v>
      </c>
      <c r="EP133" s="37">
        <v>11.097735</v>
      </c>
      <c r="EQ133" s="37">
        <v>11.097735</v>
      </c>
      <c r="ER133" s="37">
        <v>11.097735</v>
      </c>
      <c r="ES133" s="37">
        <v>11.097735</v>
      </c>
      <c r="ET133" s="37">
        <v>11.097735</v>
      </c>
      <c r="EU133" s="37">
        <v>11.097735</v>
      </c>
      <c r="EV133" s="37">
        <v>11.097735</v>
      </c>
      <c r="EW133" s="37">
        <v>11.097735</v>
      </c>
      <c r="EX133" s="37">
        <v>11.097735</v>
      </c>
      <c r="EY133" s="37">
        <v>11.097735</v>
      </c>
      <c r="EZ133" s="37">
        <v>11.097735</v>
      </c>
      <c r="FA133" s="37">
        <v>11.097735</v>
      </c>
      <c r="FB133" s="37">
        <v>11.097735</v>
      </c>
      <c r="FC133" s="37">
        <v>11.097735</v>
      </c>
      <c r="FD133" s="37">
        <v>11.097735</v>
      </c>
      <c r="FE133" s="37">
        <v>11.097735</v>
      </c>
      <c r="FF133" s="37">
        <v>11.097735</v>
      </c>
      <c r="FG133" s="37">
        <v>11.097735</v>
      </c>
      <c r="FH133" s="37">
        <v>11.097735</v>
      </c>
      <c r="FI133" s="37">
        <v>11.097735</v>
      </c>
      <c r="FJ133" s="37">
        <v>11.097735</v>
      </c>
      <c r="FK133" s="37">
        <v>11.097735</v>
      </c>
      <c r="FL133" s="37">
        <v>11.097735</v>
      </c>
      <c r="FM133" s="37">
        <v>11.097735</v>
      </c>
      <c r="FN133" s="37">
        <v>11.097735</v>
      </c>
      <c r="FO133" s="37">
        <v>11.097735</v>
      </c>
      <c r="FP133" s="37">
        <v>11.097735</v>
      </c>
      <c r="FQ133" s="37">
        <v>11.097735</v>
      </c>
      <c r="FR133" s="37">
        <v>11.097735</v>
      </c>
      <c r="FS133" s="37">
        <v>11.097735</v>
      </c>
      <c r="FT133" s="37">
        <v>11.097735</v>
      </c>
      <c r="FU133" s="37">
        <v>11.097735</v>
      </c>
      <c r="FV133" s="37">
        <v>11.097735</v>
      </c>
      <c r="FW133" s="37">
        <v>11.097735</v>
      </c>
      <c r="FX133" s="37">
        <v>11.097735</v>
      </c>
      <c r="FY133" s="37">
        <v>11.097735</v>
      </c>
      <c r="FZ133" s="37">
        <v>11.097735</v>
      </c>
      <c r="GA133" s="37">
        <v>11.097735</v>
      </c>
      <c r="GB133" s="37">
        <v>11.097735</v>
      </c>
      <c r="GC133" s="37">
        <v>11.097735</v>
      </c>
      <c r="GD133" s="37">
        <v>11.097735</v>
      </c>
      <c r="GE133" s="37">
        <v>11.097735</v>
      </c>
      <c r="GF133" s="37">
        <v>11.097735</v>
      </c>
      <c r="GG133" s="37">
        <v>11.097735</v>
      </c>
      <c r="GH133" s="37">
        <v>11.097735</v>
      </c>
      <c r="GI133" s="37">
        <v>11.097735</v>
      </c>
      <c r="GJ133" s="37">
        <v>11.097735</v>
      </c>
      <c r="GK133" s="37">
        <v>11.097735</v>
      </c>
      <c r="GL133" s="37">
        <v>11.097735</v>
      </c>
      <c r="GM133" s="37">
        <v>11.097735</v>
      </c>
      <c r="GN133" s="37">
        <v>11.097735</v>
      </c>
      <c r="GO133" s="37">
        <v>11.097735</v>
      </c>
      <c r="GP133" s="37">
        <v>11.097735</v>
      </c>
      <c r="GQ133" s="37">
        <v>11.097735</v>
      </c>
      <c r="GR133" s="37">
        <v>11.097735</v>
      </c>
      <c r="GS133" s="37">
        <v>11.097735</v>
      </c>
      <c r="GT133" s="37">
        <v>11.097735</v>
      </c>
      <c r="GU133" s="37">
        <v>11.097735</v>
      </c>
      <c r="GV133" s="37">
        <v>11.097735</v>
      </c>
      <c r="GW133" s="37">
        <v>11.097735</v>
      </c>
      <c r="GX133" s="37">
        <v>11.097735</v>
      </c>
      <c r="GY133" s="37">
        <v>11.097735</v>
      </c>
      <c r="GZ133" s="37">
        <v>11.097735</v>
      </c>
      <c r="HA133" s="37">
        <v>11.097735</v>
      </c>
      <c r="HB133" s="37">
        <v>11.097735</v>
      </c>
      <c r="HC133" s="37">
        <v>11.097735</v>
      </c>
      <c r="HD133" s="37">
        <v>11.097735</v>
      </c>
      <c r="HE133" s="37">
        <v>11.097735</v>
      </c>
      <c r="HF133" s="37">
        <v>11.097735</v>
      </c>
      <c r="HG133" s="37">
        <v>11.097735</v>
      </c>
      <c r="HH133" s="37">
        <v>11.097735</v>
      </c>
      <c r="HI133" s="37">
        <v>11.097735</v>
      </c>
      <c r="HJ133" s="37">
        <v>11.097735</v>
      </c>
      <c r="HK133" s="37">
        <v>11.097735</v>
      </c>
      <c r="HL133" s="37">
        <v>11.097735</v>
      </c>
      <c r="HM133" s="37">
        <v>11.097735</v>
      </c>
      <c r="HN133" s="37">
        <v>11.097735</v>
      </c>
      <c r="HO133" s="37">
        <v>11.097735</v>
      </c>
      <c r="HP133" s="37">
        <v>11.097735</v>
      </c>
      <c r="HQ133" s="37">
        <v>11.097735</v>
      </c>
      <c r="HR133" s="37">
        <v>11.097735</v>
      </c>
      <c r="HS133" s="37">
        <v>11.097735</v>
      </c>
      <c r="HT133" s="37">
        <v>11.097735</v>
      </c>
      <c r="HU133" s="37">
        <v>11.097735</v>
      </c>
      <c r="HV133" s="37">
        <v>11.097735</v>
      </c>
      <c r="HW133" s="37">
        <v>11.097735</v>
      </c>
      <c r="HX133" s="37">
        <v>11.097735</v>
      </c>
      <c r="HY133" s="37">
        <v>11.097735</v>
      </c>
      <c r="HZ133" s="37">
        <v>11.097735</v>
      </c>
      <c r="IA133" s="37">
        <v>11.097735</v>
      </c>
      <c r="IB133" s="37">
        <v>11.097735</v>
      </c>
      <c r="IC133" s="37">
        <v>11.097735</v>
      </c>
      <c r="ID133" s="37">
        <v>11.097735</v>
      </c>
      <c r="IE133" s="37">
        <v>11.097735</v>
      </c>
      <c r="IF133" s="37">
        <v>11.097735</v>
      </c>
      <c r="IG133" s="37">
        <v>11.097735</v>
      </c>
      <c r="IH133" s="37">
        <v>11.097735</v>
      </c>
      <c r="II133" s="37">
        <v>11.097735</v>
      </c>
      <c r="IJ133" s="37">
        <v>11.097735</v>
      </c>
      <c r="IK133" s="37">
        <v>11.097735</v>
      </c>
      <c r="IL133" s="37">
        <v>11.097735</v>
      </c>
      <c r="IM133" s="37">
        <v>11.097735</v>
      </c>
      <c r="IN133" s="37">
        <v>11.097735</v>
      </c>
      <c r="IO133" s="37">
        <v>11.097735</v>
      </c>
      <c r="IP133" s="37">
        <v>11.097735</v>
      </c>
      <c r="IQ133" s="37">
        <v>11.097735</v>
      </c>
      <c r="IR133" s="37">
        <v>11.097735</v>
      </c>
      <c r="IS133" s="37">
        <v>11.097735</v>
      </c>
      <c r="IT133" s="37">
        <v>11.097735</v>
      </c>
      <c r="IU133" s="37">
        <v>11.097735</v>
      </c>
      <c r="IV133" s="37">
        <v>11.097735</v>
      </c>
      <c r="IW133" s="37">
        <v>11.097735</v>
      </c>
      <c r="IX133" s="37">
        <v>11.097735</v>
      </c>
      <c r="IY133" s="37">
        <v>11.097735</v>
      </c>
      <c r="IZ133" s="37">
        <v>11.097735</v>
      </c>
      <c r="JA133" s="37">
        <v>11.097735</v>
      </c>
      <c r="JB133" s="37">
        <v>11.097735</v>
      </c>
      <c r="JC133" s="37">
        <v>11.097735</v>
      </c>
      <c r="JD133" s="37">
        <v>11.097735</v>
      </c>
      <c r="JE133" s="37">
        <v>11.097735</v>
      </c>
      <c r="JF133" s="37">
        <v>11.097735</v>
      </c>
      <c r="JG133" s="37">
        <v>11.097735</v>
      </c>
      <c r="JH133" s="37">
        <v>11.097735</v>
      </c>
      <c r="JI133" s="37">
        <v>11.097735</v>
      </c>
      <c r="JJ133" s="37">
        <v>11.097735</v>
      </c>
      <c r="JK133" s="37">
        <v>11.097735</v>
      </c>
      <c r="JL133" s="37">
        <v>11.097735</v>
      </c>
      <c r="JM133" s="37">
        <v>11.097735</v>
      </c>
      <c r="JN133" s="37">
        <v>11.097735</v>
      </c>
      <c r="JO133" s="37">
        <v>11.097735</v>
      </c>
      <c r="JP133" s="37">
        <v>11.097735</v>
      </c>
      <c r="JQ133" s="37">
        <v>11.097735</v>
      </c>
      <c r="JR133" s="37">
        <v>11.097735</v>
      </c>
      <c r="JS133" s="37">
        <v>11.097735</v>
      </c>
      <c r="JT133" s="37">
        <v>11.097735</v>
      </c>
      <c r="JU133" s="37">
        <v>11.097735</v>
      </c>
      <c r="JV133" s="37">
        <v>11.097735</v>
      </c>
      <c r="JW133" s="37">
        <v>11.097735</v>
      </c>
      <c r="JX133" s="37">
        <v>11.097735</v>
      </c>
      <c r="JY133" s="37">
        <v>11.097735</v>
      </c>
      <c r="JZ133" s="37">
        <v>11.097735</v>
      </c>
      <c r="KA133" s="37">
        <v>11.097735</v>
      </c>
      <c r="KB133" s="37">
        <v>11.097735</v>
      </c>
      <c r="KC133" s="37">
        <v>11.097735</v>
      </c>
      <c r="KD133" s="37">
        <v>11.097735</v>
      </c>
      <c r="KE133" s="37">
        <v>11.097735</v>
      </c>
      <c r="KF133" s="37">
        <v>11.097735</v>
      </c>
      <c r="KG133" s="37">
        <v>11.097735</v>
      </c>
      <c r="KH133" s="37">
        <v>11.097735</v>
      </c>
      <c r="KI133" s="37">
        <v>11.097735</v>
      </c>
      <c r="KJ133" s="37">
        <v>11.097735</v>
      </c>
      <c r="KK133" s="37">
        <v>11.097735</v>
      </c>
      <c r="KL133" s="37">
        <v>11.097735</v>
      </c>
      <c r="KM133" s="37">
        <v>11.097735</v>
      </c>
      <c r="KN133" s="37">
        <v>11.097735</v>
      </c>
      <c r="KO133" s="37">
        <v>11.097735</v>
      </c>
      <c r="KP133" s="37">
        <v>11.097735</v>
      </c>
      <c r="KQ133" s="37">
        <v>11.097735</v>
      </c>
      <c r="KR133" s="37">
        <v>11.097735</v>
      </c>
      <c r="KS133" s="37">
        <v>11.097735</v>
      </c>
      <c r="KT133" s="37">
        <v>11.097735</v>
      </c>
      <c r="KU133" s="37">
        <v>11.097735</v>
      </c>
      <c r="KV133" s="37">
        <v>11.097735</v>
      </c>
      <c r="KW133" s="37">
        <v>11.097735</v>
      </c>
      <c r="KX133" s="37">
        <v>11.097735</v>
      </c>
      <c r="KY133" s="37">
        <v>11.097735</v>
      </c>
      <c r="KZ133" s="37">
        <v>11.097735</v>
      </c>
      <c r="LA133" s="37">
        <v>11.097735</v>
      </c>
      <c r="LB133" s="37">
        <v>11.097735</v>
      </c>
      <c r="LC133" s="37">
        <v>11.097735</v>
      </c>
      <c r="LD133" s="37">
        <v>11.097735</v>
      </c>
      <c r="LE133" s="37">
        <v>11.097735</v>
      </c>
      <c r="LF133" s="37">
        <v>11.097735</v>
      </c>
      <c r="LG133" s="37">
        <v>11.097735</v>
      </c>
      <c r="LH133" s="37">
        <v>11.097735</v>
      </c>
      <c r="LI133" s="37">
        <v>11.097735</v>
      </c>
      <c r="LJ133" s="37">
        <v>11.097735</v>
      </c>
      <c r="LK133" s="37">
        <v>11.097735</v>
      </c>
      <c r="LL133" s="37">
        <v>11.097735</v>
      </c>
      <c r="LM133" s="37">
        <v>11.097735</v>
      </c>
      <c r="LN133" s="37">
        <v>11.097735</v>
      </c>
      <c r="LO133" s="37">
        <v>11.097735</v>
      </c>
      <c r="LP133" s="37">
        <v>11.097735</v>
      </c>
      <c r="LQ133" s="37">
        <v>11.097735</v>
      </c>
      <c r="LR133" s="37">
        <v>11.097735</v>
      </c>
      <c r="LS133" s="37">
        <v>11.097735</v>
      </c>
      <c r="LT133" s="37">
        <v>11.097735</v>
      </c>
      <c r="LU133" s="37">
        <v>11.097735</v>
      </c>
      <c r="LV133" s="37">
        <v>11.097735</v>
      </c>
      <c r="LW133" s="37">
        <v>11.097735</v>
      </c>
      <c r="LX133" s="37">
        <v>11.097735</v>
      </c>
      <c r="LY133" s="37">
        <v>11.097735</v>
      </c>
      <c r="LZ133" s="37">
        <v>11.097735</v>
      </c>
      <c r="MA133" s="37">
        <v>11.097735</v>
      </c>
      <c r="MB133" s="37">
        <v>11.097735</v>
      </c>
      <c r="MC133" s="37">
        <v>11.097735</v>
      </c>
      <c r="MD133" s="37">
        <v>11.097735</v>
      </c>
      <c r="ME133" s="37">
        <v>11.097735</v>
      </c>
      <c r="MF133" s="37">
        <v>11.097735</v>
      </c>
      <c r="MG133" s="37">
        <v>11.097735</v>
      </c>
      <c r="MH133" s="37">
        <v>11.097735</v>
      </c>
      <c r="MI133" s="37">
        <v>11.097735</v>
      </c>
      <c r="MJ133" s="37">
        <v>11.097735</v>
      </c>
      <c r="MK133" s="37">
        <v>11.097735</v>
      </c>
      <c r="ML133" s="37">
        <v>11.097735</v>
      </c>
      <c r="MM133" s="37">
        <v>11.097735</v>
      </c>
      <c r="MN133" s="37">
        <v>11.097735</v>
      </c>
      <c r="MO133" s="37">
        <v>11.097735</v>
      </c>
      <c r="MP133" s="37">
        <v>11.097735</v>
      </c>
      <c r="MQ133" s="37">
        <v>11.097735</v>
      </c>
      <c r="MR133" s="37">
        <v>11.097735</v>
      </c>
      <c r="MS133" s="37">
        <v>11.097735</v>
      </c>
      <c r="MT133" s="37">
        <v>11.097735</v>
      </c>
      <c r="MU133" s="37">
        <v>11.097735</v>
      </c>
      <c r="MV133" s="37">
        <v>11.097735</v>
      </c>
      <c r="MW133" s="37">
        <v>11.097735</v>
      </c>
      <c r="MX133" s="37">
        <v>11.097735</v>
      </c>
      <c r="MY133" s="37">
        <v>11.097735</v>
      </c>
      <c r="MZ133" s="37">
        <v>11.097735</v>
      </c>
      <c r="NA133" s="37">
        <v>11.097735</v>
      </c>
      <c r="NB133" s="37">
        <v>11.097735</v>
      </c>
      <c r="NC133" s="37">
        <v>12.03246</v>
      </c>
      <c r="ND133" s="37">
        <v>0</v>
      </c>
    </row>
    <row r="134" spans="1:368" x14ac:dyDescent="0.2">
      <c r="A134" s="37">
        <v>132</v>
      </c>
      <c r="B134" s="37" t="s">
        <v>1127</v>
      </c>
      <c r="C134" s="17">
        <f>+'Detalle Compras'!D134</f>
        <v>20231229705</v>
      </c>
      <c r="D134" s="55">
        <f t="shared" si="19"/>
        <v>12.247014999999999</v>
      </c>
      <c r="E134" s="14">
        <f>+IF(B134="","",'Detalle Compras'!S134+0)</f>
        <v>45483</v>
      </c>
      <c r="F134" s="14">
        <f>+IF(B134="","",EOMONTH('Detalle Compras'!Q134,G134)+10)</f>
        <v>10846</v>
      </c>
      <c r="G134" s="50">
        <f t="shared" si="20"/>
        <v>355</v>
      </c>
      <c r="H134" s="50">
        <f t="shared" si="21"/>
        <v>337</v>
      </c>
      <c r="I134" s="37">
        <v>0</v>
      </c>
      <c r="J134" s="37">
        <v>0</v>
      </c>
      <c r="K134" s="37">
        <v>0</v>
      </c>
      <c r="L134" s="37">
        <v>0</v>
      </c>
      <c r="M134" s="37">
        <v>12.247014999999999</v>
      </c>
      <c r="N134" s="37">
        <v>12.247014999999999</v>
      </c>
      <c r="O134" s="37">
        <v>12.247014999999999</v>
      </c>
      <c r="P134" s="37">
        <v>12.247014999999999</v>
      </c>
      <c r="Q134" s="37">
        <v>12.247014999999999</v>
      </c>
      <c r="R134" s="37">
        <v>12.247014999999999</v>
      </c>
      <c r="S134" s="37">
        <v>12.247014999999999</v>
      </c>
      <c r="T134" s="37">
        <v>12.247014999999999</v>
      </c>
      <c r="U134" s="37">
        <v>12.247014999999999</v>
      </c>
      <c r="V134" s="37">
        <v>12.247014999999999</v>
      </c>
      <c r="W134" s="37">
        <v>12.247014999999999</v>
      </c>
      <c r="X134" s="37">
        <v>12.247014999999999</v>
      </c>
      <c r="Y134" s="37">
        <v>12.247014999999999</v>
      </c>
      <c r="Z134" s="37">
        <v>12.247014999999999</v>
      </c>
      <c r="AA134" s="37">
        <v>12.247014999999999</v>
      </c>
      <c r="AB134" s="37">
        <v>12.247014999999999</v>
      </c>
      <c r="AC134" s="37">
        <v>12.247014999999999</v>
      </c>
      <c r="AD134" s="37">
        <v>12.247014999999999</v>
      </c>
      <c r="AE134" s="37">
        <v>12.247014999999999</v>
      </c>
      <c r="AF134" s="37">
        <v>12.247014999999999</v>
      </c>
      <c r="AG134" s="37">
        <v>12.247014999999999</v>
      </c>
      <c r="AH134" s="37">
        <v>12.247014999999999</v>
      </c>
      <c r="AI134" s="37">
        <v>12.247014999999999</v>
      </c>
      <c r="AJ134" s="37">
        <v>12.247014999999999</v>
      </c>
      <c r="AK134" s="37">
        <v>12.247014999999999</v>
      </c>
      <c r="AL134" s="37">
        <v>12.247014999999999</v>
      </c>
      <c r="AM134" s="37">
        <v>12.247014999999999</v>
      </c>
      <c r="AN134" s="37">
        <v>12.247014999999999</v>
      </c>
      <c r="AO134" s="37">
        <v>12.247014999999999</v>
      </c>
      <c r="AP134" s="37">
        <v>12.247014999999999</v>
      </c>
      <c r="AQ134" s="37">
        <v>12.247014999999999</v>
      </c>
      <c r="AR134" s="37">
        <v>12.247014999999999</v>
      </c>
      <c r="AS134" s="37">
        <v>12.247014999999999</v>
      </c>
      <c r="AT134" s="37">
        <v>12.247014999999999</v>
      </c>
      <c r="AU134" s="37">
        <v>12.247014999999999</v>
      </c>
      <c r="AV134" s="37">
        <v>12.247014999999999</v>
      </c>
      <c r="AW134" s="37">
        <v>12.247014999999999</v>
      </c>
      <c r="AX134" s="37">
        <v>12.247014999999999</v>
      </c>
      <c r="AY134" s="37">
        <v>12.247014999999999</v>
      </c>
      <c r="AZ134" s="37">
        <v>12.247014999999999</v>
      </c>
      <c r="BA134" s="37">
        <v>12.247014999999999</v>
      </c>
      <c r="BB134" s="37">
        <v>12.247014999999999</v>
      </c>
      <c r="BC134" s="37">
        <v>12.247014999999999</v>
      </c>
      <c r="BD134" s="37">
        <v>12.247014999999999</v>
      </c>
      <c r="BE134" s="37">
        <v>12.247014999999999</v>
      </c>
      <c r="BF134" s="37">
        <v>12.247014999999999</v>
      </c>
      <c r="BG134" s="37">
        <v>12.247014999999999</v>
      </c>
      <c r="BH134" s="37">
        <v>12.247014999999999</v>
      </c>
      <c r="BI134" s="37">
        <v>12.247014999999999</v>
      </c>
      <c r="BJ134" s="37">
        <v>12.247014999999999</v>
      </c>
      <c r="BK134" s="37">
        <v>12.247014999999999</v>
      </c>
      <c r="BL134" s="37">
        <v>12.247014999999999</v>
      </c>
      <c r="BM134" s="37">
        <v>12.247014999999999</v>
      </c>
      <c r="BN134" s="37">
        <v>12.247014999999999</v>
      </c>
      <c r="BO134" s="37">
        <v>12.247014999999999</v>
      </c>
      <c r="BP134" s="37">
        <v>12.247014999999999</v>
      </c>
      <c r="BQ134" s="37">
        <v>12.247014999999999</v>
      </c>
      <c r="BR134" s="37">
        <v>12.247014999999999</v>
      </c>
      <c r="BS134" s="37">
        <v>12.247014999999999</v>
      </c>
      <c r="BT134" s="37">
        <v>12.247014999999999</v>
      </c>
      <c r="BU134" s="37">
        <v>12.247014999999999</v>
      </c>
      <c r="BV134" s="37">
        <v>12.247014999999999</v>
      </c>
      <c r="BW134" s="37">
        <v>12.247014999999999</v>
      </c>
      <c r="BX134" s="37">
        <v>12.247014999999999</v>
      </c>
      <c r="BY134" s="37">
        <v>12.247014999999999</v>
      </c>
      <c r="BZ134" s="37">
        <v>12.247014999999999</v>
      </c>
      <c r="CA134" s="37">
        <v>12.247014999999999</v>
      </c>
      <c r="CB134" s="37">
        <v>12.247014999999999</v>
      </c>
      <c r="CC134" s="37">
        <v>12.247014999999999</v>
      </c>
      <c r="CD134" s="37">
        <v>12.247014999999999</v>
      </c>
      <c r="CE134" s="37">
        <v>12.247014999999999</v>
      </c>
      <c r="CF134" s="37">
        <v>12.247014999999999</v>
      </c>
      <c r="CG134" s="37">
        <v>12.247014999999999</v>
      </c>
      <c r="CH134" s="37">
        <v>12.247014999999999</v>
      </c>
      <c r="CI134" s="37">
        <v>12.247014999999999</v>
      </c>
      <c r="CJ134" s="37">
        <v>12.247014999999999</v>
      </c>
      <c r="CK134" s="37">
        <v>12.247014999999999</v>
      </c>
      <c r="CL134" s="37">
        <v>12.247014999999999</v>
      </c>
      <c r="CM134" s="37">
        <v>12.247014999999999</v>
      </c>
      <c r="CN134" s="37">
        <v>12.247014999999999</v>
      </c>
      <c r="CO134" s="37">
        <v>12.247014999999999</v>
      </c>
      <c r="CP134" s="37">
        <v>12.247014999999999</v>
      </c>
      <c r="CQ134" s="37">
        <v>12.247014999999999</v>
      </c>
      <c r="CR134" s="37">
        <v>12.247014999999999</v>
      </c>
      <c r="CS134" s="37">
        <v>12.247014999999999</v>
      </c>
      <c r="CT134" s="37">
        <v>12.247014999999999</v>
      </c>
      <c r="CU134" s="37">
        <v>12.247014999999999</v>
      </c>
      <c r="CV134" s="37">
        <v>12.247014999999999</v>
      </c>
      <c r="CW134" s="37">
        <v>12.247014999999999</v>
      </c>
      <c r="CX134" s="37">
        <v>12.247014999999999</v>
      </c>
      <c r="CY134" s="37">
        <v>12.247014999999999</v>
      </c>
      <c r="CZ134" s="37">
        <v>12.247014999999999</v>
      </c>
      <c r="DA134" s="37">
        <v>12.247014999999999</v>
      </c>
      <c r="DB134" s="37">
        <v>12.247014999999999</v>
      </c>
      <c r="DC134" s="37">
        <v>12.247014999999999</v>
      </c>
      <c r="DD134" s="37">
        <v>12.247014999999999</v>
      </c>
      <c r="DE134" s="37">
        <v>12.247014999999999</v>
      </c>
      <c r="DF134" s="37">
        <v>12.247014999999999</v>
      </c>
      <c r="DG134" s="37">
        <v>12.247014999999999</v>
      </c>
      <c r="DH134" s="37">
        <v>12.247014999999999</v>
      </c>
      <c r="DI134" s="37">
        <v>12.247014999999999</v>
      </c>
      <c r="DJ134" s="37">
        <v>12.247014999999999</v>
      </c>
      <c r="DK134" s="37">
        <v>12.247014999999999</v>
      </c>
      <c r="DL134" s="37">
        <v>12.247014999999999</v>
      </c>
      <c r="DM134" s="37">
        <v>12.247014999999999</v>
      </c>
      <c r="DN134" s="37">
        <v>12.247014999999999</v>
      </c>
      <c r="DO134" s="37">
        <v>12.247014999999999</v>
      </c>
      <c r="DP134" s="37">
        <v>12.247014999999999</v>
      </c>
      <c r="DQ134" s="37">
        <v>12.247014999999999</v>
      </c>
      <c r="DR134" s="37">
        <v>12.247014999999999</v>
      </c>
      <c r="DS134" s="37">
        <v>12.247014999999999</v>
      </c>
      <c r="DT134" s="37">
        <v>12.247014999999999</v>
      </c>
      <c r="DU134" s="37">
        <v>12.247014999999999</v>
      </c>
      <c r="DV134" s="37">
        <v>12.247014999999999</v>
      </c>
      <c r="DW134" s="37">
        <v>12.247014999999999</v>
      </c>
      <c r="DX134" s="37">
        <v>12.247014999999999</v>
      </c>
      <c r="DY134" s="37">
        <v>12.247014999999999</v>
      </c>
      <c r="DZ134" s="37">
        <v>12.247014999999999</v>
      </c>
      <c r="EA134" s="37">
        <v>12.247014999999999</v>
      </c>
      <c r="EB134" s="37">
        <v>12.247014999999999</v>
      </c>
      <c r="EC134" s="37">
        <v>12.247014999999999</v>
      </c>
      <c r="ED134" s="37">
        <v>12.247014999999999</v>
      </c>
      <c r="EE134" s="37">
        <v>12.247014999999999</v>
      </c>
      <c r="EF134" s="37">
        <v>12.247014999999999</v>
      </c>
      <c r="EG134" s="37">
        <v>12.247014999999999</v>
      </c>
      <c r="EH134" s="37">
        <v>12.247014999999999</v>
      </c>
      <c r="EI134" s="37">
        <v>12.247014999999999</v>
      </c>
      <c r="EJ134" s="37">
        <v>12.247014999999999</v>
      </c>
      <c r="EK134" s="37">
        <v>12.247014999999999</v>
      </c>
      <c r="EL134" s="37">
        <v>12.247014999999999</v>
      </c>
      <c r="EM134" s="37">
        <v>12.247014999999999</v>
      </c>
      <c r="EN134" s="37">
        <v>12.247014999999999</v>
      </c>
      <c r="EO134" s="37">
        <v>12.247014999999999</v>
      </c>
      <c r="EP134" s="37">
        <v>12.247014999999999</v>
      </c>
      <c r="EQ134" s="37">
        <v>12.247014999999999</v>
      </c>
      <c r="ER134" s="37">
        <v>12.247014999999999</v>
      </c>
      <c r="ES134" s="37">
        <v>12.247014999999999</v>
      </c>
      <c r="ET134" s="37">
        <v>12.247014999999999</v>
      </c>
      <c r="EU134" s="37">
        <v>12.247014999999999</v>
      </c>
      <c r="EV134" s="37">
        <v>12.247014999999999</v>
      </c>
      <c r="EW134" s="37">
        <v>12.247014999999999</v>
      </c>
      <c r="EX134" s="37">
        <v>12.247014999999999</v>
      </c>
      <c r="EY134" s="37">
        <v>12.247014999999999</v>
      </c>
      <c r="EZ134" s="37">
        <v>12.247014999999999</v>
      </c>
      <c r="FA134" s="37">
        <v>12.247014999999999</v>
      </c>
      <c r="FB134" s="37">
        <v>12.247014999999999</v>
      </c>
      <c r="FC134" s="37">
        <v>12.247014999999999</v>
      </c>
      <c r="FD134" s="37">
        <v>12.247014999999999</v>
      </c>
      <c r="FE134" s="37">
        <v>12.247014999999999</v>
      </c>
      <c r="FF134" s="37">
        <v>12.247014999999999</v>
      </c>
      <c r="FG134" s="37">
        <v>12.247014999999999</v>
      </c>
      <c r="FH134" s="37">
        <v>12.247014999999999</v>
      </c>
      <c r="FI134" s="37">
        <v>12.247014999999999</v>
      </c>
      <c r="FJ134" s="37">
        <v>12.247014999999999</v>
      </c>
      <c r="FK134" s="37">
        <v>12.247014999999999</v>
      </c>
      <c r="FL134" s="37">
        <v>12.247014999999999</v>
      </c>
      <c r="FM134" s="37">
        <v>12.247014999999999</v>
      </c>
      <c r="FN134" s="37">
        <v>12.247014999999999</v>
      </c>
      <c r="FO134" s="37">
        <v>12.247014999999999</v>
      </c>
      <c r="FP134" s="37">
        <v>12.247014999999999</v>
      </c>
      <c r="FQ134" s="37">
        <v>12.247014999999999</v>
      </c>
      <c r="FR134" s="37">
        <v>12.247014999999999</v>
      </c>
      <c r="FS134" s="37">
        <v>12.247014999999999</v>
      </c>
      <c r="FT134" s="37">
        <v>12.247014999999999</v>
      </c>
      <c r="FU134" s="37">
        <v>12.247014999999999</v>
      </c>
      <c r="FV134" s="37">
        <v>12.247014999999999</v>
      </c>
      <c r="FW134" s="37">
        <v>12.247014999999999</v>
      </c>
      <c r="FX134" s="37">
        <v>12.247014999999999</v>
      </c>
      <c r="FY134" s="37">
        <v>12.247014999999999</v>
      </c>
      <c r="FZ134" s="37">
        <v>12.247014999999999</v>
      </c>
      <c r="GA134" s="37">
        <v>12.247014999999999</v>
      </c>
      <c r="GB134" s="37">
        <v>12.247014999999999</v>
      </c>
      <c r="GC134" s="37">
        <v>12.247014999999999</v>
      </c>
      <c r="GD134" s="37">
        <v>12.247014999999999</v>
      </c>
      <c r="GE134" s="37">
        <v>12.247014999999999</v>
      </c>
      <c r="GF134" s="37">
        <v>12.247014999999999</v>
      </c>
      <c r="GG134" s="37">
        <v>12.247014999999999</v>
      </c>
      <c r="GH134" s="37">
        <v>12.247014999999999</v>
      </c>
      <c r="GI134" s="37">
        <v>12.247014999999999</v>
      </c>
      <c r="GJ134" s="37">
        <v>12.247014999999999</v>
      </c>
      <c r="GK134" s="37">
        <v>12.247014999999999</v>
      </c>
      <c r="GL134" s="37">
        <v>12.247014999999999</v>
      </c>
      <c r="GM134" s="37">
        <v>12.247014999999999</v>
      </c>
      <c r="GN134" s="37">
        <v>12.247014999999999</v>
      </c>
      <c r="GO134" s="37">
        <v>12.247014999999999</v>
      </c>
      <c r="GP134" s="37">
        <v>12.247014999999999</v>
      </c>
      <c r="GQ134" s="37">
        <v>12.247014999999999</v>
      </c>
      <c r="GR134" s="37">
        <v>12.247014999999999</v>
      </c>
      <c r="GS134" s="37">
        <v>12.247014999999999</v>
      </c>
      <c r="GT134" s="37">
        <v>12.247014999999999</v>
      </c>
      <c r="GU134" s="37">
        <v>12.247014999999999</v>
      </c>
      <c r="GV134" s="37">
        <v>12.247014999999999</v>
      </c>
      <c r="GW134" s="37">
        <v>12.247014999999999</v>
      </c>
      <c r="GX134" s="37">
        <v>12.247014999999999</v>
      </c>
      <c r="GY134" s="37">
        <v>12.247014999999999</v>
      </c>
      <c r="GZ134" s="37">
        <v>12.247014999999999</v>
      </c>
      <c r="HA134" s="37">
        <v>12.247014999999999</v>
      </c>
      <c r="HB134" s="37">
        <v>12.247014999999999</v>
      </c>
      <c r="HC134" s="37">
        <v>12.247014999999999</v>
      </c>
      <c r="HD134" s="37">
        <v>12.247014999999999</v>
      </c>
      <c r="HE134" s="37">
        <v>12.247014999999999</v>
      </c>
      <c r="HF134" s="37">
        <v>12.247014999999999</v>
      </c>
      <c r="HG134" s="37">
        <v>12.247014999999999</v>
      </c>
      <c r="HH134" s="37">
        <v>12.247014999999999</v>
      </c>
      <c r="HI134" s="37">
        <v>12.247014999999999</v>
      </c>
      <c r="HJ134" s="37">
        <v>12.247014999999999</v>
      </c>
      <c r="HK134" s="37">
        <v>12.247014999999999</v>
      </c>
      <c r="HL134" s="37">
        <v>12.247014999999999</v>
      </c>
      <c r="HM134" s="37">
        <v>12.247014999999999</v>
      </c>
      <c r="HN134" s="37">
        <v>12.247014999999999</v>
      </c>
      <c r="HO134" s="37">
        <v>12.247014999999999</v>
      </c>
      <c r="HP134" s="37">
        <v>12.247014999999999</v>
      </c>
      <c r="HQ134" s="37">
        <v>12.247014999999999</v>
      </c>
      <c r="HR134" s="37">
        <v>12.247014999999999</v>
      </c>
      <c r="HS134" s="37">
        <v>12.247014999999999</v>
      </c>
      <c r="HT134" s="37">
        <v>12.247014999999999</v>
      </c>
      <c r="HU134" s="37">
        <v>12.247014999999999</v>
      </c>
      <c r="HV134" s="37">
        <v>12.247014999999999</v>
      </c>
      <c r="HW134" s="37">
        <v>12.247014999999999</v>
      </c>
      <c r="HX134" s="37">
        <v>12.247014999999999</v>
      </c>
      <c r="HY134" s="37">
        <v>12.247014999999999</v>
      </c>
      <c r="HZ134" s="37">
        <v>12.247014999999999</v>
      </c>
      <c r="IA134" s="37">
        <v>12.247014999999999</v>
      </c>
      <c r="IB134" s="37">
        <v>12.247014999999999</v>
      </c>
      <c r="IC134" s="37">
        <v>12.247014999999999</v>
      </c>
      <c r="ID134" s="37">
        <v>12.247014999999999</v>
      </c>
      <c r="IE134" s="37">
        <v>12.247014999999999</v>
      </c>
      <c r="IF134" s="37">
        <v>12.247014999999999</v>
      </c>
      <c r="IG134" s="37">
        <v>12.247014999999999</v>
      </c>
      <c r="IH134" s="37">
        <v>12.247014999999999</v>
      </c>
      <c r="II134" s="37">
        <v>12.247014999999999</v>
      </c>
      <c r="IJ134" s="37">
        <v>12.247014999999999</v>
      </c>
      <c r="IK134" s="37">
        <v>12.247014999999999</v>
      </c>
      <c r="IL134" s="37">
        <v>12.247014999999999</v>
      </c>
      <c r="IM134" s="37">
        <v>12.247014999999999</v>
      </c>
      <c r="IN134" s="37">
        <v>12.247014999999999</v>
      </c>
      <c r="IO134" s="37">
        <v>12.247014999999999</v>
      </c>
      <c r="IP134" s="37">
        <v>12.247014999999999</v>
      </c>
      <c r="IQ134" s="37">
        <v>12.247014999999999</v>
      </c>
      <c r="IR134" s="37">
        <v>12.247014999999999</v>
      </c>
      <c r="IS134" s="37">
        <v>12.247014999999999</v>
      </c>
      <c r="IT134" s="37">
        <v>12.247014999999999</v>
      </c>
      <c r="IU134" s="37">
        <v>12.247014999999999</v>
      </c>
      <c r="IV134" s="37">
        <v>12.247014999999999</v>
      </c>
      <c r="IW134" s="37">
        <v>12.247014999999999</v>
      </c>
      <c r="IX134" s="37">
        <v>12.247014999999999</v>
      </c>
      <c r="IY134" s="37">
        <v>12.247014999999999</v>
      </c>
      <c r="IZ134" s="37">
        <v>12.247014999999999</v>
      </c>
      <c r="JA134" s="37">
        <v>12.247014999999999</v>
      </c>
      <c r="JB134" s="37">
        <v>12.247014999999999</v>
      </c>
      <c r="JC134" s="37">
        <v>12.247014999999999</v>
      </c>
      <c r="JD134" s="37">
        <v>12.247014999999999</v>
      </c>
      <c r="JE134" s="37">
        <v>12.247014999999999</v>
      </c>
      <c r="JF134" s="37">
        <v>12.247014999999999</v>
      </c>
      <c r="JG134" s="37">
        <v>12.247014999999999</v>
      </c>
      <c r="JH134" s="37">
        <v>12.247014999999999</v>
      </c>
      <c r="JI134" s="37">
        <v>12.247014999999999</v>
      </c>
      <c r="JJ134" s="37">
        <v>12.247014999999999</v>
      </c>
      <c r="JK134" s="37">
        <v>12.247014999999999</v>
      </c>
      <c r="JL134" s="37">
        <v>12.247014999999999</v>
      </c>
      <c r="JM134" s="37">
        <v>12.247014999999999</v>
      </c>
      <c r="JN134" s="37">
        <v>12.247014999999999</v>
      </c>
      <c r="JO134" s="37">
        <v>12.247014999999999</v>
      </c>
      <c r="JP134" s="37">
        <v>12.247014999999999</v>
      </c>
      <c r="JQ134" s="37">
        <v>12.247014999999999</v>
      </c>
      <c r="JR134" s="37">
        <v>12.247014999999999</v>
      </c>
      <c r="JS134" s="37">
        <v>12.247014999999999</v>
      </c>
      <c r="JT134" s="37">
        <v>12.247014999999999</v>
      </c>
      <c r="JU134" s="37">
        <v>12.247014999999999</v>
      </c>
      <c r="JV134" s="37">
        <v>12.247014999999999</v>
      </c>
      <c r="JW134" s="37">
        <v>12.247014999999999</v>
      </c>
      <c r="JX134" s="37">
        <v>12.247014999999999</v>
      </c>
      <c r="JY134" s="37">
        <v>12.247014999999999</v>
      </c>
      <c r="JZ134" s="37">
        <v>12.247014999999999</v>
      </c>
      <c r="KA134" s="37">
        <v>12.247014999999999</v>
      </c>
      <c r="KB134" s="37">
        <v>12.247014999999999</v>
      </c>
      <c r="KC134" s="37">
        <v>12.247014999999999</v>
      </c>
      <c r="KD134" s="37">
        <v>12.247014999999999</v>
      </c>
      <c r="KE134" s="37">
        <v>12.247014999999999</v>
      </c>
      <c r="KF134" s="37">
        <v>12.247014999999999</v>
      </c>
      <c r="KG134" s="37">
        <v>12.247014999999999</v>
      </c>
      <c r="KH134" s="37">
        <v>12.247014999999999</v>
      </c>
      <c r="KI134" s="37">
        <v>12.247014999999999</v>
      </c>
      <c r="KJ134" s="37">
        <v>12.247014999999999</v>
      </c>
      <c r="KK134" s="37">
        <v>12.247014999999999</v>
      </c>
      <c r="KL134" s="37">
        <v>12.247014999999999</v>
      </c>
      <c r="KM134" s="37">
        <v>12.247014999999999</v>
      </c>
      <c r="KN134" s="37">
        <v>12.247014999999999</v>
      </c>
      <c r="KO134" s="37">
        <v>12.247014999999999</v>
      </c>
      <c r="KP134" s="37">
        <v>12.247014999999999</v>
      </c>
      <c r="KQ134" s="37">
        <v>12.247014999999999</v>
      </c>
      <c r="KR134" s="37">
        <v>12.247014999999999</v>
      </c>
      <c r="KS134" s="37">
        <v>12.247014999999999</v>
      </c>
      <c r="KT134" s="37">
        <v>12.247014999999999</v>
      </c>
      <c r="KU134" s="37">
        <v>12.247014999999999</v>
      </c>
      <c r="KV134" s="37">
        <v>12.247014999999999</v>
      </c>
      <c r="KW134" s="37">
        <v>12.247014999999999</v>
      </c>
      <c r="KX134" s="37">
        <v>12.247014999999999</v>
      </c>
      <c r="KY134" s="37">
        <v>12.247014999999999</v>
      </c>
      <c r="KZ134" s="37">
        <v>12.247014999999999</v>
      </c>
      <c r="LA134" s="37">
        <v>12.247014999999999</v>
      </c>
      <c r="LB134" s="37">
        <v>12.247014999999999</v>
      </c>
      <c r="LC134" s="37">
        <v>12.247014999999999</v>
      </c>
      <c r="LD134" s="37">
        <v>12.247014999999999</v>
      </c>
      <c r="LE134" s="37">
        <v>12.247014999999999</v>
      </c>
      <c r="LF134" s="37">
        <v>12.247014999999999</v>
      </c>
      <c r="LG134" s="37">
        <v>12.247014999999999</v>
      </c>
      <c r="LH134" s="37">
        <v>12.247014999999999</v>
      </c>
      <c r="LI134" s="37">
        <v>12.247014999999999</v>
      </c>
      <c r="LJ134" s="37">
        <v>12.247014999999999</v>
      </c>
      <c r="LK134" s="37">
        <v>12.247014999999999</v>
      </c>
      <c r="LL134" s="37">
        <v>12.247014999999999</v>
      </c>
      <c r="LM134" s="37">
        <v>12.247014999999999</v>
      </c>
      <c r="LN134" s="37">
        <v>12.247014999999999</v>
      </c>
      <c r="LO134" s="37">
        <v>12.247014999999999</v>
      </c>
      <c r="LP134" s="37">
        <v>12.247014999999999</v>
      </c>
      <c r="LQ134" s="37">
        <v>12.247014999999999</v>
      </c>
      <c r="LR134" s="37">
        <v>12.247014999999999</v>
      </c>
      <c r="LS134" s="37">
        <v>12.247014999999999</v>
      </c>
      <c r="LT134" s="37">
        <v>12.247014999999999</v>
      </c>
      <c r="LU134" s="37">
        <v>12.247014999999999</v>
      </c>
      <c r="LV134" s="37">
        <v>12.247014999999999</v>
      </c>
      <c r="LW134" s="37">
        <v>12.247014999999999</v>
      </c>
      <c r="LX134" s="37">
        <v>12.247014999999999</v>
      </c>
      <c r="LY134" s="37">
        <v>12.247014999999999</v>
      </c>
      <c r="LZ134" s="37">
        <v>12.247014999999999</v>
      </c>
      <c r="MA134" s="37">
        <v>12.247014999999999</v>
      </c>
      <c r="MB134" s="37">
        <v>12.247014999999999</v>
      </c>
      <c r="MC134" s="37">
        <v>12.247014999999999</v>
      </c>
      <c r="MD134" s="37">
        <v>12.247014999999999</v>
      </c>
      <c r="ME134" s="37">
        <v>12.247014999999999</v>
      </c>
      <c r="MF134" s="37">
        <v>12.247014999999999</v>
      </c>
      <c r="MG134" s="37">
        <v>12.247014999999999</v>
      </c>
      <c r="MH134" s="37">
        <v>12.247014999999999</v>
      </c>
      <c r="MI134" s="37">
        <v>12.247014999999999</v>
      </c>
      <c r="MJ134" s="37">
        <v>12.247014999999999</v>
      </c>
      <c r="MK134" s="37">
        <v>12.247014999999999</v>
      </c>
      <c r="ML134" s="37">
        <v>12.247014999999999</v>
      </c>
      <c r="MM134" s="37">
        <v>12.247014999999999</v>
      </c>
      <c r="MN134" s="37">
        <v>12.247014999999999</v>
      </c>
      <c r="MO134" s="37">
        <v>12.247014999999999</v>
      </c>
      <c r="MP134" s="37">
        <v>12.247014999999999</v>
      </c>
      <c r="MQ134" s="37">
        <v>12.247014999999999</v>
      </c>
      <c r="MR134" s="37">
        <v>12.247014999999999</v>
      </c>
      <c r="MS134" s="37">
        <v>12.247014999999999</v>
      </c>
      <c r="MT134" s="37">
        <v>12.247014999999999</v>
      </c>
      <c r="MU134" s="37">
        <v>12.247014999999999</v>
      </c>
      <c r="MV134" s="37">
        <v>12.247014999999999</v>
      </c>
      <c r="MW134" s="37">
        <v>12.247014999999999</v>
      </c>
      <c r="MX134" s="37">
        <v>12.247014999999999</v>
      </c>
      <c r="MY134" s="37">
        <v>12.247014999999999</v>
      </c>
      <c r="MZ134" s="37">
        <v>12.247014999999999</v>
      </c>
      <c r="NA134" s="37">
        <v>12.247014999999999</v>
      </c>
      <c r="NB134" s="37">
        <v>12.247014999999999</v>
      </c>
      <c r="NC134" s="37">
        <v>13.27854</v>
      </c>
      <c r="ND134" s="37">
        <v>0</v>
      </c>
    </row>
    <row r="135" spans="1:368" x14ac:dyDescent="0.2">
      <c r="A135" s="37">
        <v>133</v>
      </c>
      <c r="B135" s="37" t="s">
        <v>1131</v>
      </c>
      <c r="C135" s="17">
        <f>+'Detalle Compras'!D135</f>
        <v>20231229709</v>
      </c>
      <c r="D135" s="55">
        <f t="shared" si="19"/>
        <v>12.177072000000001</v>
      </c>
      <c r="E135" s="14">
        <f>+IF(B135="","",'Detalle Compras'!S135+0)</f>
        <v>45483</v>
      </c>
      <c r="F135" s="14">
        <f>+IF(B135="","",EOMONTH('Detalle Compras'!Q135,G135)+10)</f>
        <v>9750</v>
      </c>
      <c r="G135" s="50">
        <f t="shared" si="20"/>
        <v>319</v>
      </c>
      <c r="H135" s="50">
        <f t="shared" si="21"/>
        <v>337</v>
      </c>
      <c r="I135" s="37">
        <v>0</v>
      </c>
      <c r="J135" s="37">
        <v>0</v>
      </c>
      <c r="K135" s="37">
        <v>0</v>
      </c>
      <c r="L135" s="37">
        <v>0</v>
      </c>
      <c r="M135" s="37">
        <v>12.177072000000001</v>
      </c>
      <c r="N135" s="37">
        <v>12.177072000000001</v>
      </c>
      <c r="O135" s="37">
        <v>12.177072000000001</v>
      </c>
      <c r="P135" s="37">
        <v>12.177072000000001</v>
      </c>
      <c r="Q135" s="37">
        <v>12.177072000000001</v>
      </c>
      <c r="R135" s="37">
        <v>12.177072000000001</v>
      </c>
      <c r="S135" s="37">
        <v>12.177072000000001</v>
      </c>
      <c r="T135" s="37">
        <v>12.177072000000001</v>
      </c>
      <c r="U135" s="37">
        <v>12.177072000000001</v>
      </c>
      <c r="V135" s="37">
        <v>12.177072000000001</v>
      </c>
      <c r="W135" s="37">
        <v>12.177072000000001</v>
      </c>
      <c r="X135" s="37">
        <v>12.177072000000001</v>
      </c>
      <c r="Y135" s="37">
        <v>12.177072000000001</v>
      </c>
      <c r="Z135" s="37">
        <v>12.177072000000001</v>
      </c>
      <c r="AA135" s="37">
        <v>12.177072000000001</v>
      </c>
      <c r="AB135" s="37">
        <v>12.177072000000001</v>
      </c>
      <c r="AC135" s="37">
        <v>12.177072000000001</v>
      </c>
      <c r="AD135" s="37">
        <v>12.177072000000001</v>
      </c>
      <c r="AE135" s="37">
        <v>12.177072000000001</v>
      </c>
      <c r="AF135" s="37">
        <v>12.177072000000001</v>
      </c>
      <c r="AG135" s="37">
        <v>12.177072000000001</v>
      </c>
      <c r="AH135" s="37">
        <v>12.177072000000001</v>
      </c>
      <c r="AI135" s="37">
        <v>12.177072000000001</v>
      </c>
      <c r="AJ135" s="37">
        <v>12.177072000000001</v>
      </c>
      <c r="AK135" s="37">
        <v>12.177072000000001</v>
      </c>
      <c r="AL135" s="37">
        <v>12.177072000000001</v>
      </c>
      <c r="AM135" s="37">
        <v>12.177072000000001</v>
      </c>
      <c r="AN135" s="37">
        <v>12.177072000000001</v>
      </c>
      <c r="AO135" s="37">
        <v>12.177072000000001</v>
      </c>
      <c r="AP135" s="37">
        <v>12.177072000000001</v>
      </c>
      <c r="AQ135" s="37">
        <v>12.177072000000001</v>
      </c>
      <c r="AR135" s="37">
        <v>12.177072000000001</v>
      </c>
      <c r="AS135" s="37">
        <v>12.177072000000001</v>
      </c>
      <c r="AT135" s="37">
        <v>12.177072000000001</v>
      </c>
      <c r="AU135" s="37">
        <v>12.177072000000001</v>
      </c>
      <c r="AV135" s="37">
        <v>12.177072000000001</v>
      </c>
      <c r="AW135" s="37">
        <v>12.177072000000001</v>
      </c>
      <c r="AX135" s="37">
        <v>12.177072000000001</v>
      </c>
      <c r="AY135" s="37">
        <v>12.177072000000001</v>
      </c>
      <c r="AZ135" s="37">
        <v>12.177072000000001</v>
      </c>
      <c r="BA135" s="37">
        <v>12.177072000000001</v>
      </c>
      <c r="BB135" s="37">
        <v>12.177072000000001</v>
      </c>
      <c r="BC135" s="37">
        <v>12.177072000000001</v>
      </c>
      <c r="BD135" s="37">
        <v>12.177072000000001</v>
      </c>
      <c r="BE135" s="37">
        <v>12.177072000000001</v>
      </c>
      <c r="BF135" s="37">
        <v>12.177072000000001</v>
      </c>
      <c r="BG135" s="37">
        <v>12.177072000000001</v>
      </c>
      <c r="BH135" s="37">
        <v>12.177072000000001</v>
      </c>
      <c r="BI135" s="37">
        <v>12.177072000000001</v>
      </c>
      <c r="BJ135" s="37">
        <v>12.177072000000001</v>
      </c>
      <c r="BK135" s="37">
        <v>12.177072000000001</v>
      </c>
      <c r="BL135" s="37">
        <v>12.177072000000001</v>
      </c>
      <c r="BM135" s="37">
        <v>12.177072000000001</v>
      </c>
      <c r="BN135" s="37">
        <v>12.177072000000001</v>
      </c>
      <c r="BO135" s="37">
        <v>12.177072000000001</v>
      </c>
      <c r="BP135" s="37">
        <v>12.177072000000001</v>
      </c>
      <c r="BQ135" s="37">
        <v>12.177072000000001</v>
      </c>
      <c r="BR135" s="37">
        <v>12.177072000000001</v>
      </c>
      <c r="BS135" s="37">
        <v>12.177072000000001</v>
      </c>
      <c r="BT135" s="37">
        <v>12.177072000000001</v>
      </c>
      <c r="BU135" s="37">
        <v>12.177072000000001</v>
      </c>
      <c r="BV135" s="37">
        <v>12.177072000000001</v>
      </c>
      <c r="BW135" s="37">
        <v>12.177072000000001</v>
      </c>
      <c r="BX135" s="37">
        <v>12.177072000000001</v>
      </c>
      <c r="BY135" s="37">
        <v>12.177072000000001</v>
      </c>
      <c r="BZ135" s="37">
        <v>12.177072000000001</v>
      </c>
      <c r="CA135" s="37">
        <v>12.177072000000001</v>
      </c>
      <c r="CB135" s="37">
        <v>12.177072000000001</v>
      </c>
      <c r="CC135" s="37">
        <v>12.177072000000001</v>
      </c>
      <c r="CD135" s="37">
        <v>12.177072000000001</v>
      </c>
      <c r="CE135" s="37">
        <v>12.177072000000001</v>
      </c>
      <c r="CF135" s="37">
        <v>12.177072000000001</v>
      </c>
      <c r="CG135" s="37">
        <v>12.177072000000001</v>
      </c>
      <c r="CH135" s="37">
        <v>12.177072000000001</v>
      </c>
      <c r="CI135" s="37">
        <v>12.177072000000001</v>
      </c>
      <c r="CJ135" s="37">
        <v>12.177072000000001</v>
      </c>
      <c r="CK135" s="37">
        <v>12.177072000000001</v>
      </c>
      <c r="CL135" s="37">
        <v>12.177072000000001</v>
      </c>
      <c r="CM135" s="37">
        <v>12.177072000000001</v>
      </c>
      <c r="CN135" s="37">
        <v>12.177072000000001</v>
      </c>
      <c r="CO135" s="37">
        <v>12.177072000000001</v>
      </c>
      <c r="CP135" s="37">
        <v>12.177072000000001</v>
      </c>
      <c r="CQ135" s="37">
        <v>12.177072000000001</v>
      </c>
      <c r="CR135" s="37">
        <v>12.177072000000001</v>
      </c>
      <c r="CS135" s="37">
        <v>12.177072000000001</v>
      </c>
      <c r="CT135" s="37">
        <v>12.177072000000001</v>
      </c>
      <c r="CU135" s="37">
        <v>12.177072000000001</v>
      </c>
      <c r="CV135" s="37">
        <v>12.177072000000001</v>
      </c>
      <c r="CW135" s="37">
        <v>12.177072000000001</v>
      </c>
      <c r="CX135" s="37">
        <v>12.177072000000001</v>
      </c>
      <c r="CY135" s="37">
        <v>12.177072000000001</v>
      </c>
      <c r="CZ135" s="37">
        <v>12.177072000000001</v>
      </c>
      <c r="DA135" s="37">
        <v>12.177072000000001</v>
      </c>
      <c r="DB135" s="37">
        <v>12.177072000000001</v>
      </c>
      <c r="DC135" s="37">
        <v>12.177072000000001</v>
      </c>
      <c r="DD135" s="37">
        <v>12.177072000000001</v>
      </c>
      <c r="DE135" s="37">
        <v>12.177072000000001</v>
      </c>
      <c r="DF135" s="37">
        <v>12.177072000000001</v>
      </c>
      <c r="DG135" s="37">
        <v>12.177072000000001</v>
      </c>
      <c r="DH135" s="37">
        <v>12.177072000000001</v>
      </c>
      <c r="DI135" s="37">
        <v>12.177072000000001</v>
      </c>
      <c r="DJ135" s="37">
        <v>12.177072000000001</v>
      </c>
      <c r="DK135" s="37">
        <v>12.177072000000001</v>
      </c>
      <c r="DL135" s="37">
        <v>12.177072000000001</v>
      </c>
      <c r="DM135" s="37">
        <v>12.177072000000001</v>
      </c>
      <c r="DN135" s="37">
        <v>12.177072000000001</v>
      </c>
      <c r="DO135" s="37">
        <v>12.177072000000001</v>
      </c>
      <c r="DP135" s="37">
        <v>12.177072000000001</v>
      </c>
      <c r="DQ135" s="37">
        <v>12.177072000000001</v>
      </c>
      <c r="DR135" s="37">
        <v>12.177072000000001</v>
      </c>
      <c r="DS135" s="37">
        <v>12.177072000000001</v>
      </c>
      <c r="DT135" s="37">
        <v>12.177072000000001</v>
      </c>
      <c r="DU135" s="37">
        <v>12.177072000000001</v>
      </c>
      <c r="DV135" s="37">
        <v>12.177072000000001</v>
      </c>
      <c r="DW135" s="37">
        <v>12.177072000000001</v>
      </c>
      <c r="DX135" s="37">
        <v>12.177072000000001</v>
      </c>
      <c r="DY135" s="37">
        <v>12.177072000000001</v>
      </c>
      <c r="DZ135" s="37">
        <v>12.177072000000001</v>
      </c>
      <c r="EA135" s="37">
        <v>12.177072000000001</v>
      </c>
      <c r="EB135" s="37">
        <v>12.177072000000001</v>
      </c>
      <c r="EC135" s="37">
        <v>12.177072000000001</v>
      </c>
      <c r="ED135" s="37">
        <v>12.177072000000001</v>
      </c>
      <c r="EE135" s="37">
        <v>12.177072000000001</v>
      </c>
      <c r="EF135" s="37">
        <v>12.177072000000001</v>
      </c>
      <c r="EG135" s="37">
        <v>12.177072000000001</v>
      </c>
      <c r="EH135" s="37">
        <v>12.177072000000001</v>
      </c>
      <c r="EI135" s="37">
        <v>12.177072000000001</v>
      </c>
      <c r="EJ135" s="37">
        <v>12.177072000000001</v>
      </c>
      <c r="EK135" s="37">
        <v>12.177072000000001</v>
      </c>
      <c r="EL135" s="37">
        <v>12.177072000000001</v>
      </c>
      <c r="EM135" s="37">
        <v>12.177072000000001</v>
      </c>
      <c r="EN135" s="37">
        <v>12.177072000000001</v>
      </c>
      <c r="EO135" s="37">
        <v>12.177072000000001</v>
      </c>
      <c r="EP135" s="37">
        <v>12.177072000000001</v>
      </c>
      <c r="EQ135" s="37">
        <v>12.177072000000001</v>
      </c>
      <c r="ER135" s="37">
        <v>12.177072000000001</v>
      </c>
      <c r="ES135" s="37">
        <v>12.177072000000001</v>
      </c>
      <c r="ET135" s="37">
        <v>12.177072000000001</v>
      </c>
      <c r="EU135" s="37">
        <v>12.177072000000001</v>
      </c>
      <c r="EV135" s="37">
        <v>12.177072000000001</v>
      </c>
      <c r="EW135" s="37">
        <v>12.177072000000001</v>
      </c>
      <c r="EX135" s="37">
        <v>12.177072000000001</v>
      </c>
      <c r="EY135" s="37">
        <v>12.177072000000001</v>
      </c>
      <c r="EZ135" s="37">
        <v>12.177072000000001</v>
      </c>
      <c r="FA135" s="37">
        <v>12.177072000000001</v>
      </c>
      <c r="FB135" s="37">
        <v>12.177072000000001</v>
      </c>
      <c r="FC135" s="37">
        <v>12.177072000000001</v>
      </c>
      <c r="FD135" s="37">
        <v>12.177072000000001</v>
      </c>
      <c r="FE135" s="37">
        <v>12.177072000000001</v>
      </c>
      <c r="FF135" s="37">
        <v>12.177072000000001</v>
      </c>
      <c r="FG135" s="37">
        <v>12.177072000000001</v>
      </c>
      <c r="FH135" s="37">
        <v>12.177072000000001</v>
      </c>
      <c r="FI135" s="37">
        <v>12.177072000000001</v>
      </c>
      <c r="FJ135" s="37">
        <v>12.177072000000001</v>
      </c>
      <c r="FK135" s="37">
        <v>12.177072000000001</v>
      </c>
      <c r="FL135" s="37">
        <v>12.177072000000001</v>
      </c>
      <c r="FM135" s="37">
        <v>12.177072000000001</v>
      </c>
      <c r="FN135" s="37">
        <v>12.177072000000001</v>
      </c>
      <c r="FO135" s="37">
        <v>12.177072000000001</v>
      </c>
      <c r="FP135" s="37">
        <v>12.177072000000001</v>
      </c>
      <c r="FQ135" s="37">
        <v>12.177072000000001</v>
      </c>
      <c r="FR135" s="37">
        <v>12.177072000000001</v>
      </c>
      <c r="FS135" s="37">
        <v>12.177072000000001</v>
      </c>
      <c r="FT135" s="37">
        <v>12.177072000000001</v>
      </c>
      <c r="FU135" s="37">
        <v>12.177072000000001</v>
      </c>
      <c r="FV135" s="37">
        <v>12.177072000000001</v>
      </c>
      <c r="FW135" s="37">
        <v>12.177072000000001</v>
      </c>
      <c r="FX135" s="37">
        <v>12.177072000000001</v>
      </c>
      <c r="FY135" s="37">
        <v>12.177072000000001</v>
      </c>
      <c r="FZ135" s="37">
        <v>12.177072000000001</v>
      </c>
      <c r="GA135" s="37">
        <v>12.177072000000001</v>
      </c>
      <c r="GB135" s="37">
        <v>12.177072000000001</v>
      </c>
      <c r="GC135" s="37">
        <v>12.177072000000001</v>
      </c>
      <c r="GD135" s="37">
        <v>12.177072000000001</v>
      </c>
      <c r="GE135" s="37">
        <v>12.177072000000001</v>
      </c>
      <c r="GF135" s="37">
        <v>12.177072000000001</v>
      </c>
      <c r="GG135" s="37">
        <v>12.177072000000001</v>
      </c>
      <c r="GH135" s="37">
        <v>12.177072000000001</v>
      </c>
      <c r="GI135" s="37">
        <v>12.177072000000001</v>
      </c>
      <c r="GJ135" s="37">
        <v>12.177072000000001</v>
      </c>
      <c r="GK135" s="37">
        <v>12.177072000000001</v>
      </c>
      <c r="GL135" s="37">
        <v>12.177072000000001</v>
      </c>
      <c r="GM135" s="37">
        <v>12.177072000000001</v>
      </c>
      <c r="GN135" s="37">
        <v>12.177072000000001</v>
      </c>
      <c r="GO135" s="37">
        <v>12.177072000000001</v>
      </c>
      <c r="GP135" s="37">
        <v>12.177072000000001</v>
      </c>
      <c r="GQ135" s="37">
        <v>12.177072000000001</v>
      </c>
      <c r="GR135" s="37">
        <v>12.177072000000001</v>
      </c>
      <c r="GS135" s="37">
        <v>12.177072000000001</v>
      </c>
      <c r="GT135" s="37">
        <v>12.177072000000001</v>
      </c>
      <c r="GU135" s="37">
        <v>12.177072000000001</v>
      </c>
      <c r="GV135" s="37">
        <v>12.177072000000001</v>
      </c>
      <c r="GW135" s="37">
        <v>12.177072000000001</v>
      </c>
      <c r="GX135" s="37">
        <v>12.177072000000001</v>
      </c>
      <c r="GY135" s="37">
        <v>12.177072000000001</v>
      </c>
      <c r="GZ135" s="37">
        <v>12.177072000000001</v>
      </c>
      <c r="HA135" s="37">
        <v>12.177072000000001</v>
      </c>
      <c r="HB135" s="37">
        <v>12.177072000000001</v>
      </c>
      <c r="HC135" s="37">
        <v>12.177072000000001</v>
      </c>
      <c r="HD135" s="37">
        <v>12.177072000000001</v>
      </c>
      <c r="HE135" s="37">
        <v>12.177072000000001</v>
      </c>
      <c r="HF135" s="37">
        <v>12.177072000000001</v>
      </c>
      <c r="HG135" s="37">
        <v>12.177072000000001</v>
      </c>
      <c r="HH135" s="37">
        <v>12.177072000000001</v>
      </c>
      <c r="HI135" s="37">
        <v>12.177072000000001</v>
      </c>
      <c r="HJ135" s="37">
        <v>12.177072000000001</v>
      </c>
      <c r="HK135" s="37">
        <v>12.177072000000001</v>
      </c>
      <c r="HL135" s="37">
        <v>12.177072000000001</v>
      </c>
      <c r="HM135" s="37">
        <v>12.177072000000001</v>
      </c>
      <c r="HN135" s="37">
        <v>12.177072000000001</v>
      </c>
      <c r="HO135" s="37">
        <v>12.177072000000001</v>
      </c>
      <c r="HP135" s="37">
        <v>12.177072000000001</v>
      </c>
      <c r="HQ135" s="37">
        <v>12.177072000000001</v>
      </c>
      <c r="HR135" s="37">
        <v>12.177072000000001</v>
      </c>
      <c r="HS135" s="37">
        <v>12.177072000000001</v>
      </c>
      <c r="HT135" s="37">
        <v>12.177072000000001</v>
      </c>
      <c r="HU135" s="37">
        <v>12.177072000000001</v>
      </c>
      <c r="HV135" s="37">
        <v>12.177072000000001</v>
      </c>
      <c r="HW135" s="37">
        <v>12.177072000000001</v>
      </c>
      <c r="HX135" s="37">
        <v>12.177072000000001</v>
      </c>
      <c r="HY135" s="37">
        <v>12.177072000000001</v>
      </c>
      <c r="HZ135" s="37">
        <v>12.177072000000001</v>
      </c>
      <c r="IA135" s="37">
        <v>12.177072000000001</v>
      </c>
      <c r="IB135" s="37">
        <v>12.177072000000001</v>
      </c>
      <c r="IC135" s="37">
        <v>12.177072000000001</v>
      </c>
      <c r="ID135" s="37">
        <v>12.177072000000001</v>
      </c>
      <c r="IE135" s="37">
        <v>12.177072000000001</v>
      </c>
      <c r="IF135" s="37">
        <v>12.177072000000001</v>
      </c>
      <c r="IG135" s="37">
        <v>12.177072000000001</v>
      </c>
      <c r="IH135" s="37">
        <v>12.177072000000001</v>
      </c>
      <c r="II135" s="37">
        <v>12.177072000000001</v>
      </c>
      <c r="IJ135" s="37">
        <v>12.177072000000001</v>
      </c>
      <c r="IK135" s="37">
        <v>12.177072000000001</v>
      </c>
      <c r="IL135" s="37">
        <v>12.177072000000001</v>
      </c>
      <c r="IM135" s="37">
        <v>12.177072000000001</v>
      </c>
      <c r="IN135" s="37">
        <v>12.177072000000001</v>
      </c>
      <c r="IO135" s="37">
        <v>12.177072000000001</v>
      </c>
      <c r="IP135" s="37">
        <v>12.177072000000001</v>
      </c>
      <c r="IQ135" s="37">
        <v>12.177072000000001</v>
      </c>
      <c r="IR135" s="37">
        <v>12.177072000000001</v>
      </c>
      <c r="IS135" s="37">
        <v>12.177072000000001</v>
      </c>
      <c r="IT135" s="37">
        <v>12.177072000000001</v>
      </c>
      <c r="IU135" s="37">
        <v>12.177072000000001</v>
      </c>
      <c r="IV135" s="37">
        <v>12.177072000000001</v>
      </c>
      <c r="IW135" s="37">
        <v>12.177072000000001</v>
      </c>
      <c r="IX135" s="37">
        <v>12.177072000000001</v>
      </c>
      <c r="IY135" s="37">
        <v>12.177072000000001</v>
      </c>
      <c r="IZ135" s="37">
        <v>12.177072000000001</v>
      </c>
      <c r="JA135" s="37">
        <v>12.177072000000001</v>
      </c>
      <c r="JB135" s="37">
        <v>12.177072000000001</v>
      </c>
      <c r="JC135" s="37">
        <v>12.177072000000001</v>
      </c>
      <c r="JD135" s="37">
        <v>12.177072000000001</v>
      </c>
      <c r="JE135" s="37">
        <v>12.177072000000001</v>
      </c>
      <c r="JF135" s="37">
        <v>12.177072000000001</v>
      </c>
      <c r="JG135" s="37">
        <v>12.177072000000001</v>
      </c>
      <c r="JH135" s="37">
        <v>12.177072000000001</v>
      </c>
      <c r="JI135" s="37">
        <v>12.177072000000001</v>
      </c>
      <c r="JJ135" s="37">
        <v>12.177072000000001</v>
      </c>
      <c r="JK135" s="37">
        <v>12.177072000000001</v>
      </c>
      <c r="JL135" s="37">
        <v>12.177072000000001</v>
      </c>
      <c r="JM135" s="37">
        <v>12.177072000000001</v>
      </c>
      <c r="JN135" s="37">
        <v>12.177072000000001</v>
      </c>
      <c r="JO135" s="37">
        <v>12.177072000000001</v>
      </c>
      <c r="JP135" s="37">
        <v>12.177072000000001</v>
      </c>
      <c r="JQ135" s="37">
        <v>12.177072000000001</v>
      </c>
      <c r="JR135" s="37">
        <v>12.177072000000001</v>
      </c>
      <c r="JS135" s="37">
        <v>12.177072000000001</v>
      </c>
      <c r="JT135" s="37">
        <v>12.177072000000001</v>
      </c>
      <c r="JU135" s="37">
        <v>12.177072000000001</v>
      </c>
      <c r="JV135" s="37">
        <v>12.177072000000001</v>
      </c>
      <c r="JW135" s="37">
        <v>12.177072000000001</v>
      </c>
      <c r="JX135" s="37">
        <v>12.177072000000001</v>
      </c>
      <c r="JY135" s="37">
        <v>12.177072000000001</v>
      </c>
      <c r="JZ135" s="37">
        <v>12.177072000000001</v>
      </c>
      <c r="KA135" s="37">
        <v>12.177072000000001</v>
      </c>
      <c r="KB135" s="37">
        <v>12.177072000000001</v>
      </c>
      <c r="KC135" s="37">
        <v>12.177072000000001</v>
      </c>
      <c r="KD135" s="37">
        <v>12.177072000000001</v>
      </c>
      <c r="KE135" s="37">
        <v>12.177072000000001</v>
      </c>
      <c r="KF135" s="37">
        <v>12.177072000000001</v>
      </c>
      <c r="KG135" s="37">
        <v>12.177072000000001</v>
      </c>
      <c r="KH135" s="37">
        <v>12.177072000000001</v>
      </c>
      <c r="KI135" s="37">
        <v>12.177072000000001</v>
      </c>
      <c r="KJ135" s="37">
        <v>12.177072000000001</v>
      </c>
      <c r="KK135" s="37">
        <v>12.177072000000001</v>
      </c>
      <c r="KL135" s="37">
        <v>12.177072000000001</v>
      </c>
      <c r="KM135" s="37">
        <v>12.177072000000001</v>
      </c>
      <c r="KN135" s="37">
        <v>12.177072000000001</v>
      </c>
      <c r="KO135" s="37">
        <v>12.177072000000001</v>
      </c>
      <c r="KP135" s="37">
        <v>12.177072000000001</v>
      </c>
      <c r="KQ135" s="37">
        <v>12.177072000000001</v>
      </c>
      <c r="KR135" s="37">
        <v>12.177072000000001</v>
      </c>
      <c r="KS135" s="37">
        <v>12.177072000000001</v>
      </c>
      <c r="KT135" s="37">
        <v>12.177072000000001</v>
      </c>
      <c r="KU135" s="37">
        <v>12.177072000000001</v>
      </c>
      <c r="KV135" s="37">
        <v>12.177072000000001</v>
      </c>
      <c r="KW135" s="37">
        <v>12.177072000000001</v>
      </c>
      <c r="KX135" s="37">
        <v>12.177072000000001</v>
      </c>
      <c r="KY135" s="37">
        <v>12.177072000000001</v>
      </c>
      <c r="KZ135" s="37">
        <v>12.177072000000001</v>
      </c>
      <c r="LA135" s="37">
        <v>12.177072000000001</v>
      </c>
      <c r="LB135" s="37">
        <v>12.177072000000001</v>
      </c>
      <c r="LC135" s="37">
        <v>12.177072000000001</v>
      </c>
      <c r="LD135" s="37">
        <v>12.177072000000001</v>
      </c>
      <c r="LE135" s="37">
        <v>12.177072000000001</v>
      </c>
      <c r="LF135" s="37">
        <v>12.177072000000001</v>
      </c>
      <c r="LG135" s="37">
        <v>12.177072000000001</v>
      </c>
      <c r="LH135" s="37">
        <v>12.177072000000001</v>
      </c>
      <c r="LI135" s="37">
        <v>12.177072000000001</v>
      </c>
      <c r="LJ135" s="37">
        <v>12.177072000000001</v>
      </c>
      <c r="LK135" s="37">
        <v>12.177072000000001</v>
      </c>
      <c r="LL135" s="37">
        <v>12.177072000000001</v>
      </c>
      <c r="LM135" s="37">
        <v>12.177072000000001</v>
      </c>
      <c r="LN135" s="37">
        <v>12.177072000000001</v>
      </c>
      <c r="LO135" s="37">
        <v>12.177072000000001</v>
      </c>
      <c r="LP135" s="37">
        <v>12.177072000000001</v>
      </c>
      <c r="LQ135" s="37">
        <v>12.177072000000001</v>
      </c>
      <c r="LR135" s="37">
        <v>12.177072000000001</v>
      </c>
      <c r="LS135" s="37">
        <v>12.272308000000001</v>
      </c>
      <c r="LT135" s="37">
        <v>0</v>
      </c>
      <c r="LU135" s="37">
        <v>0</v>
      </c>
      <c r="LV135" s="37">
        <v>0</v>
      </c>
      <c r="LW135" s="37">
        <v>0</v>
      </c>
      <c r="LX135" s="37">
        <v>0</v>
      </c>
      <c r="LY135" s="37">
        <v>0</v>
      </c>
      <c r="LZ135" s="37">
        <v>0</v>
      </c>
      <c r="MA135" s="37">
        <v>0</v>
      </c>
      <c r="MB135" s="37">
        <v>0</v>
      </c>
      <c r="MC135" s="37">
        <v>0</v>
      </c>
      <c r="MD135" s="37">
        <v>0</v>
      </c>
      <c r="ME135" s="37">
        <v>0</v>
      </c>
      <c r="MF135" s="37">
        <v>0</v>
      </c>
      <c r="MG135" s="37">
        <v>0</v>
      </c>
      <c r="MH135" s="37">
        <v>0</v>
      </c>
      <c r="MI135" s="37">
        <v>0</v>
      </c>
      <c r="MJ135" s="37">
        <v>0</v>
      </c>
      <c r="MK135" s="37">
        <v>0</v>
      </c>
      <c r="ML135" s="37">
        <v>0</v>
      </c>
      <c r="MM135" s="37">
        <v>0</v>
      </c>
      <c r="MN135" s="37">
        <v>0</v>
      </c>
      <c r="MO135" s="37">
        <v>0</v>
      </c>
      <c r="MP135" s="37">
        <v>0</v>
      </c>
      <c r="MQ135" s="37">
        <v>0</v>
      </c>
      <c r="MR135" s="37">
        <v>0</v>
      </c>
      <c r="MS135" s="37">
        <v>0</v>
      </c>
      <c r="MT135" s="37">
        <v>0</v>
      </c>
      <c r="MU135" s="37">
        <v>0</v>
      </c>
      <c r="MV135" s="37">
        <v>0</v>
      </c>
      <c r="MW135" s="37">
        <v>0</v>
      </c>
      <c r="MX135" s="37">
        <v>0</v>
      </c>
      <c r="MY135" s="37">
        <v>0</v>
      </c>
      <c r="MZ135" s="37">
        <v>0</v>
      </c>
      <c r="NA135" s="37">
        <v>0</v>
      </c>
      <c r="NB135" s="37">
        <v>0</v>
      </c>
      <c r="NC135" s="37">
        <v>0</v>
      </c>
      <c r="ND135" s="37">
        <v>0</v>
      </c>
    </row>
    <row r="136" spans="1:368" x14ac:dyDescent="0.2">
      <c r="A136" s="37">
        <v>134</v>
      </c>
      <c r="B136" s="37" t="s">
        <v>1136</v>
      </c>
      <c r="C136" s="17">
        <f>+'Detalle Compras'!D136</f>
        <v>20231229730</v>
      </c>
      <c r="D136" s="55">
        <f t="shared" si="19"/>
        <v>6.8410169999999999</v>
      </c>
      <c r="E136" s="14">
        <f>+IF(B136="","",'Detalle Compras'!S136+0)</f>
        <v>45483</v>
      </c>
      <c r="F136" s="14">
        <f>+IF(B136="","",EOMONTH('Detalle Compras'!Q136,G136)+10)</f>
        <v>10846</v>
      </c>
      <c r="G136" s="50">
        <f t="shared" si="20"/>
        <v>355</v>
      </c>
      <c r="H136" s="50">
        <f t="shared" si="21"/>
        <v>337</v>
      </c>
      <c r="I136" s="37">
        <v>0</v>
      </c>
      <c r="J136" s="37">
        <v>0</v>
      </c>
      <c r="K136" s="37">
        <v>0</v>
      </c>
      <c r="L136" s="37">
        <v>0</v>
      </c>
      <c r="M136" s="37">
        <v>6.8410169999999999</v>
      </c>
      <c r="N136" s="37">
        <v>6.8410169999999999</v>
      </c>
      <c r="O136" s="37">
        <v>6.8410169999999999</v>
      </c>
      <c r="P136" s="37">
        <v>6.8410169999999999</v>
      </c>
      <c r="Q136" s="37">
        <v>6.8410169999999999</v>
      </c>
      <c r="R136" s="37">
        <v>6.8410169999999999</v>
      </c>
      <c r="S136" s="37">
        <v>6.8410169999999999</v>
      </c>
      <c r="T136" s="37">
        <v>6.8410169999999999</v>
      </c>
      <c r="U136" s="37">
        <v>6.8410169999999999</v>
      </c>
      <c r="V136" s="37">
        <v>6.8410169999999999</v>
      </c>
      <c r="W136" s="37">
        <v>6.8410169999999999</v>
      </c>
      <c r="X136" s="37">
        <v>6.8410169999999999</v>
      </c>
      <c r="Y136" s="37">
        <v>6.8410169999999999</v>
      </c>
      <c r="Z136" s="37">
        <v>6.8410169999999999</v>
      </c>
      <c r="AA136" s="37">
        <v>6.8410169999999999</v>
      </c>
      <c r="AB136" s="37">
        <v>6.8410169999999999</v>
      </c>
      <c r="AC136" s="37">
        <v>6.8410169999999999</v>
      </c>
      <c r="AD136" s="37">
        <v>6.8410169999999999</v>
      </c>
      <c r="AE136" s="37">
        <v>6.8410169999999999</v>
      </c>
      <c r="AF136" s="37">
        <v>6.8410169999999999</v>
      </c>
      <c r="AG136" s="37">
        <v>6.8410169999999999</v>
      </c>
      <c r="AH136" s="37">
        <v>6.8410169999999999</v>
      </c>
      <c r="AI136" s="37">
        <v>6.8410169999999999</v>
      </c>
      <c r="AJ136" s="37">
        <v>6.8410169999999999</v>
      </c>
      <c r="AK136" s="37">
        <v>6.8410169999999999</v>
      </c>
      <c r="AL136" s="37">
        <v>6.8410169999999999</v>
      </c>
      <c r="AM136" s="37">
        <v>6.8410169999999999</v>
      </c>
      <c r="AN136" s="37">
        <v>6.8410169999999999</v>
      </c>
      <c r="AO136" s="37">
        <v>6.8410169999999999</v>
      </c>
      <c r="AP136" s="37">
        <v>6.8410169999999999</v>
      </c>
      <c r="AQ136" s="37">
        <v>6.8410169999999999</v>
      </c>
      <c r="AR136" s="37">
        <v>6.8410169999999999</v>
      </c>
      <c r="AS136" s="37">
        <v>6.8410169999999999</v>
      </c>
      <c r="AT136" s="37">
        <v>6.8410169999999999</v>
      </c>
      <c r="AU136" s="37">
        <v>6.8410169999999999</v>
      </c>
      <c r="AV136" s="37">
        <v>6.8410169999999999</v>
      </c>
      <c r="AW136" s="37">
        <v>6.8410169999999999</v>
      </c>
      <c r="AX136" s="37">
        <v>6.8410169999999999</v>
      </c>
      <c r="AY136" s="37">
        <v>6.8410169999999999</v>
      </c>
      <c r="AZ136" s="37">
        <v>6.8410169999999999</v>
      </c>
      <c r="BA136" s="37">
        <v>6.8410169999999999</v>
      </c>
      <c r="BB136" s="37">
        <v>6.8410169999999999</v>
      </c>
      <c r="BC136" s="37">
        <v>6.8410169999999999</v>
      </c>
      <c r="BD136" s="37">
        <v>6.8410169999999999</v>
      </c>
      <c r="BE136" s="37">
        <v>6.8410169999999999</v>
      </c>
      <c r="BF136" s="37">
        <v>6.8410169999999999</v>
      </c>
      <c r="BG136" s="37">
        <v>6.8410169999999999</v>
      </c>
      <c r="BH136" s="37">
        <v>6.8410169999999999</v>
      </c>
      <c r="BI136" s="37">
        <v>6.8410169999999999</v>
      </c>
      <c r="BJ136" s="37">
        <v>6.8410169999999999</v>
      </c>
      <c r="BK136" s="37">
        <v>6.8410169999999999</v>
      </c>
      <c r="BL136" s="37">
        <v>6.8410169999999999</v>
      </c>
      <c r="BM136" s="37">
        <v>6.8410169999999999</v>
      </c>
      <c r="BN136" s="37">
        <v>6.8410169999999999</v>
      </c>
      <c r="BO136" s="37">
        <v>6.8410169999999999</v>
      </c>
      <c r="BP136" s="37">
        <v>6.8410169999999999</v>
      </c>
      <c r="BQ136" s="37">
        <v>6.8410169999999999</v>
      </c>
      <c r="BR136" s="37">
        <v>6.8410169999999999</v>
      </c>
      <c r="BS136" s="37">
        <v>6.8410169999999999</v>
      </c>
      <c r="BT136" s="37">
        <v>6.8410169999999999</v>
      </c>
      <c r="BU136" s="37">
        <v>6.8410169999999999</v>
      </c>
      <c r="BV136" s="37">
        <v>6.8410169999999999</v>
      </c>
      <c r="BW136" s="37">
        <v>6.8410169999999999</v>
      </c>
      <c r="BX136" s="37">
        <v>6.8410169999999999</v>
      </c>
      <c r="BY136" s="37">
        <v>6.8410169999999999</v>
      </c>
      <c r="BZ136" s="37">
        <v>6.8410169999999999</v>
      </c>
      <c r="CA136" s="37">
        <v>6.8410169999999999</v>
      </c>
      <c r="CB136" s="37">
        <v>6.8410169999999999</v>
      </c>
      <c r="CC136" s="37">
        <v>6.8410169999999999</v>
      </c>
      <c r="CD136" s="37">
        <v>6.8410169999999999</v>
      </c>
      <c r="CE136" s="37">
        <v>6.8410169999999999</v>
      </c>
      <c r="CF136" s="37">
        <v>6.8410169999999999</v>
      </c>
      <c r="CG136" s="37">
        <v>6.8410169999999999</v>
      </c>
      <c r="CH136" s="37">
        <v>6.8410169999999999</v>
      </c>
      <c r="CI136" s="37">
        <v>6.8410169999999999</v>
      </c>
      <c r="CJ136" s="37">
        <v>6.8410169999999999</v>
      </c>
      <c r="CK136" s="37">
        <v>6.8410169999999999</v>
      </c>
      <c r="CL136" s="37">
        <v>6.8410169999999999</v>
      </c>
      <c r="CM136" s="37">
        <v>6.8410169999999999</v>
      </c>
      <c r="CN136" s="37">
        <v>6.8410169999999999</v>
      </c>
      <c r="CO136" s="37">
        <v>6.8410169999999999</v>
      </c>
      <c r="CP136" s="37">
        <v>6.8410169999999999</v>
      </c>
      <c r="CQ136" s="37">
        <v>6.8410169999999999</v>
      </c>
      <c r="CR136" s="37">
        <v>6.8410169999999999</v>
      </c>
      <c r="CS136" s="37">
        <v>6.8410169999999999</v>
      </c>
      <c r="CT136" s="37">
        <v>6.8410169999999999</v>
      </c>
      <c r="CU136" s="37">
        <v>6.8410169999999999</v>
      </c>
      <c r="CV136" s="37">
        <v>6.8410169999999999</v>
      </c>
      <c r="CW136" s="37">
        <v>6.8410169999999999</v>
      </c>
      <c r="CX136" s="37">
        <v>6.8410169999999999</v>
      </c>
      <c r="CY136" s="37">
        <v>6.8410169999999999</v>
      </c>
      <c r="CZ136" s="37">
        <v>6.8410169999999999</v>
      </c>
      <c r="DA136" s="37">
        <v>6.8410169999999999</v>
      </c>
      <c r="DB136" s="37">
        <v>6.8410169999999999</v>
      </c>
      <c r="DC136" s="37">
        <v>6.8410169999999999</v>
      </c>
      <c r="DD136" s="37">
        <v>6.8410169999999999</v>
      </c>
      <c r="DE136" s="37">
        <v>6.8410169999999999</v>
      </c>
      <c r="DF136" s="37">
        <v>6.8410169999999999</v>
      </c>
      <c r="DG136" s="37">
        <v>6.8410169999999999</v>
      </c>
      <c r="DH136" s="37">
        <v>6.8410169999999999</v>
      </c>
      <c r="DI136" s="37">
        <v>6.8410169999999999</v>
      </c>
      <c r="DJ136" s="37">
        <v>6.8410169999999999</v>
      </c>
      <c r="DK136" s="37">
        <v>6.8410169999999999</v>
      </c>
      <c r="DL136" s="37">
        <v>6.8410169999999999</v>
      </c>
      <c r="DM136" s="37">
        <v>6.8410169999999999</v>
      </c>
      <c r="DN136" s="37">
        <v>6.8410169999999999</v>
      </c>
      <c r="DO136" s="37">
        <v>6.8410169999999999</v>
      </c>
      <c r="DP136" s="37">
        <v>6.8410169999999999</v>
      </c>
      <c r="DQ136" s="37">
        <v>6.8410169999999999</v>
      </c>
      <c r="DR136" s="37">
        <v>6.8410169999999999</v>
      </c>
      <c r="DS136" s="37">
        <v>6.8410169999999999</v>
      </c>
      <c r="DT136" s="37">
        <v>6.8410169999999999</v>
      </c>
      <c r="DU136" s="37">
        <v>6.8410169999999999</v>
      </c>
      <c r="DV136" s="37">
        <v>6.8410169999999999</v>
      </c>
      <c r="DW136" s="37">
        <v>6.8410169999999999</v>
      </c>
      <c r="DX136" s="37">
        <v>6.8410169999999999</v>
      </c>
      <c r="DY136" s="37">
        <v>6.8410169999999999</v>
      </c>
      <c r="DZ136" s="37">
        <v>6.8410169999999999</v>
      </c>
      <c r="EA136" s="37">
        <v>6.8410169999999999</v>
      </c>
      <c r="EB136" s="37">
        <v>6.8410169999999999</v>
      </c>
      <c r="EC136" s="37">
        <v>6.8410169999999999</v>
      </c>
      <c r="ED136" s="37">
        <v>6.8410169999999999</v>
      </c>
      <c r="EE136" s="37">
        <v>6.8410169999999999</v>
      </c>
      <c r="EF136" s="37">
        <v>6.8410169999999999</v>
      </c>
      <c r="EG136" s="37">
        <v>6.8410169999999999</v>
      </c>
      <c r="EH136" s="37">
        <v>6.8410169999999999</v>
      </c>
      <c r="EI136" s="37">
        <v>6.8410169999999999</v>
      </c>
      <c r="EJ136" s="37">
        <v>6.8410169999999999</v>
      </c>
      <c r="EK136" s="37">
        <v>6.8410169999999999</v>
      </c>
      <c r="EL136" s="37">
        <v>6.8410169999999999</v>
      </c>
      <c r="EM136" s="37">
        <v>6.8410169999999999</v>
      </c>
      <c r="EN136" s="37">
        <v>6.8410169999999999</v>
      </c>
      <c r="EO136" s="37">
        <v>6.8410169999999999</v>
      </c>
      <c r="EP136" s="37">
        <v>6.8410169999999999</v>
      </c>
      <c r="EQ136" s="37">
        <v>6.8410169999999999</v>
      </c>
      <c r="ER136" s="37">
        <v>6.8410169999999999</v>
      </c>
      <c r="ES136" s="37">
        <v>6.8410169999999999</v>
      </c>
      <c r="ET136" s="37">
        <v>6.8410169999999999</v>
      </c>
      <c r="EU136" s="37">
        <v>6.8410169999999999</v>
      </c>
      <c r="EV136" s="37">
        <v>6.8410169999999999</v>
      </c>
      <c r="EW136" s="37">
        <v>6.8410169999999999</v>
      </c>
      <c r="EX136" s="37">
        <v>6.8410169999999999</v>
      </c>
      <c r="EY136" s="37">
        <v>6.8410169999999999</v>
      </c>
      <c r="EZ136" s="37">
        <v>6.8410169999999999</v>
      </c>
      <c r="FA136" s="37">
        <v>6.8410169999999999</v>
      </c>
      <c r="FB136" s="37">
        <v>6.8410169999999999</v>
      </c>
      <c r="FC136" s="37">
        <v>6.8410169999999999</v>
      </c>
      <c r="FD136" s="37">
        <v>6.8410169999999999</v>
      </c>
      <c r="FE136" s="37">
        <v>6.8410169999999999</v>
      </c>
      <c r="FF136" s="37">
        <v>6.8410169999999999</v>
      </c>
      <c r="FG136" s="37">
        <v>6.8410169999999999</v>
      </c>
      <c r="FH136" s="37">
        <v>6.8410169999999999</v>
      </c>
      <c r="FI136" s="37">
        <v>6.8410169999999999</v>
      </c>
      <c r="FJ136" s="37">
        <v>6.8410169999999999</v>
      </c>
      <c r="FK136" s="37">
        <v>6.8410169999999999</v>
      </c>
      <c r="FL136" s="37">
        <v>6.8410169999999999</v>
      </c>
      <c r="FM136" s="37">
        <v>6.8410169999999999</v>
      </c>
      <c r="FN136" s="37">
        <v>6.8410169999999999</v>
      </c>
      <c r="FO136" s="37">
        <v>6.8410169999999999</v>
      </c>
      <c r="FP136" s="37">
        <v>6.8410169999999999</v>
      </c>
      <c r="FQ136" s="37">
        <v>6.8410169999999999</v>
      </c>
      <c r="FR136" s="37">
        <v>6.8410169999999999</v>
      </c>
      <c r="FS136" s="37">
        <v>6.8410169999999999</v>
      </c>
      <c r="FT136" s="37">
        <v>6.8410169999999999</v>
      </c>
      <c r="FU136" s="37">
        <v>6.8410169999999999</v>
      </c>
      <c r="FV136" s="37">
        <v>6.8410169999999999</v>
      </c>
      <c r="FW136" s="37">
        <v>6.8410169999999999</v>
      </c>
      <c r="FX136" s="37">
        <v>6.8410169999999999</v>
      </c>
      <c r="FY136" s="37">
        <v>6.8410169999999999</v>
      </c>
      <c r="FZ136" s="37">
        <v>6.8410169999999999</v>
      </c>
      <c r="GA136" s="37">
        <v>6.8410169999999999</v>
      </c>
      <c r="GB136" s="37">
        <v>6.8410169999999999</v>
      </c>
      <c r="GC136" s="37">
        <v>6.8410169999999999</v>
      </c>
      <c r="GD136" s="37">
        <v>6.8410169999999999</v>
      </c>
      <c r="GE136" s="37">
        <v>6.8410169999999999</v>
      </c>
      <c r="GF136" s="37">
        <v>6.8410169999999999</v>
      </c>
      <c r="GG136" s="37">
        <v>6.8410169999999999</v>
      </c>
      <c r="GH136" s="37">
        <v>6.8410169999999999</v>
      </c>
      <c r="GI136" s="37">
        <v>6.8410169999999999</v>
      </c>
      <c r="GJ136" s="37">
        <v>6.8410169999999999</v>
      </c>
      <c r="GK136" s="37">
        <v>6.8410169999999999</v>
      </c>
      <c r="GL136" s="37">
        <v>6.8410169999999999</v>
      </c>
      <c r="GM136" s="37">
        <v>6.8410169999999999</v>
      </c>
      <c r="GN136" s="37">
        <v>6.8410169999999999</v>
      </c>
      <c r="GO136" s="37">
        <v>6.8410169999999999</v>
      </c>
      <c r="GP136" s="37">
        <v>6.8410169999999999</v>
      </c>
      <c r="GQ136" s="37">
        <v>6.8410169999999999</v>
      </c>
      <c r="GR136" s="37">
        <v>6.8410169999999999</v>
      </c>
      <c r="GS136" s="37">
        <v>6.8410169999999999</v>
      </c>
      <c r="GT136" s="37">
        <v>6.8410169999999999</v>
      </c>
      <c r="GU136" s="37">
        <v>6.8410169999999999</v>
      </c>
      <c r="GV136" s="37">
        <v>6.8410169999999999</v>
      </c>
      <c r="GW136" s="37">
        <v>6.8410169999999999</v>
      </c>
      <c r="GX136" s="37">
        <v>6.8410169999999999</v>
      </c>
      <c r="GY136" s="37">
        <v>6.8410169999999999</v>
      </c>
      <c r="GZ136" s="37">
        <v>6.8410169999999999</v>
      </c>
      <c r="HA136" s="37">
        <v>6.8410169999999999</v>
      </c>
      <c r="HB136" s="37">
        <v>6.8410169999999999</v>
      </c>
      <c r="HC136" s="37">
        <v>6.8410169999999999</v>
      </c>
      <c r="HD136" s="37">
        <v>6.8410169999999999</v>
      </c>
      <c r="HE136" s="37">
        <v>6.8410169999999999</v>
      </c>
      <c r="HF136" s="37">
        <v>6.8410169999999999</v>
      </c>
      <c r="HG136" s="37">
        <v>6.8410169999999999</v>
      </c>
      <c r="HH136" s="37">
        <v>6.8410169999999999</v>
      </c>
      <c r="HI136" s="37">
        <v>6.8410169999999999</v>
      </c>
      <c r="HJ136" s="37">
        <v>6.8410169999999999</v>
      </c>
      <c r="HK136" s="37">
        <v>6.8410169999999999</v>
      </c>
      <c r="HL136" s="37">
        <v>6.8410169999999999</v>
      </c>
      <c r="HM136" s="37">
        <v>6.8410169999999999</v>
      </c>
      <c r="HN136" s="37">
        <v>6.8410169999999999</v>
      </c>
      <c r="HO136" s="37">
        <v>6.8410169999999999</v>
      </c>
      <c r="HP136" s="37">
        <v>6.8410169999999999</v>
      </c>
      <c r="HQ136" s="37">
        <v>6.8410169999999999</v>
      </c>
      <c r="HR136" s="37">
        <v>6.8410169999999999</v>
      </c>
      <c r="HS136" s="37">
        <v>6.8410169999999999</v>
      </c>
      <c r="HT136" s="37">
        <v>6.8410169999999999</v>
      </c>
      <c r="HU136" s="37">
        <v>6.8410169999999999</v>
      </c>
      <c r="HV136" s="37">
        <v>6.8410169999999999</v>
      </c>
      <c r="HW136" s="37">
        <v>6.8410169999999999</v>
      </c>
      <c r="HX136" s="37">
        <v>6.8410169999999999</v>
      </c>
      <c r="HY136" s="37">
        <v>6.8410169999999999</v>
      </c>
      <c r="HZ136" s="37">
        <v>6.8410169999999999</v>
      </c>
      <c r="IA136" s="37">
        <v>6.8410169999999999</v>
      </c>
      <c r="IB136" s="37">
        <v>6.8410169999999999</v>
      </c>
      <c r="IC136" s="37">
        <v>6.8410169999999999</v>
      </c>
      <c r="ID136" s="37">
        <v>6.8410169999999999</v>
      </c>
      <c r="IE136" s="37">
        <v>6.8410169999999999</v>
      </c>
      <c r="IF136" s="37">
        <v>6.8410169999999999</v>
      </c>
      <c r="IG136" s="37">
        <v>6.8410169999999999</v>
      </c>
      <c r="IH136" s="37">
        <v>6.8410169999999999</v>
      </c>
      <c r="II136" s="37">
        <v>6.8410169999999999</v>
      </c>
      <c r="IJ136" s="37">
        <v>6.8410169999999999</v>
      </c>
      <c r="IK136" s="37">
        <v>6.8410169999999999</v>
      </c>
      <c r="IL136" s="37">
        <v>6.8410169999999999</v>
      </c>
      <c r="IM136" s="37">
        <v>6.8410169999999999</v>
      </c>
      <c r="IN136" s="37">
        <v>6.8410169999999999</v>
      </c>
      <c r="IO136" s="37">
        <v>6.8410169999999999</v>
      </c>
      <c r="IP136" s="37">
        <v>6.8410169999999999</v>
      </c>
      <c r="IQ136" s="37">
        <v>6.8410169999999999</v>
      </c>
      <c r="IR136" s="37">
        <v>6.8410169999999999</v>
      </c>
      <c r="IS136" s="37">
        <v>6.8410169999999999</v>
      </c>
      <c r="IT136" s="37">
        <v>6.8410169999999999</v>
      </c>
      <c r="IU136" s="37">
        <v>6.8410169999999999</v>
      </c>
      <c r="IV136" s="37">
        <v>6.8410169999999999</v>
      </c>
      <c r="IW136" s="37">
        <v>6.8410169999999999</v>
      </c>
      <c r="IX136" s="37">
        <v>6.8410169999999999</v>
      </c>
      <c r="IY136" s="37">
        <v>6.8410169999999999</v>
      </c>
      <c r="IZ136" s="37">
        <v>6.8410169999999999</v>
      </c>
      <c r="JA136" s="37">
        <v>6.8410169999999999</v>
      </c>
      <c r="JB136" s="37">
        <v>6.8410169999999999</v>
      </c>
      <c r="JC136" s="37">
        <v>6.8410169999999999</v>
      </c>
      <c r="JD136" s="37">
        <v>6.8410169999999999</v>
      </c>
      <c r="JE136" s="37">
        <v>6.8410169999999999</v>
      </c>
      <c r="JF136" s="37">
        <v>6.8410169999999999</v>
      </c>
      <c r="JG136" s="37">
        <v>6.8410169999999999</v>
      </c>
      <c r="JH136" s="37">
        <v>6.8410169999999999</v>
      </c>
      <c r="JI136" s="37">
        <v>6.8410169999999999</v>
      </c>
      <c r="JJ136" s="37">
        <v>6.8410169999999999</v>
      </c>
      <c r="JK136" s="37">
        <v>6.8410169999999999</v>
      </c>
      <c r="JL136" s="37">
        <v>6.8410169999999999</v>
      </c>
      <c r="JM136" s="37">
        <v>6.8410169999999999</v>
      </c>
      <c r="JN136" s="37">
        <v>6.8410169999999999</v>
      </c>
      <c r="JO136" s="37">
        <v>6.8410169999999999</v>
      </c>
      <c r="JP136" s="37">
        <v>6.8410169999999999</v>
      </c>
      <c r="JQ136" s="37">
        <v>6.8410169999999999</v>
      </c>
      <c r="JR136" s="37">
        <v>6.8410169999999999</v>
      </c>
      <c r="JS136" s="37">
        <v>6.8410169999999999</v>
      </c>
      <c r="JT136" s="37">
        <v>6.8410169999999999</v>
      </c>
      <c r="JU136" s="37">
        <v>6.8410169999999999</v>
      </c>
      <c r="JV136" s="37">
        <v>6.8410169999999999</v>
      </c>
      <c r="JW136" s="37">
        <v>6.8410169999999999</v>
      </c>
      <c r="JX136" s="37">
        <v>6.8410169999999999</v>
      </c>
      <c r="JY136" s="37">
        <v>6.8410169999999999</v>
      </c>
      <c r="JZ136" s="37">
        <v>6.8410169999999999</v>
      </c>
      <c r="KA136" s="37">
        <v>6.8410169999999999</v>
      </c>
      <c r="KB136" s="37">
        <v>6.8410169999999999</v>
      </c>
      <c r="KC136" s="37">
        <v>6.8410169999999999</v>
      </c>
      <c r="KD136" s="37">
        <v>6.8410169999999999</v>
      </c>
      <c r="KE136" s="37">
        <v>6.8410169999999999</v>
      </c>
      <c r="KF136" s="37">
        <v>6.8410169999999999</v>
      </c>
      <c r="KG136" s="37">
        <v>6.8410169999999999</v>
      </c>
      <c r="KH136" s="37">
        <v>6.8410169999999999</v>
      </c>
      <c r="KI136" s="37">
        <v>6.8410169999999999</v>
      </c>
      <c r="KJ136" s="37">
        <v>6.8410169999999999</v>
      </c>
      <c r="KK136" s="37">
        <v>6.8410169999999999</v>
      </c>
      <c r="KL136" s="37">
        <v>6.8410169999999999</v>
      </c>
      <c r="KM136" s="37">
        <v>6.8410169999999999</v>
      </c>
      <c r="KN136" s="37">
        <v>6.8410169999999999</v>
      </c>
      <c r="KO136" s="37">
        <v>6.8410169999999999</v>
      </c>
      <c r="KP136" s="37">
        <v>6.8410169999999999</v>
      </c>
      <c r="KQ136" s="37">
        <v>6.8410169999999999</v>
      </c>
      <c r="KR136" s="37">
        <v>6.8410169999999999</v>
      </c>
      <c r="KS136" s="37">
        <v>6.8410169999999999</v>
      </c>
      <c r="KT136" s="37">
        <v>6.8410169999999999</v>
      </c>
      <c r="KU136" s="37">
        <v>6.8410169999999999</v>
      </c>
      <c r="KV136" s="37">
        <v>6.8410169999999999</v>
      </c>
      <c r="KW136" s="37">
        <v>6.8410169999999999</v>
      </c>
      <c r="KX136" s="37">
        <v>6.8410169999999999</v>
      </c>
      <c r="KY136" s="37">
        <v>6.8410169999999999</v>
      </c>
      <c r="KZ136" s="37">
        <v>6.8410169999999999</v>
      </c>
      <c r="LA136" s="37">
        <v>6.8410169999999999</v>
      </c>
      <c r="LB136" s="37">
        <v>6.8410169999999999</v>
      </c>
      <c r="LC136" s="37">
        <v>6.8410169999999999</v>
      </c>
      <c r="LD136" s="37">
        <v>6.8410169999999999</v>
      </c>
      <c r="LE136" s="37">
        <v>6.8410169999999999</v>
      </c>
      <c r="LF136" s="37">
        <v>6.8410169999999999</v>
      </c>
      <c r="LG136" s="37">
        <v>6.8410169999999999</v>
      </c>
      <c r="LH136" s="37">
        <v>6.8410169999999999</v>
      </c>
      <c r="LI136" s="37">
        <v>6.8410169999999999</v>
      </c>
      <c r="LJ136" s="37">
        <v>6.8410169999999999</v>
      </c>
      <c r="LK136" s="37">
        <v>6.8410169999999999</v>
      </c>
      <c r="LL136" s="37">
        <v>6.8410169999999999</v>
      </c>
      <c r="LM136" s="37">
        <v>6.8410169999999999</v>
      </c>
      <c r="LN136" s="37">
        <v>6.8410169999999999</v>
      </c>
      <c r="LO136" s="37">
        <v>6.8410169999999999</v>
      </c>
      <c r="LP136" s="37">
        <v>6.8410169999999999</v>
      </c>
      <c r="LQ136" s="37">
        <v>6.8410169999999999</v>
      </c>
      <c r="LR136" s="37">
        <v>6.8410169999999999</v>
      </c>
      <c r="LS136" s="37">
        <v>6.8410169999999999</v>
      </c>
      <c r="LT136" s="37">
        <v>6.8410169999999999</v>
      </c>
      <c r="LU136" s="37">
        <v>6.8410169999999999</v>
      </c>
      <c r="LV136" s="37">
        <v>6.8410169999999999</v>
      </c>
      <c r="LW136" s="37">
        <v>6.8410169999999999</v>
      </c>
      <c r="LX136" s="37">
        <v>6.8410169999999999</v>
      </c>
      <c r="LY136" s="37">
        <v>6.8410169999999999</v>
      </c>
      <c r="LZ136" s="37">
        <v>6.8410169999999999</v>
      </c>
      <c r="MA136" s="37">
        <v>6.8410169999999999</v>
      </c>
      <c r="MB136" s="37">
        <v>6.8410169999999999</v>
      </c>
      <c r="MC136" s="37">
        <v>6.8410169999999999</v>
      </c>
      <c r="MD136" s="37">
        <v>6.8410169999999999</v>
      </c>
      <c r="ME136" s="37">
        <v>6.8410169999999999</v>
      </c>
      <c r="MF136" s="37">
        <v>6.8410169999999999</v>
      </c>
      <c r="MG136" s="37">
        <v>6.8410169999999999</v>
      </c>
      <c r="MH136" s="37">
        <v>6.8410169999999999</v>
      </c>
      <c r="MI136" s="37">
        <v>6.8410169999999999</v>
      </c>
      <c r="MJ136" s="37">
        <v>6.8410169999999999</v>
      </c>
      <c r="MK136" s="37">
        <v>6.8410169999999999</v>
      </c>
      <c r="ML136" s="37">
        <v>6.8410169999999999</v>
      </c>
      <c r="MM136" s="37">
        <v>6.8410169999999999</v>
      </c>
      <c r="MN136" s="37">
        <v>6.8410169999999999</v>
      </c>
      <c r="MO136" s="37">
        <v>6.8410169999999999</v>
      </c>
      <c r="MP136" s="37">
        <v>6.8410169999999999</v>
      </c>
      <c r="MQ136" s="37">
        <v>6.8410169999999999</v>
      </c>
      <c r="MR136" s="37">
        <v>6.8410169999999999</v>
      </c>
      <c r="MS136" s="37">
        <v>6.8410169999999999</v>
      </c>
      <c r="MT136" s="37">
        <v>6.8410169999999999</v>
      </c>
      <c r="MU136" s="37">
        <v>6.8410169999999999</v>
      </c>
      <c r="MV136" s="37">
        <v>6.8410169999999999</v>
      </c>
      <c r="MW136" s="37">
        <v>6.8410169999999999</v>
      </c>
      <c r="MX136" s="37">
        <v>6.8410169999999999</v>
      </c>
      <c r="MY136" s="37">
        <v>6.8410169999999999</v>
      </c>
      <c r="MZ136" s="37">
        <v>6.8410169999999999</v>
      </c>
      <c r="NA136" s="37">
        <v>6.8410169999999999</v>
      </c>
      <c r="NB136" s="37">
        <v>6.8410169999999999</v>
      </c>
      <c r="NC136" s="37">
        <v>7.4172130000000003</v>
      </c>
      <c r="ND136" s="37">
        <v>0</v>
      </c>
    </row>
    <row r="137" spans="1:368" x14ac:dyDescent="0.2">
      <c r="A137" s="37">
        <v>135</v>
      </c>
      <c r="B137" s="37" t="s">
        <v>1141</v>
      </c>
      <c r="C137" s="17">
        <f>+'Detalle Compras'!D137</f>
        <v>20231229711</v>
      </c>
      <c r="D137" s="55">
        <f t="shared" si="19"/>
        <v>11.054399999999999</v>
      </c>
      <c r="E137" s="14">
        <f>+IF(B137="","",'Detalle Compras'!S137+0)</f>
        <v>45483</v>
      </c>
      <c r="F137" s="14">
        <f>+IF(B137="","",EOMONTH('Detalle Compras'!Q137,G137)+10)</f>
        <v>6098</v>
      </c>
      <c r="G137" s="50">
        <f t="shared" si="20"/>
        <v>199</v>
      </c>
      <c r="H137" s="50">
        <f t="shared" si="21"/>
        <v>337</v>
      </c>
      <c r="I137" s="37">
        <v>0</v>
      </c>
      <c r="J137" s="37">
        <v>0</v>
      </c>
      <c r="K137" s="37">
        <v>0</v>
      </c>
      <c r="L137" s="37">
        <v>0</v>
      </c>
      <c r="M137" s="37">
        <v>11.054399999999999</v>
      </c>
      <c r="N137" s="37">
        <v>11.054399999999999</v>
      </c>
      <c r="O137" s="37">
        <v>11.054399999999999</v>
      </c>
      <c r="P137" s="37">
        <v>11.054399999999999</v>
      </c>
      <c r="Q137" s="37">
        <v>11.054399999999999</v>
      </c>
      <c r="R137" s="37">
        <v>11.054399999999999</v>
      </c>
      <c r="S137" s="37">
        <v>11.054399999999999</v>
      </c>
      <c r="T137" s="37">
        <v>11.054399999999999</v>
      </c>
      <c r="U137" s="37">
        <v>11.054399999999999</v>
      </c>
      <c r="V137" s="37">
        <v>11.054399999999999</v>
      </c>
      <c r="W137" s="37">
        <v>11.054399999999999</v>
      </c>
      <c r="X137" s="37">
        <v>11.054399999999999</v>
      </c>
      <c r="Y137" s="37">
        <v>11.054399999999999</v>
      </c>
      <c r="Z137" s="37">
        <v>11.054399999999999</v>
      </c>
      <c r="AA137" s="37">
        <v>11.054399999999999</v>
      </c>
      <c r="AB137" s="37">
        <v>11.054399999999999</v>
      </c>
      <c r="AC137" s="37">
        <v>11.054399999999999</v>
      </c>
      <c r="AD137" s="37">
        <v>11.054399999999999</v>
      </c>
      <c r="AE137" s="37">
        <v>11.054399999999999</v>
      </c>
      <c r="AF137" s="37">
        <v>11.054399999999999</v>
      </c>
      <c r="AG137" s="37">
        <v>11.054399999999999</v>
      </c>
      <c r="AH137" s="37">
        <v>11.054399999999999</v>
      </c>
      <c r="AI137" s="37">
        <v>11.054399999999999</v>
      </c>
      <c r="AJ137" s="37">
        <v>11.054399999999999</v>
      </c>
      <c r="AK137" s="37">
        <v>11.054399999999999</v>
      </c>
      <c r="AL137" s="37">
        <v>11.054399999999999</v>
      </c>
      <c r="AM137" s="37">
        <v>11.054399999999999</v>
      </c>
      <c r="AN137" s="37">
        <v>11.054399999999999</v>
      </c>
      <c r="AO137" s="37">
        <v>11.054399999999999</v>
      </c>
      <c r="AP137" s="37">
        <v>11.054399999999999</v>
      </c>
      <c r="AQ137" s="37">
        <v>11.054399999999999</v>
      </c>
      <c r="AR137" s="37">
        <v>11.054399999999999</v>
      </c>
      <c r="AS137" s="37">
        <v>11.054399999999999</v>
      </c>
      <c r="AT137" s="37">
        <v>11.054399999999999</v>
      </c>
      <c r="AU137" s="37">
        <v>11.054399999999999</v>
      </c>
      <c r="AV137" s="37">
        <v>11.054399999999999</v>
      </c>
      <c r="AW137" s="37">
        <v>11.054399999999999</v>
      </c>
      <c r="AX137" s="37">
        <v>11.054399999999999</v>
      </c>
      <c r="AY137" s="37">
        <v>11.054399999999999</v>
      </c>
      <c r="AZ137" s="37">
        <v>11.054399999999999</v>
      </c>
      <c r="BA137" s="37">
        <v>11.054399999999999</v>
      </c>
      <c r="BB137" s="37">
        <v>11.054399999999999</v>
      </c>
      <c r="BC137" s="37">
        <v>11.054399999999999</v>
      </c>
      <c r="BD137" s="37">
        <v>11.054399999999999</v>
      </c>
      <c r="BE137" s="37">
        <v>11.054399999999999</v>
      </c>
      <c r="BF137" s="37">
        <v>11.054399999999999</v>
      </c>
      <c r="BG137" s="37">
        <v>11.054399999999999</v>
      </c>
      <c r="BH137" s="37">
        <v>11.054399999999999</v>
      </c>
      <c r="BI137" s="37">
        <v>11.054399999999999</v>
      </c>
      <c r="BJ137" s="37">
        <v>11.054399999999999</v>
      </c>
      <c r="BK137" s="37">
        <v>11.054399999999999</v>
      </c>
      <c r="BL137" s="37">
        <v>11.054399999999999</v>
      </c>
      <c r="BM137" s="37">
        <v>11.054399999999999</v>
      </c>
      <c r="BN137" s="37">
        <v>11.054399999999999</v>
      </c>
      <c r="BO137" s="37">
        <v>11.054399999999999</v>
      </c>
      <c r="BP137" s="37">
        <v>11.054399999999999</v>
      </c>
      <c r="BQ137" s="37">
        <v>11.054399999999999</v>
      </c>
      <c r="BR137" s="37">
        <v>11.054399999999999</v>
      </c>
      <c r="BS137" s="37">
        <v>11.054399999999999</v>
      </c>
      <c r="BT137" s="37">
        <v>11.054399999999999</v>
      </c>
      <c r="BU137" s="37">
        <v>11.054399999999999</v>
      </c>
      <c r="BV137" s="37">
        <v>11.054399999999999</v>
      </c>
      <c r="BW137" s="37">
        <v>11.054399999999999</v>
      </c>
      <c r="BX137" s="37">
        <v>11.054399999999999</v>
      </c>
      <c r="BY137" s="37">
        <v>11.054399999999999</v>
      </c>
      <c r="BZ137" s="37">
        <v>11.054399999999999</v>
      </c>
      <c r="CA137" s="37">
        <v>11.054399999999999</v>
      </c>
      <c r="CB137" s="37">
        <v>11.054399999999999</v>
      </c>
      <c r="CC137" s="37">
        <v>11.054399999999999</v>
      </c>
      <c r="CD137" s="37">
        <v>11.054399999999999</v>
      </c>
      <c r="CE137" s="37">
        <v>11.054399999999999</v>
      </c>
      <c r="CF137" s="37">
        <v>11.054399999999999</v>
      </c>
      <c r="CG137" s="37">
        <v>11.054399999999999</v>
      </c>
      <c r="CH137" s="37">
        <v>11.054399999999999</v>
      </c>
      <c r="CI137" s="37">
        <v>11.054399999999999</v>
      </c>
      <c r="CJ137" s="37">
        <v>11.054399999999999</v>
      </c>
      <c r="CK137" s="37">
        <v>11.054399999999999</v>
      </c>
      <c r="CL137" s="37">
        <v>11.054399999999999</v>
      </c>
      <c r="CM137" s="37">
        <v>11.054399999999999</v>
      </c>
      <c r="CN137" s="37">
        <v>11.054399999999999</v>
      </c>
      <c r="CO137" s="37">
        <v>11.054399999999999</v>
      </c>
      <c r="CP137" s="37">
        <v>11.054399999999999</v>
      </c>
      <c r="CQ137" s="37">
        <v>11.054399999999999</v>
      </c>
      <c r="CR137" s="37">
        <v>11.054399999999999</v>
      </c>
      <c r="CS137" s="37">
        <v>11.054399999999999</v>
      </c>
      <c r="CT137" s="37">
        <v>11.054399999999999</v>
      </c>
      <c r="CU137" s="37">
        <v>11.054399999999999</v>
      </c>
      <c r="CV137" s="37">
        <v>11.054399999999999</v>
      </c>
      <c r="CW137" s="37">
        <v>11.054399999999999</v>
      </c>
      <c r="CX137" s="37">
        <v>11.054399999999999</v>
      </c>
      <c r="CY137" s="37">
        <v>11.054399999999999</v>
      </c>
      <c r="CZ137" s="37">
        <v>11.054399999999999</v>
      </c>
      <c r="DA137" s="37">
        <v>11.054399999999999</v>
      </c>
      <c r="DB137" s="37">
        <v>11.054399999999999</v>
      </c>
      <c r="DC137" s="37">
        <v>11.054399999999999</v>
      </c>
      <c r="DD137" s="37">
        <v>11.054399999999999</v>
      </c>
      <c r="DE137" s="37">
        <v>11.054399999999999</v>
      </c>
      <c r="DF137" s="37">
        <v>11.054399999999999</v>
      </c>
      <c r="DG137" s="37">
        <v>11.054399999999999</v>
      </c>
      <c r="DH137" s="37">
        <v>11.054399999999999</v>
      </c>
      <c r="DI137" s="37">
        <v>11.054399999999999</v>
      </c>
      <c r="DJ137" s="37">
        <v>11.054399999999999</v>
      </c>
      <c r="DK137" s="37">
        <v>11.054399999999999</v>
      </c>
      <c r="DL137" s="37">
        <v>11.054399999999999</v>
      </c>
      <c r="DM137" s="37">
        <v>11.054399999999999</v>
      </c>
      <c r="DN137" s="37">
        <v>11.054399999999999</v>
      </c>
      <c r="DO137" s="37">
        <v>11.054399999999999</v>
      </c>
      <c r="DP137" s="37">
        <v>11.054399999999999</v>
      </c>
      <c r="DQ137" s="37">
        <v>11.054399999999999</v>
      </c>
      <c r="DR137" s="37">
        <v>11.054399999999999</v>
      </c>
      <c r="DS137" s="37">
        <v>11.054399999999999</v>
      </c>
      <c r="DT137" s="37">
        <v>11.054399999999999</v>
      </c>
      <c r="DU137" s="37">
        <v>11.054399999999999</v>
      </c>
      <c r="DV137" s="37">
        <v>11.054399999999999</v>
      </c>
      <c r="DW137" s="37">
        <v>11.054399999999999</v>
      </c>
      <c r="DX137" s="37">
        <v>11.054399999999999</v>
      </c>
      <c r="DY137" s="37">
        <v>11.054399999999999</v>
      </c>
      <c r="DZ137" s="37">
        <v>11.054399999999999</v>
      </c>
      <c r="EA137" s="37">
        <v>11.054399999999999</v>
      </c>
      <c r="EB137" s="37">
        <v>11.054399999999999</v>
      </c>
      <c r="EC137" s="37">
        <v>11.054399999999999</v>
      </c>
      <c r="ED137" s="37">
        <v>11.054399999999999</v>
      </c>
      <c r="EE137" s="37">
        <v>11.054399999999999</v>
      </c>
      <c r="EF137" s="37">
        <v>11.054399999999999</v>
      </c>
      <c r="EG137" s="37">
        <v>11.054399999999999</v>
      </c>
      <c r="EH137" s="37">
        <v>11.054399999999999</v>
      </c>
      <c r="EI137" s="37">
        <v>11.054399999999999</v>
      </c>
      <c r="EJ137" s="37">
        <v>11.054399999999999</v>
      </c>
      <c r="EK137" s="37">
        <v>11.054399999999999</v>
      </c>
      <c r="EL137" s="37">
        <v>11.054399999999999</v>
      </c>
      <c r="EM137" s="37">
        <v>11.054399999999999</v>
      </c>
      <c r="EN137" s="37">
        <v>11.054399999999999</v>
      </c>
      <c r="EO137" s="37">
        <v>11.054399999999999</v>
      </c>
      <c r="EP137" s="37">
        <v>11.054399999999999</v>
      </c>
      <c r="EQ137" s="37">
        <v>11.054399999999999</v>
      </c>
      <c r="ER137" s="37">
        <v>11.054399999999999</v>
      </c>
      <c r="ES137" s="37">
        <v>11.054399999999999</v>
      </c>
      <c r="ET137" s="37">
        <v>11.054399999999999</v>
      </c>
      <c r="EU137" s="37">
        <v>11.054399999999999</v>
      </c>
      <c r="EV137" s="37">
        <v>11.054399999999999</v>
      </c>
      <c r="EW137" s="37">
        <v>11.054399999999999</v>
      </c>
      <c r="EX137" s="37">
        <v>11.054399999999999</v>
      </c>
      <c r="EY137" s="37">
        <v>11.054399999999999</v>
      </c>
      <c r="EZ137" s="37">
        <v>11.054399999999999</v>
      </c>
      <c r="FA137" s="37">
        <v>11.054399999999999</v>
      </c>
      <c r="FB137" s="37">
        <v>11.054399999999999</v>
      </c>
      <c r="FC137" s="37">
        <v>11.054399999999999</v>
      </c>
      <c r="FD137" s="37">
        <v>11.054399999999999</v>
      </c>
      <c r="FE137" s="37">
        <v>11.054399999999999</v>
      </c>
      <c r="FF137" s="37">
        <v>11.054399999999999</v>
      </c>
      <c r="FG137" s="37">
        <v>11.054399999999999</v>
      </c>
      <c r="FH137" s="37">
        <v>11.054399999999999</v>
      </c>
      <c r="FI137" s="37">
        <v>11.054399999999999</v>
      </c>
      <c r="FJ137" s="37">
        <v>11.054399999999999</v>
      </c>
      <c r="FK137" s="37">
        <v>11.054399999999999</v>
      </c>
      <c r="FL137" s="37">
        <v>11.054399999999999</v>
      </c>
      <c r="FM137" s="37">
        <v>11.054399999999999</v>
      </c>
      <c r="FN137" s="37">
        <v>11.054399999999999</v>
      </c>
      <c r="FO137" s="37">
        <v>11.054399999999999</v>
      </c>
      <c r="FP137" s="37">
        <v>11.054399999999999</v>
      </c>
      <c r="FQ137" s="37">
        <v>11.054399999999999</v>
      </c>
      <c r="FR137" s="37">
        <v>11.054399999999999</v>
      </c>
      <c r="FS137" s="37">
        <v>11.054399999999999</v>
      </c>
      <c r="FT137" s="37">
        <v>11.054399999999999</v>
      </c>
      <c r="FU137" s="37">
        <v>11.054399999999999</v>
      </c>
      <c r="FV137" s="37">
        <v>11.054399999999999</v>
      </c>
      <c r="FW137" s="37">
        <v>11.054399999999999</v>
      </c>
      <c r="FX137" s="37">
        <v>11.054399999999999</v>
      </c>
      <c r="FY137" s="37">
        <v>11.054399999999999</v>
      </c>
      <c r="FZ137" s="37">
        <v>11.054399999999999</v>
      </c>
      <c r="GA137" s="37">
        <v>11.054399999999999</v>
      </c>
      <c r="GB137" s="37">
        <v>11.054399999999999</v>
      </c>
      <c r="GC137" s="37">
        <v>11.054399999999999</v>
      </c>
      <c r="GD137" s="37">
        <v>11.054399999999999</v>
      </c>
      <c r="GE137" s="37">
        <v>11.054399999999999</v>
      </c>
      <c r="GF137" s="37">
        <v>11.054399999999999</v>
      </c>
      <c r="GG137" s="37">
        <v>11.054399999999999</v>
      </c>
      <c r="GH137" s="37">
        <v>11.054399999999999</v>
      </c>
      <c r="GI137" s="37">
        <v>11.054399999999999</v>
      </c>
      <c r="GJ137" s="37">
        <v>11.054399999999999</v>
      </c>
      <c r="GK137" s="37">
        <v>11.054399999999999</v>
      </c>
      <c r="GL137" s="37">
        <v>11.054399999999999</v>
      </c>
      <c r="GM137" s="37">
        <v>11.054399999999999</v>
      </c>
      <c r="GN137" s="37">
        <v>11.054399999999999</v>
      </c>
      <c r="GO137" s="37">
        <v>11.054399999999999</v>
      </c>
      <c r="GP137" s="37">
        <v>11.054399999999999</v>
      </c>
      <c r="GQ137" s="37">
        <v>11.054399999999999</v>
      </c>
      <c r="GR137" s="37">
        <v>11.054399999999999</v>
      </c>
      <c r="GS137" s="37">
        <v>11.054399999999999</v>
      </c>
      <c r="GT137" s="37">
        <v>11.054399999999999</v>
      </c>
      <c r="GU137" s="37">
        <v>11.054399999999999</v>
      </c>
      <c r="GV137" s="37">
        <v>11.054399999999999</v>
      </c>
      <c r="GW137" s="37">
        <v>11.054399999999999</v>
      </c>
      <c r="GX137" s="37">
        <v>11.054399999999999</v>
      </c>
      <c r="GY137" s="37">
        <v>11.054399999999999</v>
      </c>
      <c r="GZ137" s="37">
        <v>11.054399999999999</v>
      </c>
      <c r="HA137" s="37">
        <v>11.054399999999999</v>
      </c>
      <c r="HB137" s="37">
        <v>11.054399999999999</v>
      </c>
      <c r="HC137" s="37">
        <v>11.153625</v>
      </c>
      <c r="HD137" s="37">
        <v>0</v>
      </c>
      <c r="HE137" s="37">
        <v>0</v>
      </c>
      <c r="HF137" s="37">
        <v>0</v>
      </c>
      <c r="HG137" s="37">
        <v>0</v>
      </c>
      <c r="HH137" s="37">
        <v>0</v>
      </c>
      <c r="HI137" s="37">
        <v>0</v>
      </c>
      <c r="HJ137" s="37">
        <v>0</v>
      </c>
      <c r="HK137" s="37">
        <v>0</v>
      </c>
      <c r="HL137" s="37">
        <v>0</v>
      </c>
      <c r="HM137" s="37">
        <v>0</v>
      </c>
      <c r="HN137" s="37">
        <v>0</v>
      </c>
      <c r="HO137" s="37">
        <v>0</v>
      </c>
      <c r="HP137" s="37">
        <v>0</v>
      </c>
      <c r="HQ137" s="37">
        <v>0</v>
      </c>
      <c r="HR137" s="37">
        <v>0</v>
      </c>
      <c r="HS137" s="37">
        <v>0</v>
      </c>
      <c r="HT137" s="37">
        <v>0</v>
      </c>
      <c r="HU137" s="37">
        <v>0</v>
      </c>
      <c r="HV137" s="37">
        <v>0</v>
      </c>
      <c r="HW137" s="37">
        <v>0</v>
      </c>
      <c r="HX137" s="37">
        <v>0</v>
      </c>
      <c r="HY137" s="37">
        <v>0</v>
      </c>
      <c r="HZ137" s="37">
        <v>0</v>
      </c>
      <c r="IA137" s="37">
        <v>0</v>
      </c>
      <c r="IB137" s="37">
        <v>0</v>
      </c>
      <c r="IC137" s="37">
        <v>0</v>
      </c>
      <c r="ID137" s="37">
        <v>0</v>
      </c>
      <c r="IE137" s="37">
        <v>0</v>
      </c>
      <c r="IF137" s="37">
        <v>0</v>
      </c>
      <c r="IG137" s="37">
        <v>0</v>
      </c>
      <c r="IH137" s="37">
        <v>0</v>
      </c>
      <c r="II137" s="37">
        <v>0</v>
      </c>
      <c r="IJ137" s="37">
        <v>0</v>
      </c>
      <c r="IK137" s="37">
        <v>0</v>
      </c>
      <c r="IL137" s="37">
        <v>0</v>
      </c>
      <c r="IM137" s="37">
        <v>0</v>
      </c>
      <c r="IN137" s="37">
        <v>0</v>
      </c>
      <c r="IO137" s="37">
        <v>0</v>
      </c>
      <c r="IP137" s="37">
        <v>0</v>
      </c>
      <c r="IQ137" s="37">
        <v>0</v>
      </c>
      <c r="IR137" s="37">
        <v>0</v>
      </c>
      <c r="IS137" s="37">
        <v>0</v>
      </c>
      <c r="IT137" s="37">
        <v>0</v>
      </c>
      <c r="IU137" s="37">
        <v>0</v>
      </c>
      <c r="IV137" s="37">
        <v>0</v>
      </c>
      <c r="IW137" s="37">
        <v>0</v>
      </c>
      <c r="IX137" s="37">
        <v>0</v>
      </c>
      <c r="IY137" s="37">
        <v>0</v>
      </c>
      <c r="IZ137" s="37">
        <v>0</v>
      </c>
      <c r="JA137" s="37">
        <v>0</v>
      </c>
      <c r="JB137" s="37">
        <v>0</v>
      </c>
      <c r="JC137" s="37">
        <v>0</v>
      </c>
      <c r="JD137" s="37">
        <v>0</v>
      </c>
      <c r="JE137" s="37">
        <v>0</v>
      </c>
      <c r="JF137" s="37">
        <v>0</v>
      </c>
      <c r="JG137" s="37">
        <v>0</v>
      </c>
      <c r="JH137" s="37">
        <v>0</v>
      </c>
      <c r="JI137" s="37">
        <v>0</v>
      </c>
      <c r="JJ137" s="37">
        <v>0</v>
      </c>
      <c r="JK137" s="37">
        <v>0</v>
      </c>
      <c r="JL137" s="37">
        <v>0</v>
      </c>
      <c r="JM137" s="37">
        <v>0</v>
      </c>
      <c r="JN137" s="37">
        <v>0</v>
      </c>
      <c r="JO137" s="37">
        <v>0</v>
      </c>
      <c r="JP137" s="37">
        <v>0</v>
      </c>
      <c r="JQ137" s="37">
        <v>0</v>
      </c>
      <c r="JR137" s="37">
        <v>0</v>
      </c>
      <c r="JS137" s="37">
        <v>0</v>
      </c>
      <c r="JT137" s="37">
        <v>0</v>
      </c>
      <c r="JU137" s="37">
        <v>0</v>
      </c>
      <c r="JV137" s="37">
        <v>0</v>
      </c>
      <c r="JW137" s="37">
        <v>0</v>
      </c>
      <c r="JX137" s="37">
        <v>0</v>
      </c>
      <c r="JY137" s="37">
        <v>0</v>
      </c>
      <c r="JZ137" s="37">
        <v>0</v>
      </c>
      <c r="KA137" s="37">
        <v>0</v>
      </c>
      <c r="KB137" s="37">
        <v>0</v>
      </c>
      <c r="KC137" s="37">
        <v>0</v>
      </c>
      <c r="KD137" s="37">
        <v>0</v>
      </c>
      <c r="KE137" s="37">
        <v>0</v>
      </c>
      <c r="KF137" s="37">
        <v>0</v>
      </c>
      <c r="KG137" s="37">
        <v>0</v>
      </c>
      <c r="KH137" s="37">
        <v>0</v>
      </c>
      <c r="KI137" s="37">
        <v>0</v>
      </c>
      <c r="KJ137" s="37">
        <v>0</v>
      </c>
      <c r="KK137" s="37">
        <v>0</v>
      </c>
      <c r="KL137" s="37">
        <v>0</v>
      </c>
      <c r="KM137" s="37">
        <v>0</v>
      </c>
      <c r="KN137" s="37">
        <v>0</v>
      </c>
      <c r="KO137" s="37">
        <v>0</v>
      </c>
      <c r="KP137" s="37">
        <v>0</v>
      </c>
      <c r="KQ137" s="37">
        <v>0</v>
      </c>
      <c r="KR137" s="37">
        <v>0</v>
      </c>
      <c r="KS137" s="37">
        <v>0</v>
      </c>
      <c r="KT137" s="37">
        <v>0</v>
      </c>
      <c r="KU137" s="37">
        <v>0</v>
      </c>
      <c r="KV137" s="37">
        <v>0</v>
      </c>
      <c r="KW137" s="37">
        <v>0</v>
      </c>
      <c r="KX137" s="37">
        <v>0</v>
      </c>
      <c r="KY137" s="37">
        <v>0</v>
      </c>
      <c r="KZ137" s="37">
        <v>0</v>
      </c>
      <c r="LA137" s="37">
        <v>0</v>
      </c>
      <c r="LB137" s="37">
        <v>0</v>
      </c>
      <c r="LC137" s="37">
        <v>0</v>
      </c>
      <c r="LD137" s="37">
        <v>0</v>
      </c>
      <c r="LE137" s="37">
        <v>0</v>
      </c>
      <c r="LF137" s="37">
        <v>0</v>
      </c>
      <c r="LG137" s="37">
        <v>0</v>
      </c>
      <c r="LH137" s="37">
        <v>0</v>
      </c>
      <c r="LI137" s="37">
        <v>0</v>
      </c>
      <c r="LJ137" s="37">
        <v>0</v>
      </c>
      <c r="LK137" s="37">
        <v>0</v>
      </c>
      <c r="LL137" s="37">
        <v>0</v>
      </c>
      <c r="LM137" s="37">
        <v>0</v>
      </c>
      <c r="LN137" s="37">
        <v>0</v>
      </c>
      <c r="LO137" s="37">
        <v>0</v>
      </c>
      <c r="LP137" s="37">
        <v>0</v>
      </c>
      <c r="LQ137" s="37">
        <v>0</v>
      </c>
      <c r="LR137" s="37">
        <v>0</v>
      </c>
      <c r="LS137" s="37">
        <v>0</v>
      </c>
      <c r="LT137" s="37">
        <v>0</v>
      </c>
      <c r="LU137" s="37">
        <v>0</v>
      </c>
      <c r="LV137" s="37">
        <v>0</v>
      </c>
      <c r="LW137" s="37">
        <v>0</v>
      </c>
      <c r="LX137" s="37">
        <v>0</v>
      </c>
      <c r="LY137" s="37">
        <v>0</v>
      </c>
      <c r="LZ137" s="37">
        <v>0</v>
      </c>
      <c r="MA137" s="37">
        <v>0</v>
      </c>
      <c r="MB137" s="37">
        <v>0</v>
      </c>
      <c r="MC137" s="37">
        <v>0</v>
      </c>
      <c r="MD137" s="37">
        <v>0</v>
      </c>
      <c r="ME137" s="37">
        <v>0</v>
      </c>
      <c r="MF137" s="37">
        <v>0</v>
      </c>
      <c r="MG137" s="37">
        <v>0</v>
      </c>
      <c r="MH137" s="37">
        <v>0</v>
      </c>
      <c r="MI137" s="37">
        <v>0</v>
      </c>
      <c r="MJ137" s="37">
        <v>0</v>
      </c>
      <c r="MK137" s="37">
        <v>0</v>
      </c>
      <c r="ML137" s="37">
        <v>0</v>
      </c>
      <c r="MM137" s="37">
        <v>0</v>
      </c>
      <c r="MN137" s="37">
        <v>0</v>
      </c>
      <c r="MO137" s="37">
        <v>0</v>
      </c>
      <c r="MP137" s="37">
        <v>0</v>
      </c>
      <c r="MQ137" s="37">
        <v>0</v>
      </c>
      <c r="MR137" s="37">
        <v>0</v>
      </c>
      <c r="MS137" s="37">
        <v>0</v>
      </c>
      <c r="MT137" s="37">
        <v>0</v>
      </c>
      <c r="MU137" s="37">
        <v>0</v>
      </c>
      <c r="MV137" s="37">
        <v>0</v>
      </c>
      <c r="MW137" s="37">
        <v>0</v>
      </c>
      <c r="MX137" s="37">
        <v>0</v>
      </c>
      <c r="MY137" s="37">
        <v>0</v>
      </c>
      <c r="MZ137" s="37">
        <v>0</v>
      </c>
      <c r="NA137" s="37">
        <v>0</v>
      </c>
      <c r="NB137" s="37">
        <v>0</v>
      </c>
      <c r="NC137" s="37">
        <v>0</v>
      </c>
      <c r="ND137" s="37">
        <v>0</v>
      </c>
    </row>
    <row r="138" spans="1:368" x14ac:dyDescent="0.2">
      <c r="A138" s="37">
        <v>136</v>
      </c>
      <c r="B138" s="37" t="s">
        <v>1145</v>
      </c>
      <c r="C138" s="17">
        <f>+'Detalle Compras'!D138</f>
        <v>20231229712</v>
      </c>
      <c r="D138" s="55">
        <f t="shared" si="19"/>
        <v>12.059495</v>
      </c>
      <c r="E138" s="14">
        <f>+IF(B138="","",'Detalle Compras'!S138+0)</f>
        <v>45483</v>
      </c>
      <c r="F138" s="14">
        <f>+IF(B138="","",EOMONTH('Detalle Compras'!Q138,G138)+10)</f>
        <v>10115</v>
      </c>
      <c r="G138" s="50">
        <f t="shared" si="20"/>
        <v>331</v>
      </c>
      <c r="H138" s="50">
        <f t="shared" si="21"/>
        <v>337</v>
      </c>
      <c r="I138" s="37">
        <v>0</v>
      </c>
      <c r="J138" s="37">
        <v>0</v>
      </c>
      <c r="K138" s="37">
        <v>0</v>
      </c>
      <c r="L138" s="37">
        <v>0</v>
      </c>
      <c r="M138" s="37">
        <v>12.059495</v>
      </c>
      <c r="N138" s="37">
        <v>12.059495</v>
      </c>
      <c r="O138" s="37">
        <v>12.059495</v>
      </c>
      <c r="P138" s="37">
        <v>12.059495</v>
      </c>
      <c r="Q138" s="37">
        <v>12.059495</v>
      </c>
      <c r="R138" s="37">
        <v>12.059495</v>
      </c>
      <c r="S138" s="37">
        <v>12.059495</v>
      </c>
      <c r="T138" s="37">
        <v>12.059495</v>
      </c>
      <c r="U138" s="37">
        <v>12.059495</v>
      </c>
      <c r="V138" s="37">
        <v>12.059495</v>
      </c>
      <c r="W138" s="37">
        <v>12.059495</v>
      </c>
      <c r="X138" s="37">
        <v>12.059495</v>
      </c>
      <c r="Y138" s="37">
        <v>12.059495</v>
      </c>
      <c r="Z138" s="37">
        <v>12.059495</v>
      </c>
      <c r="AA138" s="37">
        <v>12.059495</v>
      </c>
      <c r="AB138" s="37">
        <v>12.059495</v>
      </c>
      <c r="AC138" s="37">
        <v>12.059495</v>
      </c>
      <c r="AD138" s="37">
        <v>12.059495</v>
      </c>
      <c r="AE138" s="37">
        <v>12.059495</v>
      </c>
      <c r="AF138" s="37">
        <v>12.059495</v>
      </c>
      <c r="AG138" s="37">
        <v>12.059495</v>
      </c>
      <c r="AH138" s="37">
        <v>12.059495</v>
      </c>
      <c r="AI138" s="37">
        <v>12.059495</v>
      </c>
      <c r="AJ138" s="37">
        <v>12.059495</v>
      </c>
      <c r="AK138" s="37">
        <v>12.059495</v>
      </c>
      <c r="AL138" s="37">
        <v>12.059495</v>
      </c>
      <c r="AM138" s="37">
        <v>12.059495</v>
      </c>
      <c r="AN138" s="37">
        <v>12.059495</v>
      </c>
      <c r="AO138" s="37">
        <v>12.059495</v>
      </c>
      <c r="AP138" s="37">
        <v>12.059495</v>
      </c>
      <c r="AQ138" s="37">
        <v>12.059495</v>
      </c>
      <c r="AR138" s="37">
        <v>12.059495</v>
      </c>
      <c r="AS138" s="37">
        <v>12.059495</v>
      </c>
      <c r="AT138" s="37">
        <v>12.059495</v>
      </c>
      <c r="AU138" s="37">
        <v>12.059495</v>
      </c>
      <c r="AV138" s="37">
        <v>12.059495</v>
      </c>
      <c r="AW138" s="37">
        <v>12.059495</v>
      </c>
      <c r="AX138" s="37">
        <v>12.059495</v>
      </c>
      <c r="AY138" s="37">
        <v>12.059495</v>
      </c>
      <c r="AZ138" s="37">
        <v>12.059495</v>
      </c>
      <c r="BA138" s="37">
        <v>12.059495</v>
      </c>
      <c r="BB138" s="37">
        <v>12.059495</v>
      </c>
      <c r="BC138" s="37">
        <v>12.059495</v>
      </c>
      <c r="BD138" s="37">
        <v>12.059495</v>
      </c>
      <c r="BE138" s="37">
        <v>12.059495</v>
      </c>
      <c r="BF138" s="37">
        <v>12.059495</v>
      </c>
      <c r="BG138" s="37">
        <v>12.059495</v>
      </c>
      <c r="BH138" s="37">
        <v>12.059495</v>
      </c>
      <c r="BI138" s="37">
        <v>12.059495</v>
      </c>
      <c r="BJ138" s="37">
        <v>12.059495</v>
      </c>
      <c r="BK138" s="37">
        <v>12.059495</v>
      </c>
      <c r="BL138" s="37">
        <v>12.059495</v>
      </c>
      <c r="BM138" s="37">
        <v>12.059495</v>
      </c>
      <c r="BN138" s="37">
        <v>12.059495</v>
      </c>
      <c r="BO138" s="37">
        <v>12.059495</v>
      </c>
      <c r="BP138" s="37">
        <v>12.059495</v>
      </c>
      <c r="BQ138" s="37">
        <v>12.059495</v>
      </c>
      <c r="BR138" s="37">
        <v>12.059495</v>
      </c>
      <c r="BS138" s="37">
        <v>12.059495</v>
      </c>
      <c r="BT138" s="37">
        <v>12.059495</v>
      </c>
      <c r="BU138" s="37">
        <v>12.059495</v>
      </c>
      <c r="BV138" s="37">
        <v>12.059495</v>
      </c>
      <c r="BW138" s="37">
        <v>12.059495</v>
      </c>
      <c r="BX138" s="37">
        <v>12.059495</v>
      </c>
      <c r="BY138" s="37">
        <v>12.059495</v>
      </c>
      <c r="BZ138" s="37">
        <v>12.059495</v>
      </c>
      <c r="CA138" s="37">
        <v>12.059495</v>
      </c>
      <c r="CB138" s="37">
        <v>12.059495</v>
      </c>
      <c r="CC138" s="37">
        <v>12.059495</v>
      </c>
      <c r="CD138" s="37">
        <v>12.059495</v>
      </c>
      <c r="CE138" s="37">
        <v>12.059495</v>
      </c>
      <c r="CF138" s="37">
        <v>12.059495</v>
      </c>
      <c r="CG138" s="37">
        <v>12.059495</v>
      </c>
      <c r="CH138" s="37">
        <v>12.059495</v>
      </c>
      <c r="CI138" s="37">
        <v>12.059495</v>
      </c>
      <c r="CJ138" s="37">
        <v>12.059495</v>
      </c>
      <c r="CK138" s="37">
        <v>12.059495</v>
      </c>
      <c r="CL138" s="37">
        <v>12.059495</v>
      </c>
      <c r="CM138" s="37">
        <v>12.059495</v>
      </c>
      <c r="CN138" s="37">
        <v>12.059495</v>
      </c>
      <c r="CO138" s="37">
        <v>12.059495</v>
      </c>
      <c r="CP138" s="37">
        <v>12.059495</v>
      </c>
      <c r="CQ138" s="37">
        <v>12.059495</v>
      </c>
      <c r="CR138" s="37">
        <v>12.059495</v>
      </c>
      <c r="CS138" s="37">
        <v>12.059495</v>
      </c>
      <c r="CT138" s="37">
        <v>12.059495</v>
      </c>
      <c r="CU138" s="37">
        <v>12.059495</v>
      </c>
      <c r="CV138" s="37">
        <v>12.059495</v>
      </c>
      <c r="CW138" s="37">
        <v>12.059495</v>
      </c>
      <c r="CX138" s="37">
        <v>12.059495</v>
      </c>
      <c r="CY138" s="37">
        <v>12.059495</v>
      </c>
      <c r="CZ138" s="37">
        <v>12.059495</v>
      </c>
      <c r="DA138" s="37">
        <v>12.059495</v>
      </c>
      <c r="DB138" s="37">
        <v>12.059495</v>
      </c>
      <c r="DC138" s="37">
        <v>12.059495</v>
      </c>
      <c r="DD138" s="37">
        <v>12.059495</v>
      </c>
      <c r="DE138" s="37">
        <v>12.059495</v>
      </c>
      <c r="DF138" s="37">
        <v>12.059495</v>
      </c>
      <c r="DG138" s="37">
        <v>12.059495</v>
      </c>
      <c r="DH138" s="37">
        <v>12.059495</v>
      </c>
      <c r="DI138" s="37">
        <v>12.059495</v>
      </c>
      <c r="DJ138" s="37">
        <v>12.059495</v>
      </c>
      <c r="DK138" s="37">
        <v>12.059495</v>
      </c>
      <c r="DL138" s="37">
        <v>12.059495</v>
      </c>
      <c r="DM138" s="37">
        <v>12.059495</v>
      </c>
      <c r="DN138" s="37">
        <v>12.059495</v>
      </c>
      <c r="DO138" s="37">
        <v>12.059495</v>
      </c>
      <c r="DP138" s="37">
        <v>12.059495</v>
      </c>
      <c r="DQ138" s="37">
        <v>12.059495</v>
      </c>
      <c r="DR138" s="37">
        <v>12.059495</v>
      </c>
      <c r="DS138" s="37">
        <v>12.059495</v>
      </c>
      <c r="DT138" s="37">
        <v>12.059495</v>
      </c>
      <c r="DU138" s="37">
        <v>12.059495</v>
      </c>
      <c r="DV138" s="37">
        <v>12.059495</v>
      </c>
      <c r="DW138" s="37">
        <v>12.059495</v>
      </c>
      <c r="DX138" s="37">
        <v>12.059495</v>
      </c>
      <c r="DY138" s="37">
        <v>12.059495</v>
      </c>
      <c r="DZ138" s="37">
        <v>12.059495</v>
      </c>
      <c r="EA138" s="37">
        <v>12.059495</v>
      </c>
      <c r="EB138" s="37">
        <v>12.059495</v>
      </c>
      <c r="EC138" s="37">
        <v>12.059495</v>
      </c>
      <c r="ED138" s="37">
        <v>12.059495</v>
      </c>
      <c r="EE138" s="37">
        <v>12.059495</v>
      </c>
      <c r="EF138" s="37">
        <v>12.059495</v>
      </c>
      <c r="EG138" s="37">
        <v>12.059495</v>
      </c>
      <c r="EH138" s="37">
        <v>12.059495</v>
      </c>
      <c r="EI138" s="37">
        <v>12.059495</v>
      </c>
      <c r="EJ138" s="37">
        <v>12.059495</v>
      </c>
      <c r="EK138" s="37">
        <v>12.059495</v>
      </c>
      <c r="EL138" s="37">
        <v>12.059495</v>
      </c>
      <c r="EM138" s="37">
        <v>12.059495</v>
      </c>
      <c r="EN138" s="37">
        <v>12.059495</v>
      </c>
      <c r="EO138" s="37">
        <v>12.059495</v>
      </c>
      <c r="EP138" s="37">
        <v>12.059495</v>
      </c>
      <c r="EQ138" s="37">
        <v>12.059495</v>
      </c>
      <c r="ER138" s="37">
        <v>12.059495</v>
      </c>
      <c r="ES138" s="37">
        <v>12.059495</v>
      </c>
      <c r="ET138" s="37">
        <v>12.059495</v>
      </c>
      <c r="EU138" s="37">
        <v>12.059495</v>
      </c>
      <c r="EV138" s="37">
        <v>12.059495</v>
      </c>
      <c r="EW138" s="37">
        <v>12.059495</v>
      </c>
      <c r="EX138" s="37">
        <v>12.059495</v>
      </c>
      <c r="EY138" s="37">
        <v>12.059495</v>
      </c>
      <c r="EZ138" s="37">
        <v>12.059495</v>
      </c>
      <c r="FA138" s="37">
        <v>12.059495</v>
      </c>
      <c r="FB138" s="37">
        <v>12.059495</v>
      </c>
      <c r="FC138" s="37">
        <v>12.059495</v>
      </c>
      <c r="FD138" s="37">
        <v>12.059495</v>
      </c>
      <c r="FE138" s="37">
        <v>12.059495</v>
      </c>
      <c r="FF138" s="37">
        <v>12.059495</v>
      </c>
      <c r="FG138" s="37">
        <v>12.059495</v>
      </c>
      <c r="FH138" s="37">
        <v>12.059495</v>
      </c>
      <c r="FI138" s="37">
        <v>12.059495</v>
      </c>
      <c r="FJ138" s="37">
        <v>12.059495</v>
      </c>
      <c r="FK138" s="37">
        <v>12.059495</v>
      </c>
      <c r="FL138" s="37">
        <v>12.059495</v>
      </c>
      <c r="FM138" s="37">
        <v>12.059495</v>
      </c>
      <c r="FN138" s="37">
        <v>12.059495</v>
      </c>
      <c r="FO138" s="37">
        <v>12.059495</v>
      </c>
      <c r="FP138" s="37">
        <v>12.059495</v>
      </c>
      <c r="FQ138" s="37">
        <v>12.059495</v>
      </c>
      <c r="FR138" s="37">
        <v>12.059495</v>
      </c>
      <c r="FS138" s="37">
        <v>12.059495</v>
      </c>
      <c r="FT138" s="37">
        <v>12.059495</v>
      </c>
      <c r="FU138" s="37">
        <v>12.059495</v>
      </c>
      <c r="FV138" s="37">
        <v>12.059495</v>
      </c>
      <c r="FW138" s="37">
        <v>12.059495</v>
      </c>
      <c r="FX138" s="37">
        <v>12.059495</v>
      </c>
      <c r="FY138" s="37">
        <v>12.059495</v>
      </c>
      <c r="FZ138" s="37">
        <v>12.059495</v>
      </c>
      <c r="GA138" s="37">
        <v>12.059495</v>
      </c>
      <c r="GB138" s="37">
        <v>12.059495</v>
      </c>
      <c r="GC138" s="37">
        <v>12.059495</v>
      </c>
      <c r="GD138" s="37">
        <v>12.059495</v>
      </c>
      <c r="GE138" s="37">
        <v>12.059495</v>
      </c>
      <c r="GF138" s="37">
        <v>12.059495</v>
      </c>
      <c r="GG138" s="37">
        <v>12.059495</v>
      </c>
      <c r="GH138" s="37">
        <v>12.059495</v>
      </c>
      <c r="GI138" s="37">
        <v>12.059495</v>
      </c>
      <c r="GJ138" s="37">
        <v>12.059495</v>
      </c>
      <c r="GK138" s="37">
        <v>12.059495</v>
      </c>
      <c r="GL138" s="37">
        <v>12.059495</v>
      </c>
      <c r="GM138" s="37">
        <v>12.059495</v>
      </c>
      <c r="GN138" s="37">
        <v>12.059495</v>
      </c>
      <c r="GO138" s="37">
        <v>12.059495</v>
      </c>
      <c r="GP138" s="37">
        <v>12.059495</v>
      </c>
      <c r="GQ138" s="37">
        <v>12.059495</v>
      </c>
      <c r="GR138" s="37">
        <v>12.059495</v>
      </c>
      <c r="GS138" s="37">
        <v>12.059495</v>
      </c>
      <c r="GT138" s="37">
        <v>12.059495</v>
      </c>
      <c r="GU138" s="37">
        <v>12.059495</v>
      </c>
      <c r="GV138" s="37">
        <v>12.059495</v>
      </c>
      <c r="GW138" s="37">
        <v>12.059495</v>
      </c>
      <c r="GX138" s="37">
        <v>12.059495</v>
      </c>
      <c r="GY138" s="37">
        <v>12.059495</v>
      </c>
      <c r="GZ138" s="37">
        <v>12.059495</v>
      </c>
      <c r="HA138" s="37">
        <v>12.059495</v>
      </c>
      <c r="HB138" s="37">
        <v>12.059495</v>
      </c>
      <c r="HC138" s="37">
        <v>12.059495</v>
      </c>
      <c r="HD138" s="37">
        <v>12.059495</v>
      </c>
      <c r="HE138" s="37">
        <v>12.059495</v>
      </c>
      <c r="HF138" s="37">
        <v>12.059495</v>
      </c>
      <c r="HG138" s="37">
        <v>12.059495</v>
      </c>
      <c r="HH138" s="37">
        <v>12.059495</v>
      </c>
      <c r="HI138" s="37">
        <v>12.059495</v>
      </c>
      <c r="HJ138" s="37">
        <v>12.059495</v>
      </c>
      <c r="HK138" s="37">
        <v>12.059495</v>
      </c>
      <c r="HL138" s="37">
        <v>12.059495</v>
      </c>
      <c r="HM138" s="37">
        <v>12.059495</v>
      </c>
      <c r="HN138" s="37">
        <v>12.059495</v>
      </c>
      <c r="HO138" s="37">
        <v>12.059495</v>
      </c>
      <c r="HP138" s="37">
        <v>12.059495</v>
      </c>
      <c r="HQ138" s="37">
        <v>12.059495</v>
      </c>
      <c r="HR138" s="37">
        <v>12.059495</v>
      </c>
      <c r="HS138" s="37">
        <v>12.059495</v>
      </c>
      <c r="HT138" s="37">
        <v>12.059495</v>
      </c>
      <c r="HU138" s="37">
        <v>12.059495</v>
      </c>
      <c r="HV138" s="37">
        <v>12.059495</v>
      </c>
      <c r="HW138" s="37">
        <v>12.059495</v>
      </c>
      <c r="HX138" s="37">
        <v>12.059495</v>
      </c>
      <c r="HY138" s="37">
        <v>12.059495</v>
      </c>
      <c r="HZ138" s="37">
        <v>12.059495</v>
      </c>
      <c r="IA138" s="37">
        <v>12.059495</v>
      </c>
      <c r="IB138" s="37">
        <v>12.059495</v>
      </c>
      <c r="IC138" s="37">
        <v>12.059495</v>
      </c>
      <c r="ID138" s="37">
        <v>12.059495</v>
      </c>
      <c r="IE138" s="37">
        <v>12.059495</v>
      </c>
      <c r="IF138" s="37">
        <v>12.059495</v>
      </c>
      <c r="IG138" s="37">
        <v>12.059495</v>
      </c>
      <c r="IH138" s="37">
        <v>12.059495</v>
      </c>
      <c r="II138" s="37">
        <v>12.059495</v>
      </c>
      <c r="IJ138" s="37">
        <v>12.059495</v>
      </c>
      <c r="IK138" s="37">
        <v>12.059495</v>
      </c>
      <c r="IL138" s="37">
        <v>12.059495</v>
      </c>
      <c r="IM138" s="37">
        <v>12.059495</v>
      </c>
      <c r="IN138" s="37">
        <v>12.059495</v>
      </c>
      <c r="IO138" s="37">
        <v>12.059495</v>
      </c>
      <c r="IP138" s="37">
        <v>12.059495</v>
      </c>
      <c r="IQ138" s="37">
        <v>12.059495</v>
      </c>
      <c r="IR138" s="37">
        <v>12.059495</v>
      </c>
      <c r="IS138" s="37">
        <v>12.059495</v>
      </c>
      <c r="IT138" s="37">
        <v>12.059495</v>
      </c>
      <c r="IU138" s="37">
        <v>12.059495</v>
      </c>
      <c r="IV138" s="37">
        <v>12.059495</v>
      </c>
      <c r="IW138" s="37">
        <v>12.059495</v>
      </c>
      <c r="IX138" s="37">
        <v>12.059495</v>
      </c>
      <c r="IY138" s="37">
        <v>12.059495</v>
      </c>
      <c r="IZ138" s="37">
        <v>12.059495</v>
      </c>
      <c r="JA138" s="37">
        <v>12.059495</v>
      </c>
      <c r="JB138" s="37">
        <v>12.059495</v>
      </c>
      <c r="JC138" s="37">
        <v>12.059495</v>
      </c>
      <c r="JD138" s="37">
        <v>12.059495</v>
      </c>
      <c r="JE138" s="37">
        <v>12.059495</v>
      </c>
      <c r="JF138" s="37">
        <v>12.059495</v>
      </c>
      <c r="JG138" s="37">
        <v>12.059495</v>
      </c>
      <c r="JH138" s="37">
        <v>12.059495</v>
      </c>
      <c r="JI138" s="37">
        <v>12.059495</v>
      </c>
      <c r="JJ138" s="37">
        <v>12.059495</v>
      </c>
      <c r="JK138" s="37">
        <v>12.059495</v>
      </c>
      <c r="JL138" s="37">
        <v>12.059495</v>
      </c>
      <c r="JM138" s="37">
        <v>12.059495</v>
      </c>
      <c r="JN138" s="37">
        <v>12.059495</v>
      </c>
      <c r="JO138" s="37">
        <v>12.059495</v>
      </c>
      <c r="JP138" s="37">
        <v>12.059495</v>
      </c>
      <c r="JQ138" s="37">
        <v>12.059495</v>
      </c>
      <c r="JR138" s="37">
        <v>12.059495</v>
      </c>
      <c r="JS138" s="37">
        <v>12.059495</v>
      </c>
      <c r="JT138" s="37">
        <v>12.059495</v>
      </c>
      <c r="JU138" s="37">
        <v>12.059495</v>
      </c>
      <c r="JV138" s="37">
        <v>12.059495</v>
      </c>
      <c r="JW138" s="37">
        <v>12.059495</v>
      </c>
      <c r="JX138" s="37">
        <v>12.059495</v>
      </c>
      <c r="JY138" s="37">
        <v>12.059495</v>
      </c>
      <c r="JZ138" s="37">
        <v>12.059495</v>
      </c>
      <c r="KA138" s="37">
        <v>12.059495</v>
      </c>
      <c r="KB138" s="37">
        <v>12.059495</v>
      </c>
      <c r="KC138" s="37">
        <v>12.059495</v>
      </c>
      <c r="KD138" s="37">
        <v>12.059495</v>
      </c>
      <c r="KE138" s="37">
        <v>12.059495</v>
      </c>
      <c r="KF138" s="37">
        <v>12.059495</v>
      </c>
      <c r="KG138" s="37">
        <v>12.059495</v>
      </c>
      <c r="KH138" s="37">
        <v>12.059495</v>
      </c>
      <c r="KI138" s="37">
        <v>12.059495</v>
      </c>
      <c r="KJ138" s="37">
        <v>12.059495</v>
      </c>
      <c r="KK138" s="37">
        <v>12.059495</v>
      </c>
      <c r="KL138" s="37">
        <v>12.059495</v>
      </c>
      <c r="KM138" s="37">
        <v>12.059495</v>
      </c>
      <c r="KN138" s="37">
        <v>12.059495</v>
      </c>
      <c r="KO138" s="37">
        <v>12.059495</v>
      </c>
      <c r="KP138" s="37">
        <v>12.059495</v>
      </c>
      <c r="KQ138" s="37">
        <v>12.059495</v>
      </c>
      <c r="KR138" s="37">
        <v>12.059495</v>
      </c>
      <c r="KS138" s="37">
        <v>12.059495</v>
      </c>
      <c r="KT138" s="37">
        <v>12.059495</v>
      </c>
      <c r="KU138" s="37">
        <v>12.059495</v>
      </c>
      <c r="KV138" s="37">
        <v>12.059495</v>
      </c>
      <c r="KW138" s="37">
        <v>12.059495</v>
      </c>
      <c r="KX138" s="37">
        <v>12.059495</v>
      </c>
      <c r="KY138" s="37">
        <v>12.059495</v>
      </c>
      <c r="KZ138" s="37">
        <v>12.059495</v>
      </c>
      <c r="LA138" s="37">
        <v>12.059495</v>
      </c>
      <c r="LB138" s="37">
        <v>12.059495</v>
      </c>
      <c r="LC138" s="37">
        <v>12.059495</v>
      </c>
      <c r="LD138" s="37">
        <v>12.059495</v>
      </c>
      <c r="LE138" s="37">
        <v>12.059495</v>
      </c>
      <c r="LF138" s="37">
        <v>12.059495</v>
      </c>
      <c r="LG138" s="37">
        <v>12.059495</v>
      </c>
      <c r="LH138" s="37">
        <v>12.059495</v>
      </c>
      <c r="LI138" s="37">
        <v>12.059495</v>
      </c>
      <c r="LJ138" s="37">
        <v>12.059495</v>
      </c>
      <c r="LK138" s="37">
        <v>12.059495</v>
      </c>
      <c r="LL138" s="37">
        <v>12.059495</v>
      </c>
      <c r="LM138" s="37">
        <v>12.059495</v>
      </c>
      <c r="LN138" s="37">
        <v>12.059495</v>
      </c>
      <c r="LO138" s="37">
        <v>12.059495</v>
      </c>
      <c r="LP138" s="37">
        <v>12.059495</v>
      </c>
      <c r="LQ138" s="37">
        <v>12.059495</v>
      </c>
      <c r="LR138" s="37">
        <v>12.059495</v>
      </c>
      <c r="LS138" s="37">
        <v>12.059495</v>
      </c>
      <c r="LT138" s="37">
        <v>12.059495</v>
      </c>
      <c r="LU138" s="37">
        <v>12.059495</v>
      </c>
      <c r="LV138" s="37">
        <v>12.059495</v>
      </c>
      <c r="LW138" s="37">
        <v>12.059495</v>
      </c>
      <c r="LX138" s="37">
        <v>12.059495</v>
      </c>
      <c r="LY138" s="37">
        <v>12.059495</v>
      </c>
      <c r="LZ138" s="37">
        <v>12.059495</v>
      </c>
      <c r="MA138" s="37">
        <v>12.059495</v>
      </c>
      <c r="MB138" s="37">
        <v>12.059495</v>
      </c>
      <c r="MC138" s="37">
        <v>12.059495</v>
      </c>
      <c r="MD138" s="37">
        <v>12.059495</v>
      </c>
      <c r="ME138" s="37">
        <v>12.15326</v>
      </c>
      <c r="MF138" s="37">
        <v>0</v>
      </c>
      <c r="MG138" s="37">
        <v>0</v>
      </c>
      <c r="MH138" s="37">
        <v>0</v>
      </c>
      <c r="MI138" s="37">
        <v>0</v>
      </c>
      <c r="MJ138" s="37">
        <v>0</v>
      </c>
      <c r="MK138" s="37">
        <v>0</v>
      </c>
      <c r="ML138" s="37">
        <v>0</v>
      </c>
      <c r="MM138" s="37">
        <v>0</v>
      </c>
      <c r="MN138" s="37">
        <v>0</v>
      </c>
      <c r="MO138" s="37">
        <v>0</v>
      </c>
      <c r="MP138" s="37">
        <v>0</v>
      </c>
      <c r="MQ138" s="37">
        <v>0</v>
      </c>
      <c r="MR138" s="37">
        <v>0</v>
      </c>
      <c r="MS138" s="37">
        <v>0</v>
      </c>
      <c r="MT138" s="37">
        <v>0</v>
      </c>
      <c r="MU138" s="37">
        <v>0</v>
      </c>
      <c r="MV138" s="37">
        <v>0</v>
      </c>
      <c r="MW138" s="37">
        <v>0</v>
      </c>
      <c r="MX138" s="37">
        <v>0</v>
      </c>
      <c r="MY138" s="37">
        <v>0</v>
      </c>
      <c r="MZ138" s="37">
        <v>0</v>
      </c>
      <c r="NA138" s="37">
        <v>0</v>
      </c>
      <c r="NB138" s="37">
        <v>0</v>
      </c>
      <c r="NC138" s="37">
        <v>0</v>
      </c>
      <c r="ND138" s="37">
        <v>0</v>
      </c>
    </row>
    <row r="139" spans="1:368" x14ac:dyDescent="0.2">
      <c r="A139" s="37">
        <v>137</v>
      </c>
      <c r="B139" s="37" t="s">
        <v>1150</v>
      </c>
      <c r="C139" s="17">
        <f>+'Detalle Compras'!D139</f>
        <v>20231229713</v>
      </c>
      <c r="D139" s="55">
        <f t="shared" si="19"/>
        <v>12.125159999999999</v>
      </c>
      <c r="E139" s="14">
        <f>+IF(B139="","",'Detalle Compras'!S139+0)</f>
        <v>45483</v>
      </c>
      <c r="F139" s="14">
        <f>+IF(B139="","",EOMONTH('Detalle Compras'!Q139,G139)+10)</f>
        <v>9750</v>
      </c>
      <c r="G139" s="50">
        <f t="shared" si="20"/>
        <v>319</v>
      </c>
      <c r="H139" s="50">
        <f t="shared" si="21"/>
        <v>337</v>
      </c>
      <c r="I139" s="37">
        <v>0</v>
      </c>
      <c r="J139" s="37">
        <v>0</v>
      </c>
      <c r="K139" s="37">
        <v>0</v>
      </c>
      <c r="L139" s="37">
        <v>0</v>
      </c>
      <c r="M139" s="37">
        <v>12.125159999999999</v>
      </c>
      <c r="N139" s="37">
        <v>12.125159999999999</v>
      </c>
      <c r="O139" s="37">
        <v>12.125159999999999</v>
      </c>
      <c r="P139" s="37">
        <v>12.125159999999999</v>
      </c>
      <c r="Q139" s="37">
        <v>12.125159999999999</v>
      </c>
      <c r="R139" s="37">
        <v>12.125159999999999</v>
      </c>
      <c r="S139" s="37">
        <v>12.125159999999999</v>
      </c>
      <c r="T139" s="37">
        <v>12.125159999999999</v>
      </c>
      <c r="U139" s="37">
        <v>12.125159999999999</v>
      </c>
      <c r="V139" s="37">
        <v>12.125159999999999</v>
      </c>
      <c r="W139" s="37">
        <v>12.125159999999999</v>
      </c>
      <c r="X139" s="37">
        <v>12.125159999999999</v>
      </c>
      <c r="Y139" s="37">
        <v>12.125159999999999</v>
      </c>
      <c r="Z139" s="37">
        <v>12.125159999999999</v>
      </c>
      <c r="AA139" s="37">
        <v>12.125159999999999</v>
      </c>
      <c r="AB139" s="37">
        <v>12.125159999999999</v>
      </c>
      <c r="AC139" s="37">
        <v>12.125159999999999</v>
      </c>
      <c r="AD139" s="37">
        <v>12.125159999999999</v>
      </c>
      <c r="AE139" s="37">
        <v>12.125159999999999</v>
      </c>
      <c r="AF139" s="37">
        <v>12.125159999999999</v>
      </c>
      <c r="AG139" s="37">
        <v>12.125159999999999</v>
      </c>
      <c r="AH139" s="37">
        <v>12.125159999999999</v>
      </c>
      <c r="AI139" s="37">
        <v>12.125159999999999</v>
      </c>
      <c r="AJ139" s="37">
        <v>12.125159999999999</v>
      </c>
      <c r="AK139" s="37">
        <v>12.125159999999999</v>
      </c>
      <c r="AL139" s="37">
        <v>12.125159999999999</v>
      </c>
      <c r="AM139" s="37">
        <v>12.125159999999999</v>
      </c>
      <c r="AN139" s="37">
        <v>12.125159999999999</v>
      </c>
      <c r="AO139" s="37">
        <v>12.125159999999999</v>
      </c>
      <c r="AP139" s="37">
        <v>12.125159999999999</v>
      </c>
      <c r="AQ139" s="37">
        <v>12.125159999999999</v>
      </c>
      <c r="AR139" s="37">
        <v>12.125159999999999</v>
      </c>
      <c r="AS139" s="37">
        <v>12.125159999999999</v>
      </c>
      <c r="AT139" s="37">
        <v>12.125159999999999</v>
      </c>
      <c r="AU139" s="37">
        <v>12.125159999999999</v>
      </c>
      <c r="AV139" s="37">
        <v>12.125159999999999</v>
      </c>
      <c r="AW139" s="37">
        <v>12.125159999999999</v>
      </c>
      <c r="AX139" s="37">
        <v>12.125159999999999</v>
      </c>
      <c r="AY139" s="37">
        <v>12.125159999999999</v>
      </c>
      <c r="AZ139" s="37">
        <v>12.125159999999999</v>
      </c>
      <c r="BA139" s="37">
        <v>12.125159999999999</v>
      </c>
      <c r="BB139" s="37">
        <v>12.125159999999999</v>
      </c>
      <c r="BC139" s="37">
        <v>12.125159999999999</v>
      </c>
      <c r="BD139" s="37">
        <v>12.125159999999999</v>
      </c>
      <c r="BE139" s="37">
        <v>12.125159999999999</v>
      </c>
      <c r="BF139" s="37">
        <v>12.125159999999999</v>
      </c>
      <c r="BG139" s="37">
        <v>12.125159999999999</v>
      </c>
      <c r="BH139" s="37">
        <v>12.125159999999999</v>
      </c>
      <c r="BI139" s="37">
        <v>12.125159999999999</v>
      </c>
      <c r="BJ139" s="37">
        <v>12.125159999999999</v>
      </c>
      <c r="BK139" s="37">
        <v>12.125159999999999</v>
      </c>
      <c r="BL139" s="37">
        <v>12.125159999999999</v>
      </c>
      <c r="BM139" s="37">
        <v>12.125159999999999</v>
      </c>
      <c r="BN139" s="37">
        <v>12.125159999999999</v>
      </c>
      <c r="BO139" s="37">
        <v>12.125159999999999</v>
      </c>
      <c r="BP139" s="37">
        <v>12.125159999999999</v>
      </c>
      <c r="BQ139" s="37">
        <v>12.125159999999999</v>
      </c>
      <c r="BR139" s="37">
        <v>12.125159999999999</v>
      </c>
      <c r="BS139" s="37">
        <v>12.125159999999999</v>
      </c>
      <c r="BT139" s="37">
        <v>12.125159999999999</v>
      </c>
      <c r="BU139" s="37">
        <v>12.125159999999999</v>
      </c>
      <c r="BV139" s="37">
        <v>12.125159999999999</v>
      </c>
      <c r="BW139" s="37">
        <v>12.125159999999999</v>
      </c>
      <c r="BX139" s="37">
        <v>12.125159999999999</v>
      </c>
      <c r="BY139" s="37">
        <v>12.125159999999999</v>
      </c>
      <c r="BZ139" s="37">
        <v>12.125159999999999</v>
      </c>
      <c r="CA139" s="37">
        <v>12.125159999999999</v>
      </c>
      <c r="CB139" s="37">
        <v>12.125159999999999</v>
      </c>
      <c r="CC139" s="37">
        <v>12.125159999999999</v>
      </c>
      <c r="CD139" s="37">
        <v>12.125159999999999</v>
      </c>
      <c r="CE139" s="37">
        <v>12.125159999999999</v>
      </c>
      <c r="CF139" s="37">
        <v>12.125159999999999</v>
      </c>
      <c r="CG139" s="37">
        <v>12.125159999999999</v>
      </c>
      <c r="CH139" s="37">
        <v>12.125159999999999</v>
      </c>
      <c r="CI139" s="37">
        <v>12.125159999999999</v>
      </c>
      <c r="CJ139" s="37">
        <v>12.125159999999999</v>
      </c>
      <c r="CK139" s="37">
        <v>12.125159999999999</v>
      </c>
      <c r="CL139" s="37">
        <v>12.125159999999999</v>
      </c>
      <c r="CM139" s="37">
        <v>12.125159999999999</v>
      </c>
      <c r="CN139" s="37">
        <v>12.125159999999999</v>
      </c>
      <c r="CO139" s="37">
        <v>12.125159999999999</v>
      </c>
      <c r="CP139" s="37">
        <v>12.125159999999999</v>
      </c>
      <c r="CQ139" s="37">
        <v>12.125159999999999</v>
      </c>
      <c r="CR139" s="37">
        <v>12.125159999999999</v>
      </c>
      <c r="CS139" s="37">
        <v>12.125159999999999</v>
      </c>
      <c r="CT139" s="37">
        <v>12.125159999999999</v>
      </c>
      <c r="CU139" s="37">
        <v>12.125159999999999</v>
      </c>
      <c r="CV139" s="37">
        <v>12.125159999999999</v>
      </c>
      <c r="CW139" s="37">
        <v>12.125159999999999</v>
      </c>
      <c r="CX139" s="37">
        <v>12.125159999999999</v>
      </c>
      <c r="CY139" s="37">
        <v>12.125159999999999</v>
      </c>
      <c r="CZ139" s="37">
        <v>12.125159999999999</v>
      </c>
      <c r="DA139" s="37">
        <v>12.125159999999999</v>
      </c>
      <c r="DB139" s="37">
        <v>12.125159999999999</v>
      </c>
      <c r="DC139" s="37">
        <v>12.125159999999999</v>
      </c>
      <c r="DD139" s="37">
        <v>12.125159999999999</v>
      </c>
      <c r="DE139" s="37">
        <v>12.125159999999999</v>
      </c>
      <c r="DF139" s="37">
        <v>12.125159999999999</v>
      </c>
      <c r="DG139" s="37">
        <v>12.125159999999999</v>
      </c>
      <c r="DH139" s="37">
        <v>12.125159999999999</v>
      </c>
      <c r="DI139" s="37">
        <v>12.125159999999999</v>
      </c>
      <c r="DJ139" s="37">
        <v>12.125159999999999</v>
      </c>
      <c r="DK139" s="37">
        <v>12.125159999999999</v>
      </c>
      <c r="DL139" s="37">
        <v>12.125159999999999</v>
      </c>
      <c r="DM139" s="37">
        <v>12.125159999999999</v>
      </c>
      <c r="DN139" s="37">
        <v>12.125159999999999</v>
      </c>
      <c r="DO139" s="37">
        <v>12.125159999999999</v>
      </c>
      <c r="DP139" s="37">
        <v>12.125159999999999</v>
      </c>
      <c r="DQ139" s="37">
        <v>12.125159999999999</v>
      </c>
      <c r="DR139" s="37">
        <v>12.125159999999999</v>
      </c>
      <c r="DS139" s="37">
        <v>12.125159999999999</v>
      </c>
      <c r="DT139" s="37">
        <v>12.125159999999999</v>
      </c>
      <c r="DU139" s="37">
        <v>12.125159999999999</v>
      </c>
      <c r="DV139" s="37">
        <v>12.125159999999999</v>
      </c>
      <c r="DW139" s="37">
        <v>12.125159999999999</v>
      </c>
      <c r="DX139" s="37">
        <v>12.125159999999999</v>
      </c>
      <c r="DY139" s="37">
        <v>12.125159999999999</v>
      </c>
      <c r="DZ139" s="37">
        <v>12.125159999999999</v>
      </c>
      <c r="EA139" s="37">
        <v>12.125159999999999</v>
      </c>
      <c r="EB139" s="37">
        <v>12.125159999999999</v>
      </c>
      <c r="EC139" s="37">
        <v>12.125159999999999</v>
      </c>
      <c r="ED139" s="37">
        <v>12.125159999999999</v>
      </c>
      <c r="EE139" s="37">
        <v>12.125159999999999</v>
      </c>
      <c r="EF139" s="37">
        <v>12.125159999999999</v>
      </c>
      <c r="EG139" s="37">
        <v>12.125159999999999</v>
      </c>
      <c r="EH139" s="37">
        <v>12.125159999999999</v>
      </c>
      <c r="EI139" s="37">
        <v>12.125159999999999</v>
      </c>
      <c r="EJ139" s="37">
        <v>12.125159999999999</v>
      </c>
      <c r="EK139" s="37">
        <v>12.125159999999999</v>
      </c>
      <c r="EL139" s="37">
        <v>12.125159999999999</v>
      </c>
      <c r="EM139" s="37">
        <v>12.125159999999999</v>
      </c>
      <c r="EN139" s="37">
        <v>12.125159999999999</v>
      </c>
      <c r="EO139" s="37">
        <v>12.125159999999999</v>
      </c>
      <c r="EP139" s="37">
        <v>12.125159999999999</v>
      </c>
      <c r="EQ139" s="37">
        <v>12.125159999999999</v>
      </c>
      <c r="ER139" s="37">
        <v>12.125159999999999</v>
      </c>
      <c r="ES139" s="37">
        <v>12.125159999999999</v>
      </c>
      <c r="ET139" s="37">
        <v>12.125159999999999</v>
      </c>
      <c r="EU139" s="37">
        <v>12.125159999999999</v>
      </c>
      <c r="EV139" s="37">
        <v>12.125159999999999</v>
      </c>
      <c r="EW139" s="37">
        <v>12.125159999999999</v>
      </c>
      <c r="EX139" s="37">
        <v>12.125159999999999</v>
      </c>
      <c r="EY139" s="37">
        <v>12.125159999999999</v>
      </c>
      <c r="EZ139" s="37">
        <v>12.125159999999999</v>
      </c>
      <c r="FA139" s="37">
        <v>12.125159999999999</v>
      </c>
      <c r="FB139" s="37">
        <v>12.125159999999999</v>
      </c>
      <c r="FC139" s="37">
        <v>12.125159999999999</v>
      </c>
      <c r="FD139" s="37">
        <v>12.125159999999999</v>
      </c>
      <c r="FE139" s="37">
        <v>12.125159999999999</v>
      </c>
      <c r="FF139" s="37">
        <v>12.125159999999999</v>
      </c>
      <c r="FG139" s="37">
        <v>12.125159999999999</v>
      </c>
      <c r="FH139" s="37">
        <v>12.125159999999999</v>
      </c>
      <c r="FI139" s="37">
        <v>12.125159999999999</v>
      </c>
      <c r="FJ139" s="37">
        <v>12.125159999999999</v>
      </c>
      <c r="FK139" s="37">
        <v>12.125159999999999</v>
      </c>
      <c r="FL139" s="37">
        <v>12.125159999999999</v>
      </c>
      <c r="FM139" s="37">
        <v>12.125159999999999</v>
      </c>
      <c r="FN139" s="37">
        <v>12.125159999999999</v>
      </c>
      <c r="FO139" s="37">
        <v>12.125159999999999</v>
      </c>
      <c r="FP139" s="37">
        <v>12.125159999999999</v>
      </c>
      <c r="FQ139" s="37">
        <v>12.125159999999999</v>
      </c>
      <c r="FR139" s="37">
        <v>12.125159999999999</v>
      </c>
      <c r="FS139" s="37">
        <v>12.125159999999999</v>
      </c>
      <c r="FT139" s="37">
        <v>12.125159999999999</v>
      </c>
      <c r="FU139" s="37">
        <v>12.125159999999999</v>
      </c>
      <c r="FV139" s="37">
        <v>12.125159999999999</v>
      </c>
      <c r="FW139" s="37">
        <v>12.125159999999999</v>
      </c>
      <c r="FX139" s="37">
        <v>12.125159999999999</v>
      </c>
      <c r="FY139" s="37">
        <v>12.125159999999999</v>
      </c>
      <c r="FZ139" s="37">
        <v>12.125159999999999</v>
      </c>
      <c r="GA139" s="37">
        <v>12.125159999999999</v>
      </c>
      <c r="GB139" s="37">
        <v>12.125159999999999</v>
      </c>
      <c r="GC139" s="37">
        <v>12.125159999999999</v>
      </c>
      <c r="GD139" s="37">
        <v>12.125159999999999</v>
      </c>
      <c r="GE139" s="37">
        <v>12.125159999999999</v>
      </c>
      <c r="GF139" s="37">
        <v>12.125159999999999</v>
      </c>
      <c r="GG139" s="37">
        <v>12.125159999999999</v>
      </c>
      <c r="GH139" s="37">
        <v>12.125159999999999</v>
      </c>
      <c r="GI139" s="37">
        <v>12.125159999999999</v>
      </c>
      <c r="GJ139" s="37">
        <v>12.125159999999999</v>
      </c>
      <c r="GK139" s="37">
        <v>12.125159999999999</v>
      </c>
      <c r="GL139" s="37">
        <v>12.125159999999999</v>
      </c>
      <c r="GM139" s="37">
        <v>12.125159999999999</v>
      </c>
      <c r="GN139" s="37">
        <v>12.125159999999999</v>
      </c>
      <c r="GO139" s="37">
        <v>12.125159999999999</v>
      </c>
      <c r="GP139" s="37">
        <v>12.125159999999999</v>
      </c>
      <c r="GQ139" s="37">
        <v>12.125159999999999</v>
      </c>
      <c r="GR139" s="37">
        <v>12.125159999999999</v>
      </c>
      <c r="GS139" s="37">
        <v>12.125159999999999</v>
      </c>
      <c r="GT139" s="37">
        <v>12.125159999999999</v>
      </c>
      <c r="GU139" s="37">
        <v>12.125159999999999</v>
      </c>
      <c r="GV139" s="37">
        <v>12.125159999999999</v>
      </c>
      <c r="GW139" s="37">
        <v>12.125159999999999</v>
      </c>
      <c r="GX139" s="37">
        <v>12.125159999999999</v>
      </c>
      <c r="GY139" s="37">
        <v>12.125159999999999</v>
      </c>
      <c r="GZ139" s="37">
        <v>12.125159999999999</v>
      </c>
      <c r="HA139" s="37">
        <v>12.125159999999999</v>
      </c>
      <c r="HB139" s="37">
        <v>12.125159999999999</v>
      </c>
      <c r="HC139" s="37">
        <v>12.125159999999999</v>
      </c>
      <c r="HD139" s="37">
        <v>12.125159999999999</v>
      </c>
      <c r="HE139" s="37">
        <v>12.125159999999999</v>
      </c>
      <c r="HF139" s="37">
        <v>12.125159999999999</v>
      </c>
      <c r="HG139" s="37">
        <v>12.125159999999999</v>
      </c>
      <c r="HH139" s="37">
        <v>12.125159999999999</v>
      </c>
      <c r="HI139" s="37">
        <v>12.125159999999999</v>
      </c>
      <c r="HJ139" s="37">
        <v>12.125159999999999</v>
      </c>
      <c r="HK139" s="37">
        <v>12.125159999999999</v>
      </c>
      <c r="HL139" s="37">
        <v>12.125159999999999</v>
      </c>
      <c r="HM139" s="37">
        <v>12.125159999999999</v>
      </c>
      <c r="HN139" s="37">
        <v>12.125159999999999</v>
      </c>
      <c r="HO139" s="37">
        <v>12.125159999999999</v>
      </c>
      <c r="HP139" s="37">
        <v>12.125159999999999</v>
      </c>
      <c r="HQ139" s="37">
        <v>12.125159999999999</v>
      </c>
      <c r="HR139" s="37">
        <v>12.125159999999999</v>
      </c>
      <c r="HS139" s="37">
        <v>12.125159999999999</v>
      </c>
      <c r="HT139" s="37">
        <v>12.125159999999999</v>
      </c>
      <c r="HU139" s="37">
        <v>12.125159999999999</v>
      </c>
      <c r="HV139" s="37">
        <v>12.125159999999999</v>
      </c>
      <c r="HW139" s="37">
        <v>12.125159999999999</v>
      </c>
      <c r="HX139" s="37">
        <v>12.125159999999999</v>
      </c>
      <c r="HY139" s="37">
        <v>12.125159999999999</v>
      </c>
      <c r="HZ139" s="37">
        <v>12.125159999999999</v>
      </c>
      <c r="IA139" s="37">
        <v>12.125159999999999</v>
      </c>
      <c r="IB139" s="37">
        <v>12.125159999999999</v>
      </c>
      <c r="IC139" s="37">
        <v>12.125159999999999</v>
      </c>
      <c r="ID139" s="37">
        <v>12.125159999999999</v>
      </c>
      <c r="IE139" s="37">
        <v>12.125159999999999</v>
      </c>
      <c r="IF139" s="37">
        <v>12.125159999999999</v>
      </c>
      <c r="IG139" s="37">
        <v>12.125159999999999</v>
      </c>
      <c r="IH139" s="37">
        <v>12.125159999999999</v>
      </c>
      <c r="II139" s="37">
        <v>12.125159999999999</v>
      </c>
      <c r="IJ139" s="37">
        <v>12.125159999999999</v>
      </c>
      <c r="IK139" s="37">
        <v>12.125159999999999</v>
      </c>
      <c r="IL139" s="37">
        <v>12.125159999999999</v>
      </c>
      <c r="IM139" s="37">
        <v>12.125159999999999</v>
      </c>
      <c r="IN139" s="37">
        <v>12.125159999999999</v>
      </c>
      <c r="IO139" s="37">
        <v>12.125159999999999</v>
      </c>
      <c r="IP139" s="37">
        <v>12.125159999999999</v>
      </c>
      <c r="IQ139" s="37">
        <v>12.125159999999999</v>
      </c>
      <c r="IR139" s="37">
        <v>12.125159999999999</v>
      </c>
      <c r="IS139" s="37">
        <v>12.125159999999999</v>
      </c>
      <c r="IT139" s="37">
        <v>12.125159999999999</v>
      </c>
      <c r="IU139" s="37">
        <v>12.125159999999999</v>
      </c>
      <c r="IV139" s="37">
        <v>12.125159999999999</v>
      </c>
      <c r="IW139" s="37">
        <v>12.125159999999999</v>
      </c>
      <c r="IX139" s="37">
        <v>12.125159999999999</v>
      </c>
      <c r="IY139" s="37">
        <v>12.125159999999999</v>
      </c>
      <c r="IZ139" s="37">
        <v>12.125159999999999</v>
      </c>
      <c r="JA139" s="37">
        <v>12.125159999999999</v>
      </c>
      <c r="JB139" s="37">
        <v>12.125159999999999</v>
      </c>
      <c r="JC139" s="37">
        <v>12.125159999999999</v>
      </c>
      <c r="JD139" s="37">
        <v>12.125159999999999</v>
      </c>
      <c r="JE139" s="37">
        <v>12.125159999999999</v>
      </c>
      <c r="JF139" s="37">
        <v>12.125159999999999</v>
      </c>
      <c r="JG139" s="37">
        <v>12.125159999999999</v>
      </c>
      <c r="JH139" s="37">
        <v>12.125159999999999</v>
      </c>
      <c r="JI139" s="37">
        <v>12.125159999999999</v>
      </c>
      <c r="JJ139" s="37">
        <v>12.125159999999999</v>
      </c>
      <c r="JK139" s="37">
        <v>12.125159999999999</v>
      </c>
      <c r="JL139" s="37">
        <v>12.125159999999999</v>
      </c>
      <c r="JM139" s="37">
        <v>12.125159999999999</v>
      </c>
      <c r="JN139" s="37">
        <v>12.125159999999999</v>
      </c>
      <c r="JO139" s="37">
        <v>12.125159999999999</v>
      </c>
      <c r="JP139" s="37">
        <v>12.125159999999999</v>
      </c>
      <c r="JQ139" s="37">
        <v>12.125159999999999</v>
      </c>
      <c r="JR139" s="37">
        <v>12.125159999999999</v>
      </c>
      <c r="JS139" s="37">
        <v>12.125159999999999</v>
      </c>
      <c r="JT139" s="37">
        <v>12.125159999999999</v>
      </c>
      <c r="JU139" s="37">
        <v>12.125159999999999</v>
      </c>
      <c r="JV139" s="37">
        <v>12.125159999999999</v>
      </c>
      <c r="JW139" s="37">
        <v>12.125159999999999</v>
      </c>
      <c r="JX139" s="37">
        <v>12.125159999999999</v>
      </c>
      <c r="JY139" s="37">
        <v>12.125159999999999</v>
      </c>
      <c r="JZ139" s="37">
        <v>12.125159999999999</v>
      </c>
      <c r="KA139" s="37">
        <v>12.125159999999999</v>
      </c>
      <c r="KB139" s="37">
        <v>12.125159999999999</v>
      </c>
      <c r="KC139" s="37">
        <v>12.125159999999999</v>
      </c>
      <c r="KD139" s="37">
        <v>12.125159999999999</v>
      </c>
      <c r="KE139" s="37">
        <v>12.125159999999999</v>
      </c>
      <c r="KF139" s="37">
        <v>12.125159999999999</v>
      </c>
      <c r="KG139" s="37">
        <v>12.125159999999999</v>
      </c>
      <c r="KH139" s="37">
        <v>12.125159999999999</v>
      </c>
      <c r="KI139" s="37">
        <v>12.125159999999999</v>
      </c>
      <c r="KJ139" s="37">
        <v>12.125159999999999</v>
      </c>
      <c r="KK139" s="37">
        <v>12.125159999999999</v>
      </c>
      <c r="KL139" s="37">
        <v>12.125159999999999</v>
      </c>
      <c r="KM139" s="37">
        <v>12.125159999999999</v>
      </c>
      <c r="KN139" s="37">
        <v>12.125159999999999</v>
      </c>
      <c r="KO139" s="37">
        <v>12.125159999999999</v>
      </c>
      <c r="KP139" s="37">
        <v>12.125159999999999</v>
      </c>
      <c r="KQ139" s="37">
        <v>12.125159999999999</v>
      </c>
      <c r="KR139" s="37">
        <v>12.125159999999999</v>
      </c>
      <c r="KS139" s="37">
        <v>12.125159999999999</v>
      </c>
      <c r="KT139" s="37">
        <v>12.125159999999999</v>
      </c>
      <c r="KU139" s="37">
        <v>12.125159999999999</v>
      </c>
      <c r="KV139" s="37">
        <v>12.125159999999999</v>
      </c>
      <c r="KW139" s="37">
        <v>12.125159999999999</v>
      </c>
      <c r="KX139" s="37">
        <v>12.125159999999999</v>
      </c>
      <c r="KY139" s="37">
        <v>12.125159999999999</v>
      </c>
      <c r="KZ139" s="37">
        <v>12.125159999999999</v>
      </c>
      <c r="LA139" s="37">
        <v>12.125159999999999</v>
      </c>
      <c r="LB139" s="37">
        <v>12.125159999999999</v>
      </c>
      <c r="LC139" s="37">
        <v>12.125159999999999</v>
      </c>
      <c r="LD139" s="37">
        <v>12.125159999999999</v>
      </c>
      <c r="LE139" s="37">
        <v>12.125159999999999</v>
      </c>
      <c r="LF139" s="37">
        <v>12.125159999999999</v>
      </c>
      <c r="LG139" s="37">
        <v>12.125159999999999</v>
      </c>
      <c r="LH139" s="37">
        <v>12.125159999999999</v>
      </c>
      <c r="LI139" s="37">
        <v>12.125159999999999</v>
      </c>
      <c r="LJ139" s="37">
        <v>12.125159999999999</v>
      </c>
      <c r="LK139" s="37">
        <v>12.125159999999999</v>
      </c>
      <c r="LL139" s="37">
        <v>12.125159999999999</v>
      </c>
      <c r="LM139" s="37">
        <v>12.125159999999999</v>
      </c>
      <c r="LN139" s="37">
        <v>12.125159999999999</v>
      </c>
      <c r="LO139" s="37">
        <v>12.125159999999999</v>
      </c>
      <c r="LP139" s="37">
        <v>12.125159999999999</v>
      </c>
      <c r="LQ139" s="37">
        <v>12.125159999999999</v>
      </c>
      <c r="LR139" s="37">
        <v>12.125159999999999</v>
      </c>
      <c r="LS139" s="37">
        <v>12.219989999999999</v>
      </c>
      <c r="LT139" s="37">
        <v>0</v>
      </c>
      <c r="LU139" s="37">
        <v>0</v>
      </c>
      <c r="LV139" s="37">
        <v>0</v>
      </c>
      <c r="LW139" s="37">
        <v>0</v>
      </c>
      <c r="LX139" s="37">
        <v>0</v>
      </c>
      <c r="LY139" s="37">
        <v>0</v>
      </c>
      <c r="LZ139" s="37">
        <v>0</v>
      </c>
      <c r="MA139" s="37">
        <v>0</v>
      </c>
      <c r="MB139" s="37">
        <v>0</v>
      </c>
      <c r="MC139" s="37">
        <v>0</v>
      </c>
      <c r="MD139" s="37">
        <v>0</v>
      </c>
      <c r="ME139" s="37">
        <v>0</v>
      </c>
      <c r="MF139" s="37">
        <v>0</v>
      </c>
      <c r="MG139" s="37">
        <v>0</v>
      </c>
      <c r="MH139" s="37">
        <v>0</v>
      </c>
      <c r="MI139" s="37">
        <v>0</v>
      </c>
      <c r="MJ139" s="37">
        <v>0</v>
      </c>
      <c r="MK139" s="37">
        <v>0</v>
      </c>
      <c r="ML139" s="37">
        <v>0</v>
      </c>
      <c r="MM139" s="37">
        <v>0</v>
      </c>
      <c r="MN139" s="37">
        <v>0</v>
      </c>
      <c r="MO139" s="37">
        <v>0</v>
      </c>
      <c r="MP139" s="37">
        <v>0</v>
      </c>
      <c r="MQ139" s="37">
        <v>0</v>
      </c>
      <c r="MR139" s="37">
        <v>0</v>
      </c>
      <c r="MS139" s="37">
        <v>0</v>
      </c>
      <c r="MT139" s="37">
        <v>0</v>
      </c>
      <c r="MU139" s="37">
        <v>0</v>
      </c>
      <c r="MV139" s="37">
        <v>0</v>
      </c>
      <c r="MW139" s="37">
        <v>0</v>
      </c>
      <c r="MX139" s="37">
        <v>0</v>
      </c>
      <c r="MY139" s="37">
        <v>0</v>
      </c>
      <c r="MZ139" s="37">
        <v>0</v>
      </c>
      <c r="NA139" s="37">
        <v>0</v>
      </c>
      <c r="NB139" s="37">
        <v>0</v>
      </c>
      <c r="NC139" s="37">
        <v>0</v>
      </c>
      <c r="ND139" s="37">
        <v>0</v>
      </c>
    </row>
    <row r="140" spans="1:368" x14ac:dyDescent="0.2">
      <c r="A140" s="37">
        <v>138</v>
      </c>
      <c r="B140" s="37" t="s">
        <v>1155</v>
      </c>
      <c r="C140" s="17">
        <f>+'Detalle Compras'!D140</f>
        <v>20231229731</v>
      </c>
      <c r="D140" s="55">
        <f t="shared" si="19"/>
        <v>7.1814600000000004</v>
      </c>
      <c r="E140" s="14">
        <f>+IF(B140="","",'Detalle Compras'!S140+0)</f>
        <v>45483</v>
      </c>
      <c r="F140" s="14">
        <f>+IF(B140="","",EOMONTH('Detalle Compras'!Q140,G140)+10)</f>
        <v>10481</v>
      </c>
      <c r="G140" s="50">
        <f t="shared" si="20"/>
        <v>343</v>
      </c>
      <c r="H140" s="50">
        <f t="shared" si="21"/>
        <v>337</v>
      </c>
      <c r="I140" s="37">
        <v>0</v>
      </c>
      <c r="J140" s="37">
        <v>0</v>
      </c>
      <c r="K140" s="37">
        <v>0</v>
      </c>
      <c r="L140" s="37">
        <v>0</v>
      </c>
      <c r="M140" s="37">
        <v>7.1814600000000004</v>
      </c>
      <c r="N140" s="37">
        <v>7.1814600000000004</v>
      </c>
      <c r="O140" s="37">
        <v>7.1814600000000004</v>
      </c>
      <c r="P140" s="37">
        <v>7.1814600000000004</v>
      </c>
      <c r="Q140" s="37">
        <v>7.1814600000000004</v>
      </c>
      <c r="R140" s="37">
        <v>7.1814600000000004</v>
      </c>
      <c r="S140" s="37">
        <v>7.1814600000000004</v>
      </c>
      <c r="T140" s="37">
        <v>7.1814600000000004</v>
      </c>
      <c r="U140" s="37">
        <v>7.1814600000000004</v>
      </c>
      <c r="V140" s="37">
        <v>7.1814600000000004</v>
      </c>
      <c r="W140" s="37">
        <v>7.1814600000000004</v>
      </c>
      <c r="X140" s="37">
        <v>7.1814600000000004</v>
      </c>
      <c r="Y140" s="37">
        <v>7.1814600000000004</v>
      </c>
      <c r="Z140" s="37">
        <v>7.1814600000000004</v>
      </c>
      <c r="AA140" s="37">
        <v>7.1814600000000004</v>
      </c>
      <c r="AB140" s="37">
        <v>7.1814600000000004</v>
      </c>
      <c r="AC140" s="37">
        <v>7.1814600000000004</v>
      </c>
      <c r="AD140" s="37">
        <v>7.1814600000000004</v>
      </c>
      <c r="AE140" s="37">
        <v>7.1814600000000004</v>
      </c>
      <c r="AF140" s="37">
        <v>7.1814600000000004</v>
      </c>
      <c r="AG140" s="37">
        <v>7.1814600000000004</v>
      </c>
      <c r="AH140" s="37">
        <v>7.1814600000000004</v>
      </c>
      <c r="AI140" s="37">
        <v>7.1814600000000004</v>
      </c>
      <c r="AJ140" s="37">
        <v>7.1814600000000004</v>
      </c>
      <c r="AK140" s="37">
        <v>7.1814600000000004</v>
      </c>
      <c r="AL140" s="37">
        <v>7.1814600000000004</v>
      </c>
      <c r="AM140" s="37">
        <v>7.1814600000000004</v>
      </c>
      <c r="AN140" s="37">
        <v>7.1814600000000004</v>
      </c>
      <c r="AO140" s="37">
        <v>7.1814600000000004</v>
      </c>
      <c r="AP140" s="37">
        <v>7.1814600000000004</v>
      </c>
      <c r="AQ140" s="37">
        <v>7.1814600000000004</v>
      </c>
      <c r="AR140" s="37">
        <v>7.1814600000000004</v>
      </c>
      <c r="AS140" s="37">
        <v>7.1814600000000004</v>
      </c>
      <c r="AT140" s="37">
        <v>7.1814600000000004</v>
      </c>
      <c r="AU140" s="37">
        <v>7.1814600000000004</v>
      </c>
      <c r="AV140" s="37">
        <v>7.1814600000000004</v>
      </c>
      <c r="AW140" s="37">
        <v>7.1814600000000004</v>
      </c>
      <c r="AX140" s="37">
        <v>7.1814600000000004</v>
      </c>
      <c r="AY140" s="37">
        <v>7.1814600000000004</v>
      </c>
      <c r="AZ140" s="37">
        <v>7.1814600000000004</v>
      </c>
      <c r="BA140" s="37">
        <v>7.1814600000000004</v>
      </c>
      <c r="BB140" s="37">
        <v>7.1814600000000004</v>
      </c>
      <c r="BC140" s="37">
        <v>7.1814600000000004</v>
      </c>
      <c r="BD140" s="37">
        <v>7.1814600000000004</v>
      </c>
      <c r="BE140" s="37">
        <v>7.1814600000000004</v>
      </c>
      <c r="BF140" s="37">
        <v>7.1814600000000004</v>
      </c>
      <c r="BG140" s="37">
        <v>7.1814600000000004</v>
      </c>
      <c r="BH140" s="37">
        <v>7.1814600000000004</v>
      </c>
      <c r="BI140" s="37">
        <v>7.1814600000000004</v>
      </c>
      <c r="BJ140" s="37">
        <v>7.1814600000000004</v>
      </c>
      <c r="BK140" s="37">
        <v>7.1814600000000004</v>
      </c>
      <c r="BL140" s="37">
        <v>7.1814600000000004</v>
      </c>
      <c r="BM140" s="37">
        <v>7.1814600000000004</v>
      </c>
      <c r="BN140" s="37">
        <v>7.1814600000000004</v>
      </c>
      <c r="BO140" s="37">
        <v>7.1814600000000004</v>
      </c>
      <c r="BP140" s="37">
        <v>7.1814600000000004</v>
      </c>
      <c r="BQ140" s="37">
        <v>7.1814600000000004</v>
      </c>
      <c r="BR140" s="37">
        <v>7.1814600000000004</v>
      </c>
      <c r="BS140" s="37">
        <v>7.1814600000000004</v>
      </c>
      <c r="BT140" s="37">
        <v>7.1814600000000004</v>
      </c>
      <c r="BU140" s="37">
        <v>7.1814600000000004</v>
      </c>
      <c r="BV140" s="37">
        <v>7.1814600000000004</v>
      </c>
      <c r="BW140" s="37">
        <v>7.1814600000000004</v>
      </c>
      <c r="BX140" s="37">
        <v>7.1814600000000004</v>
      </c>
      <c r="BY140" s="37">
        <v>7.1814600000000004</v>
      </c>
      <c r="BZ140" s="37">
        <v>7.1814600000000004</v>
      </c>
      <c r="CA140" s="37">
        <v>7.1814600000000004</v>
      </c>
      <c r="CB140" s="37">
        <v>7.1814600000000004</v>
      </c>
      <c r="CC140" s="37">
        <v>7.1814600000000004</v>
      </c>
      <c r="CD140" s="37">
        <v>7.1814600000000004</v>
      </c>
      <c r="CE140" s="37">
        <v>7.1814600000000004</v>
      </c>
      <c r="CF140" s="37">
        <v>7.1814600000000004</v>
      </c>
      <c r="CG140" s="37">
        <v>7.1814600000000004</v>
      </c>
      <c r="CH140" s="37">
        <v>7.1814600000000004</v>
      </c>
      <c r="CI140" s="37">
        <v>7.1814600000000004</v>
      </c>
      <c r="CJ140" s="37">
        <v>7.1814600000000004</v>
      </c>
      <c r="CK140" s="37">
        <v>7.1814600000000004</v>
      </c>
      <c r="CL140" s="37">
        <v>7.1814600000000004</v>
      </c>
      <c r="CM140" s="37">
        <v>7.1814600000000004</v>
      </c>
      <c r="CN140" s="37">
        <v>7.1814600000000004</v>
      </c>
      <c r="CO140" s="37">
        <v>7.1814600000000004</v>
      </c>
      <c r="CP140" s="37">
        <v>7.1814600000000004</v>
      </c>
      <c r="CQ140" s="37">
        <v>7.1814600000000004</v>
      </c>
      <c r="CR140" s="37">
        <v>7.1814600000000004</v>
      </c>
      <c r="CS140" s="37">
        <v>7.1814600000000004</v>
      </c>
      <c r="CT140" s="37">
        <v>7.1814600000000004</v>
      </c>
      <c r="CU140" s="37">
        <v>7.1814600000000004</v>
      </c>
      <c r="CV140" s="37">
        <v>7.1814600000000004</v>
      </c>
      <c r="CW140" s="37">
        <v>7.1814600000000004</v>
      </c>
      <c r="CX140" s="37">
        <v>7.1814600000000004</v>
      </c>
      <c r="CY140" s="37">
        <v>7.1814600000000004</v>
      </c>
      <c r="CZ140" s="37">
        <v>7.1814600000000004</v>
      </c>
      <c r="DA140" s="37">
        <v>7.1814600000000004</v>
      </c>
      <c r="DB140" s="37">
        <v>7.1814600000000004</v>
      </c>
      <c r="DC140" s="37">
        <v>7.1814600000000004</v>
      </c>
      <c r="DD140" s="37">
        <v>7.1814600000000004</v>
      </c>
      <c r="DE140" s="37">
        <v>7.1814600000000004</v>
      </c>
      <c r="DF140" s="37">
        <v>7.1814600000000004</v>
      </c>
      <c r="DG140" s="37">
        <v>7.1814600000000004</v>
      </c>
      <c r="DH140" s="37">
        <v>7.1814600000000004</v>
      </c>
      <c r="DI140" s="37">
        <v>7.1814600000000004</v>
      </c>
      <c r="DJ140" s="37">
        <v>7.1814600000000004</v>
      </c>
      <c r="DK140" s="37">
        <v>7.1814600000000004</v>
      </c>
      <c r="DL140" s="37">
        <v>7.1814600000000004</v>
      </c>
      <c r="DM140" s="37">
        <v>7.1814600000000004</v>
      </c>
      <c r="DN140" s="37">
        <v>7.1814600000000004</v>
      </c>
      <c r="DO140" s="37">
        <v>7.1814600000000004</v>
      </c>
      <c r="DP140" s="37">
        <v>7.1814600000000004</v>
      </c>
      <c r="DQ140" s="37">
        <v>7.1814600000000004</v>
      </c>
      <c r="DR140" s="37">
        <v>7.1814600000000004</v>
      </c>
      <c r="DS140" s="37">
        <v>7.1814600000000004</v>
      </c>
      <c r="DT140" s="37">
        <v>7.1814600000000004</v>
      </c>
      <c r="DU140" s="37">
        <v>7.1814600000000004</v>
      </c>
      <c r="DV140" s="37">
        <v>7.1814600000000004</v>
      </c>
      <c r="DW140" s="37">
        <v>7.1814600000000004</v>
      </c>
      <c r="DX140" s="37">
        <v>7.1814600000000004</v>
      </c>
      <c r="DY140" s="37">
        <v>7.1814600000000004</v>
      </c>
      <c r="DZ140" s="37">
        <v>7.1814600000000004</v>
      </c>
      <c r="EA140" s="37">
        <v>7.1814600000000004</v>
      </c>
      <c r="EB140" s="37">
        <v>7.1814600000000004</v>
      </c>
      <c r="EC140" s="37">
        <v>7.1814600000000004</v>
      </c>
      <c r="ED140" s="37">
        <v>7.1814600000000004</v>
      </c>
      <c r="EE140" s="37">
        <v>7.1814600000000004</v>
      </c>
      <c r="EF140" s="37">
        <v>7.1814600000000004</v>
      </c>
      <c r="EG140" s="37">
        <v>7.1814600000000004</v>
      </c>
      <c r="EH140" s="37">
        <v>7.1814600000000004</v>
      </c>
      <c r="EI140" s="37">
        <v>7.1814600000000004</v>
      </c>
      <c r="EJ140" s="37">
        <v>7.1814600000000004</v>
      </c>
      <c r="EK140" s="37">
        <v>7.1814600000000004</v>
      </c>
      <c r="EL140" s="37">
        <v>7.1814600000000004</v>
      </c>
      <c r="EM140" s="37">
        <v>7.1814600000000004</v>
      </c>
      <c r="EN140" s="37">
        <v>7.1814600000000004</v>
      </c>
      <c r="EO140" s="37">
        <v>7.1814600000000004</v>
      </c>
      <c r="EP140" s="37">
        <v>7.1814600000000004</v>
      </c>
      <c r="EQ140" s="37">
        <v>7.1814600000000004</v>
      </c>
      <c r="ER140" s="37">
        <v>7.1814600000000004</v>
      </c>
      <c r="ES140" s="37">
        <v>7.1814600000000004</v>
      </c>
      <c r="ET140" s="37">
        <v>7.1814600000000004</v>
      </c>
      <c r="EU140" s="37">
        <v>7.1814600000000004</v>
      </c>
      <c r="EV140" s="37">
        <v>7.1814600000000004</v>
      </c>
      <c r="EW140" s="37">
        <v>7.1814600000000004</v>
      </c>
      <c r="EX140" s="37">
        <v>7.1814600000000004</v>
      </c>
      <c r="EY140" s="37">
        <v>7.1814600000000004</v>
      </c>
      <c r="EZ140" s="37">
        <v>7.1814600000000004</v>
      </c>
      <c r="FA140" s="37">
        <v>7.1814600000000004</v>
      </c>
      <c r="FB140" s="37">
        <v>7.1814600000000004</v>
      </c>
      <c r="FC140" s="37">
        <v>7.1814600000000004</v>
      </c>
      <c r="FD140" s="37">
        <v>7.1814600000000004</v>
      </c>
      <c r="FE140" s="37">
        <v>7.1814600000000004</v>
      </c>
      <c r="FF140" s="37">
        <v>7.1814600000000004</v>
      </c>
      <c r="FG140" s="37">
        <v>7.1814600000000004</v>
      </c>
      <c r="FH140" s="37">
        <v>7.1814600000000004</v>
      </c>
      <c r="FI140" s="37">
        <v>7.1814600000000004</v>
      </c>
      <c r="FJ140" s="37">
        <v>7.1814600000000004</v>
      </c>
      <c r="FK140" s="37">
        <v>7.1814600000000004</v>
      </c>
      <c r="FL140" s="37">
        <v>7.1814600000000004</v>
      </c>
      <c r="FM140" s="37">
        <v>7.1814600000000004</v>
      </c>
      <c r="FN140" s="37">
        <v>7.1814600000000004</v>
      </c>
      <c r="FO140" s="37">
        <v>7.1814600000000004</v>
      </c>
      <c r="FP140" s="37">
        <v>7.1814600000000004</v>
      </c>
      <c r="FQ140" s="37">
        <v>7.1814600000000004</v>
      </c>
      <c r="FR140" s="37">
        <v>7.1814600000000004</v>
      </c>
      <c r="FS140" s="37">
        <v>7.1814600000000004</v>
      </c>
      <c r="FT140" s="37">
        <v>7.1814600000000004</v>
      </c>
      <c r="FU140" s="37">
        <v>7.1814600000000004</v>
      </c>
      <c r="FV140" s="37">
        <v>7.1814600000000004</v>
      </c>
      <c r="FW140" s="37">
        <v>7.1814600000000004</v>
      </c>
      <c r="FX140" s="37">
        <v>7.1814600000000004</v>
      </c>
      <c r="FY140" s="37">
        <v>7.1814600000000004</v>
      </c>
      <c r="FZ140" s="37">
        <v>7.1814600000000004</v>
      </c>
      <c r="GA140" s="37">
        <v>7.1814600000000004</v>
      </c>
      <c r="GB140" s="37">
        <v>7.1814600000000004</v>
      </c>
      <c r="GC140" s="37">
        <v>7.1814600000000004</v>
      </c>
      <c r="GD140" s="37">
        <v>7.1814600000000004</v>
      </c>
      <c r="GE140" s="37">
        <v>7.1814600000000004</v>
      </c>
      <c r="GF140" s="37">
        <v>7.1814600000000004</v>
      </c>
      <c r="GG140" s="37">
        <v>7.1814600000000004</v>
      </c>
      <c r="GH140" s="37">
        <v>7.1814600000000004</v>
      </c>
      <c r="GI140" s="37">
        <v>7.1814600000000004</v>
      </c>
      <c r="GJ140" s="37">
        <v>7.1814600000000004</v>
      </c>
      <c r="GK140" s="37">
        <v>7.1814600000000004</v>
      </c>
      <c r="GL140" s="37">
        <v>7.1814600000000004</v>
      </c>
      <c r="GM140" s="37">
        <v>7.1814600000000004</v>
      </c>
      <c r="GN140" s="37">
        <v>7.1814600000000004</v>
      </c>
      <c r="GO140" s="37">
        <v>7.1814600000000004</v>
      </c>
      <c r="GP140" s="37">
        <v>7.1814600000000004</v>
      </c>
      <c r="GQ140" s="37">
        <v>7.1814600000000004</v>
      </c>
      <c r="GR140" s="37">
        <v>7.1814600000000004</v>
      </c>
      <c r="GS140" s="37">
        <v>7.1814600000000004</v>
      </c>
      <c r="GT140" s="37">
        <v>7.1814600000000004</v>
      </c>
      <c r="GU140" s="37">
        <v>7.1814600000000004</v>
      </c>
      <c r="GV140" s="37">
        <v>7.1814600000000004</v>
      </c>
      <c r="GW140" s="37">
        <v>7.1814600000000004</v>
      </c>
      <c r="GX140" s="37">
        <v>7.1814600000000004</v>
      </c>
      <c r="GY140" s="37">
        <v>7.1814600000000004</v>
      </c>
      <c r="GZ140" s="37">
        <v>7.1814600000000004</v>
      </c>
      <c r="HA140" s="37">
        <v>7.1814600000000004</v>
      </c>
      <c r="HB140" s="37">
        <v>7.1814600000000004</v>
      </c>
      <c r="HC140" s="37">
        <v>7.1814600000000004</v>
      </c>
      <c r="HD140" s="37">
        <v>7.1814600000000004</v>
      </c>
      <c r="HE140" s="37">
        <v>7.1814600000000004</v>
      </c>
      <c r="HF140" s="37">
        <v>7.1814600000000004</v>
      </c>
      <c r="HG140" s="37">
        <v>7.1814600000000004</v>
      </c>
      <c r="HH140" s="37">
        <v>7.1814600000000004</v>
      </c>
      <c r="HI140" s="37">
        <v>7.1814600000000004</v>
      </c>
      <c r="HJ140" s="37">
        <v>7.1814600000000004</v>
      </c>
      <c r="HK140" s="37">
        <v>7.1814600000000004</v>
      </c>
      <c r="HL140" s="37">
        <v>7.1814600000000004</v>
      </c>
      <c r="HM140" s="37">
        <v>7.1814600000000004</v>
      </c>
      <c r="HN140" s="37">
        <v>7.1814600000000004</v>
      </c>
      <c r="HO140" s="37">
        <v>7.1814600000000004</v>
      </c>
      <c r="HP140" s="37">
        <v>7.1814600000000004</v>
      </c>
      <c r="HQ140" s="37">
        <v>7.1814600000000004</v>
      </c>
      <c r="HR140" s="37">
        <v>7.1814600000000004</v>
      </c>
      <c r="HS140" s="37">
        <v>7.1814600000000004</v>
      </c>
      <c r="HT140" s="37">
        <v>7.1814600000000004</v>
      </c>
      <c r="HU140" s="37">
        <v>7.1814600000000004</v>
      </c>
      <c r="HV140" s="37">
        <v>7.1814600000000004</v>
      </c>
      <c r="HW140" s="37">
        <v>7.1814600000000004</v>
      </c>
      <c r="HX140" s="37">
        <v>7.1814600000000004</v>
      </c>
      <c r="HY140" s="37">
        <v>7.1814600000000004</v>
      </c>
      <c r="HZ140" s="37">
        <v>7.1814600000000004</v>
      </c>
      <c r="IA140" s="37">
        <v>7.1814600000000004</v>
      </c>
      <c r="IB140" s="37">
        <v>7.1814600000000004</v>
      </c>
      <c r="IC140" s="37">
        <v>7.1814600000000004</v>
      </c>
      <c r="ID140" s="37">
        <v>7.1814600000000004</v>
      </c>
      <c r="IE140" s="37">
        <v>7.1814600000000004</v>
      </c>
      <c r="IF140" s="37">
        <v>7.1814600000000004</v>
      </c>
      <c r="IG140" s="37">
        <v>7.1814600000000004</v>
      </c>
      <c r="IH140" s="37">
        <v>7.1814600000000004</v>
      </c>
      <c r="II140" s="37">
        <v>7.1814600000000004</v>
      </c>
      <c r="IJ140" s="37">
        <v>7.1814600000000004</v>
      </c>
      <c r="IK140" s="37">
        <v>7.1814600000000004</v>
      </c>
      <c r="IL140" s="37">
        <v>7.1814600000000004</v>
      </c>
      <c r="IM140" s="37">
        <v>7.1814600000000004</v>
      </c>
      <c r="IN140" s="37">
        <v>7.1814600000000004</v>
      </c>
      <c r="IO140" s="37">
        <v>7.1814600000000004</v>
      </c>
      <c r="IP140" s="37">
        <v>7.1814600000000004</v>
      </c>
      <c r="IQ140" s="37">
        <v>7.1814600000000004</v>
      </c>
      <c r="IR140" s="37">
        <v>7.1814600000000004</v>
      </c>
      <c r="IS140" s="37">
        <v>7.1814600000000004</v>
      </c>
      <c r="IT140" s="37">
        <v>7.1814600000000004</v>
      </c>
      <c r="IU140" s="37">
        <v>7.1814600000000004</v>
      </c>
      <c r="IV140" s="37">
        <v>7.1814600000000004</v>
      </c>
      <c r="IW140" s="37">
        <v>7.1814600000000004</v>
      </c>
      <c r="IX140" s="37">
        <v>7.1814600000000004</v>
      </c>
      <c r="IY140" s="37">
        <v>7.1814600000000004</v>
      </c>
      <c r="IZ140" s="37">
        <v>7.1814600000000004</v>
      </c>
      <c r="JA140" s="37">
        <v>7.1814600000000004</v>
      </c>
      <c r="JB140" s="37">
        <v>7.1814600000000004</v>
      </c>
      <c r="JC140" s="37">
        <v>7.1814600000000004</v>
      </c>
      <c r="JD140" s="37">
        <v>7.1814600000000004</v>
      </c>
      <c r="JE140" s="37">
        <v>7.1814600000000004</v>
      </c>
      <c r="JF140" s="37">
        <v>7.1814600000000004</v>
      </c>
      <c r="JG140" s="37">
        <v>7.1814600000000004</v>
      </c>
      <c r="JH140" s="37">
        <v>7.1814600000000004</v>
      </c>
      <c r="JI140" s="37">
        <v>7.1814600000000004</v>
      </c>
      <c r="JJ140" s="37">
        <v>7.1814600000000004</v>
      </c>
      <c r="JK140" s="37">
        <v>7.1814600000000004</v>
      </c>
      <c r="JL140" s="37">
        <v>7.1814600000000004</v>
      </c>
      <c r="JM140" s="37">
        <v>7.1814600000000004</v>
      </c>
      <c r="JN140" s="37">
        <v>7.1814600000000004</v>
      </c>
      <c r="JO140" s="37">
        <v>7.1814600000000004</v>
      </c>
      <c r="JP140" s="37">
        <v>7.1814600000000004</v>
      </c>
      <c r="JQ140" s="37">
        <v>7.1814600000000004</v>
      </c>
      <c r="JR140" s="37">
        <v>7.1814600000000004</v>
      </c>
      <c r="JS140" s="37">
        <v>7.1814600000000004</v>
      </c>
      <c r="JT140" s="37">
        <v>7.1814600000000004</v>
      </c>
      <c r="JU140" s="37">
        <v>7.1814600000000004</v>
      </c>
      <c r="JV140" s="37">
        <v>7.1814600000000004</v>
      </c>
      <c r="JW140" s="37">
        <v>7.1814600000000004</v>
      </c>
      <c r="JX140" s="37">
        <v>7.1814600000000004</v>
      </c>
      <c r="JY140" s="37">
        <v>7.1814600000000004</v>
      </c>
      <c r="JZ140" s="37">
        <v>7.1814600000000004</v>
      </c>
      <c r="KA140" s="37">
        <v>7.1814600000000004</v>
      </c>
      <c r="KB140" s="37">
        <v>7.1814600000000004</v>
      </c>
      <c r="KC140" s="37">
        <v>7.1814600000000004</v>
      </c>
      <c r="KD140" s="37">
        <v>7.1814600000000004</v>
      </c>
      <c r="KE140" s="37">
        <v>7.1814600000000004</v>
      </c>
      <c r="KF140" s="37">
        <v>7.1814600000000004</v>
      </c>
      <c r="KG140" s="37">
        <v>7.1814600000000004</v>
      </c>
      <c r="KH140" s="37">
        <v>7.1814600000000004</v>
      </c>
      <c r="KI140" s="37">
        <v>7.1814600000000004</v>
      </c>
      <c r="KJ140" s="37">
        <v>7.1814600000000004</v>
      </c>
      <c r="KK140" s="37">
        <v>7.1814600000000004</v>
      </c>
      <c r="KL140" s="37">
        <v>7.1814600000000004</v>
      </c>
      <c r="KM140" s="37">
        <v>7.1814600000000004</v>
      </c>
      <c r="KN140" s="37">
        <v>7.1814600000000004</v>
      </c>
      <c r="KO140" s="37">
        <v>7.1814600000000004</v>
      </c>
      <c r="KP140" s="37">
        <v>7.1814600000000004</v>
      </c>
      <c r="KQ140" s="37">
        <v>7.1814600000000004</v>
      </c>
      <c r="KR140" s="37">
        <v>7.1814600000000004</v>
      </c>
      <c r="KS140" s="37">
        <v>7.1814600000000004</v>
      </c>
      <c r="KT140" s="37">
        <v>7.1814600000000004</v>
      </c>
      <c r="KU140" s="37">
        <v>7.1814600000000004</v>
      </c>
      <c r="KV140" s="37">
        <v>7.1814600000000004</v>
      </c>
      <c r="KW140" s="37">
        <v>7.1814600000000004</v>
      </c>
      <c r="KX140" s="37">
        <v>7.1814600000000004</v>
      </c>
      <c r="KY140" s="37">
        <v>7.1814600000000004</v>
      </c>
      <c r="KZ140" s="37">
        <v>7.1814600000000004</v>
      </c>
      <c r="LA140" s="37">
        <v>7.1814600000000004</v>
      </c>
      <c r="LB140" s="37">
        <v>7.1814600000000004</v>
      </c>
      <c r="LC140" s="37">
        <v>7.1814600000000004</v>
      </c>
      <c r="LD140" s="37">
        <v>7.1814600000000004</v>
      </c>
      <c r="LE140" s="37">
        <v>7.1814600000000004</v>
      </c>
      <c r="LF140" s="37">
        <v>7.1814600000000004</v>
      </c>
      <c r="LG140" s="37">
        <v>7.1814600000000004</v>
      </c>
      <c r="LH140" s="37">
        <v>7.1814600000000004</v>
      </c>
      <c r="LI140" s="37">
        <v>7.1814600000000004</v>
      </c>
      <c r="LJ140" s="37">
        <v>7.1814600000000004</v>
      </c>
      <c r="LK140" s="37">
        <v>7.1814600000000004</v>
      </c>
      <c r="LL140" s="37">
        <v>7.1814600000000004</v>
      </c>
      <c r="LM140" s="37">
        <v>7.1814600000000004</v>
      </c>
      <c r="LN140" s="37">
        <v>7.1814600000000004</v>
      </c>
      <c r="LO140" s="37">
        <v>7.1814600000000004</v>
      </c>
      <c r="LP140" s="37">
        <v>7.1814600000000004</v>
      </c>
      <c r="LQ140" s="37">
        <v>7.1814600000000004</v>
      </c>
      <c r="LR140" s="37">
        <v>7.1814600000000004</v>
      </c>
      <c r="LS140" s="37">
        <v>7.1814600000000004</v>
      </c>
      <c r="LT140" s="37">
        <v>7.1814600000000004</v>
      </c>
      <c r="LU140" s="37">
        <v>7.1814600000000004</v>
      </c>
      <c r="LV140" s="37">
        <v>7.1814600000000004</v>
      </c>
      <c r="LW140" s="37">
        <v>7.1814600000000004</v>
      </c>
      <c r="LX140" s="37">
        <v>7.1814600000000004</v>
      </c>
      <c r="LY140" s="37">
        <v>7.1814600000000004</v>
      </c>
      <c r="LZ140" s="37">
        <v>7.1814600000000004</v>
      </c>
      <c r="MA140" s="37">
        <v>7.1814600000000004</v>
      </c>
      <c r="MB140" s="37">
        <v>7.1814600000000004</v>
      </c>
      <c r="MC140" s="37">
        <v>7.1814600000000004</v>
      </c>
      <c r="MD140" s="37">
        <v>7.1814600000000004</v>
      </c>
      <c r="ME140" s="37">
        <v>7.1814600000000004</v>
      </c>
      <c r="MF140" s="37">
        <v>7.1814600000000004</v>
      </c>
      <c r="MG140" s="37">
        <v>7.1814600000000004</v>
      </c>
      <c r="MH140" s="37">
        <v>7.1814600000000004</v>
      </c>
      <c r="MI140" s="37">
        <v>7.1814600000000004</v>
      </c>
      <c r="MJ140" s="37">
        <v>7.1814600000000004</v>
      </c>
      <c r="MK140" s="37">
        <v>7.1814600000000004</v>
      </c>
      <c r="ML140" s="37">
        <v>7.1814600000000004</v>
      </c>
      <c r="MM140" s="37">
        <v>7.1814600000000004</v>
      </c>
      <c r="MN140" s="37">
        <v>7.1814600000000004</v>
      </c>
      <c r="MO140" s="37">
        <v>7.1814600000000004</v>
      </c>
      <c r="MP140" s="37">
        <v>7.1814600000000004</v>
      </c>
      <c r="MQ140" s="37">
        <v>6.9270300000000002</v>
      </c>
      <c r="MR140" s="37">
        <v>0</v>
      </c>
      <c r="MS140" s="37">
        <v>0</v>
      </c>
      <c r="MT140" s="37">
        <v>0</v>
      </c>
      <c r="MU140" s="37">
        <v>0</v>
      </c>
      <c r="MV140" s="37">
        <v>0</v>
      </c>
      <c r="MW140" s="37">
        <v>0</v>
      </c>
      <c r="MX140" s="37">
        <v>0</v>
      </c>
      <c r="MY140" s="37">
        <v>0</v>
      </c>
      <c r="MZ140" s="37">
        <v>0</v>
      </c>
      <c r="NA140" s="37">
        <v>0</v>
      </c>
      <c r="NB140" s="37">
        <v>0</v>
      </c>
      <c r="NC140" s="37">
        <v>0</v>
      </c>
      <c r="ND140" s="37">
        <v>0</v>
      </c>
    </row>
    <row r="141" spans="1:368" x14ac:dyDescent="0.2">
      <c r="A141" s="37">
        <v>139</v>
      </c>
      <c r="B141" s="37" t="s">
        <v>1160</v>
      </c>
      <c r="C141" s="17">
        <f>+'Detalle Compras'!D141</f>
        <v>20231229715</v>
      </c>
      <c r="D141" s="55">
        <f t="shared" si="19"/>
        <v>12.242058999999999</v>
      </c>
      <c r="E141" s="14">
        <f>+IF(B141="","",'Detalle Compras'!S141+0)</f>
        <v>45483</v>
      </c>
      <c r="F141" s="14">
        <f>+IF(B141="","",EOMONTH('Detalle Compras'!Q141,G141)+10)</f>
        <v>10846</v>
      </c>
      <c r="G141" s="50">
        <f t="shared" si="20"/>
        <v>355</v>
      </c>
      <c r="H141" s="50">
        <f t="shared" si="21"/>
        <v>337</v>
      </c>
      <c r="I141" s="37">
        <v>0</v>
      </c>
      <c r="J141" s="37">
        <v>0</v>
      </c>
      <c r="K141" s="37">
        <v>0</v>
      </c>
      <c r="L141" s="37">
        <v>0</v>
      </c>
      <c r="M141" s="37">
        <v>12.242058999999999</v>
      </c>
      <c r="N141" s="37">
        <v>12.242058999999999</v>
      </c>
      <c r="O141" s="37">
        <v>12.242058999999999</v>
      </c>
      <c r="P141" s="37">
        <v>12.242058999999999</v>
      </c>
      <c r="Q141" s="37">
        <v>12.242058999999999</v>
      </c>
      <c r="R141" s="37">
        <v>12.242058999999999</v>
      </c>
      <c r="S141" s="37">
        <v>12.242058999999999</v>
      </c>
      <c r="T141" s="37">
        <v>12.242058999999999</v>
      </c>
      <c r="U141" s="37">
        <v>12.242058999999999</v>
      </c>
      <c r="V141" s="37">
        <v>12.242058999999999</v>
      </c>
      <c r="W141" s="37">
        <v>12.242058999999999</v>
      </c>
      <c r="X141" s="37">
        <v>12.242058999999999</v>
      </c>
      <c r="Y141" s="37">
        <v>12.242058999999999</v>
      </c>
      <c r="Z141" s="37">
        <v>12.242058999999999</v>
      </c>
      <c r="AA141" s="37">
        <v>12.242058999999999</v>
      </c>
      <c r="AB141" s="37">
        <v>12.242058999999999</v>
      </c>
      <c r="AC141" s="37">
        <v>12.242058999999999</v>
      </c>
      <c r="AD141" s="37">
        <v>12.242058999999999</v>
      </c>
      <c r="AE141" s="37">
        <v>12.242058999999999</v>
      </c>
      <c r="AF141" s="37">
        <v>12.242058999999999</v>
      </c>
      <c r="AG141" s="37">
        <v>12.242058999999999</v>
      </c>
      <c r="AH141" s="37">
        <v>12.242058999999999</v>
      </c>
      <c r="AI141" s="37">
        <v>12.242058999999999</v>
      </c>
      <c r="AJ141" s="37">
        <v>12.242058999999999</v>
      </c>
      <c r="AK141" s="37">
        <v>12.242058999999999</v>
      </c>
      <c r="AL141" s="37">
        <v>12.242058999999999</v>
      </c>
      <c r="AM141" s="37">
        <v>12.242058999999999</v>
      </c>
      <c r="AN141" s="37">
        <v>12.242058999999999</v>
      </c>
      <c r="AO141" s="37">
        <v>12.242058999999999</v>
      </c>
      <c r="AP141" s="37">
        <v>12.242058999999999</v>
      </c>
      <c r="AQ141" s="37">
        <v>12.242058999999999</v>
      </c>
      <c r="AR141" s="37">
        <v>12.242058999999999</v>
      </c>
      <c r="AS141" s="37">
        <v>12.242058999999999</v>
      </c>
      <c r="AT141" s="37">
        <v>12.242058999999999</v>
      </c>
      <c r="AU141" s="37">
        <v>12.242058999999999</v>
      </c>
      <c r="AV141" s="37">
        <v>12.242058999999999</v>
      </c>
      <c r="AW141" s="37">
        <v>12.242058999999999</v>
      </c>
      <c r="AX141" s="37">
        <v>12.242058999999999</v>
      </c>
      <c r="AY141" s="37">
        <v>12.242058999999999</v>
      </c>
      <c r="AZ141" s="37">
        <v>12.242058999999999</v>
      </c>
      <c r="BA141" s="37">
        <v>12.242058999999999</v>
      </c>
      <c r="BB141" s="37">
        <v>12.242058999999999</v>
      </c>
      <c r="BC141" s="37">
        <v>12.242058999999999</v>
      </c>
      <c r="BD141" s="37">
        <v>12.242058999999999</v>
      </c>
      <c r="BE141" s="37">
        <v>12.242058999999999</v>
      </c>
      <c r="BF141" s="37">
        <v>12.242058999999999</v>
      </c>
      <c r="BG141" s="37">
        <v>12.242058999999999</v>
      </c>
      <c r="BH141" s="37">
        <v>12.242058999999999</v>
      </c>
      <c r="BI141" s="37">
        <v>12.242058999999999</v>
      </c>
      <c r="BJ141" s="37">
        <v>12.242058999999999</v>
      </c>
      <c r="BK141" s="37">
        <v>12.242058999999999</v>
      </c>
      <c r="BL141" s="37">
        <v>12.242058999999999</v>
      </c>
      <c r="BM141" s="37">
        <v>12.242058999999999</v>
      </c>
      <c r="BN141" s="37">
        <v>12.242058999999999</v>
      </c>
      <c r="BO141" s="37">
        <v>12.242058999999999</v>
      </c>
      <c r="BP141" s="37">
        <v>12.242058999999999</v>
      </c>
      <c r="BQ141" s="37">
        <v>12.242058999999999</v>
      </c>
      <c r="BR141" s="37">
        <v>12.242058999999999</v>
      </c>
      <c r="BS141" s="37">
        <v>12.242058999999999</v>
      </c>
      <c r="BT141" s="37">
        <v>12.242058999999999</v>
      </c>
      <c r="BU141" s="37">
        <v>12.242058999999999</v>
      </c>
      <c r="BV141" s="37">
        <v>12.242058999999999</v>
      </c>
      <c r="BW141" s="37">
        <v>12.242058999999999</v>
      </c>
      <c r="BX141" s="37">
        <v>12.242058999999999</v>
      </c>
      <c r="BY141" s="37">
        <v>12.242058999999999</v>
      </c>
      <c r="BZ141" s="37">
        <v>12.242058999999999</v>
      </c>
      <c r="CA141" s="37">
        <v>12.242058999999999</v>
      </c>
      <c r="CB141" s="37">
        <v>12.242058999999999</v>
      </c>
      <c r="CC141" s="37">
        <v>12.242058999999999</v>
      </c>
      <c r="CD141" s="37">
        <v>12.242058999999999</v>
      </c>
      <c r="CE141" s="37">
        <v>12.242058999999999</v>
      </c>
      <c r="CF141" s="37">
        <v>12.242058999999999</v>
      </c>
      <c r="CG141" s="37">
        <v>12.242058999999999</v>
      </c>
      <c r="CH141" s="37">
        <v>12.242058999999999</v>
      </c>
      <c r="CI141" s="37">
        <v>12.242058999999999</v>
      </c>
      <c r="CJ141" s="37">
        <v>12.242058999999999</v>
      </c>
      <c r="CK141" s="37">
        <v>12.242058999999999</v>
      </c>
      <c r="CL141" s="37">
        <v>12.242058999999999</v>
      </c>
      <c r="CM141" s="37">
        <v>12.242058999999999</v>
      </c>
      <c r="CN141" s="37">
        <v>12.242058999999999</v>
      </c>
      <c r="CO141" s="37">
        <v>12.242058999999999</v>
      </c>
      <c r="CP141" s="37">
        <v>12.242058999999999</v>
      </c>
      <c r="CQ141" s="37">
        <v>12.242058999999999</v>
      </c>
      <c r="CR141" s="37">
        <v>12.242058999999999</v>
      </c>
      <c r="CS141" s="37">
        <v>12.242058999999999</v>
      </c>
      <c r="CT141" s="37">
        <v>12.242058999999999</v>
      </c>
      <c r="CU141" s="37">
        <v>12.242058999999999</v>
      </c>
      <c r="CV141" s="37">
        <v>12.242058999999999</v>
      </c>
      <c r="CW141" s="37">
        <v>12.242058999999999</v>
      </c>
      <c r="CX141" s="37">
        <v>12.242058999999999</v>
      </c>
      <c r="CY141" s="37">
        <v>12.242058999999999</v>
      </c>
      <c r="CZ141" s="37">
        <v>12.242058999999999</v>
      </c>
      <c r="DA141" s="37">
        <v>12.242058999999999</v>
      </c>
      <c r="DB141" s="37">
        <v>12.242058999999999</v>
      </c>
      <c r="DC141" s="37">
        <v>12.242058999999999</v>
      </c>
      <c r="DD141" s="37">
        <v>12.242058999999999</v>
      </c>
      <c r="DE141" s="37">
        <v>12.242058999999999</v>
      </c>
      <c r="DF141" s="37">
        <v>12.242058999999999</v>
      </c>
      <c r="DG141" s="37">
        <v>12.242058999999999</v>
      </c>
      <c r="DH141" s="37">
        <v>12.242058999999999</v>
      </c>
      <c r="DI141" s="37">
        <v>12.242058999999999</v>
      </c>
      <c r="DJ141" s="37">
        <v>12.242058999999999</v>
      </c>
      <c r="DK141" s="37">
        <v>12.242058999999999</v>
      </c>
      <c r="DL141" s="37">
        <v>12.242058999999999</v>
      </c>
      <c r="DM141" s="37">
        <v>12.242058999999999</v>
      </c>
      <c r="DN141" s="37">
        <v>12.242058999999999</v>
      </c>
      <c r="DO141" s="37">
        <v>12.242058999999999</v>
      </c>
      <c r="DP141" s="37">
        <v>12.242058999999999</v>
      </c>
      <c r="DQ141" s="37">
        <v>12.242058999999999</v>
      </c>
      <c r="DR141" s="37">
        <v>12.242058999999999</v>
      </c>
      <c r="DS141" s="37">
        <v>12.242058999999999</v>
      </c>
      <c r="DT141" s="37">
        <v>12.242058999999999</v>
      </c>
      <c r="DU141" s="37">
        <v>12.242058999999999</v>
      </c>
      <c r="DV141" s="37">
        <v>12.242058999999999</v>
      </c>
      <c r="DW141" s="37">
        <v>12.242058999999999</v>
      </c>
      <c r="DX141" s="37">
        <v>12.242058999999999</v>
      </c>
      <c r="DY141" s="37">
        <v>12.242058999999999</v>
      </c>
      <c r="DZ141" s="37">
        <v>12.242058999999999</v>
      </c>
      <c r="EA141" s="37">
        <v>12.242058999999999</v>
      </c>
      <c r="EB141" s="37">
        <v>12.242058999999999</v>
      </c>
      <c r="EC141" s="37">
        <v>12.242058999999999</v>
      </c>
      <c r="ED141" s="37">
        <v>12.242058999999999</v>
      </c>
      <c r="EE141" s="37">
        <v>12.242058999999999</v>
      </c>
      <c r="EF141" s="37">
        <v>12.242058999999999</v>
      </c>
      <c r="EG141" s="37">
        <v>12.242058999999999</v>
      </c>
      <c r="EH141" s="37">
        <v>12.242058999999999</v>
      </c>
      <c r="EI141" s="37">
        <v>12.242058999999999</v>
      </c>
      <c r="EJ141" s="37">
        <v>12.242058999999999</v>
      </c>
      <c r="EK141" s="37">
        <v>12.242058999999999</v>
      </c>
      <c r="EL141" s="37">
        <v>12.242058999999999</v>
      </c>
      <c r="EM141" s="37">
        <v>12.242058999999999</v>
      </c>
      <c r="EN141" s="37">
        <v>12.242058999999999</v>
      </c>
      <c r="EO141" s="37">
        <v>12.242058999999999</v>
      </c>
      <c r="EP141" s="37">
        <v>12.242058999999999</v>
      </c>
      <c r="EQ141" s="37">
        <v>12.242058999999999</v>
      </c>
      <c r="ER141" s="37">
        <v>12.242058999999999</v>
      </c>
      <c r="ES141" s="37">
        <v>12.242058999999999</v>
      </c>
      <c r="ET141" s="37">
        <v>12.242058999999999</v>
      </c>
      <c r="EU141" s="37">
        <v>12.242058999999999</v>
      </c>
      <c r="EV141" s="37">
        <v>12.242058999999999</v>
      </c>
      <c r="EW141" s="37">
        <v>12.242058999999999</v>
      </c>
      <c r="EX141" s="37">
        <v>12.242058999999999</v>
      </c>
      <c r="EY141" s="37">
        <v>12.242058999999999</v>
      </c>
      <c r="EZ141" s="37">
        <v>12.242058999999999</v>
      </c>
      <c r="FA141" s="37">
        <v>12.242058999999999</v>
      </c>
      <c r="FB141" s="37">
        <v>12.242058999999999</v>
      </c>
      <c r="FC141" s="37">
        <v>12.242058999999999</v>
      </c>
      <c r="FD141" s="37">
        <v>12.242058999999999</v>
      </c>
      <c r="FE141" s="37">
        <v>12.242058999999999</v>
      </c>
      <c r="FF141" s="37">
        <v>12.242058999999999</v>
      </c>
      <c r="FG141" s="37">
        <v>12.242058999999999</v>
      </c>
      <c r="FH141" s="37">
        <v>12.242058999999999</v>
      </c>
      <c r="FI141" s="37">
        <v>12.242058999999999</v>
      </c>
      <c r="FJ141" s="37">
        <v>12.242058999999999</v>
      </c>
      <c r="FK141" s="37">
        <v>12.242058999999999</v>
      </c>
      <c r="FL141" s="37">
        <v>12.242058999999999</v>
      </c>
      <c r="FM141" s="37">
        <v>12.242058999999999</v>
      </c>
      <c r="FN141" s="37">
        <v>12.242058999999999</v>
      </c>
      <c r="FO141" s="37">
        <v>12.242058999999999</v>
      </c>
      <c r="FP141" s="37">
        <v>12.242058999999999</v>
      </c>
      <c r="FQ141" s="37">
        <v>12.242058999999999</v>
      </c>
      <c r="FR141" s="37">
        <v>12.242058999999999</v>
      </c>
      <c r="FS141" s="37">
        <v>12.242058999999999</v>
      </c>
      <c r="FT141" s="37">
        <v>12.242058999999999</v>
      </c>
      <c r="FU141" s="37">
        <v>12.242058999999999</v>
      </c>
      <c r="FV141" s="37">
        <v>12.242058999999999</v>
      </c>
      <c r="FW141" s="37">
        <v>12.242058999999999</v>
      </c>
      <c r="FX141" s="37">
        <v>12.242058999999999</v>
      </c>
      <c r="FY141" s="37">
        <v>12.242058999999999</v>
      </c>
      <c r="FZ141" s="37">
        <v>12.242058999999999</v>
      </c>
      <c r="GA141" s="37">
        <v>12.242058999999999</v>
      </c>
      <c r="GB141" s="37">
        <v>12.242058999999999</v>
      </c>
      <c r="GC141" s="37">
        <v>12.242058999999999</v>
      </c>
      <c r="GD141" s="37">
        <v>12.242058999999999</v>
      </c>
      <c r="GE141" s="37">
        <v>12.242058999999999</v>
      </c>
      <c r="GF141" s="37">
        <v>12.242058999999999</v>
      </c>
      <c r="GG141" s="37">
        <v>12.242058999999999</v>
      </c>
      <c r="GH141" s="37">
        <v>12.242058999999999</v>
      </c>
      <c r="GI141" s="37">
        <v>12.242058999999999</v>
      </c>
      <c r="GJ141" s="37">
        <v>12.242058999999999</v>
      </c>
      <c r="GK141" s="37">
        <v>12.242058999999999</v>
      </c>
      <c r="GL141" s="37">
        <v>12.242058999999999</v>
      </c>
      <c r="GM141" s="37">
        <v>12.242058999999999</v>
      </c>
      <c r="GN141" s="37">
        <v>12.242058999999999</v>
      </c>
      <c r="GO141" s="37">
        <v>12.242058999999999</v>
      </c>
      <c r="GP141" s="37">
        <v>12.242058999999999</v>
      </c>
      <c r="GQ141" s="37">
        <v>12.242058999999999</v>
      </c>
      <c r="GR141" s="37">
        <v>12.242058999999999</v>
      </c>
      <c r="GS141" s="37">
        <v>12.242058999999999</v>
      </c>
      <c r="GT141" s="37">
        <v>12.242058999999999</v>
      </c>
      <c r="GU141" s="37">
        <v>12.242058999999999</v>
      </c>
      <c r="GV141" s="37">
        <v>12.242058999999999</v>
      </c>
      <c r="GW141" s="37">
        <v>12.242058999999999</v>
      </c>
      <c r="GX141" s="37">
        <v>12.242058999999999</v>
      </c>
      <c r="GY141" s="37">
        <v>12.242058999999999</v>
      </c>
      <c r="GZ141" s="37">
        <v>12.242058999999999</v>
      </c>
      <c r="HA141" s="37">
        <v>12.242058999999999</v>
      </c>
      <c r="HB141" s="37">
        <v>12.242058999999999</v>
      </c>
      <c r="HC141" s="37">
        <v>12.242058999999999</v>
      </c>
      <c r="HD141" s="37">
        <v>12.242058999999999</v>
      </c>
      <c r="HE141" s="37">
        <v>12.242058999999999</v>
      </c>
      <c r="HF141" s="37">
        <v>12.242058999999999</v>
      </c>
      <c r="HG141" s="37">
        <v>12.242058999999999</v>
      </c>
      <c r="HH141" s="37">
        <v>12.242058999999999</v>
      </c>
      <c r="HI141" s="37">
        <v>12.242058999999999</v>
      </c>
      <c r="HJ141" s="37">
        <v>12.242058999999999</v>
      </c>
      <c r="HK141" s="37">
        <v>12.242058999999999</v>
      </c>
      <c r="HL141" s="37">
        <v>12.242058999999999</v>
      </c>
      <c r="HM141" s="37">
        <v>12.242058999999999</v>
      </c>
      <c r="HN141" s="37">
        <v>12.242058999999999</v>
      </c>
      <c r="HO141" s="37">
        <v>12.242058999999999</v>
      </c>
      <c r="HP141" s="37">
        <v>12.242058999999999</v>
      </c>
      <c r="HQ141" s="37">
        <v>12.242058999999999</v>
      </c>
      <c r="HR141" s="37">
        <v>12.242058999999999</v>
      </c>
      <c r="HS141" s="37">
        <v>12.242058999999999</v>
      </c>
      <c r="HT141" s="37">
        <v>12.242058999999999</v>
      </c>
      <c r="HU141" s="37">
        <v>12.242058999999999</v>
      </c>
      <c r="HV141" s="37">
        <v>12.242058999999999</v>
      </c>
      <c r="HW141" s="37">
        <v>12.242058999999999</v>
      </c>
      <c r="HX141" s="37">
        <v>12.242058999999999</v>
      </c>
      <c r="HY141" s="37">
        <v>12.242058999999999</v>
      </c>
      <c r="HZ141" s="37">
        <v>12.242058999999999</v>
      </c>
      <c r="IA141" s="37">
        <v>12.242058999999999</v>
      </c>
      <c r="IB141" s="37">
        <v>12.242058999999999</v>
      </c>
      <c r="IC141" s="37">
        <v>12.242058999999999</v>
      </c>
      <c r="ID141" s="37">
        <v>12.242058999999999</v>
      </c>
      <c r="IE141" s="37">
        <v>12.242058999999999</v>
      </c>
      <c r="IF141" s="37">
        <v>12.242058999999999</v>
      </c>
      <c r="IG141" s="37">
        <v>12.242058999999999</v>
      </c>
      <c r="IH141" s="37">
        <v>12.242058999999999</v>
      </c>
      <c r="II141" s="37">
        <v>12.242058999999999</v>
      </c>
      <c r="IJ141" s="37">
        <v>12.242058999999999</v>
      </c>
      <c r="IK141" s="37">
        <v>12.242058999999999</v>
      </c>
      <c r="IL141" s="37">
        <v>12.242058999999999</v>
      </c>
      <c r="IM141" s="37">
        <v>12.242058999999999</v>
      </c>
      <c r="IN141" s="37">
        <v>12.242058999999999</v>
      </c>
      <c r="IO141" s="37">
        <v>12.242058999999999</v>
      </c>
      <c r="IP141" s="37">
        <v>12.242058999999999</v>
      </c>
      <c r="IQ141" s="37">
        <v>12.242058999999999</v>
      </c>
      <c r="IR141" s="37">
        <v>12.242058999999999</v>
      </c>
      <c r="IS141" s="37">
        <v>12.242058999999999</v>
      </c>
      <c r="IT141" s="37">
        <v>12.242058999999999</v>
      </c>
      <c r="IU141" s="37">
        <v>12.242058999999999</v>
      </c>
      <c r="IV141" s="37">
        <v>12.242058999999999</v>
      </c>
      <c r="IW141" s="37">
        <v>12.242058999999999</v>
      </c>
      <c r="IX141" s="37">
        <v>12.242058999999999</v>
      </c>
      <c r="IY141" s="37">
        <v>12.242058999999999</v>
      </c>
      <c r="IZ141" s="37">
        <v>12.242058999999999</v>
      </c>
      <c r="JA141" s="37">
        <v>12.242058999999999</v>
      </c>
      <c r="JB141" s="37">
        <v>12.242058999999999</v>
      </c>
      <c r="JC141" s="37">
        <v>12.242058999999999</v>
      </c>
      <c r="JD141" s="37">
        <v>12.242058999999999</v>
      </c>
      <c r="JE141" s="37">
        <v>12.242058999999999</v>
      </c>
      <c r="JF141" s="37">
        <v>12.242058999999999</v>
      </c>
      <c r="JG141" s="37">
        <v>12.242058999999999</v>
      </c>
      <c r="JH141" s="37">
        <v>12.242058999999999</v>
      </c>
      <c r="JI141" s="37">
        <v>12.242058999999999</v>
      </c>
      <c r="JJ141" s="37">
        <v>12.242058999999999</v>
      </c>
      <c r="JK141" s="37">
        <v>12.242058999999999</v>
      </c>
      <c r="JL141" s="37">
        <v>12.242058999999999</v>
      </c>
      <c r="JM141" s="37">
        <v>12.242058999999999</v>
      </c>
      <c r="JN141" s="37">
        <v>12.242058999999999</v>
      </c>
      <c r="JO141" s="37">
        <v>12.242058999999999</v>
      </c>
      <c r="JP141" s="37">
        <v>12.242058999999999</v>
      </c>
      <c r="JQ141" s="37">
        <v>12.242058999999999</v>
      </c>
      <c r="JR141" s="37">
        <v>12.242058999999999</v>
      </c>
      <c r="JS141" s="37">
        <v>12.242058999999999</v>
      </c>
      <c r="JT141" s="37">
        <v>12.242058999999999</v>
      </c>
      <c r="JU141" s="37">
        <v>12.242058999999999</v>
      </c>
      <c r="JV141" s="37">
        <v>12.242058999999999</v>
      </c>
      <c r="JW141" s="37">
        <v>12.242058999999999</v>
      </c>
      <c r="JX141" s="37">
        <v>12.242058999999999</v>
      </c>
      <c r="JY141" s="37">
        <v>12.242058999999999</v>
      </c>
      <c r="JZ141" s="37">
        <v>12.242058999999999</v>
      </c>
      <c r="KA141" s="37">
        <v>12.242058999999999</v>
      </c>
      <c r="KB141" s="37">
        <v>12.242058999999999</v>
      </c>
      <c r="KC141" s="37">
        <v>12.242058999999999</v>
      </c>
      <c r="KD141" s="37">
        <v>12.242058999999999</v>
      </c>
      <c r="KE141" s="37">
        <v>12.242058999999999</v>
      </c>
      <c r="KF141" s="37">
        <v>12.242058999999999</v>
      </c>
      <c r="KG141" s="37">
        <v>12.242058999999999</v>
      </c>
      <c r="KH141" s="37">
        <v>12.242058999999999</v>
      </c>
      <c r="KI141" s="37">
        <v>12.242058999999999</v>
      </c>
      <c r="KJ141" s="37">
        <v>12.242058999999999</v>
      </c>
      <c r="KK141" s="37">
        <v>12.242058999999999</v>
      </c>
      <c r="KL141" s="37">
        <v>12.242058999999999</v>
      </c>
      <c r="KM141" s="37">
        <v>12.242058999999999</v>
      </c>
      <c r="KN141" s="37">
        <v>12.242058999999999</v>
      </c>
      <c r="KO141" s="37">
        <v>12.242058999999999</v>
      </c>
      <c r="KP141" s="37">
        <v>12.242058999999999</v>
      </c>
      <c r="KQ141" s="37">
        <v>12.242058999999999</v>
      </c>
      <c r="KR141" s="37">
        <v>12.242058999999999</v>
      </c>
      <c r="KS141" s="37">
        <v>12.242058999999999</v>
      </c>
      <c r="KT141" s="37">
        <v>12.242058999999999</v>
      </c>
      <c r="KU141" s="37">
        <v>12.242058999999999</v>
      </c>
      <c r="KV141" s="37">
        <v>12.242058999999999</v>
      </c>
      <c r="KW141" s="37">
        <v>12.242058999999999</v>
      </c>
      <c r="KX141" s="37">
        <v>12.242058999999999</v>
      </c>
      <c r="KY141" s="37">
        <v>12.242058999999999</v>
      </c>
      <c r="KZ141" s="37">
        <v>12.242058999999999</v>
      </c>
      <c r="LA141" s="37">
        <v>12.242058999999999</v>
      </c>
      <c r="LB141" s="37">
        <v>12.242058999999999</v>
      </c>
      <c r="LC141" s="37">
        <v>12.242058999999999</v>
      </c>
      <c r="LD141" s="37">
        <v>12.242058999999999</v>
      </c>
      <c r="LE141" s="37">
        <v>12.242058999999999</v>
      </c>
      <c r="LF141" s="37">
        <v>12.242058999999999</v>
      </c>
      <c r="LG141" s="37">
        <v>12.242058999999999</v>
      </c>
      <c r="LH141" s="37">
        <v>12.242058999999999</v>
      </c>
      <c r="LI141" s="37">
        <v>12.242058999999999</v>
      </c>
      <c r="LJ141" s="37">
        <v>12.242058999999999</v>
      </c>
      <c r="LK141" s="37">
        <v>12.242058999999999</v>
      </c>
      <c r="LL141" s="37">
        <v>12.242058999999999</v>
      </c>
      <c r="LM141" s="37">
        <v>12.242058999999999</v>
      </c>
      <c r="LN141" s="37">
        <v>12.242058999999999</v>
      </c>
      <c r="LO141" s="37">
        <v>12.242058999999999</v>
      </c>
      <c r="LP141" s="37">
        <v>12.242058999999999</v>
      </c>
      <c r="LQ141" s="37">
        <v>12.242058999999999</v>
      </c>
      <c r="LR141" s="37">
        <v>12.242058999999999</v>
      </c>
      <c r="LS141" s="37">
        <v>12.242058999999999</v>
      </c>
      <c r="LT141" s="37">
        <v>12.242058999999999</v>
      </c>
      <c r="LU141" s="37">
        <v>12.242058999999999</v>
      </c>
      <c r="LV141" s="37">
        <v>12.242058999999999</v>
      </c>
      <c r="LW141" s="37">
        <v>12.242058999999999</v>
      </c>
      <c r="LX141" s="37">
        <v>12.242058999999999</v>
      </c>
      <c r="LY141" s="37">
        <v>12.242058999999999</v>
      </c>
      <c r="LZ141" s="37">
        <v>12.242058999999999</v>
      </c>
      <c r="MA141" s="37">
        <v>12.242058999999999</v>
      </c>
      <c r="MB141" s="37">
        <v>12.242058999999999</v>
      </c>
      <c r="MC141" s="37">
        <v>12.242058999999999</v>
      </c>
      <c r="MD141" s="37">
        <v>12.242058999999999</v>
      </c>
      <c r="ME141" s="37">
        <v>12.242058999999999</v>
      </c>
      <c r="MF141" s="37">
        <v>12.242058999999999</v>
      </c>
      <c r="MG141" s="37">
        <v>12.242058999999999</v>
      </c>
      <c r="MH141" s="37">
        <v>12.242058999999999</v>
      </c>
      <c r="MI141" s="37">
        <v>12.242058999999999</v>
      </c>
      <c r="MJ141" s="37">
        <v>12.242058999999999</v>
      </c>
      <c r="MK141" s="37">
        <v>12.242058999999999</v>
      </c>
      <c r="ML141" s="37">
        <v>12.242058999999999</v>
      </c>
      <c r="MM141" s="37">
        <v>12.242058999999999</v>
      </c>
      <c r="MN141" s="37">
        <v>12.242058999999999</v>
      </c>
      <c r="MO141" s="37">
        <v>12.242058999999999</v>
      </c>
      <c r="MP141" s="37">
        <v>12.242058999999999</v>
      </c>
      <c r="MQ141" s="37">
        <v>12.242058999999999</v>
      </c>
      <c r="MR141" s="37">
        <v>12.242058999999999</v>
      </c>
      <c r="MS141" s="37">
        <v>12.242058999999999</v>
      </c>
      <c r="MT141" s="37">
        <v>12.242058999999999</v>
      </c>
      <c r="MU141" s="37">
        <v>12.242058999999999</v>
      </c>
      <c r="MV141" s="37">
        <v>12.242058999999999</v>
      </c>
      <c r="MW141" s="37">
        <v>12.242058999999999</v>
      </c>
      <c r="MX141" s="37">
        <v>12.242058999999999</v>
      </c>
      <c r="MY141" s="37">
        <v>12.242058999999999</v>
      </c>
      <c r="MZ141" s="37">
        <v>12.242058999999999</v>
      </c>
      <c r="NA141" s="37">
        <v>12.242058999999999</v>
      </c>
      <c r="NB141" s="37">
        <v>12.242058999999999</v>
      </c>
      <c r="NC141" s="37">
        <v>13.273166</v>
      </c>
      <c r="ND141" s="37">
        <v>0</v>
      </c>
    </row>
    <row r="142" spans="1:368" x14ac:dyDescent="0.2">
      <c r="A142" s="37">
        <v>140</v>
      </c>
      <c r="B142" s="37" t="s">
        <v>1164</v>
      </c>
      <c r="C142" s="17">
        <f>+'Detalle Compras'!D142</f>
        <v>20231229716</v>
      </c>
      <c r="D142" s="55">
        <f t="shared" si="19"/>
        <v>11.995609999999999</v>
      </c>
      <c r="E142" s="14">
        <f>+IF(B142="","",'Detalle Compras'!S142+0)</f>
        <v>45483</v>
      </c>
      <c r="F142" s="14">
        <f>+IF(B142="","",EOMONTH('Detalle Compras'!Q142,G142)+10)</f>
        <v>10846</v>
      </c>
      <c r="G142" s="50">
        <f t="shared" si="20"/>
        <v>355</v>
      </c>
      <c r="H142" s="50">
        <f t="shared" si="21"/>
        <v>337</v>
      </c>
      <c r="I142" s="37">
        <v>0</v>
      </c>
      <c r="J142" s="37">
        <v>0</v>
      </c>
      <c r="K142" s="37">
        <v>0</v>
      </c>
      <c r="L142" s="37">
        <v>0</v>
      </c>
      <c r="M142" s="37">
        <v>11.995609999999999</v>
      </c>
      <c r="N142" s="37">
        <v>11.995609999999999</v>
      </c>
      <c r="O142" s="37">
        <v>11.995609999999999</v>
      </c>
      <c r="P142" s="37">
        <v>11.995609999999999</v>
      </c>
      <c r="Q142" s="37">
        <v>11.995609999999999</v>
      </c>
      <c r="R142" s="37">
        <v>11.995609999999999</v>
      </c>
      <c r="S142" s="37">
        <v>11.995609999999999</v>
      </c>
      <c r="T142" s="37">
        <v>11.995609999999999</v>
      </c>
      <c r="U142" s="37">
        <v>11.995609999999999</v>
      </c>
      <c r="V142" s="37">
        <v>11.995609999999999</v>
      </c>
      <c r="W142" s="37">
        <v>11.995609999999999</v>
      </c>
      <c r="X142" s="37">
        <v>11.995609999999999</v>
      </c>
      <c r="Y142" s="37">
        <v>11.995609999999999</v>
      </c>
      <c r="Z142" s="37">
        <v>11.995609999999999</v>
      </c>
      <c r="AA142" s="37">
        <v>11.995609999999999</v>
      </c>
      <c r="AB142" s="37">
        <v>11.995609999999999</v>
      </c>
      <c r="AC142" s="37">
        <v>11.995609999999999</v>
      </c>
      <c r="AD142" s="37">
        <v>11.995609999999999</v>
      </c>
      <c r="AE142" s="37">
        <v>11.995609999999999</v>
      </c>
      <c r="AF142" s="37">
        <v>11.995609999999999</v>
      </c>
      <c r="AG142" s="37">
        <v>11.995609999999999</v>
      </c>
      <c r="AH142" s="37">
        <v>11.995609999999999</v>
      </c>
      <c r="AI142" s="37">
        <v>11.995609999999999</v>
      </c>
      <c r="AJ142" s="37">
        <v>11.995609999999999</v>
      </c>
      <c r="AK142" s="37">
        <v>11.995609999999999</v>
      </c>
      <c r="AL142" s="37">
        <v>11.995609999999999</v>
      </c>
      <c r="AM142" s="37">
        <v>11.995609999999999</v>
      </c>
      <c r="AN142" s="37">
        <v>11.995609999999999</v>
      </c>
      <c r="AO142" s="37">
        <v>11.995609999999999</v>
      </c>
      <c r="AP142" s="37">
        <v>11.995609999999999</v>
      </c>
      <c r="AQ142" s="37">
        <v>11.995609999999999</v>
      </c>
      <c r="AR142" s="37">
        <v>11.995609999999999</v>
      </c>
      <c r="AS142" s="37">
        <v>11.995609999999999</v>
      </c>
      <c r="AT142" s="37">
        <v>11.995609999999999</v>
      </c>
      <c r="AU142" s="37">
        <v>11.995609999999999</v>
      </c>
      <c r="AV142" s="37">
        <v>11.995609999999999</v>
      </c>
      <c r="AW142" s="37">
        <v>11.995609999999999</v>
      </c>
      <c r="AX142" s="37">
        <v>11.995609999999999</v>
      </c>
      <c r="AY142" s="37">
        <v>11.995609999999999</v>
      </c>
      <c r="AZ142" s="37">
        <v>11.995609999999999</v>
      </c>
      <c r="BA142" s="37">
        <v>11.995609999999999</v>
      </c>
      <c r="BB142" s="37">
        <v>11.995609999999999</v>
      </c>
      <c r="BC142" s="37">
        <v>11.995609999999999</v>
      </c>
      <c r="BD142" s="37">
        <v>11.995609999999999</v>
      </c>
      <c r="BE142" s="37">
        <v>11.995609999999999</v>
      </c>
      <c r="BF142" s="37">
        <v>11.995609999999999</v>
      </c>
      <c r="BG142" s="37">
        <v>11.995609999999999</v>
      </c>
      <c r="BH142" s="37">
        <v>11.995609999999999</v>
      </c>
      <c r="BI142" s="37">
        <v>11.995609999999999</v>
      </c>
      <c r="BJ142" s="37">
        <v>11.995609999999999</v>
      </c>
      <c r="BK142" s="37">
        <v>11.995609999999999</v>
      </c>
      <c r="BL142" s="37">
        <v>11.995609999999999</v>
      </c>
      <c r="BM142" s="37">
        <v>11.995609999999999</v>
      </c>
      <c r="BN142" s="37">
        <v>11.995609999999999</v>
      </c>
      <c r="BO142" s="37">
        <v>11.995609999999999</v>
      </c>
      <c r="BP142" s="37">
        <v>11.995609999999999</v>
      </c>
      <c r="BQ142" s="37">
        <v>11.995609999999999</v>
      </c>
      <c r="BR142" s="37">
        <v>11.995609999999999</v>
      </c>
      <c r="BS142" s="37">
        <v>11.995609999999999</v>
      </c>
      <c r="BT142" s="37">
        <v>11.995609999999999</v>
      </c>
      <c r="BU142" s="37">
        <v>11.995609999999999</v>
      </c>
      <c r="BV142" s="37">
        <v>11.995609999999999</v>
      </c>
      <c r="BW142" s="37">
        <v>11.995609999999999</v>
      </c>
      <c r="BX142" s="37">
        <v>11.995609999999999</v>
      </c>
      <c r="BY142" s="37">
        <v>11.995609999999999</v>
      </c>
      <c r="BZ142" s="37">
        <v>11.995609999999999</v>
      </c>
      <c r="CA142" s="37">
        <v>11.995609999999999</v>
      </c>
      <c r="CB142" s="37">
        <v>11.995609999999999</v>
      </c>
      <c r="CC142" s="37">
        <v>11.995609999999999</v>
      </c>
      <c r="CD142" s="37">
        <v>11.995609999999999</v>
      </c>
      <c r="CE142" s="37">
        <v>11.995609999999999</v>
      </c>
      <c r="CF142" s="37">
        <v>11.995609999999999</v>
      </c>
      <c r="CG142" s="37">
        <v>11.995609999999999</v>
      </c>
      <c r="CH142" s="37">
        <v>11.995609999999999</v>
      </c>
      <c r="CI142" s="37">
        <v>11.995609999999999</v>
      </c>
      <c r="CJ142" s="37">
        <v>11.995609999999999</v>
      </c>
      <c r="CK142" s="37">
        <v>11.995609999999999</v>
      </c>
      <c r="CL142" s="37">
        <v>11.995609999999999</v>
      </c>
      <c r="CM142" s="37">
        <v>11.995609999999999</v>
      </c>
      <c r="CN142" s="37">
        <v>11.995609999999999</v>
      </c>
      <c r="CO142" s="37">
        <v>11.995609999999999</v>
      </c>
      <c r="CP142" s="37">
        <v>11.995609999999999</v>
      </c>
      <c r="CQ142" s="37">
        <v>11.995609999999999</v>
      </c>
      <c r="CR142" s="37">
        <v>11.995609999999999</v>
      </c>
      <c r="CS142" s="37">
        <v>11.995609999999999</v>
      </c>
      <c r="CT142" s="37">
        <v>11.995609999999999</v>
      </c>
      <c r="CU142" s="37">
        <v>11.995609999999999</v>
      </c>
      <c r="CV142" s="37">
        <v>11.995609999999999</v>
      </c>
      <c r="CW142" s="37">
        <v>11.995609999999999</v>
      </c>
      <c r="CX142" s="37">
        <v>11.995609999999999</v>
      </c>
      <c r="CY142" s="37">
        <v>11.995609999999999</v>
      </c>
      <c r="CZ142" s="37">
        <v>11.995609999999999</v>
      </c>
      <c r="DA142" s="37">
        <v>11.995609999999999</v>
      </c>
      <c r="DB142" s="37">
        <v>11.995609999999999</v>
      </c>
      <c r="DC142" s="37">
        <v>11.995609999999999</v>
      </c>
      <c r="DD142" s="37">
        <v>11.995609999999999</v>
      </c>
      <c r="DE142" s="37">
        <v>11.995609999999999</v>
      </c>
      <c r="DF142" s="37">
        <v>11.995609999999999</v>
      </c>
      <c r="DG142" s="37">
        <v>11.995609999999999</v>
      </c>
      <c r="DH142" s="37">
        <v>11.995609999999999</v>
      </c>
      <c r="DI142" s="37">
        <v>11.995609999999999</v>
      </c>
      <c r="DJ142" s="37">
        <v>11.995609999999999</v>
      </c>
      <c r="DK142" s="37">
        <v>11.995609999999999</v>
      </c>
      <c r="DL142" s="37">
        <v>11.995609999999999</v>
      </c>
      <c r="DM142" s="37">
        <v>11.995609999999999</v>
      </c>
      <c r="DN142" s="37">
        <v>11.995609999999999</v>
      </c>
      <c r="DO142" s="37">
        <v>11.995609999999999</v>
      </c>
      <c r="DP142" s="37">
        <v>11.995609999999999</v>
      </c>
      <c r="DQ142" s="37">
        <v>11.995609999999999</v>
      </c>
      <c r="DR142" s="37">
        <v>11.995609999999999</v>
      </c>
      <c r="DS142" s="37">
        <v>11.995609999999999</v>
      </c>
      <c r="DT142" s="37">
        <v>11.995609999999999</v>
      </c>
      <c r="DU142" s="37">
        <v>11.995609999999999</v>
      </c>
      <c r="DV142" s="37">
        <v>11.995609999999999</v>
      </c>
      <c r="DW142" s="37">
        <v>11.995609999999999</v>
      </c>
      <c r="DX142" s="37">
        <v>11.995609999999999</v>
      </c>
      <c r="DY142" s="37">
        <v>11.995609999999999</v>
      </c>
      <c r="DZ142" s="37">
        <v>11.995609999999999</v>
      </c>
      <c r="EA142" s="37">
        <v>11.995609999999999</v>
      </c>
      <c r="EB142" s="37">
        <v>11.995609999999999</v>
      </c>
      <c r="EC142" s="37">
        <v>11.995609999999999</v>
      </c>
      <c r="ED142" s="37">
        <v>11.995609999999999</v>
      </c>
      <c r="EE142" s="37">
        <v>11.995609999999999</v>
      </c>
      <c r="EF142" s="37">
        <v>11.995609999999999</v>
      </c>
      <c r="EG142" s="37">
        <v>11.995609999999999</v>
      </c>
      <c r="EH142" s="37">
        <v>11.995609999999999</v>
      </c>
      <c r="EI142" s="37">
        <v>11.995609999999999</v>
      </c>
      <c r="EJ142" s="37">
        <v>11.995609999999999</v>
      </c>
      <c r="EK142" s="37">
        <v>11.995609999999999</v>
      </c>
      <c r="EL142" s="37">
        <v>11.995609999999999</v>
      </c>
      <c r="EM142" s="37">
        <v>11.995609999999999</v>
      </c>
      <c r="EN142" s="37">
        <v>11.995609999999999</v>
      </c>
      <c r="EO142" s="37">
        <v>11.995609999999999</v>
      </c>
      <c r="EP142" s="37">
        <v>11.995609999999999</v>
      </c>
      <c r="EQ142" s="37">
        <v>11.995609999999999</v>
      </c>
      <c r="ER142" s="37">
        <v>11.995609999999999</v>
      </c>
      <c r="ES142" s="37">
        <v>11.995609999999999</v>
      </c>
      <c r="ET142" s="37">
        <v>11.995609999999999</v>
      </c>
      <c r="EU142" s="37">
        <v>11.995609999999999</v>
      </c>
      <c r="EV142" s="37">
        <v>11.995609999999999</v>
      </c>
      <c r="EW142" s="37">
        <v>11.995609999999999</v>
      </c>
      <c r="EX142" s="37">
        <v>11.995609999999999</v>
      </c>
      <c r="EY142" s="37">
        <v>11.995609999999999</v>
      </c>
      <c r="EZ142" s="37">
        <v>11.995609999999999</v>
      </c>
      <c r="FA142" s="37">
        <v>11.995609999999999</v>
      </c>
      <c r="FB142" s="37">
        <v>11.995609999999999</v>
      </c>
      <c r="FC142" s="37">
        <v>11.995609999999999</v>
      </c>
      <c r="FD142" s="37">
        <v>11.995609999999999</v>
      </c>
      <c r="FE142" s="37">
        <v>11.995609999999999</v>
      </c>
      <c r="FF142" s="37">
        <v>11.995609999999999</v>
      </c>
      <c r="FG142" s="37">
        <v>11.995609999999999</v>
      </c>
      <c r="FH142" s="37">
        <v>11.995609999999999</v>
      </c>
      <c r="FI142" s="37">
        <v>11.995609999999999</v>
      </c>
      <c r="FJ142" s="37">
        <v>11.995609999999999</v>
      </c>
      <c r="FK142" s="37">
        <v>11.995609999999999</v>
      </c>
      <c r="FL142" s="37">
        <v>11.995609999999999</v>
      </c>
      <c r="FM142" s="37">
        <v>11.995609999999999</v>
      </c>
      <c r="FN142" s="37">
        <v>11.995609999999999</v>
      </c>
      <c r="FO142" s="37">
        <v>11.995609999999999</v>
      </c>
      <c r="FP142" s="37">
        <v>11.995609999999999</v>
      </c>
      <c r="FQ142" s="37">
        <v>11.995609999999999</v>
      </c>
      <c r="FR142" s="37">
        <v>11.995609999999999</v>
      </c>
      <c r="FS142" s="37">
        <v>11.995609999999999</v>
      </c>
      <c r="FT142" s="37">
        <v>11.995609999999999</v>
      </c>
      <c r="FU142" s="37">
        <v>11.995609999999999</v>
      </c>
      <c r="FV142" s="37">
        <v>11.995609999999999</v>
      </c>
      <c r="FW142" s="37">
        <v>11.995609999999999</v>
      </c>
      <c r="FX142" s="37">
        <v>11.995609999999999</v>
      </c>
      <c r="FY142" s="37">
        <v>11.995609999999999</v>
      </c>
      <c r="FZ142" s="37">
        <v>11.995609999999999</v>
      </c>
      <c r="GA142" s="37">
        <v>11.995609999999999</v>
      </c>
      <c r="GB142" s="37">
        <v>11.995609999999999</v>
      </c>
      <c r="GC142" s="37">
        <v>11.995609999999999</v>
      </c>
      <c r="GD142" s="37">
        <v>11.995609999999999</v>
      </c>
      <c r="GE142" s="37">
        <v>11.995609999999999</v>
      </c>
      <c r="GF142" s="37">
        <v>11.995609999999999</v>
      </c>
      <c r="GG142" s="37">
        <v>11.995609999999999</v>
      </c>
      <c r="GH142" s="37">
        <v>11.995609999999999</v>
      </c>
      <c r="GI142" s="37">
        <v>11.995609999999999</v>
      </c>
      <c r="GJ142" s="37">
        <v>11.995609999999999</v>
      </c>
      <c r="GK142" s="37">
        <v>11.995609999999999</v>
      </c>
      <c r="GL142" s="37">
        <v>11.995609999999999</v>
      </c>
      <c r="GM142" s="37">
        <v>11.995609999999999</v>
      </c>
      <c r="GN142" s="37">
        <v>11.995609999999999</v>
      </c>
      <c r="GO142" s="37">
        <v>11.995609999999999</v>
      </c>
      <c r="GP142" s="37">
        <v>11.995609999999999</v>
      </c>
      <c r="GQ142" s="37">
        <v>11.995609999999999</v>
      </c>
      <c r="GR142" s="37">
        <v>11.995609999999999</v>
      </c>
      <c r="GS142" s="37">
        <v>11.995609999999999</v>
      </c>
      <c r="GT142" s="37">
        <v>11.995609999999999</v>
      </c>
      <c r="GU142" s="37">
        <v>11.995609999999999</v>
      </c>
      <c r="GV142" s="37">
        <v>11.995609999999999</v>
      </c>
      <c r="GW142" s="37">
        <v>11.995609999999999</v>
      </c>
      <c r="GX142" s="37">
        <v>11.995609999999999</v>
      </c>
      <c r="GY142" s="37">
        <v>11.995609999999999</v>
      </c>
      <c r="GZ142" s="37">
        <v>11.995609999999999</v>
      </c>
      <c r="HA142" s="37">
        <v>11.995609999999999</v>
      </c>
      <c r="HB142" s="37">
        <v>11.995609999999999</v>
      </c>
      <c r="HC142" s="37">
        <v>11.995609999999999</v>
      </c>
      <c r="HD142" s="37">
        <v>11.995609999999999</v>
      </c>
      <c r="HE142" s="37">
        <v>11.995609999999999</v>
      </c>
      <c r="HF142" s="37">
        <v>11.995609999999999</v>
      </c>
      <c r="HG142" s="37">
        <v>11.995609999999999</v>
      </c>
      <c r="HH142" s="37">
        <v>11.995609999999999</v>
      </c>
      <c r="HI142" s="37">
        <v>11.995609999999999</v>
      </c>
      <c r="HJ142" s="37">
        <v>11.995609999999999</v>
      </c>
      <c r="HK142" s="37">
        <v>11.995609999999999</v>
      </c>
      <c r="HL142" s="37">
        <v>11.995609999999999</v>
      </c>
      <c r="HM142" s="37">
        <v>11.995609999999999</v>
      </c>
      <c r="HN142" s="37">
        <v>11.995609999999999</v>
      </c>
      <c r="HO142" s="37">
        <v>11.995609999999999</v>
      </c>
      <c r="HP142" s="37">
        <v>11.995609999999999</v>
      </c>
      <c r="HQ142" s="37">
        <v>11.995609999999999</v>
      </c>
      <c r="HR142" s="37">
        <v>11.995609999999999</v>
      </c>
      <c r="HS142" s="37">
        <v>11.995609999999999</v>
      </c>
      <c r="HT142" s="37">
        <v>11.995609999999999</v>
      </c>
      <c r="HU142" s="37">
        <v>11.995609999999999</v>
      </c>
      <c r="HV142" s="37">
        <v>11.995609999999999</v>
      </c>
      <c r="HW142" s="37">
        <v>11.995609999999999</v>
      </c>
      <c r="HX142" s="37">
        <v>11.995609999999999</v>
      </c>
      <c r="HY142" s="37">
        <v>11.995609999999999</v>
      </c>
      <c r="HZ142" s="37">
        <v>11.995609999999999</v>
      </c>
      <c r="IA142" s="37">
        <v>11.995609999999999</v>
      </c>
      <c r="IB142" s="37">
        <v>11.995609999999999</v>
      </c>
      <c r="IC142" s="37">
        <v>11.995609999999999</v>
      </c>
      <c r="ID142" s="37">
        <v>11.995609999999999</v>
      </c>
      <c r="IE142" s="37">
        <v>11.995609999999999</v>
      </c>
      <c r="IF142" s="37">
        <v>11.995609999999999</v>
      </c>
      <c r="IG142" s="37">
        <v>11.995609999999999</v>
      </c>
      <c r="IH142" s="37">
        <v>11.995609999999999</v>
      </c>
      <c r="II142" s="37">
        <v>11.995609999999999</v>
      </c>
      <c r="IJ142" s="37">
        <v>11.995609999999999</v>
      </c>
      <c r="IK142" s="37">
        <v>11.995609999999999</v>
      </c>
      <c r="IL142" s="37">
        <v>11.995609999999999</v>
      </c>
      <c r="IM142" s="37">
        <v>11.995609999999999</v>
      </c>
      <c r="IN142" s="37">
        <v>11.995609999999999</v>
      </c>
      <c r="IO142" s="37">
        <v>11.995609999999999</v>
      </c>
      <c r="IP142" s="37">
        <v>11.995609999999999</v>
      </c>
      <c r="IQ142" s="37">
        <v>11.995609999999999</v>
      </c>
      <c r="IR142" s="37">
        <v>11.995609999999999</v>
      </c>
      <c r="IS142" s="37">
        <v>11.995609999999999</v>
      </c>
      <c r="IT142" s="37">
        <v>11.995609999999999</v>
      </c>
      <c r="IU142" s="37">
        <v>11.995609999999999</v>
      </c>
      <c r="IV142" s="37">
        <v>11.995609999999999</v>
      </c>
      <c r="IW142" s="37">
        <v>11.995609999999999</v>
      </c>
      <c r="IX142" s="37">
        <v>11.995609999999999</v>
      </c>
      <c r="IY142" s="37">
        <v>11.995609999999999</v>
      </c>
      <c r="IZ142" s="37">
        <v>11.995609999999999</v>
      </c>
      <c r="JA142" s="37">
        <v>11.995609999999999</v>
      </c>
      <c r="JB142" s="37">
        <v>11.995609999999999</v>
      </c>
      <c r="JC142" s="37">
        <v>11.995609999999999</v>
      </c>
      <c r="JD142" s="37">
        <v>11.995609999999999</v>
      </c>
      <c r="JE142" s="37">
        <v>11.995609999999999</v>
      </c>
      <c r="JF142" s="37">
        <v>11.995609999999999</v>
      </c>
      <c r="JG142" s="37">
        <v>11.995609999999999</v>
      </c>
      <c r="JH142" s="37">
        <v>11.995609999999999</v>
      </c>
      <c r="JI142" s="37">
        <v>11.995609999999999</v>
      </c>
      <c r="JJ142" s="37">
        <v>11.995609999999999</v>
      </c>
      <c r="JK142" s="37">
        <v>11.995609999999999</v>
      </c>
      <c r="JL142" s="37">
        <v>11.995609999999999</v>
      </c>
      <c r="JM142" s="37">
        <v>11.995609999999999</v>
      </c>
      <c r="JN142" s="37">
        <v>11.995609999999999</v>
      </c>
      <c r="JO142" s="37">
        <v>11.995609999999999</v>
      </c>
      <c r="JP142" s="37">
        <v>11.995609999999999</v>
      </c>
      <c r="JQ142" s="37">
        <v>11.995609999999999</v>
      </c>
      <c r="JR142" s="37">
        <v>11.995609999999999</v>
      </c>
      <c r="JS142" s="37">
        <v>11.995609999999999</v>
      </c>
      <c r="JT142" s="37">
        <v>11.995609999999999</v>
      </c>
      <c r="JU142" s="37">
        <v>11.995609999999999</v>
      </c>
      <c r="JV142" s="37">
        <v>11.995609999999999</v>
      </c>
      <c r="JW142" s="37">
        <v>11.995609999999999</v>
      </c>
      <c r="JX142" s="37">
        <v>11.995609999999999</v>
      </c>
      <c r="JY142" s="37">
        <v>11.995609999999999</v>
      </c>
      <c r="JZ142" s="37">
        <v>11.995609999999999</v>
      </c>
      <c r="KA142" s="37">
        <v>11.995609999999999</v>
      </c>
      <c r="KB142" s="37">
        <v>11.995609999999999</v>
      </c>
      <c r="KC142" s="37">
        <v>11.995609999999999</v>
      </c>
      <c r="KD142" s="37">
        <v>11.995609999999999</v>
      </c>
      <c r="KE142" s="37">
        <v>11.995609999999999</v>
      </c>
      <c r="KF142" s="37">
        <v>11.995609999999999</v>
      </c>
      <c r="KG142" s="37">
        <v>11.995609999999999</v>
      </c>
      <c r="KH142" s="37">
        <v>11.995609999999999</v>
      </c>
      <c r="KI142" s="37">
        <v>11.995609999999999</v>
      </c>
      <c r="KJ142" s="37">
        <v>11.995609999999999</v>
      </c>
      <c r="KK142" s="37">
        <v>11.995609999999999</v>
      </c>
      <c r="KL142" s="37">
        <v>11.995609999999999</v>
      </c>
      <c r="KM142" s="37">
        <v>11.995609999999999</v>
      </c>
      <c r="KN142" s="37">
        <v>11.995609999999999</v>
      </c>
      <c r="KO142" s="37">
        <v>11.995609999999999</v>
      </c>
      <c r="KP142" s="37">
        <v>11.995609999999999</v>
      </c>
      <c r="KQ142" s="37">
        <v>11.995609999999999</v>
      </c>
      <c r="KR142" s="37">
        <v>11.995609999999999</v>
      </c>
      <c r="KS142" s="37">
        <v>11.995609999999999</v>
      </c>
      <c r="KT142" s="37">
        <v>11.995609999999999</v>
      </c>
      <c r="KU142" s="37">
        <v>11.995609999999999</v>
      </c>
      <c r="KV142" s="37">
        <v>11.995609999999999</v>
      </c>
      <c r="KW142" s="37">
        <v>11.995609999999999</v>
      </c>
      <c r="KX142" s="37">
        <v>11.995609999999999</v>
      </c>
      <c r="KY142" s="37">
        <v>11.995609999999999</v>
      </c>
      <c r="KZ142" s="37">
        <v>11.995609999999999</v>
      </c>
      <c r="LA142" s="37">
        <v>11.995609999999999</v>
      </c>
      <c r="LB142" s="37">
        <v>11.995609999999999</v>
      </c>
      <c r="LC142" s="37">
        <v>11.995609999999999</v>
      </c>
      <c r="LD142" s="37">
        <v>11.995609999999999</v>
      </c>
      <c r="LE142" s="37">
        <v>11.995609999999999</v>
      </c>
      <c r="LF142" s="37">
        <v>11.995609999999999</v>
      </c>
      <c r="LG142" s="37">
        <v>11.995609999999999</v>
      </c>
      <c r="LH142" s="37">
        <v>11.995609999999999</v>
      </c>
      <c r="LI142" s="37">
        <v>11.995609999999999</v>
      </c>
      <c r="LJ142" s="37">
        <v>11.995609999999999</v>
      </c>
      <c r="LK142" s="37">
        <v>11.995609999999999</v>
      </c>
      <c r="LL142" s="37">
        <v>11.995609999999999</v>
      </c>
      <c r="LM142" s="37">
        <v>11.995609999999999</v>
      </c>
      <c r="LN142" s="37">
        <v>11.995609999999999</v>
      </c>
      <c r="LO142" s="37">
        <v>11.995609999999999</v>
      </c>
      <c r="LP142" s="37">
        <v>11.995609999999999</v>
      </c>
      <c r="LQ142" s="37">
        <v>11.995609999999999</v>
      </c>
      <c r="LR142" s="37">
        <v>11.995609999999999</v>
      </c>
      <c r="LS142" s="37">
        <v>11.995609999999999</v>
      </c>
      <c r="LT142" s="37">
        <v>11.995609999999999</v>
      </c>
      <c r="LU142" s="37">
        <v>11.995609999999999</v>
      </c>
      <c r="LV142" s="37">
        <v>11.995609999999999</v>
      </c>
      <c r="LW142" s="37">
        <v>11.995609999999999</v>
      </c>
      <c r="LX142" s="37">
        <v>11.995609999999999</v>
      </c>
      <c r="LY142" s="37">
        <v>11.995609999999999</v>
      </c>
      <c r="LZ142" s="37">
        <v>11.995609999999999</v>
      </c>
      <c r="MA142" s="37">
        <v>11.995609999999999</v>
      </c>
      <c r="MB142" s="37">
        <v>11.995609999999999</v>
      </c>
      <c r="MC142" s="37">
        <v>11.995609999999999</v>
      </c>
      <c r="MD142" s="37">
        <v>11.995609999999999</v>
      </c>
      <c r="ME142" s="37">
        <v>11.995609999999999</v>
      </c>
      <c r="MF142" s="37">
        <v>11.995609999999999</v>
      </c>
      <c r="MG142" s="37">
        <v>11.995609999999999</v>
      </c>
      <c r="MH142" s="37">
        <v>11.995609999999999</v>
      </c>
      <c r="MI142" s="37">
        <v>11.995609999999999</v>
      </c>
      <c r="MJ142" s="37">
        <v>11.995609999999999</v>
      </c>
      <c r="MK142" s="37">
        <v>11.995609999999999</v>
      </c>
      <c r="ML142" s="37">
        <v>11.995609999999999</v>
      </c>
      <c r="MM142" s="37">
        <v>11.995609999999999</v>
      </c>
      <c r="MN142" s="37">
        <v>11.995609999999999</v>
      </c>
      <c r="MO142" s="37">
        <v>11.995609999999999</v>
      </c>
      <c r="MP142" s="37">
        <v>11.995609999999999</v>
      </c>
      <c r="MQ142" s="37">
        <v>11.995609999999999</v>
      </c>
      <c r="MR142" s="37">
        <v>11.995609999999999</v>
      </c>
      <c r="MS142" s="37">
        <v>11.995609999999999</v>
      </c>
      <c r="MT142" s="37">
        <v>11.995609999999999</v>
      </c>
      <c r="MU142" s="37">
        <v>11.995609999999999</v>
      </c>
      <c r="MV142" s="37">
        <v>11.995609999999999</v>
      </c>
      <c r="MW142" s="37">
        <v>11.995609999999999</v>
      </c>
      <c r="MX142" s="37">
        <v>11.995609999999999</v>
      </c>
      <c r="MY142" s="37">
        <v>11.995609999999999</v>
      </c>
      <c r="MZ142" s="37">
        <v>11.995609999999999</v>
      </c>
      <c r="NA142" s="37">
        <v>11.995609999999999</v>
      </c>
      <c r="NB142" s="37">
        <v>11.995609999999999</v>
      </c>
      <c r="NC142" s="37">
        <v>13.00596</v>
      </c>
      <c r="ND142" s="37">
        <v>0</v>
      </c>
    </row>
    <row r="143" spans="1:368" x14ac:dyDescent="0.2">
      <c r="A143" s="37">
        <v>141</v>
      </c>
      <c r="B143" s="37" t="s">
        <v>1169</v>
      </c>
      <c r="C143" s="17">
        <f>+'Detalle Compras'!D143</f>
        <v>20231229717</v>
      </c>
      <c r="D143" s="55">
        <f t="shared" si="19"/>
        <v>11.097735</v>
      </c>
      <c r="E143" s="14">
        <f>+IF(B143="","",'Detalle Compras'!S143+0)</f>
        <v>45483</v>
      </c>
      <c r="F143" s="14">
        <f>+IF(B143="","",EOMONTH('Detalle Compras'!Q143,G143)+10)</f>
        <v>10846</v>
      </c>
      <c r="G143" s="50">
        <f t="shared" si="20"/>
        <v>355</v>
      </c>
      <c r="H143" s="50">
        <f t="shared" si="21"/>
        <v>337</v>
      </c>
      <c r="I143" s="37">
        <v>0</v>
      </c>
      <c r="J143" s="37">
        <v>0</v>
      </c>
      <c r="K143" s="37">
        <v>0</v>
      </c>
      <c r="L143" s="37">
        <v>0</v>
      </c>
      <c r="M143" s="37">
        <v>11.097735</v>
      </c>
      <c r="N143" s="37">
        <v>11.097735</v>
      </c>
      <c r="O143" s="37">
        <v>11.097735</v>
      </c>
      <c r="P143" s="37">
        <v>11.097735</v>
      </c>
      <c r="Q143" s="37">
        <v>11.097735</v>
      </c>
      <c r="R143" s="37">
        <v>11.097735</v>
      </c>
      <c r="S143" s="37">
        <v>11.097735</v>
      </c>
      <c r="T143" s="37">
        <v>11.097735</v>
      </c>
      <c r="U143" s="37">
        <v>11.097735</v>
      </c>
      <c r="V143" s="37">
        <v>11.097735</v>
      </c>
      <c r="W143" s="37">
        <v>11.097735</v>
      </c>
      <c r="X143" s="37">
        <v>11.097735</v>
      </c>
      <c r="Y143" s="37">
        <v>11.097735</v>
      </c>
      <c r="Z143" s="37">
        <v>11.097735</v>
      </c>
      <c r="AA143" s="37">
        <v>11.097735</v>
      </c>
      <c r="AB143" s="37">
        <v>11.097735</v>
      </c>
      <c r="AC143" s="37">
        <v>11.097735</v>
      </c>
      <c r="AD143" s="37">
        <v>11.097735</v>
      </c>
      <c r="AE143" s="37">
        <v>11.097735</v>
      </c>
      <c r="AF143" s="37">
        <v>11.097735</v>
      </c>
      <c r="AG143" s="37">
        <v>11.097735</v>
      </c>
      <c r="AH143" s="37">
        <v>11.097735</v>
      </c>
      <c r="AI143" s="37">
        <v>11.097735</v>
      </c>
      <c r="AJ143" s="37">
        <v>11.097735</v>
      </c>
      <c r="AK143" s="37">
        <v>11.097735</v>
      </c>
      <c r="AL143" s="37">
        <v>11.097735</v>
      </c>
      <c r="AM143" s="37">
        <v>11.097735</v>
      </c>
      <c r="AN143" s="37">
        <v>11.097735</v>
      </c>
      <c r="AO143" s="37">
        <v>11.097735</v>
      </c>
      <c r="AP143" s="37">
        <v>11.097735</v>
      </c>
      <c r="AQ143" s="37">
        <v>11.097735</v>
      </c>
      <c r="AR143" s="37">
        <v>11.097735</v>
      </c>
      <c r="AS143" s="37">
        <v>11.097735</v>
      </c>
      <c r="AT143" s="37">
        <v>11.097735</v>
      </c>
      <c r="AU143" s="37">
        <v>11.097735</v>
      </c>
      <c r="AV143" s="37">
        <v>11.097735</v>
      </c>
      <c r="AW143" s="37">
        <v>11.097735</v>
      </c>
      <c r="AX143" s="37">
        <v>11.097735</v>
      </c>
      <c r="AY143" s="37">
        <v>11.097735</v>
      </c>
      <c r="AZ143" s="37">
        <v>11.097735</v>
      </c>
      <c r="BA143" s="37">
        <v>11.097735</v>
      </c>
      <c r="BB143" s="37">
        <v>11.097735</v>
      </c>
      <c r="BC143" s="37">
        <v>11.097735</v>
      </c>
      <c r="BD143" s="37">
        <v>11.097735</v>
      </c>
      <c r="BE143" s="37">
        <v>11.097735</v>
      </c>
      <c r="BF143" s="37">
        <v>11.097735</v>
      </c>
      <c r="BG143" s="37">
        <v>11.097735</v>
      </c>
      <c r="BH143" s="37">
        <v>11.097735</v>
      </c>
      <c r="BI143" s="37">
        <v>11.097735</v>
      </c>
      <c r="BJ143" s="37">
        <v>11.097735</v>
      </c>
      <c r="BK143" s="37">
        <v>11.097735</v>
      </c>
      <c r="BL143" s="37">
        <v>11.097735</v>
      </c>
      <c r="BM143" s="37">
        <v>11.097735</v>
      </c>
      <c r="BN143" s="37">
        <v>11.097735</v>
      </c>
      <c r="BO143" s="37">
        <v>11.097735</v>
      </c>
      <c r="BP143" s="37">
        <v>11.097735</v>
      </c>
      <c r="BQ143" s="37">
        <v>11.097735</v>
      </c>
      <c r="BR143" s="37">
        <v>11.097735</v>
      </c>
      <c r="BS143" s="37">
        <v>11.097735</v>
      </c>
      <c r="BT143" s="37">
        <v>11.097735</v>
      </c>
      <c r="BU143" s="37">
        <v>11.097735</v>
      </c>
      <c r="BV143" s="37">
        <v>11.097735</v>
      </c>
      <c r="BW143" s="37">
        <v>11.097735</v>
      </c>
      <c r="BX143" s="37">
        <v>11.097735</v>
      </c>
      <c r="BY143" s="37">
        <v>11.097735</v>
      </c>
      <c r="BZ143" s="37">
        <v>11.097735</v>
      </c>
      <c r="CA143" s="37">
        <v>11.097735</v>
      </c>
      <c r="CB143" s="37">
        <v>11.097735</v>
      </c>
      <c r="CC143" s="37">
        <v>11.097735</v>
      </c>
      <c r="CD143" s="37">
        <v>11.097735</v>
      </c>
      <c r="CE143" s="37">
        <v>11.097735</v>
      </c>
      <c r="CF143" s="37">
        <v>11.097735</v>
      </c>
      <c r="CG143" s="37">
        <v>11.097735</v>
      </c>
      <c r="CH143" s="37">
        <v>11.097735</v>
      </c>
      <c r="CI143" s="37">
        <v>11.097735</v>
      </c>
      <c r="CJ143" s="37">
        <v>11.097735</v>
      </c>
      <c r="CK143" s="37">
        <v>11.097735</v>
      </c>
      <c r="CL143" s="37">
        <v>11.097735</v>
      </c>
      <c r="CM143" s="37">
        <v>11.097735</v>
      </c>
      <c r="CN143" s="37">
        <v>11.097735</v>
      </c>
      <c r="CO143" s="37">
        <v>11.097735</v>
      </c>
      <c r="CP143" s="37">
        <v>11.097735</v>
      </c>
      <c r="CQ143" s="37">
        <v>11.097735</v>
      </c>
      <c r="CR143" s="37">
        <v>11.097735</v>
      </c>
      <c r="CS143" s="37">
        <v>11.097735</v>
      </c>
      <c r="CT143" s="37">
        <v>11.097735</v>
      </c>
      <c r="CU143" s="37">
        <v>11.097735</v>
      </c>
      <c r="CV143" s="37">
        <v>11.097735</v>
      </c>
      <c r="CW143" s="37">
        <v>11.097735</v>
      </c>
      <c r="CX143" s="37">
        <v>11.097735</v>
      </c>
      <c r="CY143" s="37">
        <v>11.097735</v>
      </c>
      <c r="CZ143" s="37">
        <v>11.097735</v>
      </c>
      <c r="DA143" s="37">
        <v>11.097735</v>
      </c>
      <c r="DB143" s="37">
        <v>11.097735</v>
      </c>
      <c r="DC143" s="37">
        <v>11.097735</v>
      </c>
      <c r="DD143" s="37">
        <v>11.097735</v>
      </c>
      <c r="DE143" s="37">
        <v>11.097735</v>
      </c>
      <c r="DF143" s="37">
        <v>11.097735</v>
      </c>
      <c r="DG143" s="37">
        <v>11.097735</v>
      </c>
      <c r="DH143" s="37">
        <v>11.097735</v>
      </c>
      <c r="DI143" s="37">
        <v>11.097735</v>
      </c>
      <c r="DJ143" s="37">
        <v>11.097735</v>
      </c>
      <c r="DK143" s="37">
        <v>11.097735</v>
      </c>
      <c r="DL143" s="37">
        <v>11.097735</v>
      </c>
      <c r="DM143" s="37">
        <v>11.097735</v>
      </c>
      <c r="DN143" s="37">
        <v>11.097735</v>
      </c>
      <c r="DO143" s="37">
        <v>11.097735</v>
      </c>
      <c r="DP143" s="37">
        <v>11.097735</v>
      </c>
      <c r="DQ143" s="37">
        <v>11.097735</v>
      </c>
      <c r="DR143" s="37">
        <v>11.097735</v>
      </c>
      <c r="DS143" s="37">
        <v>11.097735</v>
      </c>
      <c r="DT143" s="37">
        <v>11.097735</v>
      </c>
      <c r="DU143" s="37">
        <v>11.097735</v>
      </c>
      <c r="DV143" s="37">
        <v>11.097735</v>
      </c>
      <c r="DW143" s="37">
        <v>11.097735</v>
      </c>
      <c r="DX143" s="37">
        <v>11.097735</v>
      </c>
      <c r="DY143" s="37">
        <v>11.097735</v>
      </c>
      <c r="DZ143" s="37">
        <v>11.097735</v>
      </c>
      <c r="EA143" s="37">
        <v>11.097735</v>
      </c>
      <c r="EB143" s="37">
        <v>11.097735</v>
      </c>
      <c r="EC143" s="37">
        <v>11.097735</v>
      </c>
      <c r="ED143" s="37">
        <v>11.097735</v>
      </c>
      <c r="EE143" s="37">
        <v>11.097735</v>
      </c>
      <c r="EF143" s="37">
        <v>11.097735</v>
      </c>
      <c r="EG143" s="37">
        <v>11.097735</v>
      </c>
      <c r="EH143" s="37">
        <v>11.097735</v>
      </c>
      <c r="EI143" s="37">
        <v>11.097735</v>
      </c>
      <c r="EJ143" s="37">
        <v>11.097735</v>
      </c>
      <c r="EK143" s="37">
        <v>11.097735</v>
      </c>
      <c r="EL143" s="37">
        <v>11.097735</v>
      </c>
      <c r="EM143" s="37">
        <v>11.097735</v>
      </c>
      <c r="EN143" s="37">
        <v>11.097735</v>
      </c>
      <c r="EO143" s="37">
        <v>11.097735</v>
      </c>
      <c r="EP143" s="37">
        <v>11.097735</v>
      </c>
      <c r="EQ143" s="37">
        <v>11.097735</v>
      </c>
      <c r="ER143" s="37">
        <v>11.097735</v>
      </c>
      <c r="ES143" s="37">
        <v>11.097735</v>
      </c>
      <c r="ET143" s="37">
        <v>11.097735</v>
      </c>
      <c r="EU143" s="37">
        <v>11.097735</v>
      </c>
      <c r="EV143" s="37">
        <v>11.097735</v>
      </c>
      <c r="EW143" s="37">
        <v>11.097735</v>
      </c>
      <c r="EX143" s="37">
        <v>11.097735</v>
      </c>
      <c r="EY143" s="37">
        <v>11.097735</v>
      </c>
      <c r="EZ143" s="37">
        <v>11.097735</v>
      </c>
      <c r="FA143" s="37">
        <v>11.097735</v>
      </c>
      <c r="FB143" s="37">
        <v>11.097735</v>
      </c>
      <c r="FC143" s="37">
        <v>11.097735</v>
      </c>
      <c r="FD143" s="37">
        <v>11.097735</v>
      </c>
      <c r="FE143" s="37">
        <v>11.097735</v>
      </c>
      <c r="FF143" s="37">
        <v>11.097735</v>
      </c>
      <c r="FG143" s="37">
        <v>11.097735</v>
      </c>
      <c r="FH143" s="37">
        <v>11.097735</v>
      </c>
      <c r="FI143" s="37">
        <v>11.097735</v>
      </c>
      <c r="FJ143" s="37">
        <v>11.097735</v>
      </c>
      <c r="FK143" s="37">
        <v>11.097735</v>
      </c>
      <c r="FL143" s="37">
        <v>11.097735</v>
      </c>
      <c r="FM143" s="37">
        <v>11.097735</v>
      </c>
      <c r="FN143" s="37">
        <v>11.097735</v>
      </c>
      <c r="FO143" s="37">
        <v>11.097735</v>
      </c>
      <c r="FP143" s="37">
        <v>11.097735</v>
      </c>
      <c r="FQ143" s="37">
        <v>11.097735</v>
      </c>
      <c r="FR143" s="37">
        <v>11.097735</v>
      </c>
      <c r="FS143" s="37">
        <v>11.097735</v>
      </c>
      <c r="FT143" s="37">
        <v>11.097735</v>
      </c>
      <c r="FU143" s="37">
        <v>11.097735</v>
      </c>
      <c r="FV143" s="37">
        <v>11.097735</v>
      </c>
      <c r="FW143" s="37">
        <v>11.097735</v>
      </c>
      <c r="FX143" s="37">
        <v>11.097735</v>
      </c>
      <c r="FY143" s="37">
        <v>11.097735</v>
      </c>
      <c r="FZ143" s="37">
        <v>11.097735</v>
      </c>
      <c r="GA143" s="37">
        <v>11.097735</v>
      </c>
      <c r="GB143" s="37">
        <v>11.097735</v>
      </c>
      <c r="GC143" s="37">
        <v>11.097735</v>
      </c>
      <c r="GD143" s="37">
        <v>11.097735</v>
      </c>
      <c r="GE143" s="37">
        <v>11.097735</v>
      </c>
      <c r="GF143" s="37">
        <v>11.097735</v>
      </c>
      <c r="GG143" s="37">
        <v>11.097735</v>
      </c>
      <c r="GH143" s="37">
        <v>11.097735</v>
      </c>
      <c r="GI143" s="37">
        <v>11.097735</v>
      </c>
      <c r="GJ143" s="37">
        <v>11.097735</v>
      </c>
      <c r="GK143" s="37">
        <v>11.097735</v>
      </c>
      <c r="GL143" s="37">
        <v>11.097735</v>
      </c>
      <c r="GM143" s="37">
        <v>11.097735</v>
      </c>
      <c r="GN143" s="37">
        <v>11.097735</v>
      </c>
      <c r="GO143" s="37">
        <v>11.097735</v>
      </c>
      <c r="GP143" s="37">
        <v>11.097735</v>
      </c>
      <c r="GQ143" s="37">
        <v>11.097735</v>
      </c>
      <c r="GR143" s="37">
        <v>11.097735</v>
      </c>
      <c r="GS143" s="37">
        <v>11.097735</v>
      </c>
      <c r="GT143" s="37">
        <v>11.097735</v>
      </c>
      <c r="GU143" s="37">
        <v>11.097735</v>
      </c>
      <c r="GV143" s="37">
        <v>11.097735</v>
      </c>
      <c r="GW143" s="37">
        <v>11.097735</v>
      </c>
      <c r="GX143" s="37">
        <v>11.097735</v>
      </c>
      <c r="GY143" s="37">
        <v>11.097735</v>
      </c>
      <c r="GZ143" s="37">
        <v>11.097735</v>
      </c>
      <c r="HA143" s="37">
        <v>11.097735</v>
      </c>
      <c r="HB143" s="37">
        <v>11.097735</v>
      </c>
      <c r="HC143" s="37">
        <v>11.097735</v>
      </c>
      <c r="HD143" s="37">
        <v>11.097735</v>
      </c>
      <c r="HE143" s="37">
        <v>11.097735</v>
      </c>
      <c r="HF143" s="37">
        <v>11.097735</v>
      </c>
      <c r="HG143" s="37">
        <v>11.097735</v>
      </c>
      <c r="HH143" s="37">
        <v>11.097735</v>
      </c>
      <c r="HI143" s="37">
        <v>11.097735</v>
      </c>
      <c r="HJ143" s="37">
        <v>11.097735</v>
      </c>
      <c r="HK143" s="37">
        <v>11.097735</v>
      </c>
      <c r="HL143" s="37">
        <v>11.097735</v>
      </c>
      <c r="HM143" s="37">
        <v>11.097735</v>
      </c>
      <c r="HN143" s="37">
        <v>11.097735</v>
      </c>
      <c r="HO143" s="37">
        <v>11.097735</v>
      </c>
      <c r="HP143" s="37">
        <v>11.097735</v>
      </c>
      <c r="HQ143" s="37">
        <v>11.097735</v>
      </c>
      <c r="HR143" s="37">
        <v>11.097735</v>
      </c>
      <c r="HS143" s="37">
        <v>11.097735</v>
      </c>
      <c r="HT143" s="37">
        <v>11.097735</v>
      </c>
      <c r="HU143" s="37">
        <v>11.097735</v>
      </c>
      <c r="HV143" s="37">
        <v>11.097735</v>
      </c>
      <c r="HW143" s="37">
        <v>11.097735</v>
      </c>
      <c r="HX143" s="37">
        <v>11.097735</v>
      </c>
      <c r="HY143" s="37">
        <v>11.097735</v>
      </c>
      <c r="HZ143" s="37">
        <v>11.097735</v>
      </c>
      <c r="IA143" s="37">
        <v>11.097735</v>
      </c>
      <c r="IB143" s="37">
        <v>11.097735</v>
      </c>
      <c r="IC143" s="37">
        <v>11.097735</v>
      </c>
      <c r="ID143" s="37">
        <v>11.097735</v>
      </c>
      <c r="IE143" s="37">
        <v>11.097735</v>
      </c>
      <c r="IF143" s="37">
        <v>11.097735</v>
      </c>
      <c r="IG143" s="37">
        <v>11.097735</v>
      </c>
      <c r="IH143" s="37">
        <v>11.097735</v>
      </c>
      <c r="II143" s="37">
        <v>11.097735</v>
      </c>
      <c r="IJ143" s="37">
        <v>11.097735</v>
      </c>
      <c r="IK143" s="37">
        <v>11.097735</v>
      </c>
      <c r="IL143" s="37">
        <v>11.097735</v>
      </c>
      <c r="IM143" s="37">
        <v>11.097735</v>
      </c>
      <c r="IN143" s="37">
        <v>11.097735</v>
      </c>
      <c r="IO143" s="37">
        <v>11.097735</v>
      </c>
      <c r="IP143" s="37">
        <v>11.097735</v>
      </c>
      <c r="IQ143" s="37">
        <v>11.097735</v>
      </c>
      <c r="IR143" s="37">
        <v>11.097735</v>
      </c>
      <c r="IS143" s="37">
        <v>11.097735</v>
      </c>
      <c r="IT143" s="37">
        <v>11.097735</v>
      </c>
      <c r="IU143" s="37">
        <v>11.097735</v>
      </c>
      <c r="IV143" s="37">
        <v>11.097735</v>
      </c>
      <c r="IW143" s="37">
        <v>11.097735</v>
      </c>
      <c r="IX143" s="37">
        <v>11.097735</v>
      </c>
      <c r="IY143" s="37">
        <v>11.097735</v>
      </c>
      <c r="IZ143" s="37">
        <v>11.097735</v>
      </c>
      <c r="JA143" s="37">
        <v>11.097735</v>
      </c>
      <c r="JB143" s="37">
        <v>11.097735</v>
      </c>
      <c r="JC143" s="37">
        <v>11.097735</v>
      </c>
      <c r="JD143" s="37">
        <v>11.097735</v>
      </c>
      <c r="JE143" s="37">
        <v>11.097735</v>
      </c>
      <c r="JF143" s="37">
        <v>11.097735</v>
      </c>
      <c r="JG143" s="37">
        <v>11.097735</v>
      </c>
      <c r="JH143" s="37">
        <v>11.097735</v>
      </c>
      <c r="JI143" s="37">
        <v>11.097735</v>
      </c>
      <c r="JJ143" s="37">
        <v>11.097735</v>
      </c>
      <c r="JK143" s="37">
        <v>11.097735</v>
      </c>
      <c r="JL143" s="37">
        <v>11.097735</v>
      </c>
      <c r="JM143" s="37">
        <v>11.097735</v>
      </c>
      <c r="JN143" s="37">
        <v>11.097735</v>
      </c>
      <c r="JO143" s="37">
        <v>11.097735</v>
      </c>
      <c r="JP143" s="37">
        <v>11.097735</v>
      </c>
      <c r="JQ143" s="37">
        <v>11.097735</v>
      </c>
      <c r="JR143" s="37">
        <v>11.097735</v>
      </c>
      <c r="JS143" s="37">
        <v>11.097735</v>
      </c>
      <c r="JT143" s="37">
        <v>11.097735</v>
      </c>
      <c r="JU143" s="37">
        <v>11.097735</v>
      </c>
      <c r="JV143" s="37">
        <v>11.097735</v>
      </c>
      <c r="JW143" s="37">
        <v>11.097735</v>
      </c>
      <c r="JX143" s="37">
        <v>11.097735</v>
      </c>
      <c r="JY143" s="37">
        <v>11.097735</v>
      </c>
      <c r="JZ143" s="37">
        <v>11.097735</v>
      </c>
      <c r="KA143" s="37">
        <v>11.097735</v>
      </c>
      <c r="KB143" s="37">
        <v>11.097735</v>
      </c>
      <c r="KC143" s="37">
        <v>11.097735</v>
      </c>
      <c r="KD143" s="37">
        <v>11.097735</v>
      </c>
      <c r="KE143" s="37">
        <v>11.097735</v>
      </c>
      <c r="KF143" s="37">
        <v>11.097735</v>
      </c>
      <c r="KG143" s="37">
        <v>11.097735</v>
      </c>
      <c r="KH143" s="37">
        <v>11.097735</v>
      </c>
      <c r="KI143" s="37">
        <v>11.097735</v>
      </c>
      <c r="KJ143" s="37">
        <v>11.097735</v>
      </c>
      <c r="KK143" s="37">
        <v>11.097735</v>
      </c>
      <c r="KL143" s="37">
        <v>11.097735</v>
      </c>
      <c r="KM143" s="37">
        <v>11.097735</v>
      </c>
      <c r="KN143" s="37">
        <v>11.097735</v>
      </c>
      <c r="KO143" s="37">
        <v>11.097735</v>
      </c>
      <c r="KP143" s="37">
        <v>11.097735</v>
      </c>
      <c r="KQ143" s="37">
        <v>11.097735</v>
      </c>
      <c r="KR143" s="37">
        <v>11.097735</v>
      </c>
      <c r="KS143" s="37">
        <v>11.097735</v>
      </c>
      <c r="KT143" s="37">
        <v>11.097735</v>
      </c>
      <c r="KU143" s="37">
        <v>11.097735</v>
      </c>
      <c r="KV143" s="37">
        <v>11.097735</v>
      </c>
      <c r="KW143" s="37">
        <v>11.097735</v>
      </c>
      <c r="KX143" s="37">
        <v>11.097735</v>
      </c>
      <c r="KY143" s="37">
        <v>11.097735</v>
      </c>
      <c r="KZ143" s="37">
        <v>11.097735</v>
      </c>
      <c r="LA143" s="37">
        <v>11.097735</v>
      </c>
      <c r="LB143" s="37">
        <v>11.097735</v>
      </c>
      <c r="LC143" s="37">
        <v>11.097735</v>
      </c>
      <c r="LD143" s="37">
        <v>11.097735</v>
      </c>
      <c r="LE143" s="37">
        <v>11.097735</v>
      </c>
      <c r="LF143" s="37">
        <v>11.097735</v>
      </c>
      <c r="LG143" s="37">
        <v>11.097735</v>
      </c>
      <c r="LH143" s="37">
        <v>11.097735</v>
      </c>
      <c r="LI143" s="37">
        <v>11.097735</v>
      </c>
      <c r="LJ143" s="37">
        <v>11.097735</v>
      </c>
      <c r="LK143" s="37">
        <v>11.097735</v>
      </c>
      <c r="LL143" s="37">
        <v>11.097735</v>
      </c>
      <c r="LM143" s="37">
        <v>11.097735</v>
      </c>
      <c r="LN143" s="37">
        <v>11.097735</v>
      </c>
      <c r="LO143" s="37">
        <v>11.097735</v>
      </c>
      <c r="LP143" s="37">
        <v>11.097735</v>
      </c>
      <c r="LQ143" s="37">
        <v>11.097735</v>
      </c>
      <c r="LR143" s="37">
        <v>11.097735</v>
      </c>
      <c r="LS143" s="37">
        <v>11.097735</v>
      </c>
      <c r="LT143" s="37">
        <v>11.097735</v>
      </c>
      <c r="LU143" s="37">
        <v>11.097735</v>
      </c>
      <c r="LV143" s="37">
        <v>11.097735</v>
      </c>
      <c r="LW143" s="37">
        <v>11.097735</v>
      </c>
      <c r="LX143" s="37">
        <v>11.097735</v>
      </c>
      <c r="LY143" s="37">
        <v>11.097735</v>
      </c>
      <c r="LZ143" s="37">
        <v>11.097735</v>
      </c>
      <c r="MA143" s="37">
        <v>11.097735</v>
      </c>
      <c r="MB143" s="37">
        <v>11.097735</v>
      </c>
      <c r="MC143" s="37">
        <v>11.097735</v>
      </c>
      <c r="MD143" s="37">
        <v>11.097735</v>
      </c>
      <c r="ME143" s="37">
        <v>11.097735</v>
      </c>
      <c r="MF143" s="37">
        <v>11.097735</v>
      </c>
      <c r="MG143" s="37">
        <v>11.097735</v>
      </c>
      <c r="MH143" s="37">
        <v>11.097735</v>
      </c>
      <c r="MI143" s="37">
        <v>11.097735</v>
      </c>
      <c r="MJ143" s="37">
        <v>11.097735</v>
      </c>
      <c r="MK143" s="37">
        <v>11.097735</v>
      </c>
      <c r="ML143" s="37">
        <v>11.097735</v>
      </c>
      <c r="MM143" s="37">
        <v>11.097735</v>
      </c>
      <c r="MN143" s="37">
        <v>11.097735</v>
      </c>
      <c r="MO143" s="37">
        <v>11.097735</v>
      </c>
      <c r="MP143" s="37">
        <v>11.097735</v>
      </c>
      <c r="MQ143" s="37">
        <v>11.097735</v>
      </c>
      <c r="MR143" s="37">
        <v>11.097735</v>
      </c>
      <c r="MS143" s="37">
        <v>11.097735</v>
      </c>
      <c r="MT143" s="37">
        <v>11.097735</v>
      </c>
      <c r="MU143" s="37">
        <v>11.097735</v>
      </c>
      <c r="MV143" s="37">
        <v>11.097735</v>
      </c>
      <c r="MW143" s="37">
        <v>11.097735</v>
      </c>
      <c r="MX143" s="37">
        <v>11.097735</v>
      </c>
      <c r="MY143" s="37">
        <v>11.097735</v>
      </c>
      <c r="MZ143" s="37">
        <v>11.097735</v>
      </c>
      <c r="NA143" s="37">
        <v>11.097735</v>
      </c>
      <c r="NB143" s="37">
        <v>11.097735</v>
      </c>
      <c r="NC143" s="37">
        <v>12.03246</v>
      </c>
      <c r="ND143" s="37">
        <v>0</v>
      </c>
    </row>
    <row r="144" spans="1:368" x14ac:dyDescent="0.2">
      <c r="A144" s="37">
        <v>142</v>
      </c>
      <c r="B144" s="37" t="s">
        <v>1174</v>
      </c>
      <c r="C144" s="17">
        <f>+'Detalle Compras'!D144</f>
        <v>20231229718</v>
      </c>
      <c r="D144" s="55">
        <f t="shared" si="19"/>
        <v>14.366</v>
      </c>
      <c r="E144" s="14">
        <f>+IF(B144="","",'Detalle Compras'!S144+0)</f>
        <v>45483</v>
      </c>
      <c r="F144" s="14">
        <f>+IF(B144="","",EOMONTH('Detalle Compras'!Q144,G144)+10)</f>
        <v>10846</v>
      </c>
      <c r="G144" s="50">
        <f t="shared" si="20"/>
        <v>355</v>
      </c>
      <c r="H144" s="50">
        <f t="shared" si="21"/>
        <v>337</v>
      </c>
      <c r="I144" s="37">
        <v>0</v>
      </c>
      <c r="J144" s="37">
        <v>0</v>
      </c>
      <c r="K144" s="37">
        <v>0</v>
      </c>
      <c r="L144" s="37">
        <v>0</v>
      </c>
      <c r="M144" s="37">
        <v>14.366</v>
      </c>
      <c r="N144" s="37">
        <v>14.366</v>
      </c>
      <c r="O144" s="37">
        <v>14.366</v>
      </c>
      <c r="P144" s="37">
        <v>14.366</v>
      </c>
      <c r="Q144" s="37">
        <v>14.366</v>
      </c>
      <c r="R144" s="37">
        <v>14.366</v>
      </c>
      <c r="S144" s="37">
        <v>14.366</v>
      </c>
      <c r="T144" s="37">
        <v>14.366</v>
      </c>
      <c r="U144" s="37">
        <v>14.366</v>
      </c>
      <c r="V144" s="37">
        <v>14.366</v>
      </c>
      <c r="W144" s="37">
        <v>14.366</v>
      </c>
      <c r="X144" s="37">
        <v>14.366</v>
      </c>
      <c r="Y144" s="37">
        <v>14.366</v>
      </c>
      <c r="Z144" s="37">
        <v>14.366</v>
      </c>
      <c r="AA144" s="37">
        <v>14.366</v>
      </c>
      <c r="AB144" s="37">
        <v>14.366</v>
      </c>
      <c r="AC144" s="37">
        <v>14.366</v>
      </c>
      <c r="AD144" s="37">
        <v>14.366</v>
      </c>
      <c r="AE144" s="37">
        <v>14.366</v>
      </c>
      <c r="AF144" s="37">
        <v>14.366</v>
      </c>
      <c r="AG144" s="37">
        <v>14.366</v>
      </c>
      <c r="AH144" s="37">
        <v>14.366</v>
      </c>
      <c r="AI144" s="37">
        <v>14.366</v>
      </c>
      <c r="AJ144" s="37">
        <v>14.366</v>
      </c>
      <c r="AK144" s="37">
        <v>14.366</v>
      </c>
      <c r="AL144" s="37">
        <v>14.366</v>
      </c>
      <c r="AM144" s="37">
        <v>14.366</v>
      </c>
      <c r="AN144" s="37">
        <v>14.366</v>
      </c>
      <c r="AO144" s="37">
        <v>14.366</v>
      </c>
      <c r="AP144" s="37">
        <v>14.366</v>
      </c>
      <c r="AQ144" s="37">
        <v>14.366</v>
      </c>
      <c r="AR144" s="37">
        <v>14.366</v>
      </c>
      <c r="AS144" s="37">
        <v>14.366</v>
      </c>
      <c r="AT144" s="37">
        <v>14.366</v>
      </c>
      <c r="AU144" s="37">
        <v>14.366</v>
      </c>
      <c r="AV144" s="37">
        <v>14.366</v>
      </c>
      <c r="AW144" s="37">
        <v>14.366</v>
      </c>
      <c r="AX144" s="37">
        <v>14.366</v>
      </c>
      <c r="AY144" s="37">
        <v>14.366</v>
      </c>
      <c r="AZ144" s="37">
        <v>14.366</v>
      </c>
      <c r="BA144" s="37">
        <v>14.366</v>
      </c>
      <c r="BB144" s="37">
        <v>14.366</v>
      </c>
      <c r="BC144" s="37">
        <v>14.366</v>
      </c>
      <c r="BD144" s="37">
        <v>14.366</v>
      </c>
      <c r="BE144" s="37">
        <v>14.366</v>
      </c>
      <c r="BF144" s="37">
        <v>14.366</v>
      </c>
      <c r="BG144" s="37">
        <v>14.366</v>
      </c>
      <c r="BH144" s="37">
        <v>14.366</v>
      </c>
      <c r="BI144" s="37">
        <v>14.366</v>
      </c>
      <c r="BJ144" s="37">
        <v>14.366</v>
      </c>
      <c r="BK144" s="37">
        <v>14.366</v>
      </c>
      <c r="BL144" s="37">
        <v>14.366</v>
      </c>
      <c r="BM144" s="37">
        <v>14.366</v>
      </c>
      <c r="BN144" s="37">
        <v>14.366</v>
      </c>
      <c r="BO144" s="37">
        <v>14.366</v>
      </c>
      <c r="BP144" s="37">
        <v>14.366</v>
      </c>
      <c r="BQ144" s="37">
        <v>14.366</v>
      </c>
      <c r="BR144" s="37">
        <v>14.366</v>
      </c>
      <c r="BS144" s="37">
        <v>14.366</v>
      </c>
      <c r="BT144" s="37">
        <v>14.366</v>
      </c>
      <c r="BU144" s="37">
        <v>14.366</v>
      </c>
      <c r="BV144" s="37">
        <v>14.366</v>
      </c>
      <c r="BW144" s="37">
        <v>14.366</v>
      </c>
      <c r="BX144" s="37">
        <v>14.366</v>
      </c>
      <c r="BY144" s="37">
        <v>14.366</v>
      </c>
      <c r="BZ144" s="37">
        <v>14.366</v>
      </c>
      <c r="CA144" s="37">
        <v>14.366</v>
      </c>
      <c r="CB144" s="37">
        <v>14.366</v>
      </c>
      <c r="CC144" s="37">
        <v>14.366</v>
      </c>
      <c r="CD144" s="37">
        <v>14.366</v>
      </c>
      <c r="CE144" s="37">
        <v>14.366</v>
      </c>
      <c r="CF144" s="37">
        <v>14.366</v>
      </c>
      <c r="CG144" s="37">
        <v>14.366</v>
      </c>
      <c r="CH144" s="37">
        <v>14.366</v>
      </c>
      <c r="CI144" s="37">
        <v>14.366</v>
      </c>
      <c r="CJ144" s="37">
        <v>14.366</v>
      </c>
      <c r="CK144" s="37">
        <v>14.366</v>
      </c>
      <c r="CL144" s="37">
        <v>14.366</v>
      </c>
      <c r="CM144" s="37">
        <v>14.366</v>
      </c>
      <c r="CN144" s="37">
        <v>14.366</v>
      </c>
      <c r="CO144" s="37">
        <v>14.366</v>
      </c>
      <c r="CP144" s="37">
        <v>14.366</v>
      </c>
      <c r="CQ144" s="37">
        <v>14.366</v>
      </c>
      <c r="CR144" s="37">
        <v>14.366</v>
      </c>
      <c r="CS144" s="37">
        <v>14.366</v>
      </c>
      <c r="CT144" s="37">
        <v>14.366</v>
      </c>
      <c r="CU144" s="37">
        <v>14.366</v>
      </c>
      <c r="CV144" s="37">
        <v>14.366</v>
      </c>
      <c r="CW144" s="37">
        <v>14.366</v>
      </c>
      <c r="CX144" s="37">
        <v>14.366</v>
      </c>
      <c r="CY144" s="37">
        <v>14.366</v>
      </c>
      <c r="CZ144" s="37">
        <v>14.366</v>
      </c>
      <c r="DA144" s="37">
        <v>14.366</v>
      </c>
      <c r="DB144" s="37">
        <v>14.366</v>
      </c>
      <c r="DC144" s="37">
        <v>14.366</v>
      </c>
      <c r="DD144" s="37">
        <v>14.366</v>
      </c>
      <c r="DE144" s="37">
        <v>14.366</v>
      </c>
      <c r="DF144" s="37">
        <v>14.366</v>
      </c>
      <c r="DG144" s="37">
        <v>14.366</v>
      </c>
      <c r="DH144" s="37">
        <v>14.366</v>
      </c>
      <c r="DI144" s="37">
        <v>14.366</v>
      </c>
      <c r="DJ144" s="37">
        <v>14.366</v>
      </c>
      <c r="DK144" s="37">
        <v>14.366</v>
      </c>
      <c r="DL144" s="37">
        <v>14.366</v>
      </c>
      <c r="DM144" s="37">
        <v>14.366</v>
      </c>
      <c r="DN144" s="37">
        <v>14.366</v>
      </c>
      <c r="DO144" s="37">
        <v>14.366</v>
      </c>
      <c r="DP144" s="37">
        <v>14.366</v>
      </c>
      <c r="DQ144" s="37">
        <v>14.366</v>
      </c>
      <c r="DR144" s="37">
        <v>14.366</v>
      </c>
      <c r="DS144" s="37">
        <v>14.366</v>
      </c>
      <c r="DT144" s="37">
        <v>14.366</v>
      </c>
      <c r="DU144" s="37">
        <v>14.366</v>
      </c>
      <c r="DV144" s="37">
        <v>14.366</v>
      </c>
      <c r="DW144" s="37">
        <v>14.366</v>
      </c>
      <c r="DX144" s="37">
        <v>14.366</v>
      </c>
      <c r="DY144" s="37">
        <v>14.366</v>
      </c>
      <c r="DZ144" s="37">
        <v>14.366</v>
      </c>
      <c r="EA144" s="37">
        <v>14.366</v>
      </c>
      <c r="EB144" s="37">
        <v>14.366</v>
      </c>
      <c r="EC144" s="37">
        <v>14.366</v>
      </c>
      <c r="ED144" s="37">
        <v>14.366</v>
      </c>
      <c r="EE144" s="37">
        <v>14.366</v>
      </c>
      <c r="EF144" s="37">
        <v>14.366</v>
      </c>
      <c r="EG144" s="37">
        <v>14.366</v>
      </c>
      <c r="EH144" s="37">
        <v>14.366</v>
      </c>
      <c r="EI144" s="37">
        <v>14.366</v>
      </c>
      <c r="EJ144" s="37">
        <v>14.366</v>
      </c>
      <c r="EK144" s="37">
        <v>14.366</v>
      </c>
      <c r="EL144" s="37">
        <v>14.366</v>
      </c>
      <c r="EM144" s="37">
        <v>14.366</v>
      </c>
      <c r="EN144" s="37">
        <v>14.366</v>
      </c>
      <c r="EO144" s="37">
        <v>14.366</v>
      </c>
      <c r="EP144" s="37">
        <v>14.366</v>
      </c>
      <c r="EQ144" s="37">
        <v>14.366</v>
      </c>
      <c r="ER144" s="37">
        <v>14.366</v>
      </c>
      <c r="ES144" s="37">
        <v>14.366</v>
      </c>
      <c r="ET144" s="37">
        <v>14.366</v>
      </c>
      <c r="EU144" s="37">
        <v>14.366</v>
      </c>
      <c r="EV144" s="37">
        <v>14.366</v>
      </c>
      <c r="EW144" s="37">
        <v>14.366</v>
      </c>
      <c r="EX144" s="37">
        <v>14.366</v>
      </c>
      <c r="EY144" s="37">
        <v>14.366</v>
      </c>
      <c r="EZ144" s="37">
        <v>14.366</v>
      </c>
      <c r="FA144" s="37">
        <v>14.366</v>
      </c>
      <c r="FB144" s="37">
        <v>14.366</v>
      </c>
      <c r="FC144" s="37">
        <v>14.366</v>
      </c>
      <c r="FD144" s="37">
        <v>14.366</v>
      </c>
      <c r="FE144" s="37">
        <v>14.366</v>
      </c>
      <c r="FF144" s="37">
        <v>14.366</v>
      </c>
      <c r="FG144" s="37">
        <v>14.366</v>
      </c>
      <c r="FH144" s="37">
        <v>14.366</v>
      </c>
      <c r="FI144" s="37">
        <v>14.366</v>
      </c>
      <c r="FJ144" s="37">
        <v>14.366</v>
      </c>
      <c r="FK144" s="37">
        <v>14.366</v>
      </c>
      <c r="FL144" s="37">
        <v>14.366</v>
      </c>
      <c r="FM144" s="37">
        <v>14.366</v>
      </c>
      <c r="FN144" s="37">
        <v>14.366</v>
      </c>
      <c r="FO144" s="37">
        <v>14.366</v>
      </c>
      <c r="FP144" s="37">
        <v>14.366</v>
      </c>
      <c r="FQ144" s="37">
        <v>14.366</v>
      </c>
      <c r="FR144" s="37">
        <v>14.366</v>
      </c>
      <c r="FS144" s="37">
        <v>14.366</v>
      </c>
      <c r="FT144" s="37">
        <v>14.366</v>
      </c>
      <c r="FU144" s="37">
        <v>14.366</v>
      </c>
      <c r="FV144" s="37">
        <v>14.366</v>
      </c>
      <c r="FW144" s="37">
        <v>14.366</v>
      </c>
      <c r="FX144" s="37">
        <v>14.366</v>
      </c>
      <c r="FY144" s="37">
        <v>14.366</v>
      </c>
      <c r="FZ144" s="37">
        <v>14.366</v>
      </c>
      <c r="GA144" s="37">
        <v>14.366</v>
      </c>
      <c r="GB144" s="37">
        <v>14.366</v>
      </c>
      <c r="GC144" s="37">
        <v>14.366</v>
      </c>
      <c r="GD144" s="37">
        <v>14.366</v>
      </c>
      <c r="GE144" s="37">
        <v>14.366</v>
      </c>
      <c r="GF144" s="37">
        <v>14.366</v>
      </c>
      <c r="GG144" s="37">
        <v>14.366</v>
      </c>
      <c r="GH144" s="37">
        <v>14.366</v>
      </c>
      <c r="GI144" s="37">
        <v>14.366</v>
      </c>
      <c r="GJ144" s="37">
        <v>14.366</v>
      </c>
      <c r="GK144" s="37">
        <v>14.366</v>
      </c>
      <c r="GL144" s="37">
        <v>14.366</v>
      </c>
      <c r="GM144" s="37">
        <v>14.366</v>
      </c>
      <c r="GN144" s="37">
        <v>14.366</v>
      </c>
      <c r="GO144" s="37">
        <v>14.366</v>
      </c>
      <c r="GP144" s="37">
        <v>14.366</v>
      </c>
      <c r="GQ144" s="37">
        <v>14.366</v>
      </c>
      <c r="GR144" s="37">
        <v>14.366</v>
      </c>
      <c r="GS144" s="37">
        <v>14.366</v>
      </c>
      <c r="GT144" s="37">
        <v>14.366</v>
      </c>
      <c r="GU144" s="37">
        <v>14.366</v>
      </c>
      <c r="GV144" s="37">
        <v>14.366</v>
      </c>
      <c r="GW144" s="37">
        <v>14.366</v>
      </c>
      <c r="GX144" s="37">
        <v>14.366</v>
      </c>
      <c r="GY144" s="37">
        <v>14.366</v>
      </c>
      <c r="GZ144" s="37">
        <v>14.366</v>
      </c>
      <c r="HA144" s="37">
        <v>14.366</v>
      </c>
      <c r="HB144" s="37">
        <v>14.366</v>
      </c>
      <c r="HC144" s="37">
        <v>14.366</v>
      </c>
      <c r="HD144" s="37">
        <v>14.366</v>
      </c>
      <c r="HE144" s="37">
        <v>14.366</v>
      </c>
      <c r="HF144" s="37">
        <v>14.366</v>
      </c>
      <c r="HG144" s="37">
        <v>14.366</v>
      </c>
      <c r="HH144" s="37">
        <v>14.366</v>
      </c>
      <c r="HI144" s="37">
        <v>14.366</v>
      </c>
      <c r="HJ144" s="37">
        <v>14.366</v>
      </c>
      <c r="HK144" s="37">
        <v>14.366</v>
      </c>
      <c r="HL144" s="37">
        <v>14.366</v>
      </c>
      <c r="HM144" s="37">
        <v>14.366</v>
      </c>
      <c r="HN144" s="37">
        <v>14.366</v>
      </c>
      <c r="HO144" s="37">
        <v>14.366</v>
      </c>
      <c r="HP144" s="37">
        <v>14.366</v>
      </c>
      <c r="HQ144" s="37">
        <v>14.366</v>
      </c>
      <c r="HR144" s="37">
        <v>14.366</v>
      </c>
      <c r="HS144" s="37">
        <v>14.366</v>
      </c>
      <c r="HT144" s="37">
        <v>14.366</v>
      </c>
      <c r="HU144" s="37">
        <v>14.366</v>
      </c>
      <c r="HV144" s="37">
        <v>14.366</v>
      </c>
      <c r="HW144" s="37">
        <v>14.366</v>
      </c>
      <c r="HX144" s="37">
        <v>14.366</v>
      </c>
      <c r="HY144" s="37">
        <v>14.366</v>
      </c>
      <c r="HZ144" s="37">
        <v>14.366</v>
      </c>
      <c r="IA144" s="37">
        <v>14.366</v>
      </c>
      <c r="IB144" s="37">
        <v>14.366</v>
      </c>
      <c r="IC144" s="37">
        <v>14.366</v>
      </c>
      <c r="ID144" s="37">
        <v>14.366</v>
      </c>
      <c r="IE144" s="37">
        <v>14.366</v>
      </c>
      <c r="IF144" s="37">
        <v>14.366</v>
      </c>
      <c r="IG144" s="37">
        <v>14.366</v>
      </c>
      <c r="IH144" s="37">
        <v>14.366</v>
      </c>
      <c r="II144" s="37">
        <v>14.366</v>
      </c>
      <c r="IJ144" s="37">
        <v>14.366</v>
      </c>
      <c r="IK144" s="37">
        <v>14.366</v>
      </c>
      <c r="IL144" s="37">
        <v>14.366</v>
      </c>
      <c r="IM144" s="37">
        <v>14.366</v>
      </c>
      <c r="IN144" s="37">
        <v>14.366</v>
      </c>
      <c r="IO144" s="37">
        <v>14.366</v>
      </c>
      <c r="IP144" s="37">
        <v>14.366</v>
      </c>
      <c r="IQ144" s="37">
        <v>14.366</v>
      </c>
      <c r="IR144" s="37">
        <v>14.366</v>
      </c>
      <c r="IS144" s="37">
        <v>14.366</v>
      </c>
      <c r="IT144" s="37">
        <v>14.366</v>
      </c>
      <c r="IU144" s="37">
        <v>14.366</v>
      </c>
      <c r="IV144" s="37">
        <v>14.366</v>
      </c>
      <c r="IW144" s="37">
        <v>14.366</v>
      </c>
      <c r="IX144" s="37">
        <v>14.366</v>
      </c>
      <c r="IY144" s="37">
        <v>14.366</v>
      </c>
      <c r="IZ144" s="37">
        <v>14.366</v>
      </c>
      <c r="JA144" s="37">
        <v>14.366</v>
      </c>
      <c r="JB144" s="37">
        <v>14.366</v>
      </c>
      <c r="JC144" s="37">
        <v>14.366</v>
      </c>
      <c r="JD144" s="37">
        <v>14.366</v>
      </c>
      <c r="JE144" s="37">
        <v>14.366</v>
      </c>
      <c r="JF144" s="37">
        <v>14.366</v>
      </c>
      <c r="JG144" s="37">
        <v>14.366</v>
      </c>
      <c r="JH144" s="37">
        <v>14.366</v>
      </c>
      <c r="JI144" s="37">
        <v>14.366</v>
      </c>
      <c r="JJ144" s="37">
        <v>14.366</v>
      </c>
      <c r="JK144" s="37">
        <v>14.366</v>
      </c>
      <c r="JL144" s="37">
        <v>14.366</v>
      </c>
      <c r="JM144" s="37">
        <v>14.366</v>
      </c>
      <c r="JN144" s="37">
        <v>14.366</v>
      </c>
      <c r="JO144" s="37">
        <v>14.366</v>
      </c>
      <c r="JP144" s="37">
        <v>14.366</v>
      </c>
      <c r="JQ144" s="37">
        <v>14.366</v>
      </c>
      <c r="JR144" s="37">
        <v>14.366</v>
      </c>
      <c r="JS144" s="37">
        <v>14.366</v>
      </c>
      <c r="JT144" s="37">
        <v>14.366</v>
      </c>
      <c r="JU144" s="37">
        <v>14.366</v>
      </c>
      <c r="JV144" s="37">
        <v>14.366</v>
      </c>
      <c r="JW144" s="37">
        <v>14.366</v>
      </c>
      <c r="JX144" s="37">
        <v>14.366</v>
      </c>
      <c r="JY144" s="37">
        <v>14.366</v>
      </c>
      <c r="JZ144" s="37">
        <v>14.366</v>
      </c>
      <c r="KA144" s="37">
        <v>14.366</v>
      </c>
      <c r="KB144" s="37">
        <v>14.366</v>
      </c>
      <c r="KC144" s="37">
        <v>14.366</v>
      </c>
      <c r="KD144" s="37">
        <v>14.366</v>
      </c>
      <c r="KE144" s="37">
        <v>14.366</v>
      </c>
      <c r="KF144" s="37">
        <v>14.366</v>
      </c>
      <c r="KG144" s="37">
        <v>14.366</v>
      </c>
      <c r="KH144" s="37">
        <v>14.366</v>
      </c>
      <c r="KI144" s="37">
        <v>14.366</v>
      </c>
      <c r="KJ144" s="37">
        <v>14.366</v>
      </c>
      <c r="KK144" s="37">
        <v>14.366</v>
      </c>
      <c r="KL144" s="37">
        <v>14.366</v>
      </c>
      <c r="KM144" s="37">
        <v>14.366</v>
      </c>
      <c r="KN144" s="37">
        <v>14.366</v>
      </c>
      <c r="KO144" s="37">
        <v>14.366</v>
      </c>
      <c r="KP144" s="37">
        <v>14.366</v>
      </c>
      <c r="KQ144" s="37">
        <v>14.366</v>
      </c>
      <c r="KR144" s="37">
        <v>14.366</v>
      </c>
      <c r="KS144" s="37">
        <v>14.366</v>
      </c>
      <c r="KT144" s="37">
        <v>14.366</v>
      </c>
      <c r="KU144" s="37">
        <v>14.366</v>
      </c>
      <c r="KV144" s="37">
        <v>14.366</v>
      </c>
      <c r="KW144" s="37">
        <v>14.366</v>
      </c>
      <c r="KX144" s="37">
        <v>14.366</v>
      </c>
      <c r="KY144" s="37">
        <v>14.366</v>
      </c>
      <c r="KZ144" s="37">
        <v>14.366</v>
      </c>
      <c r="LA144" s="37">
        <v>14.366</v>
      </c>
      <c r="LB144" s="37">
        <v>14.366</v>
      </c>
      <c r="LC144" s="37">
        <v>14.366</v>
      </c>
      <c r="LD144" s="37">
        <v>14.366</v>
      </c>
      <c r="LE144" s="37">
        <v>14.366</v>
      </c>
      <c r="LF144" s="37">
        <v>14.366</v>
      </c>
      <c r="LG144" s="37">
        <v>14.366</v>
      </c>
      <c r="LH144" s="37">
        <v>14.366</v>
      </c>
      <c r="LI144" s="37">
        <v>14.366</v>
      </c>
      <c r="LJ144" s="37">
        <v>14.366</v>
      </c>
      <c r="LK144" s="37">
        <v>14.366</v>
      </c>
      <c r="LL144" s="37">
        <v>14.366</v>
      </c>
      <c r="LM144" s="37">
        <v>14.366</v>
      </c>
      <c r="LN144" s="37">
        <v>14.366</v>
      </c>
      <c r="LO144" s="37">
        <v>14.366</v>
      </c>
      <c r="LP144" s="37">
        <v>14.366</v>
      </c>
      <c r="LQ144" s="37">
        <v>14.366</v>
      </c>
      <c r="LR144" s="37">
        <v>14.366</v>
      </c>
      <c r="LS144" s="37">
        <v>14.366</v>
      </c>
      <c r="LT144" s="37">
        <v>14.366</v>
      </c>
      <c r="LU144" s="37">
        <v>14.366</v>
      </c>
      <c r="LV144" s="37">
        <v>14.366</v>
      </c>
      <c r="LW144" s="37">
        <v>14.366</v>
      </c>
      <c r="LX144" s="37">
        <v>14.366</v>
      </c>
      <c r="LY144" s="37">
        <v>14.366</v>
      </c>
      <c r="LZ144" s="37">
        <v>14.366</v>
      </c>
      <c r="MA144" s="37">
        <v>14.366</v>
      </c>
      <c r="MB144" s="37">
        <v>14.366</v>
      </c>
      <c r="MC144" s="37">
        <v>14.366</v>
      </c>
      <c r="MD144" s="37">
        <v>14.366</v>
      </c>
      <c r="ME144" s="37">
        <v>14.366</v>
      </c>
      <c r="MF144" s="37">
        <v>14.366</v>
      </c>
      <c r="MG144" s="37">
        <v>14.366</v>
      </c>
      <c r="MH144" s="37">
        <v>14.366</v>
      </c>
      <c r="MI144" s="37">
        <v>14.366</v>
      </c>
      <c r="MJ144" s="37">
        <v>14.366</v>
      </c>
      <c r="MK144" s="37">
        <v>14.366</v>
      </c>
      <c r="ML144" s="37">
        <v>14.366</v>
      </c>
      <c r="MM144" s="37">
        <v>14.366</v>
      </c>
      <c r="MN144" s="37">
        <v>14.366</v>
      </c>
      <c r="MO144" s="37">
        <v>14.366</v>
      </c>
      <c r="MP144" s="37">
        <v>14.366</v>
      </c>
      <c r="MQ144" s="37">
        <v>14.366</v>
      </c>
      <c r="MR144" s="37">
        <v>14.366</v>
      </c>
      <c r="MS144" s="37">
        <v>14.366</v>
      </c>
      <c r="MT144" s="37">
        <v>14.366</v>
      </c>
      <c r="MU144" s="37">
        <v>14.366</v>
      </c>
      <c r="MV144" s="37">
        <v>14.366</v>
      </c>
      <c r="MW144" s="37">
        <v>14.366</v>
      </c>
      <c r="MX144" s="37">
        <v>14.366</v>
      </c>
      <c r="MY144" s="37">
        <v>14.366</v>
      </c>
      <c r="MZ144" s="37">
        <v>14.366</v>
      </c>
      <c r="NA144" s="37">
        <v>14.366</v>
      </c>
      <c r="NB144" s="37">
        <v>14.366</v>
      </c>
      <c r="NC144" s="37">
        <v>15.576000000000001</v>
      </c>
      <c r="ND144" s="37">
        <v>0</v>
      </c>
    </row>
    <row r="145" spans="1:372" x14ac:dyDescent="0.2">
      <c r="A145" s="37">
        <v>143</v>
      </c>
      <c r="B145" s="37" t="s">
        <v>1179</v>
      </c>
      <c r="C145" s="17">
        <f>+'Detalle Compras'!D145</f>
        <v>20231229720</v>
      </c>
      <c r="D145" s="55">
        <f t="shared" si="19"/>
        <v>12.64208</v>
      </c>
      <c r="E145" s="14">
        <f>+IF(B145="","",'Detalle Compras'!S145+0)</f>
        <v>45483</v>
      </c>
      <c r="F145" s="14">
        <f>+IF(B145="","",EOMONTH('Detalle Compras'!Q145,G145)+10)</f>
        <v>10846</v>
      </c>
      <c r="G145" s="50">
        <f t="shared" si="20"/>
        <v>355</v>
      </c>
      <c r="H145" s="50">
        <f t="shared" si="21"/>
        <v>337</v>
      </c>
      <c r="I145" s="37">
        <v>0</v>
      </c>
      <c r="J145" s="37">
        <v>0</v>
      </c>
      <c r="K145" s="37">
        <v>0</v>
      </c>
      <c r="L145" s="37">
        <v>0</v>
      </c>
      <c r="M145" s="37">
        <v>12.64208</v>
      </c>
      <c r="N145" s="37">
        <v>12.64208</v>
      </c>
      <c r="O145" s="37">
        <v>12.64208</v>
      </c>
      <c r="P145" s="37">
        <v>12.64208</v>
      </c>
      <c r="Q145" s="37">
        <v>12.64208</v>
      </c>
      <c r="R145" s="37">
        <v>12.64208</v>
      </c>
      <c r="S145" s="37">
        <v>12.64208</v>
      </c>
      <c r="T145" s="37">
        <v>12.64208</v>
      </c>
      <c r="U145" s="37">
        <v>12.64208</v>
      </c>
      <c r="V145" s="37">
        <v>12.64208</v>
      </c>
      <c r="W145" s="37">
        <v>12.64208</v>
      </c>
      <c r="X145" s="37">
        <v>12.64208</v>
      </c>
      <c r="Y145" s="37">
        <v>12.64208</v>
      </c>
      <c r="Z145" s="37">
        <v>12.64208</v>
      </c>
      <c r="AA145" s="37">
        <v>12.64208</v>
      </c>
      <c r="AB145" s="37">
        <v>12.64208</v>
      </c>
      <c r="AC145" s="37">
        <v>12.64208</v>
      </c>
      <c r="AD145" s="37">
        <v>12.64208</v>
      </c>
      <c r="AE145" s="37">
        <v>12.64208</v>
      </c>
      <c r="AF145" s="37">
        <v>12.64208</v>
      </c>
      <c r="AG145" s="37">
        <v>12.64208</v>
      </c>
      <c r="AH145" s="37">
        <v>12.64208</v>
      </c>
      <c r="AI145" s="37">
        <v>12.64208</v>
      </c>
      <c r="AJ145" s="37">
        <v>12.64208</v>
      </c>
      <c r="AK145" s="37">
        <v>12.64208</v>
      </c>
      <c r="AL145" s="37">
        <v>12.64208</v>
      </c>
      <c r="AM145" s="37">
        <v>12.64208</v>
      </c>
      <c r="AN145" s="37">
        <v>12.64208</v>
      </c>
      <c r="AO145" s="37">
        <v>12.64208</v>
      </c>
      <c r="AP145" s="37">
        <v>12.64208</v>
      </c>
      <c r="AQ145" s="37">
        <v>12.64208</v>
      </c>
      <c r="AR145" s="37">
        <v>12.64208</v>
      </c>
      <c r="AS145" s="37">
        <v>12.64208</v>
      </c>
      <c r="AT145" s="37">
        <v>12.64208</v>
      </c>
      <c r="AU145" s="37">
        <v>12.64208</v>
      </c>
      <c r="AV145" s="37">
        <v>12.64208</v>
      </c>
      <c r="AW145" s="37">
        <v>12.64208</v>
      </c>
      <c r="AX145" s="37">
        <v>12.64208</v>
      </c>
      <c r="AY145" s="37">
        <v>12.64208</v>
      </c>
      <c r="AZ145" s="37">
        <v>12.64208</v>
      </c>
      <c r="BA145" s="37">
        <v>12.64208</v>
      </c>
      <c r="BB145" s="37">
        <v>12.64208</v>
      </c>
      <c r="BC145" s="37">
        <v>12.64208</v>
      </c>
      <c r="BD145" s="37">
        <v>12.64208</v>
      </c>
      <c r="BE145" s="37">
        <v>12.64208</v>
      </c>
      <c r="BF145" s="37">
        <v>12.64208</v>
      </c>
      <c r="BG145" s="37">
        <v>12.64208</v>
      </c>
      <c r="BH145" s="37">
        <v>12.64208</v>
      </c>
      <c r="BI145" s="37">
        <v>12.64208</v>
      </c>
      <c r="BJ145" s="37">
        <v>12.64208</v>
      </c>
      <c r="BK145" s="37">
        <v>12.64208</v>
      </c>
      <c r="BL145" s="37">
        <v>12.64208</v>
      </c>
      <c r="BM145" s="37">
        <v>12.64208</v>
      </c>
      <c r="BN145" s="37">
        <v>12.64208</v>
      </c>
      <c r="BO145" s="37">
        <v>12.64208</v>
      </c>
      <c r="BP145" s="37">
        <v>12.64208</v>
      </c>
      <c r="BQ145" s="37">
        <v>12.64208</v>
      </c>
      <c r="BR145" s="37">
        <v>12.64208</v>
      </c>
      <c r="BS145" s="37">
        <v>12.64208</v>
      </c>
      <c r="BT145" s="37">
        <v>12.64208</v>
      </c>
      <c r="BU145" s="37">
        <v>12.64208</v>
      </c>
      <c r="BV145" s="37">
        <v>12.64208</v>
      </c>
      <c r="BW145" s="37">
        <v>12.64208</v>
      </c>
      <c r="BX145" s="37">
        <v>12.64208</v>
      </c>
      <c r="BY145" s="37">
        <v>12.64208</v>
      </c>
      <c r="BZ145" s="37">
        <v>12.64208</v>
      </c>
      <c r="CA145" s="37">
        <v>12.64208</v>
      </c>
      <c r="CB145" s="37">
        <v>12.64208</v>
      </c>
      <c r="CC145" s="37">
        <v>12.64208</v>
      </c>
      <c r="CD145" s="37">
        <v>12.64208</v>
      </c>
      <c r="CE145" s="37">
        <v>12.64208</v>
      </c>
      <c r="CF145" s="37">
        <v>12.64208</v>
      </c>
      <c r="CG145" s="37">
        <v>12.64208</v>
      </c>
      <c r="CH145" s="37">
        <v>12.64208</v>
      </c>
      <c r="CI145" s="37">
        <v>12.64208</v>
      </c>
      <c r="CJ145" s="37">
        <v>12.64208</v>
      </c>
      <c r="CK145" s="37">
        <v>12.64208</v>
      </c>
      <c r="CL145" s="37">
        <v>12.64208</v>
      </c>
      <c r="CM145" s="37">
        <v>12.64208</v>
      </c>
      <c r="CN145" s="37">
        <v>12.64208</v>
      </c>
      <c r="CO145" s="37">
        <v>12.64208</v>
      </c>
      <c r="CP145" s="37">
        <v>12.64208</v>
      </c>
      <c r="CQ145" s="37">
        <v>12.64208</v>
      </c>
      <c r="CR145" s="37">
        <v>12.64208</v>
      </c>
      <c r="CS145" s="37">
        <v>12.64208</v>
      </c>
      <c r="CT145" s="37">
        <v>12.64208</v>
      </c>
      <c r="CU145" s="37">
        <v>12.64208</v>
      </c>
      <c r="CV145" s="37">
        <v>12.64208</v>
      </c>
      <c r="CW145" s="37">
        <v>12.64208</v>
      </c>
      <c r="CX145" s="37">
        <v>12.64208</v>
      </c>
      <c r="CY145" s="37">
        <v>12.64208</v>
      </c>
      <c r="CZ145" s="37">
        <v>12.64208</v>
      </c>
      <c r="DA145" s="37">
        <v>12.64208</v>
      </c>
      <c r="DB145" s="37">
        <v>12.64208</v>
      </c>
      <c r="DC145" s="37">
        <v>12.64208</v>
      </c>
      <c r="DD145" s="37">
        <v>12.64208</v>
      </c>
      <c r="DE145" s="37">
        <v>12.64208</v>
      </c>
      <c r="DF145" s="37">
        <v>12.64208</v>
      </c>
      <c r="DG145" s="37">
        <v>12.64208</v>
      </c>
      <c r="DH145" s="37">
        <v>12.64208</v>
      </c>
      <c r="DI145" s="37">
        <v>12.64208</v>
      </c>
      <c r="DJ145" s="37">
        <v>12.64208</v>
      </c>
      <c r="DK145" s="37">
        <v>12.64208</v>
      </c>
      <c r="DL145" s="37">
        <v>12.64208</v>
      </c>
      <c r="DM145" s="37">
        <v>12.64208</v>
      </c>
      <c r="DN145" s="37">
        <v>12.64208</v>
      </c>
      <c r="DO145" s="37">
        <v>12.64208</v>
      </c>
      <c r="DP145" s="37">
        <v>12.64208</v>
      </c>
      <c r="DQ145" s="37">
        <v>12.64208</v>
      </c>
      <c r="DR145" s="37">
        <v>12.64208</v>
      </c>
      <c r="DS145" s="37">
        <v>12.64208</v>
      </c>
      <c r="DT145" s="37">
        <v>12.64208</v>
      </c>
      <c r="DU145" s="37">
        <v>12.64208</v>
      </c>
      <c r="DV145" s="37">
        <v>12.64208</v>
      </c>
      <c r="DW145" s="37">
        <v>12.64208</v>
      </c>
      <c r="DX145" s="37">
        <v>12.64208</v>
      </c>
      <c r="DY145" s="37">
        <v>12.64208</v>
      </c>
      <c r="DZ145" s="37">
        <v>12.64208</v>
      </c>
      <c r="EA145" s="37">
        <v>12.64208</v>
      </c>
      <c r="EB145" s="37">
        <v>12.64208</v>
      </c>
      <c r="EC145" s="37">
        <v>12.64208</v>
      </c>
      <c r="ED145" s="37">
        <v>12.64208</v>
      </c>
      <c r="EE145" s="37">
        <v>12.64208</v>
      </c>
      <c r="EF145" s="37">
        <v>12.64208</v>
      </c>
      <c r="EG145" s="37">
        <v>12.64208</v>
      </c>
      <c r="EH145" s="37">
        <v>12.64208</v>
      </c>
      <c r="EI145" s="37">
        <v>12.64208</v>
      </c>
      <c r="EJ145" s="37">
        <v>12.64208</v>
      </c>
      <c r="EK145" s="37">
        <v>12.64208</v>
      </c>
      <c r="EL145" s="37">
        <v>12.64208</v>
      </c>
      <c r="EM145" s="37">
        <v>12.64208</v>
      </c>
      <c r="EN145" s="37">
        <v>12.64208</v>
      </c>
      <c r="EO145" s="37">
        <v>12.64208</v>
      </c>
      <c r="EP145" s="37">
        <v>12.64208</v>
      </c>
      <c r="EQ145" s="37">
        <v>12.64208</v>
      </c>
      <c r="ER145" s="37">
        <v>12.64208</v>
      </c>
      <c r="ES145" s="37">
        <v>12.64208</v>
      </c>
      <c r="ET145" s="37">
        <v>12.64208</v>
      </c>
      <c r="EU145" s="37">
        <v>12.64208</v>
      </c>
      <c r="EV145" s="37">
        <v>12.64208</v>
      </c>
      <c r="EW145" s="37">
        <v>12.64208</v>
      </c>
      <c r="EX145" s="37">
        <v>12.64208</v>
      </c>
      <c r="EY145" s="37">
        <v>12.64208</v>
      </c>
      <c r="EZ145" s="37">
        <v>12.64208</v>
      </c>
      <c r="FA145" s="37">
        <v>12.64208</v>
      </c>
      <c r="FB145" s="37">
        <v>12.64208</v>
      </c>
      <c r="FC145" s="37">
        <v>12.64208</v>
      </c>
      <c r="FD145" s="37">
        <v>12.64208</v>
      </c>
      <c r="FE145" s="37">
        <v>12.64208</v>
      </c>
      <c r="FF145" s="37">
        <v>12.64208</v>
      </c>
      <c r="FG145" s="37">
        <v>12.64208</v>
      </c>
      <c r="FH145" s="37">
        <v>12.64208</v>
      </c>
      <c r="FI145" s="37">
        <v>12.64208</v>
      </c>
      <c r="FJ145" s="37">
        <v>12.64208</v>
      </c>
      <c r="FK145" s="37">
        <v>12.64208</v>
      </c>
      <c r="FL145" s="37">
        <v>12.64208</v>
      </c>
      <c r="FM145" s="37">
        <v>12.64208</v>
      </c>
      <c r="FN145" s="37">
        <v>12.64208</v>
      </c>
      <c r="FO145" s="37">
        <v>12.64208</v>
      </c>
      <c r="FP145" s="37">
        <v>12.64208</v>
      </c>
      <c r="FQ145" s="37">
        <v>12.64208</v>
      </c>
      <c r="FR145" s="37">
        <v>12.64208</v>
      </c>
      <c r="FS145" s="37">
        <v>12.64208</v>
      </c>
      <c r="FT145" s="37">
        <v>12.64208</v>
      </c>
      <c r="FU145" s="37">
        <v>12.64208</v>
      </c>
      <c r="FV145" s="37">
        <v>12.64208</v>
      </c>
      <c r="FW145" s="37">
        <v>12.64208</v>
      </c>
      <c r="FX145" s="37">
        <v>12.64208</v>
      </c>
      <c r="FY145" s="37">
        <v>12.64208</v>
      </c>
      <c r="FZ145" s="37">
        <v>12.64208</v>
      </c>
      <c r="GA145" s="37">
        <v>12.64208</v>
      </c>
      <c r="GB145" s="37">
        <v>12.64208</v>
      </c>
      <c r="GC145" s="37">
        <v>12.64208</v>
      </c>
      <c r="GD145" s="37">
        <v>12.64208</v>
      </c>
      <c r="GE145" s="37">
        <v>12.64208</v>
      </c>
      <c r="GF145" s="37">
        <v>12.64208</v>
      </c>
      <c r="GG145" s="37">
        <v>12.64208</v>
      </c>
      <c r="GH145" s="37">
        <v>12.64208</v>
      </c>
      <c r="GI145" s="37">
        <v>12.64208</v>
      </c>
      <c r="GJ145" s="37">
        <v>12.64208</v>
      </c>
      <c r="GK145" s="37">
        <v>12.64208</v>
      </c>
      <c r="GL145" s="37">
        <v>12.64208</v>
      </c>
      <c r="GM145" s="37">
        <v>12.64208</v>
      </c>
      <c r="GN145" s="37">
        <v>12.64208</v>
      </c>
      <c r="GO145" s="37">
        <v>12.64208</v>
      </c>
      <c r="GP145" s="37">
        <v>12.64208</v>
      </c>
      <c r="GQ145" s="37">
        <v>12.64208</v>
      </c>
      <c r="GR145" s="37">
        <v>12.64208</v>
      </c>
      <c r="GS145" s="37">
        <v>12.64208</v>
      </c>
      <c r="GT145" s="37">
        <v>12.64208</v>
      </c>
      <c r="GU145" s="37">
        <v>12.64208</v>
      </c>
      <c r="GV145" s="37">
        <v>12.64208</v>
      </c>
      <c r="GW145" s="37">
        <v>12.64208</v>
      </c>
      <c r="GX145" s="37">
        <v>12.64208</v>
      </c>
      <c r="GY145" s="37">
        <v>12.64208</v>
      </c>
      <c r="GZ145" s="37">
        <v>12.64208</v>
      </c>
      <c r="HA145" s="37">
        <v>12.64208</v>
      </c>
      <c r="HB145" s="37">
        <v>12.64208</v>
      </c>
      <c r="HC145" s="37">
        <v>12.64208</v>
      </c>
      <c r="HD145" s="37">
        <v>12.64208</v>
      </c>
      <c r="HE145" s="37">
        <v>12.64208</v>
      </c>
      <c r="HF145" s="37">
        <v>12.64208</v>
      </c>
      <c r="HG145" s="37">
        <v>12.64208</v>
      </c>
      <c r="HH145" s="37">
        <v>12.64208</v>
      </c>
      <c r="HI145" s="37">
        <v>12.64208</v>
      </c>
      <c r="HJ145" s="37">
        <v>12.64208</v>
      </c>
      <c r="HK145" s="37">
        <v>12.64208</v>
      </c>
      <c r="HL145" s="37">
        <v>12.64208</v>
      </c>
      <c r="HM145" s="37">
        <v>12.64208</v>
      </c>
      <c r="HN145" s="37">
        <v>12.64208</v>
      </c>
      <c r="HO145" s="37">
        <v>12.64208</v>
      </c>
      <c r="HP145" s="37">
        <v>12.64208</v>
      </c>
      <c r="HQ145" s="37">
        <v>12.64208</v>
      </c>
      <c r="HR145" s="37">
        <v>12.64208</v>
      </c>
      <c r="HS145" s="37">
        <v>12.64208</v>
      </c>
      <c r="HT145" s="37">
        <v>12.64208</v>
      </c>
      <c r="HU145" s="37">
        <v>12.64208</v>
      </c>
      <c r="HV145" s="37">
        <v>12.64208</v>
      </c>
      <c r="HW145" s="37">
        <v>12.64208</v>
      </c>
      <c r="HX145" s="37">
        <v>12.64208</v>
      </c>
      <c r="HY145" s="37">
        <v>12.64208</v>
      </c>
      <c r="HZ145" s="37">
        <v>12.64208</v>
      </c>
      <c r="IA145" s="37">
        <v>12.64208</v>
      </c>
      <c r="IB145" s="37">
        <v>12.64208</v>
      </c>
      <c r="IC145" s="37">
        <v>12.64208</v>
      </c>
      <c r="ID145" s="37">
        <v>12.64208</v>
      </c>
      <c r="IE145" s="37">
        <v>12.64208</v>
      </c>
      <c r="IF145" s="37">
        <v>12.64208</v>
      </c>
      <c r="IG145" s="37">
        <v>12.64208</v>
      </c>
      <c r="IH145" s="37">
        <v>12.64208</v>
      </c>
      <c r="II145" s="37">
        <v>12.64208</v>
      </c>
      <c r="IJ145" s="37">
        <v>12.64208</v>
      </c>
      <c r="IK145" s="37">
        <v>12.64208</v>
      </c>
      <c r="IL145" s="37">
        <v>12.64208</v>
      </c>
      <c r="IM145" s="37">
        <v>12.64208</v>
      </c>
      <c r="IN145" s="37">
        <v>12.64208</v>
      </c>
      <c r="IO145" s="37">
        <v>12.64208</v>
      </c>
      <c r="IP145" s="37">
        <v>12.64208</v>
      </c>
      <c r="IQ145" s="37">
        <v>12.64208</v>
      </c>
      <c r="IR145" s="37">
        <v>12.64208</v>
      </c>
      <c r="IS145" s="37">
        <v>12.64208</v>
      </c>
      <c r="IT145" s="37">
        <v>12.64208</v>
      </c>
      <c r="IU145" s="37">
        <v>12.64208</v>
      </c>
      <c r="IV145" s="37">
        <v>12.64208</v>
      </c>
      <c r="IW145" s="37">
        <v>12.64208</v>
      </c>
      <c r="IX145" s="37">
        <v>12.64208</v>
      </c>
      <c r="IY145" s="37">
        <v>12.64208</v>
      </c>
      <c r="IZ145" s="37">
        <v>12.64208</v>
      </c>
      <c r="JA145" s="37">
        <v>12.64208</v>
      </c>
      <c r="JB145" s="37">
        <v>12.64208</v>
      </c>
      <c r="JC145" s="37">
        <v>12.64208</v>
      </c>
      <c r="JD145" s="37">
        <v>12.64208</v>
      </c>
      <c r="JE145" s="37">
        <v>12.64208</v>
      </c>
      <c r="JF145" s="37">
        <v>12.64208</v>
      </c>
      <c r="JG145" s="37">
        <v>12.64208</v>
      </c>
      <c r="JH145" s="37">
        <v>12.64208</v>
      </c>
      <c r="JI145" s="37">
        <v>12.64208</v>
      </c>
      <c r="JJ145" s="37">
        <v>12.64208</v>
      </c>
      <c r="JK145" s="37">
        <v>12.64208</v>
      </c>
      <c r="JL145" s="37">
        <v>12.64208</v>
      </c>
      <c r="JM145" s="37">
        <v>12.64208</v>
      </c>
      <c r="JN145" s="37">
        <v>12.64208</v>
      </c>
      <c r="JO145" s="37">
        <v>12.64208</v>
      </c>
      <c r="JP145" s="37">
        <v>12.64208</v>
      </c>
      <c r="JQ145" s="37">
        <v>12.64208</v>
      </c>
      <c r="JR145" s="37">
        <v>12.64208</v>
      </c>
      <c r="JS145" s="37">
        <v>12.64208</v>
      </c>
      <c r="JT145" s="37">
        <v>12.64208</v>
      </c>
      <c r="JU145" s="37">
        <v>12.64208</v>
      </c>
      <c r="JV145" s="37">
        <v>12.64208</v>
      </c>
      <c r="JW145" s="37">
        <v>12.64208</v>
      </c>
      <c r="JX145" s="37">
        <v>12.64208</v>
      </c>
      <c r="JY145" s="37">
        <v>12.64208</v>
      </c>
      <c r="JZ145" s="37">
        <v>12.64208</v>
      </c>
      <c r="KA145" s="37">
        <v>12.64208</v>
      </c>
      <c r="KB145" s="37">
        <v>12.64208</v>
      </c>
      <c r="KC145" s="37">
        <v>12.64208</v>
      </c>
      <c r="KD145" s="37">
        <v>12.64208</v>
      </c>
      <c r="KE145" s="37">
        <v>12.64208</v>
      </c>
      <c r="KF145" s="37">
        <v>12.64208</v>
      </c>
      <c r="KG145" s="37">
        <v>12.64208</v>
      </c>
      <c r="KH145" s="37">
        <v>12.64208</v>
      </c>
      <c r="KI145" s="37">
        <v>12.64208</v>
      </c>
      <c r="KJ145" s="37">
        <v>12.64208</v>
      </c>
      <c r="KK145" s="37">
        <v>12.64208</v>
      </c>
      <c r="KL145" s="37">
        <v>12.64208</v>
      </c>
      <c r="KM145" s="37">
        <v>12.64208</v>
      </c>
      <c r="KN145" s="37">
        <v>12.64208</v>
      </c>
      <c r="KO145" s="37">
        <v>12.64208</v>
      </c>
      <c r="KP145" s="37">
        <v>12.64208</v>
      </c>
      <c r="KQ145" s="37">
        <v>12.64208</v>
      </c>
      <c r="KR145" s="37">
        <v>12.64208</v>
      </c>
      <c r="KS145" s="37">
        <v>12.64208</v>
      </c>
      <c r="KT145" s="37">
        <v>12.64208</v>
      </c>
      <c r="KU145" s="37">
        <v>12.64208</v>
      </c>
      <c r="KV145" s="37">
        <v>12.64208</v>
      </c>
      <c r="KW145" s="37">
        <v>12.64208</v>
      </c>
      <c r="KX145" s="37">
        <v>12.64208</v>
      </c>
      <c r="KY145" s="37">
        <v>12.64208</v>
      </c>
      <c r="KZ145" s="37">
        <v>12.64208</v>
      </c>
      <c r="LA145" s="37">
        <v>12.64208</v>
      </c>
      <c r="LB145" s="37">
        <v>12.64208</v>
      </c>
      <c r="LC145" s="37">
        <v>12.64208</v>
      </c>
      <c r="LD145" s="37">
        <v>12.64208</v>
      </c>
      <c r="LE145" s="37">
        <v>12.64208</v>
      </c>
      <c r="LF145" s="37">
        <v>12.64208</v>
      </c>
      <c r="LG145" s="37">
        <v>12.64208</v>
      </c>
      <c r="LH145" s="37">
        <v>12.64208</v>
      </c>
      <c r="LI145" s="37">
        <v>12.64208</v>
      </c>
      <c r="LJ145" s="37">
        <v>12.64208</v>
      </c>
      <c r="LK145" s="37">
        <v>12.64208</v>
      </c>
      <c r="LL145" s="37">
        <v>12.64208</v>
      </c>
      <c r="LM145" s="37">
        <v>12.64208</v>
      </c>
      <c r="LN145" s="37">
        <v>12.64208</v>
      </c>
      <c r="LO145" s="37">
        <v>12.64208</v>
      </c>
      <c r="LP145" s="37">
        <v>12.64208</v>
      </c>
      <c r="LQ145" s="37">
        <v>12.64208</v>
      </c>
      <c r="LR145" s="37">
        <v>12.64208</v>
      </c>
      <c r="LS145" s="37">
        <v>12.64208</v>
      </c>
      <c r="LT145" s="37">
        <v>12.64208</v>
      </c>
      <c r="LU145" s="37">
        <v>12.64208</v>
      </c>
      <c r="LV145" s="37">
        <v>12.64208</v>
      </c>
      <c r="LW145" s="37">
        <v>12.64208</v>
      </c>
      <c r="LX145" s="37">
        <v>12.64208</v>
      </c>
      <c r="LY145" s="37">
        <v>12.64208</v>
      </c>
      <c r="LZ145" s="37">
        <v>12.64208</v>
      </c>
      <c r="MA145" s="37">
        <v>12.64208</v>
      </c>
      <c r="MB145" s="37">
        <v>12.64208</v>
      </c>
      <c r="MC145" s="37">
        <v>12.64208</v>
      </c>
      <c r="MD145" s="37">
        <v>12.64208</v>
      </c>
      <c r="ME145" s="37">
        <v>12.64208</v>
      </c>
      <c r="MF145" s="37">
        <v>12.64208</v>
      </c>
      <c r="MG145" s="37">
        <v>12.64208</v>
      </c>
      <c r="MH145" s="37">
        <v>12.64208</v>
      </c>
      <c r="MI145" s="37">
        <v>12.64208</v>
      </c>
      <c r="MJ145" s="37">
        <v>12.64208</v>
      </c>
      <c r="MK145" s="37">
        <v>12.64208</v>
      </c>
      <c r="ML145" s="37">
        <v>12.64208</v>
      </c>
      <c r="MM145" s="37">
        <v>12.64208</v>
      </c>
      <c r="MN145" s="37">
        <v>12.64208</v>
      </c>
      <c r="MO145" s="37">
        <v>12.64208</v>
      </c>
      <c r="MP145" s="37">
        <v>12.64208</v>
      </c>
      <c r="MQ145" s="37">
        <v>12.64208</v>
      </c>
      <c r="MR145" s="37">
        <v>12.64208</v>
      </c>
      <c r="MS145" s="37">
        <v>12.64208</v>
      </c>
      <c r="MT145" s="37">
        <v>12.64208</v>
      </c>
      <c r="MU145" s="37">
        <v>12.64208</v>
      </c>
      <c r="MV145" s="37">
        <v>12.64208</v>
      </c>
      <c r="MW145" s="37">
        <v>12.64208</v>
      </c>
      <c r="MX145" s="37">
        <v>12.64208</v>
      </c>
      <c r="MY145" s="37">
        <v>12.64208</v>
      </c>
      <c r="MZ145" s="37">
        <v>12.64208</v>
      </c>
      <c r="NA145" s="37">
        <v>12.64208</v>
      </c>
      <c r="NB145" s="37">
        <v>12.64208</v>
      </c>
      <c r="NC145" s="37">
        <v>13.70688</v>
      </c>
      <c r="ND145" s="37">
        <v>0</v>
      </c>
    </row>
    <row r="146" spans="1:372" x14ac:dyDescent="0.2">
      <c r="A146" s="37">
        <v>144</v>
      </c>
      <c r="B146" s="37" t="s">
        <v>1182</v>
      </c>
      <c r="C146" s="17">
        <f>+'Detalle Compras'!D146</f>
        <v>20231229721</v>
      </c>
      <c r="D146" s="55">
        <f t="shared" si="19"/>
        <v>9.3213899999999992</v>
      </c>
      <c r="E146" s="14">
        <f>+IF(B146="","",'Detalle Compras'!S146+0)</f>
        <v>45483</v>
      </c>
      <c r="F146" s="14">
        <f>+IF(B146="","",EOMONTH('Detalle Compras'!Q146,G146)+10)</f>
        <v>10481</v>
      </c>
      <c r="G146" s="50">
        <f t="shared" si="20"/>
        <v>343</v>
      </c>
      <c r="H146" s="50">
        <f t="shared" si="21"/>
        <v>337</v>
      </c>
      <c r="I146" s="37">
        <v>0</v>
      </c>
      <c r="J146" s="37">
        <v>0</v>
      </c>
      <c r="K146" s="37">
        <v>0</v>
      </c>
      <c r="L146" s="37">
        <v>0</v>
      </c>
      <c r="M146" s="37">
        <v>9.3213899999999992</v>
      </c>
      <c r="N146" s="37">
        <v>9.3213899999999992</v>
      </c>
      <c r="O146" s="37">
        <v>9.3213899999999992</v>
      </c>
      <c r="P146" s="37">
        <v>9.3213899999999992</v>
      </c>
      <c r="Q146" s="37">
        <v>9.3213899999999992</v>
      </c>
      <c r="R146" s="37">
        <v>9.3213899999999992</v>
      </c>
      <c r="S146" s="37">
        <v>9.3213899999999992</v>
      </c>
      <c r="T146" s="37">
        <v>9.3213899999999992</v>
      </c>
      <c r="U146" s="37">
        <v>9.3213899999999992</v>
      </c>
      <c r="V146" s="37">
        <v>9.3213899999999992</v>
      </c>
      <c r="W146" s="37">
        <v>9.3213899999999992</v>
      </c>
      <c r="X146" s="37">
        <v>9.3213899999999992</v>
      </c>
      <c r="Y146" s="37">
        <v>9.3213899999999992</v>
      </c>
      <c r="Z146" s="37">
        <v>9.3213899999999992</v>
      </c>
      <c r="AA146" s="37">
        <v>9.3213899999999992</v>
      </c>
      <c r="AB146" s="37">
        <v>9.3213899999999992</v>
      </c>
      <c r="AC146" s="37">
        <v>9.3213899999999992</v>
      </c>
      <c r="AD146" s="37">
        <v>9.3213899999999992</v>
      </c>
      <c r="AE146" s="37">
        <v>9.3213899999999992</v>
      </c>
      <c r="AF146" s="37">
        <v>9.3213899999999992</v>
      </c>
      <c r="AG146" s="37">
        <v>9.3213899999999992</v>
      </c>
      <c r="AH146" s="37">
        <v>9.3213899999999992</v>
      </c>
      <c r="AI146" s="37">
        <v>9.3213899999999992</v>
      </c>
      <c r="AJ146" s="37">
        <v>9.3213899999999992</v>
      </c>
      <c r="AK146" s="37">
        <v>9.3213899999999992</v>
      </c>
      <c r="AL146" s="37">
        <v>9.3213899999999992</v>
      </c>
      <c r="AM146" s="37">
        <v>9.3213899999999992</v>
      </c>
      <c r="AN146" s="37">
        <v>9.3213899999999992</v>
      </c>
      <c r="AO146" s="37">
        <v>9.3213899999999992</v>
      </c>
      <c r="AP146" s="37">
        <v>9.3213899999999992</v>
      </c>
      <c r="AQ146" s="37">
        <v>9.3213899999999992</v>
      </c>
      <c r="AR146" s="37">
        <v>9.3213899999999992</v>
      </c>
      <c r="AS146" s="37">
        <v>9.3213899999999992</v>
      </c>
      <c r="AT146" s="37">
        <v>9.3213899999999992</v>
      </c>
      <c r="AU146" s="37">
        <v>9.3213899999999992</v>
      </c>
      <c r="AV146" s="37">
        <v>9.3213899999999992</v>
      </c>
      <c r="AW146" s="37">
        <v>9.3213899999999992</v>
      </c>
      <c r="AX146" s="37">
        <v>9.3213899999999992</v>
      </c>
      <c r="AY146" s="37">
        <v>9.3213899999999992</v>
      </c>
      <c r="AZ146" s="37">
        <v>9.3213899999999992</v>
      </c>
      <c r="BA146" s="37">
        <v>9.3213899999999992</v>
      </c>
      <c r="BB146" s="37">
        <v>9.3213899999999992</v>
      </c>
      <c r="BC146" s="37">
        <v>9.3213899999999992</v>
      </c>
      <c r="BD146" s="37">
        <v>9.3213899999999992</v>
      </c>
      <c r="BE146" s="37">
        <v>9.3213899999999992</v>
      </c>
      <c r="BF146" s="37">
        <v>9.3213899999999992</v>
      </c>
      <c r="BG146" s="37">
        <v>9.3213899999999992</v>
      </c>
      <c r="BH146" s="37">
        <v>9.3213899999999992</v>
      </c>
      <c r="BI146" s="37">
        <v>9.3213899999999992</v>
      </c>
      <c r="BJ146" s="37">
        <v>9.3213899999999992</v>
      </c>
      <c r="BK146" s="37">
        <v>9.3213899999999992</v>
      </c>
      <c r="BL146" s="37">
        <v>9.3213899999999992</v>
      </c>
      <c r="BM146" s="37">
        <v>9.3213899999999992</v>
      </c>
      <c r="BN146" s="37">
        <v>9.3213899999999992</v>
      </c>
      <c r="BO146" s="37">
        <v>9.3213899999999992</v>
      </c>
      <c r="BP146" s="37">
        <v>9.3213899999999992</v>
      </c>
      <c r="BQ146" s="37">
        <v>9.3213899999999992</v>
      </c>
      <c r="BR146" s="37">
        <v>9.3213899999999992</v>
      </c>
      <c r="BS146" s="37">
        <v>9.3213899999999992</v>
      </c>
      <c r="BT146" s="37">
        <v>9.3213899999999992</v>
      </c>
      <c r="BU146" s="37">
        <v>9.3213899999999992</v>
      </c>
      <c r="BV146" s="37">
        <v>9.3213899999999992</v>
      </c>
      <c r="BW146" s="37">
        <v>9.3213899999999992</v>
      </c>
      <c r="BX146" s="37">
        <v>9.3213899999999992</v>
      </c>
      <c r="BY146" s="37">
        <v>9.3213899999999992</v>
      </c>
      <c r="BZ146" s="37">
        <v>9.3213899999999992</v>
      </c>
      <c r="CA146" s="37">
        <v>9.3213899999999992</v>
      </c>
      <c r="CB146" s="37">
        <v>9.3213899999999992</v>
      </c>
      <c r="CC146" s="37">
        <v>9.3213899999999992</v>
      </c>
      <c r="CD146" s="37">
        <v>9.3213899999999992</v>
      </c>
      <c r="CE146" s="37">
        <v>9.3213899999999992</v>
      </c>
      <c r="CF146" s="37">
        <v>9.3213899999999992</v>
      </c>
      <c r="CG146" s="37">
        <v>9.3213899999999992</v>
      </c>
      <c r="CH146" s="37">
        <v>9.3213899999999992</v>
      </c>
      <c r="CI146" s="37">
        <v>9.3213899999999992</v>
      </c>
      <c r="CJ146" s="37">
        <v>9.3213899999999992</v>
      </c>
      <c r="CK146" s="37">
        <v>9.3213899999999992</v>
      </c>
      <c r="CL146" s="37">
        <v>9.3213899999999992</v>
      </c>
      <c r="CM146" s="37">
        <v>9.3213899999999992</v>
      </c>
      <c r="CN146" s="37">
        <v>9.3213899999999992</v>
      </c>
      <c r="CO146" s="37">
        <v>9.3213899999999992</v>
      </c>
      <c r="CP146" s="37">
        <v>9.3213899999999992</v>
      </c>
      <c r="CQ146" s="37">
        <v>9.3213899999999992</v>
      </c>
      <c r="CR146" s="37">
        <v>9.3213899999999992</v>
      </c>
      <c r="CS146" s="37">
        <v>9.3213899999999992</v>
      </c>
      <c r="CT146" s="37">
        <v>9.3213899999999992</v>
      </c>
      <c r="CU146" s="37">
        <v>9.3213899999999992</v>
      </c>
      <c r="CV146" s="37">
        <v>9.3213899999999992</v>
      </c>
      <c r="CW146" s="37">
        <v>9.3213899999999992</v>
      </c>
      <c r="CX146" s="37">
        <v>9.3213899999999992</v>
      </c>
      <c r="CY146" s="37">
        <v>9.3213899999999992</v>
      </c>
      <c r="CZ146" s="37">
        <v>9.3213899999999992</v>
      </c>
      <c r="DA146" s="37">
        <v>9.3213899999999992</v>
      </c>
      <c r="DB146" s="37">
        <v>9.3213899999999992</v>
      </c>
      <c r="DC146" s="37">
        <v>9.3213899999999992</v>
      </c>
      <c r="DD146" s="37">
        <v>9.3213899999999992</v>
      </c>
      <c r="DE146" s="37">
        <v>9.3213899999999992</v>
      </c>
      <c r="DF146" s="37">
        <v>9.3213899999999992</v>
      </c>
      <c r="DG146" s="37">
        <v>9.3213899999999992</v>
      </c>
      <c r="DH146" s="37">
        <v>9.3213899999999992</v>
      </c>
      <c r="DI146" s="37">
        <v>9.3213899999999992</v>
      </c>
      <c r="DJ146" s="37">
        <v>9.3213899999999992</v>
      </c>
      <c r="DK146" s="37">
        <v>9.3213899999999992</v>
      </c>
      <c r="DL146" s="37">
        <v>9.3213899999999992</v>
      </c>
      <c r="DM146" s="37">
        <v>9.3213899999999992</v>
      </c>
      <c r="DN146" s="37">
        <v>9.3213899999999992</v>
      </c>
      <c r="DO146" s="37">
        <v>9.3213899999999992</v>
      </c>
      <c r="DP146" s="37">
        <v>9.3213899999999992</v>
      </c>
      <c r="DQ146" s="37">
        <v>9.3213899999999992</v>
      </c>
      <c r="DR146" s="37">
        <v>9.3213899999999992</v>
      </c>
      <c r="DS146" s="37">
        <v>9.3213899999999992</v>
      </c>
      <c r="DT146" s="37">
        <v>9.3213899999999992</v>
      </c>
      <c r="DU146" s="37">
        <v>9.3213899999999992</v>
      </c>
      <c r="DV146" s="37">
        <v>9.3213899999999992</v>
      </c>
      <c r="DW146" s="37">
        <v>9.3213899999999992</v>
      </c>
      <c r="DX146" s="37">
        <v>9.3213899999999992</v>
      </c>
      <c r="DY146" s="37">
        <v>9.3213899999999992</v>
      </c>
      <c r="DZ146" s="37">
        <v>9.3213899999999992</v>
      </c>
      <c r="EA146" s="37">
        <v>9.3213899999999992</v>
      </c>
      <c r="EB146" s="37">
        <v>9.3213899999999992</v>
      </c>
      <c r="EC146" s="37">
        <v>9.3213899999999992</v>
      </c>
      <c r="ED146" s="37">
        <v>9.3213899999999992</v>
      </c>
      <c r="EE146" s="37">
        <v>9.3213899999999992</v>
      </c>
      <c r="EF146" s="37">
        <v>9.3213899999999992</v>
      </c>
      <c r="EG146" s="37">
        <v>9.3213899999999992</v>
      </c>
      <c r="EH146" s="37">
        <v>9.3213899999999992</v>
      </c>
      <c r="EI146" s="37">
        <v>9.3213899999999992</v>
      </c>
      <c r="EJ146" s="37">
        <v>9.3213899999999992</v>
      </c>
      <c r="EK146" s="37">
        <v>9.3213899999999992</v>
      </c>
      <c r="EL146" s="37">
        <v>9.3213899999999992</v>
      </c>
      <c r="EM146" s="37">
        <v>9.3213899999999992</v>
      </c>
      <c r="EN146" s="37">
        <v>9.3213899999999992</v>
      </c>
      <c r="EO146" s="37">
        <v>9.3213899999999992</v>
      </c>
      <c r="EP146" s="37">
        <v>9.3213899999999992</v>
      </c>
      <c r="EQ146" s="37">
        <v>9.3213899999999992</v>
      </c>
      <c r="ER146" s="37">
        <v>9.3213899999999992</v>
      </c>
      <c r="ES146" s="37">
        <v>9.3213899999999992</v>
      </c>
      <c r="ET146" s="37">
        <v>9.3213899999999992</v>
      </c>
      <c r="EU146" s="37">
        <v>9.3213899999999992</v>
      </c>
      <c r="EV146" s="37">
        <v>9.3213899999999992</v>
      </c>
      <c r="EW146" s="37">
        <v>9.3213899999999992</v>
      </c>
      <c r="EX146" s="37">
        <v>9.3213899999999992</v>
      </c>
      <c r="EY146" s="37">
        <v>9.3213899999999992</v>
      </c>
      <c r="EZ146" s="37">
        <v>9.3213899999999992</v>
      </c>
      <c r="FA146" s="37">
        <v>9.3213899999999992</v>
      </c>
      <c r="FB146" s="37">
        <v>9.3213899999999992</v>
      </c>
      <c r="FC146" s="37">
        <v>9.3213899999999992</v>
      </c>
      <c r="FD146" s="37">
        <v>9.3213899999999992</v>
      </c>
      <c r="FE146" s="37">
        <v>9.3213899999999992</v>
      </c>
      <c r="FF146" s="37">
        <v>9.3213899999999992</v>
      </c>
      <c r="FG146" s="37">
        <v>9.3213899999999992</v>
      </c>
      <c r="FH146" s="37">
        <v>9.3213899999999992</v>
      </c>
      <c r="FI146" s="37">
        <v>9.3213899999999992</v>
      </c>
      <c r="FJ146" s="37">
        <v>9.3213899999999992</v>
      </c>
      <c r="FK146" s="37">
        <v>9.3213899999999992</v>
      </c>
      <c r="FL146" s="37">
        <v>9.3213899999999992</v>
      </c>
      <c r="FM146" s="37">
        <v>9.3213899999999992</v>
      </c>
      <c r="FN146" s="37">
        <v>9.3213899999999992</v>
      </c>
      <c r="FO146" s="37">
        <v>9.3213899999999992</v>
      </c>
      <c r="FP146" s="37">
        <v>9.3213899999999992</v>
      </c>
      <c r="FQ146" s="37">
        <v>9.3213899999999992</v>
      </c>
      <c r="FR146" s="37">
        <v>9.3213899999999992</v>
      </c>
      <c r="FS146" s="37">
        <v>9.3213899999999992</v>
      </c>
      <c r="FT146" s="37">
        <v>9.3213899999999992</v>
      </c>
      <c r="FU146" s="37">
        <v>9.3213899999999992</v>
      </c>
      <c r="FV146" s="37">
        <v>9.3213899999999992</v>
      </c>
      <c r="FW146" s="37">
        <v>9.3213899999999992</v>
      </c>
      <c r="FX146" s="37">
        <v>9.3213899999999992</v>
      </c>
      <c r="FY146" s="37">
        <v>9.3213899999999992</v>
      </c>
      <c r="FZ146" s="37">
        <v>9.3213899999999992</v>
      </c>
      <c r="GA146" s="37">
        <v>9.3213899999999992</v>
      </c>
      <c r="GB146" s="37">
        <v>9.3213899999999992</v>
      </c>
      <c r="GC146" s="37">
        <v>9.3213899999999992</v>
      </c>
      <c r="GD146" s="37">
        <v>9.3213899999999992</v>
      </c>
      <c r="GE146" s="37">
        <v>9.3213899999999992</v>
      </c>
      <c r="GF146" s="37">
        <v>9.3213899999999992</v>
      </c>
      <c r="GG146" s="37">
        <v>9.3213899999999992</v>
      </c>
      <c r="GH146" s="37">
        <v>9.3213899999999992</v>
      </c>
      <c r="GI146" s="37">
        <v>9.3213899999999992</v>
      </c>
      <c r="GJ146" s="37">
        <v>9.3213899999999992</v>
      </c>
      <c r="GK146" s="37">
        <v>9.3213899999999992</v>
      </c>
      <c r="GL146" s="37">
        <v>9.3213899999999992</v>
      </c>
      <c r="GM146" s="37">
        <v>9.3213899999999992</v>
      </c>
      <c r="GN146" s="37">
        <v>9.3213899999999992</v>
      </c>
      <c r="GO146" s="37">
        <v>9.3213899999999992</v>
      </c>
      <c r="GP146" s="37">
        <v>9.3213899999999992</v>
      </c>
      <c r="GQ146" s="37">
        <v>9.3213899999999992</v>
      </c>
      <c r="GR146" s="37">
        <v>9.3213899999999992</v>
      </c>
      <c r="GS146" s="37">
        <v>9.3213899999999992</v>
      </c>
      <c r="GT146" s="37">
        <v>9.3213899999999992</v>
      </c>
      <c r="GU146" s="37">
        <v>9.3213899999999992</v>
      </c>
      <c r="GV146" s="37">
        <v>9.3213899999999992</v>
      </c>
      <c r="GW146" s="37">
        <v>9.3213899999999992</v>
      </c>
      <c r="GX146" s="37">
        <v>9.3213899999999992</v>
      </c>
      <c r="GY146" s="37">
        <v>9.3213899999999992</v>
      </c>
      <c r="GZ146" s="37">
        <v>9.3213899999999992</v>
      </c>
      <c r="HA146" s="37">
        <v>9.3213899999999992</v>
      </c>
      <c r="HB146" s="37">
        <v>9.3213899999999992</v>
      </c>
      <c r="HC146" s="37">
        <v>9.3213899999999992</v>
      </c>
      <c r="HD146" s="37">
        <v>9.3213899999999992</v>
      </c>
      <c r="HE146" s="37">
        <v>9.3213899999999992</v>
      </c>
      <c r="HF146" s="37">
        <v>9.3213899999999992</v>
      </c>
      <c r="HG146" s="37">
        <v>9.3213899999999992</v>
      </c>
      <c r="HH146" s="37">
        <v>9.3213899999999992</v>
      </c>
      <c r="HI146" s="37">
        <v>9.3213899999999992</v>
      </c>
      <c r="HJ146" s="37">
        <v>9.3213899999999992</v>
      </c>
      <c r="HK146" s="37">
        <v>9.3213899999999992</v>
      </c>
      <c r="HL146" s="37">
        <v>9.3213899999999992</v>
      </c>
      <c r="HM146" s="37">
        <v>9.3213899999999992</v>
      </c>
      <c r="HN146" s="37">
        <v>9.3213899999999992</v>
      </c>
      <c r="HO146" s="37">
        <v>9.3213899999999992</v>
      </c>
      <c r="HP146" s="37">
        <v>9.3213899999999992</v>
      </c>
      <c r="HQ146" s="37">
        <v>9.3213899999999992</v>
      </c>
      <c r="HR146" s="37">
        <v>9.3213899999999992</v>
      </c>
      <c r="HS146" s="37">
        <v>9.3213899999999992</v>
      </c>
      <c r="HT146" s="37">
        <v>9.3213899999999992</v>
      </c>
      <c r="HU146" s="37">
        <v>9.3213899999999992</v>
      </c>
      <c r="HV146" s="37">
        <v>9.3213899999999992</v>
      </c>
      <c r="HW146" s="37">
        <v>9.3213899999999992</v>
      </c>
      <c r="HX146" s="37">
        <v>9.3213899999999992</v>
      </c>
      <c r="HY146" s="37">
        <v>9.3213899999999992</v>
      </c>
      <c r="HZ146" s="37">
        <v>9.3213899999999992</v>
      </c>
      <c r="IA146" s="37">
        <v>9.3213899999999992</v>
      </c>
      <c r="IB146" s="37">
        <v>9.3213899999999992</v>
      </c>
      <c r="IC146" s="37">
        <v>9.3213899999999992</v>
      </c>
      <c r="ID146" s="37">
        <v>9.3213899999999992</v>
      </c>
      <c r="IE146" s="37">
        <v>9.3213899999999992</v>
      </c>
      <c r="IF146" s="37">
        <v>9.3213899999999992</v>
      </c>
      <c r="IG146" s="37">
        <v>9.3213899999999992</v>
      </c>
      <c r="IH146" s="37">
        <v>9.3213899999999992</v>
      </c>
      <c r="II146" s="37">
        <v>9.3213899999999992</v>
      </c>
      <c r="IJ146" s="37">
        <v>9.3213899999999992</v>
      </c>
      <c r="IK146" s="37">
        <v>9.3213899999999992</v>
      </c>
      <c r="IL146" s="37">
        <v>9.3213899999999992</v>
      </c>
      <c r="IM146" s="37">
        <v>9.3213899999999992</v>
      </c>
      <c r="IN146" s="37">
        <v>9.3213899999999992</v>
      </c>
      <c r="IO146" s="37">
        <v>9.3213899999999992</v>
      </c>
      <c r="IP146" s="37">
        <v>9.3213899999999992</v>
      </c>
      <c r="IQ146" s="37">
        <v>9.3213899999999992</v>
      </c>
      <c r="IR146" s="37">
        <v>9.3213899999999992</v>
      </c>
      <c r="IS146" s="37">
        <v>9.3213899999999992</v>
      </c>
      <c r="IT146" s="37">
        <v>9.3213899999999992</v>
      </c>
      <c r="IU146" s="37">
        <v>9.3213899999999992</v>
      </c>
      <c r="IV146" s="37">
        <v>9.3213899999999992</v>
      </c>
      <c r="IW146" s="37">
        <v>9.3213899999999992</v>
      </c>
      <c r="IX146" s="37">
        <v>9.3213899999999992</v>
      </c>
      <c r="IY146" s="37">
        <v>9.3213899999999992</v>
      </c>
      <c r="IZ146" s="37">
        <v>9.3213899999999992</v>
      </c>
      <c r="JA146" s="37">
        <v>9.3213899999999992</v>
      </c>
      <c r="JB146" s="37">
        <v>9.3213899999999992</v>
      </c>
      <c r="JC146" s="37">
        <v>9.3213899999999992</v>
      </c>
      <c r="JD146" s="37">
        <v>9.3213899999999992</v>
      </c>
      <c r="JE146" s="37">
        <v>9.3213899999999992</v>
      </c>
      <c r="JF146" s="37">
        <v>9.3213899999999992</v>
      </c>
      <c r="JG146" s="37">
        <v>9.3213899999999992</v>
      </c>
      <c r="JH146" s="37">
        <v>9.3213899999999992</v>
      </c>
      <c r="JI146" s="37">
        <v>9.3213899999999992</v>
      </c>
      <c r="JJ146" s="37">
        <v>9.3213899999999992</v>
      </c>
      <c r="JK146" s="37">
        <v>9.3213899999999992</v>
      </c>
      <c r="JL146" s="37">
        <v>9.3213899999999992</v>
      </c>
      <c r="JM146" s="37">
        <v>9.3213899999999992</v>
      </c>
      <c r="JN146" s="37">
        <v>9.3213899999999992</v>
      </c>
      <c r="JO146" s="37">
        <v>9.3213899999999992</v>
      </c>
      <c r="JP146" s="37">
        <v>9.3213899999999992</v>
      </c>
      <c r="JQ146" s="37">
        <v>9.3213899999999992</v>
      </c>
      <c r="JR146" s="37">
        <v>9.3213899999999992</v>
      </c>
      <c r="JS146" s="37">
        <v>9.3213899999999992</v>
      </c>
      <c r="JT146" s="37">
        <v>9.3213899999999992</v>
      </c>
      <c r="JU146" s="37">
        <v>9.3213899999999992</v>
      </c>
      <c r="JV146" s="37">
        <v>9.3213899999999992</v>
      </c>
      <c r="JW146" s="37">
        <v>9.3213899999999992</v>
      </c>
      <c r="JX146" s="37">
        <v>9.3213899999999992</v>
      </c>
      <c r="JY146" s="37">
        <v>9.3213899999999992</v>
      </c>
      <c r="JZ146" s="37">
        <v>9.3213899999999992</v>
      </c>
      <c r="KA146" s="37">
        <v>9.3213899999999992</v>
      </c>
      <c r="KB146" s="37">
        <v>9.3213899999999992</v>
      </c>
      <c r="KC146" s="37">
        <v>9.3213899999999992</v>
      </c>
      <c r="KD146" s="37">
        <v>9.3213899999999992</v>
      </c>
      <c r="KE146" s="37">
        <v>9.3213899999999992</v>
      </c>
      <c r="KF146" s="37">
        <v>9.3213899999999992</v>
      </c>
      <c r="KG146" s="37">
        <v>9.3213899999999992</v>
      </c>
      <c r="KH146" s="37">
        <v>9.3213899999999992</v>
      </c>
      <c r="KI146" s="37">
        <v>9.3213899999999992</v>
      </c>
      <c r="KJ146" s="37">
        <v>9.3213899999999992</v>
      </c>
      <c r="KK146" s="37">
        <v>9.3213899999999992</v>
      </c>
      <c r="KL146" s="37">
        <v>9.3213899999999992</v>
      </c>
      <c r="KM146" s="37">
        <v>9.3213899999999992</v>
      </c>
      <c r="KN146" s="37">
        <v>9.3213899999999992</v>
      </c>
      <c r="KO146" s="37">
        <v>9.3213899999999992</v>
      </c>
      <c r="KP146" s="37">
        <v>9.3213899999999992</v>
      </c>
      <c r="KQ146" s="37">
        <v>9.3213899999999992</v>
      </c>
      <c r="KR146" s="37">
        <v>9.3213899999999992</v>
      </c>
      <c r="KS146" s="37">
        <v>9.3213899999999992</v>
      </c>
      <c r="KT146" s="37">
        <v>9.3213899999999992</v>
      </c>
      <c r="KU146" s="37">
        <v>9.3213899999999992</v>
      </c>
      <c r="KV146" s="37">
        <v>9.3213899999999992</v>
      </c>
      <c r="KW146" s="37">
        <v>9.3213899999999992</v>
      </c>
      <c r="KX146" s="37">
        <v>9.3213899999999992</v>
      </c>
      <c r="KY146" s="37">
        <v>9.3213899999999992</v>
      </c>
      <c r="KZ146" s="37">
        <v>9.3213899999999992</v>
      </c>
      <c r="LA146" s="37">
        <v>9.3213899999999992</v>
      </c>
      <c r="LB146" s="37">
        <v>9.3213899999999992</v>
      </c>
      <c r="LC146" s="37">
        <v>9.3213899999999992</v>
      </c>
      <c r="LD146" s="37">
        <v>9.3213899999999992</v>
      </c>
      <c r="LE146" s="37">
        <v>9.3213899999999992</v>
      </c>
      <c r="LF146" s="37">
        <v>9.3213899999999992</v>
      </c>
      <c r="LG146" s="37">
        <v>9.3213899999999992</v>
      </c>
      <c r="LH146" s="37">
        <v>9.3213899999999992</v>
      </c>
      <c r="LI146" s="37">
        <v>9.3213899999999992</v>
      </c>
      <c r="LJ146" s="37">
        <v>9.3213899999999992</v>
      </c>
      <c r="LK146" s="37">
        <v>9.3213899999999992</v>
      </c>
      <c r="LL146" s="37">
        <v>9.3213899999999992</v>
      </c>
      <c r="LM146" s="37">
        <v>9.3213899999999992</v>
      </c>
      <c r="LN146" s="37">
        <v>9.3213899999999992</v>
      </c>
      <c r="LO146" s="37">
        <v>9.3213899999999992</v>
      </c>
      <c r="LP146" s="37">
        <v>9.3213899999999992</v>
      </c>
      <c r="LQ146" s="37">
        <v>9.3213899999999992</v>
      </c>
      <c r="LR146" s="37">
        <v>9.3213899999999992</v>
      </c>
      <c r="LS146" s="37">
        <v>9.3213899999999992</v>
      </c>
      <c r="LT146" s="37">
        <v>9.3213899999999992</v>
      </c>
      <c r="LU146" s="37">
        <v>9.3213899999999992</v>
      </c>
      <c r="LV146" s="37">
        <v>9.3213899999999992</v>
      </c>
      <c r="LW146" s="37">
        <v>9.3213899999999992</v>
      </c>
      <c r="LX146" s="37">
        <v>9.3213899999999992</v>
      </c>
      <c r="LY146" s="37">
        <v>9.3213899999999992</v>
      </c>
      <c r="LZ146" s="37">
        <v>9.3213899999999992</v>
      </c>
      <c r="MA146" s="37">
        <v>9.3213899999999992</v>
      </c>
      <c r="MB146" s="37">
        <v>9.3213899999999992</v>
      </c>
      <c r="MC146" s="37">
        <v>9.3213899999999992</v>
      </c>
      <c r="MD146" s="37">
        <v>9.3213899999999992</v>
      </c>
      <c r="ME146" s="37">
        <v>9.3213899999999992</v>
      </c>
      <c r="MF146" s="37">
        <v>9.3213899999999992</v>
      </c>
      <c r="MG146" s="37">
        <v>9.3213899999999992</v>
      </c>
      <c r="MH146" s="37">
        <v>9.3213899999999992</v>
      </c>
      <c r="MI146" s="37">
        <v>9.3213899999999992</v>
      </c>
      <c r="MJ146" s="37">
        <v>9.3213899999999992</v>
      </c>
      <c r="MK146" s="37">
        <v>9.3213899999999992</v>
      </c>
      <c r="ML146" s="37">
        <v>9.3213899999999992</v>
      </c>
      <c r="MM146" s="37">
        <v>9.3213899999999992</v>
      </c>
      <c r="MN146" s="37">
        <v>9.3213899999999992</v>
      </c>
      <c r="MO146" s="37">
        <v>9.3213899999999992</v>
      </c>
      <c r="MP146" s="37">
        <v>9.3213899999999992</v>
      </c>
      <c r="MQ146" s="37">
        <v>8.9911449999999995</v>
      </c>
      <c r="MR146" s="37">
        <v>0</v>
      </c>
      <c r="MS146" s="37">
        <v>0</v>
      </c>
      <c r="MT146" s="37">
        <v>0</v>
      </c>
      <c r="MU146" s="37">
        <v>0</v>
      </c>
      <c r="MV146" s="37">
        <v>0</v>
      </c>
      <c r="MW146" s="37">
        <v>0</v>
      </c>
      <c r="MX146" s="37">
        <v>0</v>
      </c>
      <c r="MY146" s="37">
        <v>0</v>
      </c>
      <c r="MZ146" s="37">
        <v>0</v>
      </c>
      <c r="NA146" s="37">
        <v>0</v>
      </c>
      <c r="NB146" s="37">
        <v>0</v>
      </c>
      <c r="NC146" s="37">
        <v>0</v>
      </c>
      <c r="ND146" s="37">
        <v>0</v>
      </c>
    </row>
    <row r="147" spans="1:372" x14ac:dyDescent="0.2">
      <c r="A147" s="37">
        <v>145</v>
      </c>
      <c r="B147" s="37" t="s">
        <v>1186</v>
      </c>
      <c r="C147" s="17">
        <f>+'Detalle Compras'!D147</f>
        <v>20231229724</v>
      </c>
      <c r="D147" s="55">
        <f t="shared" si="19"/>
        <v>15.716480000000001</v>
      </c>
      <c r="E147" s="14">
        <f>+IF(B147="","",'Detalle Compras'!S147+0)</f>
        <v>45483</v>
      </c>
      <c r="F147" s="14">
        <f>+IF(B147="","",EOMONTH('Detalle Compras'!Q147,G147)+10)</f>
        <v>10846</v>
      </c>
      <c r="G147" s="50">
        <f t="shared" si="20"/>
        <v>355</v>
      </c>
      <c r="H147" s="50">
        <f t="shared" si="21"/>
        <v>337</v>
      </c>
      <c r="I147" s="37">
        <v>0</v>
      </c>
      <c r="J147" s="37">
        <v>0</v>
      </c>
      <c r="K147" s="37">
        <v>0</v>
      </c>
      <c r="L147" s="37">
        <v>0</v>
      </c>
      <c r="M147" s="37">
        <v>15.716480000000001</v>
      </c>
      <c r="N147" s="37">
        <v>15.716480000000001</v>
      </c>
      <c r="O147" s="37">
        <v>15.716480000000001</v>
      </c>
      <c r="P147" s="37">
        <v>15.716480000000001</v>
      </c>
      <c r="Q147" s="37">
        <v>15.716480000000001</v>
      </c>
      <c r="R147" s="37">
        <v>15.716480000000001</v>
      </c>
      <c r="S147" s="37">
        <v>15.716480000000001</v>
      </c>
      <c r="T147" s="37">
        <v>15.716480000000001</v>
      </c>
      <c r="U147" s="37">
        <v>15.716480000000001</v>
      </c>
      <c r="V147" s="37">
        <v>15.716480000000001</v>
      </c>
      <c r="W147" s="37">
        <v>15.716480000000001</v>
      </c>
      <c r="X147" s="37">
        <v>15.716480000000001</v>
      </c>
      <c r="Y147" s="37">
        <v>15.716480000000001</v>
      </c>
      <c r="Z147" s="37">
        <v>15.716480000000001</v>
      </c>
      <c r="AA147" s="37">
        <v>15.716480000000001</v>
      </c>
      <c r="AB147" s="37">
        <v>15.716480000000001</v>
      </c>
      <c r="AC147" s="37">
        <v>15.716480000000001</v>
      </c>
      <c r="AD147" s="37">
        <v>15.716480000000001</v>
      </c>
      <c r="AE147" s="37">
        <v>15.716480000000001</v>
      </c>
      <c r="AF147" s="37">
        <v>15.716480000000001</v>
      </c>
      <c r="AG147" s="37">
        <v>15.716480000000001</v>
      </c>
      <c r="AH147" s="37">
        <v>15.716480000000001</v>
      </c>
      <c r="AI147" s="37">
        <v>15.716480000000001</v>
      </c>
      <c r="AJ147" s="37">
        <v>15.716480000000001</v>
      </c>
      <c r="AK147" s="37">
        <v>15.716480000000001</v>
      </c>
      <c r="AL147" s="37">
        <v>15.716480000000001</v>
      </c>
      <c r="AM147" s="37">
        <v>15.716480000000001</v>
      </c>
      <c r="AN147" s="37">
        <v>15.716480000000001</v>
      </c>
      <c r="AO147" s="37">
        <v>15.716480000000001</v>
      </c>
      <c r="AP147" s="37">
        <v>15.716480000000001</v>
      </c>
      <c r="AQ147" s="37">
        <v>15.716480000000001</v>
      </c>
      <c r="AR147" s="37">
        <v>15.716480000000001</v>
      </c>
      <c r="AS147" s="37">
        <v>15.716480000000001</v>
      </c>
      <c r="AT147" s="37">
        <v>15.716480000000001</v>
      </c>
      <c r="AU147" s="37">
        <v>15.716480000000001</v>
      </c>
      <c r="AV147" s="37">
        <v>15.716480000000001</v>
      </c>
      <c r="AW147" s="37">
        <v>15.716480000000001</v>
      </c>
      <c r="AX147" s="37">
        <v>15.716480000000001</v>
      </c>
      <c r="AY147" s="37">
        <v>15.716480000000001</v>
      </c>
      <c r="AZ147" s="37">
        <v>15.716480000000001</v>
      </c>
      <c r="BA147" s="37">
        <v>15.716480000000001</v>
      </c>
      <c r="BB147" s="37">
        <v>15.716480000000001</v>
      </c>
      <c r="BC147" s="37">
        <v>15.716480000000001</v>
      </c>
      <c r="BD147" s="37">
        <v>15.716480000000001</v>
      </c>
      <c r="BE147" s="37">
        <v>15.716480000000001</v>
      </c>
      <c r="BF147" s="37">
        <v>15.716480000000001</v>
      </c>
      <c r="BG147" s="37">
        <v>15.716480000000001</v>
      </c>
      <c r="BH147" s="37">
        <v>15.716480000000001</v>
      </c>
      <c r="BI147" s="37">
        <v>15.716480000000001</v>
      </c>
      <c r="BJ147" s="37">
        <v>15.716480000000001</v>
      </c>
      <c r="BK147" s="37">
        <v>15.716480000000001</v>
      </c>
      <c r="BL147" s="37">
        <v>15.716480000000001</v>
      </c>
      <c r="BM147" s="37">
        <v>15.716480000000001</v>
      </c>
      <c r="BN147" s="37">
        <v>15.716480000000001</v>
      </c>
      <c r="BO147" s="37">
        <v>15.716480000000001</v>
      </c>
      <c r="BP147" s="37">
        <v>15.716480000000001</v>
      </c>
      <c r="BQ147" s="37">
        <v>15.716480000000001</v>
      </c>
      <c r="BR147" s="37">
        <v>15.716480000000001</v>
      </c>
      <c r="BS147" s="37">
        <v>15.716480000000001</v>
      </c>
      <c r="BT147" s="37">
        <v>15.716480000000001</v>
      </c>
      <c r="BU147" s="37">
        <v>15.716480000000001</v>
      </c>
      <c r="BV147" s="37">
        <v>15.716480000000001</v>
      </c>
      <c r="BW147" s="37">
        <v>15.716480000000001</v>
      </c>
      <c r="BX147" s="37">
        <v>15.716480000000001</v>
      </c>
      <c r="BY147" s="37">
        <v>15.716480000000001</v>
      </c>
      <c r="BZ147" s="37">
        <v>15.716480000000001</v>
      </c>
      <c r="CA147" s="37">
        <v>15.716480000000001</v>
      </c>
      <c r="CB147" s="37">
        <v>15.716480000000001</v>
      </c>
      <c r="CC147" s="37">
        <v>15.716480000000001</v>
      </c>
      <c r="CD147" s="37">
        <v>15.716480000000001</v>
      </c>
      <c r="CE147" s="37">
        <v>15.716480000000001</v>
      </c>
      <c r="CF147" s="37">
        <v>15.716480000000001</v>
      </c>
      <c r="CG147" s="37">
        <v>15.716480000000001</v>
      </c>
      <c r="CH147" s="37">
        <v>15.716480000000001</v>
      </c>
      <c r="CI147" s="37">
        <v>15.716480000000001</v>
      </c>
      <c r="CJ147" s="37">
        <v>15.716480000000001</v>
      </c>
      <c r="CK147" s="37">
        <v>15.716480000000001</v>
      </c>
      <c r="CL147" s="37">
        <v>15.716480000000001</v>
      </c>
      <c r="CM147" s="37">
        <v>15.716480000000001</v>
      </c>
      <c r="CN147" s="37">
        <v>15.716480000000001</v>
      </c>
      <c r="CO147" s="37">
        <v>15.716480000000001</v>
      </c>
      <c r="CP147" s="37">
        <v>15.716480000000001</v>
      </c>
      <c r="CQ147" s="37">
        <v>15.716480000000001</v>
      </c>
      <c r="CR147" s="37">
        <v>15.716480000000001</v>
      </c>
      <c r="CS147" s="37">
        <v>15.716480000000001</v>
      </c>
      <c r="CT147" s="37">
        <v>15.716480000000001</v>
      </c>
      <c r="CU147" s="37">
        <v>15.716480000000001</v>
      </c>
      <c r="CV147" s="37">
        <v>15.716480000000001</v>
      </c>
      <c r="CW147" s="37">
        <v>15.716480000000001</v>
      </c>
      <c r="CX147" s="37">
        <v>15.716480000000001</v>
      </c>
      <c r="CY147" s="37">
        <v>15.716480000000001</v>
      </c>
      <c r="CZ147" s="37">
        <v>15.716480000000001</v>
      </c>
      <c r="DA147" s="37">
        <v>15.716480000000001</v>
      </c>
      <c r="DB147" s="37">
        <v>15.716480000000001</v>
      </c>
      <c r="DC147" s="37">
        <v>15.716480000000001</v>
      </c>
      <c r="DD147" s="37">
        <v>15.716480000000001</v>
      </c>
      <c r="DE147" s="37">
        <v>15.716480000000001</v>
      </c>
      <c r="DF147" s="37">
        <v>15.716480000000001</v>
      </c>
      <c r="DG147" s="37">
        <v>15.716480000000001</v>
      </c>
      <c r="DH147" s="37">
        <v>15.716480000000001</v>
      </c>
      <c r="DI147" s="37">
        <v>15.716480000000001</v>
      </c>
      <c r="DJ147" s="37">
        <v>15.716480000000001</v>
      </c>
      <c r="DK147" s="37">
        <v>15.716480000000001</v>
      </c>
      <c r="DL147" s="37">
        <v>15.716480000000001</v>
      </c>
      <c r="DM147" s="37">
        <v>15.716480000000001</v>
      </c>
      <c r="DN147" s="37">
        <v>15.716480000000001</v>
      </c>
      <c r="DO147" s="37">
        <v>15.716480000000001</v>
      </c>
      <c r="DP147" s="37">
        <v>15.716480000000001</v>
      </c>
      <c r="DQ147" s="37">
        <v>15.716480000000001</v>
      </c>
      <c r="DR147" s="37">
        <v>15.716480000000001</v>
      </c>
      <c r="DS147" s="37">
        <v>15.716480000000001</v>
      </c>
      <c r="DT147" s="37">
        <v>15.716480000000001</v>
      </c>
      <c r="DU147" s="37">
        <v>15.716480000000001</v>
      </c>
      <c r="DV147" s="37">
        <v>15.716480000000001</v>
      </c>
      <c r="DW147" s="37">
        <v>15.716480000000001</v>
      </c>
      <c r="DX147" s="37">
        <v>15.716480000000001</v>
      </c>
      <c r="DY147" s="37">
        <v>15.716480000000001</v>
      </c>
      <c r="DZ147" s="37">
        <v>15.716480000000001</v>
      </c>
      <c r="EA147" s="37">
        <v>15.716480000000001</v>
      </c>
      <c r="EB147" s="37">
        <v>15.716480000000001</v>
      </c>
      <c r="EC147" s="37">
        <v>15.716480000000001</v>
      </c>
      <c r="ED147" s="37">
        <v>15.716480000000001</v>
      </c>
      <c r="EE147" s="37">
        <v>15.716480000000001</v>
      </c>
      <c r="EF147" s="37">
        <v>15.716480000000001</v>
      </c>
      <c r="EG147" s="37">
        <v>15.716480000000001</v>
      </c>
      <c r="EH147" s="37">
        <v>15.716480000000001</v>
      </c>
      <c r="EI147" s="37">
        <v>15.716480000000001</v>
      </c>
      <c r="EJ147" s="37">
        <v>15.716480000000001</v>
      </c>
      <c r="EK147" s="37">
        <v>15.716480000000001</v>
      </c>
      <c r="EL147" s="37">
        <v>15.716480000000001</v>
      </c>
      <c r="EM147" s="37">
        <v>15.716480000000001</v>
      </c>
      <c r="EN147" s="37">
        <v>15.716480000000001</v>
      </c>
      <c r="EO147" s="37">
        <v>15.716480000000001</v>
      </c>
      <c r="EP147" s="37">
        <v>15.716480000000001</v>
      </c>
      <c r="EQ147" s="37">
        <v>15.716480000000001</v>
      </c>
      <c r="ER147" s="37">
        <v>15.716480000000001</v>
      </c>
      <c r="ES147" s="37">
        <v>15.716480000000001</v>
      </c>
      <c r="ET147" s="37">
        <v>15.716480000000001</v>
      </c>
      <c r="EU147" s="37">
        <v>15.716480000000001</v>
      </c>
      <c r="EV147" s="37">
        <v>15.716480000000001</v>
      </c>
      <c r="EW147" s="37">
        <v>15.716480000000001</v>
      </c>
      <c r="EX147" s="37">
        <v>15.716480000000001</v>
      </c>
      <c r="EY147" s="37">
        <v>15.716480000000001</v>
      </c>
      <c r="EZ147" s="37">
        <v>15.716480000000001</v>
      </c>
      <c r="FA147" s="37">
        <v>15.716480000000001</v>
      </c>
      <c r="FB147" s="37">
        <v>15.716480000000001</v>
      </c>
      <c r="FC147" s="37">
        <v>15.716480000000001</v>
      </c>
      <c r="FD147" s="37">
        <v>15.716480000000001</v>
      </c>
      <c r="FE147" s="37">
        <v>15.716480000000001</v>
      </c>
      <c r="FF147" s="37">
        <v>15.716480000000001</v>
      </c>
      <c r="FG147" s="37">
        <v>15.716480000000001</v>
      </c>
      <c r="FH147" s="37">
        <v>15.716480000000001</v>
      </c>
      <c r="FI147" s="37">
        <v>15.716480000000001</v>
      </c>
      <c r="FJ147" s="37">
        <v>15.716480000000001</v>
      </c>
      <c r="FK147" s="37">
        <v>15.716480000000001</v>
      </c>
      <c r="FL147" s="37">
        <v>15.716480000000001</v>
      </c>
      <c r="FM147" s="37">
        <v>15.716480000000001</v>
      </c>
      <c r="FN147" s="37">
        <v>15.716480000000001</v>
      </c>
      <c r="FO147" s="37">
        <v>15.716480000000001</v>
      </c>
      <c r="FP147" s="37">
        <v>15.716480000000001</v>
      </c>
      <c r="FQ147" s="37">
        <v>15.716480000000001</v>
      </c>
      <c r="FR147" s="37">
        <v>15.716480000000001</v>
      </c>
      <c r="FS147" s="37">
        <v>15.716480000000001</v>
      </c>
      <c r="FT147" s="37">
        <v>15.716480000000001</v>
      </c>
      <c r="FU147" s="37">
        <v>15.716480000000001</v>
      </c>
      <c r="FV147" s="37">
        <v>15.716480000000001</v>
      </c>
      <c r="FW147" s="37">
        <v>15.716480000000001</v>
      </c>
      <c r="FX147" s="37">
        <v>15.716480000000001</v>
      </c>
      <c r="FY147" s="37">
        <v>15.716480000000001</v>
      </c>
      <c r="FZ147" s="37">
        <v>15.716480000000001</v>
      </c>
      <c r="GA147" s="37">
        <v>15.716480000000001</v>
      </c>
      <c r="GB147" s="37">
        <v>15.716480000000001</v>
      </c>
      <c r="GC147" s="37">
        <v>15.716480000000001</v>
      </c>
      <c r="GD147" s="37">
        <v>15.716480000000001</v>
      </c>
      <c r="GE147" s="37">
        <v>15.716480000000001</v>
      </c>
      <c r="GF147" s="37">
        <v>15.716480000000001</v>
      </c>
      <c r="GG147" s="37">
        <v>15.716480000000001</v>
      </c>
      <c r="GH147" s="37">
        <v>15.716480000000001</v>
      </c>
      <c r="GI147" s="37">
        <v>15.716480000000001</v>
      </c>
      <c r="GJ147" s="37">
        <v>15.716480000000001</v>
      </c>
      <c r="GK147" s="37">
        <v>15.716480000000001</v>
      </c>
      <c r="GL147" s="37">
        <v>15.716480000000001</v>
      </c>
      <c r="GM147" s="37">
        <v>15.716480000000001</v>
      </c>
      <c r="GN147" s="37">
        <v>15.716480000000001</v>
      </c>
      <c r="GO147" s="37">
        <v>15.716480000000001</v>
      </c>
      <c r="GP147" s="37">
        <v>15.716480000000001</v>
      </c>
      <c r="GQ147" s="37">
        <v>15.716480000000001</v>
      </c>
      <c r="GR147" s="37">
        <v>15.716480000000001</v>
      </c>
      <c r="GS147" s="37">
        <v>15.716480000000001</v>
      </c>
      <c r="GT147" s="37">
        <v>15.716480000000001</v>
      </c>
      <c r="GU147" s="37">
        <v>15.716480000000001</v>
      </c>
      <c r="GV147" s="37">
        <v>15.716480000000001</v>
      </c>
      <c r="GW147" s="37">
        <v>15.716480000000001</v>
      </c>
      <c r="GX147" s="37">
        <v>15.716480000000001</v>
      </c>
      <c r="GY147" s="37">
        <v>15.716480000000001</v>
      </c>
      <c r="GZ147" s="37">
        <v>15.716480000000001</v>
      </c>
      <c r="HA147" s="37">
        <v>15.716480000000001</v>
      </c>
      <c r="HB147" s="37">
        <v>15.716480000000001</v>
      </c>
      <c r="HC147" s="37">
        <v>15.716480000000001</v>
      </c>
      <c r="HD147" s="37">
        <v>15.716480000000001</v>
      </c>
      <c r="HE147" s="37">
        <v>15.716480000000001</v>
      </c>
      <c r="HF147" s="37">
        <v>15.716480000000001</v>
      </c>
      <c r="HG147" s="37">
        <v>15.716480000000001</v>
      </c>
      <c r="HH147" s="37">
        <v>15.716480000000001</v>
      </c>
      <c r="HI147" s="37">
        <v>15.716480000000001</v>
      </c>
      <c r="HJ147" s="37">
        <v>15.716480000000001</v>
      </c>
      <c r="HK147" s="37">
        <v>15.716480000000001</v>
      </c>
      <c r="HL147" s="37">
        <v>15.716480000000001</v>
      </c>
      <c r="HM147" s="37">
        <v>15.716480000000001</v>
      </c>
      <c r="HN147" s="37">
        <v>15.716480000000001</v>
      </c>
      <c r="HO147" s="37">
        <v>15.716480000000001</v>
      </c>
      <c r="HP147" s="37">
        <v>15.716480000000001</v>
      </c>
      <c r="HQ147" s="37">
        <v>15.716480000000001</v>
      </c>
      <c r="HR147" s="37">
        <v>15.716480000000001</v>
      </c>
      <c r="HS147" s="37">
        <v>15.716480000000001</v>
      </c>
      <c r="HT147" s="37">
        <v>15.716480000000001</v>
      </c>
      <c r="HU147" s="37">
        <v>15.716480000000001</v>
      </c>
      <c r="HV147" s="37">
        <v>15.716480000000001</v>
      </c>
      <c r="HW147" s="37">
        <v>15.716480000000001</v>
      </c>
      <c r="HX147" s="37">
        <v>15.716480000000001</v>
      </c>
      <c r="HY147" s="37">
        <v>15.716480000000001</v>
      </c>
      <c r="HZ147" s="37">
        <v>15.716480000000001</v>
      </c>
      <c r="IA147" s="37">
        <v>15.716480000000001</v>
      </c>
      <c r="IB147" s="37">
        <v>15.716480000000001</v>
      </c>
      <c r="IC147" s="37">
        <v>15.716480000000001</v>
      </c>
      <c r="ID147" s="37">
        <v>15.716480000000001</v>
      </c>
      <c r="IE147" s="37">
        <v>15.716480000000001</v>
      </c>
      <c r="IF147" s="37">
        <v>15.716480000000001</v>
      </c>
      <c r="IG147" s="37">
        <v>15.716480000000001</v>
      </c>
      <c r="IH147" s="37">
        <v>15.716480000000001</v>
      </c>
      <c r="II147" s="37">
        <v>15.716480000000001</v>
      </c>
      <c r="IJ147" s="37">
        <v>15.716480000000001</v>
      </c>
      <c r="IK147" s="37">
        <v>15.716480000000001</v>
      </c>
      <c r="IL147" s="37">
        <v>15.716480000000001</v>
      </c>
      <c r="IM147" s="37">
        <v>15.716480000000001</v>
      </c>
      <c r="IN147" s="37">
        <v>15.716480000000001</v>
      </c>
      <c r="IO147" s="37">
        <v>15.716480000000001</v>
      </c>
      <c r="IP147" s="37">
        <v>15.716480000000001</v>
      </c>
      <c r="IQ147" s="37">
        <v>15.716480000000001</v>
      </c>
      <c r="IR147" s="37">
        <v>15.716480000000001</v>
      </c>
      <c r="IS147" s="37">
        <v>15.716480000000001</v>
      </c>
      <c r="IT147" s="37">
        <v>15.716480000000001</v>
      </c>
      <c r="IU147" s="37">
        <v>15.716480000000001</v>
      </c>
      <c r="IV147" s="37">
        <v>15.716480000000001</v>
      </c>
      <c r="IW147" s="37">
        <v>15.716480000000001</v>
      </c>
      <c r="IX147" s="37">
        <v>15.716480000000001</v>
      </c>
      <c r="IY147" s="37">
        <v>15.716480000000001</v>
      </c>
      <c r="IZ147" s="37">
        <v>15.716480000000001</v>
      </c>
      <c r="JA147" s="37">
        <v>15.716480000000001</v>
      </c>
      <c r="JB147" s="37">
        <v>15.716480000000001</v>
      </c>
      <c r="JC147" s="37">
        <v>15.716480000000001</v>
      </c>
      <c r="JD147" s="37">
        <v>15.716480000000001</v>
      </c>
      <c r="JE147" s="37">
        <v>15.716480000000001</v>
      </c>
      <c r="JF147" s="37">
        <v>15.716480000000001</v>
      </c>
      <c r="JG147" s="37">
        <v>15.716480000000001</v>
      </c>
      <c r="JH147" s="37">
        <v>15.716480000000001</v>
      </c>
      <c r="JI147" s="37">
        <v>15.716480000000001</v>
      </c>
      <c r="JJ147" s="37">
        <v>15.716480000000001</v>
      </c>
      <c r="JK147" s="37">
        <v>15.716480000000001</v>
      </c>
      <c r="JL147" s="37">
        <v>15.716480000000001</v>
      </c>
      <c r="JM147" s="37">
        <v>15.716480000000001</v>
      </c>
      <c r="JN147" s="37">
        <v>15.716480000000001</v>
      </c>
      <c r="JO147" s="37">
        <v>15.716480000000001</v>
      </c>
      <c r="JP147" s="37">
        <v>15.716480000000001</v>
      </c>
      <c r="JQ147" s="37">
        <v>15.716480000000001</v>
      </c>
      <c r="JR147" s="37">
        <v>15.716480000000001</v>
      </c>
      <c r="JS147" s="37">
        <v>15.716480000000001</v>
      </c>
      <c r="JT147" s="37">
        <v>15.716480000000001</v>
      </c>
      <c r="JU147" s="37">
        <v>15.716480000000001</v>
      </c>
      <c r="JV147" s="37">
        <v>15.716480000000001</v>
      </c>
      <c r="JW147" s="37">
        <v>15.716480000000001</v>
      </c>
      <c r="JX147" s="37">
        <v>15.716480000000001</v>
      </c>
      <c r="JY147" s="37">
        <v>15.716480000000001</v>
      </c>
      <c r="JZ147" s="37">
        <v>15.716480000000001</v>
      </c>
      <c r="KA147" s="37">
        <v>15.716480000000001</v>
      </c>
      <c r="KB147" s="37">
        <v>15.716480000000001</v>
      </c>
      <c r="KC147" s="37">
        <v>15.716480000000001</v>
      </c>
      <c r="KD147" s="37">
        <v>15.716480000000001</v>
      </c>
      <c r="KE147" s="37">
        <v>15.716480000000001</v>
      </c>
      <c r="KF147" s="37">
        <v>15.716480000000001</v>
      </c>
      <c r="KG147" s="37">
        <v>15.716480000000001</v>
      </c>
      <c r="KH147" s="37">
        <v>15.716480000000001</v>
      </c>
      <c r="KI147" s="37">
        <v>15.716480000000001</v>
      </c>
      <c r="KJ147" s="37">
        <v>15.716480000000001</v>
      </c>
      <c r="KK147" s="37">
        <v>15.716480000000001</v>
      </c>
      <c r="KL147" s="37">
        <v>15.716480000000001</v>
      </c>
      <c r="KM147" s="37">
        <v>15.716480000000001</v>
      </c>
      <c r="KN147" s="37">
        <v>15.716480000000001</v>
      </c>
      <c r="KO147" s="37">
        <v>15.716480000000001</v>
      </c>
      <c r="KP147" s="37">
        <v>15.716480000000001</v>
      </c>
      <c r="KQ147" s="37">
        <v>15.716480000000001</v>
      </c>
      <c r="KR147" s="37">
        <v>15.716480000000001</v>
      </c>
      <c r="KS147" s="37">
        <v>15.716480000000001</v>
      </c>
      <c r="KT147" s="37">
        <v>15.716480000000001</v>
      </c>
      <c r="KU147" s="37">
        <v>15.716480000000001</v>
      </c>
      <c r="KV147" s="37">
        <v>15.716480000000001</v>
      </c>
      <c r="KW147" s="37">
        <v>15.716480000000001</v>
      </c>
      <c r="KX147" s="37">
        <v>15.716480000000001</v>
      </c>
      <c r="KY147" s="37">
        <v>15.716480000000001</v>
      </c>
      <c r="KZ147" s="37">
        <v>15.716480000000001</v>
      </c>
      <c r="LA147" s="52">
        <v>15.716480000000001</v>
      </c>
      <c r="LB147" s="52">
        <v>15.716480000000001</v>
      </c>
      <c r="LC147" s="52">
        <v>15.716480000000001</v>
      </c>
      <c r="LD147" s="52">
        <v>15.716480000000001</v>
      </c>
      <c r="LE147" s="52">
        <v>15.716480000000001</v>
      </c>
      <c r="LF147" s="52">
        <v>15.716480000000001</v>
      </c>
      <c r="LG147" s="52">
        <v>15.716480000000001</v>
      </c>
      <c r="LH147" s="52">
        <v>15.716480000000001</v>
      </c>
      <c r="LI147" s="52">
        <v>15.716480000000001</v>
      </c>
      <c r="LJ147" s="52">
        <v>15.716480000000001</v>
      </c>
      <c r="LK147" s="52">
        <v>15.716480000000001</v>
      </c>
      <c r="LL147" s="52">
        <v>15.716480000000001</v>
      </c>
      <c r="LM147" s="52">
        <v>15.716480000000001</v>
      </c>
      <c r="LN147" s="52">
        <v>15.716480000000001</v>
      </c>
      <c r="LO147" s="52">
        <v>15.716480000000001</v>
      </c>
      <c r="LP147" s="52">
        <v>15.716480000000001</v>
      </c>
      <c r="LQ147" s="52">
        <v>15.716480000000001</v>
      </c>
      <c r="LR147" s="52">
        <v>15.716480000000001</v>
      </c>
      <c r="LS147" s="52">
        <v>15.716480000000001</v>
      </c>
      <c r="LT147" s="52">
        <v>15.716480000000001</v>
      </c>
      <c r="LU147" s="52">
        <v>15.716480000000001</v>
      </c>
      <c r="LV147" s="52">
        <v>15.716480000000001</v>
      </c>
      <c r="LW147" s="52">
        <v>15.716480000000001</v>
      </c>
      <c r="LX147" s="52">
        <v>15.716480000000001</v>
      </c>
      <c r="LY147" s="52">
        <v>15.716480000000001</v>
      </c>
      <c r="LZ147" s="52">
        <v>15.716480000000001</v>
      </c>
      <c r="MA147" s="52">
        <v>15.716480000000001</v>
      </c>
      <c r="MB147" s="52">
        <v>15.716480000000001</v>
      </c>
      <c r="MC147" s="52">
        <v>15.716480000000001</v>
      </c>
      <c r="MD147" s="52">
        <v>15.716480000000001</v>
      </c>
      <c r="ME147" s="52">
        <v>15.716480000000001</v>
      </c>
      <c r="MF147" s="52">
        <v>15.716480000000001</v>
      </c>
      <c r="MG147" s="52">
        <v>15.716480000000001</v>
      </c>
      <c r="MH147" s="52">
        <v>15.716480000000001</v>
      </c>
      <c r="MI147" s="52">
        <v>15.716480000000001</v>
      </c>
      <c r="MJ147" s="52">
        <v>15.716480000000001</v>
      </c>
      <c r="MK147" s="52">
        <v>15.716480000000001</v>
      </c>
      <c r="ML147" s="52">
        <v>15.716480000000001</v>
      </c>
      <c r="MM147" s="52">
        <v>15.716480000000001</v>
      </c>
      <c r="MN147" s="52">
        <v>15.716480000000001</v>
      </c>
      <c r="MO147" s="52">
        <v>15.716480000000001</v>
      </c>
      <c r="MP147" s="52">
        <v>15.716480000000001</v>
      </c>
      <c r="MQ147" s="52">
        <v>15.716480000000001</v>
      </c>
      <c r="MR147" s="52">
        <v>15.716480000000001</v>
      </c>
      <c r="MS147" s="52">
        <v>15.716480000000001</v>
      </c>
      <c r="MT147" s="52">
        <v>15.716480000000001</v>
      </c>
      <c r="MU147" s="52">
        <v>15.716480000000001</v>
      </c>
      <c r="MV147" s="52">
        <v>15.716480000000001</v>
      </c>
      <c r="MW147" s="52">
        <v>15.716480000000001</v>
      </c>
      <c r="MX147" s="52">
        <v>15.716480000000001</v>
      </c>
      <c r="MY147" s="52">
        <v>15.716480000000001</v>
      </c>
      <c r="MZ147" s="52">
        <v>15.716480000000001</v>
      </c>
      <c r="NA147" s="52">
        <v>15.716480000000001</v>
      </c>
      <c r="NB147" s="52">
        <v>15.716480000000001</v>
      </c>
      <c r="NC147" s="52">
        <v>15.78096</v>
      </c>
      <c r="ND147" s="52">
        <v>0</v>
      </c>
      <c r="NE147" s="52"/>
      <c r="NF147" s="52"/>
      <c r="NG147" s="52"/>
    </row>
    <row r="148" spans="1:372" x14ac:dyDescent="0.2">
      <c r="A148" s="37">
        <v>146</v>
      </c>
      <c r="B148" s="37" t="s">
        <v>1191</v>
      </c>
      <c r="C148" s="17">
        <f>+'Detalle Compras'!D148</f>
        <v>20240117001</v>
      </c>
      <c r="D148" s="55">
        <f t="shared" si="19"/>
        <v>9.9979460000000007</v>
      </c>
      <c r="E148" s="14">
        <f>+IF(B148="","",'Detalle Compras'!S148+0)</f>
        <v>45514</v>
      </c>
      <c r="F148" s="14">
        <f>+IF(B148="","",EOMONTH('Detalle Compras'!Q148,G148)+10)</f>
        <v>10846</v>
      </c>
      <c r="G148" s="50">
        <f t="shared" si="20"/>
        <v>355</v>
      </c>
      <c r="H148" s="50">
        <f t="shared" si="21"/>
        <v>337</v>
      </c>
      <c r="I148" s="37">
        <v>0</v>
      </c>
      <c r="J148" s="37">
        <v>0</v>
      </c>
      <c r="K148" s="37">
        <v>0</v>
      </c>
      <c r="L148" s="37">
        <v>0</v>
      </c>
      <c r="M148" s="37">
        <v>0</v>
      </c>
      <c r="N148" s="37">
        <v>9.9979460000000007</v>
      </c>
      <c r="O148" s="37">
        <v>9.9979460000000007</v>
      </c>
      <c r="P148" s="37">
        <v>9.9979460000000007</v>
      </c>
      <c r="Q148" s="37">
        <v>9.9979460000000007</v>
      </c>
      <c r="R148" s="37">
        <v>9.9979460000000007</v>
      </c>
      <c r="S148" s="37">
        <v>9.9979460000000007</v>
      </c>
      <c r="T148" s="37">
        <v>9.9979460000000007</v>
      </c>
      <c r="U148" s="37">
        <v>9.9979460000000007</v>
      </c>
      <c r="V148" s="37">
        <v>9.9979460000000007</v>
      </c>
      <c r="W148" s="37">
        <v>9.9979460000000007</v>
      </c>
      <c r="X148" s="37">
        <v>9.9979460000000007</v>
      </c>
      <c r="Y148" s="37">
        <v>9.9979460000000007</v>
      </c>
      <c r="Z148" s="37">
        <v>9.9979460000000007</v>
      </c>
      <c r="AA148" s="37">
        <v>9.9979460000000007</v>
      </c>
      <c r="AB148" s="37">
        <v>9.9979460000000007</v>
      </c>
      <c r="AC148" s="37">
        <v>9.9979460000000007</v>
      </c>
      <c r="AD148" s="37">
        <v>9.9979460000000007</v>
      </c>
      <c r="AE148" s="37">
        <v>9.9979460000000007</v>
      </c>
      <c r="AF148" s="37">
        <v>9.9979460000000007</v>
      </c>
      <c r="AG148" s="37">
        <v>9.9979460000000007</v>
      </c>
      <c r="AH148" s="37">
        <v>9.9979460000000007</v>
      </c>
      <c r="AI148" s="37">
        <v>9.9979460000000007</v>
      </c>
      <c r="AJ148" s="37">
        <v>9.9979460000000007</v>
      </c>
      <c r="AK148" s="37">
        <v>9.9979460000000007</v>
      </c>
      <c r="AL148" s="37">
        <v>9.9979460000000007</v>
      </c>
      <c r="AM148" s="37">
        <v>9.9979460000000007</v>
      </c>
      <c r="AN148" s="37">
        <v>9.9979460000000007</v>
      </c>
      <c r="AO148" s="37">
        <v>9.9979460000000007</v>
      </c>
      <c r="AP148" s="37">
        <v>9.9979460000000007</v>
      </c>
      <c r="AQ148" s="37">
        <v>9.9979460000000007</v>
      </c>
      <c r="AR148" s="37">
        <v>9.9979460000000007</v>
      </c>
      <c r="AS148" s="37">
        <v>9.9979460000000007</v>
      </c>
      <c r="AT148" s="37">
        <v>9.9979460000000007</v>
      </c>
      <c r="AU148" s="37">
        <v>9.9979460000000007</v>
      </c>
      <c r="AV148" s="37">
        <v>9.9979460000000007</v>
      </c>
      <c r="AW148" s="37">
        <v>9.9979460000000007</v>
      </c>
      <c r="AX148" s="37">
        <v>9.9979460000000007</v>
      </c>
      <c r="AY148" s="37">
        <v>9.9979460000000007</v>
      </c>
      <c r="AZ148" s="37">
        <v>9.9979460000000007</v>
      </c>
      <c r="BA148" s="37">
        <v>9.9979460000000007</v>
      </c>
      <c r="BB148" s="37">
        <v>9.9979460000000007</v>
      </c>
      <c r="BC148" s="37">
        <v>9.9979460000000007</v>
      </c>
      <c r="BD148" s="37">
        <v>9.9979460000000007</v>
      </c>
      <c r="BE148" s="37">
        <v>9.9979460000000007</v>
      </c>
      <c r="BF148" s="37">
        <v>9.9979460000000007</v>
      </c>
      <c r="BG148" s="37">
        <v>9.9979460000000007</v>
      </c>
      <c r="BH148" s="37">
        <v>9.9979460000000007</v>
      </c>
      <c r="BI148" s="37">
        <v>9.9979460000000007</v>
      </c>
      <c r="BJ148" s="37">
        <v>9.9979460000000007</v>
      </c>
      <c r="BK148" s="37">
        <v>9.9979460000000007</v>
      </c>
      <c r="BL148" s="37">
        <v>9.9979460000000007</v>
      </c>
      <c r="BM148" s="37">
        <v>9.9979460000000007</v>
      </c>
      <c r="BN148" s="37">
        <v>9.9979460000000007</v>
      </c>
      <c r="BO148" s="37">
        <v>9.9979460000000007</v>
      </c>
      <c r="BP148" s="37">
        <v>9.9979460000000007</v>
      </c>
      <c r="BQ148" s="37">
        <v>9.9979460000000007</v>
      </c>
      <c r="BR148" s="37">
        <v>9.9979460000000007</v>
      </c>
      <c r="BS148" s="37">
        <v>9.9979460000000007</v>
      </c>
      <c r="BT148" s="37">
        <v>9.9979460000000007</v>
      </c>
      <c r="BU148" s="37">
        <v>9.9979460000000007</v>
      </c>
      <c r="BV148" s="37">
        <v>9.9979460000000007</v>
      </c>
      <c r="BW148" s="37">
        <v>9.9979460000000007</v>
      </c>
      <c r="BX148" s="37">
        <v>9.9979460000000007</v>
      </c>
      <c r="BY148" s="37">
        <v>9.9979460000000007</v>
      </c>
      <c r="BZ148" s="37">
        <v>9.9979460000000007</v>
      </c>
      <c r="CA148" s="37">
        <v>9.9979460000000007</v>
      </c>
      <c r="CB148" s="37">
        <v>9.9979460000000007</v>
      </c>
      <c r="CC148" s="37">
        <v>9.9979460000000007</v>
      </c>
      <c r="CD148" s="37">
        <v>9.9979460000000007</v>
      </c>
      <c r="CE148" s="37">
        <v>9.9979460000000007</v>
      </c>
      <c r="CF148" s="37">
        <v>9.9979460000000007</v>
      </c>
      <c r="CG148" s="37">
        <v>9.9979460000000007</v>
      </c>
      <c r="CH148" s="37">
        <v>9.9979460000000007</v>
      </c>
      <c r="CI148" s="37">
        <v>9.9979460000000007</v>
      </c>
      <c r="CJ148" s="37">
        <v>9.9979460000000007</v>
      </c>
      <c r="CK148" s="37">
        <v>9.9979460000000007</v>
      </c>
      <c r="CL148" s="37">
        <v>9.9979460000000007</v>
      </c>
      <c r="CM148" s="37">
        <v>9.9979460000000007</v>
      </c>
      <c r="CN148" s="37">
        <v>9.9979460000000007</v>
      </c>
      <c r="CO148" s="37">
        <v>9.9979460000000007</v>
      </c>
      <c r="CP148" s="37">
        <v>9.9979460000000007</v>
      </c>
      <c r="CQ148" s="37">
        <v>9.9979460000000007</v>
      </c>
      <c r="CR148" s="37">
        <v>9.9979460000000007</v>
      </c>
      <c r="CS148" s="37">
        <v>9.9979460000000007</v>
      </c>
      <c r="CT148" s="37">
        <v>9.9979460000000007</v>
      </c>
      <c r="CU148" s="37">
        <v>9.9979460000000007</v>
      </c>
      <c r="CV148" s="37">
        <v>9.9979460000000007</v>
      </c>
      <c r="CW148" s="37">
        <v>9.9979460000000007</v>
      </c>
      <c r="CX148" s="37">
        <v>9.9979460000000007</v>
      </c>
      <c r="CY148" s="37">
        <v>9.9979460000000007</v>
      </c>
      <c r="CZ148" s="37">
        <v>9.9979460000000007</v>
      </c>
      <c r="DA148" s="37">
        <v>9.9979460000000007</v>
      </c>
      <c r="DB148" s="37">
        <v>9.9979460000000007</v>
      </c>
      <c r="DC148" s="37">
        <v>9.9979460000000007</v>
      </c>
      <c r="DD148" s="37">
        <v>9.9979460000000007</v>
      </c>
      <c r="DE148" s="37">
        <v>9.9979460000000007</v>
      </c>
      <c r="DF148" s="37">
        <v>9.9979460000000007</v>
      </c>
      <c r="DG148" s="37">
        <v>9.9979460000000007</v>
      </c>
      <c r="DH148" s="37">
        <v>9.9979460000000007</v>
      </c>
      <c r="DI148" s="37">
        <v>9.9979460000000007</v>
      </c>
      <c r="DJ148" s="37">
        <v>9.9979460000000007</v>
      </c>
      <c r="DK148" s="37">
        <v>9.9979460000000007</v>
      </c>
      <c r="DL148" s="37">
        <v>9.9979460000000007</v>
      </c>
      <c r="DM148" s="37">
        <v>9.9979460000000007</v>
      </c>
      <c r="DN148" s="37">
        <v>9.9979460000000007</v>
      </c>
      <c r="DO148" s="37">
        <v>9.9979460000000007</v>
      </c>
      <c r="DP148" s="37">
        <v>9.9979460000000007</v>
      </c>
      <c r="DQ148" s="37">
        <v>9.9979460000000007</v>
      </c>
      <c r="DR148" s="37">
        <v>9.9979460000000007</v>
      </c>
      <c r="DS148" s="37">
        <v>9.9979460000000007</v>
      </c>
      <c r="DT148" s="37">
        <v>9.9979460000000007</v>
      </c>
      <c r="DU148" s="37">
        <v>9.9979460000000007</v>
      </c>
      <c r="DV148" s="37">
        <v>9.9979460000000007</v>
      </c>
      <c r="DW148" s="37">
        <v>9.9979460000000007</v>
      </c>
      <c r="DX148" s="37">
        <v>9.9979460000000007</v>
      </c>
      <c r="DY148" s="37">
        <v>9.9979460000000007</v>
      </c>
      <c r="DZ148" s="37">
        <v>9.9979460000000007</v>
      </c>
      <c r="EA148" s="37">
        <v>9.9979460000000007</v>
      </c>
      <c r="EB148" s="37">
        <v>9.9979460000000007</v>
      </c>
      <c r="EC148" s="37">
        <v>9.9979460000000007</v>
      </c>
      <c r="ED148" s="37">
        <v>9.9979460000000007</v>
      </c>
      <c r="EE148" s="37">
        <v>9.9979460000000007</v>
      </c>
      <c r="EF148" s="37">
        <v>9.9979460000000007</v>
      </c>
      <c r="EG148" s="37">
        <v>9.9979460000000007</v>
      </c>
      <c r="EH148" s="37">
        <v>9.9979460000000007</v>
      </c>
      <c r="EI148" s="37">
        <v>9.9979460000000007</v>
      </c>
      <c r="EJ148" s="37">
        <v>9.9979460000000007</v>
      </c>
      <c r="EK148" s="37">
        <v>9.9979460000000007</v>
      </c>
      <c r="EL148" s="37">
        <v>9.9979460000000007</v>
      </c>
      <c r="EM148" s="37">
        <v>9.9979460000000007</v>
      </c>
      <c r="EN148" s="37">
        <v>9.9979460000000007</v>
      </c>
      <c r="EO148" s="37">
        <v>9.9979460000000007</v>
      </c>
      <c r="EP148" s="37">
        <v>9.9979460000000007</v>
      </c>
      <c r="EQ148" s="37">
        <v>9.9979460000000007</v>
      </c>
      <c r="ER148" s="37">
        <v>9.9979460000000007</v>
      </c>
      <c r="ES148" s="37">
        <v>9.9979460000000007</v>
      </c>
      <c r="ET148" s="37">
        <v>9.9979460000000007</v>
      </c>
      <c r="EU148" s="37">
        <v>9.9979460000000007</v>
      </c>
      <c r="EV148" s="37">
        <v>9.9979460000000007</v>
      </c>
      <c r="EW148" s="37">
        <v>9.9979460000000007</v>
      </c>
      <c r="EX148" s="37">
        <v>9.9979460000000007</v>
      </c>
      <c r="EY148" s="37">
        <v>9.9979460000000007</v>
      </c>
      <c r="EZ148" s="37">
        <v>9.9979460000000007</v>
      </c>
      <c r="FA148" s="37">
        <v>9.9979460000000007</v>
      </c>
      <c r="FB148" s="37">
        <v>9.9979460000000007</v>
      </c>
      <c r="FC148" s="37">
        <v>9.9979460000000007</v>
      </c>
      <c r="FD148" s="37">
        <v>9.9979460000000007</v>
      </c>
      <c r="FE148" s="37">
        <v>9.9979460000000007</v>
      </c>
      <c r="FF148" s="37">
        <v>9.9979460000000007</v>
      </c>
      <c r="FG148" s="37">
        <v>9.9979460000000007</v>
      </c>
      <c r="FH148" s="37">
        <v>9.9979460000000007</v>
      </c>
      <c r="FI148" s="37">
        <v>9.9979460000000007</v>
      </c>
      <c r="FJ148" s="37">
        <v>9.9979460000000007</v>
      </c>
      <c r="FK148" s="37">
        <v>9.9979460000000007</v>
      </c>
      <c r="FL148" s="37">
        <v>9.9979460000000007</v>
      </c>
      <c r="FM148" s="37">
        <v>9.9979460000000007</v>
      </c>
      <c r="FN148" s="37">
        <v>9.9979460000000007</v>
      </c>
      <c r="FO148" s="37">
        <v>9.9979460000000007</v>
      </c>
      <c r="FP148" s="37">
        <v>9.9979460000000007</v>
      </c>
      <c r="FQ148" s="37">
        <v>9.9979460000000007</v>
      </c>
      <c r="FR148" s="37">
        <v>9.9979460000000007</v>
      </c>
      <c r="FS148" s="37">
        <v>9.9979460000000007</v>
      </c>
      <c r="FT148" s="37">
        <v>9.9979460000000007</v>
      </c>
      <c r="FU148" s="37">
        <v>9.9979460000000007</v>
      </c>
      <c r="FV148" s="37">
        <v>9.9979460000000007</v>
      </c>
      <c r="FW148" s="37">
        <v>9.9979460000000007</v>
      </c>
      <c r="FX148" s="37">
        <v>9.9979460000000007</v>
      </c>
      <c r="FY148" s="37">
        <v>9.9979460000000007</v>
      </c>
      <c r="FZ148" s="37">
        <v>9.9979460000000007</v>
      </c>
      <c r="GA148" s="37">
        <v>9.9979460000000007</v>
      </c>
      <c r="GB148" s="37">
        <v>9.9979460000000007</v>
      </c>
      <c r="GC148" s="37">
        <v>9.9979460000000007</v>
      </c>
      <c r="GD148" s="37">
        <v>9.9979460000000007</v>
      </c>
      <c r="GE148" s="37">
        <v>9.9979460000000007</v>
      </c>
      <c r="GF148" s="37">
        <v>9.9979460000000007</v>
      </c>
      <c r="GG148" s="37">
        <v>9.9979460000000007</v>
      </c>
      <c r="GH148" s="37">
        <v>9.9979460000000007</v>
      </c>
      <c r="GI148" s="37">
        <v>9.9979460000000007</v>
      </c>
      <c r="GJ148" s="37">
        <v>9.9979460000000007</v>
      </c>
      <c r="GK148" s="37">
        <v>9.9979460000000007</v>
      </c>
      <c r="GL148" s="37">
        <v>9.9979460000000007</v>
      </c>
      <c r="GM148" s="37">
        <v>9.9979460000000007</v>
      </c>
      <c r="GN148" s="37">
        <v>9.9979460000000007</v>
      </c>
      <c r="GO148" s="37">
        <v>9.9979460000000007</v>
      </c>
      <c r="GP148" s="37">
        <v>9.9979460000000007</v>
      </c>
      <c r="GQ148" s="37">
        <v>9.9979460000000007</v>
      </c>
      <c r="GR148" s="37">
        <v>9.9979460000000007</v>
      </c>
      <c r="GS148" s="37">
        <v>9.9979460000000007</v>
      </c>
      <c r="GT148" s="37">
        <v>9.9979460000000007</v>
      </c>
      <c r="GU148" s="37">
        <v>9.9979460000000007</v>
      </c>
      <c r="GV148" s="37">
        <v>9.9979460000000007</v>
      </c>
      <c r="GW148" s="37">
        <v>9.9979460000000007</v>
      </c>
      <c r="GX148" s="37">
        <v>9.9979460000000007</v>
      </c>
      <c r="GY148" s="37">
        <v>9.9979460000000007</v>
      </c>
      <c r="GZ148" s="37">
        <v>9.9979460000000007</v>
      </c>
      <c r="HA148" s="37">
        <v>9.9979460000000007</v>
      </c>
      <c r="HB148" s="37">
        <v>9.9979460000000007</v>
      </c>
      <c r="HC148" s="37">
        <v>9.9979460000000007</v>
      </c>
      <c r="HD148" s="37">
        <v>9.9979460000000007</v>
      </c>
      <c r="HE148" s="37">
        <v>9.9979460000000007</v>
      </c>
      <c r="HF148" s="37">
        <v>9.9979460000000007</v>
      </c>
      <c r="HG148" s="37">
        <v>9.9979460000000007</v>
      </c>
      <c r="HH148" s="37">
        <v>9.9979460000000007</v>
      </c>
      <c r="HI148" s="37">
        <v>9.9979460000000007</v>
      </c>
      <c r="HJ148" s="37">
        <v>9.9979460000000007</v>
      </c>
      <c r="HK148" s="37">
        <v>9.9979460000000007</v>
      </c>
      <c r="HL148" s="37">
        <v>9.9979460000000007</v>
      </c>
      <c r="HM148" s="37">
        <v>9.9979460000000007</v>
      </c>
      <c r="HN148" s="37">
        <v>9.9979460000000007</v>
      </c>
      <c r="HO148" s="37">
        <v>9.9979460000000007</v>
      </c>
      <c r="HP148" s="37">
        <v>9.9979460000000007</v>
      </c>
      <c r="HQ148" s="37">
        <v>9.9979460000000007</v>
      </c>
      <c r="HR148" s="37">
        <v>9.9979460000000007</v>
      </c>
      <c r="HS148" s="37">
        <v>9.9979460000000007</v>
      </c>
      <c r="HT148" s="37">
        <v>9.9979460000000007</v>
      </c>
      <c r="HU148" s="37">
        <v>9.9979460000000007</v>
      </c>
      <c r="HV148" s="37">
        <v>9.9979460000000007</v>
      </c>
      <c r="HW148" s="37">
        <v>9.9979460000000007</v>
      </c>
      <c r="HX148" s="37">
        <v>9.9979460000000007</v>
      </c>
      <c r="HY148" s="37">
        <v>9.9979460000000007</v>
      </c>
      <c r="HZ148" s="37">
        <v>9.9979460000000007</v>
      </c>
      <c r="IA148" s="37">
        <v>9.9979460000000007</v>
      </c>
      <c r="IB148" s="37">
        <v>9.9979460000000007</v>
      </c>
      <c r="IC148" s="37">
        <v>9.9979460000000007</v>
      </c>
      <c r="ID148" s="37">
        <v>9.9979460000000007</v>
      </c>
      <c r="IE148" s="37">
        <v>9.9979460000000007</v>
      </c>
      <c r="IF148" s="37">
        <v>9.9979460000000007</v>
      </c>
      <c r="IG148" s="37">
        <v>9.9979460000000007</v>
      </c>
      <c r="IH148" s="37">
        <v>9.9979460000000007</v>
      </c>
      <c r="II148" s="37">
        <v>9.9979460000000007</v>
      </c>
      <c r="IJ148" s="37">
        <v>9.9979460000000007</v>
      </c>
      <c r="IK148" s="37">
        <v>9.9979460000000007</v>
      </c>
      <c r="IL148" s="37">
        <v>9.9979460000000007</v>
      </c>
      <c r="IM148" s="37">
        <v>9.9979460000000007</v>
      </c>
      <c r="IN148" s="37">
        <v>9.9979460000000007</v>
      </c>
      <c r="IO148" s="37">
        <v>9.9979460000000007</v>
      </c>
      <c r="IP148" s="37">
        <v>9.9979460000000007</v>
      </c>
      <c r="IQ148" s="37">
        <v>9.9979460000000007</v>
      </c>
      <c r="IR148" s="37">
        <v>9.9979460000000007</v>
      </c>
      <c r="IS148" s="37">
        <v>9.9979460000000007</v>
      </c>
      <c r="IT148" s="37">
        <v>9.9979460000000007</v>
      </c>
      <c r="IU148" s="37">
        <v>9.9979460000000007</v>
      </c>
      <c r="IV148" s="37">
        <v>9.9979460000000007</v>
      </c>
      <c r="IW148" s="37">
        <v>9.9979460000000007</v>
      </c>
      <c r="IX148" s="37">
        <v>9.9979460000000007</v>
      </c>
      <c r="IY148" s="37">
        <v>9.9979460000000007</v>
      </c>
      <c r="IZ148" s="37">
        <v>9.9979460000000007</v>
      </c>
      <c r="JA148" s="37">
        <v>9.9979460000000007</v>
      </c>
      <c r="JB148" s="37">
        <v>9.9979460000000007</v>
      </c>
      <c r="JC148" s="37">
        <v>9.9979460000000007</v>
      </c>
      <c r="JD148" s="37">
        <v>9.9979460000000007</v>
      </c>
      <c r="JE148" s="37">
        <v>9.9979460000000007</v>
      </c>
      <c r="JF148" s="37">
        <v>9.9979460000000007</v>
      </c>
      <c r="JG148" s="37">
        <v>9.9979460000000007</v>
      </c>
      <c r="JH148" s="37">
        <v>9.9979460000000007</v>
      </c>
      <c r="JI148" s="37">
        <v>9.9979460000000007</v>
      </c>
      <c r="JJ148" s="37">
        <v>9.9979460000000007</v>
      </c>
      <c r="JK148" s="37">
        <v>9.9979460000000007</v>
      </c>
      <c r="JL148" s="37">
        <v>9.9979460000000007</v>
      </c>
      <c r="JM148" s="37">
        <v>9.9979460000000007</v>
      </c>
      <c r="JN148" s="37">
        <v>9.9979460000000007</v>
      </c>
      <c r="JO148" s="37">
        <v>9.9979460000000007</v>
      </c>
      <c r="JP148" s="37">
        <v>9.9979460000000007</v>
      </c>
      <c r="JQ148" s="37">
        <v>9.9979460000000007</v>
      </c>
      <c r="JR148" s="37">
        <v>9.9979460000000007</v>
      </c>
      <c r="JS148" s="37">
        <v>9.9979460000000007</v>
      </c>
      <c r="JT148" s="37">
        <v>9.9979460000000007</v>
      </c>
      <c r="JU148" s="37">
        <v>9.9979460000000007</v>
      </c>
      <c r="JV148" s="37">
        <v>9.9979460000000007</v>
      </c>
      <c r="JW148" s="37">
        <v>9.9979460000000007</v>
      </c>
      <c r="JX148" s="37">
        <v>9.9979460000000007</v>
      </c>
      <c r="JY148" s="37">
        <v>9.9979460000000007</v>
      </c>
      <c r="JZ148" s="37">
        <v>9.9979460000000007</v>
      </c>
      <c r="KA148" s="37">
        <v>9.9979460000000007</v>
      </c>
      <c r="KB148" s="37">
        <v>9.9979460000000007</v>
      </c>
      <c r="KC148" s="37">
        <v>9.9979460000000007</v>
      </c>
      <c r="KD148" s="37">
        <v>9.9979460000000007</v>
      </c>
      <c r="KE148" s="37">
        <v>9.9979460000000007</v>
      </c>
      <c r="KF148" s="37">
        <v>9.9979460000000007</v>
      </c>
      <c r="KG148" s="37">
        <v>9.9979460000000007</v>
      </c>
      <c r="KH148" s="37">
        <v>9.9979460000000007</v>
      </c>
      <c r="KI148" s="37">
        <v>9.9979460000000007</v>
      </c>
      <c r="KJ148" s="37">
        <v>9.9979460000000007</v>
      </c>
      <c r="KK148" s="37">
        <v>9.9979460000000007</v>
      </c>
      <c r="KL148" s="37">
        <v>9.9979460000000007</v>
      </c>
      <c r="KM148" s="37">
        <v>9.9979460000000007</v>
      </c>
      <c r="KN148" s="37">
        <v>9.9979460000000007</v>
      </c>
      <c r="KO148" s="37">
        <v>9.9979460000000007</v>
      </c>
      <c r="KP148" s="37">
        <v>9.9979460000000007</v>
      </c>
      <c r="KQ148" s="37">
        <v>9.9979460000000007</v>
      </c>
      <c r="KR148" s="37">
        <v>9.9979460000000007</v>
      </c>
      <c r="KS148" s="37">
        <v>9.9979460000000007</v>
      </c>
      <c r="KT148" s="37">
        <v>9.9979460000000007</v>
      </c>
      <c r="KU148" s="37">
        <v>9.9979460000000007</v>
      </c>
      <c r="KV148" s="37">
        <v>9.9979460000000007</v>
      </c>
      <c r="KW148" s="37">
        <v>9.9979460000000007</v>
      </c>
      <c r="KX148" s="37">
        <v>9.9979460000000007</v>
      </c>
      <c r="KY148" s="37">
        <v>9.9979460000000007</v>
      </c>
      <c r="KZ148" s="37">
        <v>9.9979460000000007</v>
      </c>
      <c r="LA148" s="37">
        <v>9.9979460000000007</v>
      </c>
      <c r="LB148" s="37">
        <v>9.9979460000000007</v>
      </c>
      <c r="LC148" s="37">
        <v>9.9979460000000007</v>
      </c>
      <c r="LD148" s="37">
        <v>9.9979460000000007</v>
      </c>
      <c r="LE148" s="37">
        <v>9.9979460000000007</v>
      </c>
      <c r="LF148" s="37">
        <v>9.9979460000000007</v>
      </c>
      <c r="LG148" s="37">
        <v>9.9979460000000007</v>
      </c>
      <c r="LH148" s="37">
        <v>9.9979460000000007</v>
      </c>
      <c r="LI148" s="37">
        <v>9.9979460000000007</v>
      </c>
      <c r="LJ148" s="37">
        <v>9.9979460000000007</v>
      </c>
      <c r="LK148" s="37">
        <v>9.9979460000000007</v>
      </c>
      <c r="LL148" s="37">
        <v>9.9979460000000007</v>
      </c>
      <c r="LM148" s="37">
        <v>9.9979460000000007</v>
      </c>
      <c r="LN148" s="37">
        <v>9.9979460000000007</v>
      </c>
      <c r="LO148" s="37">
        <v>9.9979460000000007</v>
      </c>
      <c r="LP148" s="37">
        <v>9.9979460000000007</v>
      </c>
      <c r="LQ148" s="37">
        <v>9.9979460000000007</v>
      </c>
      <c r="LR148" s="37">
        <v>9.9979460000000007</v>
      </c>
      <c r="LS148" s="37">
        <v>9.9979460000000007</v>
      </c>
      <c r="LT148" s="37">
        <v>9.9979460000000007</v>
      </c>
      <c r="LU148" s="37">
        <v>9.9979460000000007</v>
      </c>
      <c r="LV148" s="37">
        <v>9.9979460000000007</v>
      </c>
      <c r="LW148" s="37">
        <v>9.9979460000000007</v>
      </c>
      <c r="LX148" s="37">
        <v>9.9979460000000007</v>
      </c>
      <c r="LY148" s="37">
        <v>9.9979460000000007</v>
      </c>
      <c r="LZ148" s="37">
        <v>9.9979460000000007</v>
      </c>
      <c r="MA148" s="37">
        <v>9.9979460000000007</v>
      </c>
      <c r="MB148" s="37">
        <v>9.9979460000000007</v>
      </c>
      <c r="MC148" s="37">
        <v>9.9979460000000007</v>
      </c>
      <c r="MD148" s="37">
        <v>9.9979460000000007</v>
      </c>
      <c r="ME148" s="37">
        <v>9.9979460000000007</v>
      </c>
      <c r="MF148" s="37">
        <v>9.9979460000000007</v>
      </c>
      <c r="MG148" s="37">
        <v>9.9979460000000007</v>
      </c>
      <c r="MH148" s="37">
        <v>9.9979460000000007</v>
      </c>
      <c r="MI148" s="37">
        <v>9.9979460000000007</v>
      </c>
      <c r="MJ148" s="37">
        <v>9.9979460000000007</v>
      </c>
      <c r="MK148" s="37">
        <v>9.9979460000000007</v>
      </c>
      <c r="ML148" s="37">
        <v>9.9979460000000007</v>
      </c>
      <c r="MM148" s="37">
        <v>9.9979460000000007</v>
      </c>
      <c r="MN148" s="37">
        <v>9.9979460000000007</v>
      </c>
      <c r="MO148" s="37">
        <v>9.9979460000000007</v>
      </c>
      <c r="MP148" s="37">
        <v>9.9979460000000007</v>
      </c>
      <c r="MQ148" s="37">
        <v>9.9979460000000007</v>
      </c>
      <c r="MR148" s="37">
        <v>9.9979460000000007</v>
      </c>
      <c r="MS148" s="37">
        <v>9.9979460000000007</v>
      </c>
      <c r="MT148" s="37">
        <v>9.9979460000000007</v>
      </c>
      <c r="MU148" s="37">
        <v>9.9979460000000007</v>
      </c>
      <c r="MV148" s="37">
        <v>9.9979460000000007</v>
      </c>
      <c r="MW148" s="37">
        <v>9.9979460000000007</v>
      </c>
      <c r="MX148" s="37">
        <v>9.9979460000000007</v>
      </c>
      <c r="MY148" s="37">
        <v>9.9979460000000007</v>
      </c>
      <c r="MZ148" s="37">
        <v>9.9979460000000007</v>
      </c>
      <c r="NA148" s="37">
        <v>9.9979460000000007</v>
      </c>
      <c r="NB148" s="37">
        <v>9.9979460000000007</v>
      </c>
      <c r="NC148" s="37">
        <v>9.9979460000000007</v>
      </c>
      <c r="ND148" s="37">
        <v>10.840039000000001</v>
      </c>
    </row>
    <row r="149" spans="1:372" x14ac:dyDescent="0.2">
      <c r="A149" s="37">
        <v>147</v>
      </c>
      <c r="B149" s="37" t="s">
        <v>1196</v>
      </c>
      <c r="C149" s="17">
        <f>+'Detalle Compras'!D149</f>
        <v>20240123002</v>
      </c>
      <c r="D149" s="55">
        <f t="shared" si="19"/>
        <v>11.83975</v>
      </c>
      <c r="E149" s="14">
        <f>+IF(B149="","",'Detalle Compras'!S149+0)</f>
        <v>45514</v>
      </c>
      <c r="F149" s="14">
        <f>+IF(B149="","",EOMONTH('Detalle Compras'!Q149,G149)+10)</f>
        <v>10846</v>
      </c>
      <c r="G149" s="50">
        <f t="shared" si="20"/>
        <v>355</v>
      </c>
      <c r="H149" s="50">
        <f t="shared" si="21"/>
        <v>337</v>
      </c>
      <c r="I149" s="37">
        <v>0</v>
      </c>
      <c r="J149" s="37">
        <v>0</v>
      </c>
      <c r="K149" s="37">
        <v>0</v>
      </c>
      <c r="L149" s="37">
        <v>0</v>
      </c>
      <c r="M149" s="37">
        <v>0</v>
      </c>
      <c r="N149" s="37">
        <v>11.83975</v>
      </c>
      <c r="O149" s="37">
        <v>11.83975</v>
      </c>
      <c r="P149" s="37">
        <v>11.83975</v>
      </c>
      <c r="Q149" s="37">
        <v>11.83975</v>
      </c>
      <c r="R149" s="37">
        <v>11.83975</v>
      </c>
      <c r="S149" s="37">
        <v>11.83975</v>
      </c>
      <c r="T149" s="37">
        <v>11.83975</v>
      </c>
      <c r="U149" s="37">
        <v>11.83975</v>
      </c>
      <c r="V149" s="37">
        <v>11.83975</v>
      </c>
      <c r="W149" s="37">
        <v>11.83975</v>
      </c>
      <c r="X149" s="37">
        <v>11.83975</v>
      </c>
      <c r="Y149" s="37">
        <v>11.83975</v>
      </c>
      <c r="Z149" s="37">
        <v>11.83975</v>
      </c>
      <c r="AA149" s="37">
        <v>11.83975</v>
      </c>
      <c r="AB149" s="37">
        <v>11.83975</v>
      </c>
      <c r="AC149" s="37">
        <v>11.83975</v>
      </c>
      <c r="AD149" s="37">
        <v>11.83975</v>
      </c>
      <c r="AE149" s="37">
        <v>11.83975</v>
      </c>
      <c r="AF149" s="37">
        <v>11.83975</v>
      </c>
      <c r="AG149" s="37">
        <v>11.83975</v>
      </c>
      <c r="AH149" s="37">
        <v>11.83975</v>
      </c>
      <c r="AI149" s="37">
        <v>11.83975</v>
      </c>
      <c r="AJ149" s="37">
        <v>11.83975</v>
      </c>
      <c r="AK149" s="37">
        <v>11.83975</v>
      </c>
      <c r="AL149" s="37">
        <v>11.83975</v>
      </c>
      <c r="AM149" s="37">
        <v>11.83975</v>
      </c>
      <c r="AN149" s="37">
        <v>11.83975</v>
      </c>
      <c r="AO149" s="37">
        <v>11.83975</v>
      </c>
      <c r="AP149" s="37">
        <v>11.83975</v>
      </c>
      <c r="AQ149" s="37">
        <v>11.83975</v>
      </c>
      <c r="AR149" s="37">
        <v>11.83975</v>
      </c>
      <c r="AS149" s="37">
        <v>11.83975</v>
      </c>
      <c r="AT149" s="37">
        <v>11.83975</v>
      </c>
      <c r="AU149" s="37">
        <v>11.83975</v>
      </c>
      <c r="AV149" s="37">
        <v>11.83975</v>
      </c>
      <c r="AW149" s="37">
        <v>11.83975</v>
      </c>
      <c r="AX149" s="37">
        <v>11.83975</v>
      </c>
      <c r="AY149" s="37">
        <v>11.83975</v>
      </c>
      <c r="AZ149" s="37">
        <v>11.83975</v>
      </c>
      <c r="BA149" s="37">
        <v>11.83975</v>
      </c>
      <c r="BB149" s="37">
        <v>11.83975</v>
      </c>
      <c r="BC149" s="37">
        <v>11.83975</v>
      </c>
      <c r="BD149" s="37">
        <v>11.83975</v>
      </c>
      <c r="BE149" s="37">
        <v>11.83975</v>
      </c>
      <c r="BF149" s="37">
        <v>11.83975</v>
      </c>
      <c r="BG149" s="37">
        <v>11.83975</v>
      </c>
      <c r="BH149" s="37">
        <v>11.83975</v>
      </c>
      <c r="BI149" s="37">
        <v>11.83975</v>
      </c>
      <c r="BJ149" s="37">
        <v>11.83975</v>
      </c>
      <c r="BK149" s="37">
        <v>11.83975</v>
      </c>
      <c r="BL149" s="37">
        <v>11.83975</v>
      </c>
      <c r="BM149" s="37">
        <v>11.83975</v>
      </c>
      <c r="BN149" s="37">
        <v>11.83975</v>
      </c>
      <c r="BO149" s="37">
        <v>11.83975</v>
      </c>
      <c r="BP149" s="37">
        <v>11.83975</v>
      </c>
      <c r="BQ149" s="37">
        <v>11.83975</v>
      </c>
      <c r="BR149" s="37">
        <v>11.83975</v>
      </c>
      <c r="BS149" s="37">
        <v>11.83975</v>
      </c>
      <c r="BT149" s="37">
        <v>11.83975</v>
      </c>
      <c r="BU149" s="37">
        <v>11.83975</v>
      </c>
      <c r="BV149" s="37">
        <v>11.83975</v>
      </c>
      <c r="BW149" s="37">
        <v>11.83975</v>
      </c>
      <c r="BX149" s="37">
        <v>11.83975</v>
      </c>
      <c r="BY149" s="37">
        <v>11.83975</v>
      </c>
      <c r="BZ149" s="37">
        <v>11.83975</v>
      </c>
      <c r="CA149" s="37">
        <v>11.83975</v>
      </c>
      <c r="CB149" s="37">
        <v>11.83975</v>
      </c>
      <c r="CC149" s="37">
        <v>11.83975</v>
      </c>
      <c r="CD149" s="37">
        <v>11.83975</v>
      </c>
      <c r="CE149" s="37">
        <v>11.83975</v>
      </c>
      <c r="CF149" s="37">
        <v>11.83975</v>
      </c>
      <c r="CG149" s="37">
        <v>11.83975</v>
      </c>
      <c r="CH149" s="37">
        <v>11.83975</v>
      </c>
      <c r="CI149" s="37">
        <v>11.83975</v>
      </c>
      <c r="CJ149" s="37">
        <v>11.83975</v>
      </c>
      <c r="CK149" s="37">
        <v>11.83975</v>
      </c>
      <c r="CL149" s="37">
        <v>11.83975</v>
      </c>
      <c r="CM149" s="37">
        <v>11.83975</v>
      </c>
      <c r="CN149" s="37">
        <v>11.83975</v>
      </c>
      <c r="CO149" s="37">
        <v>11.83975</v>
      </c>
      <c r="CP149" s="37">
        <v>11.83975</v>
      </c>
      <c r="CQ149" s="37">
        <v>11.83975</v>
      </c>
      <c r="CR149" s="37">
        <v>11.83975</v>
      </c>
      <c r="CS149" s="37">
        <v>11.83975</v>
      </c>
      <c r="CT149" s="37">
        <v>11.83975</v>
      </c>
      <c r="CU149" s="37">
        <v>11.83975</v>
      </c>
      <c r="CV149" s="37">
        <v>11.83975</v>
      </c>
      <c r="CW149" s="37">
        <v>11.83975</v>
      </c>
      <c r="CX149" s="37">
        <v>11.83975</v>
      </c>
      <c r="CY149" s="37">
        <v>11.83975</v>
      </c>
      <c r="CZ149" s="37">
        <v>11.83975</v>
      </c>
      <c r="DA149" s="37">
        <v>11.83975</v>
      </c>
      <c r="DB149" s="37">
        <v>11.83975</v>
      </c>
      <c r="DC149" s="37">
        <v>11.83975</v>
      </c>
      <c r="DD149" s="37">
        <v>11.83975</v>
      </c>
      <c r="DE149" s="37">
        <v>11.83975</v>
      </c>
      <c r="DF149" s="37">
        <v>11.83975</v>
      </c>
      <c r="DG149" s="37">
        <v>11.83975</v>
      </c>
      <c r="DH149" s="37">
        <v>11.83975</v>
      </c>
      <c r="DI149" s="37">
        <v>11.83975</v>
      </c>
      <c r="DJ149" s="37">
        <v>11.83975</v>
      </c>
      <c r="DK149" s="37">
        <v>11.83975</v>
      </c>
      <c r="DL149" s="37">
        <v>11.83975</v>
      </c>
      <c r="DM149" s="37">
        <v>11.83975</v>
      </c>
      <c r="DN149" s="37">
        <v>11.83975</v>
      </c>
      <c r="DO149" s="37">
        <v>11.83975</v>
      </c>
      <c r="DP149" s="37">
        <v>11.83975</v>
      </c>
      <c r="DQ149" s="37">
        <v>11.83975</v>
      </c>
      <c r="DR149" s="37">
        <v>11.83975</v>
      </c>
      <c r="DS149" s="37">
        <v>11.83975</v>
      </c>
      <c r="DT149" s="37">
        <v>11.83975</v>
      </c>
      <c r="DU149" s="37">
        <v>11.83975</v>
      </c>
      <c r="DV149" s="37">
        <v>11.83975</v>
      </c>
      <c r="DW149" s="37">
        <v>11.83975</v>
      </c>
      <c r="DX149" s="37">
        <v>11.83975</v>
      </c>
      <c r="DY149" s="37">
        <v>11.83975</v>
      </c>
      <c r="DZ149" s="37">
        <v>11.83975</v>
      </c>
      <c r="EA149" s="37">
        <v>11.83975</v>
      </c>
      <c r="EB149" s="37">
        <v>11.83975</v>
      </c>
      <c r="EC149" s="37">
        <v>11.83975</v>
      </c>
      <c r="ED149" s="37">
        <v>11.83975</v>
      </c>
      <c r="EE149" s="37">
        <v>11.83975</v>
      </c>
      <c r="EF149" s="37">
        <v>11.83975</v>
      </c>
      <c r="EG149" s="37">
        <v>11.83975</v>
      </c>
      <c r="EH149" s="37">
        <v>11.83975</v>
      </c>
      <c r="EI149" s="37">
        <v>11.83975</v>
      </c>
      <c r="EJ149" s="37">
        <v>11.83975</v>
      </c>
      <c r="EK149" s="37">
        <v>11.83975</v>
      </c>
      <c r="EL149" s="37">
        <v>11.83975</v>
      </c>
      <c r="EM149" s="37">
        <v>11.83975</v>
      </c>
      <c r="EN149" s="37">
        <v>11.83975</v>
      </c>
      <c r="EO149" s="37">
        <v>11.83975</v>
      </c>
      <c r="EP149" s="37">
        <v>11.83975</v>
      </c>
      <c r="EQ149" s="37">
        <v>11.83975</v>
      </c>
      <c r="ER149" s="37">
        <v>11.83975</v>
      </c>
      <c r="ES149" s="37">
        <v>11.83975</v>
      </c>
      <c r="ET149" s="37">
        <v>11.83975</v>
      </c>
      <c r="EU149" s="37">
        <v>11.83975</v>
      </c>
      <c r="EV149" s="37">
        <v>11.83975</v>
      </c>
      <c r="EW149" s="37">
        <v>11.83975</v>
      </c>
      <c r="EX149" s="37">
        <v>11.83975</v>
      </c>
      <c r="EY149" s="37">
        <v>11.83975</v>
      </c>
      <c r="EZ149" s="37">
        <v>11.83975</v>
      </c>
      <c r="FA149" s="37">
        <v>11.83975</v>
      </c>
      <c r="FB149" s="37">
        <v>11.83975</v>
      </c>
      <c r="FC149" s="37">
        <v>11.83975</v>
      </c>
      <c r="FD149" s="37">
        <v>11.83975</v>
      </c>
      <c r="FE149" s="37">
        <v>11.83975</v>
      </c>
      <c r="FF149" s="37">
        <v>11.83975</v>
      </c>
      <c r="FG149" s="37">
        <v>11.83975</v>
      </c>
      <c r="FH149" s="37">
        <v>11.83975</v>
      </c>
      <c r="FI149" s="37">
        <v>11.83975</v>
      </c>
      <c r="FJ149" s="37">
        <v>11.83975</v>
      </c>
      <c r="FK149" s="37">
        <v>11.83975</v>
      </c>
      <c r="FL149" s="37">
        <v>11.83975</v>
      </c>
      <c r="FM149" s="37">
        <v>11.83975</v>
      </c>
      <c r="FN149" s="37">
        <v>11.83975</v>
      </c>
      <c r="FO149" s="37">
        <v>11.83975</v>
      </c>
      <c r="FP149" s="37">
        <v>11.83975</v>
      </c>
      <c r="FQ149" s="37">
        <v>11.83975</v>
      </c>
      <c r="FR149" s="37">
        <v>11.83975</v>
      </c>
      <c r="FS149" s="37">
        <v>11.83975</v>
      </c>
      <c r="FT149" s="37">
        <v>11.83975</v>
      </c>
      <c r="FU149" s="37">
        <v>11.83975</v>
      </c>
      <c r="FV149" s="37">
        <v>11.83975</v>
      </c>
      <c r="FW149" s="37">
        <v>11.83975</v>
      </c>
      <c r="FX149" s="37">
        <v>11.83975</v>
      </c>
      <c r="FY149" s="37">
        <v>11.83975</v>
      </c>
      <c r="FZ149" s="37">
        <v>11.83975</v>
      </c>
      <c r="GA149" s="37">
        <v>11.83975</v>
      </c>
      <c r="GB149" s="37">
        <v>11.83975</v>
      </c>
      <c r="GC149" s="37">
        <v>11.83975</v>
      </c>
      <c r="GD149" s="37">
        <v>11.83975</v>
      </c>
      <c r="GE149" s="37">
        <v>11.83975</v>
      </c>
      <c r="GF149" s="37">
        <v>11.83975</v>
      </c>
      <c r="GG149" s="37">
        <v>11.83975</v>
      </c>
      <c r="GH149" s="37">
        <v>11.83975</v>
      </c>
      <c r="GI149" s="37">
        <v>11.83975</v>
      </c>
      <c r="GJ149" s="37">
        <v>11.83975</v>
      </c>
      <c r="GK149" s="37">
        <v>11.83975</v>
      </c>
      <c r="GL149" s="37">
        <v>11.83975</v>
      </c>
      <c r="GM149" s="37">
        <v>11.83975</v>
      </c>
      <c r="GN149" s="37">
        <v>11.83975</v>
      </c>
      <c r="GO149" s="37">
        <v>11.83975</v>
      </c>
      <c r="GP149" s="37">
        <v>11.83975</v>
      </c>
      <c r="GQ149" s="37">
        <v>11.83975</v>
      </c>
      <c r="GR149" s="37">
        <v>11.83975</v>
      </c>
      <c r="GS149" s="37">
        <v>11.83975</v>
      </c>
      <c r="GT149" s="37">
        <v>11.83975</v>
      </c>
      <c r="GU149" s="37">
        <v>11.83975</v>
      </c>
      <c r="GV149" s="37">
        <v>11.83975</v>
      </c>
      <c r="GW149" s="37">
        <v>11.83975</v>
      </c>
      <c r="GX149" s="37">
        <v>11.83975</v>
      </c>
      <c r="GY149" s="37">
        <v>11.83975</v>
      </c>
      <c r="GZ149" s="37">
        <v>11.83975</v>
      </c>
      <c r="HA149" s="37">
        <v>11.83975</v>
      </c>
      <c r="HB149" s="37">
        <v>11.83975</v>
      </c>
      <c r="HC149" s="37">
        <v>11.83975</v>
      </c>
      <c r="HD149" s="37">
        <v>11.83975</v>
      </c>
      <c r="HE149" s="37">
        <v>11.83975</v>
      </c>
      <c r="HF149" s="37">
        <v>11.83975</v>
      </c>
      <c r="HG149" s="37">
        <v>11.83975</v>
      </c>
      <c r="HH149" s="37">
        <v>11.83975</v>
      </c>
      <c r="HI149" s="37">
        <v>11.83975</v>
      </c>
      <c r="HJ149" s="37">
        <v>11.83975</v>
      </c>
      <c r="HK149" s="37">
        <v>11.83975</v>
      </c>
      <c r="HL149" s="37">
        <v>11.83975</v>
      </c>
      <c r="HM149" s="37">
        <v>11.83975</v>
      </c>
      <c r="HN149" s="37">
        <v>11.83975</v>
      </c>
      <c r="HO149" s="37">
        <v>11.83975</v>
      </c>
      <c r="HP149" s="37">
        <v>11.83975</v>
      </c>
      <c r="HQ149" s="37">
        <v>11.83975</v>
      </c>
      <c r="HR149" s="37">
        <v>11.83975</v>
      </c>
      <c r="HS149" s="37">
        <v>11.83975</v>
      </c>
      <c r="HT149" s="37">
        <v>11.83975</v>
      </c>
      <c r="HU149" s="37">
        <v>11.83975</v>
      </c>
      <c r="HV149" s="37">
        <v>11.83975</v>
      </c>
      <c r="HW149" s="37">
        <v>11.83975</v>
      </c>
      <c r="HX149" s="37">
        <v>11.83975</v>
      </c>
      <c r="HY149" s="37">
        <v>11.83975</v>
      </c>
      <c r="HZ149" s="37">
        <v>11.83975</v>
      </c>
      <c r="IA149" s="37">
        <v>11.83975</v>
      </c>
      <c r="IB149" s="37">
        <v>11.83975</v>
      </c>
      <c r="IC149" s="37">
        <v>11.83975</v>
      </c>
      <c r="ID149" s="37">
        <v>11.83975</v>
      </c>
      <c r="IE149" s="37">
        <v>11.83975</v>
      </c>
      <c r="IF149" s="37">
        <v>11.83975</v>
      </c>
      <c r="IG149" s="37">
        <v>11.83975</v>
      </c>
      <c r="IH149" s="37">
        <v>11.83975</v>
      </c>
      <c r="II149" s="37">
        <v>11.83975</v>
      </c>
      <c r="IJ149" s="37">
        <v>11.83975</v>
      </c>
      <c r="IK149" s="37">
        <v>11.83975</v>
      </c>
      <c r="IL149" s="37">
        <v>11.83975</v>
      </c>
      <c r="IM149" s="37">
        <v>11.83975</v>
      </c>
      <c r="IN149" s="37">
        <v>11.83975</v>
      </c>
      <c r="IO149" s="37">
        <v>11.83975</v>
      </c>
      <c r="IP149" s="37">
        <v>11.83975</v>
      </c>
      <c r="IQ149" s="37">
        <v>11.83975</v>
      </c>
      <c r="IR149" s="37">
        <v>11.83975</v>
      </c>
      <c r="IS149" s="37">
        <v>11.83975</v>
      </c>
      <c r="IT149" s="37">
        <v>11.83975</v>
      </c>
      <c r="IU149" s="37">
        <v>11.83975</v>
      </c>
      <c r="IV149" s="37">
        <v>11.83975</v>
      </c>
      <c r="IW149" s="37">
        <v>11.83975</v>
      </c>
      <c r="IX149" s="37">
        <v>11.83975</v>
      </c>
      <c r="IY149" s="37">
        <v>11.83975</v>
      </c>
      <c r="IZ149" s="37">
        <v>11.83975</v>
      </c>
      <c r="JA149" s="37">
        <v>11.83975</v>
      </c>
      <c r="JB149" s="37">
        <v>11.83975</v>
      </c>
      <c r="JC149" s="37">
        <v>11.83975</v>
      </c>
      <c r="JD149" s="37">
        <v>11.83975</v>
      </c>
      <c r="JE149" s="37">
        <v>11.83975</v>
      </c>
      <c r="JF149" s="37">
        <v>11.83975</v>
      </c>
      <c r="JG149" s="37">
        <v>11.83975</v>
      </c>
      <c r="JH149" s="37">
        <v>11.83975</v>
      </c>
      <c r="JI149" s="37">
        <v>11.83975</v>
      </c>
      <c r="JJ149" s="37">
        <v>11.83975</v>
      </c>
      <c r="JK149" s="37">
        <v>11.83975</v>
      </c>
      <c r="JL149" s="37">
        <v>11.83975</v>
      </c>
      <c r="JM149" s="37">
        <v>11.83975</v>
      </c>
      <c r="JN149" s="37">
        <v>11.83975</v>
      </c>
      <c r="JO149" s="37">
        <v>11.83975</v>
      </c>
      <c r="JP149" s="37">
        <v>11.83975</v>
      </c>
      <c r="JQ149" s="37">
        <v>11.83975</v>
      </c>
      <c r="JR149" s="37">
        <v>11.83975</v>
      </c>
      <c r="JS149" s="37">
        <v>11.83975</v>
      </c>
      <c r="JT149" s="37">
        <v>11.83975</v>
      </c>
      <c r="JU149" s="37">
        <v>11.83975</v>
      </c>
      <c r="JV149" s="37">
        <v>11.83975</v>
      </c>
      <c r="JW149" s="37">
        <v>11.83975</v>
      </c>
      <c r="JX149" s="37">
        <v>11.83975</v>
      </c>
      <c r="JY149" s="37">
        <v>11.83975</v>
      </c>
      <c r="JZ149" s="37">
        <v>11.83975</v>
      </c>
      <c r="KA149" s="37">
        <v>11.83975</v>
      </c>
      <c r="KB149" s="37">
        <v>11.83975</v>
      </c>
      <c r="KC149" s="37">
        <v>11.83975</v>
      </c>
      <c r="KD149" s="37">
        <v>11.83975</v>
      </c>
      <c r="KE149" s="37">
        <v>11.83975</v>
      </c>
      <c r="KF149" s="37">
        <v>11.83975</v>
      </c>
      <c r="KG149" s="37">
        <v>11.83975</v>
      </c>
      <c r="KH149" s="37">
        <v>11.83975</v>
      </c>
      <c r="KI149" s="37">
        <v>11.83975</v>
      </c>
      <c r="KJ149" s="37">
        <v>11.83975</v>
      </c>
      <c r="KK149" s="37">
        <v>11.83975</v>
      </c>
      <c r="KL149" s="37">
        <v>11.83975</v>
      </c>
      <c r="KM149" s="37">
        <v>11.83975</v>
      </c>
      <c r="KN149" s="37">
        <v>11.83975</v>
      </c>
      <c r="KO149" s="37">
        <v>11.83975</v>
      </c>
      <c r="KP149" s="37">
        <v>11.83975</v>
      </c>
      <c r="KQ149" s="37">
        <v>11.83975</v>
      </c>
      <c r="KR149" s="37">
        <v>11.83975</v>
      </c>
      <c r="KS149" s="37">
        <v>11.83975</v>
      </c>
      <c r="KT149" s="37">
        <v>11.83975</v>
      </c>
      <c r="KU149" s="37">
        <v>11.83975</v>
      </c>
      <c r="KV149" s="37">
        <v>11.83975</v>
      </c>
      <c r="KW149" s="37">
        <v>11.83975</v>
      </c>
      <c r="KX149" s="37">
        <v>11.83975</v>
      </c>
      <c r="KY149" s="37">
        <v>11.83975</v>
      </c>
      <c r="KZ149" s="37">
        <v>11.83975</v>
      </c>
      <c r="LA149" s="37">
        <v>11.83975</v>
      </c>
      <c r="LB149" s="37">
        <v>11.83975</v>
      </c>
      <c r="LC149" s="37">
        <v>11.83975</v>
      </c>
      <c r="LD149" s="37">
        <v>11.83975</v>
      </c>
      <c r="LE149" s="37">
        <v>11.83975</v>
      </c>
      <c r="LF149" s="37">
        <v>11.83975</v>
      </c>
      <c r="LG149" s="37">
        <v>11.83975</v>
      </c>
      <c r="LH149" s="37">
        <v>11.83975</v>
      </c>
      <c r="LI149" s="37">
        <v>11.83975</v>
      </c>
      <c r="LJ149" s="37">
        <v>11.83975</v>
      </c>
      <c r="LK149" s="37">
        <v>11.83975</v>
      </c>
      <c r="LL149" s="37">
        <v>11.83975</v>
      </c>
      <c r="LM149" s="37">
        <v>11.83975</v>
      </c>
      <c r="LN149" s="37">
        <v>11.83975</v>
      </c>
      <c r="LO149" s="37">
        <v>11.83975</v>
      </c>
      <c r="LP149" s="37">
        <v>11.83975</v>
      </c>
      <c r="LQ149" s="37">
        <v>11.83975</v>
      </c>
      <c r="LR149" s="37">
        <v>11.83975</v>
      </c>
      <c r="LS149" s="37">
        <v>11.83975</v>
      </c>
      <c r="LT149" s="37">
        <v>11.83975</v>
      </c>
      <c r="LU149" s="37">
        <v>11.83975</v>
      </c>
      <c r="LV149" s="37">
        <v>11.83975</v>
      </c>
      <c r="LW149" s="37">
        <v>11.83975</v>
      </c>
      <c r="LX149" s="37">
        <v>11.83975</v>
      </c>
      <c r="LY149" s="37">
        <v>11.83975</v>
      </c>
      <c r="LZ149" s="37">
        <v>11.83975</v>
      </c>
      <c r="MA149" s="37">
        <v>11.83975</v>
      </c>
      <c r="MB149" s="37">
        <v>11.83975</v>
      </c>
      <c r="MC149" s="37">
        <v>11.83975</v>
      </c>
      <c r="MD149" s="37">
        <v>11.83975</v>
      </c>
      <c r="ME149" s="37">
        <v>11.83975</v>
      </c>
      <c r="MF149" s="37">
        <v>11.83975</v>
      </c>
      <c r="MG149" s="37">
        <v>11.83975</v>
      </c>
      <c r="MH149" s="37">
        <v>11.83975</v>
      </c>
      <c r="MI149" s="37">
        <v>11.83975</v>
      </c>
      <c r="MJ149" s="37">
        <v>11.83975</v>
      </c>
      <c r="MK149" s="37">
        <v>11.83975</v>
      </c>
      <c r="ML149" s="37">
        <v>11.83975</v>
      </c>
      <c r="MM149" s="37">
        <v>11.83975</v>
      </c>
      <c r="MN149" s="37">
        <v>11.83975</v>
      </c>
      <c r="MO149" s="37">
        <v>11.83975</v>
      </c>
      <c r="MP149" s="37">
        <v>11.83975</v>
      </c>
      <c r="MQ149" s="37">
        <v>11.83975</v>
      </c>
      <c r="MR149" s="37">
        <v>11.83975</v>
      </c>
      <c r="MS149" s="37">
        <v>11.83975</v>
      </c>
      <c r="MT149" s="37">
        <v>11.83975</v>
      </c>
      <c r="MU149" s="37">
        <v>11.83975</v>
      </c>
      <c r="MV149" s="37">
        <v>11.83975</v>
      </c>
      <c r="MW149" s="37">
        <v>11.83975</v>
      </c>
      <c r="MX149" s="37">
        <v>11.83975</v>
      </c>
      <c r="MY149" s="37">
        <v>11.83975</v>
      </c>
      <c r="MZ149" s="37">
        <v>11.83975</v>
      </c>
      <c r="NA149" s="37">
        <v>11.83975</v>
      </c>
      <c r="NB149" s="37">
        <v>11.83975</v>
      </c>
      <c r="NC149" s="37">
        <v>11.83975</v>
      </c>
      <c r="ND149" s="37">
        <v>12.806625</v>
      </c>
      <c r="NH149" s="52"/>
    </row>
    <row r="150" spans="1:372" x14ac:dyDescent="0.2">
      <c r="A150" s="37">
        <v>148</v>
      </c>
      <c r="B150" s="37" t="s">
        <v>1201</v>
      </c>
      <c r="C150" s="17">
        <f>+'Detalle Compras'!D150</f>
        <v>20240131003</v>
      </c>
      <c r="D150" s="55">
        <f t="shared" si="19"/>
        <v>12.4313</v>
      </c>
      <c r="E150" s="14">
        <f>+IF(B150="","",'Detalle Compras'!S150+0)</f>
        <v>45514</v>
      </c>
      <c r="F150" s="14">
        <f>+IF(B150="","",EOMONTH('Detalle Compras'!Q150,G150)+10)</f>
        <v>5002</v>
      </c>
      <c r="G150" s="50">
        <f t="shared" si="20"/>
        <v>163</v>
      </c>
      <c r="H150" s="50">
        <f t="shared" si="21"/>
        <v>337</v>
      </c>
      <c r="I150" s="37">
        <v>0</v>
      </c>
      <c r="J150" s="37">
        <v>0</v>
      </c>
      <c r="K150" s="37">
        <v>0</v>
      </c>
      <c r="L150" s="37">
        <v>0</v>
      </c>
      <c r="M150" s="37">
        <v>0</v>
      </c>
      <c r="N150" s="37">
        <v>12.4313</v>
      </c>
      <c r="O150" s="37">
        <v>12.4313</v>
      </c>
      <c r="P150" s="37">
        <v>12.4313</v>
      </c>
      <c r="Q150" s="37">
        <v>12.4313</v>
      </c>
      <c r="R150" s="37">
        <v>12.4313</v>
      </c>
      <c r="S150" s="37">
        <v>12.4313</v>
      </c>
      <c r="T150" s="37">
        <v>12.4313</v>
      </c>
      <c r="U150" s="37">
        <v>12.4313</v>
      </c>
      <c r="V150" s="37">
        <v>12.4313</v>
      </c>
      <c r="W150" s="37">
        <v>12.4313</v>
      </c>
      <c r="X150" s="37">
        <v>12.4313</v>
      </c>
      <c r="Y150" s="37">
        <v>12.4313</v>
      </c>
      <c r="Z150" s="37">
        <v>12.4313</v>
      </c>
      <c r="AA150" s="37">
        <v>12.4313</v>
      </c>
      <c r="AB150" s="37">
        <v>12.4313</v>
      </c>
      <c r="AC150" s="37">
        <v>12.4313</v>
      </c>
      <c r="AD150" s="37">
        <v>12.4313</v>
      </c>
      <c r="AE150" s="37">
        <v>12.4313</v>
      </c>
      <c r="AF150" s="37">
        <v>12.4313</v>
      </c>
      <c r="AG150" s="37">
        <v>12.4313</v>
      </c>
      <c r="AH150" s="37">
        <v>12.4313</v>
      </c>
      <c r="AI150" s="37">
        <v>12.4313</v>
      </c>
      <c r="AJ150" s="37">
        <v>12.4313</v>
      </c>
      <c r="AK150" s="37">
        <v>12.4313</v>
      </c>
      <c r="AL150" s="37">
        <v>12.4313</v>
      </c>
      <c r="AM150" s="37">
        <v>12.4313</v>
      </c>
      <c r="AN150" s="37">
        <v>12.4313</v>
      </c>
      <c r="AO150" s="37">
        <v>12.4313</v>
      </c>
      <c r="AP150" s="37">
        <v>12.4313</v>
      </c>
      <c r="AQ150" s="37">
        <v>12.4313</v>
      </c>
      <c r="AR150" s="37">
        <v>12.4313</v>
      </c>
      <c r="AS150" s="37">
        <v>12.4313</v>
      </c>
      <c r="AT150" s="37">
        <v>12.4313</v>
      </c>
      <c r="AU150" s="37">
        <v>12.4313</v>
      </c>
      <c r="AV150" s="37">
        <v>12.4313</v>
      </c>
      <c r="AW150" s="37">
        <v>12.4313</v>
      </c>
      <c r="AX150" s="37">
        <v>12.4313</v>
      </c>
      <c r="AY150" s="37">
        <v>12.4313</v>
      </c>
      <c r="AZ150" s="37">
        <v>12.4313</v>
      </c>
      <c r="BA150" s="37">
        <v>12.4313</v>
      </c>
      <c r="BB150" s="37">
        <v>12.4313</v>
      </c>
      <c r="BC150" s="37">
        <v>12.4313</v>
      </c>
      <c r="BD150" s="37">
        <v>12.4313</v>
      </c>
      <c r="BE150" s="37">
        <v>12.4313</v>
      </c>
      <c r="BF150" s="37">
        <v>12.4313</v>
      </c>
      <c r="BG150" s="37">
        <v>12.4313</v>
      </c>
      <c r="BH150" s="37">
        <v>12.4313</v>
      </c>
      <c r="BI150" s="37">
        <v>12.4313</v>
      </c>
      <c r="BJ150" s="37">
        <v>12.4313</v>
      </c>
      <c r="BK150" s="37">
        <v>12.4313</v>
      </c>
      <c r="BL150" s="37">
        <v>12.4313</v>
      </c>
      <c r="BM150" s="37">
        <v>12.4313</v>
      </c>
      <c r="BN150" s="37">
        <v>12.4313</v>
      </c>
      <c r="BO150" s="37">
        <v>12.4313</v>
      </c>
      <c r="BP150" s="37">
        <v>12.4313</v>
      </c>
      <c r="BQ150" s="37">
        <v>12.4313</v>
      </c>
      <c r="BR150" s="37">
        <v>12.4313</v>
      </c>
      <c r="BS150" s="37">
        <v>12.4313</v>
      </c>
      <c r="BT150" s="37">
        <v>12.4313</v>
      </c>
      <c r="BU150" s="37">
        <v>12.4313</v>
      </c>
      <c r="BV150" s="37">
        <v>12.4313</v>
      </c>
      <c r="BW150" s="37">
        <v>12.4313</v>
      </c>
      <c r="BX150" s="37">
        <v>12.4313</v>
      </c>
      <c r="BY150" s="37">
        <v>12.4313</v>
      </c>
      <c r="BZ150" s="37">
        <v>12.4313</v>
      </c>
      <c r="CA150" s="37">
        <v>12.4313</v>
      </c>
      <c r="CB150" s="37">
        <v>12.4313</v>
      </c>
      <c r="CC150" s="37">
        <v>12.4313</v>
      </c>
      <c r="CD150" s="37">
        <v>12.4313</v>
      </c>
      <c r="CE150" s="37">
        <v>12.4313</v>
      </c>
      <c r="CF150" s="37">
        <v>12.4313</v>
      </c>
      <c r="CG150" s="37">
        <v>12.4313</v>
      </c>
      <c r="CH150" s="37">
        <v>12.4313</v>
      </c>
      <c r="CI150" s="37">
        <v>12.4313</v>
      </c>
      <c r="CJ150" s="37">
        <v>12.4313</v>
      </c>
      <c r="CK150" s="37">
        <v>12.4313</v>
      </c>
      <c r="CL150" s="37">
        <v>12.4313</v>
      </c>
      <c r="CM150" s="37">
        <v>12.4313</v>
      </c>
      <c r="CN150" s="37">
        <v>12.4313</v>
      </c>
      <c r="CO150" s="37">
        <v>12.4313</v>
      </c>
      <c r="CP150" s="37">
        <v>12.4313</v>
      </c>
      <c r="CQ150" s="37">
        <v>12.4313</v>
      </c>
      <c r="CR150" s="37">
        <v>12.4313</v>
      </c>
      <c r="CS150" s="37">
        <v>12.4313</v>
      </c>
      <c r="CT150" s="37">
        <v>12.4313</v>
      </c>
      <c r="CU150" s="37">
        <v>12.4313</v>
      </c>
      <c r="CV150" s="37">
        <v>12.4313</v>
      </c>
      <c r="CW150" s="37">
        <v>12.4313</v>
      </c>
      <c r="CX150" s="37">
        <v>12.4313</v>
      </c>
      <c r="CY150" s="37">
        <v>12.4313</v>
      </c>
      <c r="CZ150" s="37">
        <v>12.4313</v>
      </c>
      <c r="DA150" s="37">
        <v>12.4313</v>
      </c>
      <c r="DB150" s="37">
        <v>12.4313</v>
      </c>
      <c r="DC150" s="37">
        <v>12.4313</v>
      </c>
      <c r="DD150" s="37">
        <v>12.4313</v>
      </c>
      <c r="DE150" s="37">
        <v>12.4313</v>
      </c>
      <c r="DF150" s="37">
        <v>12.4313</v>
      </c>
      <c r="DG150" s="37">
        <v>12.4313</v>
      </c>
      <c r="DH150" s="37">
        <v>12.4313</v>
      </c>
      <c r="DI150" s="37">
        <v>12.4313</v>
      </c>
      <c r="DJ150" s="37">
        <v>12.4313</v>
      </c>
      <c r="DK150" s="37">
        <v>12.4313</v>
      </c>
      <c r="DL150" s="37">
        <v>12.4313</v>
      </c>
      <c r="DM150" s="37">
        <v>12.4313</v>
      </c>
      <c r="DN150" s="37">
        <v>12.4313</v>
      </c>
      <c r="DO150" s="37">
        <v>12.4313</v>
      </c>
      <c r="DP150" s="37">
        <v>12.4313</v>
      </c>
      <c r="DQ150" s="37">
        <v>12.4313</v>
      </c>
      <c r="DR150" s="37">
        <v>12.4313</v>
      </c>
      <c r="DS150" s="37">
        <v>12.4313</v>
      </c>
      <c r="DT150" s="37">
        <v>12.4313</v>
      </c>
      <c r="DU150" s="37">
        <v>12.4313</v>
      </c>
      <c r="DV150" s="37">
        <v>12.4313</v>
      </c>
      <c r="DW150" s="37">
        <v>12.4313</v>
      </c>
      <c r="DX150" s="37">
        <v>12.4313</v>
      </c>
      <c r="DY150" s="37">
        <v>12.4313</v>
      </c>
      <c r="DZ150" s="37">
        <v>12.4313</v>
      </c>
      <c r="EA150" s="37">
        <v>12.4313</v>
      </c>
      <c r="EB150" s="37">
        <v>12.4313</v>
      </c>
      <c r="EC150" s="37">
        <v>12.4313</v>
      </c>
      <c r="ED150" s="37">
        <v>12.4313</v>
      </c>
      <c r="EE150" s="37">
        <v>12.4313</v>
      </c>
      <c r="EF150" s="37">
        <v>12.4313</v>
      </c>
      <c r="EG150" s="37">
        <v>12.4313</v>
      </c>
      <c r="EH150" s="37">
        <v>12.4313</v>
      </c>
      <c r="EI150" s="37">
        <v>12.4313</v>
      </c>
      <c r="EJ150" s="37">
        <v>12.4313</v>
      </c>
      <c r="EK150" s="37">
        <v>12.4313</v>
      </c>
      <c r="EL150" s="37">
        <v>12.4313</v>
      </c>
      <c r="EM150" s="37">
        <v>12.4313</v>
      </c>
      <c r="EN150" s="37">
        <v>12.4313</v>
      </c>
      <c r="EO150" s="37">
        <v>12.4313</v>
      </c>
      <c r="EP150" s="37">
        <v>12.4313</v>
      </c>
      <c r="EQ150" s="37">
        <v>12.4313</v>
      </c>
      <c r="ER150" s="37">
        <v>12.4313</v>
      </c>
      <c r="ES150" s="37">
        <v>12.4313</v>
      </c>
      <c r="ET150" s="37">
        <v>12.4313</v>
      </c>
      <c r="EU150" s="37">
        <v>12.4313</v>
      </c>
      <c r="EV150" s="37">
        <v>12.4313</v>
      </c>
      <c r="EW150" s="37">
        <v>12.4313</v>
      </c>
      <c r="EX150" s="37">
        <v>12.4313</v>
      </c>
      <c r="EY150" s="37">
        <v>12.4313</v>
      </c>
      <c r="EZ150" s="37">
        <v>12.4313</v>
      </c>
      <c r="FA150" s="37">
        <v>12.4313</v>
      </c>
      <c r="FB150" s="37">
        <v>12.4313</v>
      </c>
      <c r="FC150" s="37">
        <v>12.4313</v>
      </c>
      <c r="FD150" s="37">
        <v>12.4313</v>
      </c>
      <c r="FE150" s="37">
        <v>12.4313</v>
      </c>
      <c r="FF150" s="37">
        <v>12.4313</v>
      </c>
      <c r="FG150" s="37">
        <v>12.4313</v>
      </c>
      <c r="FH150" s="37">
        <v>12.4313</v>
      </c>
      <c r="FI150" s="37">
        <v>12.4313</v>
      </c>
      <c r="FJ150" s="37">
        <v>12.4313</v>
      </c>
      <c r="FK150" s="37">
        <v>12.4313</v>
      </c>
      <c r="FL150" s="37">
        <v>12.4313</v>
      </c>
      <c r="FM150" s="37">
        <v>12.4313</v>
      </c>
      <c r="FN150" s="37">
        <v>12.4313</v>
      </c>
      <c r="FO150" s="37">
        <v>12.4313</v>
      </c>
      <c r="FP150" s="37">
        <v>12.4313</v>
      </c>
      <c r="FQ150" s="37">
        <v>12.4313</v>
      </c>
      <c r="FR150" s="37">
        <v>12.4313</v>
      </c>
      <c r="FS150" s="37">
        <v>12.4313</v>
      </c>
      <c r="FT150" s="37">
        <v>12.314925000000001</v>
      </c>
      <c r="FU150" s="37">
        <v>0</v>
      </c>
      <c r="FV150" s="37">
        <v>0</v>
      </c>
      <c r="FW150" s="37">
        <v>0</v>
      </c>
      <c r="FX150" s="37">
        <v>0</v>
      </c>
      <c r="FY150" s="37">
        <v>0</v>
      </c>
      <c r="FZ150" s="37">
        <v>0</v>
      </c>
      <c r="GA150" s="37">
        <v>0</v>
      </c>
      <c r="GB150" s="37">
        <v>0</v>
      </c>
      <c r="GC150" s="37">
        <v>0</v>
      </c>
      <c r="GD150" s="37">
        <v>0</v>
      </c>
      <c r="GE150" s="37">
        <v>0</v>
      </c>
      <c r="GF150" s="37">
        <v>0</v>
      </c>
      <c r="GG150" s="37">
        <v>0</v>
      </c>
      <c r="GH150" s="37">
        <v>0</v>
      </c>
      <c r="GI150" s="37">
        <v>0</v>
      </c>
      <c r="GJ150" s="37">
        <v>0</v>
      </c>
      <c r="GK150" s="37">
        <v>0</v>
      </c>
      <c r="GL150" s="37">
        <v>0</v>
      </c>
      <c r="GM150" s="37">
        <v>0</v>
      </c>
      <c r="GN150" s="37">
        <v>0</v>
      </c>
      <c r="GO150" s="37">
        <v>0</v>
      </c>
      <c r="GP150" s="37">
        <v>0</v>
      </c>
      <c r="GQ150" s="37">
        <v>0</v>
      </c>
      <c r="GR150" s="37">
        <v>0</v>
      </c>
      <c r="GS150" s="37">
        <v>0</v>
      </c>
      <c r="GT150" s="37">
        <v>0</v>
      </c>
      <c r="GU150" s="37">
        <v>0</v>
      </c>
      <c r="GV150" s="37">
        <v>0</v>
      </c>
      <c r="GW150" s="37">
        <v>0</v>
      </c>
      <c r="GX150" s="37">
        <v>0</v>
      </c>
      <c r="GY150" s="37">
        <v>0</v>
      </c>
      <c r="GZ150" s="37">
        <v>0</v>
      </c>
      <c r="HA150" s="37">
        <v>0</v>
      </c>
      <c r="HB150" s="37">
        <v>0</v>
      </c>
      <c r="HC150" s="37">
        <v>0</v>
      </c>
      <c r="HD150" s="37">
        <v>0</v>
      </c>
      <c r="HE150" s="37">
        <v>0</v>
      </c>
      <c r="HF150" s="37">
        <v>0</v>
      </c>
      <c r="HG150" s="37">
        <v>0</v>
      </c>
      <c r="HH150" s="37">
        <v>0</v>
      </c>
      <c r="HI150" s="37">
        <v>0</v>
      </c>
      <c r="HJ150" s="37">
        <v>0</v>
      </c>
      <c r="HK150" s="37">
        <v>0</v>
      </c>
      <c r="HL150" s="37">
        <v>0</v>
      </c>
      <c r="HM150" s="37">
        <v>0</v>
      </c>
      <c r="HN150" s="37">
        <v>0</v>
      </c>
      <c r="HO150" s="37">
        <v>0</v>
      </c>
      <c r="HP150" s="37">
        <v>0</v>
      </c>
      <c r="HQ150" s="37">
        <v>0</v>
      </c>
      <c r="HR150" s="37">
        <v>0</v>
      </c>
      <c r="HS150" s="37">
        <v>0</v>
      </c>
      <c r="HT150" s="37">
        <v>0</v>
      </c>
      <c r="HU150" s="37">
        <v>0</v>
      </c>
      <c r="HV150" s="37">
        <v>0</v>
      </c>
      <c r="HW150" s="37">
        <v>0</v>
      </c>
      <c r="HX150" s="37">
        <v>0</v>
      </c>
      <c r="HY150" s="37">
        <v>0</v>
      </c>
      <c r="HZ150" s="37">
        <v>0</v>
      </c>
      <c r="IA150" s="37">
        <v>0</v>
      </c>
      <c r="IB150" s="37">
        <v>0</v>
      </c>
      <c r="IC150" s="37">
        <v>0</v>
      </c>
      <c r="ID150" s="37">
        <v>0</v>
      </c>
      <c r="IE150" s="37">
        <v>0</v>
      </c>
      <c r="IF150" s="37">
        <v>0</v>
      </c>
      <c r="IG150" s="37">
        <v>0</v>
      </c>
      <c r="IH150" s="37">
        <v>0</v>
      </c>
      <c r="II150" s="37">
        <v>0</v>
      </c>
      <c r="IJ150" s="37">
        <v>0</v>
      </c>
      <c r="IK150" s="37">
        <v>0</v>
      </c>
      <c r="IL150" s="37">
        <v>0</v>
      </c>
      <c r="IM150" s="37">
        <v>0</v>
      </c>
      <c r="IN150" s="37">
        <v>0</v>
      </c>
      <c r="IO150" s="37">
        <v>0</v>
      </c>
      <c r="IP150" s="37">
        <v>0</v>
      </c>
      <c r="IQ150" s="37">
        <v>0</v>
      </c>
      <c r="IR150" s="37">
        <v>0</v>
      </c>
      <c r="IS150" s="37">
        <v>0</v>
      </c>
      <c r="IT150" s="37">
        <v>0</v>
      </c>
      <c r="IU150" s="37">
        <v>0</v>
      </c>
      <c r="IV150" s="37">
        <v>0</v>
      </c>
      <c r="IW150" s="37">
        <v>0</v>
      </c>
      <c r="IX150" s="37">
        <v>0</v>
      </c>
      <c r="IY150" s="37">
        <v>0</v>
      </c>
      <c r="IZ150" s="37">
        <v>0</v>
      </c>
      <c r="JA150" s="37">
        <v>0</v>
      </c>
      <c r="JB150" s="37">
        <v>0</v>
      </c>
      <c r="JC150" s="37">
        <v>0</v>
      </c>
      <c r="JD150" s="37">
        <v>0</v>
      </c>
      <c r="JE150" s="37">
        <v>0</v>
      </c>
      <c r="JF150" s="37">
        <v>0</v>
      </c>
      <c r="JG150" s="37">
        <v>0</v>
      </c>
      <c r="JH150" s="37">
        <v>0</v>
      </c>
      <c r="JI150" s="37">
        <v>0</v>
      </c>
      <c r="JJ150" s="37">
        <v>0</v>
      </c>
      <c r="JK150" s="37">
        <v>0</v>
      </c>
      <c r="JL150" s="37">
        <v>0</v>
      </c>
      <c r="JM150" s="37">
        <v>0</v>
      </c>
      <c r="JN150" s="37">
        <v>0</v>
      </c>
      <c r="JO150" s="37">
        <v>0</v>
      </c>
      <c r="JP150" s="37">
        <v>0</v>
      </c>
      <c r="JQ150" s="37">
        <v>0</v>
      </c>
      <c r="JR150" s="37">
        <v>0</v>
      </c>
      <c r="JS150" s="37">
        <v>0</v>
      </c>
      <c r="JT150" s="37">
        <v>0</v>
      </c>
      <c r="JU150" s="37">
        <v>0</v>
      </c>
      <c r="JV150" s="37">
        <v>0</v>
      </c>
      <c r="JW150" s="37">
        <v>0</v>
      </c>
      <c r="JX150" s="37">
        <v>0</v>
      </c>
      <c r="JY150" s="37">
        <v>0</v>
      </c>
      <c r="JZ150" s="37">
        <v>0</v>
      </c>
      <c r="KA150" s="37">
        <v>0</v>
      </c>
      <c r="KB150" s="37">
        <v>0</v>
      </c>
      <c r="KC150" s="37">
        <v>0</v>
      </c>
      <c r="KD150" s="37">
        <v>0</v>
      </c>
      <c r="KE150" s="37">
        <v>0</v>
      </c>
      <c r="KF150" s="37">
        <v>0</v>
      </c>
      <c r="KG150" s="37">
        <v>0</v>
      </c>
      <c r="KH150" s="37">
        <v>0</v>
      </c>
      <c r="KI150" s="37">
        <v>0</v>
      </c>
      <c r="KJ150" s="37">
        <v>0</v>
      </c>
      <c r="KK150" s="37">
        <v>0</v>
      </c>
      <c r="KL150" s="37">
        <v>0</v>
      </c>
      <c r="KM150" s="37">
        <v>0</v>
      </c>
      <c r="KN150" s="37">
        <v>0</v>
      </c>
      <c r="KO150" s="37">
        <v>0</v>
      </c>
      <c r="KP150" s="37">
        <v>0</v>
      </c>
      <c r="KQ150" s="37">
        <v>0</v>
      </c>
      <c r="KR150" s="37">
        <v>0</v>
      </c>
      <c r="KS150" s="37">
        <v>0</v>
      </c>
      <c r="KT150" s="37">
        <v>0</v>
      </c>
      <c r="KU150" s="37">
        <v>0</v>
      </c>
      <c r="KV150" s="37">
        <v>0</v>
      </c>
      <c r="KW150" s="37">
        <v>0</v>
      </c>
      <c r="KX150" s="37">
        <v>0</v>
      </c>
      <c r="KY150" s="37">
        <v>0</v>
      </c>
      <c r="KZ150" s="37">
        <v>0</v>
      </c>
      <c r="LA150" s="37">
        <v>0</v>
      </c>
      <c r="LB150" s="37">
        <v>0</v>
      </c>
      <c r="LC150" s="37">
        <v>0</v>
      </c>
      <c r="LD150" s="37">
        <v>0</v>
      </c>
      <c r="LE150" s="37">
        <v>0</v>
      </c>
      <c r="LF150" s="37">
        <v>0</v>
      </c>
      <c r="LG150" s="37">
        <v>0</v>
      </c>
      <c r="LH150" s="37">
        <v>0</v>
      </c>
      <c r="LI150" s="37">
        <v>0</v>
      </c>
      <c r="LJ150" s="37">
        <v>0</v>
      </c>
      <c r="LK150" s="37">
        <v>0</v>
      </c>
      <c r="LL150" s="37">
        <v>0</v>
      </c>
      <c r="LM150" s="37">
        <v>0</v>
      </c>
      <c r="LN150" s="37">
        <v>0</v>
      </c>
      <c r="LO150" s="37">
        <v>0</v>
      </c>
      <c r="LP150" s="37">
        <v>0</v>
      </c>
      <c r="LQ150" s="37">
        <v>0</v>
      </c>
      <c r="LR150" s="37">
        <v>0</v>
      </c>
      <c r="LS150" s="37">
        <v>0</v>
      </c>
      <c r="LT150" s="37">
        <v>0</v>
      </c>
      <c r="LU150" s="37">
        <v>0</v>
      </c>
      <c r="LV150" s="37">
        <v>0</v>
      </c>
      <c r="LW150" s="37">
        <v>0</v>
      </c>
      <c r="LX150" s="37">
        <v>0</v>
      </c>
      <c r="LY150" s="37">
        <v>0</v>
      </c>
      <c r="LZ150" s="37">
        <v>0</v>
      </c>
      <c r="MA150" s="37">
        <v>0</v>
      </c>
      <c r="MB150" s="37">
        <v>0</v>
      </c>
      <c r="MC150" s="37">
        <v>0</v>
      </c>
      <c r="MD150" s="37">
        <v>0</v>
      </c>
      <c r="ME150" s="37">
        <v>0</v>
      </c>
      <c r="MF150" s="37">
        <v>0</v>
      </c>
      <c r="MG150" s="37">
        <v>0</v>
      </c>
      <c r="MH150" s="37">
        <v>0</v>
      </c>
      <c r="MI150" s="37">
        <v>0</v>
      </c>
      <c r="MJ150" s="37">
        <v>0</v>
      </c>
      <c r="MK150" s="37">
        <v>0</v>
      </c>
      <c r="ML150" s="37">
        <v>0</v>
      </c>
      <c r="MM150" s="37">
        <v>0</v>
      </c>
      <c r="MN150" s="37">
        <v>0</v>
      </c>
      <c r="MO150" s="37">
        <v>0</v>
      </c>
      <c r="MP150" s="37">
        <v>0</v>
      </c>
      <c r="MQ150" s="37">
        <v>0</v>
      </c>
      <c r="MR150" s="37">
        <v>0</v>
      </c>
      <c r="MS150" s="37">
        <v>0</v>
      </c>
      <c r="MT150" s="37">
        <v>0</v>
      </c>
      <c r="MU150" s="37">
        <v>0</v>
      </c>
      <c r="MV150" s="37">
        <v>0</v>
      </c>
      <c r="MW150" s="37">
        <v>0</v>
      </c>
      <c r="MX150" s="37">
        <v>0</v>
      </c>
      <c r="MY150" s="37">
        <v>0</v>
      </c>
      <c r="MZ150" s="37">
        <v>0</v>
      </c>
      <c r="NA150" s="37">
        <v>0</v>
      </c>
      <c r="NB150" s="37">
        <v>0</v>
      </c>
      <c r="NC150" s="37">
        <v>0</v>
      </c>
      <c r="ND150" s="37">
        <v>0</v>
      </c>
    </row>
    <row r="151" spans="1:372" x14ac:dyDescent="0.2">
      <c r="A151" s="37">
        <v>149</v>
      </c>
      <c r="B151" s="37" t="s">
        <v>1206</v>
      </c>
      <c r="C151" s="17">
        <f>+'Detalle Compras'!D151</f>
        <v>20240130004</v>
      </c>
      <c r="D151" s="55">
        <f t="shared" si="19"/>
        <v>11.985469999999999</v>
      </c>
      <c r="E151" s="14">
        <f>+IF(B151="","",'Detalle Compras'!S151+0)</f>
        <v>45514</v>
      </c>
      <c r="F151" s="14">
        <f>+IF(B151="","",EOMONTH('Detalle Compras'!Q151,G151)+10)</f>
        <v>10846</v>
      </c>
      <c r="G151" s="50">
        <f t="shared" si="20"/>
        <v>355</v>
      </c>
      <c r="H151" s="50">
        <f t="shared" si="21"/>
        <v>337</v>
      </c>
      <c r="I151" s="37">
        <v>0</v>
      </c>
      <c r="J151" s="37">
        <v>0</v>
      </c>
      <c r="K151" s="37">
        <v>0</v>
      </c>
      <c r="L151" s="37">
        <v>0</v>
      </c>
      <c r="M151" s="37">
        <v>0</v>
      </c>
      <c r="N151" s="37">
        <v>11.985469999999999</v>
      </c>
      <c r="O151" s="37">
        <v>11.985469999999999</v>
      </c>
      <c r="P151" s="37">
        <v>11.985469999999999</v>
      </c>
      <c r="Q151" s="37">
        <v>11.985469999999999</v>
      </c>
      <c r="R151" s="37">
        <v>11.985469999999999</v>
      </c>
      <c r="S151" s="37">
        <v>11.985469999999999</v>
      </c>
      <c r="T151" s="37">
        <v>11.985469999999999</v>
      </c>
      <c r="U151" s="37">
        <v>11.985469999999999</v>
      </c>
      <c r="V151" s="37">
        <v>11.985469999999999</v>
      </c>
      <c r="W151" s="37">
        <v>11.985469999999999</v>
      </c>
      <c r="X151" s="37">
        <v>11.985469999999999</v>
      </c>
      <c r="Y151" s="37">
        <v>11.985469999999999</v>
      </c>
      <c r="Z151" s="37">
        <v>11.985469999999999</v>
      </c>
      <c r="AA151" s="37">
        <v>11.985469999999999</v>
      </c>
      <c r="AB151" s="37">
        <v>11.985469999999999</v>
      </c>
      <c r="AC151" s="37">
        <v>11.985469999999999</v>
      </c>
      <c r="AD151" s="37">
        <v>11.985469999999999</v>
      </c>
      <c r="AE151" s="37">
        <v>11.985469999999999</v>
      </c>
      <c r="AF151" s="37">
        <v>11.985469999999999</v>
      </c>
      <c r="AG151" s="37">
        <v>11.985469999999999</v>
      </c>
      <c r="AH151" s="37">
        <v>11.985469999999999</v>
      </c>
      <c r="AI151" s="37">
        <v>11.985469999999999</v>
      </c>
      <c r="AJ151" s="37">
        <v>11.985469999999999</v>
      </c>
      <c r="AK151" s="37">
        <v>11.985469999999999</v>
      </c>
      <c r="AL151" s="37">
        <v>11.985469999999999</v>
      </c>
      <c r="AM151" s="37">
        <v>11.985469999999999</v>
      </c>
      <c r="AN151" s="37">
        <v>11.985469999999999</v>
      </c>
      <c r="AO151" s="37">
        <v>11.985469999999999</v>
      </c>
      <c r="AP151" s="37">
        <v>11.985469999999999</v>
      </c>
      <c r="AQ151" s="37">
        <v>11.985469999999999</v>
      </c>
      <c r="AR151" s="37">
        <v>11.985469999999999</v>
      </c>
      <c r="AS151" s="37">
        <v>11.985469999999999</v>
      </c>
      <c r="AT151" s="37">
        <v>11.985469999999999</v>
      </c>
      <c r="AU151" s="37">
        <v>11.985469999999999</v>
      </c>
      <c r="AV151" s="37">
        <v>11.985469999999999</v>
      </c>
      <c r="AW151" s="37">
        <v>11.985469999999999</v>
      </c>
      <c r="AX151" s="37">
        <v>11.985469999999999</v>
      </c>
      <c r="AY151" s="37">
        <v>11.985469999999999</v>
      </c>
      <c r="AZ151" s="37">
        <v>11.985469999999999</v>
      </c>
      <c r="BA151" s="37">
        <v>11.985469999999999</v>
      </c>
      <c r="BB151" s="37">
        <v>11.985469999999999</v>
      </c>
      <c r="BC151" s="37">
        <v>11.985469999999999</v>
      </c>
      <c r="BD151" s="37">
        <v>11.985469999999999</v>
      </c>
      <c r="BE151" s="37">
        <v>11.985469999999999</v>
      </c>
      <c r="BF151" s="37">
        <v>11.985469999999999</v>
      </c>
      <c r="BG151" s="37">
        <v>11.985469999999999</v>
      </c>
      <c r="BH151" s="37">
        <v>11.985469999999999</v>
      </c>
      <c r="BI151" s="37">
        <v>11.985469999999999</v>
      </c>
      <c r="BJ151" s="37">
        <v>11.985469999999999</v>
      </c>
      <c r="BK151" s="37">
        <v>11.985469999999999</v>
      </c>
      <c r="BL151" s="37">
        <v>11.985469999999999</v>
      </c>
      <c r="BM151" s="37">
        <v>11.985469999999999</v>
      </c>
      <c r="BN151" s="37">
        <v>11.985469999999999</v>
      </c>
      <c r="BO151" s="37">
        <v>11.985469999999999</v>
      </c>
      <c r="BP151" s="37">
        <v>11.985469999999999</v>
      </c>
      <c r="BQ151" s="37">
        <v>11.985469999999999</v>
      </c>
      <c r="BR151" s="37">
        <v>11.985469999999999</v>
      </c>
      <c r="BS151" s="37">
        <v>11.985469999999999</v>
      </c>
      <c r="BT151" s="37">
        <v>11.985469999999999</v>
      </c>
      <c r="BU151" s="37">
        <v>11.985469999999999</v>
      </c>
      <c r="BV151" s="37">
        <v>11.985469999999999</v>
      </c>
      <c r="BW151" s="37">
        <v>11.985469999999999</v>
      </c>
      <c r="BX151" s="37">
        <v>11.985469999999999</v>
      </c>
      <c r="BY151" s="37">
        <v>11.985469999999999</v>
      </c>
      <c r="BZ151" s="37">
        <v>11.985469999999999</v>
      </c>
      <c r="CA151" s="37">
        <v>11.985469999999999</v>
      </c>
      <c r="CB151" s="37">
        <v>11.985469999999999</v>
      </c>
      <c r="CC151" s="37">
        <v>11.985469999999999</v>
      </c>
      <c r="CD151" s="37">
        <v>11.985469999999999</v>
      </c>
      <c r="CE151" s="37">
        <v>11.985469999999999</v>
      </c>
      <c r="CF151" s="37">
        <v>11.985469999999999</v>
      </c>
      <c r="CG151" s="37">
        <v>11.985469999999999</v>
      </c>
      <c r="CH151" s="37">
        <v>11.985469999999999</v>
      </c>
      <c r="CI151" s="37">
        <v>11.985469999999999</v>
      </c>
      <c r="CJ151" s="37">
        <v>11.985469999999999</v>
      </c>
      <c r="CK151" s="37">
        <v>11.985469999999999</v>
      </c>
      <c r="CL151" s="37">
        <v>11.985469999999999</v>
      </c>
      <c r="CM151" s="37">
        <v>11.985469999999999</v>
      </c>
      <c r="CN151" s="37">
        <v>11.985469999999999</v>
      </c>
      <c r="CO151" s="37">
        <v>11.985469999999999</v>
      </c>
      <c r="CP151" s="37">
        <v>11.985469999999999</v>
      </c>
      <c r="CQ151" s="37">
        <v>11.985469999999999</v>
      </c>
      <c r="CR151" s="37">
        <v>11.985469999999999</v>
      </c>
      <c r="CS151" s="37">
        <v>11.985469999999999</v>
      </c>
      <c r="CT151" s="37">
        <v>11.985469999999999</v>
      </c>
      <c r="CU151" s="37">
        <v>11.985469999999999</v>
      </c>
      <c r="CV151" s="37">
        <v>11.985469999999999</v>
      </c>
      <c r="CW151" s="37">
        <v>11.985469999999999</v>
      </c>
      <c r="CX151" s="37">
        <v>11.985469999999999</v>
      </c>
      <c r="CY151" s="37">
        <v>11.985469999999999</v>
      </c>
      <c r="CZ151" s="37">
        <v>11.985469999999999</v>
      </c>
      <c r="DA151" s="37">
        <v>11.985469999999999</v>
      </c>
      <c r="DB151" s="37">
        <v>11.985469999999999</v>
      </c>
      <c r="DC151" s="37">
        <v>11.985469999999999</v>
      </c>
      <c r="DD151" s="37">
        <v>11.985469999999999</v>
      </c>
      <c r="DE151" s="37">
        <v>11.985469999999999</v>
      </c>
      <c r="DF151" s="37">
        <v>11.985469999999999</v>
      </c>
      <c r="DG151" s="37">
        <v>11.985469999999999</v>
      </c>
      <c r="DH151" s="37">
        <v>11.985469999999999</v>
      </c>
      <c r="DI151" s="37">
        <v>11.985469999999999</v>
      </c>
      <c r="DJ151" s="37">
        <v>11.985469999999999</v>
      </c>
      <c r="DK151" s="37">
        <v>11.985469999999999</v>
      </c>
      <c r="DL151" s="37">
        <v>11.985469999999999</v>
      </c>
      <c r="DM151" s="37">
        <v>11.985469999999999</v>
      </c>
      <c r="DN151" s="37">
        <v>11.985469999999999</v>
      </c>
      <c r="DO151" s="37">
        <v>11.985469999999999</v>
      </c>
      <c r="DP151" s="37">
        <v>11.985469999999999</v>
      </c>
      <c r="DQ151" s="37">
        <v>11.985469999999999</v>
      </c>
      <c r="DR151" s="37">
        <v>11.985469999999999</v>
      </c>
      <c r="DS151" s="37">
        <v>11.985469999999999</v>
      </c>
      <c r="DT151" s="37">
        <v>11.985469999999999</v>
      </c>
      <c r="DU151" s="37">
        <v>11.985469999999999</v>
      </c>
      <c r="DV151" s="37">
        <v>11.985469999999999</v>
      </c>
      <c r="DW151" s="37">
        <v>11.985469999999999</v>
      </c>
      <c r="DX151" s="37">
        <v>11.985469999999999</v>
      </c>
      <c r="DY151" s="37">
        <v>11.985469999999999</v>
      </c>
      <c r="DZ151" s="37">
        <v>11.985469999999999</v>
      </c>
      <c r="EA151" s="37">
        <v>11.985469999999999</v>
      </c>
      <c r="EB151" s="37">
        <v>11.985469999999999</v>
      </c>
      <c r="EC151" s="37">
        <v>11.985469999999999</v>
      </c>
      <c r="ED151" s="37">
        <v>11.985469999999999</v>
      </c>
      <c r="EE151" s="37">
        <v>11.985469999999999</v>
      </c>
      <c r="EF151" s="37">
        <v>11.985469999999999</v>
      </c>
      <c r="EG151" s="37">
        <v>11.985469999999999</v>
      </c>
      <c r="EH151" s="37">
        <v>11.985469999999999</v>
      </c>
      <c r="EI151" s="37">
        <v>11.985469999999999</v>
      </c>
      <c r="EJ151" s="37">
        <v>11.985469999999999</v>
      </c>
      <c r="EK151" s="37">
        <v>11.985469999999999</v>
      </c>
      <c r="EL151" s="37">
        <v>11.985469999999999</v>
      </c>
      <c r="EM151" s="37">
        <v>11.985469999999999</v>
      </c>
      <c r="EN151" s="37">
        <v>11.985469999999999</v>
      </c>
      <c r="EO151" s="37">
        <v>11.985469999999999</v>
      </c>
      <c r="EP151" s="37">
        <v>11.985469999999999</v>
      </c>
      <c r="EQ151" s="37">
        <v>11.985469999999999</v>
      </c>
      <c r="ER151" s="37">
        <v>11.985469999999999</v>
      </c>
      <c r="ES151" s="37">
        <v>11.985469999999999</v>
      </c>
      <c r="ET151" s="37">
        <v>11.985469999999999</v>
      </c>
      <c r="EU151" s="37">
        <v>11.985469999999999</v>
      </c>
      <c r="EV151" s="37">
        <v>11.985469999999999</v>
      </c>
      <c r="EW151" s="37">
        <v>11.985469999999999</v>
      </c>
      <c r="EX151" s="37">
        <v>11.985469999999999</v>
      </c>
      <c r="EY151" s="37">
        <v>11.985469999999999</v>
      </c>
      <c r="EZ151" s="37">
        <v>11.985469999999999</v>
      </c>
      <c r="FA151" s="37">
        <v>11.985469999999999</v>
      </c>
      <c r="FB151" s="37">
        <v>11.985469999999999</v>
      </c>
      <c r="FC151" s="37">
        <v>11.985469999999999</v>
      </c>
      <c r="FD151" s="37">
        <v>11.985469999999999</v>
      </c>
      <c r="FE151" s="37">
        <v>11.985469999999999</v>
      </c>
      <c r="FF151" s="37">
        <v>11.985469999999999</v>
      </c>
      <c r="FG151" s="37">
        <v>11.985469999999999</v>
      </c>
      <c r="FH151" s="37">
        <v>11.985469999999999</v>
      </c>
      <c r="FI151" s="37">
        <v>11.985469999999999</v>
      </c>
      <c r="FJ151" s="37">
        <v>11.985469999999999</v>
      </c>
      <c r="FK151" s="37">
        <v>11.985469999999999</v>
      </c>
      <c r="FL151" s="37">
        <v>11.985469999999999</v>
      </c>
      <c r="FM151" s="37">
        <v>11.985469999999999</v>
      </c>
      <c r="FN151" s="37">
        <v>11.985469999999999</v>
      </c>
      <c r="FO151" s="37">
        <v>11.985469999999999</v>
      </c>
      <c r="FP151" s="37">
        <v>11.985469999999999</v>
      </c>
      <c r="FQ151" s="37">
        <v>11.985469999999999</v>
      </c>
      <c r="FR151" s="37">
        <v>11.985469999999999</v>
      </c>
      <c r="FS151" s="37">
        <v>11.985469999999999</v>
      </c>
      <c r="FT151" s="37">
        <v>11.985469999999999</v>
      </c>
      <c r="FU151" s="37">
        <v>11.985469999999999</v>
      </c>
      <c r="FV151" s="37">
        <v>11.985469999999999</v>
      </c>
      <c r="FW151" s="37">
        <v>11.985469999999999</v>
      </c>
      <c r="FX151" s="37">
        <v>11.985469999999999</v>
      </c>
      <c r="FY151" s="37">
        <v>11.985469999999999</v>
      </c>
      <c r="FZ151" s="37">
        <v>11.985469999999999</v>
      </c>
      <c r="GA151" s="37">
        <v>11.985469999999999</v>
      </c>
      <c r="GB151" s="37">
        <v>11.985469999999999</v>
      </c>
      <c r="GC151" s="37">
        <v>11.985469999999999</v>
      </c>
      <c r="GD151" s="37">
        <v>11.985469999999999</v>
      </c>
      <c r="GE151" s="37">
        <v>11.985469999999999</v>
      </c>
      <c r="GF151" s="37">
        <v>11.985469999999999</v>
      </c>
      <c r="GG151" s="37">
        <v>11.985469999999999</v>
      </c>
      <c r="GH151" s="37">
        <v>11.985469999999999</v>
      </c>
      <c r="GI151" s="37">
        <v>11.985469999999999</v>
      </c>
      <c r="GJ151" s="37">
        <v>11.985469999999999</v>
      </c>
      <c r="GK151" s="37">
        <v>11.985469999999999</v>
      </c>
      <c r="GL151" s="37">
        <v>11.985469999999999</v>
      </c>
      <c r="GM151" s="37">
        <v>11.985469999999999</v>
      </c>
      <c r="GN151" s="37">
        <v>11.985469999999999</v>
      </c>
      <c r="GO151" s="37">
        <v>11.985469999999999</v>
      </c>
      <c r="GP151" s="37">
        <v>11.985469999999999</v>
      </c>
      <c r="GQ151" s="37">
        <v>11.985469999999999</v>
      </c>
      <c r="GR151" s="37">
        <v>11.985469999999999</v>
      </c>
      <c r="GS151" s="37">
        <v>11.985469999999999</v>
      </c>
      <c r="GT151" s="37">
        <v>11.985469999999999</v>
      </c>
      <c r="GU151" s="37">
        <v>11.985469999999999</v>
      </c>
      <c r="GV151" s="37">
        <v>11.985469999999999</v>
      </c>
      <c r="GW151" s="37">
        <v>11.985469999999999</v>
      </c>
      <c r="GX151" s="37">
        <v>11.985469999999999</v>
      </c>
      <c r="GY151" s="37">
        <v>11.985469999999999</v>
      </c>
      <c r="GZ151" s="37">
        <v>11.985469999999999</v>
      </c>
      <c r="HA151" s="37">
        <v>11.985469999999999</v>
      </c>
      <c r="HB151" s="37">
        <v>11.985469999999999</v>
      </c>
      <c r="HC151" s="37">
        <v>11.985469999999999</v>
      </c>
      <c r="HD151" s="37">
        <v>11.985469999999999</v>
      </c>
      <c r="HE151" s="37">
        <v>11.985469999999999</v>
      </c>
      <c r="HF151" s="37">
        <v>11.985469999999999</v>
      </c>
      <c r="HG151" s="37">
        <v>11.985469999999999</v>
      </c>
      <c r="HH151" s="37">
        <v>11.985469999999999</v>
      </c>
      <c r="HI151" s="37">
        <v>11.985469999999999</v>
      </c>
      <c r="HJ151" s="37">
        <v>11.985469999999999</v>
      </c>
      <c r="HK151" s="37">
        <v>11.985469999999999</v>
      </c>
      <c r="HL151" s="37">
        <v>11.985469999999999</v>
      </c>
      <c r="HM151" s="37">
        <v>11.985469999999999</v>
      </c>
      <c r="HN151" s="37">
        <v>11.985469999999999</v>
      </c>
      <c r="HO151" s="37">
        <v>11.985469999999999</v>
      </c>
      <c r="HP151" s="37">
        <v>11.985469999999999</v>
      </c>
      <c r="HQ151" s="37">
        <v>11.985469999999999</v>
      </c>
      <c r="HR151" s="37">
        <v>11.985469999999999</v>
      </c>
      <c r="HS151" s="37">
        <v>11.985469999999999</v>
      </c>
      <c r="HT151" s="37">
        <v>11.985469999999999</v>
      </c>
      <c r="HU151" s="37">
        <v>11.985469999999999</v>
      </c>
      <c r="HV151" s="37">
        <v>11.985469999999999</v>
      </c>
      <c r="HW151" s="37">
        <v>11.985469999999999</v>
      </c>
      <c r="HX151" s="37">
        <v>11.985469999999999</v>
      </c>
      <c r="HY151" s="37">
        <v>11.985469999999999</v>
      </c>
      <c r="HZ151" s="37">
        <v>11.985469999999999</v>
      </c>
      <c r="IA151" s="37">
        <v>11.985469999999999</v>
      </c>
      <c r="IB151" s="37">
        <v>11.985469999999999</v>
      </c>
      <c r="IC151" s="37">
        <v>11.985469999999999</v>
      </c>
      <c r="ID151" s="37">
        <v>11.985469999999999</v>
      </c>
      <c r="IE151" s="37">
        <v>11.985469999999999</v>
      </c>
      <c r="IF151" s="37">
        <v>11.985469999999999</v>
      </c>
      <c r="IG151" s="37">
        <v>11.985469999999999</v>
      </c>
      <c r="IH151" s="37">
        <v>11.985469999999999</v>
      </c>
      <c r="II151" s="37">
        <v>11.985469999999999</v>
      </c>
      <c r="IJ151" s="37">
        <v>11.985469999999999</v>
      </c>
      <c r="IK151" s="37">
        <v>11.985469999999999</v>
      </c>
      <c r="IL151" s="37">
        <v>11.985469999999999</v>
      </c>
      <c r="IM151" s="37">
        <v>11.985469999999999</v>
      </c>
      <c r="IN151" s="37">
        <v>11.985469999999999</v>
      </c>
      <c r="IO151" s="37">
        <v>11.985469999999999</v>
      </c>
      <c r="IP151" s="37">
        <v>11.985469999999999</v>
      </c>
      <c r="IQ151" s="37">
        <v>11.985469999999999</v>
      </c>
      <c r="IR151" s="37">
        <v>11.985469999999999</v>
      </c>
      <c r="IS151" s="37">
        <v>11.985469999999999</v>
      </c>
      <c r="IT151" s="37">
        <v>11.985469999999999</v>
      </c>
      <c r="IU151" s="37">
        <v>11.985469999999999</v>
      </c>
      <c r="IV151" s="37">
        <v>11.985469999999999</v>
      </c>
      <c r="IW151" s="37">
        <v>11.985469999999999</v>
      </c>
      <c r="IX151" s="37">
        <v>11.985469999999999</v>
      </c>
      <c r="IY151" s="37">
        <v>11.985469999999999</v>
      </c>
      <c r="IZ151" s="37">
        <v>11.985469999999999</v>
      </c>
      <c r="JA151" s="37">
        <v>11.985469999999999</v>
      </c>
      <c r="JB151" s="37">
        <v>11.985469999999999</v>
      </c>
      <c r="JC151" s="37">
        <v>11.985469999999999</v>
      </c>
      <c r="JD151" s="37">
        <v>11.985469999999999</v>
      </c>
      <c r="JE151" s="37">
        <v>11.985469999999999</v>
      </c>
      <c r="JF151" s="37">
        <v>11.985469999999999</v>
      </c>
      <c r="JG151" s="37">
        <v>11.985469999999999</v>
      </c>
      <c r="JH151" s="37">
        <v>11.985469999999999</v>
      </c>
      <c r="JI151" s="37">
        <v>11.985469999999999</v>
      </c>
      <c r="JJ151" s="37">
        <v>11.985469999999999</v>
      </c>
      <c r="JK151" s="37">
        <v>11.985469999999999</v>
      </c>
      <c r="JL151" s="37">
        <v>11.985469999999999</v>
      </c>
      <c r="JM151" s="37">
        <v>11.985469999999999</v>
      </c>
      <c r="JN151" s="37">
        <v>11.985469999999999</v>
      </c>
      <c r="JO151" s="37">
        <v>11.985469999999999</v>
      </c>
      <c r="JP151" s="37">
        <v>11.985469999999999</v>
      </c>
      <c r="JQ151" s="37">
        <v>11.985469999999999</v>
      </c>
      <c r="JR151" s="37">
        <v>11.985469999999999</v>
      </c>
      <c r="JS151" s="37">
        <v>11.985469999999999</v>
      </c>
      <c r="JT151" s="37">
        <v>11.985469999999999</v>
      </c>
      <c r="JU151" s="37">
        <v>11.985469999999999</v>
      </c>
      <c r="JV151" s="37">
        <v>11.985469999999999</v>
      </c>
      <c r="JW151" s="37">
        <v>11.985469999999999</v>
      </c>
      <c r="JX151" s="37">
        <v>11.985469999999999</v>
      </c>
      <c r="JY151" s="37">
        <v>11.985469999999999</v>
      </c>
      <c r="JZ151" s="37">
        <v>11.985469999999999</v>
      </c>
      <c r="KA151" s="37">
        <v>11.985469999999999</v>
      </c>
      <c r="KB151" s="37">
        <v>11.985469999999999</v>
      </c>
      <c r="KC151" s="37">
        <v>11.985469999999999</v>
      </c>
      <c r="KD151" s="37">
        <v>11.985469999999999</v>
      </c>
      <c r="KE151" s="37">
        <v>11.985469999999999</v>
      </c>
      <c r="KF151" s="37">
        <v>11.985469999999999</v>
      </c>
      <c r="KG151" s="37">
        <v>11.985469999999999</v>
      </c>
      <c r="KH151" s="37">
        <v>11.985469999999999</v>
      </c>
      <c r="KI151" s="37">
        <v>11.985469999999999</v>
      </c>
      <c r="KJ151" s="37">
        <v>11.985469999999999</v>
      </c>
      <c r="KK151" s="37">
        <v>11.985469999999999</v>
      </c>
      <c r="KL151" s="37">
        <v>11.985469999999999</v>
      </c>
      <c r="KM151" s="37">
        <v>11.985469999999999</v>
      </c>
      <c r="KN151" s="37">
        <v>11.985469999999999</v>
      </c>
      <c r="KO151" s="37">
        <v>11.985469999999999</v>
      </c>
      <c r="KP151" s="37">
        <v>11.985469999999999</v>
      </c>
      <c r="KQ151" s="37">
        <v>11.985469999999999</v>
      </c>
      <c r="KR151" s="37">
        <v>11.985469999999999</v>
      </c>
      <c r="KS151" s="37">
        <v>11.985469999999999</v>
      </c>
      <c r="KT151" s="37">
        <v>11.985469999999999</v>
      </c>
      <c r="KU151" s="37">
        <v>11.985469999999999</v>
      </c>
      <c r="KV151" s="37">
        <v>11.985469999999999</v>
      </c>
      <c r="KW151" s="37">
        <v>11.985469999999999</v>
      </c>
      <c r="KX151" s="37">
        <v>11.985469999999999</v>
      </c>
      <c r="KY151" s="37">
        <v>11.985469999999999</v>
      </c>
      <c r="KZ151" s="37">
        <v>11.985469999999999</v>
      </c>
      <c r="LA151" s="37">
        <v>11.985469999999999</v>
      </c>
      <c r="LB151" s="37">
        <v>11.985469999999999</v>
      </c>
      <c r="LC151" s="37">
        <v>11.985469999999999</v>
      </c>
      <c r="LD151" s="37">
        <v>11.985469999999999</v>
      </c>
      <c r="LE151" s="37">
        <v>11.985469999999999</v>
      </c>
      <c r="LF151" s="37">
        <v>11.985469999999999</v>
      </c>
      <c r="LG151" s="37">
        <v>11.985469999999999</v>
      </c>
      <c r="LH151" s="37">
        <v>11.985469999999999</v>
      </c>
      <c r="LI151" s="37">
        <v>11.985469999999999</v>
      </c>
      <c r="LJ151" s="37">
        <v>11.985469999999999</v>
      </c>
      <c r="LK151" s="37">
        <v>11.985469999999999</v>
      </c>
      <c r="LL151" s="37">
        <v>11.985469999999999</v>
      </c>
      <c r="LM151" s="37">
        <v>11.985469999999999</v>
      </c>
      <c r="LN151" s="37">
        <v>11.985469999999999</v>
      </c>
      <c r="LO151" s="37">
        <v>11.985469999999999</v>
      </c>
      <c r="LP151" s="37">
        <v>11.985469999999999</v>
      </c>
      <c r="LQ151" s="37">
        <v>11.985469999999999</v>
      </c>
      <c r="LR151" s="37">
        <v>11.985469999999999</v>
      </c>
      <c r="LS151" s="37">
        <v>11.985469999999999</v>
      </c>
      <c r="LT151" s="37">
        <v>11.985469999999999</v>
      </c>
      <c r="LU151" s="37">
        <v>11.985469999999999</v>
      </c>
      <c r="LV151" s="37">
        <v>11.985469999999999</v>
      </c>
      <c r="LW151" s="37">
        <v>11.985469999999999</v>
      </c>
      <c r="LX151" s="37">
        <v>11.985469999999999</v>
      </c>
      <c r="LY151" s="37">
        <v>11.985469999999999</v>
      </c>
      <c r="LZ151" s="37">
        <v>11.985469999999999</v>
      </c>
      <c r="MA151" s="37">
        <v>11.985469999999999</v>
      </c>
      <c r="MB151" s="37">
        <v>11.985469999999999</v>
      </c>
      <c r="MC151" s="37">
        <v>11.985469999999999</v>
      </c>
      <c r="MD151" s="37">
        <v>11.985469999999999</v>
      </c>
      <c r="ME151" s="37">
        <v>11.985469999999999</v>
      </c>
      <c r="MF151" s="37">
        <v>11.985469999999999</v>
      </c>
      <c r="MG151" s="37">
        <v>11.985469999999999</v>
      </c>
      <c r="MH151" s="37">
        <v>11.985469999999999</v>
      </c>
      <c r="MI151" s="37">
        <v>11.985469999999999</v>
      </c>
      <c r="MJ151" s="37">
        <v>11.985469999999999</v>
      </c>
      <c r="MK151" s="37">
        <v>11.985469999999999</v>
      </c>
      <c r="ML151" s="37">
        <v>11.985469999999999</v>
      </c>
      <c r="MM151" s="37">
        <v>11.985469999999999</v>
      </c>
      <c r="MN151" s="37">
        <v>11.985469999999999</v>
      </c>
      <c r="MO151" s="37">
        <v>11.985469999999999</v>
      </c>
      <c r="MP151" s="37">
        <v>11.985469999999999</v>
      </c>
      <c r="MQ151" s="37">
        <v>11.985469999999999</v>
      </c>
      <c r="MR151" s="37">
        <v>11.985469999999999</v>
      </c>
      <c r="MS151" s="37">
        <v>11.985469999999999</v>
      </c>
      <c r="MT151" s="37">
        <v>11.985469999999999</v>
      </c>
      <c r="MU151" s="37">
        <v>11.985469999999999</v>
      </c>
      <c r="MV151" s="37">
        <v>11.985469999999999</v>
      </c>
      <c r="MW151" s="37">
        <v>11.985469999999999</v>
      </c>
      <c r="MX151" s="37">
        <v>11.985469999999999</v>
      </c>
      <c r="MY151" s="37">
        <v>11.985469999999999</v>
      </c>
      <c r="MZ151" s="37">
        <v>11.985469999999999</v>
      </c>
      <c r="NA151" s="37">
        <v>11.985469999999999</v>
      </c>
      <c r="NB151" s="37">
        <v>11.985469999999999</v>
      </c>
      <c r="NC151" s="37">
        <v>11.985469999999999</v>
      </c>
      <c r="ND151" s="37">
        <v>12.964245</v>
      </c>
    </row>
    <row r="152" spans="1:372" x14ac:dyDescent="0.2">
      <c r="A152" s="37">
        <v>150</v>
      </c>
      <c r="B152" s="37" t="s">
        <v>1211</v>
      </c>
      <c r="C152" s="17">
        <f>+'Detalle Compras'!D152</f>
        <v>20240124006</v>
      </c>
      <c r="D152" s="55">
        <f t="shared" si="19"/>
        <v>6.3388200000000001</v>
      </c>
      <c r="E152" s="14">
        <f>+IF(B152="","",'Detalle Compras'!S152+0)</f>
        <v>45514</v>
      </c>
      <c r="F152" s="14">
        <f>+IF(B152="","",EOMONTH('Detalle Compras'!Q152,G152)+10)</f>
        <v>10846</v>
      </c>
      <c r="G152" s="50">
        <f t="shared" si="20"/>
        <v>355</v>
      </c>
      <c r="H152" s="50">
        <f t="shared" si="21"/>
        <v>337</v>
      </c>
      <c r="I152" s="37">
        <v>0</v>
      </c>
      <c r="J152" s="37">
        <v>0</v>
      </c>
      <c r="K152" s="37">
        <v>0</v>
      </c>
      <c r="L152" s="37">
        <v>0</v>
      </c>
      <c r="M152" s="37">
        <v>0</v>
      </c>
      <c r="N152" s="37">
        <v>6.3388200000000001</v>
      </c>
      <c r="O152" s="37">
        <v>6.3388200000000001</v>
      </c>
      <c r="P152" s="37">
        <v>6.3388200000000001</v>
      </c>
      <c r="Q152" s="37">
        <v>6.3388200000000001</v>
      </c>
      <c r="R152" s="37">
        <v>6.3388200000000001</v>
      </c>
      <c r="S152" s="37">
        <v>6.3388200000000001</v>
      </c>
      <c r="T152" s="37">
        <v>6.3388200000000001</v>
      </c>
      <c r="U152" s="37">
        <v>6.3388200000000001</v>
      </c>
      <c r="V152" s="37">
        <v>6.3388200000000001</v>
      </c>
      <c r="W152" s="37">
        <v>6.3388200000000001</v>
      </c>
      <c r="X152" s="37">
        <v>6.3388200000000001</v>
      </c>
      <c r="Y152" s="37">
        <v>6.3388200000000001</v>
      </c>
      <c r="Z152" s="37">
        <v>6.3388200000000001</v>
      </c>
      <c r="AA152" s="37">
        <v>6.3388200000000001</v>
      </c>
      <c r="AB152" s="37">
        <v>6.3388200000000001</v>
      </c>
      <c r="AC152" s="37">
        <v>6.3388200000000001</v>
      </c>
      <c r="AD152" s="37">
        <v>6.3388200000000001</v>
      </c>
      <c r="AE152" s="37">
        <v>6.3388200000000001</v>
      </c>
      <c r="AF152" s="37">
        <v>6.3388200000000001</v>
      </c>
      <c r="AG152" s="37">
        <v>6.3388200000000001</v>
      </c>
      <c r="AH152" s="37">
        <v>6.3388200000000001</v>
      </c>
      <c r="AI152" s="37">
        <v>6.3388200000000001</v>
      </c>
      <c r="AJ152" s="37">
        <v>6.3388200000000001</v>
      </c>
      <c r="AK152" s="37">
        <v>6.3388200000000001</v>
      </c>
      <c r="AL152" s="37">
        <v>6.3388200000000001</v>
      </c>
      <c r="AM152" s="37">
        <v>6.3388200000000001</v>
      </c>
      <c r="AN152" s="37">
        <v>6.3388200000000001</v>
      </c>
      <c r="AO152" s="37">
        <v>6.3388200000000001</v>
      </c>
      <c r="AP152" s="37">
        <v>6.3388200000000001</v>
      </c>
      <c r="AQ152" s="37">
        <v>6.3388200000000001</v>
      </c>
      <c r="AR152" s="37">
        <v>6.3388200000000001</v>
      </c>
      <c r="AS152" s="37">
        <v>6.3388200000000001</v>
      </c>
      <c r="AT152" s="37">
        <v>6.3388200000000001</v>
      </c>
      <c r="AU152" s="37">
        <v>6.3388200000000001</v>
      </c>
      <c r="AV152" s="37">
        <v>6.3388200000000001</v>
      </c>
      <c r="AW152" s="37">
        <v>6.3388200000000001</v>
      </c>
      <c r="AX152" s="37">
        <v>6.3388200000000001</v>
      </c>
      <c r="AY152" s="37">
        <v>6.3388200000000001</v>
      </c>
      <c r="AZ152" s="37">
        <v>6.3388200000000001</v>
      </c>
      <c r="BA152" s="37">
        <v>6.3388200000000001</v>
      </c>
      <c r="BB152" s="37">
        <v>6.3388200000000001</v>
      </c>
      <c r="BC152" s="37">
        <v>6.3388200000000001</v>
      </c>
      <c r="BD152" s="37">
        <v>6.3388200000000001</v>
      </c>
      <c r="BE152" s="37">
        <v>6.3388200000000001</v>
      </c>
      <c r="BF152" s="37">
        <v>6.3388200000000001</v>
      </c>
      <c r="BG152" s="37">
        <v>6.3388200000000001</v>
      </c>
      <c r="BH152" s="37">
        <v>6.3388200000000001</v>
      </c>
      <c r="BI152" s="37">
        <v>6.3388200000000001</v>
      </c>
      <c r="BJ152" s="37">
        <v>6.3388200000000001</v>
      </c>
      <c r="BK152" s="37">
        <v>6.3388200000000001</v>
      </c>
      <c r="BL152" s="37">
        <v>6.3388200000000001</v>
      </c>
      <c r="BM152" s="37">
        <v>6.3388200000000001</v>
      </c>
      <c r="BN152" s="37">
        <v>6.3388200000000001</v>
      </c>
      <c r="BO152" s="37">
        <v>6.3388200000000001</v>
      </c>
      <c r="BP152" s="37">
        <v>6.3388200000000001</v>
      </c>
      <c r="BQ152" s="37">
        <v>6.3388200000000001</v>
      </c>
      <c r="BR152" s="37">
        <v>6.3388200000000001</v>
      </c>
      <c r="BS152" s="37">
        <v>6.3388200000000001</v>
      </c>
      <c r="BT152" s="37">
        <v>6.3388200000000001</v>
      </c>
      <c r="BU152" s="37">
        <v>6.3388200000000001</v>
      </c>
      <c r="BV152" s="37">
        <v>6.3388200000000001</v>
      </c>
      <c r="BW152" s="37">
        <v>6.3388200000000001</v>
      </c>
      <c r="BX152" s="37">
        <v>6.3388200000000001</v>
      </c>
      <c r="BY152" s="37">
        <v>6.3388200000000001</v>
      </c>
      <c r="BZ152" s="37">
        <v>6.3388200000000001</v>
      </c>
      <c r="CA152" s="37">
        <v>6.3388200000000001</v>
      </c>
      <c r="CB152" s="37">
        <v>6.3388200000000001</v>
      </c>
      <c r="CC152" s="37">
        <v>6.3388200000000001</v>
      </c>
      <c r="CD152" s="37">
        <v>6.3388200000000001</v>
      </c>
      <c r="CE152" s="37">
        <v>6.3388200000000001</v>
      </c>
      <c r="CF152" s="37">
        <v>6.3388200000000001</v>
      </c>
      <c r="CG152" s="37">
        <v>6.3388200000000001</v>
      </c>
      <c r="CH152" s="37">
        <v>6.3388200000000001</v>
      </c>
      <c r="CI152" s="37">
        <v>6.3388200000000001</v>
      </c>
      <c r="CJ152" s="37">
        <v>6.3388200000000001</v>
      </c>
      <c r="CK152" s="37">
        <v>6.3388200000000001</v>
      </c>
      <c r="CL152" s="37">
        <v>6.3388200000000001</v>
      </c>
      <c r="CM152" s="37">
        <v>6.3388200000000001</v>
      </c>
      <c r="CN152" s="37">
        <v>6.3388200000000001</v>
      </c>
      <c r="CO152" s="37">
        <v>6.3388200000000001</v>
      </c>
      <c r="CP152" s="37">
        <v>6.3388200000000001</v>
      </c>
      <c r="CQ152" s="37">
        <v>6.3388200000000001</v>
      </c>
      <c r="CR152" s="37">
        <v>6.3388200000000001</v>
      </c>
      <c r="CS152" s="37">
        <v>6.3388200000000001</v>
      </c>
      <c r="CT152" s="37">
        <v>6.3388200000000001</v>
      </c>
      <c r="CU152" s="37">
        <v>6.3388200000000001</v>
      </c>
      <c r="CV152" s="37">
        <v>6.3388200000000001</v>
      </c>
      <c r="CW152" s="37">
        <v>6.3388200000000001</v>
      </c>
      <c r="CX152" s="37">
        <v>6.3388200000000001</v>
      </c>
      <c r="CY152" s="37">
        <v>6.3388200000000001</v>
      </c>
      <c r="CZ152" s="37">
        <v>6.3388200000000001</v>
      </c>
      <c r="DA152" s="37">
        <v>6.3388200000000001</v>
      </c>
      <c r="DB152" s="37">
        <v>6.3388200000000001</v>
      </c>
      <c r="DC152" s="37">
        <v>6.3388200000000001</v>
      </c>
      <c r="DD152" s="37">
        <v>6.3388200000000001</v>
      </c>
      <c r="DE152" s="37">
        <v>6.3388200000000001</v>
      </c>
      <c r="DF152" s="37">
        <v>6.3388200000000001</v>
      </c>
      <c r="DG152" s="37">
        <v>6.3388200000000001</v>
      </c>
      <c r="DH152" s="37">
        <v>6.3388200000000001</v>
      </c>
      <c r="DI152" s="37">
        <v>6.3388200000000001</v>
      </c>
      <c r="DJ152" s="37">
        <v>6.3388200000000001</v>
      </c>
      <c r="DK152" s="37">
        <v>6.3388200000000001</v>
      </c>
      <c r="DL152" s="37">
        <v>6.3388200000000001</v>
      </c>
      <c r="DM152" s="37">
        <v>6.3388200000000001</v>
      </c>
      <c r="DN152" s="37">
        <v>6.3388200000000001</v>
      </c>
      <c r="DO152" s="37">
        <v>6.3388200000000001</v>
      </c>
      <c r="DP152" s="37">
        <v>6.3388200000000001</v>
      </c>
      <c r="DQ152" s="37">
        <v>6.3388200000000001</v>
      </c>
      <c r="DR152" s="37">
        <v>6.3388200000000001</v>
      </c>
      <c r="DS152" s="37">
        <v>6.3388200000000001</v>
      </c>
      <c r="DT152" s="37">
        <v>6.3388200000000001</v>
      </c>
      <c r="DU152" s="37">
        <v>6.3388200000000001</v>
      </c>
      <c r="DV152" s="37">
        <v>6.3388200000000001</v>
      </c>
      <c r="DW152" s="37">
        <v>6.3388200000000001</v>
      </c>
      <c r="DX152" s="37">
        <v>6.3388200000000001</v>
      </c>
      <c r="DY152" s="37">
        <v>6.3388200000000001</v>
      </c>
      <c r="DZ152" s="37">
        <v>6.3388200000000001</v>
      </c>
      <c r="EA152" s="37">
        <v>6.3388200000000001</v>
      </c>
      <c r="EB152" s="37">
        <v>6.3388200000000001</v>
      </c>
      <c r="EC152" s="37">
        <v>6.3388200000000001</v>
      </c>
      <c r="ED152" s="37">
        <v>6.3388200000000001</v>
      </c>
      <c r="EE152" s="37">
        <v>6.3388200000000001</v>
      </c>
      <c r="EF152" s="37">
        <v>6.3388200000000001</v>
      </c>
      <c r="EG152" s="37">
        <v>6.3388200000000001</v>
      </c>
      <c r="EH152" s="37">
        <v>6.3388200000000001</v>
      </c>
      <c r="EI152" s="37">
        <v>6.3388200000000001</v>
      </c>
      <c r="EJ152" s="37">
        <v>6.3388200000000001</v>
      </c>
      <c r="EK152" s="37">
        <v>6.3388200000000001</v>
      </c>
      <c r="EL152" s="37">
        <v>6.3388200000000001</v>
      </c>
      <c r="EM152" s="37">
        <v>6.3388200000000001</v>
      </c>
      <c r="EN152" s="37">
        <v>6.3388200000000001</v>
      </c>
      <c r="EO152" s="37">
        <v>6.3388200000000001</v>
      </c>
      <c r="EP152" s="37">
        <v>6.3388200000000001</v>
      </c>
      <c r="EQ152" s="37">
        <v>6.3388200000000001</v>
      </c>
      <c r="ER152" s="37">
        <v>6.3388200000000001</v>
      </c>
      <c r="ES152" s="37">
        <v>6.3388200000000001</v>
      </c>
      <c r="ET152" s="37">
        <v>6.3388200000000001</v>
      </c>
      <c r="EU152" s="37">
        <v>6.3388200000000001</v>
      </c>
      <c r="EV152" s="37">
        <v>6.3388200000000001</v>
      </c>
      <c r="EW152" s="37">
        <v>6.3388200000000001</v>
      </c>
      <c r="EX152" s="37">
        <v>6.3388200000000001</v>
      </c>
      <c r="EY152" s="37">
        <v>6.3388200000000001</v>
      </c>
      <c r="EZ152" s="37">
        <v>6.3388200000000001</v>
      </c>
      <c r="FA152" s="37">
        <v>6.3388200000000001</v>
      </c>
      <c r="FB152" s="37">
        <v>6.3388200000000001</v>
      </c>
      <c r="FC152" s="37">
        <v>6.3388200000000001</v>
      </c>
      <c r="FD152" s="37">
        <v>6.3388200000000001</v>
      </c>
      <c r="FE152" s="37">
        <v>6.3388200000000001</v>
      </c>
      <c r="FF152" s="37">
        <v>6.3388200000000001</v>
      </c>
      <c r="FG152" s="37">
        <v>6.3388200000000001</v>
      </c>
      <c r="FH152" s="37">
        <v>6.3388200000000001</v>
      </c>
      <c r="FI152" s="37">
        <v>6.3388200000000001</v>
      </c>
      <c r="FJ152" s="37">
        <v>6.3388200000000001</v>
      </c>
      <c r="FK152" s="37">
        <v>6.3388200000000001</v>
      </c>
      <c r="FL152" s="37">
        <v>6.3388200000000001</v>
      </c>
      <c r="FM152" s="37">
        <v>6.3388200000000001</v>
      </c>
      <c r="FN152" s="37">
        <v>6.3388200000000001</v>
      </c>
      <c r="FO152" s="37">
        <v>6.3388200000000001</v>
      </c>
      <c r="FP152" s="37">
        <v>6.3388200000000001</v>
      </c>
      <c r="FQ152" s="37">
        <v>6.3388200000000001</v>
      </c>
      <c r="FR152" s="37">
        <v>6.3388200000000001</v>
      </c>
      <c r="FS152" s="37">
        <v>6.3388200000000001</v>
      </c>
      <c r="FT152" s="37">
        <v>6.3388200000000001</v>
      </c>
      <c r="FU152" s="37">
        <v>6.3388200000000001</v>
      </c>
      <c r="FV152" s="37">
        <v>6.3388200000000001</v>
      </c>
      <c r="FW152" s="37">
        <v>6.3388200000000001</v>
      </c>
      <c r="FX152" s="37">
        <v>6.3388200000000001</v>
      </c>
      <c r="FY152" s="37">
        <v>6.3388200000000001</v>
      </c>
      <c r="FZ152" s="37">
        <v>6.3388200000000001</v>
      </c>
      <c r="GA152" s="37">
        <v>6.3388200000000001</v>
      </c>
      <c r="GB152" s="37">
        <v>6.3388200000000001</v>
      </c>
      <c r="GC152" s="37">
        <v>6.3388200000000001</v>
      </c>
      <c r="GD152" s="37">
        <v>6.3388200000000001</v>
      </c>
      <c r="GE152" s="37">
        <v>6.3388200000000001</v>
      </c>
      <c r="GF152" s="37">
        <v>6.3388200000000001</v>
      </c>
      <c r="GG152" s="37">
        <v>6.3388200000000001</v>
      </c>
      <c r="GH152" s="37">
        <v>6.3388200000000001</v>
      </c>
      <c r="GI152" s="37">
        <v>6.3388200000000001</v>
      </c>
      <c r="GJ152" s="37">
        <v>6.3388200000000001</v>
      </c>
      <c r="GK152" s="37">
        <v>6.3388200000000001</v>
      </c>
      <c r="GL152" s="37">
        <v>6.3388200000000001</v>
      </c>
      <c r="GM152" s="37">
        <v>6.3388200000000001</v>
      </c>
      <c r="GN152" s="37">
        <v>6.3388200000000001</v>
      </c>
      <c r="GO152" s="37">
        <v>6.3388200000000001</v>
      </c>
      <c r="GP152" s="37">
        <v>6.3388200000000001</v>
      </c>
      <c r="GQ152" s="37">
        <v>6.3388200000000001</v>
      </c>
      <c r="GR152" s="37">
        <v>6.3388200000000001</v>
      </c>
      <c r="GS152" s="37">
        <v>6.3388200000000001</v>
      </c>
      <c r="GT152" s="37">
        <v>6.3388200000000001</v>
      </c>
      <c r="GU152" s="37">
        <v>6.3388200000000001</v>
      </c>
      <c r="GV152" s="37">
        <v>6.3388200000000001</v>
      </c>
      <c r="GW152" s="37">
        <v>6.3388200000000001</v>
      </c>
      <c r="GX152" s="37">
        <v>6.3388200000000001</v>
      </c>
      <c r="GY152" s="37">
        <v>6.3388200000000001</v>
      </c>
      <c r="GZ152" s="37">
        <v>6.3388200000000001</v>
      </c>
      <c r="HA152" s="37">
        <v>6.3388200000000001</v>
      </c>
      <c r="HB152" s="37">
        <v>6.3388200000000001</v>
      </c>
      <c r="HC152" s="37">
        <v>6.3388200000000001</v>
      </c>
      <c r="HD152" s="37">
        <v>6.3388200000000001</v>
      </c>
      <c r="HE152" s="37">
        <v>6.3388200000000001</v>
      </c>
      <c r="HF152" s="37">
        <v>6.3388200000000001</v>
      </c>
      <c r="HG152" s="37">
        <v>6.3388200000000001</v>
      </c>
      <c r="HH152" s="37">
        <v>6.3388200000000001</v>
      </c>
      <c r="HI152" s="37">
        <v>6.3388200000000001</v>
      </c>
      <c r="HJ152" s="37">
        <v>6.3388200000000001</v>
      </c>
      <c r="HK152" s="37">
        <v>6.3388200000000001</v>
      </c>
      <c r="HL152" s="37">
        <v>6.3388200000000001</v>
      </c>
      <c r="HM152" s="37">
        <v>6.3388200000000001</v>
      </c>
      <c r="HN152" s="37">
        <v>6.3388200000000001</v>
      </c>
      <c r="HO152" s="37">
        <v>6.3388200000000001</v>
      </c>
      <c r="HP152" s="37">
        <v>6.3388200000000001</v>
      </c>
      <c r="HQ152" s="37">
        <v>6.3388200000000001</v>
      </c>
      <c r="HR152" s="37">
        <v>6.3388200000000001</v>
      </c>
      <c r="HS152" s="37">
        <v>6.3388200000000001</v>
      </c>
      <c r="HT152" s="37">
        <v>6.3388200000000001</v>
      </c>
      <c r="HU152" s="37">
        <v>6.3388200000000001</v>
      </c>
      <c r="HV152" s="37">
        <v>6.3388200000000001</v>
      </c>
      <c r="HW152" s="37">
        <v>6.3388200000000001</v>
      </c>
      <c r="HX152" s="37">
        <v>6.3388200000000001</v>
      </c>
      <c r="HY152" s="37">
        <v>6.3388200000000001</v>
      </c>
      <c r="HZ152" s="37">
        <v>6.3388200000000001</v>
      </c>
      <c r="IA152" s="37">
        <v>6.3388200000000001</v>
      </c>
      <c r="IB152" s="37">
        <v>6.3388200000000001</v>
      </c>
      <c r="IC152" s="37">
        <v>6.3388200000000001</v>
      </c>
      <c r="ID152" s="37">
        <v>6.3388200000000001</v>
      </c>
      <c r="IE152" s="37">
        <v>6.3388200000000001</v>
      </c>
      <c r="IF152" s="37">
        <v>6.3388200000000001</v>
      </c>
      <c r="IG152" s="37">
        <v>6.3388200000000001</v>
      </c>
      <c r="IH152" s="37">
        <v>6.3388200000000001</v>
      </c>
      <c r="II152" s="37">
        <v>6.3388200000000001</v>
      </c>
      <c r="IJ152" s="37">
        <v>6.3388200000000001</v>
      </c>
      <c r="IK152" s="37">
        <v>6.3388200000000001</v>
      </c>
      <c r="IL152" s="37">
        <v>6.3388200000000001</v>
      </c>
      <c r="IM152" s="37">
        <v>6.3388200000000001</v>
      </c>
      <c r="IN152" s="37">
        <v>6.3388200000000001</v>
      </c>
      <c r="IO152" s="37">
        <v>6.3388200000000001</v>
      </c>
      <c r="IP152" s="37">
        <v>6.3388200000000001</v>
      </c>
      <c r="IQ152" s="37">
        <v>6.3388200000000001</v>
      </c>
      <c r="IR152" s="37">
        <v>6.3388200000000001</v>
      </c>
      <c r="IS152" s="37">
        <v>6.3388200000000001</v>
      </c>
      <c r="IT152" s="37">
        <v>6.3388200000000001</v>
      </c>
      <c r="IU152" s="37">
        <v>6.3388200000000001</v>
      </c>
      <c r="IV152" s="37">
        <v>6.3388200000000001</v>
      </c>
      <c r="IW152" s="37">
        <v>6.3388200000000001</v>
      </c>
      <c r="IX152" s="37">
        <v>6.3388200000000001</v>
      </c>
      <c r="IY152" s="37">
        <v>6.3388200000000001</v>
      </c>
      <c r="IZ152" s="37">
        <v>6.3388200000000001</v>
      </c>
      <c r="JA152" s="37">
        <v>6.3388200000000001</v>
      </c>
      <c r="JB152" s="37">
        <v>6.3388200000000001</v>
      </c>
      <c r="JC152" s="37">
        <v>6.3388200000000001</v>
      </c>
      <c r="JD152" s="37">
        <v>6.3388200000000001</v>
      </c>
      <c r="JE152" s="37">
        <v>6.3388200000000001</v>
      </c>
      <c r="JF152" s="37">
        <v>6.3388200000000001</v>
      </c>
      <c r="JG152" s="37">
        <v>6.3388200000000001</v>
      </c>
      <c r="JH152" s="37">
        <v>6.3388200000000001</v>
      </c>
      <c r="JI152" s="37">
        <v>6.3388200000000001</v>
      </c>
      <c r="JJ152" s="37">
        <v>6.3388200000000001</v>
      </c>
      <c r="JK152" s="37">
        <v>6.3388200000000001</v>
      </c>
      <c r="JL152" s="37">
        <v>6.3388200000000001</v>
      </c>
      <c r="JM152" s="37">
        <v>6.3388200000000001</v>
      </c>
      <c r="JN152" s="37">
        <v>6.3388200000000001</v>
      </c>
      <c r="JO152" s="37">
        <v>6.3388200000000001</v>
      </c>
      <c r="JP152" s="37">
        <v>6.3388200000000001</v>
      </c>
      <c r="JQ152" s="37">
        <v>6.3388200000000001</v>
      </c>
      <c r="JR152" s="37">
        <v>6.3388200000000001</v>
      </c>
      <c r="JS152" s="37">
        <v>6.3388200000000001</v>
      </c>
      <c r="JT152" s="37">
        <v>6.3388200000000001</v>
      </c>
      <c r="JU152" s="37">
        <v>6.3388200000000001</v>
      </c>
      <c r="JV152" s="37">
        <v>6.3388200000000001</v>
      </c>
      <c r="JW152" s="37">
        <v>6.3388200000000001</v>
      </c>
      <c r="JX152" s="37">
        <v>6.3388200000000001</v>
      </c>
      <c r="JY152" s="37">
        <v>6.3388200000000001</v>
      </c>
      <c r="JZ152" s="37">
        <v>6.3388200000000001</v>
      </c>
      <c r="KA152" s="37">
        <v>6.3388200000000001</v>
      </c>
      <c r="KB152" s="37">
        <v>6.3388200000000001</v>
      </c>
      <c r="KC152" s="37">
        <v>6.3388200000000001</v>
      </c>
      <c r="KD152" s="37">
        <v>6.3388200000000001</v>
      </c>
      <c r="KE152" s="37">
        <v>6.3388200000000001</v>
      </c>
      <c r="KF152" s="37">
        <v>6.3388200000000001</v>
      </c>
      <c r="KG152" s="37">
        <v>6.3388200000000001</v>
      </c>
      <c r="KH152" s="37">
        <v>6.3388200000000001</v>
      </c>
      <c r="KI152" s="37">
        <v>6.3388200000000001</v>
      </c>
      <c r="KJ152" s="37">
        <v>6.3388200000000001</v>
      </c>
      <c r="KK152" s="37">
        <v>6.3388200000000001</v>
      </c>
      <c r="KL152" s="37">
        <v>6.3388200000000001</v>
      </c>
      <c r="KM152" s="37">
        <v>6.3388200000000001</v>
      </c>
      <c r="KN152" s="37">
        <v>6.3388200000000001</v>
      </c>
      <c r="KO152" s="37">
        <v>6.3388200000000001</v>
      </c>
      <c r="KP152" s="37">
        <v>6.3388200000000001</v>
      </c>
      <c r="KQ152" s="37">
        <v>6.3388200000000001</v>
      </c>
      <c r="KR152" s="37">
        <v>6.3388200000000001</v>
      </c>
      <c r="KS152" s="37">
        <v>6.3388200000000001</v>
      </c>
      <c r="KT152" s="37">
        <v>6.3388200000000001</v>
      </c>
      <c r="KU152" s="37">
        <v>6.3388200000000001</v>
      </c>
      <c r="KV152" s="37">
        <v>6.3388200000000001</v>
      </c>
      <c r="KW152" s="37">
        <v>6.3388200000000001</v>
      </c>
      <c r="KX152" s="37">
        <v>6.3388200000000001</v>
      </c>
      <c r="KY152" s="37">
        <v>6.3388200000000001</v>
      </c>
      <c r="KZ152" s="37">
        <v>6.3388200000000001</v>
      </c>
      <c r="LA152" s="37">
        <v>6.3388200000000001</v>
      </c>
      <c r="LB152" s="37">
        <v>6.3388200000000001</v>
      </c>
      <c r="LC152" s="37">
        <v>6.3388200000000001</v>
      </c>
      <c r="LD152" s="37">
        <v>6.3388200000000001</v>
      </c>
      <c r="LE152" s="37">
        <v>6.3388200000000001</v>
      </c>
      <c r="LF152" s="37">
        <v>6.3388200000000001</v>
      </c>
      <c r="LG152" s="37">
        <v>6.3388200000000001</v>
      </c>
      <c r="LH152" s="37">
        <v>6.3388200000000001</v>
      </c>
      <c r="LI152" s="37">
        <v>6.3388200000000001</v>
      </c>
      <c r="LJ152" s="37">
        <v>6.3388200000000001</v>
      </c>
      <c r="LK152" s="37">
        <v>6.3388200000000001</v>
      </c>
      <c r="LL152" s="37">
        <v>6.3388200000000001</v>
      </c>
      <c r="LM152" s="37">
        <v>6.3388200000000001</v>
      </c>
      <c r="LN152" s="37">
        <v>6.3388200000000001</v>
      </c>
      <c r="LO152" s="37">
        <v>6.3388200000000001</v>
      </c>
      <c r="LP152" s="37">
        <v>6.3388200000000001</v>
      </c>
      <c r="LQ152" s="37">
        <v>6.3388200000000001</v>
      </c>
      <c r="LR152" s="37">
        <v>6.3388200000000001</v>
      </c>
      <c r="LS152" s="37">
        <v>6.3388200000000001</v>
      </c>
      <c r="LT152" s="37">
        <v>6.3388200000000001</v>
      </c>
      <c r="LU152" s="37">
        <v>6.3388200000000001</v>
      </c>
      <c r="LV152" s="37">
        <v>6.3388200000000001</v>
      </c>
      <c r="LW152" s="37">
        <v>6.3388200000000001</v>
      </c>
      <c r="LX152" s="37">
        <v>6.3388200000000001</v>
      </c>
      <c r="LY152" s="37">
        <v>6.3388200000000001</v>
      </c>
      <c r="LZ152" s="37">
        <v>6.3388200000000001</v>
      </c>
      <c r="MA152" s="37">
        <v>6.3388200000000001</v>
      </c>
      <c r="MB152" s="37">
        <v>6.3388200000000001</v>
      </c>
      <c r="MC152" s="37">
        <v>6.3388200000000001</v>
      </c>
      <c r="MD152" s="37">
        <v>6.3388200000000001</v>
      </c>
      <c r="ME152" s="37">
        <v>6.3388200000000001</v>
      </c>
      <c r="MF152" s="37">
        <v>6.3388200000000001</v>
      </c>
      <c r="MG152" s="37">
        <v>6.3388200000000001</v>
      </c>
      <c r="MH152" s="37">
        <v>6.3388200000000001</v>
      </c>
      <c r="MI152" s="37">
        <v>6.3388200000000001</v>
      </c>
      <c r="MJ152" s="37">
        <v>6.3388200000000001</v>
      </c>
      <c r="MK152" s="37">
        <v>6.3388200000000001</v>
      </c>
      <c r="ML152" s="37">
        <v>6.3388200000000001</v>
      </c>
      <c r="MM152" s="37">
        <v>6.3388200000000001</v>
      </c>
      <c r="MN152" s="37">
        <v>6.3388200000000001</v>
      </c>
      <c r="MO152" s="37">
        <v>6.3388200000000001</v>
      </c>
      <c r="MP152" s="37">
        <v>6.3388200000000001</v>
      </c>
      <c r="MQ152" s="37">
        <v>6.3388200000000001</v>
      </c>
      <c r="MR152" s="37">
        <v>6.3388200000000001</v>
      </c>
      <c r="MS152" s="37">
        <v>6.3388200000000001</v>
      </c>
      <c r="MT152" s="37">
        <v>6.3388200000000001</v>
      </c>
      <c r="MU152" s="37">
        <v>6.3388200000000001</v>
      </c>
      <c r="MV152" s="37">
        <v>6.3388200000000001</v>
      </c>
      <c r="MW152" s="37">
        <v>6.3388200000000001</v>
      </c>
      <c r="MX152" s="37">
        <v>6.3388200000000001</v>
      </c>
      <c r="MY152" s="37">
        <v>6.3388200000000001</v>
      </c>
      <c r="MZ152" s="37">
        <v>6.3388200000000001</v>
      </c>
      <c r="NA152" s="37">
        <v>6.3388200000000001</v>
      </c>
      <c r="NB152" s="37">
        <v>6.3388200000000001</v>
      </c>
      <c r="NC152" s="37">
        <v>6.3388200000000001</v>
      </c>
      <c r="ND152" s="37">
        <v>6.8564699999999998</v>
      </c>
    </row>
    <row r="153" spans="1:372" x14ac:dyDescent="0.2">
      <c r="A153" s="37">
        <v>151</v>
      </c>
      <c r="B153" s="37" t="s">
        <v>1216</v>
      </c>
      <c r="C153" s="17">
        <f>+'Detalle Compras'!D153</f>
        <v>20240123007</v>
      </c>
      <c r="D153" s="55">
        <f t="shared" si="19"/>
        <v>11.256869999999999</v>
      </c>
      <c r="E153" s="14">
        <f>+IF(B153="","",'Detalle Compras'!S153+0)</f>
        <v>45514</v>
      </c>
      <c r="F153" s="14">
        <f>+IF(B153="","",EOMONTH('Detalle Compras'!Q153,G153)+10)</f>
        <v>10846</v>
      </c>
      <c r="G153" s="50">
        <f t="shared" si="20"/>
        <v>355</v>
      </c>
      <c r="H153" s="50">
        <f t="shared" si="21"/>
        <v>337</v>
      </c>
      <c r="I153" s="37">
        <v>0</v>
      </c>
      <c r="J153" s="37">
        <v>0</v>
      </c>
      <c r="K153" s="37">
        <v>0</v>
      </c>
      <c r="L153" s="37">
        <v>0</v>
      </c>
      <c r="M153" s="37">
        <v>0</v>
      </c>
      <c r="N153" s="37">
        <v>11.256869999999999</v>
      </c>
      <c r="O153" s="37">
        <v>11.256869999999999</v>
      </c>
      <c r="P153" s="37">
        <v>11.256869999999999</v>
      </c>
      <c r="Q153" s="37">
        <v>11.256869999999999</v>
      </c>
      <c r="R153" s="37">
        <v>11.256869999999999</v>
      </c>
      <c r="S153" s="37">
        <v>11.256869999999999</v>
      </c>
      <c r="T153" s="37">
        <v>11.256869999999999</v>
      </c>
      <c r="U153" s="37">
        <v>11.256869999999999</v>
      </c>
      <c r="V153" s="37">
        <v>11.256869999999999</v>
      </c>
      <c r="W153" s="37">
        <v>11.256869999999999</v>
      </c>
      <c r="X153" s="37">
        <v>11.256869999999999</v>
      </c>
      <c r="Y153" s="37">
        <v>11.256869999999999</v>
      </c>
      <c r="Z153" s="37">
        <v>11.256869999999999</v>
      </c>
      <c r="AA153" s="37">
        <v>11.256869999999999</v>
      </c>
      <c r="AB153" s="37">
        <v>11.256869999999999</v>
      </c>
      <c r="AC153" s="37">
        <v>11.256869999999999</v>
      </c>
      <c r="AD153" s="37">
        <v>11.256869999999999</v>
      </c>
      <c r="AE153" s="37">
        <v>11.256869999999999</v>
      </c>
      <c r="AF153" s="37">
        <v>11.256869999999999</v>
      </c>
      <c r="AG153" s="37">
        <v>11.256869999999999</v>
      </c>
      <c r="AH153" s="37">
        <v>11.256869999999999</v>
      </c>
      <c r="AI153" s="37">
        <v>11.256869999999999</v>
      </c>
      <c r="AJ153" s="37">
        <v>11.256869999999999</v>
      </c>
      <c r="AK153" s="37">
        <v>11.256869999999999</v>
      </c>
      <c r="AL153" s="37">
        <v>11.256869999999999</v>
      </c>
      <c r="AM153" s="37">
        <v>11.256869999999999</v>
      </c>
      <c r="AN153" s="37">
        <v>11.256869999999999</v>
      </c>
      <c r="AO153" s="37">
        <v>11.256869999999999</v>
      </c>
      <c r="AP153" s="37">
        <v>11.256869999999999</v>
      </c>
      <c r="AQ153" s="37">
        <v>11.256869999999999</v>
      </c>
      <c r="AR153" s="37">
        <v>11.256869999999999</v>
      </c>
      <c r="AS153" s="37">
        <v>11.256869999999999</v>
      </c>
      <c r="AT153" s="37">
        <v>11.256869999999999</v>
      </c>
      <c r="AU153" s="37">
        <v>11.256869999999999</v>
      </c>
      <c r="AV153" s="37">
        <v>11.256869999999999</v>
      </c>
      <c r="AW153" s="37">
        <v>11.256869999999999</v>
      </c>
      <c r="AX153" s="37">
        <v>11.256869999999999</v>
      </c>
      <c r="AY153" s="37">
        <v>11.256869999999999</v>
      </c>
      <c r="AZ153" s="37">
        <v>11.256869999999999</v>
      </c>
      <c r="BA153" s="37">
        <v>11.256869999999999</v>
      </c>
      <c r="BB153" s="37">
        <v>11.256869999999999</v>
      </c>
      <c r="BC153" s="37">
        <v>11.256869999999999</v>
      </c>
      <c r="BD153" s="37">
        <v>11.256869999999999</v>
      </c>
      <c r="BE153" s="37">
        <v>11.256869999999999</v>
      </c>
      <c r="BF153" s="37">
        <v>11.256869999999999</v>
      </c>
      <c r="BG153" s="37">
        <v>11.256869999999999</v>
      </c>
      <c r="BH153" s="37">
        <v>11.256869999999999</v>
      </c>
      <c r="BI153" s="37">
        <v>11.256869999999999</v>
      </c>
      <c r="BJ153" s="37">
        <v>11.256869999999999</v>
      </c>
      <c r="BK153" s="37">
        <v>11.256869999999999</v>
      </c>
      <c r="BL153" s="37">
        <v>11.256869999999999</v>
      </c>
      <c r="BM153" s="37">
        <v>11.256869999999999</v>
      </c>
      <c r="BN153" s="37">
        <v>11.256869999999999</v>
      </c>
      <c r="BO153" s="37">
        <v>11.256869999999999</v>
      </c>
      <c r="BP153" s="37">
        <v>11.256869999999999</v>
      </c>
      <c r="BQ153" s="37">
        <v>11.256869999999999</v>
      </c>
      <c r="BR153" s="37">
        <v>11.256869999999999</v>
      </c>
      <c r="BS153" s="37">
        <v>11.256869999999999</v>
      </c>
      <c r="BT153" s="37">
        <v>11.256869999999999</v>
      </c>
      <c r="BU153" s="37">
        <v>11.256869999999999</v>
      </c>
      <c r="BV153" s="37">
        <v>11.256869999999999</v>
      </c>
      <c r="BW153" s="37">
        <v>11.256869999999999</v>
      </c>
      <c r="BX153" s="37">
        <v>11.256869999999999</v>
      </c>
      <c r="BY153" s="37">
        <v>11.256869999999999</v>
      </c>
      <c r="BZ153" s="37">
        <v>11.256869999999999</v>
      </c>
      <c r="CA153" s="37">
        <v>11.256869999999999</v>
      </c>
      <c r="CB153" s="37">
        <v>11.256869999999999</v>
      </c>
      <c r="CC153" s="37">
        <v>11.256869999999999</v>
      </c>
      <c r="CD153" s="37">
        <v>11.256869999999999</v>
      </c>
      <c r="CE153" s="37">
        <v>11.256869999999999</v>
      </c>
      <c r="CF153" s="37">
        <v>11.256869999999999</v>
      </c>
      <c r="CG153" s="37">
        <v>11.256869999999999</v>
      </c>
      <c r="CH153" s="37">
        <v>11.256869999999999</v>
      </c>
      <c r="CI153" s="37">
        <v>11.256869999999999</v>
      </c>
      <c r="CJ153" s="37">
        <v>11.256869999999999</v>
      </c>
      <c r="CK153" s="37">
        <v>11.256869999999999</v>
      </c>
      <c r="CL153" s="37">
        <v>11.256869999999999</v>
      </c>
      <c r="CM153" s="37">
        <v>11.256869999999999</v>
      </c>
      <c r="CN153" s="37">
        <v>11.256869999999999</v>
      </c>
      <c r="CO153" s="37">
        <v>11.256869999999999</v>
      </c>
      <c r="CP153" s="37">
        <v>11.256869999999999</v>
      </c>
      <c r="CQ153" s="37">
        <v>11.256869999999999</v>
      </c>
      <c r="CR153" s="37">
        <v>11.256869999999999</v>
      </c>
      <c r="CS153" s="37">
        <v>11.256869999999999</v>
      </c>
      <c r="CT153" s="37">
        <v>11.256869999999999</v>
      </c>
      <c r="CU153" s="37">
        <v>11.256869999999999</v>
      </c>
      <c r="CV153" s="37">
        <v>11.256869999999999</v>
      </c>
      <c r="CW153" s="37">
        <v>11.256869999999999</v>
      </c>
      <c r="CX153" s="37">
        <v>11.256869999999999</v>
      </c>
      <c r="CY153" s="37">
        <v>11.256869999999999</v>
      </c>
      <c r="CZ153" s="37">
        <v>11.256869999999999</v>
      </c>
      <c r="DA153" s="37">
        <v>11.256869999999999</v>
      </c>
      <c r="DB153" s="37">
        <v>11.256869999999999</v>
      </c>
      <c r="DC153" s="37">
        <v>11.256869999999999</v>
      </c>
      <c r="DD153" s="37">
        <v>11.256869999999999</v>
      </c>
      <c r="DE153" s="37">
        <v>11.256869999999999</v>
      </c>
      <c r="DF153" s="37">
        <v>11.256869999999999</v>
      </c>
      <c r="DG153" s="37">
        <v>11.256869999999999</v>
      </c>
      <c r="DH153" s="37">
        <v>11.256869999999999</v>
      </c>
      <c r="DI153" s="37">
        <v>11.256869999999999</v>
      </c>
      <c r="DJ153" s="37">
        <v>11.256869999999999</v>
      </c>
      <c r="DK153" s="37">
        <v>11.256869999999999</v>
      </c>
      <c r="DL153" s="37">
        <v>11.256869999999999</v>
      </c>
      <c r="DM153" s="37">
        <v>11.256869999999999</v>
      </c>
      <c r="DN153" s="37">
        <v>11.256869999999999</v>
      </c>
      <c r="DO153" s="37">
        <v>11.256869999999999</v>
      </c>
      <c r="DP153" s="37">
        <v>11.256869999999999</v>
      </c>
      <c r="DQ153" s="37">
        <v>11.256869999999999</v>
      </c>
      <c r="DR153" s="37">
        <v>11.256869999999999</v>
      </c>
      <c r="DS153" s="37">
        <v>11.256869999999999</v>
      </c>
      <c r="DT153" s="37">
        <v>11.256869999999999</v>
      </c>
      <c r="DU153" s="37">
        <v>11.256869999999999</v>
      </c>
      <c r="DV153" s="37">
        <v>11.256869999999999</v>
      </c>
      <c r="DW153" s="37">
        <v>11.256869999999999</v>
      </c>
      <c r="DX153" s="37">
        <v>11.256869999999999</v>
      </c>
      <c r="DY153" s="37">
        <v>11.256869999999999</v>
      </c>
      <c r="DZ153" s="37">
        <v>11.256869999999999</v>
      </c>
      <c r="EA153" s="37">
        <v>11.256869999999999</v>
      </c>
      <c r="EB153" s="37">
        <v>11.256869999999999</v>
      </c>
      <c r="EC153" s="37">
        <v>11.256869999999999</v>
      </c>
      <c r="ED153" s="37">
        <v>11.256869999999999</v>
      </c>
      <c r="EE153" s="37">
        <v>11.256869999999999</v>
      </c>
      <c r="EF153" s="37">
        <v>11.256869999999999</v>
      </c>
      <c r="EG153" s="37">
        <v>11.256869999999999</v>
      </c>
      <c r="EH153" s="37">
        <v>11.256869999999999</v>
      </c>
      <c r="EI153" s="37">
        <v>11.256869999999999</v>
      </c>
      <c r="EJ153" s="37">
        <v>11.256869999999999</v>
      </c>
      <c r="EK153" s="37">
        <v>11.256869999999999</v>
      </c>
      <c r="EL153" s="37">
        <v>11.256869999999999</v>
      </c>
      <c r="EM153" s="37">
        <v>11.256869999999999</v>
      </c>
      <c r="EN153" s="37">
        <v>11.256869999999999</v>
      </c>
      <c r="EO153" s="37">
        <v>11.256869999999999</v>
      </c>
      <c r="EP153" s="37">
        <v>11.256869999999999</v>
      </c>
      <c r="EQ153" s="37">
        <v>11.256869999999999</v>
      </c>
      <c r="ER153" s="37">
        <v>11.256869999999999</v>
      </c>
      <c r="ES153" s="37">
        <v>11.256869999999999</v>
      </c>
      <c r="ET153" s="37">
        <v>11.256869999999999</v>
      </c>
      <c r="EU153" s="37">
        <v>11.256869999999999</v>
      </c>
      <c r="EV153" s="37">
        <v>11.256869999999999</v>
      </c>
      <c r="EW153" s="37">
        <v>11.256869999999999</v>
      </c>
      <c r="EX153" s="37">
        <v>11.256869999999999</v>
      </c>
      <c r="EY153" s="37">
        <v>11.256869999999999</v>
      </c>
      <c r="EZ153" s="37">
        <v>11.256869999999999</v>
      </c>
      <c r="FA153" s="37">
        <v>11.256869999999999</v>
      </c>
      <c r="FB153" s="37">
        <v>11.256869999999999</v>
      </c>
      <c r="FC153" s="37">
        <v>11.256869999999999</v>
      </c>
      <c r="FD153" s="37">
        <v>11.256869999999999</v>
      </c>
      <c r="FE153" s="37">
        <v>11.256869999999999</v>
      </c>
      <c r="FF153" s="37">
        <v>11.256869999999999</v>
      </c>
      <c r="FG153" s="37">
        <v>11.256869999999999</v>
      </c>
      <c r="FH153" s="37">
        <v>11.256869999999999</v>
      </c>
      <c r="FI153" s="37">
        <v>11.256869999999999</v>
      </c>
      <c r="FJ153" s="37">
        <v>11.256869999999999</v>
      </c>
      <c r="FK153" s="37">
        <v>11.256869999999999</v>
      </c>
      <c r="FL153" s="37">
        <v>11.256869999999999</v>
      </c>
      <c r="FM153" s="37">
        <v>11.256869999999999</v>
      </c>
      <c r="FN153" s="37">
        <v>11.256869999999999</v>
      </c>
      <c r="FO153" s="37">
        <v>11.256869999999999</v>
      </c>
      <c r="FP153" s="37">
        <v>11.256869999999999</v>
      </c>
      <c r="FQ153" s="37">
        <v>11.256869999999999</v>
      </c>
      <c r="FR153" s="37">
        <v>11.256869999999999</v>
      </c>
      <c r="FS153" s="37">
        <v>11.256869999999999</v>
      </c>
      <c r="FT153" s="37">
        <v>11.256869999999999</v>
      </c>
      <c r="FU153" s="37">
        <v>11.256869999999999</v>
      </c>
      <c r="FV153" s="37">
        <v>11.256869999999999</v>
      </c>
      <c r="FW153" s="37">
        <v>11.256869999999999</v>
      </c>
      <c r="FX153" s="37">
        <v>11.256869999999999</v>
      </c>
      <c r="FY153" s="37">
        <v>11.256869999999999</v>
      </c>
      <c r="FZ153" s="37">
        <v>11.256869999999999</v>
      </c>
      <c r="GA153" s="37">
        <v>11.256869999999999</v>
      </c>
      <c r="GB153" s="37">
        <v>11.256869999999999</v>
      </c>
      <c r="GC153" s="37">
        <v>11.256869999999999</v>
      </c>
      <c r="GD153" s="37">
        <v>11.256869999999999</v>
      </c>
      <c r="GE153" s="37">
        <v>11.256869999999999</v>
      </c>
      <c r="GF153" s="37">
        <v>11.256869999999999</v>
      </c>
      <c r="GG153" s="37">
        <v>11.256869999999999</v>
      </c>
      <c r="GH153" s="37">
        <v>11.256869999999999</v>
      </c>
      <c r="GI153" s="37">
        <v>11.256869999999999</v>
      </c>
      <c r="GJ153" s="37">
        <v>11.256869999999999</v>
      </c>
      <c r="GK153" s="37">
        <v>11.256869999999999</v>
      </c>
      <c r="GL153" s="37">
        <v>11.256869999999999</v>
      </c>
      <c r="GM153" s="37">
        <v>11.256869999999999</v>
      </c>
      <c r="GN153" s="37">
        <v>11.256869999999999</v>
      </c>
      <c r="GO153" s="37">
        <v>11.256869999999999</v>
      </c>
      <c r="GP153" s="37">
        <v>11.256869999999999</v>
      </c>
      <c r="GQ153" s="37">
        <v>11.256869999999999</v>
      </c>
      <c r="GR153" s="37">
        <v>11.256869999999999</v>
      </c>
      <c r="GS153" s="37">
        <v>11.256869999999999</v>
      </c>
      <c r="GT153" s="37">
        <v>11.256869999999999</v>
      </c>
      <c r="GU153" s="37">
        <v>11.256869999999999</v>
      </c>
      <c r="GV153" s="37">
        <v>11.256869999999999</v>
      </c>
      <c r="GW153" s="37">
        <v>11.256869999999999</v>
      </c>
      <c r="GX153" s="37">
        <v>11.256869999999999</v>
      </c>
      <c r="GY153" s="37">
        <v>11.256869999999999</v>
      </c>
      <c r="GZ153" s="37">
        <v>11.256869999999999</v>
      </c>
      <c r="HA153" s="37">
        <v>11.256869999999999</v>
      </c>
      <c r="HB153" s="37">
        <v>11.256869999999999</v>
      </c>
      <c r="HC153" s="37">
        <v>11.256869999999999</v>
      </c>
      <c r="HD153" s="37">
        <v>11.256869999999999</v>
      </c>
      <c r="HE153" s="37">
        <v>11.256869999999999</v>
      </c>
      <c r="HF153" s="37">
        <v>11.256869999999999</v>
      </c>
      <c r="HG153" s="37">
        <v>11.256869999999999</v>
      </c>
      <c r="HH153" s="37">
        <v>11.256869999999999</v>
      </c>
      <c r="HI153" s="37">
        <v>11.256869999999999</v>
      </c>
      <c r="HJ153" s="37">
        <v>11.256869999999999</v>
      </c>
      <c r="HK153" s="37">
        <v>11.256869999999999</v>
      </c>
      <c r="HL153" s="37">
        <v>11.256869999999999</v>
      </c>
      <c r="HM153" s="37">
        <v>11.256869999999999</v>
      </c>
      <c r="HN153" s="37">
        <v>11.256869999999999</v>
      </c>
      <c r="HO153" s="37">
        <v>11.256869999999999</v>
      </c>
      <c r="HP153" s="37">
        <v>11.256869999999999</v>
      </c>
      <c r="HQ153" s="37">
        <v>11.256869999999999</v>
      </c>
      <c r="HR153" s="37">
        <v>11.256869999999999</v>
      </c>
      <c r="HS153" s="37">
        <v>11.256869999999999</v>
      </c>
      <c r="HT153" s="37">
        <v>11.256869999999999</v>
      </c>
      <c r="HU153" s="37">
        <v>11.256869999999999</v>
      </c>
      <c r="HV153" s="37">
        <v>11.256869999999999</v>
      </c>
      <c r="HW153" s="37">
        <v>11.256869999999999</v>
      </c>
      <c r="HX153" s="37">
        <v>11.256869999999999</v>
      </c>
      <c r="HY153" s="37">
        <v>11.256869999999999</v>
      </c>
      <c r="HZ153" s="37">
        <v>11.256869999999999</v>
      </c>
      <c r="IA153" s="37">
        <v>11.256869999999999</v>
      </c>
      <c r="IB153" s="37">
        <v>11.256869999999999</v>
      </c>
      <c r="IC153" s="37">
        <v>11.256869999999999</v>
      </c>
      <c r="ID153" s="37">
        <v>11.256869999999999</v>
      </c>
      <c r="IE153" s="37">
        <v>11.256869999999999</v>
      </c>
      <c r="IF153" s="37">
        <v>11.256869999999999</v>
      </c>
      <c r="IG153" s="37">
        <v>11.256869999999999</v>
      </c>
      <c r="IH153" s="37">
        <v>11.256869999999999</v>
      </c>
      <c r="II153" s="37">
        <v>11.256869999999999</v>
      </c>
      <c r="IJ153" s="37">
        <v>11.256869999999999</v>
      </c>
      <c r="IK153" s="37">
        <v>11.256869999999999</v>
      </c>
      <c r="IL153" s="37">
        <v>11.256869999999999</v>
      </c>
      <c r="IM153" s="37">
        <v>11.256869999999999</v>
      </c>
      <c r="IN153" s="37">
        <v>11.256869999999999</v>
      </c>
      <c r="IO153" s="37">
        <v>11.256869999999999</v>
      </c>
      <c r="IP153" s="37">
        <v>11.256869999999999</v>
      </c>
      <c r="IQ153" s="37">
        <v>11.256869999999999</v>
      </c>
      <c r="IR153" s="37">
        <v>11.256869999999999</v>
      </c>
      <c r="IS153" s="37">
        <v>11.256869999999999</v>
      </c>
      <c r="IT153" s="37">
        <v>11.256869999999999</v>
      </c>
      <c r="IU153" s="37">
        <v>11.256869999999999</v>
      </c>
      <c r="IV153" s="37">
        <v>11.256869999999999</v>
      </c>
      <c r="IW153" s="37">
        <v>11.256869999999999</v>
      </c>
      <c r="IX153" s="37">
        <v>11.256869999999999</v>
      </c>
      <c r="IY153" s="37">
        <v>11.256869999999999</v>
      </c>
      <c r="IZ153" s="37">
        <v>11.256869999999999</v>
      </c>
      <c r="JA153" s="37">
        <v>11.256869999999999</v>
      </c>
      <c r="JB153" s="37">
        <v>11.256869999999999</v>
      </c>
      <c r="JC153" s="37">
        <v>11.256869999999999</v>
      </c>
      <c r="JD153" s="37">
        <v>11.256869999999999</v>
      </c>
      <c r="JE153" s="37">
        <v>11.256869999999999</v>
      </c>
      <c r="JF153" s="37">
        <v>11.256869999999999</v>
      </c>
      <c r="JG153" s="37">
        <v>11.256869999999999</v>
      </c>
      <c r="JH153" s="37">
        <v>11.256869999999999</v>
      </c>
      <c r="JI153" s="37">
        <v>11.256869999999999</v>
      </c>
      <c r="JJ153" s="37">
        <v>11.256869999999999</v>
      </c>
      <c r="JK153" s="37">
        <v>11.256869999999999</v>
      </c>
      <c r="JL153" s="37">
        <v>11.256869999999999</v>
      </c>
      <c r="JM153" s="37">
        <v>11.256869999999999</v>
      </c>
      <c r="JN153" s="37">
        <v>11.256869999999999</v>
      </c>
      <c r="JO153" s="37">
        <v>11.256869999999999</v>
      </c>
      <c r="JP153" s="37">
        <v>11.256869999999999</v>
      </c>
      <c r="JQ153" s="37">
        <v>11.256869999999999</v>
      </c>
      <c r="JR153" s="37">
        <v>11.256869999999999</v>
      </c>
      <c r="JS153" s="37">
        <v>11.256869999999999</v>
      </c>
      <c r="JT153" s="37">
        <v>11.256869999999999</v>
      </c>
      <c r="JU153" s="37">
        <v>11.256869999999999</v>
      </c>
      <c r="JV153" s="37">
        <v>11.256869999999999</v>
      </c>
      <c r="JW153" s="37">
        <v>11.256869999999999</v>
      </c>
      <c r="JX153" s="37">
        <v>11.256869999999999</v>
      </c>
      <c r="JY153" s="37">
        <v>11.256869999999999</v>
      </c>
      <c r="JZ153" s="37">
        <v>11.256869999999999</v>
      </c>
      <c r="KA153" s="37">
        <v>11.256869999999999</v>
      </c>
      <c r="KB153" s="37">
        <v>11.256869999999999</v>
      </c>
      <c r="KC153" s="37">
        <v>11.256869999999999</v>
      </c>
      <c r="KD153" s="37">
        <v>11.256869999999999</v>
      </c>
      <c r="KE153" s="37">
        <v>11.256869999999999</v>
      </c>
      <c r="KF153" s="37">
        <v>11.256869999999999</v>
      </c>
      <c r="KG153" s="37">
        <v>11.256869999999999</v>
      </c>
      <c r="KH153" s="37">
        <v>11.256869999999999</v>
      </c>
      <c r="KI153" s="37">
        <v>11.256869999999999</v>
      </c>
      <c r="KJ153" s="37">
        <v>11.256869999999999</v>
      </c>
      <c r="KK153" s="37">
        <v>11.256869999999999</v>
      </c>
      <c r="KL153" s="37">
        <v>11.256869999999999</v>
      </c>
      <c r="KM153" s="37">
        <v>11.256869999999999</v>
      </c>
      <c r="KN153" s="37">
        <v>11.256869999999999</v>
      </c>
      <c r="KO153" s="37">
        <v>11.256869999999999</v>
      </c>
      <c r="KP153" s="37">
        <v>11.256869999999999</v>
      </c>
      <c r="KQ153" s="37">
        <v>11.256869999999999</v>
      </c>
      <c r="KR153" s="37">
        <v>11.256869999999999</v>
      </c>
      <c r="KS153" s="37">
        <v>11.256869999999999</v>
      </c>
      <c r="KT153" s="37">
        <v>11.256869999999999</v>
      </c>
      <c r="KU153" s="37">
        <v>11.256869999999999</v>
      </c>
      <c r="KV153" s="37">
        <v>11.256869999999999</v>
      </c>
      <c r="KW153" s="37">
        <v>11.256869999999999</v>
      </c>
      <c r="KX153" s="37">
        <v>11.256869999999999</v>
      </c>
      <c r="KY153" s="37">
        <v>11.256869999999999</v>
      </c>
      <c r="KZ153" s="37">
        <v>11.256869999999999</v>
      </c>
      <c r="LA153" s="37">
        <v>11.256869999999999</v>
      </c>
      <c r="LB153" s="37">
        <v>11.256869999999999</v>
      </c>
      <c r="LC153" s="37">
        <v>11.256869999999999</v>
      </c>
      <c r="LD153" s="37">
        <v>11.256869999999999</v>
      </c>
      <c r="LE153" s="37">
        <v>11.256869999999999</v>
      </c>
      <c r="LF153" s="37">
        <v>11.256869999999999</v>
      </c>
      <c r="LG153" s="37">
        <v>11.256869999999999</v>
      </c>
      <c r="LH153" s="37">
        <v>11.256869999999999</v>
      </c>
      <c r="LI153" s="37">
        <v>11.256869999999999</v>
      </c>
      <c r="LJ153" s="37">
        <v>11.256869999999999</v>
      </c>
      <c r="LK153" s="37">
        <v>11.256869999999999</v>
      </c>
      <c r="LL153" s="37">
        <v>11.256869999999999</v>
      </c>
      <c r="LM153" s="37">
        <v>11.256869999999999</v>
      </c>
      <c r="LN153" s="37">
        <v>11.256869999999999</v>
      </c>
      <c r="LO153" s="37">
        <v>11.256869999999999</v>
      </c>
      <c r="LP153" s="37">
        <v>11.256869999999999</v>
      </c>
      <c r="LQ153" s="37">
        <v>11.256869999999999</v>
      </c>
      <c r="LR153" s="37">
        <v>11.256869999999999</v>
      </c>
      <c r="LS153" s="37">
        <v>11.256869999999999</v>
      </c>
      <c r="LT153" s="37">
        <v>11.256869999999999</v>
      </c>
      <c r="LU153" s="37">
        <v>11.256869999999999</v>
      </c>
      <c r="LV153" s="37">
        <v>11.256869999999999</v>
      </c>
      <c r="LW153" s="37">
        <v>11.256869999999999</v>
      </c>
      <c r="LX153" s="37">
        <v>11.256869999999999</v>
      </c>
      <c r="LY153" s="37">
        <v>11.256869999999999</v>
      </c>
      <c r="LZ153" s="37">
        <v>11.256869999999999</v>
      </c>
      <c r="MA153" s="37">
        <v>11.256869999999999</v>
      </c>
      <c r="MB153" s="37">
        <v>11.256869999999999</v>
      </c>
      <c r="MC153" s="37">
        <v>11.256869999999999</v>
      </c>
      <c r="MD153" s="37">
        <v>11.256869999999999</v>
      </c>
      <c r="ME153" s="37">
        <v>11.256869999999999</v>
      </c>
      <c r="MF153" s="37">
        <v>11.256869999999999</v>
      </c>
      <c r="MG153" s="37">
        <v>11.256869999999999</v>
      </c>
      <c r="MH153" s="37">
        <v>11.256869999999999</v>
      </c>
      <c r="MI153" s="37">
        <v>11.256869999999999</v>
      </c>
      <c r="MJ153" s="37">
        <v>11.256869999999999</v>
      </c>
      <c r="MK153" s="37">
        <v>11.256869999999999</v>
      </c>
      <c r="ML153" s="37">
        <v>11.256869999999999</v>
      </c>
      <c r="MM153" s="37">
        <v>11.256869999999999</v>
      </c>
      <c r="MN153" s="37">
        <v>11.256869999999999</v>
      </c>
      <c r="MO153" s="37">
        <v>11.256869999999999</v>
      </c>
      <c r="MP153" s="37">
        <v>11.256869999999999</v>
      </c>
      <c r="MQ153" s="37">
        <v>11.256869999999999</v>
      </c>
      <c r="MR153" s="37">
        <v>11.256869999999999</v>
      </c>
      <c r="MS153" s="37">
        <v>11.256869999999999</v>
      </c>
      <c r="MT153" s="37">
        <v>11.256869999999999</v>
      </c>
      <c r="MU153" s="37">
        <v>11.256869999999999</v>
      </c>
      <c r="MV153" s="37">
        <v>11.256869999999999</v>
      </c>
      <c r="MW153" s="37">
        <v>11.256869999999999</v>
      </c>
      <c r="MX153" s="37">
        <v>11.256869999999999</v>
      </c>
      <c r="MY153" s="37">
        <v>11.256869999999999</v>
      </c>
      <c r="MZ153" s="37">
        <v>11.256869999999999</v>
      </c>
      <c r="NA153" s="37">
        <v>11.256869999999999</v>
      </c>
      <c r="NB153" s="37">
        <v>11.256869999999999</v>
      </c>
      <c r="NC153" s="37">
        <v>11.256869999999999</v>
      </c>
      <c r="ND153" s="37">
        <v>12.176145</v>
      </c>
    </row>
    <row r="154" spans="1:372" x14ac:dyDescent="0.2">
      <c r="A154" s="37">
        <v>152</v>
      </c>
      <c r="B154" s="37" t="s">
        <v>1221</v>
      </c>
      <c r="C154" s="17">
        <f>+'Detalle Compras'!D154</f>
        <v>20240123009</v>
      </c>
      <c r="D154" s="55">
        <f t="shared" si="19"/>
        <v>10.185828000000001</v>
      </c>
      <c r="E154" s="14">
        <f>+IF(B154="","",'Detalle Compras'!S154+0)</f>
        <v>45514</v>
      </c>
      <c r="F154" s="14">
        <f>+IF(B154="","",EOMONTH('Detalle Compras'!Q154,G154)+10)</f>
        <v>10846</v>
      </c>
      <c r="G154" s="50">
        <f t="shared" si="20"/>
        <v>355</v>
      </c>
      <c r="H154" s="50">
        <f t="shared" si="21"/>
        <v>337</v>
      </c>
      <c r="I154" s="37">
        <v>0</v>
      </c>
      <c r="J154" s="37">
        <v>0</v>
      </c>
      <c r="K154" s="37">
        <v>0</v>
      </c>
      <c r="L154" s="37">
        <v>0</v>
      </c>
      <c r="M154" s="37">
        <v>0</v>
      </c>
      <c r="N154" s="37">
        <v>10.185828000000001</v>
      </c>
      <c r="O154" s="37">
        <v>10.185828000000001</v>
      </c>
      <c r="P154" s="37">
        <v>10.185828000000001</v>
      </c>
      <c r="Q154" s="37">
        <v>10.185828000000001</v>
      </c>
      <c r="R154" s="37">
        <v>10.185828000000001</v>
      </c>
      <c r="S154" s="37">
        <v>10.185828000000001</v>
      </c>
      <c r="T154" s="37">
        <v>10.185828000000001</v>
      </c>
      <c r="U154" s="37">
        <v>10.185828000000001</v>
      </c>
      <c r="V154" s="37">
        <v>10.185828000000001</v>
      </c>
      <c r="W154" s="37">
        <v>10.185828000000001</v>
      </c>
      <c r="X154" s="37">
        <v>10.185828000000001</v>
      </c>
      <c r="Y154" s="37">
        <v>10.185828000000001</v>
      </c>
      <c r="Z154" s="37">
        <v>10.185828000000001</v>
      </c>
      <c r="AA154" s="37">
        <v>10.185828000000001</v>
      </c>
      <c r="AB154" s="37">
        <v>10.185828000000001</v>
      </c>
      <c r="AC154" s="37">
        <v>10.185828000000001</v>
      </c>
      <c r="AD154" s="37">
        <v>10.185828000000001</v>
      </c>
      <c r="AE154" s="37">
        <v>10.185828000000001</v>
      </c>
      <c r="AF154" s="37">
        <v>10.185828000000001</v>
      </c>
      <c r="AG154" s="37">
        <v>10.185828000000001</v>
      </c>
      <c r="AH154" s="37">
        <v>10.185828000000001</v>
      </c>
      <c r="AI154" s="37">
        <v>10.185828000000001</v>
      </c>
      <c r="AJ154" s="37">
        <v>10.185828000000001</v>
      </c>
      <c r="AK154" s="37">
        <v>10.185828000000001</v>
      </c>
      <c r="AL154" s="37">
        <v>10.185828000000001</v>
      </c>
      <c r="AM154" s="37">
        <v>10.185828000000001</v>
      </c>
      <c r="AN154" s="37">
        <v>10.185828000000001</v>
      </c>
      <c r="AO154" s="37">
        <v>10.185828000000001</v>
      </c>
      <c r="AP154" s="37">
        <v>10.185828000000001</v>
      </c>
      <c r="AQ154" s="37">
        <v>10.185828000000001</v>
      </c>
      <c r="AR154" s="37">
        <v>10.185828000000001</v>
      </c>
      <c r="AS154" s="37">
        <v>10.185828000000001</v>
      </c>
      <c r="AT154" s="37">
        <v>10.185828000000001</v>
      </c>
      <c r="AU154" s="37">
        <v>10.185828000000001</v>
      </c>
      <c r="AV154" s="37">
        <v>10.185828000000001</v>
      </c>
      <c r="AW154" s="37">
        <v>10.185828000000001</v>
      </c>
      <c r="AX154" s="37">
        <v>10.185828000000001</v>
      </c>
      <c r="AY154" s="37">
        <v>10.185828000000001</v>
      </c>
      <c r="AZ154" s="37">
        <v>10.185828000000001</v>
      </c>
      <c r="BA154" s="37">
        <v>10.185828000000001</v>
      </c>
      <c r="BB154" s="37">
        <v>10.185828000000001</v>
      </c>
      <c r="BC154" s="37">
        <v>10.185828000000001</v>
      </c>
      <c r="BD154" s="37">
        <v>10.185828000000001</v>
      </c>
      <c r="BE154" s="37">
        <v>10.185828000000001</v>
      </c>
      <c r="BF154" s="37">
        <v>10.185828000000001</v>
      </c>
      <c r="BG154" s="37">
        <v>10.185828000000001</v>
      </c>
      <c r="BH154" s="37">
        <v>10.185828000000001</v>
      </c>
      <c r="BI154" s="37">
        <v>10.185828000000001</v>
      </c>
      <c r="BJ154" s="37">
        <v>10.185828000000001</v>
      </c>
      <c r="BK154" s="37">
        <v>10.185828000000001</v>
      </c>
      <c r="BL154" s="37">
        <v>10.185828000000001</v>
      </c>
      <c r="BM154" s="37">
        <v>10.185828000000001</v>
      </c>
      <c r="BN154" s="37">
        <v>10.185828000000001</v>
      </c>
      <c r="BO154" s="37">
        <v>10.185828000000001</v>
      </c>
      <c r="BP154" s="37">
        <v>10.185828000000001</v>
      </c>
      <c r="BQ154" s="37">
        <v>10.185828000000001</v>
      </c>
      <c r="BR154" s="37">
        <v>10.185828000000001</v>
      </c>
      <c r="BS154" s="37">
        <v>10.185828000000001</v>
      </c>
      <c r="BT154" s="37">
        <v>10.185828000000001</v>
      </c>
      <c r="BU154" s="37">
        <v>10.185828000000001</v>
      </c>
      <c r="BV154" s="37">
        <v>10.185828000000001</v>
      </c>
      <c r="BW154" s="37">
        <v>10.185828000000001</v>
      </c>
      <c r="BX154" s="37">
        <v>10.185828000000001</v>
      </c>
      <c r="BY154" s="37">
        <v>10.185828000000001</v>
      </c>
      <c r="BZ154" s="37">
        <v>10.185828000000001</v>
      </c>
      <c r="CA154" s="37">
        <v>10.185828000000001</v>
      </c>
      <c r="CB154" s="37">
        <v>10.185828000000001</v>
      </c>
      <c r="CC154" s="37">
        <v>10.185828000000001</v>
      </c>
      <c r="CD154" s="37">
        <v>10.185828000000001</v>
      </c>
      <c r="CE154" s="37">
        <v>10.185828000000001</v>
      </c>
      <c r="CF154" s="37">
        <v>10.185828000000001</v>
      </c>
      <c r="CG154" s="37">
        <v>10.185828000000001</v>
      </c>
      <c r="CH154" s="37">
        <v>10.185828000000001</v>
      </c>
      <c r="CI154" s="37">
        <v>10.185828000000001</v>
      </c>
      <c r="CJ154" s="37">
        <v>10.185828000000001</v>
      </c>
      <c r="CK154" s="37">
        <v>10.185828000000001</v>
      </c>
      <c r="CL154" s="37">
        <v>10.185828000000001</v>
      </c>
      <c r="CM154" s="37">
        <v>10.185828000000001</v>
      </c>
      <c r="CN154" s="37">
        <v>10.185828000000001</v>
      </c>
      <c r="CO154" s="37">
        <v>10.185828000000001</v>
      </c>
      <c r="CP154" s="37">
        <v>10.185828000000001</v>
      </c>
      <c r="CQ154" s="37">
        <v>10.185828000000001</v>
      </c>
      <c r="CR154" s="37">
        <v>10.185828000000001</v>
      </c>
      <c r="CS154" s="37">
        <v>10.185828000000001</v>
      </c>
      <c r="CT154" s="37">
        <v>10.185828000000001</v>
      </c>
      <c r="CU154" s="37">
        <v>10.185828000000001</v>
      </c>
      <c r="CV154" s="37">
        <v>10.185828000000001</v>
      </c>
      <c r="CW154" s="37">
        <v>10.185828000000001</v>
      </c>
      <c r="CX154" s="37">
        <v>10.185828000000001</v>
      </c>
      <c r="CY154" s="37">
        <v>10.185828000000001</v>
      </c>
      <c r="CZ154" s="37">
        <v>10.185828000000001</v>
      </c>
      <c r="DA154" s="37">
        <v>10.185828000000001</v>
      </c>
      <c r="DB154" s="37">
        <v>10.185828000000001</v>
      </c>
      <c r="DC154" s="37">
        <v>10.185828000000001</v>
      </c>
      <c r="DD154" s="37">
        <v>10.185828000000001</v>
      </c>
      <c r="DE154" s="37">
        <v>10.185828000000001</v>
      </c>
      <c r="DF154" s="37">
        <v>10.185828000000001</v>
      </c>
      <c r="DG154" s="37">
        <v>10.185828000000001</v>
      </c>
      <c r="DH154" s="37">
        <v>10.185828000000001</v>
      </c>
      <c r="DI154" s="37">
        <v>10.185828000000001</v>
      </c>
      <c r="DJ154" s="37">
        <v>10.185828000000001</v>
      </c>
      <c r="DK154" s="37">
        <v>10.185828000000001</v>
      </c>
      <c r="DL154" s="37">
        <v>10.185828000000001</v>
      </c>
      <c r="DM154" s="37">
        <v>10.185828000000001</v>
      </c>
      <c r="DN154" s="37">
        <v>10.185828000000001</v>
      </c>
      <c r="DO154" s="37">
        <v>10.185828000000001</v>
      </c>
      <c r="DP154" s="37">
        <v>10.185828000000001</v>
      </c>
      <c r="DQ154" s="37">
        <v>10.185828000000001</v>
      </c>
      <c r="DR154" s="37">
        <v>10.185828000000001</v>
      </c>
      <c r="DS154" s="37">
        <v>10.185828000000001</v>
      </c>
      <c r="DT154" s="37">
        <v>10.185828000000001</v>
      </c>
      <c r="DU154" s="37">
        <v>10.185828000000001</v>
      </c>
      <c r="DV154" s="37">
        <v>10.185828000000001</v>
      </c>
      <c r="DW154" s="37">
        <v>10.185828000000001</v>
      </c>
      <c r="DX154" s="37">
        <v>10.185828000000001</v>
      </c>
      <c r="DY154" s="37">
        <v>10.185828000000001</v>
      </c>
      <c r="DZ154" s="37">
        <v>10.185828000000001</v>
      </c>
      <c r="EA154" s="37">
        <v>10.185828000000001</v>
      </c>
      <c r="EB154" s="37">
        <v>10.185828000000001</v>
      </c>
      <c r="EC154" s="37">
        <v>10.185828000000001</v>
      </c>
      <c r="ED154" s="37">
        <v>10.185828000000001</v>
      </c>
      <c r="EE154" s="37">
        <v>10.185828000000001</v>
      </c>
      <c r="EF154" s="37">
        <v>10.185828000000001</v>
      </c>
      <c r="EG154" s="37">
        <v>10.185828000000001</v>
      </c>
      <c r="EH154" s="37">
        <v>10.185828000000001</v>
      </c>
      <c r="EI154" s="37">
        <v>10.185828000000001</v>
      </c>
      <c r="EJ154" s="37">
        <v>10.185828000000001</v>
      </c>
      <c r="EK154" s="37">
        <v>10.185828000000001</v>
      </c>
      <c r="EL154" s="37">
        <v>10.185828000000001</v>
      </c>
      <c r="EM154" s="37">
        <v>10.185828000000001</v>
      </c>
      <c r="EN154" s="37">
        <v>10.185828000000001</v>
      </c>
      <c r="EO154" s="37">
        <v>10.185828000000001</v>
      </c>
      <c r="EP154" s="37">
        <v>10.185828000000001</v>
      </c>
      <c r="EQ154" s="37">
        <v>10.185828000000001</v>
      </c>
      <c r="ER154" s="37">
        <v>10.185828000000001</v>
      </c>
      <c r="ES154" s="37">
        <v>10.185828000000001</v>
      </c>
      <c r="ET154" s="37">
        <v>10.185828000000001</v>
      </c>
      <c r="EU154" s="37">
        <v>10.185828000000001</v>
      </c>
      <c r="EV154" s="37">
        <v>10.185828000000001</v>
      </c>
      <c r="EW154" s="37">
        <v>10.185828000000001</v>
      </c>
      <c r="EX154" s="37">
        <v>10.185828000000001</v>
      </c>
      <c r="EY154" s="37">
        <v>10.185828000000001</v>
      </c>
      <c r="EZ154" s="37">
        <v>10.185828000000001</v>
      </c>
      <c r="FA154" s="37">
        <v>10.185828000000001</v>
      </c>
      <c r="FB154" s="37">
        <v>10.185828000000001</v>
      </c>
      <c r="FC154" s="37">
        <v>10.185828000000001</v>
      </c>
      <c r="FD154" s="37">
        <v>10.185828000000001</v>
      </c>
      <c r="FE154" s="37">
        <v>10.185828000000001</v>
      </c>
      <c r="FF154" s="37">
        <v>10.185828000000001</v>
      </c>
      <c r="FG154" s="37">
        <v>10.185828000000001</v>
      </c>
      <c r="FH154" s="37">
        <v>10.185828000000001</v>
      </c>
      <c r="FI154" s="37">
        <v>10.185828000000001</v>
      </c>
      <c r="FJ154" s="37">
        <v>10.185828000000001</v>
      </c>
      <c r="FK154" s="37">
        <v>10.185828000000001</v>
      </c>
      <c r="FL154" s="37">
        <v>10.185828000000001</v>
      </c>
      <c r="FM154" s="37">
        <v>10.185828000000001</v>
      </c>
      <c r="FN154" s="37">
        <v>10.185828000000001</v>
      </c>
      <c r="FO154" s="37">
        <v>10.185828000000001</v>
      </c>
      <c r="FP154" s="37">
        <v>10.185828000000001</v>
      </c>
      <c r="FQ154" s="37">
        <v>10.185828000000001</v>
      </c>
      <c r="FR154" s="37">
        <v>10.185828000000001</v>
      </c>
      <c r="FS154" s="37">
        <v>10.185828000000001</v>
      </c>
      <c r="FT154" s="37">
        <v>10.185828000000001</v>
      </c>
      <c r="FU154" s="37">
        <v>10.185828000000001</v>
      </c>
      <c r="FV154" s="37">
        <v>10.185828000000001</v>
      </c>
      <c r="FW154" s="37">
        <v>10.185828000000001</v>
      </c>
      <c r="FX154" s="37">
        <v>10.185828000000001</v>
      </c>
      <c r="FY154" s="37">
        <v>10.185828000000001</v>
      </c>
      <c r="FZ154" s="37">
        <v>10.185828000000001</v>
      </c>
      <c r="GA154" s="37">
        <v>10.185828000000001</v>
      </c>
      <c r="GB154" s="37">
        <v>10.185828000000001</v>
      </c>
      <c r="GC154" s="37">
        <v>10.185828000000001</v>
      </c>
      <c r="GD154" s="37">
        <v>10.185828000000001</v>
      </c>
      <c r="GE154" s="37">
        <v>10.185828000000001</v>
      </c>
      <c r="GF154" s="37">
        <v>10.185828000000001</v>
      </c>
      <c r="GG154" s="37">
        <v>10.185828000000001</v>
      </c>
      <c r="GH154" s="37">
        <v>10.185828000000001</v>
      </c>
      <c r="GI154" s="37">
        <v>10.185828000000001</v>
      </c>
      <c r="GJ154" s="37">
        <v>10.185828000000001</v>
      </c>
      <c r="GK154" s="37">
        <v>10.185828000000001</v>
      </c>
      <c r="GL154" s="37">
        <v>10.185828000000001</v>
      </c>
      <c r="GM154" s="37">
        <v>10.185828000000001</v>
      </c>
      <c r="GN154" s="37">
        <v>10.185828000000001</v>
      </c>
      <c r="GO154" s="37">
        <v>10.185828000000001</v>
      </c>
      <c r="GP154" s="37">
        <v>10.185828000000001</v>
      </c>
      <c r="GQ154" s="37">
        <v>10.185828000000001</v>
      </c>
      <c r="GR154" s="37">
        <v>10.185828000000001</v>
      </c>
      <c r="GS154" s="37">
        <v>10.185828000000001</v>
      </c>
      <c r="GT154" s="37">
        <v>10.185828000000001</v>
      </c>
      <c r="GU154" s="37">
        <v>10.185828000000001</v>
      </c>
      <c r="GV154" s="37">
        <v>10.185828000000001</v>
      </c>
      <c r="GW154" s="37">
        <v>10.185828000000001</v>
      </c>
      <c r="GX154" s="37">
        <v>10.185828000000001</v>
      </c>
      <c r="GY154" s="37">
        <v>10.185828000000001</v>
      </c>
      <c r="GZ154" s="37">
        <v>10.185828000000001</v>
      </c>
      <c r="HA154" s="37">
        <v>10.185828000000001</v>
      </c>
      <c r="HB154" s="37">
        <v>10.185828000000001</v>
      </c>
      <c r="HC154" s="37">
        <v>10.185828000000001</v>
      </c>
      <c r="HD154" s="37">
        <v>10.185828000000001</v>
      </c>
      <c r="HE154" s="37">
        <v>10.185828000000001</v>
      </c>
      <c r="HF154" s="37">
        <v>10.185828000000001</v>
      </c>
      <c r="HG154" s="37">
        <v>10.185828000000001</v>
      </c>
      <c r="HH154" s="37">
        <v>10.185828000000001</v>
      </c>
      <c r="HI154" s="37">
        <v>10.185828000000001</v>
      </c>
      <c r="HJ154" s="37">
        <v>10.185828000000001</v>
      </c>
      <c r="HK154" s="37">
        <v>10.185828000000001</v>
      </c>
      <c r="HL154" s="37">
        <v>10.185828000000001</v>
      </c>
      <c r="HM154" s="37">
        <v>10.185828000000001</v>
      </c>
      <c r="HN154" s="37">
        <v>10.185828000000001</v>
      </c>
      <c r="HO154" s="37">
        <v>10.185828000000001</v>
      </c>
      <c r="HP154" s="37">
        <v>10.185828000000001</v>
      </c>
      <c r="HQ154" s="37">
        <v>10.185828000000001</v>
      </c>
      <c r="HR154" s="37">
        <v>10.185828000000001</v>
      </c>
      <c r="HS154" s="37">
        <v>10.185828000000001</v>
      </c>
      <c r="HT154" s="37">
        <v>10.185828000000001</v>
      </c>
      <c r="HU154" s="37">
        <v>10.185828000000001</v>
      </c>
      <c r="HV154" s="37">
        <v>10.185828000000001</v>
      </c>
      <c r="HW154" s="37">
        <v>10.185828000000001</v>
      </c>
      <c r="HX154" s="37">
        <v>10.185828000000001</v>
      </c>
      <c r="HY154" s="37">
        <v>10.185828000000001</v>
      </c>
      <c r="HZ154" s="37">
        <v>10.185828000000001</v>
      </c>
      <c r="IA154" s="37">
        <v>10.185828000000001</v>
      </c>
      <c r="IB154" s="37">
        <v>10.185828000000001</v>
      </c>
      <c r="IC154" s="37">
        <v>10.185828000000001</v>
      </c>
      <c r="ID154" s="37">
        <v>10.185828000000001</v>
      </c>
      <c r="IE154" s="37">
        <v>10.185828000000001</v>
      </c>
      <c r="IF154" s="37">
        <v>10.185828000000001</v>
      </c>
      <c r="IG154" s="37">
        <v>10.185828000000001</v>
      </c>
      <c r="IH154" s="37">
        <v>10.185828000000001</v>
      </c>
      <c r="II154" s="37">
        <v>10.185828000000001</v>
      </c>
      <c r="IJ154" s="37">
        <v>10.185828000000001</v>
      </c>
      <c r="IK154" s="37">
        <v>10.185828000000001</v>
      </c>
      <c r="IL154" s="37">
        <v>10.185828000000001</v>
      </c>
      <c r="IM154" s="37">
        <v>10.185828000000001</v>
      </c>
      <c r="IN154" s="37">
        <v>10.185828000000001</v>
      </c>
      <c r="IO154" s="37">
        <v>10.185828000000001</v>
      </c>
      <c r="IP154" s="37">
        <v>10.185828000000001</v>
      </c>
      <c r="IQ154" s="37">
        <v>10.185828000000001</v>
      </c>
      <c r="IR154" s="37">
        <v>10.185828000000001</v>
      </c>
      <c r="IS154" s="37">
        <v>10.185828000000001</v>
      </c>
      <c r="IT154" s="37">
        <v>10.185828000000001</v>
      </c>
      <c r="IU154" s="37">
        <v>10.185828000000001</v>
      </c>
      <c r="IV154" s="37">
        <v>10.185828000000001</v>
      </c>
      <c r="IW154" s="37">
        <v>10.185828000000001</v>
      </c>
      <c r="IX154" s="37">
        <v>10.185828000000001</v>
      </c>
      <c r="IY154" s="37">
        <v>10.185828000000001</v>
      </c>
      <c r="IZ154" s="37">
        <v>10.185828000000001</v>
      </c>
      <c r="JA154" s="37">
        <v>10.185828000000001</v>
      </c>
      <c r="JB154" s="37">
        <v>10.185828000000001</v>
      </c>
      <c r="JC154" s="37">
        <v>10.185828000000001</v>
      </c>
      <c r="JD154" s="37">
        <v>10.185828000000001</v>
      </c>
      <c r="JE154" s="37">
        <v>10.185828000000001</v>
      </c>
      <c r="JF154" s="37">
        <v>10.185828000000001</v>
      </c>
      <c r="JG154" s="37">
        <v>10.185828000000001</v>
      </c>
      <c r="JH154" s="37">
        <v>10.185828000000001</v>
      </c>
      <c r="JI154" s="37">
        <v>10.185828000000001</v>
      </c>
      <c r="JJ154" s="37">
        <v>10.185828000000001</v>
      </c>
      <c r="JK154" s="37">
        <v>10.185828000000001</v>
      </c>
      <c r="JL154" s="37">
        <v>10.185828000000001</v>
      </c>
      <c r="JM154" s="37">
        <v>10.185828000000001</v>
      </c>
      <c r="JN154" s="37">
        <v>10.185828000000001</v>
      </c>
      <c r="JO154" s="37">
        <v>10.185828000000001</v>
      </c>
      <c r="JP154" s="37">
        <v>10.185828000000001</v>
      </c>
      <c r="JQ154" s="37">
        <v>10.185828000000001</v>
      </c>
      <c r="JR154" s="37">
        <v>10.185828000000001</v>
      </c>
      <c r="JS154" s="37">
        <v>10.185828000000001</v>
      </c>
      <c r="JT154" s="37">
        <v>10.185828000000001</v>
      </c>
      <c r="JU154" s="37">
        <v>10.185828000000001</v>
      </c>
      <c r="JV154" s="37">
        <v>10.185828000000001</v>
      </c>
      <c r="JW154" s="37">
        <v>10.185828000000001</v>
      </c>
      <c r="JX154" s="37">
        <v>10.185828000000001</v>
      </c>
      <c r="JY154" s="37">
        <v>10.185828000000001</v>
      </c>
      <c r="JZ154" s="37">
        <v>10.185828000000001</v>
      </c>
      <c r="KA154" s="37">
        <v>10.185828000000001</v>
      </c>
      <c r="KB154" s="37">
        <v>10.185828000000001</v>
      </c>
      <c r="KC154" s="37">
        <v>10.185828000000001</v>
      </c>
      <c r="KD154" s="37">
        <v>10.185828000000001</v>
      </c>
      <c r="KE154" s="37">
        <v>10.185828000000001</v>
      </c>
      <c r="KF154" s="37">
        <v>10.185828000000001</v>
      </c>
      <c r="KG154" s="37">
        <v>10.185828000000001</v>
      </c>
      <c r="KH154" s="37">
        <v>10.185828000000001</v>
      </c>
      <c r="KI154" s="37">
        <v>10.185828000000001</v>
      </c>
      <c r="KJ154" s="37">
        <v>10.185828000000001</v>
      </c>
      <c r="KK154" s="37">
        <v>10.185828000000001</v>
      </c>
      <c r="KL154" s="37">
        <v>10.185828000000001</v>
      </c>
      <c r="KM154" s="37">
        <v>10.185828000000001</v>
      </c>
      <c r="KN154" s="37">
        <v>10.185828000000001</v>
      </c>
      <c r="KO154" s="37">
        <v>10.185828000000001</v>
      </c>
      <c r="KP154" s="37">
        <v>10.185828000000001</v>
      </c>
      <c r="KQ154" s="37">
        <v>10.185828000000001</v>
      </c>
      <c r="KR154" s="37">
        <v>10.185828000000001</v>
      </c>
      <c r="KS154" s="37">
        <v>10.185828000000001</v>
      </c>
      <c r="KT154" s="37">
        <v>10.185828000000001</v>
      </c>
      <c r="KU154" s="37">
        <v>10.185828000000001</v>
      </c>
      <c r="KV154" s="37">
        <v>10.185828000000001</v>
      </c>
      <c r="KW154" s="37">
        <v>10.185828000000001</v>
      </c>
      <c r="KX154" s="37">
        <v>10.185828000000001</v>
      </c>
      <c r="KY154" s="37">
        <v>10.185828000000001</v>
      </c>
      <c r="KZ154" s="37">
        <v>10.185828000000001</v>
      </c>
      <c r="LA154" s="37">
        <v>10.185828000000001</v>
      </c>
      <c r="LB154" s="37">
        <v>10.185828000000001</v>
      </c>
      <c r="LC154" s="37">
        <v>10.185828000000001</v>
      </c>
      <c r="LD154" s="37">
        <v>10.185828000000001</v>
      </c>
      <c r="LE154" s="37">
        <v>10.185828000000001</v>
      </c>
      <c r="LF154" s="37">
        <v>10.185828000000001</v>
      </c>
      <c r="LG154" s="37">
        <v>10.185828000000001</v>
      </c>
      <c r="LH154" s="37">
        <v>10.185828000000001</v>
      </c>
      <c r="LI154" s="37">
        <v>10.185828000000001</v>
      </c>
      <c r="LJ154" s="37">
        <v>10.185828000000001</v>
      </c>
      <c r="LK154" s="37">
        <v>10.185828000000001</v>
      </c>
      <c r="LL154" s="37">
        <v>10.185828000000001</v>
      </c>
      <c r="LM154" s="37">
        <v>10.185828000000001</v>
      </c>
      <c r="LN154" s="37">
        <v>10.185828000000001</v>
      </c>
      <c r="LO154" s="37">
        <v>10.185828000000001</v>
      </c>
      <c r="LP154" s="37">
        <v>10.185828000000001</v>
      </c>
      <c r="LQ154" s="37">
        <v>10.185828000000001</v>
      </c>
      <c r="LR154" s="37">
        <v>10.185828000000001</v>
      </c>
      <c r="LS154" s="37">
        <v>10.185828000000001</v>
      </c>
      <c r="LT154" s="37">
        <v>10.185828000000001</v>
      </c>
      <c r="LU154" s="37">
        <v>10.185828000000001</v>
      </c>
      <c r="LV154" s="37">
        <v>10.185828000000001</v>
      </c>
      <c r="LW154" s="37">
        <v>10.185828000000001</v>
      </c>
      <c r="LX154" s="37">
        <v>10.185828000000001</v>
      </c>
      <c r="LY154" s="37">
        <v>10.185828000000001</v>
      </c>
      <c r="LZ154" s="37">
        <v>10.185828000000001</v>
      </c>
      <c r="MA154" s="37">
        <v>10.185828000000001</v>
      </c>
      <c r="MB154" s="37">
        <v>10.185828000000001</v>
      </c>
      <c r="MC154" s="37">
        <v>10.185828000000001</v>
      </c>
      <c r="MD154" s="37">
        <v>10.185828000000001</v>
      </c>
      <c r="ME154" s="37">
        <v>10.185828000000001</v>
      </c>
      <c r="MF154" s="37">
        <v>10.185828000000001</v>
      </c>
      <c r="MG154" s="37">
        <v>10.185828000000001</v>
      </c>
      <c r="MH154" s="37">
        <v>10.185828000000001</v>
      </c>
      <c r="MI154" s="37">
        <v>10.185828000000001</v>
      </c>
      <c r="MJ154" s="37">
        <v>10.185828000000001</v>
      </c>
      <c r="MK154" s="37">
        <v>10.185828000000001</v>
      </c>
      <c r="ML154" s="37">
        <v>10.185828000000001</v>
      </c>
      <c r="MM154" s="37">
        <v>10.185828000000001</v>
      </c>
      <c r="MN154" s="37">
        <v>10.185828000000001</v>
      </c>
      <c r="MO154" s="37">
        <v>10.185828000000001</v>
      </c>
      <c r="MP154" s="37">
        <v>10.185828000000001</v>
      </c>
      <c r="MQ154" s="37">
        <v>10.185828000000001</v>
      </c>
      <c r="MR154" s="37">
        <v>10.185828000000001</v>
      </c>
      <c r="MS154" s="37">
        <v>10.185828000000001</v>
      </c>
      <c r="MT154" s="37">
        <v>10.185828000000001</v>
      </c>
      <c r="MU154" s="37">
        <v>10.185828000000001</v>
      </c>
      <c r="MV154" s="37">
        <v>10.185828000000001</v>
      </c>
      <c r="MW154" s="37">
        <v>10.185828000000001</v>
      </c>
      <c r="MX154" s="37">
        <v>10.185828000000001</v>
      </c>
      <c r="MY154" s="37">
        <v>10.185828000000001</v>
      </c>
      <c r="MZ154" s="37">
        <v>10.185828000000001</v>
      </c>
      <c r="NA154" s="37">
        <v>10.185828000000001</v>
      </c>
      <c r="NB154" s="37">
        <v>10.185828000000001</v>
      </c>
      <c r="NC154" s="37">
        <v>10.185828000000001</v>
      </c>
      <c r="ND154" s="37">
        <v>11.017638</v>
      </c>
    </row>
    <row r="155" spans="1:372" x14ac:dyDescent="0.2">
      <c r="A155" s="37">
        <v>153</v>
      </c>
      <c r="B155" s="37" t="s">
        <v>1225</v>
      </c>
      <c r="C155" s="17">
        <f>+'Detalle Compras'!D155</f>
        <v>20240129011</v>
      </c>
      <c r="D155" s="55">
        <f t="shared" si="19"/>
        <v>12.71407</v>
      </c>
      <c r="E155" s="14">
        <f>+IF(B155="","",'Detalle Compras'!S155+0)</f>
        <v>45514</v>
      </c>
      <c r="F155" s="14">
        <f>+IF(B155="","",EOMONTH('Detalle Compras'!Q155,G155)+10)</f>
        <v>10846</v>
      </c>
      <c r="G155" s="50">
        <f t="shared" si="20"/>
        <v>355</v>
      </c>
      <c r="H155" s="50">
        <f t="shared" si="21"/>
        <v>337</v>
      </c>
      <c r="I155" s="37">
        <v>0</v>
      </c>
      <c r="J155" s="37">
        <v>0</v>
      </c>
      <c r="K155" s="37">
        <v>0</v>
      </c>
      <c r="L155" s="37">
        <v>0</v>
      </c>
      <c r="M155" s="37">
        <v>0</v>
      </c>
      <c r="N155" s="37">
        <v>12.71407</v>
      </c>
      <c r="O155" s="37">
        <v>12.71407</v>
      </c>
      <c r="P155" s="37">
        <v>12.71407</v>
      </c>
      <c r="Q155" s="37">
        <v>12.71407</v>
      </c>
      <c r="R155" s="37">
        <v>12.71407</v>
      </c>
      <c r="S155" s="37">
        <v>12.71407</v>
      </c>
      <c r="T155" s="37">
        <v>12.71407</v>
      </c>
      <c r="U155" s="37">
        <v>12.71407</v>
      </c>
      <c r="V155" s="37">
        <v>12.71407</v>
      </c>
      <c r="W155" s="37">
        <v>12.71407</v>
      </c>
      <c r="X155" s="37">
        <v>12.71407</v>
      </c>
      <c r="Y155" s="37">
        <v>12.71407</v>
      </c>
      <c r="Z155" s="37">
        <v>12.71407</v>
      </c>
      <c r="AA155" s="37">
        <v>12.71407</v>
      </c>
      <c r="AB155" s="37">
        <v>12.71407</v>
      </c>
      <c r="AC155" s="37">
        <v>12.71407</v>
      </c>
      <c r="AD155" s="37">
        <v>12.71407</v>
      </c>
      <c r="AE155" s="37">
        <v>12.71407</v>
      </c>
      <c r="AF155" s="37">
        <v>12.71407</v>
      </c>
      <c r="AG155" s="37">
        <v>12.71407</v>
      </c>
      <c r="AH155" s="37">
        <v>12.71407</v>
      </c>
      <c r="AI155" s="37">
        <v>12.71407</v>
      </c>
      <c r="AJ155" s="37">
        <v>12.71407</v>
      </c>
      <c r="AK155" s="37">
        <v>12.71407</v>
      </c>
      <c r="AL155" s="37">
        <v>12.71407</v>
      </c>
      <c r="AM155" s="37">
        <v>12.71407</v>
      </c>
      <c r="AN155" s="37">
        <v>12.71407</v>
      </c>
      <c r="AO155" s="37">
        <v>12.71407</v>
      </c>
      <c r="AP155" s="37">
        <v>12.71407</v>
      </c>
      <c r="AQ155" s="37">
        <v>12.71407</v>
      </c>
      <c r="AR155" s="37">
        <v>12.71407</v>
      </c>
      <c r="AS155" s="37">
        <v>12.71407</v>
      </c>
      <c r="AT155" s="37">
        <v>12.71407</v>
      </c>
      <c r="AU155" s="37">
        <v>12.71407</v>
      </c>
      <c r="AV155" s="37">
        <v>12.71407</v>
      </c>
      <c r="AW155" s="37">
        <v>12.71407</v>
      </c>
      <c r="AX155" s="37">
        <v>12.71407</v>
      </c>
      <c r="AY155" s="37">
        <v>12.71407</v>
      </c>
      <c r="AZ155" s="37">
        <v>12.71407</v>
      </c>
      <c r="BA155" s="37">
        <v>12.71407</v>
      </c>
      <c r="BB155" s="37">
        <v>12.71407</v>
      </c>
      <c r="BC155" s="37">
        <v>12.71407</v>
      </c>
      <c r="BD155" s="37">
        <v>12.71407</v>
      </c>
      <c r="BE155" s="37">
        <v>12.71407</v>
      </c>
      <c r="BF155" s="37">
        <v>12.71407</v>
      </c>
      <c r="BG155" s="37">
        <v>12.71407</v>
      </c>
      <c r="BH155" s="37">
        <v>12.71407</v>
      </c>
      <c r="BI155" s="37">
        <v>12.71407</v>
      </c>
      <c r="BJ155" s="37">
        <v>12.71407</v>
      </c>
      <c r="BK155" s="37">
        <v>12.71407</v>
      </c>
      <c r="BL155" s="37">
        <v>12.71407</v>
      </c>
      <c r="BM155" s="37">
        <v>12.71407</v>
      </c>
      <c r="BN155" s="37">
        <v>12.71407</v>
      </c>
      <c r="BO155" s="37">
        <v>12.71407</v>
      </c>
      <c r="BP155" s="37">
        <v>12.71407</v>
      </c>
      <c r="BQ155" s="37">
        <v>12.71407</v>
      </c>
      <c r="BR155" s="37">
        <v>12.71407</v>
      </c>
      <c r="BS155" s="37">
        <v>12.71407</v>
      </c>
      <c r="BT155" s="37">
        <v>12.71407</v>
      </c>
      <c r="BU155" s="37">
        <v>12.71407</v>
      </c>
      <c r="BV155" s="37">
        <v>12.71407</v>
      </c>
      <c r="BW155" s="37">
        <v>12.71407</v>
      </c>
      <c r="BX155" s="37">
        <v>12.71407</v>
      </c>
      <c r="BY155" s="37">
        <v>12.71407</v>
      </c>
      <c r="BZ155" s="37">
        <v>12.71407</v>
      </c>
      <c r="CA155" s="37">
        <v>12.71407</v>
      </c>
      <c r="CB155" s="37">
        <v>12.71407</v>
      </c>
      <c r="CC155" s="37">
        <v>12.71407</v>
      </c>
      <c r="CD155" s="37">
        <v>12.71407</v>
      </c>
      <c r="CE155" s="37">
        <v>12.71407</v>
      </c>
      <c r="CF155" s="37">
        <v>12.71407</v>
      </c>
      <c r="CG155" s="37">
        <v>12.71407</v>
      </c>
      <c r="CH155" s="37">
        <v>12.71407</v>
      </c>
      <c r="CI155" s="37">
        <v>12.71407</v>
      </c>
      <c r="CJ155" s="37">
        <v>12.71407</v>
      </c>
      <c r="CK155" s="37">
        <v>12.71407</v>
      </c>
      <c r="CL155" s="37">
        <v>12.71407</v>
      </c>
      <c r="CM155" s="37">
        <v>12.71407</v>
      </c>
      <c r="CN155" s="37">
        <v>12.71407</v>
      </c>
      <c r="CO155" s="37">
        <v>12.71407</v>
      </c>
      <c r="CP155" s="37">
        <v>12.71407</v>
      </c>
      <c r="CQ155" s="37">
        <v>12.71407</v>
      </c>
      <c r="CR155" s="37">
        <v>12.71407</v>
      </c>
      <c r="CS155" s="37">
        <v>12.71407</v>
      </c>
      <c r="CT155" s="37">
        <v>12.71407</v>
      </c>
      <c r="CU155" s="37">
        <v>12.71407</v>
      </c>
      <c r="CV155" s="37">
        <v>12.71407</v>
      </c>
      <c r="CW155" s="37">
        <v>12.71407</v>
      </c>
      <c r="CX155" s="37">
        <v>12.71407</v>
      </c>
      <c r="CY155" s="37">
        <v>12.71407</v>
      </c>
      <c r="CZ155" s="37">
        <v>12.71407</v>
      </c>
      <c r="DA155" s="37">
        <v>12.71407</v>
      </c>
      <c r="DB155" s="37">
        <v>12.71407</v>
      </c>
      <c r="DC155" s="37">
        <v>12.71407</v>
      </c>
      <c r="DD155" s="37">
        <v>12.71407</v>
      </c>
      <c r="DE155" s="37">
        <v>12.71407</v>
      </c>
      <c r="DF155" s="37">
        <v>12.71407</v>
      </c>
      <c r="DG155" s="37">
        <v>12.71407</v>
      </c>
      <c r="DH155" s="37">
        <v>12.71407</v>
      </c>
      <c r="DI155" s="37">
        <v>12.71407</v>
      </c>
      <c r="DJ155" s="37">
        <v>12.71407</v>
      </c>
      <c r="DK155" s="37">
        <v>12.71407</v>
      </c>
      <c r="DL155" s="37">
        <v>12.71407</v>
      </c>
      <c r="DM155" s="37">
        <v>12.71407</v>
      </c>
      <c r="DN155" s="37">
        <v>12.71407</v>
      </c>
      <c r="DO155" s="37">
        <v>12.71407</v>
      </c>
      <c r="DP155" s="37">
        <v>12.71407</v>
      </c>
      <c r="DQ155" s="37">
        <v>12.71407</v>
      </c>
      <c r="DR155" s="37">
        <v>12.71407</v>
      </c>
      <c r="DS155" s="37">
        <v>12.71407</v>
      </c>
      <c r="DT155" s="37">
        <v>12.71407</v>
      </c>
      <c r="DU155" s="37">
        <v>12.71407</v>
      </c>
      <c r="DV155" s="37">
        <v>12.71407</v>
      </c>
      <c r="DW155" s="37">
        <v>12.71407</v>
      </c>
      <c r="DX155" s="37">
        <v>12.71407</v>
      </c>
      <c r="DY155" s="37">
        <v>12.71407</v>
      </c>
      <c r="DZ155" s="37">
        <v>12.71407</v>
      </c>
      <c r="EA155" s="37">
        <v>12.71407</v>
      </c>
      <c r="EB155" s="37">
        <v>12.71407</v>
      </c>
      <c r="EC155" s="37">
        <v>12.71407</v>
      </c>
      <c r="ED155" s="37">
        <v>12.71407</v>
      </c>
      <c r="EE155" s="37">
        <v>12.71407</v>
      </c>
      <c r="EF155" s="37">
        <v>12.71407</v>
      </c>
      <c r="EG155" s="37">
        <v>12.71407</v>
      </c>
      <c r="EH155" s="37">
        <v>12.71407</v>
      </c>
      <c r="EI155" s="37">
        <v>12.71407</v>
      </c>
      <c r="EJ155" s="37">
        <v>12.71407</v>
      </c>
      <c r="EK155" s="37">
        <v>12.71407</v>
      </c>
      <c r="EL155" s="37">
        <v>12.71407</v>
      </c>
      <c r="EM155" s="37">
        <v>12.71407</v>
      </c>
      <c r="EN155" s="37">
        <v>12.71407</v>
      </c>
      <c r="EO155" s="37">
        <v>12.71407</v>
      </c>
      <c r="EP155" s="37">
        <v>12.71407</v>
      </c>
      <c r="EQ155" s="37">
        <v>12.71407</v>
      </c>
      <c r="ER155" s="37">
        <v>12.71407</v>
      </c>
      <c r="ES155" s="37">
        <v>12.71407</v>
      </c>
      <c r="ET155" s="37">
        <v>12.71407</v>
      </c>
      <c r="EU155" s="37">
        <v>12.71407</v>
      </c>
      <c r="EV155" s="37">
        <v>12.71407</v>
      </c>
      <c r="EW155" s="37">
        <v>12.71407</v>
      </c>
      <c r="EX155" s="37">
        <v>12.71407</v>
      </c>
      <c r="EY155" s="37">
        <v>12.71407</v>
      </c>
      <c r="EZ155" s="37">
        <v>12.71407</v>
      </c>
      <c r="FA155" s="37">
        <v>12.71407</v>
      </c>
      <c r="FB155" s="37">
        <v>12.71407</v>
      </c>
      <c r="FC155" s="37">
        <v>12.71407</v>
      </c>
      <c r="FD155" s="37">
        <v>12.71407</v>
      </c>
      <c r="FE155" s="37">
        <v>12.71407</v>
      </c>
      <c r="FF155" s="37">
        <v>12.71407</v>
      </c>
      <c r="FG155" s="37">
        <v>12.71407</v>
      </c>
      <c r="FH155" s="37">
        <v>12.71407</v>
      </c>
      <c r="FI155" s="37">
        <v>12.71407</v>
      </c>
      <c r="FJ155" s="37">
        <v>12.71407</v>
      </c>
      <c r="FK155" s="37">
        <v>12.71407</v>
      </c>
      <c r="FL155" s="37">
        <v>12.71407</v>
      </c>
      <c r="FM155" s="37">
        <v>12.71407</v>
      </c>
      <c r="FN155" s="37">
        <v>12.71407</v>
      </c>
      <c r="FO155" s="37">
        <v>12.71407</v>
      </c>
      <c r="FP155" s="37">
        <v>12.71407</v>
      </c>
      <c r="FQ155" s="37">
        <v>12.71407</v>
      </c>
      <c r="FR155" s="37">
        <v>12.71407</v>
      </c>
      <c r="FS155" s="37">
        <v>12.71407</v>
      </c>
      <c r="FT155" s="37">
        <v>12.71407</v>
      </c>
      <c r="FU155" s="37">
        <v>12.71407</v>
      </c>
      <c r="FV155" s="37">
        <v>12.71407</v>
      </c>
      <c r="FW155" s="37">
        <v>12.71407</v>
      </c>
      <c r="FX155" s="37">
        <v>12.71407</v>
      </c>
      <c r="FY155" s="37">
        <v>12.71407</v>
      </c>
      <c r="FZ155" s="37">
        <v>12.71407</v>
      </c>
      <c r="GA155" s="37">
        <v>12.71407</v>
      </c>
      <c r="GB155" s="37">
        <v>12.71407</v>
      </c>
      <c r="GC155" s="37">
        <v>12.71407</v>
      </c>
      <c r="GD155" s="37">
        <v>12.71407</v>
      </c>
      <c r="GE155" s="37">
        <v>12.71407</v>
      </c>
      <c r="GF155" s="37">
        <v>12.71407</v>
      </c>
      <c r="GG155" s="37">
        <v>12.71407</v>
      </c>
      <c r="GH155" s="37">
        <v>12.71407</v>
      </c>
      <c r="GI155" s="37">
        <v>12.71407</v>
      </c>
      <c r="GJ155" s="37">
        <v>12.71407</v>
      </c>
      <c r="GK155" s="37">
        <v>12.71407</v>
      </c>
      <c r="GL155" s="37">
        <v>12.71407</v>
      </c>
      <c r="GM155" s="37">
        <v>12.71407</v>
      </c>
      <c r="GN155" s="37">
        <v>12.71407</v>
      </c>
      <c r="GO155" s="37">
        <v>12.71407</v>
      </c>
      <c r="GP155" s="37">
        <v>12.71407</v>
      </c>
      <c r="GQ155" s="37">
        <v>12.71407</v>
      </c>
      <c r="GR155" s="37">
        <v>12.71407</v>
      </c>
      <c r="GS155" s="37">
        <v>12.71407</v>
      </c>
      <c r="GT155" s="37">
        <v>12.71407</v>
      </c>
      <c r="GU155" s="37">
        <v>12.71407</v>
      </c>
      <c r="GV155" s="37">
        <v>12.71407</v>
      </c>
      <c r="GW155" s="37">
        <v>12.71407</v>
      </c>
      <c r="GX155" s="37">
        <v>12.71407</v>
      </c>
      <c r="GY155" s="37">
        <v>12.71407</v>
      </c>
      <c r="GZ155" s="37">
        <v>12.71407</v>
      </c>
      <c r="HA155" s="37">
        <v>12.71407</v>
      </c>
      <c r="HB155" s="37">
        <v>12.71407</v>
      </c>
      <c r="HC155" s="37">
        <v>12.71407</v>
      </c>
      <c r="HD155" s="37">
        <v>12.71407</v>
      </c>
      <c r="HE155" s="37">
        <v>12.71407</v>
      </c>
      <c r="HF155" s="37">
        <v>12.71407</v>
      </c>
      <c r="HG155" s="37">
        <v>12.71407</v>
      </c>
      <c r="HH155" s="37">
        <v>12.71407</v>
      </c>
      <c r="HI155" s="37">
        <v>12.71407</v>
      </c>
      <c r="HJ155" s="37">
        <v>12.71407</v>
      </c>
      <c r="HK155" s="37">
        <v>12.71407</v>
      </c>
      <c r="HL155" s="37">
        <v>12.71407</v>
      </c>
      <c r="HM155" s="37">
        <v>12.71407</v>
      </c>
      <c r="HN155" s="37">
        <v>12.71407</v>
      </c>
      <c r="HO155" s="37">
        <v>12.71407</v>
      </c>
      <c r="HP155" s="37">
        <v>12.71407</v>
      </c>
      <c r="HQ155" s="37">
        <v>12.71407</v>
      </c>
      <c r="HR155" s="37">
        <v>12.71407</v>
      </c>
      <c r="HS155" s="37">
        <v>12.71407</v>
      </c>
      <c r="HT155" s="37">
        <v>12.71407</v>
      </c>
      <c r="HU155" s="37">
        <v>12.71407</v>
      </c>
      <c r="HV155" s="37">
        <v>12.71407</v>
      </c>
      <c r="HW155" s="37">
        <v>12.71407</v>
      </c>
      <c r="HX155" s="37">
        <v>12.71407</v>
      </c>
      <c r="HY155" s="37">
        <v>12.71407</v>
      </c>
      <c r="HZ155" s="37">
        <v>12.71407</v>
      </c>
      <c r="IA155" s="37">
        <v>12.71407</v>
      </c>
      <c r="IB155" s="37">
        <v>12.71407</v>
      </c>
      <c r="IC155" s="37">
        <v>12.71407</v>
      </c>
      <c r="ID155" s="37">
        <v>12.71407</v>
      </c>
      <c r="IE155" s="37">
        <v>12.71407</v>
      </c>
      <c r="IF155" s="37">
        <v>12.71407</v>
      </c>
      <c r="IG155" s="37">
        <v>12.71407</v>
      </c>
      <c r="IH155" s="37">
        <v>12.71407</v>
      </c>
      <c r="II155" s="37">
        <v>12.71407</v>
      </c>
      <c r="IJ155" s="37">
        <v>12.71407</v>
      </c>
      <c r="IK155" s="37">
        <v>12.71407</v>
      </c>
      <c r="IL155" s="37">
        <v>12.71407</v>
      </c>
      <c r="IM155" s="37">
        <v>12.71407</v>
      </c>
      <c r="IN155" s="37">
        <v>12.71407</v>
      </c>
      <c r="IO155" s="37">
        <v>12.71407</v>
      </c>
      <c r="IP155" s="37">
        <v>12.71407</v>
      </c>
      <c r="IQ155" s="37">
        <v>12.71407</v>
      </c>
      <c r="IR155" s="37">
        <v>12.71407</v>
      </c>
      <c r="IS155" s="37">
        <v>12.71407</v>
      </c>
      <c r="IT155" s="37">
        <v>12.71407</v>
      </c>
      <c r="IU155" s="37">
        <v>12.71407</v>
      </c>
      <c r="IV155" s="37">
        <v>12.71407</v>
      </c>
      <c r="IW155" s="37">
        <v>12.71407</v>
      </c>
      <c r="IX155" s="37">
        <v>12.71407</v>
      </c>
      <c r="IY155" s="37">
        <v>12.71407</v>
      </c>
      <c r="IZ155" s="37">
        <v>12.71407</v>
      </c>
      <c r="JA155" s="37">
        <v>12.71407</v>
      </c>
      <c r="JB155" s="37">
        <v>12.71407</v>
      </c>
      <c r="JC155" s="37">
        <v>12.71407</v>
      </c>
      <c r="JD155" s="37">
        <v>12.71407</v>
      </c>
      <c r="JE155" s="37">
        <v>12.71407</v>
      </c>
      <c r="JF155" s="37">
        <v>12.71407</v>
      </c>
      <c r="JG155" s="37">
        <v>12.71407</v>
      </c>
      <c r="JH155" s="37">
        <v>12.71407</v>
      </c>
      <c r="JI155" s="37">
        <v>12.71407</v>
      </c>
      <c r="JJ155" s="37">
        <v>12.71407</v>
      </c>
      <c r="JK155" s="37">
        <v>12.71407</v>
      </c>
      <c r="JL155" s="37">
        <v>12.71407</v>
      </c>
      <c r="JM155" s="37">
        <v>12.71407</v>
      </c>
      <c r="JN155" s="37">
        <v>12.71407</v>
      </c>
      <c r="JO155" s="37">
        <v>12.71407</v>
      </c>
      <c r="JP155" s="37">
        <v>12.71407</v>
      </c>
      <c r="JQ155" s="37">
        <v>12.71407</v>
      </c>
      <c r="JR155" s="37">
        <v>12.71407</v>
      </c>
      <c r="JS155" s="37">
        <v>12.71407</v>
      </c>
      <c r="JT155" s="37">
        <v>12.71407</v>
      </c>
      <c r="JU155" s="37">
        <v>12.71407</v>
      </c>
      <c r="JV155" s="37">
        <v>12.71407</v>
      </c>
      <c r="JW155" s="37">
        <v>12.71407</v>
      </c>
      <c r="JX155" s="37">
        <v>12.71407</v>
      </c>
      <c r="JY155" s="37">
        <v>12.71407</v>
      </c>
      <c r="JZ155" s="37">
        <v>12.71407</v>
      </c>
      <c r="KA155" s="37">
        <v>12.71407</v>
      </c>
      <c r="KB155" s="37">
        <v>12.71407</v>
      </c>
      <c r="KC155" s="37">
        <v>12.71407</v>
      </c>
      <c r="KD155" s="37">
        <v>12.71407</v>
      </c>
      <c r="KE155" s="37">
        <v>12.71407</v>
      </c>
      <c r="KF155" s="37">
        <v>12.71407</v>
      </c>
      <c r="KG155" s="37">
        <v>12.71407</v>
      </c>
      <c r="KH155" s="37">
        <v>12.71407</v>
      </c>
      <c r="KI155" s="37">
        <v>12.71407</v>
      </c>
      <c r="KJ155" s="37">
        <v>12.71407</v>
      </c>
      <c r="KK155" s="37">
        <v>12.71407</v>
      </c>
      <c r="KL155" s="37">
        <v>12.71407</v>
      </c>
      <c r="KM155" s="37">
        <v>12.71407</v>
      </c>
      <c r="KN155" s="37">
        <v>12.71407</v>
      </c>
      <c r="KO155" s="37">
        <v>12.71407</v>
      </c>
      <c r="KP155" s="37">
        <v>12.71407</v>
      </c>
      <c r="KQ155" s="37">
        <v>12.71407</v>
      </c>
      <c r="KR155" s="37">
        <v>12.71407</v>
      </c>
      <c r="KS155" s="37">
        <v>12.71407</v>
      </c>
      <c r="KT155" s="37">
        <v>12.71407</v>
      </c>
      <c r="KU155" s="37">
        <v>12.71407</v>
      </c>
      <c r="KV155" s="37">
        <v>12.71407</v>
      </c>
      <c r="KW155" s="37">
        <v>12.71407</v>
      </c>
      <c r="KX155" s="37">
        <v>12.71407</v>
      </c>
      <c r="KY155" s="37">
        <v>12.71407</v>
      </c>
      <c r="KZ155" s="37">
        <v>12.71407</v>
      </c>
      <c r="LA155" s="37">
        <v>12.71407</v>
      </c>
      <c r="LB155" s="37">
        <v>12.71407</v>
      </c>
      <c r="LC155" s="37">
        <v>12.71407</v>
      </c>
      <c r="LD155" s="37">
        <v>12.71407</v>
      </c>
      <c r="LE155" s="37">
        <v>12.71407</v>
      </c>
      <c r="LF155" s="37">
        <v>12.71407</v>
      </c>
      <c r="LG155" s="37">
        <v>12.71407</v>
      </c>
      <c r="LH155" s="37">
        <v>12.71407</v>
      </c>
      <c r="LI155" s="37">
        <v>12.71407</v>
      </c>
      <c r="LJ155" s="37">
        <v>12.71407</v>
      </c>
      <c r="LK155" s="37">
        <v>12.71407</v>
      </c>
      <c r="LL155" s="37">
        <v>12.71407</v>
      </c>
      <c r="LM155" s="37">
        <v>12.71407</v>
      </c>
      <c r="LN155" s="37">
        <v>12.71407</v>
      </c>
      <c r="LO155" s="37">
        <v>12.71407</v>
      </c>
      <c r="LP155" s="37">
        <v>12.71407</v>
      </c>
      <c r="LQ155" s="37">
        <v>12.71407</v>
      </c>
      <c r="LR155" s="37">
        <v>12.71407</v>
      </c>
      <c r="LS155" s="37">
        <v>12.71407</v>
      </c>
      <c r="LT155" s="37">
        <v>12.71407</v>
      </c>
      <c r="LU155" s="37">
        <v>12.71407</v>
      </c>
      <c r="LV155" s="37">
        <v>12.71407</v>
      </c>
      <c r="LW155" s="37">
        <v>12.71407</v>
      </c>
      <c r="LX155" s="37">
        <v>12.71407</v>
      </c>
      <c r="LY155" s="37">
        <v>12.71407</v>
      </c>
      <c r="LZ155" s="37">
        <v>12.71407</v>
      </c>
      <c r="MA155" s="37">
        <v>12.71407</v>
      </c>
      <c r="MB155" s="37">
        <v>12.71407</v>
      </c>
      <c r="MC155" s="37">
        <v>12.71407</v>
      </c>
      <c r="MD155" s="37">
        <v>12.71407</v>
      </c>
      <c r="ME155" s="37">
        <v>12.71407</v>
      </c>
      <c r="MF155" s="37">
        <v>12.71407</v>
      </c>
      <c r="MG155" s="37">
        <v>12.71407</v>
      </c>
      <c r="MH155" s="37">
        <v>12.71407</v>
      </c>
      <c r="MI155" s="37">
        <v>12.71407</v>
      </c>
      <c r="MJ155" s="37">
        <v>12.71407</v>
      </c>
      <c r="MK155" s="37">
        <v>12.71407</v>
      </c>
      <c r="ML155" s="37">
        <v>12.71407</v>
      </c>
      <c r="MM155" s="37">
        <v>12.71407</v>
      </c>
      <c r="MN155" s="37">
        <v>12.71407</v>
      </c>
      <c r="MO155" s="37">
        <v>12.71407</v>
      </c>
      <c r="MP155" s="37">
        <v>12.71407</v>
      </c>
      <c r="MQ155" s="37">
        <v>12.71407</v>
      </c>
      <c r="MR155" s="37">
        <v>12.71407</v>
      </c>
      <c r="MS155" s="37">
        <v>12.71407</v>
      </c>
      <c r="MT155" s="37">
        <v>12.71407</v>
      </c>
      <c r="MU155" s="37">
        <v>12.71407</v>
      </c>
      <c r="MV155" s="37">
        <v>12.71407</v>
      </c>
      <c r="MW155" s="37">
        <v>12.71407</v>
      </c>
      <c r="MX155" s="37">
        <v>12.71407</v>
      </c>
      <c r="MY155" s="37">
        <v>12.71407</v>
      </c>
      <c r="MZ155" s="37">
        <v>12.71407</v>
      </c>
      <c r="NA155" s="37">
        <v>12.71407</v>
      </c>
      <c r="NB155" s="37">
        <v>12.71407</v>
      </c>
      <c r="NC155" s="37">
        <v>12.71407</v>
      </c>
      <c r="ND155" s="37">
        <v>13.752345</v>
      </c>
    </row>
    <row r="156" spans="1:372" x14ac:dyDescent="0.2">
      <c r="A156" s="37">
        <v>154</v>
      </c>
      <c r="B156" s="37" t="s">
        <v>1230</v>
      </c>
      <c r="C156" s="17">
        <f>+'Detalle Compras'!D156</f>
        <v>20240123013</v>
      </c>
      <c r="D156" s="55">
        <f t="shared" si="19"/>
        <v>14.571999999999999</v>
      </c>
      <c r="E156" s="14">
        <f>+IF(B156="","",'Detalle Compras'!S156+0)</f>
        <v>45514</v>
      </c>
      <c r="F156" s="14">
        <f>+IF(B156="","",EOMONTH('Detalle Compras'!Q156,G156)+10)</f>
        <v>10846</v>
      </c>
      <c r="G156" s="50">
        <f t="shared" si="20"/>
        <v>355</v>
      </c>
      <c r="H156" s="50">
        <f t="shared" si="21"/>
        <v>337</v>
      </c>
      <c r="I156" s="37">
        <v>0</v>
      </c>
      <c r="J156" s="37">
        <v>0</v>
      </c>
      <c r="K156" s="37">
        <v>0</v>
      </c>
      <c r="L156" s="37">
        <v>0</v>
      </c>
      <c r="M156" s="37">
        <v>0</v>
      </c>
      <c r="N156" s="37">
        <v>14.571999999999999</v>
      </c>
      <c r="O156" s="37">
        <v>14.571999999999999</v>
      </c>
      <c r="P156" s="37">
        <v>14.571999999999999</v>
      </c>
      <c r="Q156" s="37">
        <v>14.571999999999999</v>
      </c>
      <c r="R156" s="37">
        <v>14.571999999999999</v>
      </c>
      <c r="S156" s="37">
        <v>14.571999999999999</v>
      </c>
      <c r="T156" s="37">
        <v>14.571999999999999</v>
      </c>
      <c r="U156" s="37">
        <v>14.571999999999999</v>
      </c>
      <c r="V156" s="37">
        <v>14.571999999999999</v>
      </c>
      <c r="W156" s="37">
        <v>14.571999999999999</v>
      </c>
      <c r="X156" s="37">
        <v>14.571999999999999</v>
      </c>
      <c r="Y156" s="37">
        <v>14.571999999999999</v>
      </c>
      <c r="Z156" s="37">
        <v>14.571999999999999</v>
      </c>
      <c r="AA156" s="37">
        <v>14.571999999999999</v>
      </c>
      <c r="AB156" s="37">
        <v>14.571999999999999</v>
      </c>
      <c r="AC156" s="37">
        <v>14.571999999999999</v>
      </c>
      <c r="AD156" s="37">
        <v>14.571999999999999</v>
      </c>
      <c r="AE156" s="37">
        <v>14.571999999999999</v>
      </c>
      <c r="AF156" s="37">
        <v>14.571999999999999</v>
      </c>
      <c r="AG156" s="37">
        <v>14.571999999999999</v>
      </c>
      <c r="AH156" s="37">
        <v>14.571999999999999</v>
      </c>
      <c r="AI156" s="37">
        <v>14.571999999999999</v>
      </c>
      <c r="AJ156" s="37">
        <v>14.571999999999999</v>
      </c>
      <c r="AK156" s="37">
        <v>14.571999999999999</v>
      </c>
      <c r="AL156" s="37">
        <v>14.571999999999999</v>
      </c>
      <c r="AM156" s="37">
        <v>14.571999999999999</v>
      </c>
      <c r="AN156" s="37">
        <v>14.571999999999999</v>
      </c>
      <c r="AO156" s="37">
        <v>14.571999999999999</v>
      </c>
      <c r="AP156" s="37">
        <v>14.571999999999999</v>
      </c>
      <c r="AQ156" s="37">
        <v>14.571999999999999</v>
      </c>
      <c r="AR156" s="37">
        <v>14.571999999999999</v>
      </c>
      <c r="AS156" s="37">
        <v>14.571999999999999</v>
      </c>
      <c r="AT156" s="37">
        <v>14.571999999999999</v>
      </c>
      <c r="AU156" s="37">
        <v>14.571999999999999</v>
      </c>
      <c r="AV156" s="37">
        <v>14.571999999999999</v>
      </c>
      <c r="AW156" s="37">
        <v>14.571999999999999</v>
      </c>
      <c r="AX156" s="37">
        <v>14.571999999999999</v>
      </c>
      <c r="AY156" s="37">
        <v>14.571999999999999</v>
      </c>
      <c r="AZ156" s="37">
        <v>14.571999999999999</v>
      </c>
      <c r="BA156" s="37">
        <v>14.571999999999999</v>
      </c>
      <c r="BB156" s="37">
        <v>14.571999999999999</v>
      </c>
      <c r="BC156" s="37">
        <v>14.571999999999999</v>
      </c>
      <c r="BD156" s="37">
        <v>14.571999999999999</v>
      </c>
      <c r="BE156" s="37">
        <v>14.571999999999999</v>
      </c>
      <c r="BF156" s="37">
        <v>14.571999999999999</v>
      </c>
      <c r="BG156" s="37">
        <v>14.571999999999999</v>
      </c>
      <c r="BH156" s="37">
        <v>14.571999999999999</v>
      </c>
      <c r="BI156" s="37">
        <v>14.571999999999999</v>
      </c>
      <c r="BJ156" s="37">
        <v>14.571999999999999</v>
      </c>
      <c r="BK156" s="37">
        <v>14.571999999999999</v>
      </c>
      <c r="BL156" s="37">
        <v>14.571999999999999</v>
      </c>
      <c r="BM156" s="37">
        <v>14.571999999999999</v>
      </c>
      <c r="BN156" s="37">
        <v>14.571999999999999</v>
      </c>
      <c r="BO156" s="37">
        <v>14.571999999999999</v>
      </c>
      <c r="BP156" s="37">
        <v>14.571999999999999</v>
      </c>
      <c r="BQ156" s="37">
        <v>14.571999999999999</v>
      </c>
      <c r="BR156" s="37">
        <v>14.571999999999999</v>
      </c>
      <c r="BS156" s="37">
        <v>14.571999999999999</v>
      </c>
      <c r="BT156" s="37">
        <v>14.571999999999999</v>
      </c>
      <c r="BU156" s="37">
        <v>14.571999999999999</v>
      </c>
      <c r="BV156" s="37">
        <v>14.571999999999999</v>
      </c>
      <c r="BW156" s="37">
        <v>14.571999999999999</v>
      </c>
      <c r="BX156" s="37">
        <v>14.571999999999999</v>
      </c>
      <c r="BY156" s="37">
        <v>14.571999999999999</v>
      </c>
      <c r="BZ156" s="37">
        <v>14.571999999999999</v>
      </c>
      <c r="CA156" s="37">
        <v>14.571999999999999</v>
      </c>
      <c r="CB156" s="37">
        <v>14.571999999999999</v>
      </c>
      <c r="CC156" s="37">
        <v>14.571999999999999</v>
      </c>
      <c r="CD156" s="37">
        <v>14.571999999999999</v>
      </c>
      <c r="CE156" s="37">
        <v>14.571999999999999</v>
      </c>
      <c r="CF156" s="37">
        <v>14.571999999999999</v>
      </c>
      <c r="CG156" s="37">
        <v>14.571999999999999</v>
      </c>
      <c r="CH156" s="37">
        <v>14.571999999999999</v>
      </c>
      <c r="CI156" s="37">
        <v>14.571999999999999</v>
      </c>
      <c r="CJ156" s="37">
        <v>14.571999999999999</v>
      </c>
      <c r="CK156" s="37">
        <v>14.571999999999999</v>
      </c>
      <c r="CL156" s="37">
        <v>14.571999999999999</v>
      </c>
      <c r="CM156" s="37">
        <v>14.571999999999999</v>
      </c>
      <c r="CN156" s="37">
        <v>14.571999999999999</v>
      </c>
      <c r="CO156" s="37">
        <v>14.571999999999999</v>
      </c>
      <c r="CP156" s="37">
        <v>14.571999999999999</v>
      </c>
      <c r="CQ156" s="37">
        <v>14.571999999999999</v>
      </c>
      <c r="CR156" s="37">
        <v>14.571999999999999</v>
      </c>
      <c r="CS156" s="37">
        <v>14.571999999999999</v>
      </c>
      <c r="CT156" s="37">
        <v>14.571999999999999</v>
      </c>
      <c r="CU156" s="37">
        <v>14.571999999999999</v>
      </c>
      <c r="CV156" s="37">
        <v>14.571999999999999</v>
      </c>
      <c r="CW156" s="37">
        <v>14.571999999999999</v>
      </c>
      <c r="CX156" s="37">
        <v>14.571999999999999</v>
      </c>
      <c r="CY156" s="37">
        <v>14.571999999999999</v>
      </c>
      <c r="CZ156" s="37">
        <v>14.571999999999999</v>
      </c>
      <c r="DA156" s="37">
        <v>14.571999999999999</v>
      </c>
      <c r="DB156" s="37">
        <v>14.571999999999999</v>
      </c>
      <c r="DC156" s="37">
        <v>14.571999999999999</v>
      </c>
      <c r="DD156" s="37">
        <v>14.571999999999999</v>
      </c>
      <c r="DE156" s="37">
        <v>14.571999999999999</v>
      </c>
      <c r="DF156" s="37">
        <v>14.571999999999999</v>
      </c>
      <c r="DG156" s="37">
        <v>14.571999999999999</v>
      </c>
      <c r="DH156" s="37">
        <v>14.571999999999999</v>
      </c>
      <c r="DI156" s="37">
        <v>14.571999999999999</v>
      </c>
      <c r="DJ156" s="37">
        <v>14.571999999999999</v>
      </c>
      <c r="DK156" s="37">
        <v>14.571999999999999</v>
      </c>
      <c r="DL156" s="37">
        <v>14.571999999999999</v>
      </c>
      <c r="DM156" s="37">
        <v>14.571999999999999</v>
      </c>
      <c r="DN156" s="37">
        <v>14.571999999999999</v>
      </c>
      <c r="DO156" s="37">
        <v>14.571999999999999</v>
      </c>
      <c r="DP156" s="37">
        <v>14.571999999999999</v>
      </c>
      <c r="DQ156" s="37">
        <v>14.571999999999999</v>
      </c>
      <c r="DR156" s="37">
        <v>14.571999999999999</v>
      </c>
      <c r="DS156" s="37">
        <v>14.571999999999999</v>
      </c>
      <c r="DT156" s="37">
        <v>14.571999999999999</v>
      </c>
      <c r="DU156" s="37">
        <v>14.571999999999999</v>
      </c>
      <c r="DV156" s="37">
        <v>14.571999999999999</v>
      </c>
      <c r="DW156" s="37">
        <v>14.571999999999999</v>
      </c>
      <c r="DX156" s="37">
        <v>14.571999999999999</v>
      </c>
      <c r="DY156" s="37">
        <v>14.571999999999999</v>
      </c>
      <c r="DZ156" s="37">
        <v>14.571999999999999</v>
      </c>
      <c r="EA156" s="37">
        <v>14.571999999999999</v>
      </c>
      <c r="EB156" s="37">
        <v>14.571999999999999</v>
      </c>
      <c r="EC156" s="37">
        <v>14.571999999999999</v>
      </c>
      <c r="ED156" s="37">
        <v>14.571999999999999</v>
      </c>
      <c r="EE156" s="37">
        <v>14.571999999999999</v>
      </c>
      <c r="EF156" s="37">
        <v>14.571999999999999</v>
      </c>
      <c r="EG156" s="37">
        <v>14.571999999999999</v>
      </c>
      <c r="EH156" s="37">
        <v>14.571999999999999</v>
      </c>
      <c r="EI156" s="37">
        <v>14.571999999999999</v>
      </c>
      <c r="EJ156" s="37">
        <v>14.571999999999999</v>
      </c>
      <c r="EK156" s="37">
        <v>14.571999999999999</v>
      </c>
      <c r="EL156" s="37">
        <v>14.571999999999999</v>
      </c>
      <c r="EM156" s="37">
        <v>14.571999999999999</v>
      </c>
      <c r="EN156" s="37">
        <v>14.571999999999999</v>
      </c>
      <c r="EO156" s="37">
        <v>14.571999999999999</v>
      </c>
      <c r="EP156" s="37">
        <v>14.571999999999999</v>
      </c>
      <c r="EQ156" s="37">
        <v>14.571999999999999</v>
      </c>
      <c r="ER156" s="37">
        <v>14.571999999999999</v>
      </c>
      <c r="ES156" s="37">
        <v>14.571999999999999</v>
      </c>
      <c r="ET156" s="37">
        <v>14.571999999999999</v>
      </c>
      <c r="EU156" s="37">
        <v>14.571999999999999</v>
      </c>
      <c r="EV156" s="37">
        <v>14.571999999999999</v>
      </c>
      <c r="EW156" s="37">
        <v>14.571999999999999</v>
      </c>
      <c r="EX156" s="37">
        <v>14.571999999999999</v>
      </c>
      <c r="EY156" s="37">
        <v>14.571999999999999</v>
      </c>
      <c r="EZ156" s="37">
        <v>14.571999999999999</v>
      </c>
      <c r="FA156" s="37">
        <v>14.571999999999999</v>
      </c>
      <c r="FB156" s="37">
        <v>14.571999999999999</v>
      </c>
      <c r="FC156" s="37">
        <v>14.571999999999999</v>
      </c>
      <c r="FD156" s="37">
        <v>14.571999999999999</v>
      </c>
      <c r="FE156" s="37">
        <v>14.571999999999999</v>
      </c>
      <c r="FF156" s="37">
        <v>14.571999999999999</v>
      </c>
      <c r="FG156" s="37">
        <v>14.571999999999999</v>
      </c>
      <c r="FH156" s="37">
        <v>14.571999999999999</v>
      </c>
      <c r="FI156" s="37">
        <v>14.571999999999999</v>
      </c>
      <c r="FJ156" s="37">
        <v>14.571999999999999</v>
      </c>
      <c r="FK156" s="37">
        <v>14.571999999999999</v>
      </c>
      <c r="FL156" s="37">
        <v>14.571999999999999</v>
      </c>
      <c r="FM156" s="37">
        <v>14.571999999999999</v>
      </c>
      <c r="FN156" s="37">
        <v>14.571999999999999</v>
      </c>
      <c r="FO156" s="37">
        <v>14.571999999999999</v>
      </c>
      <c r="FP156" s="37">
        <v>14.571999999999999</v>
      </c>
      <c r="FQ156" s="37">
        <v>14.571999999999999</v>
      </c>
      <c r="FR156" s="37">
        <v>14.571999999999999</v>
      </c>
      <c r="FS156" s="37">
        <v>14.571999999999999</v>
      </c>
      <c r="FT156" s="37">
        <v>14.571999999999999</v>
      </c>
      <c r="FU156" s="37">
        <v>14.571999999999999</v>
      </c>
      <c r="FV156" s="37">
        <v>14.571999999999999</v>
      </c>
      <c r="FW156" s="37">
        <v>14.571999999999999</v>
      </c>
      <c r="FX156" s="37">
        <v>14.571999999999999</v>
      </c>
      <c r="FY156" s="37">
        <v>14.571999999999999</v>
      </c>
      <c r="FZ156" s="37">
        <v>14.571999999999999</v>
      </c>
      <c r="GA156" s="37">
        <v>14.571999999999999</v>
      </c>
      <c r="GB156" s="37">
        <v>14.571999999999999</v>
      </c>
      <c r="GC156" s="37">
        <v>14.571999999999999</v>
      </c>
      <c r="GD156" s="37">
        <v>14.571999999999999</v>
      </c>
      <c r="GE156" s="37">
        <v>14.571999999999999</v>
      </c>
      <c r="GF156" s="37">
        <v>14.571999999999999</v>
      </c>
      <c r="GG156" s="37">
        <v>14.571999999999999</v>
      </c>
      <c r="GH156" s="37">
        <v>14.571999999999999</v>
      </c>
      <c r="GI156" s="37">
        <v>14.571999999999999</v>
      </c>
      <c r="GJ156" s="37">
        <v>14.571999999999999</v>
      </c>
      <c r="GK156" s="37">
        <v>14.571999999999999</v>
      </c>
      <c r="GL156" s="37">
        <v>14.571999999999999</v>
      </c>
      <c r="GM156" s="37">
        <v>14.571999999999999</v>
      </c>
      <c r="GN156" s="37">
        <v>14.571999999999999</v>
      </c>
      <c r="GO156" s="37">
        <v>14.571999999999999</v>
      </c>
      <c r="GP156" s="37">
        <v>14.571999999999999</v>
      </c>
      <c r="GQ156" s="37">
        <v>14.571999999999999</v>
      </c>
      <c r="GR156" s="37">
        <v>14.571999999999999</v>
      </c>
      <c r="GS156" s="37">
        <v>14.571999999999999</v>
      </c>
      <c r="GT156" s="37">
        <v>14.571999999999999</v>
      </c>
      <c r="GU156" s="37">
        <v>14.571999999999999</v>
      </c>
      <c r="GV156" s="37">
        <v>14.571999999999999</v>
      </c>
      <c r="GW156" s="37">
        <v>14.571999999999999</v>
      </c>
      <c r="GX156" s="37">
        <v>14.571999999999999</v>
      </c>
      <c r="GY156" s="37">
        <v>14.571999999999999</v>
      </c>
      <c r="GZ156" s="37">
        <v>14.571999999999999</v>
      </c>
      <c r="HA156" s="37">
        <v>14.571999999999999</v>
      </c>
      <c r="HB156" s="37">
        <v>14.571999999999999</v>
      </c>
      <c r="HC156" s="37">
        <v>14.571999999999999</v>
      </c>
      <c r="HD156" s="37">
        <v>14.571999999999999</v>
      </c>
      <c r="HE156" s="37">
        <v>14.571999999999999</v>
      </c>
      <c r="HF156" s="37">
        <v>14.571999999999999</v>
      </c>
      <c r="HG156" s="37">
        <v>14.571999999999999</v>
      </c>
      <c r="HH156" s="37">
        <v>14.571999999999999</v>
      </c>
      <c r="HI156" s="37">
        <v>14.571999999999999</v>
      </c>
      <c r="HJ156" s="37">
        <v>14.571999999999999</v>
      </c>
      <c r="HK156" s="37">
        <v>14.571999999999999</v>
      </c>
      <c r="HL156" s="37">
        <v>14.571999999999999</v>
      </c>
      <c r="HM156" s="37">
        <v>14.571999999999999</v>
      </c>
      <c r="HN156" s="37">
        <v>14.571999999999999</v>
      </c>
      <c r="HO156" s="37">
        <v>14.571999999999999</v>
      </c>
      <c r="HP156" s="37">
        <v>14.571999999999999</v>
      </c>
      <c r="HQ156" s="37">
        <v>14.571999999999999</v>
      </c>
      <c r="HR156" s="37">
        <v>14.571999999999999</v>
      </c>
      <c r="HS156" s="37">
        <v>14.571999999999999</v>
      </c>
      <c r="HT156" s="37">
        <v>14.571999999999999</v>
      </c>
      <c r="HU156" s="37">
        <v>14.571999999999999</v>
      </c>
      <c r="HV156" s="37">
        <v>14.571999999999999</v>
      </c>
      <c r="HW156" s="37">
        <v>14.571999999999999</v>
      </c>
      <c r="HX156" s="37">
        <v>14.571999999999999</v>
      </c>
      <c r="HY156" s="37">
        <v>14.571999999999999</v>
      </c>
      <c r="HZ156" s="37">
        <v>14.571999999999999</v>
      </c>
      <c r="IA156" s="37">
        <v>14.571999999999999</v>
      </c>
      <c r="IB156" s="37">
        <v>14.571999999999999</v>
      </c>
      <c r="IC156" s="37">
        <v>14.571999999999999</v>
      </c>
      <c r="ID156" s="37">
        <v>14.571999999999999</v>
      </c>
      <c r="IE156" s="37">
        <v>14.571999999999999</v>
      </c>
      <c r="IF156" s="37">
        <v>14.571999999999999</v>
      </c>
      <c r="IG156" s="37">
        <v>14.571999999999999</v>
      </c>
      <c r="IH156" s="37">
        <v>14.571999999999999</v>
      </c>
      <c r="II156" s="37">
        <v>14.571999999999999</v>
      </c>
      <c r="IJ156" s="37">
        <v>14.571999999999999</v>
      </c>
      <c r="IK156" s="37">
        <v>14.571999999999999</v>
      </c>
      <c r="IL156" s="37">
        <v>14.571999999999999</v>
      </c>
      <c r="IM156" s="37">
        <v>14.571999999999999</v>
      </c>
      <c r="IN156" s="37">
        <v>14.571999999999999</v>
      </c>
      <c r="IO156" s="37">
        <v>14.571999999999999</v>
      </c>
      <c r="IP156" s="37">
        <v>14.571999999999999</v>
      </c>
      <c r="IQ156" s="37">
        <v>14.571999999999999</v>
      </c>
      <c r="IR156" s="37">
        <v>14.571999999999999</v>
      </c>
      <c r="IS156" s="37">
        <v>14.571999999999999</v>
      </c>
      <c r="IT156" s="37">
        <v>14.571999999999999</v>
      </c>
      <c r="IU156" s="37">
        <v>14.571999999999999</v>
      </c>
      <c r="IV156" s="37">
        <v>14.571999999999999</v>
      </c>
      <c r="IW156" s="37">
        <v>14.571999999999999</v>
      </c>
      <c r="IX156" s="37">
        <v>14.571999999999999</v>
      </c>
      <c r="IY156" s="37">
        <v>14.571999999999999</v>
      </c>
      <c r="IZ156" s="37">
        <v>14.571999999999999</v>
      </c>
      <c r="JA156" s="37">
        <v>14.571999999999999</v>
      </c>
      <c r="JB156" s="37">
        <v>14.571999999999999</v>
      </c>
      <c r="JC156" s="37">
        <v>14.571999999999999</v>
      </c>
      <c r="JD156" s="37">
        <v>14.571999999999999</v>
      </c>
      <c r="JE156" s="37">
        <v>14.571999999999999</v>
      </c>
      <c r="JF156" s="37">
        <v>14.571999999999999</v>
      </c>
      <c r="JG156" s="37">
        <v>14.571999999999999</v>
      </c>
      <c r="JH156" s="37">
        <v>14.571999999999999</v>
      </c>
      <c r="JI156" s="37">
        <v>14.571999999999999</v>
      </c>
      <c r="JJ156" s="37">
        <v>14.571999999999999</v>
      </c>
      <c r="JK156" s="37">
        <v>14.571999999999999</v>
      </c>
      <c r="JL156" s="37">
        <v>14.571999999999999</v>
      </c>
      <c r="JM156" s="37">
        <v>14.571999999999999</v>
      </c>
      <c r="JN156" s="37">
        <v>14.571999999999999</v>
      </c>
      <c r="JO156" s="37">
        <v>14.571999999999999</v>
      </c>
      <c r="JP156" s="37">
        <v>14.571999999999999</v>
      </c>
      <c r="JQ156" s="37">
        <v>14.571999999999999</v>
      </c>
      <c r="JR156" s="37">
        <v>14.571999999999999</v>
      </c>
      <c r="JS156" s="37">
        <v>14.571999999999999</v>
      </c>
      <c r="JT156" s="37">
        <v>14.571999999999999</v>
      </c>
      <c r="JU156" s="37">
        <v>14.571999999999999</v>
      </c>
      <c r="JV156" s="37">
        <v>14.571999999999999</v>
      </c>
      <c r="JW156" s="37">
        <v>14.571999999999999</v>
      </c>
      <c r="JX156" s="37">
        <v>14.571999999999999</v>
      </c>
      <c r="JY156" s="37">
        <v>14.571999999999999</v>
      </c>
      <c r="JZ156" s="37">
        <v>14.571999999999999</v>
      </c>
      <c r="KA156" s="37">
        <v>14.571999999999999</v>
      </c>
      <c r="KB156" s="37">
        <v>14.571999999999999</v>
      </c>
      <c r="KC156" s="37">
        <v>14.571999999999999</v>
      </c>
      <c r="KD156" s="37">
        <v>14.571999999999999</v>
      </c>
      <c r="KE156" s="37">
        <v>14.571999999999999</v>
      </c>
      <c r="KF156" s="37">
        <v>14.571999999999999</v>
      </c>
      <c r="KG156" s="37">
        <v>14.571999999999999</v>
      </c>
      <c r="KH156" s="37">
        <v>14.571999999999999</v>
      </c>
      <c r="KI156" s="37">
        <v>14.571999999999999</v>
      </c>
      <c r="KJ156" s="37">
        <v>14.571999999999999</v>
      </c>
      <c r="KK156" s="37">
        <v>14.571999999999999</v>
      </c>
      <c r="KL156" s="37">
        <v>14.571999999999999</v>
      </c>
      <c r="KM156" s="37">
        <v>14.571999999999999</v>
      </c>
      <c r="KN156" s="37">
        <v>14.571999999999999</v>
      </c>
      <c r="KO156" s="37">
        <v>14.571999999999999</v>
      </c>
      <c r="KP156" s="37">
        <v>14.571999999999999</v>
      </c>
      <c r="KQ156" s="37">
        <v>14.571999999999999</v>
      </c>
      <c r="KR156" s="37">
        <v>14.571999999999999</v>
      </c>
      <c r="KS156" s="37">
        <v>14.571999999999999</v>
      </c>
      <c r="KT156" s="37">
        <v>14.571999999999999</v>
      </c>
      <c r="KU156" s="37">
        <v>14.571999999999999</v>
      </c>
      <c r="KV156" s="37">
        <v>14.571999999999999</v>
      </c>
      <c r="KW156" s="37">
        <v>14.571999999999999</v>
      </c>
      <c r="KX156" s="37">
        <v>14.571999999999999</v>
      </c>
      <c r="KY156" s="37">
        <v>14.571999999999999</v>
      </c>
      <c r="KZ156" s="37">
        <v>14.571999999999999</v>
      </c>
      <c r="LA156" s="37">
        <v>14.571999999999999</v>
      </c>
      <c r="LB156" s="37">
        <v>14.571999999999999</v>
      </c>
      <c r="LC156" s="37">
        <v>14.571999999999999</v>
      </c>
      <c r="LD156" s="37">
        <v>14.571999999999999</v>
      </c>
      <c r="LE156" s="37">
        <v>14.571999999999999</v>
      </c>
      <c r="LF156" s="37">
        <v>14.571999999999999</v>
      </c>
      <c r="LG156" s="37">
        <v>14.571999999999999</v>
      </c>
      <c r="LH156" s="37">
        <v>14.571999999999999</v>
      </c>
      <c r="LI156" s="37">
        <v>14.571999999999999</v>
      </c>
      <c r="LJ156" s="37">
        <v>14.571999999999999</v>
      </c>
      <c r="LK156" s="37">
        <v>14.571999999999999</v>
      </c>
      <c r="LL156" s="37">
        <v>14.571999999999999</v>
      </c>
      <c r="LM156" s="37">
        <v>14.571999999999999</v>
      </c>
      <c r="LN156" s="37">
        <v>14.571999999999999</v>
      </c>
      <c r="LO156" s="37">
        <v>14.571999999999999</v>
      </c>
      <c r="LP156" s="37">
        <v>14.571999999999999</v>
      </c>
      <c r="LQ156" s="37">
        <v>14.571999999999999</v>
      </c>
      <c r="LR156" s="37">
        <v>14.571999999999999</v>
      </c>
      <c r="LS156" s="37">
        <v>14.571999999999999</v>
      </c>
      <c r="LT156" s="37">
        <v>14.571999999999999</v>
      </c>
      <c r="LU156" s="37">
        <v>14.571999999999999</v>
      </c>
      <c r="LV156" s="37">
        <v>14.571999999999999</v>
      </c>
      <c r="LW156" s="37">
        <v>14.571999999999999</v>
      </c>
      <c r="LX156" s="37">
        <v>14.571999999999999</v>
      </c>
      <c r="LY156" s="37">
        <v>14.571999999999999</v>
      </c>
      <c r="LZ156" s="37">
        <v>14.571999999999999</v>
      </c>
      <c r="MA156" s="37">
        <v>14.571999999999999</v>
      </c>
      <c r="MB156" s="37">
        <v>14.571999999999999</v>
      </c>
      <c r="MC156" s="37">
        <v>14.571999999999999</v>
      </c>
      <c r="MD156" s="37">
        <v>14.571999999999999</v>
      </c>
      <c r="ME156" s="37">
        <v>14.571999999999999</v>
      </c>
      <c r="MF156" s="37">
        <v>14.571999999999999</v>
      </c>
      <c r="MG156" s="37">
        <v>14.571999999999999</v>
      </c>
      <c r="MH156" s="37">
        <v>14.571999999999999</v>
      </c>
      <c r="MI156" s="37">
        <v>14.571999999999999</v>
      </c>
      <c r="MJ156" s="37">
        <v>14.571999999999999</v>
      </c>
      <c r="MK156" s="37">
        <v>14.571999999999999</v>
      </c>
      <c r="ML156" s="37">
        <v>14.571999999999999</v>
      </c>
      <c r="MM156" s="37">
        <v>14.571999999999999</v>
      </c>
      <c r="MN156" s="37">
        <v>14.571999999999999</v>
      </c>
      <c r="MO156" s="37">
        <v>14.571999999999999</v>
      </c>
      <c r="MP156" s="37">
        <v>14.571999999999999</v>
      </c>
      <c r="MQ156" s="37">
        <v>14.571999999999999</v>
      </c>
      <c r="MR156" s="37">
        <v>14.571999999999999</v>
      </c>
      <c r="MS156" s="37">
        <v>14.571999999999999</v>
      </c>
      <c r="MT156" s="37">
        <v>14.571999999999999</v>
      </c>
      <c r="MU156" s="37">
        <v>14.571999999999999</v>
      </c>
      <c r="MV156" s="37">
        <v>14.571999999999999</v>
      </c>
      <c r="MW156" s="37">
        <v>14.571999999999999</v>
      </c>
      <c r="MX156" s="37">
        <v>14.571999999999999</v>
      </c>
      <c r="MY156" s="37">
        <v>14.571999999999999</v>
      </c>
      <c r="MZ156" s="37">
        <v>14.571999999999999</v>
      </c>
      <c r="NA156" s="37">
        <v>14.571999999999999</v>
      </c>
      <c r="NB156" s="37">
        <v>14.571999999999999</v>
      </c>
      <c r="NC156" s="37">
        <v>14.571999999999999</v>
      </c>
      <c r="ND156" s="37">
        <v>15.762</v>
      </c>
    </row>
    <row r="157" spans="1:372" x14ac:dyDescent="0.2">
      <c r="A157" s="37">
        <v>155</v>
      </c>
      <c r="B157" s="37" t="s">
        <v>1235</v>
      </c>
      <c r="C157" s="17">
        <f>+'Detalle Compras'!D157</f>
        <v>20240130014</v>
      </c>
      <c r="D157" s="55">
        <f t="shared" si="19"/>
        <v>12.276910000000001</v>
      </c>
      <c r="E157" s="14">
        <f>+IF(B157="","",'Detalle Compras'!S157+0)</f>
        <v>45514</v>
      </c>
      <c r="F157" s="14">
        <f>+IF(B157="","",EOMONTH('Detalle Compras'!Q157,G157)+10)</f>
        <v>10846</v>
      </c>
      <c r="G157" s="50">
        <f t="shared" si="20"/>
        <v>355</v>
      </c>
      <c r="H157" s="50">
        <f t="shared" si="21"/>
        <v>337</v>
      </c>
      <c r="I157" s="37">
        <v>0</v>
      </c>
      <c r="J157" s="37">
        <v>0</v>
      </c>
      <c r="K157" s="37">
        <v>0</v>
      </c>
      <c r="L157" s="37">
        <v>0</v>
      </c>
      <c r="M157" s="37">
        <v>0</v>
      </c>
      <c r="N157" s="37">
        <v>12.276910000000001</v>
      </c>
      <c r="O157" s="37">
        <v>12.276910000000001</v>
      </c>
      <c r="P157" s="37">
        <v>12.276910000000001</v>
      </c>
      <c r="Q157" s="37">
        <v>12.276910000000001</v>
      </c>
      <c r="R157" s="37">
        <v>12.276910000000001</v>
      </c>
      <c r="S157" s="37">
        <v>12.276910000000001</v>
      </c>
      <c r="T157" s="37">
        <v>12.276910000000001</v>
      </c>
      <c r="U157" s="37">
        <v>12.276910000000001</v>
      </c>
      <c r="V157" s="37">
        <v>12.276910000000001</v>
      </c>
      <c r="W157" s="37">
        <v>12.276910000000001</v>
      </c>
      <c r="X157" s="37">
        <v>12.276910000000001</v>
      </c>
      <c r="Y157" s="37">
        <v>12.276910000000001</v>
      </c>
      <c r="Z157" s="37">
        <v>12.276910000000001</v>
      </c>
      <c r="AA157" s="37">
        <v>12.276910000000001</v>
      </c>
      <c r="AB157" s="37">
        <v>12.276910000000001</v>
      </c>
      <c r="AC157" s="37">
        <v>12.276910000000001</v>
      </c>
      <c r="AD157" s="37">
        <v>12.276910000000001</v>
      </c>
      <c r="AE157" s="37">
        <v>12.276910000000001</v>
      </c>
      <c r="AF157" s="37">
        <v>12.276910000000001</v>
      </c>
      <c r="AG157" s="37">
        <v>12.276910000000001</v>
      </c>
      <c r="AH157" s="37">
        <v>12.276910000000001</v>
      </c>
      <c r="AI157" s="37">
        <v>12.276910000000001</v>
      </c>
      <c r="AJ157" s="37">
        <v>12.276910000000001</v>
      </c>
      <c r="AK157" s="37">
        <v>12.276910000000001</v>
      </c>
      <c r="AL157" s="37">
        <v>12.276910000000001</v>
      </c>
      <c r="AM157" s="37">
        <v>12.276910000000001</v>
      </c>
      <c r="AN157" s="37">
        <v>12.276910000000001</v>
      </c>
      <c r="AO157" s="37">
        <v>12.276910000000001</v>
      </c>
      <c r="AP157" s="37">
        <v>12.276910000000001</v>
      </c>
      <c r="AQ157" s="37">
        <v>12.276910000000001</v>
      </c>
      <c r="AR157" s="37">
        <v>12.276910000000001</v>
      </c>
      <c r="AS157" s="37">
        <v>12.276910000000001</v>
      </c>
      <c r="AT157" s="37">
        <v>12.276910000000001</v>
      </c>
      <c r="AU157" s="37">
        <v>12.276910000000001</v>
      </c>
      <c r="AV157" s="37">
        <v>12.276910000000001</v>
      </c>
      <c r="AW157" s="37">
        <v>12.276910000000001</v>
      </c>
      <c r="AX157" s="37">
        <v>12.276910000000001</v>
      </c>
      <c r="AY157" s="37">
        <v>12.276910000000001</v>
      </c>
      <c r="AZ157" s="37">
        <v>12.276910000000001</v>
      </c>
      <c r="BA157" s="37">
        <v>12.276910000000001</v>
      </c>
      <c r="BB157" s="37">
        <v>12.276910000000001</v>
      </c>
      <c r="BC157" s="37">
        <v>12.276910000000001</v>
      </c>
      <c r="BD157" s="37">
        <v>12.276910000000001</v>
      </c>
      <c r="BE157" s="37">
        <v>12.276910000000001</v>
      </c>
      <c r="BF157" s="37">
        <v>12.276910000000001</v>
      </c>
      <c r="BG157" s="37">
        <v>12.276910000000001</v>
      </c>
      <c r="BH157" s="37">
        <v>12.276910000000001</v>
      </c>
      <c r="BI157" s="37">
        <v>12.276910000000001</v>
      </c>
      <c r="BJ157" s="37">
        <v>12.276910000000001</v>
      </c>
      <c r="BK157" s="37">
        <v>12.276910000000001</v>
      </c>
      <c r="BL157" s="37">
        <v>12.276910000000001</v>
      </c>
      <c r="BM157" s="37">
        <v>12.276910000000001</v>
      </c>
      <c r="BN157" s="37">
        <v>12.276910000000001</v>
      </c>
      <c r="BO157" s="37">
        <v>12.276910000000001</v>
      </c>
      <c r="BP157" s="37">
        <v>12.276910000000001</v>
      </c>
      <c r="BQ157" s="37">
        <v>12.276910000000001</v>
      </c>
      <c r="BR157" s="37">
        <v>12.276910000000001</v>
      </c>
      <c r="BS157" s="37">
        <v>12.276910000000001</v>
      </c>
      <c r="BT157" s="37">
        <v>12.276910000000001</v>
      </c>
      <c r="BU157" s="37">
        <v>12.276910000000001</v>
      </c>
      <c r="BV157" s="37">
        <v>12.276910000000001</v>
      </c>
      <c r="BW157" s="37">
        <v>12.276910000000001</v>
      </c>
      <c r="BX157" s="37">
        <v>12.276910000000001</v>
      </c>
      <c r="BY157" s="37">
        <v>12.276910000000001</v>
      </c>
      <c r="BZ157" s="37">
        <v>12.276910000000001</v>
      </c>
      <c r="CA157" s="37">
        <v>12.276910000000001</v>
      </c>
      <c r="CB157" s="37">
        <v>12.276910000000001</v>
      </c>
      <c r="CC157" s="37">
        <v>12.276910000000001</v>
      </c>
      <c r="CD157" s="37">
        <v>12.276910000000001</v>
      </c>
      <c r="CE157" s="37">
        <v>12.276910000000001</v>
      </c>
      <c r="CF157" s="37">
        <v>12.276910000000001</v>
      </c>
      <c r="CG157" s="37">
        <v>12.276910000000001</v>
      </c>
      <c r="CH157" s="37">
        <v>12.276910000000001</v>
      </c>
      <c r="CI157" s="37">
        <v>12.276910000000001</v>
      </c>
      <c r="CJ157" s="37">
        <v>12.276910000000001</v>
      </c>
      <c r="CK157" s="37">
        <v>12.276910000000001</v>
      </c>
      <c r="CL157" s="37">
        <v>12.276910000000001</v>
      </c>
      <c r="CM157" s="37">
        <v>12.276910000000001</v>
      </c>
      <c r="CN157" s="37">
        <v>12.276910000000001</v>
      </c>
      <c r="CO157" s="37">
        <v>12.276910000000001</v>
      </c>
      <c r="CP157" s="37">
        <v>12.276910000000001</v>
      </c>
      <c r="CQ157" s="37">
        <v>12.276910000000001</v>
      </c>
      <c r="CR157" s="37">
        <v>12.276910000000001</v>
      </c>
      <c r="CS157" s="37">
        <v>12.276910000000001</v>
      </c>
      <c r="CT157" s="37">
        <v>12.276910000000001</v>
      </c>
      <c r="CU157" s="37">
        <v>12.276910000000001</v>
      </c>
      <c r="CV157" s="37">
        <v>12.276910000000001</v>
      </c>
      <c r="CW157" s="37">
        <v>12.276910000000001</v>
      </c>
      <c r="CX157" s="37">
        <v>12.276910000000001</v>
      </c>
      <c r="CY157" s="37">
        <v>12.276910000000001</v>
      </c>
      <c r="CZ157" s="37">
        <v>12.276910000000001</v>
      </c>
      <c r="DA157" s="37">
        <v>12.276910000000001</v>
      </c>
      <c r="DB157" s="37">
        <v>12.276910000000001</v>
      </c>
      <c r="DC157" s="37">
        <v>12.276910000000001</v>
      </c>
      <c r="DD157" s="37">
        <v>12.276910000000001</v>
      </c>
      <c r="DE157" s="37">
        <v>12.276910000000001</v>
      </c>
      <c r="DF157" s="37">
        <v>12.276910000000001</v>
      </c>
      <c r="DG157" s="37">
        <v>12.276910000000001</v>
      </c>
      <c r="DH157" s="37">
        <v>12.276910000000001</v>
      </c>
      <c r="DI157" s="37">
        <v>12.276910000000001</v>
      </c>
      <c r="DJ157" s="37">
        <v>12.276910000000001</v>
      </c>
      <c r="DK157" s="37">
        <v>12.276910000000001</v>
      </c>
      <c r="DL157" s="37">
        <v>12.276910000000001</v>
      </c>
      <c r="DM157" s="37">
        <v>12.276910000000001</v>
      </c>
      <c r="DN157" s="37">
        <v>12.276910000000001</v>
      </c>
      <c r="DO157" s="37">
        <v>12.276910000000001</v>
      </c>
      <c r="DP157" s="37">
        <v>12.276910000000001</v>
      </c>
      <c r="DQ157" s="37">
        <v>12.276910000000001</v>
      </c>
      <c r="DR157" s="37">
        <v>12.276910000000001</v>
      </c>
      <c r="DS157" s="37">
        <v>12.276910000000001</v>
      </c>
      <c r="DT157" s="37">
        <v>12.276910000000001</v>
      </c>
      <c r="DU157" s="37">
        <v>12.276910000000001</v>
      </c>
      <c r="DV157" s="37">
        <v>12.276910000000001</v>
      </c>
      <c r="DW157" s="37">
        <v>12.276910000000001</v>
      </c>
      <c r="DX157" s="37">
        <v>12.276910000000001</v>
      </c>
      <c r="DY157" s="37">
        <v>12.276910000000001</v>
      </c>
      <c r="DZ157" s="37">
        <v>12.276910000000001</v>
      </c>
      <c r="EA157" s="37">
        <v>12.276910000000001</v>
      </c>
      <c r="EB157" s="37">
        <v>12.276910000000001</v>
      </c>
      <c r="EC157" s="37">
        <v>12.276910000000001</v>
      </c>
      <c r="ED157" s="37">
        <v>12.276910000000001</v>
      </c>
      <c r="EE157" s="37">
        <v>12.276910000000001</v>
      </c>
      <c r="EF157" s="37">
        <v>12.276910000000001</v>
      </c>
      <c r="EG157" s="37">
        <v>12.276910000000001</v>
      </c>
      <c r="EH157" s="37">
        <v>12.276910000000001</v>
      </c>
      <c r="EI157" s="37">
        <v>12.276910000000001</v>
      </c>
      <c r="EJ157" s="37">
        <v>12.276910000000001</v>
      </c>
      <c r="EK157" s="37">
        <v>12.276910000000001</v>
      </c>
      <c r="EL157" s="37">
        <v>12.276910000000001</v>
      </c>
      <c r="EM157" s="37">
        <v>12.276910000000001</v>
      </c>
      <c r="EN157" s="37">
        <v>12.276910000000001</v>
      </c>
      <c r="EO157" s="37">
        <v>12.276910000000001</v>
      </c>
      <c r="EP157" s="37">
        <v>12.276910000000001</v>
      </c>
      <c r="EQ157" s="37">
        <v>12.276910000000001</v>
      </c>
      <c r="ER157" s="37">
        <v>12.276910000000001</v>
      </c>
      <c r="ES157" s="37">
        <v>12.276910000000001</v>
      </c>
      <c r="ET157" s="37">
        <v>12.276910000000001</v>
      </c>
      <c r="EU157" s="37">
        <v>12.276910000000001</v>
      </c>
      <c r="EV157" s="37">
        <v>12.276910000000001</v>
      </c>
      <c r="EW157" s="37">
        <v>12.276910000000001</v>
      </c>
      <c r="EX157" s="37">
        <v>12.276910000000001</v>
      </c>
      <c r="EY157" s="37">
        <v>12.276910000000001</v>
      </c>
      <c r="EZ157" s="37">
        <v>12.276910000000001</v>
      </c>
      <c r="FA157" s="37">
        <v>12.276910000000001</v>
      </c>
      <c r="FB157" s="37">
        <v>12.276910000000001</v>
      </c>
      <c r="FC157" s="37">
        <v>12.276910000000001</v>
      </c>
      <c r="FD157" s="37">
        <v>12.276910000000001</v>
      </c>
      <c r="FE157" s="37">
        <v>12.276910000000001</v>
      </c>
      <c r="FF157" s="37">
        <v>12.276910000000001</v>
      </c>
      <c r="FG157" s="37">
        <v>12.276910000000001</v>
      </c>
      <c r="FH157" s="37">
        <v>12.276910000000001</v>
      </c>
      <c r="FI157" s="37">
        <v>12.276910000000001</v>
      </c>
      <c r="FJ157" s="37">
        <v>12.276910000000001</v>
      </c>
      <c r="FK157" s="37">
        <v>12.276910000000001</v>
      </c>
      <c r="FL157" s="37">
        <v>12.276910000000001</v>
      </c>
      <c r="FM157" s="37">
        <v>12.276910000000001</v>
      </c>
      <c r="FN157" s="37">
        <v>12.276910000000001</v>
      </c>
      <c r="FO157" s="37">
        <v>12.276910000000001</v>
      </c>
      <c r="FP157" s="37">
        <v>12.276910000000001</v>
      </c>
      <c r="FQ157" s="37">
        <v>12.276910000000001</v>
      </c>
      <c r="FR157" s="37">
        <v>12.276910000000001</v>
      </c>
      <c r="FS157" s="37">
        <v>12.276910000000001</v>
      </c>
      <c r="FT157" s="37">
        <v>12.276910000000001</v>
      </c>
      <c r="FU157" s="37">
        <v>12.276910000000001</v>
      </c>
      <c r="FV157" s="37">
        <v>12.276910000000001</v>
      </c>
      <c r="FW157" s="37">
        <v>12.276910000000001</v>
      </c>
      <c r="FX157" s="37">
        <v>12.276910000000001</v>
      </c>
      <c r="FY157" s="37">
        <v>12.276910000000001</v>
      </c>
      <c r="FZ157" s="37">
        <v>12.276910000000001</v>
      </c>
      <c r="GA157" s="37">
        <v>12.276910000000001</v>
      </c>
      <c r="GB157" s="37">
        <v>12.276910000000001</v>
      </c>
      <c r="GC157" s="37">
        <v>12.276910000000001</v>
      </c>
      <c r="GD157" s="37">
        <v>12.276910000000001</v>
      </c>
      <c r="GE157" s="37">
        <v>12.276910000000001</v>
      </c>
      <c r="GF157" s="37">
        <v>12.276910000000001</v>
      </c>
      <c r="GG157" s="37">
        <v>12.276910000000001</v>
      </c>
      <c r="GH157" s="37">
        <v>12.276910000000001</v>
      </c>
      <c r="GI157" s="37">
        <v>12.276910000000001</v>
      </c>
      <c r="GJ157" s="37">
        <v>12.276910000000001</v>
      </c>
      <c r="GK157" s="37">
        <v>12.276910000000001</v>
      </c>
      <c r="GL157" s="37">
        <v>12.276910000000001</v>
      </c>
      <c r="GM157" s="37">
        <v>12.276910000000001</v>
      </c>
      <c r="GN157" s="37">
        <v>12.276910000000001</v>
      </c>
      <c r="GO157" s="37">
        <v>12.276910000000001</v>
      </c>
      <c r="GP157" s="37">
        <v>12.276910000000001</v>
      </c>
      <c r="GQ157" s="37">
        <v>12.276910000000001</v>
      </c>
      <c r="GR157" s="37">
        <v>12.276910000000001</v>
      </c>
      <c r="GS157" s="37">
        <v>12.276910000000001</v>
      </c>
      <c r="GT157" s="37">
        <v>12.276910000000001</v>
      </c>
      <c r="GU157" s="37">
        <v>12.276910000000001</v>
      </c>
      <c r="GV157" s="37">
        <v>12.276910000000001</v>
      </c>
      <c r="GW157" s="37">
        <v>12.276910000000001</v>
      </c>
      <c r="GX157" s="37">
        <v>12.276910000000001</v>
      </c>
      <c r="GY157" s="37">
        <v>12.276910000000001</v>
      </c>
      <c r="GZ157" s="37">
        <v>12.276910000000001</v>
      </c>
      <c r="HA157" s="37">
        <v>12.276910000000001</v>
      </c>
      <c r="HB157" s="37">
        <v>12.276910000000001</v>
      </c>
      <c r="HC157" s="37">
        <v>12.276910000000001</v>
      </c>
      <c r="HD157" s="37">
        <v>12.276910000000001</v>
      </c>
      <c r="HE157" s="37">
        <v>12.276910000000001</v>
      </c>
      <c r="HF157" s="37">
        <v>12.276910000000001</v>
      </c>
      <c r="HG157" s="37">
        <v>12.276910000000001</v>
      </c>
      <c r="HH157" s="37">
        <v>12.276910000000001</v>
      </c>
      <c r="HI157" s="37">
        <v>12.276910000000001</v>
      </c>
      <c r="HJ157" s="37">
        <v>12.276910000000001</v>
      </c>
      <c r="HK157" s="37">
        <v>12.276910000000001</v>
      </c>
      <c r="HL157" s="37">
        <v>12.276910000000001</v>
      </c>
      <c r="HM157" s="37">
        <v>12.276910000000001</v>
      </c>
      <c r="HN157" s="37">
        <v>12.276910000000001</v>
      </c>
      <c r="HO157" s="37">
        <v>12.276910000000001</v>
      </c>
      <c r="HP157" s="37">
        <v>12.276910000000001</v>
      </c>
      <c r="HQ157" s="37">
        <v>12.276910000000001</v>
      </c>
      <c r="HR157" s="37">
        <v>12.276910000000001</v>
      </c>
      <c r="HS157" s="37">
        <v>12.276910000000001</v>
      </c>
      <c r="HT157" s="37">
        <v>12.276910000000001</v>
      </c>
      <c r="HU157" s="37">
        <v>12.276910000000001</v>
      </c>
      <c r="HV157" s="37">
        <v>12.276910000000001</v>
      </c>
      <c r="HW157" s="37">
        <v>12.276910000000001</v>
      </c>
      <c r="HX157" s="37">
        <v>12.276910000000001</v>
      </c>
      <c r="HY157" s="37">
        <v>12.276910000000001</v>
      </c>
      <c r="HZ157" s="37">
        <v>12.276910000000001</v>
      </c>
      <c r="IA157" s="37">
        <v>12.276910000000001</v>
      </c>
      <c r="IB157" s="37">
        <v>12.276910000000001</v>
      </c>
      <c r="IC157" s="37">
        <v>12.276910000000001</v>
      </c>
      <c r="ID157" s="37">
        <v>12.276910000000001</v>
      </c>
      <c r="IE157" s="37">
        <v>12.276910000000001</v>
      </c>
      <c r="IF157" s="37">
        <v>12.276910000000001</v>
      </c>
      <c r="IG157" s="37">
        <v>12.276910000000001</v>
      </c>
      <c r="IH157" s="37">
        <v>12.276910000000001</v>
      </c>
      <c r="II157" s="37">
        <v>12.276910000000001</v>
      </c>
      <c r="IJ157" s="37">
        <v>12.276910000000001</v>
      </c>
      <c r="IK157" s="37">
        <v>12.276910000000001</v>
      </c>
      <c r="IL157" s="37">
        <v>12.276910000000001</v>
      </c>
      <c r="IM157" s="37">
        <v>12.276910000000001</v>
      </c>
      <c r="IN157" s="37">
        <v>12.276910000000001</v>
      </c>
      <c r="IO157" s="37">
        <v>12.276910000000001</v>
      </c>
      <c r="IP157" s="37">
        <v>12.276910000000001</v>
      </c>
      <c r="IQ157" s="37">
        <v>12.276910000000001</v>
      </c>
      <c r="IR157" s="37">
        <v>12.276910000000001</v>
      </c>
      <c r="IS157" s="37">
        <v>12.276910000000001</v>
      </c>
      <c r="IT157" s="37">
        <v>12.276910000000001</v>
      </c>
      <c r="IU157" s="37">
        <v>12.276910000000001</v>
      </c>
      <c r="IV157" s="37">
        <v>12.276910000000001</v>
      </c>
      <c r="IW157" s="37">
        <v>12.276910000000001</v>
      </c>
      <c r="IX157" s="37">
        <v>12.276910000000001</v>
      </c>
      <c r="IY157" s="37">
        <v>12.276910000000001</v>
      </c>
      <c r="IZ157" s="37">
        <v>12.276910000000001</v>
      </c>
      <c r="JA157" s="37">
        <v>12.276910000000001</v>
      </c>
      <c r="JB157" s="37">
        <v>12.276910000000001</v>
      </c>
      <c r="JC157" s="37">
        <v>12.276910000000001</v>
      </c>
      <c r="JD157" s="37">
        <v>12.276910000000001</v>
      </c>
      <c r="JE157" s="37">
        <v>12.276910000000001</v>
      </c>
      <c r="JF157" s="37">
        <v>12.276910000000001</v>
      </c>
      <c r="JG157" s="37">
        <v>12.276910000000001</v>
      </c>
      <c r="JH157" s="37">
        <v>12.276910000000001</v>
      </c>
      <c r="JI157" s="37">
        <v>12.276910000000001</v>
      </c>
      <c r="JJ157" s="37">
        <v>12.276910000000001</v>
      </c>
      <c r="JK157" s="37">
        <v>12.276910000000001</v>
      </c>
      <c r="JL157" s="37">
        <v>12.276910000000001</v>
      </c>
      <c r="JM157" s="37">
        <v>12.276910000000001</v>
      </c>
      <c r="JN157" s="37">
        <v>12.276910000000001</v>
      </c>
      <c r="JO157" s="37">
        <v>12.276910000000001</v>
      </c>
      <c r="JP157" s="37">
        <v>12.276910000000001</v>
      </c>
      <c r="JQ157" s="37">
        <v>12.276910000000001</v>
      </c>
      <c r="JR157" s="37">
        <v>12.276910000000001</v>
      </c>
      <c r="JS157" s="37">
        <v>12.276910000000001</v>
      </c>
      <c r="JT157" s="37">
        <v>12.276910000000001</v>
      </c>
      <c r="JU157" s="37">
        <v>12.276910000000001</v>
      </c>
      <c r="JV157" s="37">
        <v>12.276910000000001</v>
      </c>
      <c r="JW157" s="37">
        <v>12.276910000000001</v>
      </c>
      <c r="JX157" s="37">
        <v>12.276910000000001</v>
      </c>
      <c r="JY157" s="37">
        <v>12.276910000000001</v>
      </c>
      <c r="JZ157" s="37">
        <v>12.276910000000001</v>
      </c>
      <c r="KA157" s="37">
        <v>12.276910000000001</v>
      </c>
      <c r="KB157" s="37">
        <v>12.276910000000001</v>
      </c>
      <c r="KC157" s="37">
        <v>12.276910000000001</v>
      </c>
      <c r="KD157" s="37">
        <v>12.276910000000001</v>
      </c>
      <c r="KE157" s="37">
        <v>12.276910000000001</v>
      </c>
      <c r="KF157" s="37">
        <v>12.276910000000001</v>
      </c>
      <c r="KG157" s="37">
        <v>12.276910000000001</v>
      </c>
      <c r="KH157" s="37">
        <v>12.276910000000001</v>
      </c>
      <c r="KI157" s="37">
        <v>12.276910000000001</v>
      </c>
      <c r="KJ157" s="37">
        <v>12.276910000000001</v>
      </c>
      <c r="KK157" s="37">
        <v>12.276910000000001</v>
      </c>
      <c r="KL157" s="37">
        <v>12.276910000000001</v>
      </c>
      <c r="KM157" s="37">
        <v>12.276910000000001</v>
      </c>
      <c r="KN157" s="37">
        <v>12.276910000000001</v>
      </c>
      <c r="KO157" s="37">
        <v>12.276910000000001</v>
      </c>
      <c r="KP157" s="37">
        <v>12.276910000000001</v>
      </c>
      <c r="KQ157" s="37">
        <v>12.276910000000001</v>
      </c>
      <c r="KR157" s="37">
        <v>12.276910000000001</v>
      </c>
      <c r="KS157" s="37">
        <v>12.276910000000001</v>
      </c>
      <c r="KT157" s="37">
        <v>12.276910000000001</v>
      </c>
      <c r="KU157" s="37">
        <v>12.276910000000001</v>
      </c>
      <c r="KV157" s="37">
        <v>12.276910000000001</v>
      </c>
      <c r="KW157" s="37">
        <v>12.276910000000001</v>
      </c>
      <c r="KX157" s="37">
        <v>12.276910000000001</v>
      </c>
      <c r="KY157" s="37">
        <v>12.276910000000001</v>
      </c>
      <c r="KZ157" s="37">
        <v>12.276910000000001</v>
      </c>
      <c r="LA157" s="37">
        <v>12.276910000000001</v>
      </c>
      <c r="LB157" s="37">
        <v>12.276910000000001</v>
      </c>
      <c r="LC157" s="37">
        <v>12.276910000000001</v>
      </c>
      <c r="LD157" s="37">
        <v>12.276910000000001</v>
      </c>
      <c r="LE157" s="37">
        <v>12.276910000000001</v>
      </c>
      <c r="LF157" s="37">
        <v>12.276910000000001</v>
      </c>
      <c r="LG157" s="37">
        <v>12.276910000000001</v>
      </c>
      <c r="LH157" s="37">
        <v>12.276910000000001</v>
      </c>
      <c r="LI157" s="37">
        <v>12.276910000000001</v>
      </c>
      <c r="LJ157" s="37">
        <v>12.276910000000001</v>
      </c>
      <c r="LK157" s="37">
        <v>12.276910000000001</v>
      </c>
      <c r="LL157" s="37">
        <v>12.276910000000001</v>
      </c>
      <c r="LM157" s="37">
        <v>12.276910000000001</v>
      </c>
      <c r="LN157" s="37">
        <v>12.276910000000001</v>
      </c>
      <c r="LO157" s="37">
        <v>12.276910000000001</v>
      </c>
      <c r="LP157" s="37">
        <v>12.276910000000001</v>
      </c>
      <c r="LQ157" s="37">
        <v>12.276910000000001</v>
      </c>
      <c r="LR157" s="37">
        <v>12.276910000000001</v>
      </c>
      <c r="LS157" s="37">
        <v>12.276910000000001</v>
      </c>
      <c r="LT157" s="37">
        <v>12.276910000000001</v>
      </c>
      <c r="LU157" s="37">
        <v>12.276910000000001</v>
      </c>
      <c r="LV157" s="37">
        <v>12.276910000000001</v>
      </c>
      <c r="LW157" s="37">
        <v>12.276910000000001</v>
      </c>
      <c r="LX157" s="37">
        <v>12.276910000000001</v>
      </c>
      <c r="LY157" s="37">
        <v>12.276910000000001</v>
      </c>
      <c r="LZ157" s="37">
        <v>12.276910000000001</v>
      </c>
      <c r="MA157" s="37">
        <v>12.276910000000001</v>
      </c>
      <c r="MB157" s="37">
        <v>12.276910000000001</v>
      </c>
      <c r="MC157" s="37">
        <v>12.276910000000001</v>
      </c>
      <c r="MD157" s="37">
        <v>12.276910000000001</v>
      </c>
      <c r="ME157" s="37">
        <v>12.276910000000001</v>
      </c>
      <c r="MF157" s="37">
        <v>12.276910000000001</v>
      </c>
      <c r="MG157" s="37">
        <v>12.276910000000001</v>
      </c>
      <c r="MH157" s="37">
        <v>12.276910000000001</v>
      </c>
      <c r="MI157" s="37">
        <v>12.276910000000001</v>
      </c>
      <c r="MJ157" s="37">
        <v>12.276910000000001</v>
      </c>
      <c r="MK157" s="37">
        <v>12.276910000000001</v>
      </c>
      <c r="ML157" s="37">
        <v>12.276910000000001</v>
      </c>
      <c r="MM157" s="37">
        <v>12.276910000000001</v>
      </c>
      <c r="MN157" s="37">
        <v>12.276910000000001</v>
      </c>
      <c r="MO157" s="37">
        <v>12.276910000000001</v>
      </c>
      <c r="MP157" s="37">
        <v>12.276910000000001</v>
      </c>
      <c r="MQ157" s="37">
        <v>12.276910000000001</v>
      </c>
      <c r="MR157" s="37">
        <v>12.276910000000001</v>
      </c>
      <c r="MS157" s="37">
        <v>12.276910000000001</v>
      </c>
      <c r="MT157" s="37">
        <v>12.276910000000001</v>
      </c>
      <c r="MU157" s="37">
        <v>12.276910000000001</v>
      </c>
      <c r="MV157" s="37">
        <v>12.276910000000001</v>
      </c>
      <c r="MW157" s="37">
        <v>12.276910000000001</v>
      </c>
      <c r="MX157" s="37">
        <v>12.276910000000001</v>
      </c>
      <c r="MY157" s="37">
        <v>12.276910000000001</v>
      </c>
      <c r="MZ157" s="37">
        <v>12.276910000000001</v>
      </c>
      <c r="NA157" s="37">
        <v>12.276910000000001</v>
      </c>
      <c r="NB157" s="37">
        <v>12.276910000000001</v>
      </c>
      <c r="NC157" s="37">
        <v>12.276910000000001</v>
      </c>
      <c r="ND157" s="37">
        <v>13.279484999999999</v>
      </c>
    </row>
    <row r="158" spans="1:372" x14ac:dyDescent="0.2">
      <c r="A158" s="37">
        <v>156</v>
      </c>
      <c r="B158" s="37" t="s">
        <v>1239</v>
      </c>
      <c r="C158" s="17">
        <f>+'Detalle Compras'!D158</f>
        <v>20240129016</v>
      </c>
      <c r="D158" s="55">
        <f t="shared" si="19"/>
        <v>11.963685</v>
      </c>
      <c r="E158" s="14">
        <f>+IF(B158="","",'Detalle Compras'!S158+0)</f>
        <v>45514</v>
      </c>
      <c r="F158" s="14">
        <f>+IF(B158="","",EOMONTH('Detalle Compras'!Q158,G158)+10)</f>
        <v>10846</v>
      </c>
      <c r="G158" s="50">
        <f t="shared" si="20"/>
        <v>355</v>
      </c>
      <c r="H158" s="50">
        <f t="shared" si="21"/>
        <v>337</v>
      </c>
      <c r="I158" s="37">
        <v>0</v>
      </c>
      <c r="J158" s="37">
        <v>0</v>
      </c>
      <c r="K158" s="37">
        <v>0</v>
      </c>
      <c r="L158" s="37">
        <v>0</v>
      </c>
      <c r="M158" s="37">
        <v>0</v>
      </c>
      <c r="N158" s="37">
        <v>11.963685</v>
      </c>
      <c r="O158" s="37">
        <v>11.963685</v>
      </c>
      <c r="P158" s="37">
        <v>11.963685</v>
      </c>
      <c r="Q158" s="37">
        <v>11.963685</v>
      </c>
      <c r="R158" s="37">
        <v>11.963685</v>
      </c>
      <c r="S158" s="37">
        <v>11.963685</v>
      </c>
      <c r="T158" s="37">
        <v>11.963685</v>
      </c>
      <c r="U158" s="37">
        <v>11.963685</v>
      </c>
      <c r="V158" s="37">
        <v>11.963685</v>
      </c>
      <c r="W158" s="37">
        <v>11.963685</v>
      </c>
      <c r="X158" s="37">
        <v>11.963685</v>
      </c>
      <c r="Y158" s="37">
        <v>11.963685</v>
      </c>
      <c r="Z158" s="37">
        <v>11.963685</v>
      </c>
      <c r="AA158" s="37">
        <v>11.963685</v>
      </c>
      <c r="AB158" s="37">
        <v>11.963685</v>
      </c>
      <c r="AC158" s="37">
        <v>11.963685</v>
      </c>
      <c r="AD158" s="37">
        <v>11.963685</v>
      </c>
      <c r="AE158" s="37">
        <v>11.963685</v>
      </c>
      <c r="AF158" s="37">
        <v>11.963685</v>
      </c>
      <c r="AG158" s="37">
        <v>11.963685</v>
      </c>
      <c r="AH158" s="37">
        <v>11.963685</v>
      </c>
      <c r="AI158" s="37">
        <v>11.963685</v>
      </c>
      <c r="AJ158" s="37">
        <v>11.963685</v>
      </c>
      <c r="AK158" s="37">
        <v>11.963685</v>
      </c>
      <c r="AL158" s="37">
        <v>11.963685</v>
      </c>
      <c r="AM158" s="37">
        <v>11.963685</v>
      </c>
      <c r="AN158" s="37">
        <v>11.963685</v>
      </c>
      <c r="AO158" s="37">
        <v>11.963685</v>
      </c>
      <c r="AP158" s="37">
        <v>11.963685</v>
      </c>
      <c r="AQ158" s="37">
        <v>11.963685</v>
      </c>
      <c r="AR158" s="37">
        <v>11.963685</v>
      </c>
      <c r="AS158" s="37">
        <v>11.963685</v>
      </c>
      <c r="AT158" s="37">
        <v>11.963685</v>
      </c>
      <c r="AU158" s="37">
        <v>11.963685</v>
      </c>
      <c r="AV158" s="37">
        <v>11.963685</v>
      </c>
      <c r="AW158" s="37">
        <v>11.963685</v>
      </c>
      <c r="AX158" s="37">
        <v>11.963685</v>
      </c>
      <c r="AY158" s="37">
        <v>11.963685</v>
      </c>
      <c r="AZ158" s="37">
        <v>11.963685</v>
      </c>
      <c r="BA158" s="37">
        <v>11.963685</v>
      </c>
      <c r="BB158" s="37">
        <v>11.963685</v>
      </c>
      <c r="BC158" s="37">
        <v>11.963685</v>
      </c>
      <c r="BD158" s="37">
        <v>11.963685</v>
      </c>
      <c r="BE158" s="37">
        <v>11.963685</v>
      </c>
      <c r="BF158" s="37">
        <v>11.963685</v>
      </c>
      <c r="BG158" s="37">
        <v>11.963685</v>
      </c>
      <c r="BH158" s="37">
        <v>11.963685</v>
      </c>
      <c r="BI158" s="37">
        <v>11.963685</v>
      </c>
      <c r="BJ158" s="37">
        <v>11.963685</v>
      </c>
      <c r="BK158" s="37">
        <v>11.963685</v>
      </c>
      <c r="BL158" s="37">
        <v>11.963685</v>
      </c>
      <c r="BM158" s="37">
        <v>11.963685</v>
      </c>
      <c r="BN158" s="37">
        <v>11.963685</v>
      </c>
      <c r="BO158" s="37">
        <v>11.963685</v>
      </c>
      <c r="BP158" s="37">
        <v>11.963685</v>
      </c>
      <c r="BQ158" s="37">
        <v>11.963685</v>
      </c>
      <c r="BR158" s="37">
        <v>11.963685</v>
      </c>
      <c r="BS158" s="37">
        <v>11.963685</v>
      </c>
      <c r="BT158" s="37">
        <v>11.963685</v>
      </c>
      <c r="BU158" s="37">
        <v>11.963685</v>
      </c>
      <c r="BV158" s="37">
        <v>11.963685</v>
      </c>
      <c r="BW158" s="37">
        <v>11.963685</v>
      </c>
      <c r="BX158" s="37">
        <v>11.963685</v>
      </c>
      <c r="BY158" s="37">
        <v>11.963685</v>
      </c>
      <c r="BZ158" s="37">
        <v>11.963685</v>
      </c>
      <c r="CA158" s="37">
        <v>11.963685</v>
      </c>
      <c r="CB158" s="37">
        <v>11.963685</v>
      </c>
      <c r="CC158" s="37">
        <v>11.963685</v>
      </c>
      <c r="CD158" s="37">
        <v>11.963685</v>
      </c>
      <c r="CE158" s="37">
        <v>11.963685</v>
      </c>
      <c r="CF158" s="37">
        <v>11.963685</v>
      </c>
      <c r="CG158" s="37">
        <v>11.963685</v>
      </c>
      <c r="CH158" s="37">
        <v>11.963685</v>
      </c>
      <c r="CI158" s="37">
        <v>11.963685</v>
      </c>
      <c r="CJ158" s="37">
        <v>11.963685</v>
      </c>
      <c r="CK158" s="37">
        <v>11.963685</v>
      </c>
      <c r="CL158" s="37">
        <v>11.963685</v>
      </c>
      <c r="CM158" s="37">
        <v>11.963685</v>
      </c>
      <c r="CN158" s="37">
        <v>11.963685</v>
      </c>
      <c r="CO158" s="37">
        <v>11.963685</v>
      </c>
      <c r="CP158" s="37">
        <v>11.963685</v>
      </c>
      <c r="CQ158" s="37">
        <v>11.963685</v>
      </c>
      <c r="CR158" s="37">
        <v>11.963685</v>
      </c>
      <c r="CS158" s="37">
        <v>11.963685</v>
      </c>
      <c r="CT158" s="37">
        <v>11.963685</v>
      </c>
      <c r="CU158" s="37">
        <v>11.963685</v>
      </c>
      <c r="CV158" s="37">
        <v>11.963685</v>
      </c>
      <c r="CW158" s="37">
        <v>11.963685</v>
      </c>
      <c r="CX158" s="37">
        <v>11.963685</v>
      </c>
      <c r="CY158" s="37">
        <v>11.963685</v>
      </c>
      <c r="CZ158" s="37">
        <v>11.963685</v>
      </c>
      <c r="DA158" s="37">
        <v>11.963685</v>
      </c>
      <c r="DB158" s="37">
        <v>11.963685</v>
      </c>
      <c r="DC158" s="37">
        <v>11.963685</v>
      </c>
      <c r="DD158" s="37">
        <v>11.963685</v>
      </c>
      <c r="DE158" s="37">
        <v>11.963685</v>
      </c>
      <c r="DF158" s="37">
        <v>11.963685</v>
      </c>
      <c r="DG158" s="37">
        <v>11.963685</v>
      </c>
      <c r="DH158" s="37">
        <v>11.963685</v>
      </c>
      <c r="DI158" s="37">
        <v>11.963685</v>
      </c>
      <c r="DJ158" s="37">
        <v>11.963685</v>
      </c>
      <c r="DK158" s="37">
        <v>11.963685</v>
      </c>
      <c r="DL158" s="37">
        <v>11.963685</v>
      </c>
      <c r="DM158" s="37">
        <v>11.963685</v>
      </c>
      <c r="DN158" s="37">
        <v>11.963685</v>
      </c>
      <c r="DO158" s="37">
        <v>11.963685</v>
      </c>
      <c r="DP158" s="37">
        <v>11.963685</v>
      </c>
      <c r="DQ158" s="37">
        <v>11.963685</v>
      </c>
      <c r="DR158" s="37">
        <v>11.963685</v>
      </c>
      <c r="DS158" s="37">
        <v>11.963685</v>
      </c>
      <c r="DT158" s="37">
        <v>11.963685</v>
      </c>
      <c r="DU158" s="37">
        <v>11.963685</v>
      </c>
      <c r="DV158" s="37">
        <v>11.963685</v>
      </c>
      <c r="DW158" s="37">
        <v>11.963685</v>
      </c>
      <c r="DX158" s="37">
        <v>11.963685</v>
      </c>
      <c r="DY158" s="37">
        <v>11.963685</v>
      </c>
      <c r="DZ158" s="37">
        <v>11.963685</v>
      </c>
      <c r="EA158" s="37">
        <v>11.963685</v>
      </c>
      <c r="EB158" s="37">
        <v>11.963685</v>
      </c>
      <c r="EC158" s="37">
        <v>11.963685</v>
      </c>
      <c r="ED158" s="37">
        <v>11.963685</v>
      </c>
      <c r="EE158" s="37">
        <v>11.963685</v>
      </c>
      <c r="EF158" s="37">
        <v>11.963685</v>
      </c>
      <c r="EG158" s="37">
        <v>11.963685</v>
      </c>
      <c r="EH158" s="37">
        <v>11.963685</v>
      </c>
      <c r="EI158" s="37">
        <v>11.963685</v>
      </c>
      <c r="EJ158" s="37">
        <v>11.963685</v>
      </c>
      <c r="EK158" s="37">
        <v>11.963685</v>
      </c>
      <c r="EL158" s="37">
        <v>11.963685</v>
      </c>
      <c r="EM158" s="37">
        <v>11.963685</v>
      </c>
      <c r="EN158" s="37">
        <v>11.963685</v>
      </c>
      <c r="EO158" s="37">
        <v>11.963685</v>
      </c>
      <c r="EP158" s="37">
        <v>11.963685</v>
      </c>
      <c r="EQ158" s="37">
        <v>11.963685</v>
      </c>
      <c r="ER158" s="37">
        <v>11.963685</v>
      </c>
      <c r="ES158" s="37">
        <v>11.963685</v>
      </c>
      <c r="ET158" s="37">
        <v>11.963685</v>
      </c>
      <c r="EU158" s="37">
        <v>11.963685</v>
      </c>
      <c r="EV158" s="37">
        <v>11.963685</v>
      </c>
      <c r="EW158" s="37">
        <v>11.963685</v>
      </c>
      <c r="EX158" s="37">
        <v>11.963685</v>
      </c>
      <c r="EY158" s="37">
        <v>11.963685</v>
      </c>
      <c r="EZ158" s="37">
        <v>11.963685</v>
      </c>
      <c r="FA158" s="37">
        <v>11.963685</v>
      </c>
      <c r="FB158" s="37">
        <v>11.963685</v>
      </c>
      <c r="FC158" s="37">
        <v>11.963685</v>
      </c>
      <c r="FD158" s="37">
        <v>11.963685</v>
      </c>
      <c r="FE158" s="37">
        <v>11.963685</v>
      </c>
      <c r="FF158" s="37">
        <v>11.963685</v>
      </c>
      <c r="FG158" s="37">
        <v>11.963685</v>
      </c>
      <c r="FH158" s="37">
        <v>11.963685</v>
      </c>
      <c r="FI158" s="37">
        <v>11.963685</v>
      </c>
      <c r="FJ158" s="37">
        <v>11.963685</v>
      </c>
      <c r="FK158" s="37">
        <v>11.963685</v>
      </c>
      <c r="FL158" s="37">
        <v>11.963685</v>
      </c>
      <c r="FM158" s="37">
        <v>11.963685</v>
      </c>
      <c r="FN158" s="37">
        <v>11.963685</v>
      </c>
      <c r="FO158" s="37">
        <v>11.963685</v>
      </c>
      <c r="FP158" s="37">
        <v>11.963685</v>
      </c>
      <c r="FQ158" s="37">
        <v>11.963685</v>
      </c>
      <c r="FR158" s="37">
        <v>11.963685</v>
      </c>
      <c r="FS158" s="37">
        <v>11.963685</v>
      </c>
      <c r="FT158" s="37">
        <v>11.963685</v>
      </c>
      <c r="FU158" s="37">
        <v>11.963685</v>
      </c>
      <c r="FV158" s="37">
        <v>11.963685</v>
      </c>
      <c r="FW158" s="37">
        <v>11.963685</v>
      </c>
      <c r="FX158" s="37">
        <v>11.963685</v>
      </c>
      <c r="FY158" s="37">
        <v>11.963685</v>
      </c>
      <c r="FZ158" s="37">
        <v>11.963685</v>
      </c>
      <c r="GA158" s="37">
        <v>11.963685</v>
      </c>
      <c r="GB158" s="37">
        <v>11.963685</v>
      </c>
      <c r="GC158" s="37">
        <v>11.963685</v>
      </c>
      <c r="GD158" s="37">
        <v>11.963685</v>
      </c>
      <c r="GE158" s="37">
        <v>11.963685</v>
      </c>
      <c r="GF158" s="37">
        <v>11.963685</v>
      </c>
      <c r="GG158" s="37">
        <v>11.963685</v>
      </c>
      <c r="GH158" s="37">
        <v>11.963685</v>
      </c>
      <c r="GI158" s="37">
        <v>11.963685</v>
      </c>
      <c r="GJ158" s="37">
        <v>11.963685</v>
      </c>
      <c r="GK158" s="37">
        <v>11.963685</v>
      </c>
      <c r="GL158" s="37">
        <v>11.963685</v>
      </c>
      <c r="GM158" s="37">
        <v>11.963685</v>
      </c>
      <c r="GN158" s="37">
        <v>11.963685</v>
      </c>
      <c r="GO158" s="37">
        <v>11.963685</v>
      </c>
      <c r="GP158" s="37">
        <v>11.963685</v>
      </c>
      <c r="GQ158" s="37">
        <v>11.963685</v>
      </c>
      <c r="GR158" s="37">
        <v>11.963685</v>
      </c>
      <c r="GS158" s="37">
        <v>11.963685</v>
      </c>
      <c r="GT158" s="37">
        <v>11.963685</v>
      </c>
      <c r="GU158" s="37">
        <v>11.963685</v>
      </c>
      <c r="GV158" s="37">
        <v>11.963685</v>
      </c>
      <c r="GW158" s="37">
        <v>11.963685</v>
      </c>
      <c r="GX158" s="37">
        <v>11.963685</v>
      </c>
      <c r="GY158" s="37">
        <v>11.963685</v>
      </c>
      <c r="GZ158" s="37">
        <v>11.963685</v>
      </c>
      <c r="HA158" s="37">
        <v>11.963685</v>
      </c>
      <c r="HB158" s="37">
        <v>11.963685</v>
      </c>
      <c r="HC158" s="37">
        <v>11.963685</v>
      </c>
      <c r="HD158" s="37">
        <v>11.963685</v>
      </c>
      <c r="HE158" s="37">
        <v>11.963685</v>
      </c>
      <c r="HF158" s="37">
        <v>11.963685</v>
      </c>
      <c r="HG158" s="37">
        <v>11.963685</v>
      </c>
      <c r="HH158" s="37">
        <v>11.963685</v>
      </c>
      <c r="HI158" s="37">
        <v>11.963685</v>
      </c>
      <c r="HJ158" s="37">
        <v>11.963685</v>
      </c>
      <c r="HK158" s="37">
        <v>11.963685</v>
      </c>
      <c r="HL158" s="37">
        <v>11.963685</v>
      </c>
      <c r="HM158" s="37">
        <v>11.963685</v>
      </c>
      <c r="HN158" s="37">
        <v>11.963685</v>
      </c>
      <c r="HO158" s="37">
        <v>11.963685</v>
      </c>
      <c r="HP158" s="37">
        <v>11.963685</v>
      </c>
      <c r="HQ158" s="37">
        <v>11.963685</v>
      </c>
      <c r="HR158" s="37">
        <v>11.963685</v>
      </c>
      <c r="HS158" s="37">
        <v>11.963685</v>
      </c>
      <c r="HT158" s="37">
        <v>11.963685</v>
      </c>
      <c r="HU158" s="37">
        <v>11.963685</v>
      </c>
      <c r="HV158" s="37">
        <v>11.963685</v>
      </c>
      <c r="HW158" s="37">
        <v>11.963685</v>
      </c>
      <c r="HX158" s="37">
        <v>11.963685</v>
      </c>
      <c r="HY158" s="37">
        <v>11.963685</v>
      </c>
      <c r="HZ158" s="37">
        <v>11.963685</v>
      </c>
      <c r="IA158" s="37">
        <v>11.963685</v>
      </c>
      <c r="IB158" s="37">
        <v>11.963685</v>
      </c>
      <c r="IC158" s="37">
        <v>11.963685</v>
      </c>
      <c r="ID158" s="37">
        <v>11.963685</v>
      </c>
      <c r="IE158" s="37">
        <v>11.963685</v>
      </c>
      <c r="IF158" s="37">
        <v>11.963685</v>
      </c>
      <c r="IG158" s="37">
        <v>11.963685</v>
      </c>
      <c r="IH158" s="37">
        <v>11.963685</v>
      </c>
      <c r="II158" s="37">
        <v>11.963685</v>
      </c>
      <c r="IJ158" s="37">
        <v>11.963685</v>
      </c>
      <c r="IK158" s="37">
        <v>11.963685</v>
      </c>
      <c r="IL158" s="37">
        <v>11.963685</v>
      </c>
      <c r="IM158" s="37">
        <v>11.963685</v>
      </c>
      <c r="IN158" s="37">
        <v>11.963685</v>
      </c>
      <c r="IO158" s="37">
        <v>11.963685</v>
      </c>
      <c r="IP158" s="37">
        <v>11.963685</v>
      </c>
      <c r="IQ158" s="37">
        <v>11.963685</v>
      </c>
      <c r="IR158" s="37">
        <v>11.963685</v>
      </c>
      <c r="IS158" s="37">
        <v>11.963685</v>
      </c>
      <c r="IT158" s="37">
        <v>11.963685</v>
      </c>
      <c r="IU158" s="37">
        <v>11.963685</v>
      </c>
      <c r="IV158" s="37">
        <v>11.963685</v>
      </c>
      <c r="IW158" s="37">
        <v>11.963685</v>
      </c>
      <c r="IX158" s="37">
        <v>11.963685</v>
      </c>
      <c r="IY158" s="37">
        <v>11.963685</v>
      </c>
      <c r="IZ158" s="37">
        <v>11.963685</v>
      </c>
      <c r="JA158" s="37">
        <v>11.963685</v>
      </c>
      <c r="JB158" s="37">
        <v>11.963685</v>
      </c>
      <c r="JC158" s="37">
        <v>11.963685</v>
      </c>
      <c r="JD158" s="37">
        <v>11.963685</v>
      </c>
      <c r="JE158" s="37">
        <v>11.963685</v>
      </c>
      <c r="JF158" s="37">
        <v>11.963685</v>
      </c>
      <c r="JG158" s="37">
        <v>11.963685</v>
      </c>
      <c r="JH158" s="37">
        <v>11.963685</v>
      </c>
      <c r="JI158" s="37">
        <v>11.963685</v>
      </c>
      <c r="JJ158" s="37">
        <v>11.963685</v>
      </c>
      <c r="JK158" s="37">
        <v>11.963685</v>
      </c>
      <c r="JL158" s="37">
        <v>11.963685</v>
      </c>
      <c r="JM158" s="37">
        <v>11.963685</v>
      </c>
      <c r="JN158" s="37">
        <v>11.963685</v>
      </c>
      <c r="JO158" s="37">
        <v>11.963685</v>
      </c>
      <c r="JP158" s="37">
        <v>11.963685</v>
      </c>
      <c r="JQ158" s="37">
        <v>11.963685</v>
      </c>
      <c r="JR158" s="37">
        <v>11.963685</v>
      </c>
      <c r="JS158" s="37">
        <v>11.963685</v>
      </c>
      <c r="JT158" s="37">
        <v>11.963685</v>
      </c>
      <c r="JU158" s="37">
        <v>11.963685</v>
      </c>
      <c r="JV158" s="37">
        <v>11.963685</v>
      </c>
      <c r="JW158" s="37">
        <v>11.963685</v>
      </c>
      <c r="JX158" s="37">
        <v>11.963685</v>
      </c>
      <c r="JY158" s="37">
        <v>11.963685</v>
      </c>
      <c r="JZ158" s="37">
        <v>11.963685</v>
      </c>
      <c r="KA158" s="37">
        <v>11.963685</v>
      </c>
      <c r="KB158" s="37">
        <v>11.963685</v>
      </c>
      <c r="KC158" s="37">
        <v>11.963685</v>
      </c>
      <c r="KD158" s="37">
        <v>11.963685</v>
      </c>
      <c r="KE158" s="37">
        <v>11.963685</v>
      </c>
      <c r="KF158" s="37">
        <v>11.963685</v>
      </c>
      <c r="KG158" s="37">
        <v>11.963685</v>
      </c>
      <c r="KH158" s="37">
        <v>11.963685</v>
      </c>
      <c r="KI158" s="37">
        <v>11.963685</v>
      </c>
      <c r="KJ158" s="37">
        <v>11.963685</v>
      </c>
      <c r="KK158" s="37">
        <v>11.963685</v>
      </c>
      <c r="KL158" s="37">
        <v>11.963685</v>
      </c>
      <c r="KM158" s="37">
        <v>11.963685</v>
      </c>
      <c r="KN158" s="37">
        <v>11.963685</v>
      </c>
      <c r="KO158" s="37">
        <v>11.963685</v>
      </c>
      <c r="KP158" s="37">
        <v>11.963685</v>
      </c>
      <c r="KQ158" s="37">
        <v>11.963685</v>
      </c>
      <c r="KR158" s="37">
        <v>11.963685</v>
      </c>
      <c r="KS158" s="37">
        <v>11.963685</v>
      </c>
      <c r="KT158" s="37">
        <v>11.963685</v>
      </c>
      <c r="KU158" s="37">
        <v>11.963685</v>
      </c>
      <c r="KV158" s="37">
        <v>11.963685</v>
      </c>
      <c r="KW158" s="37">
        <v>11.963685</v>
      </c>
      <c r="KX158" s="37">
        <v>11.963685</v>
      </c>
      <c r="KY158" s="37">
        <v>11.963685</v>
      </c>
      <c r="KZ158" s="37">
        <v>11.963685</v>
      </c>
      <c r="LA158" s="37">
        <v>11.963685</v>
      </c>
      <c r="LB158" s="37">
        <v>11.963685</v>
      </c>
      <c r="LC158" s="37">
        <v>11.963685</v>
      </c>
      <c r="LD158" s="37">
        <v>11.963685</v>
      </c>
      <c r="LE158" s="37">
        <v>11.963685</v>
      </c>
      <c r="LF158" s="37">
        <v>11.963685</v>
      </c>
      <c r="LG158" s="37">
        <v>11.963685</v>
      </c>
      <c r="LH158" s="37">
        <v>11.963685</v>
      </c>
      <c r="LI158" s="37">
        <v>11.963685</v>
      </c>
      <c r="LJ158" s="37">
        <v>11.963685</v>
      </c>
      <c r="LK158" s="37">
        <v>11.963685</v>
      </c>
      <c r="LL158" s="37">
        <v>11.963685</v>
      </c>
      <c r="LM158" s="37">
        <v>11.963685</v>
      </c>
      <c r="LN158" s="37">
        <v>11.963685</v>
      </c>
      <c r="LO158" s="37">
        <v>11.963685</v>
      </c>
      <c r="LP158" s="37">
        <v>11.963685</v>
      </c>
      <c r="LQ158" s="37">
        <v>11.963685</v>
      </c>
      <c r="LR158" s="37">
        <v>11.963685</v>
      </c>
      <c r="LS158" s="37">
        <v>11.963685</v>
      </c>
      <c r="LT158" s="37">
        <v>11.963685</v>
      </c>
      <c r="LU158" s="37">
        <v>11.963685</v>
      </c>
      <c r="LV158" s="37">
        <v>11.963685</v>
      </c>
      <c r="LW158" s="37">
        <v>11.963685</v>
      </c>
      <c r="LX158" s="37">
        <v>11.963685</v>
      </c>
      <c r="LY158" s="37">
        <v>11.963685</v>
      </c>
      <c r="LZ158" s="37">
        <v>11.963685</v>
      </c>
      <c r="MA158" s="37">
        <v>11.963685</v>
      </c>
      <c r="MB158" s="37">
        <v>11.963685</v>
      </c>
      <c r="MC158" s="37">
        <v>11.963685</v>
      </c>
      <c r="MD158" s="37">
        <v>11.963685</v>
      </c>
      <c r="ME158" s="37">
        <v>11.963685</v>
      </c>
      <c r="MF158" s="37">
        <v>11.963685</v>
      </c>
      <c r="MG158" s="37">
        <v>11.963685</v>
      </c>
      <c r="MH158" s="37">
        <v>11.963685</v>
      </c>
      <c r="MI158" s="37">
        <v>11.963685</v>
      </c>
      <c r="MJ158" s="37">
        <v>11.963685</v>
      </c>
      <c r="MK158" s="37">
        <v>11.963685</v>
      </c>
      <c r="ML158" s="37">
        <v>11.963685</v>
      </c>
      <c r="MM158" s="37">
        <v>11.963685</v>
      </c>
      <c r="MN158" s="37">
        <v>11.963685</v>
      </c>
      <c r="MO158" s="37">
        <v>11.963685</v>
      </c>
      <c r="MP158" s="37">
        <v>11.963685</v>
      </c>
      <c r="MQ158" s="37">
        <v>11.963685</v>
      </c>
      <c r="MR158" s="37">
        <v>11.963685</v>
      </c>
      <c r="MS158" s="37">
        <v>11.963685</v>
      </c>
      <c r="MT158" s="37">
        <v>11.963685</v>
      </c>
      <c r="MU158" s="37">
        <v>11.963685</v>
      </c>
      <c r="MV158" s="37">
        <v>11.963685</v>
      </c>
      <c r="MW158" s="37">
        <v>11.963685</v>
      </c>
      <c r="MX158" s="37">
        <v>11.963685</v>
      </c>
      <c r="MY158" s="37">
        <v>11.963685</v>
      </c>
      <c r="MZ158" s="37">
        <v>11.963685</v>
      </c>
      <c r="NA158" s="37">
        <v>11.963685</v>
      </c>
      <c r="NB158" s="37">
        <v>11.963685</v>
      </c>
      <c r="NC158" s="37">
        <v>11.963685</v>
      </c>
      <c r="ND158" s="37">
        <v>12.940681</v>
      </c>
    </row>
    <row r="159" spans="1:372" x14ac:dyDescent="0.2">
      <c r="A159" s="37">
        <v>157</v>
      </c>
      <c r="B159" s="37" t="s">
        <v>1244</v>
      </c>
      <c r="C159" s="17">
        <f>+'Detalle Compras'!D159</f>
        <v>20240129019</v>
      </c>
      <c r="D159" s="55">
        <f t="shared" si="19"/>
        <v>10.163970000000001</v>
      </c>
      <c r="E159" s="14">
        <f>+IF(B159="","",'Detalle Compras'!S159+0)</f>
        <v>45514</v>
      </c>
      <c r="F159" s="14">
        <f>+IF(B159="","",EOMONTH('Detalle Compras'!Q159,G159)+10)</f>
        <v>10846</v>
      </c>
      <c r="G159" s="50">
        <f t="shared" si="20"/>
        <v>355</v>
      </c>
      <c r="H159" s="50">
        <f t="shared" si="21"/>
        <v>337</v>
      </c>
      <c r="I159" s="37">
        <v>0</v>
      </c>
      <c r="J159" s="37">
        <v>0</v>
      </c>
      <c r="K159" s="37">
        <v>0</v>
      </c>
      <c r="L159" s="37">
        <v>0</v>
      </c>
      <c r="M159" s="37">
        <v>0</v>
      </c>
      <c r="N159" s="37">
        <v>10.163970000000001</v>
      </c>
      <c r="O159" s="37">
        <v>10.163970000000001</v>
      </c>
      <c r="P159" s="37">
        <v>10.163970000000001</v>
      </c>
      <c r="Q159" s="37">
        <v>10.163970000000001</v>
      </c>
      <c r="R159" s="37">
        <v>10.163970000000001</v>
      </c>
      <c r="S159" s="37">
        <v>10.163970000000001</v>
      </c>
      <c r="T159" s="37">
        <v>10.163970000000001</v>
      </c>
      <c r="U159" s="37">
        <v>10.163970000000001</v>
      </c>
      <c r="V159" s="37">
        <v>10.163970000000001</v>
      </c>
      <c r="W159" s="37">
        <v>10.163970000000001</v>
      </c>
      <c r="X159" s="37">
        <v>10.163970000000001</v>
      </c>
      <c r="Y159" s="37">
        <v>10.163970000000001</v>
      </c>
      <c r="Z159" s="37">
        <v>10.163970000000001</v>
      </c>
      <c r="AA159" s="37">
        <v>10.163970000000001</v>
      </c>
      <c r="AB159" s="37">
        <v>10.163970000000001</v>
      </c>
      <c r="AC159" s="37">
        <v>10.163970000000001</v>
      </c>
      <c r="AD159" s="37">
        <v>10.163970000000001</v>
      </c>
      <c r="AE159" s="37">
        <v>10.163970000000001</v>
      </c>
      <c r="AF159" s="37">
        <v>10.163970000000001</v>
      </c>
      <c r="AG159" s="37">
        <v>10.163970000000001</v>
      </c>
      <c r="AH159" s="37">
        <v>10.163970000000001</v>
      </c>
      <c r="AI159" s="37">
        <v>10.163970000000001</v>
      </c>
      <c r="AJ159" s="37">
        <v>10.163970000000001</v>
      </c>
      <c r="AK159" s="37">
        <v>10.163970000000001</v>
      </c>
      <c r="AL159" s="37">
        <v>10.163970000000001</v>
      </c>
      <c r="AM159" s="37">
        <v>10.163970000000001</v>
      </c>
      <c r="AN159" s="37">
        <v>10.163970000000001</v>
      </c>
      <c r="AO159" s="37">
        <v>10.163970000000001</v>
      </c>
      <c r="AP159" s="37">
        <v>10.163970000000001</v>
      </c>
      <c r="AQ159" s="37">
        <v>10.163970000000001</v>
      </c>
      <c r="AR159" s="37">
        <v>10.163970000000001</v>
      </c>
      <c r="AS159" s="37">
        <v>10.163970000000001</v>
      </c>
      <c r="AT159" s="37">
        <v>10.163970000000001</v>
      </c>
      <c r="AU159" s="37">
        <v>10.163970000000001</v>
      </c>
      <c r="AV159" s="37">
        <v>10.163970000000001</v>
      </c>
      <c r="AW159" s="37">
        <v>10.163970000000001</v>
      </c>
      <c r="AX159" s="37">
        <v>10.163970000000001</v>
      </c>
      <c r="AY159" s="37">
        <v>10.163970000000001</v>
      </c>
      <c r="AZ159" s="37">
        <v>10.163970000000001</v>
      </c>
      <c r="BA159" s="37">
        <v>10.163970000000001</v>
      </c>
      <c r="BB159" s="37">
        <v>10.163970000000001</v>
      </c>
      <c r="BC159" s="37">
        <v>10.163970000000001</v>
      </c>
      <c r="BD159" s="37">
        <v>10.163970000000001</v>
      </c>
      <c r="BE159" s="37">
        <v>10.163970000000001</v>
      </c>
      <c r="BF159" s="37">
        <v>10.163970000000001</v>
      </c>
      <c r="BG159" s="37">
        <v>10.163970000000001</v>
      </c>
      <c r="BH159" s="37">
        <v>10.163970000000001</v>
      </c>
      <c r="BI159" s="37">
        <v>10.163970000000001</v>
      </c>
      <c r="BJ159" s="37">
        <v>10.163970000000001</v>
      </c>
      <c r="BK159" s="37">
        <v>10.163970000000001</v>
      </c>
      <c r="BL159" s="37">
        <v>10.163970000000001</v>
      </c>
      <c r="BM159" s="37">
        <v>10.163970000000001</v>
      </c>
      <c r="BN159" s="37">
        <v>10.163970000000001</v>
      </c>
      <c r="BO159" s="37">
        <v>10.163970000000001</v>
      </c>
      <c r="BP159" s="37">
        <v>10.163970000000001</v>
      </c>
      <c r="BQ159" s="37">
        <v>10.163970000000001</v>
      </c>
      <c r="BR159" s="37">
        <v>10.163970000000001</v>
      </c>
      <c r="BS159" s="37">
        <v>10.163970000000001</v>
      </c>
      <c r="BT159" s="37">
        <v>10.163970000000001</v>
      </c>
      <c r="BU159" s="37">
        <v>10.163970000000001</v>
      </c>
      <c r="BV159" s="37">
        <v>10.163970000000001</v>
      </c>
      <c r="BW159" s="37">
        <v>10.163970000000001</v>
      </c>
      <c r="BX159" s="37">
        <v>10.163970000000001</v>
      </c>
      <c r="BY159" s="37">
        <v>10.163970000000001</v>
      </c>
      <c r="BZ159" s="37">
        <v>10.163970000000001</v>
      </c>
      <c r="CA159" s="37">
        <v>10.163970000000001</v>
      </c>
      <c r="CB159" s="37">
        <v>10.163970000000001</v>
      </c>
      <c r="CC159" s="37">
        <v>10.163970000000001</v>
      </c>
      <c r="CD159" s="37">
        <v>10.163970000000001</v>
      </c>
      <c r="CE159" s="37">
        <v>10.163970000000001</v>
      </c>
      <c r="CF159" s="37">
        <v>10.163970000000001</v>
      </c>
      <c r="CG159" s="37">
        <v>10.163970000000001</v>
      </c>
      <c r="CH159" s="37">
        <v>10.163970000000001</v>
      </c>
      <c r="CI159" s="37">
        <v>10.163970000000001</v>
      </c>
      <c r="CJ159" s="37">
        <v>10.163970000000001</v>
      </c>
      <c r="CK159" s="37">
        <v>10.163970000000001</v>
      </c>
      <c r="CL159" s="37">
        <v>10.163970000000001</v>
      </c>
      <c r="CM159" s="37">
        <v>10.163970000000001</v>
      </c>
      <c r="CN159" s="37">
        <v>10.163970000000001</v>
      </c>
      <c r="CO159" s="37">
        <v>10.163970000000001</v>
      </c>
      <c r="CP159" s="37">
        <v>10.163970000000001</v>
      </c>
      <c r="CQ159" s="37">
        <v>10.163970000000001</v>
      </c>
      <c r="CR159" s="37">
        <v>10.163970000000001</v>
      </c>
      <c r="CS159" s="37">
        <v>10.163970000000001</v>
      </c>
      <c r="CT159" s="37">
        <v>10.163970000000001</v>
      </c>
      <c r="CU159" s="37">
        <v>10.163970000000001</v>
      </c>
      <c r="CV159" s="37">
        <v>10.163970000000001</v>
      </c>
      <c r="CW159" s="37">
        <v>10.163970000000001</v>
      </c>
      <c r="CX159" s="37">
        <v>10.163970000000001</v>
      </c>
      <c r="CY159" s="37">
        <v>10.163970000000001</v>
      </c>
      <c r="CZ159" s="37">
        <v>10.163970000000001</v>
      </c>
      <c r="DA159" s="37">
        <v>10.163970000000001</v>
      </c>
      <c r="DB159" s="37">
        <v>10.163970000000001</v>
      </c>
      <c r="DC159" s="37">
        <v>10.163970000000001</v>
      </c>
      <c r="DD159" s="37">
        <v>10.163970000000001</v>
      </c>
      <c r="DE159" s="37">
        <v>10.163970000000001</v>
      </c>
      <c r="DF159" s="37">
        <v>10.163970000000001</v>
      </c>
      <c r="DG159" s="37">
        <v>10.163970000000001</v>
      </c>
      <c r="DH159" s="37">
        <v>10.163970000000001</v>
      </c>
      <c r="DI159" s="37">
        <v>10.163970000000001</v>
      </c>
      <c r="DJ159" s="37">
        <v>10.163970000000001</v>
      </c>
      <c r="DK159" s="37">
        <v>10.163970000000001</v>
      </c>
      <c r="DL159" s="37">
        <v>10.163970000000001</v>
      </c>
      <c r="DM159" s="37">
        <v>10.163970000000001</v>
      </c>
      <c r="DN159" s="37">
        <v>10.163970000000001</v>
      </c>
      <c r="DO159" s="37">
        <v>10.163970000000001</v>
      </c>
      <c r="DP159" s="37">
        <v>10.163970000000001</v>
      </c>
      <c r="DQ159" s="37">
        <v>10.163970000000001</v>
      </c>
      <c r="DR159" s="37">
        <v>10.163970000000001</v>
      </c>
      <c r="DS159" s="37">
        <v>10.163970000000001</v>
      </c>
      <c r="DT159" s="37">
        <v>10.163970000000001</v>
      </c>
      <c r="DU159" s="37">
        <v>10.163970000000001</v>
      </c>
      <c r="DV159" s="37">
        <v>10.163970000000001</v>
      </c>
      <c r="DW159" s="37">
        <v>10.163970000000001</v>
      </c>
      <c r="DX159" s="37">
        <v>10.163970000000001</v>
      </c>
      <c r="DY159" s="37">
        <v>10.163970000000001</v>
      </c>
      <c r="DZ159" s="37">
        <v>10.163970000000001</v>
      </c>
      <c r="EA159" s="37">
        <v>10.163970000000001</v>
      </c>
      <c r="EB159" s="37">
        <v>10.163970000000001</v>
      </c>
      <c r="EC159" s="37">
        <v>10.163970000000001</v>
      </c>
      <c r="ED159" s="37">
        <v>10.163970000000001</v>
      </c>
      <c r="EE159" s="37">
        <v>10.163970000000001</v>
      </c>
      <c r="EF159" s="37">
        <v>10.163970000000001</v>
      </c>
      <c r="EG159" s="37">
        <v>10.163970000000001</v>
      </c>
      <c r="EH159" s="37">
        <v>10.163970000000001</v>
      </c>
      <c r="EI159" s="37">
        <v>10.163970000000001</v>
      </c>
      <c r="EJ159" s="37">
        <v>10.163970000000001</v>
      </c>
      <c r="EK159" s="37">
        <v>10.163970000000001</v>
      </c>
      <c r="EL159" s="37">
        <v>10.163970000000001</v>
      </c>
      <c r="EM159" s="37">
        <v>10.163970000000001</v>
      </c>
      <c r="EN159" s="37">
        <v>10.163970000000001</v>
      </c>
      <c r="EO159" s="37">
        <v>10.163970000000001</v>
      </c>
      <c r="EP159" s="37">
        <v>10.163970000000001</v>
      </c>
      <c r="EQ159" s="37">
        <v>10.163970000000001</v>
      </c>
      <c r="ER159" s="37">
        <v>10.163970000000001</v>
      </c>
      <c r="ES159" s="37">
        <v>10.163970000000001</v>
      </c>
      <c r="ET159" s="37">
        <v>10.163970000000001</v>
      </c>
      <c r="EU159" s="37">
        <v>10.163970000000001</v>
      </c>
      <c r="EV159" s="37">
        <v>10.163970000000001</v>
      </c>
      <c r="EW159" s="37">
        <v>10.163970000000001</v>
      </c>
      <c r="EX159" s="37">
        <v>10.163970000000001</v>
      </c>
      <c r="EY159" s="37">
        <v>10.163970000000001</v>
      </c>
      <c r="EZ159" s="37">
        <v>10.163970000000001</v>
      </c>
      <c r="FA159" s="37">
        <v>10.163970000000001</v>
      </c>
      <c r="FB159" s="37">
        <v>10.163970000000001</v>
      </c>
      <c r="FC159" s="37">
        <v>10.163970000000001</v>
      </c>
      <c r="FD159" s="37">
        <v>10.163970000000001</v>
      </c>
      <c r="FE159" s="37">
        <v>10.163970000000001</v>
      </c>
      <c r="FF159" s="37">
        <v>10.163970000000001</v>
      </c>
      <c r="FG159" s="37">
        <v>10.163970000000001</v>
      </c>
      <c r="FH159" s="37">
        <v>10.163970000000001</v>
      </c>
      <c r="FI159" s="37">
        <v>10.163970000000001</v>
      </c>
      <c r="FJ159" s="37">
        <v>10.163970000000001</v>
      </c>
      <c r="FK159" s="37">
        <v>10.163970000000001</v>
      </c>
      <c r="FL159" s="37">
        <v>10.163970000000001</v>
      </c>
      <c r="FM159" s="37">
        <v>10.163970000000001</v>
      </c>
      <c r="FN159" s="37">
        <v>10.163970000000001</v>
      </c>
      <c r="FO159" s="37">
        <v>10.163970000000001</v>
      </c>
      <c r="FP159" s="37">
        <v>10.163970000000001</v>
      </c>
      <c r="FQ159" s="37">
        <v>10.163970000000001</v>
      </c>
      <c r="FR159" s="37">
        <v>10.163970000000001</v>
      </c>
      <c r="FS159" s="37">
        <v>10.163970000000001</v>
      </c>
      <c r="FT159" s="37">
        <v>10.163970000000001</v>
      </c>
      <c r="FU159" s="37">
        <v>10.163970000000001</v>
      </c>
      <c r="FV159" s="37">
        <v>10.163970000000001</v>
      </c>
      <c r="FW159" s="37">
        <v>10.163970000000001</v>
      </c>
      <c r="FX159" s="37">
        <v>10.163970000000001</v>
      </c>
      <c r="FY159" s="37">
        <v>10.163970000000001</v>
      </c>
      <c r="FZ159" s="37">
        <v>10.163970000000001</v>
      </c>
      <c r="GA159" s="37">
        <v>10.163970000000001</v>
      </c>
      <c r="GB159" s="37">
        <v>10.163970000000001</v>
      </c>
      <c r="GC159" s="37">
        <v>10.163970000000001</v>
      </c>
      <c r="GD159" s="37">
        <v>10.163970000000001</v>
      </c>
      <c r="GE159" s="37">
        <v>10.163970000000001</v>
      </c>
      <c r="GF159" s="37">
        <v>10.163970000000001</v>
      </c>
      <c r="GG159" s="37">
        <v>10.163970000000001</v>
      </c>
      <c r="GH159" s="37">
        <v>10.163970000000001</v>
      </c>
      <c r="GI159" s="37">
        <v>10.163970000000001</v>
      </c>
      <c r="GJ159" s="37">
        <v>10.163970000000001</v>
      </c>
      <c r="GK159" s="37">
        <v>10.163970000000001</v>
      </c>
      <c r="GL159" s="37">
        <v>10.163970000000001</v>
      </c>
      <c r="GM159" s="37">
        <v>10.163970000000001</v>
      </c>
      <c r="GN159" s="37">
        <v>10.163970000000001</v>
      </c>
      <c r="GO159" s="37">
        <v>10.163970000000001</v>
      </c>
      <c r="GP159" s="37">
        <v>10.163970000000001</v>
      </c>
      <c r="GQ159" s="37">
        <v>10.163970000000001</v>
      </c>
      <c r="GR159" s="37">
        <v>10.163970000000001</v>
      </c>
      <c r="GS159" s="37">
        <v>10.163970000000001</v>
      </c>
      <c r="GT159" s="37">
        <v>10.163970000000001</v>
      </c>
      <c r="GU159" s="37">
        <v>10.163970000000001</v>
      </c>
      <c r="GV159" s="37">
        <v>10.163970000000001</v>
      </c>
      <c r="GW159" s="37">
        <v>10.163970000000001</v>
      </c>
      <c r="GX159" s="37">
        <v>10.163970000000001</v>
      </c>
      <c r="GY159" s="37">
        <v>10.163970000000001</v>
      </c>
      <c r="GZ159" s="37">
        <v>10.163970000000001</v>
      </c>
      <c r="HA159" s="37">
        <v>10.163970000000001</v>
      </c>
      <c r="HB159" s="37">
        <v>10.163970000000001</v>
      </c>
      <c r="HC159" s="37">
        <v>10.163970000000001</v>
      </c>
      <c r="HD159" s="37">
        <v>10.163970000000001</v>
      </c>
      <c r="HE159" s="37">
        <v>10.163970000000001</v>
      </c>
      <c r="HF159" s="37">
        <v>10.163970000000001</v>
      </c>
      <c r="HG159" s="37">
        <v>10.163970000000001</v>
      </c>
      <c r="HH159" s="37">
        <v>10.163970000000001</v>
      </c>
      <c r="HI159" s="37">
        <v>10.163970000000001</v>
      </c>
      <c r="HJ159" s="37">
        <v>10.163970000000001</v>
      </c>
      <c r="HK159" s="37">
        <v>10.163970000000001</v>
      </c>
      <c r="HL159" s="37">
        <v>10.163970000000001</v>
      </c>
      <c r="HM159" s="37">
        <v>10.163970000000001</v>
      </c>
      <c r="HN159" s="37">
        <v>10.163970000000001</v>
      </c>
      <c r="HO159" s="37">
        <v>10.163970000000001</v>
      </c>
      <c r="HP159" s="37">
        <v>10.163970000000001</v>
      </c>
      <c r="HQ159" s="37">
        <v>10.163970000000001</v>
      </c>
      <c r="HR159" s="37">
        <v>10.163970000000001</v>
      </c>
      <c r="HS159" s="37">
        <v>10.163970000000001</v>
      </c>
      <c r="HT159" s="37">
        <v>10.163970000000001</v>
      </c>
      <c r="HU159" s="37">
        <v>10.163970000000001</v>
      </c>
      <c r="HV159" s="37">
        <v>10.163970000000001</v>
      </c>
      <c r="HW159" s="37">
        <v>10.163970000000001</v>
      </c>
      <c r="HX159" s="37">
        <v>10.163970000000001</v>
      </c>
      <c r="HY159" s="37">
        <v>10.163970000000001</v>
      </c>
      <c r="HZ159" s="37">
        <v>10.163970000000001</v>
      </c>
      <c r="IA159" s="37">
        <v>10.163970000000001</v>
      </c>
      <c r="IB159" s="37">
        <v>10.163970000000001</v>
      </c>
      <c r="IC159" s="37">
        <v>10.163970000000001</v>
      </c>
      <c r="ID159" s="37">
        <v>10.163970000000001</v>
      </c>
      <c r="IE159" s="37">
        <v>10.163970000000001</v>
      </c>
      <c r="IF159" s="37">
        <v>10.163970000000001</v>
      </c>
      <c r="IG159" s="37">
        <v>10.163970000000001</v>
      </c>
      <c r="IH159" s="37">
        <v>10.163970000000001</v>
      </c>
      <c r="II159" s="37">
        <v>10.163970000000001</v>
      </c>
      <c r="IJ159" s="37">
        <v>10.163970000000001</v>
      </c>
      <c r="IK159" s="37">
        <v>10.163970000000001</v>
      </c>
      <c r="IL159" s="37">
        <v>10.163970000000001</v>
      </c>
      <c r="IM159" s="37">
        <v>10.163970000000001</v>
      </c>
      <c r="IN159" s="37">
        <v>10.163970000000001</v>
      </c>
      <c r="IO159" s="37">
        <v>10.163970000000001</v>
      </c>
      <c r="IP159" s="37">
        <v>10.163970000000001</v>
      </c>
      <c r="IQ159" s="37">
        <v>10.163970000000001</v>
      </c>
      <c r="IR159" s="37">
        <v>10.163970000000001</v>
      </c>
      <c r="IS159" s="37">
        <v>10.163970000000001</v>
      </c>
      <c r="IT159" s="37">
        <v>10.163970000000001</v>
      </c>
      <c r="IU159" s="37">
        <v>10.163970000000001</v>
      </c>
      <c r="IV159" s="37">
        <v>10.163970000000001</v>
      </c>
      <c r="IW159" s="37">
        <v>10.163970000000001</v>
      </c>
      <c r="IX159" s="37">
        <v>10.163970000000001</v>
      </c>
      <c r="IY159" s="37">
        <v>10.163970000000001</v>
      </c>
      <c r="IZ159" s="37">
        <v>10.163970000000001</v>
      </c>
      <c r="JA159" s="37">
        <v>10.163970000000001</v>
      </c>
      <c r="JB159" s="37">
        <v>10.163970000000001</v>
      </c>
      <c r="JC159" s="37">
        <v>10.163970000000001</v>
      </c>
      <c r="JD159" s="37">
        <v>10.163970000000001</v>
      </c>
      <c r="JE159" s="37">
        <v>10.163970000000001</v>
      </c>
      <c r="JF159" s="37">
        <v>10.163970000000001</v>
      </c>
      <c r="JG159" s="37">
        <v>10.163970000000001</v>
      </c>
      <c r="JH159" s="37">
        <v>10.163970000000001</v>
      </c>
      <c r="JI159" s="37">
        <v>10.163970000000001</v>
      </c>
      <c r="JJ159" s="37">
        <v>10.163970000000001</v>
      </c>
      <c r="JK159" s="37">
        <v>10.163970000000001</v>
      </c>
      <c r="JL159" s="37">
        <v>10.163970000000001</v>
      </c>
      <c r="JM159" s="37">
        <v>10.163970000000001</v>
      </c>
      <c r="JN159" s="37">
        <v>10.163970000000001</v>
      </c>
      <c r="JO159" s="37">
        <v>10.163970000000001</v>
      </c>
      <c r="JP159" s="37">
        <v>10.163970000000001</v>
      </c>
      <c r="JQ159" s="37">
        <v>10.163970000000001</v>
      </c>
      <c r="JR159" s="37">
        <v>10.163970000000001</v>
      </c>
      <c r="JS159" s="37">
        <v>10.163970000000001</v>
      </c>
      <c r="JT159" s="37">
        <v>10.163970000000001</v>
      </c>
      <c r="JU159" s="37">
        <v>10.163970000000001</v>
      </c>
      <c r="JV159" s="37">
        <v>10.163970000000001</v>
      </c>
      <c r="JW159" s="37">
        <v>10.163970000000001</v>
      </c>
      <c r="JX159" s="37">
        <v>10.163970000000001</v>
      </c>
      <c r="JY159" s="37">
        <v>10.163970000000001</v>
      </c>
      <c r="JZ159" s="37">
        <v>10.163970000000001</v>
      </c>
      <c r="KA159" s="37">
        <v>10.163970000000001</v>
      </c>
      <c r="KB159" s="37">
        <v>10.163970000000001</v>
      </c>
      <c r="KC159" s="37">
        <v>10.163970000000001</v>
      </c>
      <c r="KD159" s="37">
        <v>10.163970000000001</v>
      </c>
      <c r="KE159" s="37">
        <v>10.163970000000001</v>
      </c>
      <c r="KF159" s="37">
        <v>10.163970000000001</v>
      </c>
      <c r="KG159" s="37">
        <v>10.163970000000001</v>
      </c>
      <c r="KH159" s="37">
        <v>10.163970000000001</v>
      </c>
      <c r="KI159" s="37">
        <v>10.163970000000001</v>
      </c>
      <c r="KJ159" s="37">
        <v>10.163970000000001</v>
      </c>
      <c r="KK159" s="37">
        <v>10.163970000000001</v>
      </c>
      <c r="KL159" s="37">
        <v>10.163970000000001</v>
      </c>
      <c r="KM159" s="37">
        <v>10.163970000000001</v>
      </c>
      <c r="KN159" s="37">
        <v>10.163970000000001</v>
      </c>
      <c r="KO159" s="37">
        <v>10.163970000000001</v>
      </c>
      <c r="KP159" s="37">
        <v>10.163970000000001</v>
      </c>
      <c r="KQ159" s="37">
        <v>10.163970000000001</v>
      </c>
      <c r="KR159" s="37">
        <v>10.163970000000001</v>
      </c>
      <c r="KS159" s="37">
        <v>10.163970000000001</v>
      </c>
      <c r="KT159" s="37">
        <v>10.163970000000001</v>
      </c>
      <c r="KU159" s="37">
        <v>10.163970000000001</v>
      </c>
      <c r="KV159" s="37">
        <v>10.163970000000001</v>
      </c>
      <c r="KW159" s="37">
        <v>10.163970000000001</v>
      </c>
      <c r="KX159" s="37">
        <v>10.163970000000001</v>
      </c>
      <c r="KY159" s="37">
        <v>10.163970000000001</v>
      </c>
      <c r="KZ159" s="37">
        <v>10.163970000000001</v>
      </c>
      <c r="LA159" s="37">
        <v>10.163970000000001</v>
      </c>
      <c r="LB159" s="37">
        <v>10.163970000000001</v>
      </c>
      <c r="LC159" s="37">
        <v>10.163970000000001</v>
      </c>
      <c r="LD159" s="37">
        <v>10.163970000000001</v>
      </c>
      <c r="LE159" s="37">
        <v>10.163970000000001</v>
      </c>
      <c r="LF159" s="37">
        <v>10.163970000000001</v>
      </c>
      <c r="LG159" s="37">
        <v>10.163970000000001</v>
      </c>
      <c r="LH159" s="37">
        <v>10.163970000000001</v>
      </c>
      <c r="LI159" s="37">
        <v>10.163970000000001</v>
      </c>
      <c r="LJ159" s="37">
        <v>10.163970000000001</v>
      </c>
      <c r="LK159" s="37">
        <v>10.163970000000001</v>
      </c>
      <c r="LL159" s="37">
        <v>10.163970000000001</v>
      </c>
      <c r="LM159" s="37">
        <v>10.163970000000001</v>
      </c>
      <c r="LN159" s="37">
        <v>10.163970000000001</v>
      </c>
      <c r="LO159" s="37">
        <v>10.163970000000001</v>
      </c>
      <c r="LP159" s="37">
        <v>10.163970000000001</v>
      </c>
      <c r="LQ159" s="37">
        <v>10.163970000000001</v>
      </c>
      <c r="LR159" s="37">
        <v>10.163970000000001</v>
      </c>
      <c r="LS159" s="37">
        <v>10.163970000000001</v>
      </c>
      <c r="LT159" s="37">
        <v>10.163970000000001</v>
      </c>
      <c r="LU159" s="37">
        <v>10.163970000000001</v>
      </c>
      <c r="LV159" s="37">
        <v>10.163970000000001</v>
      </c>
      <c r="LW159" s="37">
        <v>10.163970000000001</v>
      </c>
      <c r="LX159" s="37">
        <v>10.163970000000001</v>
      </c>
      <c r="LY159" s="37">
        <v>10.163970000000001</v>
      </c>
      <c r="LZ159" s="37">
        <v>10.163970000000001</v>
      </c>
      <c r="MA159" s="37">
        <v>10.163970000000001</v>
      </c>
      <c r="MB159" s="37">
        <v>10.163970000000001</v>
      </c>
      <c r="MC159" s="37">
        <v>10.163970000000001</v>
      </c>
      <c r="MD159" s="37">
        <v>10.163970000000001</v>
      </c>
      <c r="ME159" s="37">
        <v>10.163970000000001</v>
      </c>
      <c r="MF159" s="37">
        <v>10.163970000000001</v>
      </c>
      <c r="MG159" s="37">
        <v>10.163970000000001</v>
      </c>
      <c r="MH159" s="37">
        <v>10.163970000000001</v>
      </c>
      <c r="MI159" s="37">
        <v>10.163970000000001</v>
      </c>
      <c r="MJ159" s="37">
        <v>10.163970000000001</v>
      </c>
      <c r="MK159" s="37">
        <v>10.163970000000001</v>
      </c>
      <c r="ML159" s="37">
        <v>10.163970000000001</v>
      </c>
      <c r="MM159" s="37">
        <v>10.163970000000001</v>
      </c>
      <c r="MN159" s="37">
        <v>10.163970000000001</v>
      </c>
      <c r="MO159" s="37">
        <v>10.163970000000001</v>
      </c>
      <c r="MP159" s="37">
        <v>10.163970000000001</v>
      </c>
      <c r="MQ159" s="37">
        <v>10.163970000000001</v>
      </c>
      <c r="MR159" s="37">
        <v>10.163970000000001</v>
      </c>
      <c r="MS159" s="37">
        <v>10.163970000000001</v>
      </c>
      <c r="MT159" s="37">
        <v>10.163970000000001</v>
      </c>
      <c r="MU159" s="37">
        <v>10.163970000000001</v>
      </c>
      <c r="MV159" s="37">
        <v>10.163970000000001</v>
      </c>
      <c r="MW159" s="37">
        <v>10.163970000000001</v>
      </c>
      <c r="MX159" s="37">
        <v>10.163970000000001</v>
      </c>
      <c r="MY159" s="37">
        <v>10.163970000000001</v>
      </c>
      <c r="MZ159" s="37">
        <v>10.163970000000001</v>
      </c>
      <c r="NA159" s="37">
        <v>10.163970000000001</v>
      </c>
      <c r="NB159" s="37">
        <v>10.163970000000001</v>
      </c>
      <c r="NC159" s="37">
        <v>10.163970000000001</v>
      </c>
      <c r="ND159" s="37">
        <v>10.993995</v>
      </c>
    </row>
    <row r="160" spans="1:372" x14ac:dyDescent="0.2">
      <c r="A160" s="37">
        <v>158</v>
      </c>
      <c r="B160" s="37" t="s">
        <v>1248</v>
      </c>
      <c r="C160" s="17">
        <f>+'Detalle Compras'!D160</f>
        <v>20240129020</v>
      </c>
      <c r="D160" s="55">
        <f t="shared" si="19"/>
        <v>7.6220999999999997</v>
      </c>
      <c r="E160" s="14">
        <f>+IF(B160="","",'Detalle Compras'!S160+0)</f>
        <v>45514</v>
      </c>
      <c r="F160" s="14">
        <f>+IF(B160="","",EOMONTH('Detalle Compras'!Q160,G160)+10)</f>
        <v>5732</v>
      </c>
      <c r="G160" s="50">
        <f t="shared" si="20"/>
        <v>187</v>
      </c>
      <c r="H160" s="50">
        <f t="shared" si="21"/>
        <v>337</v>
      </c>
      <c r="I160" s="37">
        <v>0</v>
      </c>
      <c r="J160" s="37">
        <v>0</v>
      </c>
      <c r="K160" s="37">
        <v>0</v>
      </c>
      <c r="L160" s="37">
        <v>0</v>
      </c>
      <c r="M160" s="37">
        <v>0</v>
      </c>
      <c r="N160" s="37">
        <v>7.6220999999999997</v>
      </c>
      <c r="O160" s="37">
        <v>7.6220999999999997</v>
      </c>
      <c r="P160" s="37">
        <v>7.6220999999999997</v>
      </c>
      <c r="Q160" s="37">
        <v>7.6220999999999997</v>
      </c>
      <c r="R160" s="37">
        <v>7.6220999999999997</v>
      </c>
      <c r="S160" s="37">
        <v>7.6220999999999997</v>
      </c>
      <c r="T160" s="37">
        <v>7.6220999999999997</v>
      </c>
      <c r="U160" s="37">
        <v>7.6220999999999997</v>
      </c>
      <c r="V160" s="37">
        <v>7.6220999999999997</v>
      </c>
      <c r="W160" s="37">
        <v>7.6220999999999997</v>
      </c>
      <c r="X160" s="37">
        <v>7.6220999999999997</v>
      </c>
      <c r="Y160" s="37">
        <v>7.6220999999999997</v>
      </c>
      <c r="Z160" s="37">
        <v>7.6220999999999997</v>
      </c>
      <c r="AA160" s="37">
        <v>7.6220999999999997</v>
      </c>
      <c r="AB160" s="37">
        <v>7.6220999999999997</v>
      </c>
      <c r="AC160" s="37">
        <v>7.6220999999999997</v>
      </c>
      <c r="AD160" s="37">
        <v>7.6220999999999997</v>
      </c>
      <c r="AE160" s="37">
        <v>7.6220999999999997</v>
      </c>
      <c r="AF160" s="37">
        <v>7.6220999999999997</v>
      </c>
      <c r="AG160" s="37">
        <v>7.6220999999999997</v>
      </c>
      <c r="AH160" s="37">
        <v>7.6220999999999997</v>
      </c>
      <c r="AI160" s="37">
        <v>7.6220999999999997</v>
      </c>
      <c r="AJ160" s="37">
        <v>7.6220999999999997</v>
      </c>
      <c r="AK160" s="37">
        <v>7.6220999999999997</v>
      </c>
      <c r="AL160" s="37">
        <v>7.6220999999999997</v>
      </c>
      <c r="AM160" s="37">
        <v>7.6220999999999997</v>
      </c>
      <c r="AN160" s="37">
        <v>7.6220999999999997</v>
      </c>
      <c r="AO160" s="37">
        <v>7.6220999999999997</v>
      </c>
      <c r="AP160" s="37">
        <v>7.6220999999999997</v>
      </c>
      <c r="AQ160" s="37">
        <v>7.6220999999999997</v>
      </c>
      <c r="AR160" s="37">
        <v>7.6220999999999997</v>
      </c>
      <c r="AS160" s="37">
        <v>7.6220999999999997</v>
      </c>
      <c r="AT160" s="37">
        <v>7.6220999999999997</v>
      </c>
      <c r="AU160" s="37">
        <v>7.6220999999999997</v>
      </c>
      <c r="AV160" s="37">
        <v>7.6220999999999997</v>
      </c>
      <c r="AW160" s="37">
        <v>7.6220999999999997</v>
      </c>
      <c r="AX160" s="37">
        <v>7.6220999999999997</v>
      </c>
      <c r="AY160" s="37">
        <v>7.6220999999999997</v>
      </c>
      <c r="AZ160" s="37">
        <v>7.6220999999999997</v>
      </c>
      <c r="BA160" s="37">
        <v>7.6220999999999997</v>
      </c>
      <c r="BB160" s="37">
        <v>7.6220999999999997</v>
      </c>
      <c r="BC160" s="37">
        <v>7.6220999999999997</v>
      </c>
      <c r="BD160" s="37">
        <v>7.6220999999999997</v>
      </c>
      <c r="BE160" s="37">
        <v>7.6220999999999997</v>
      </c>
      <c r="BF160" s="37">
        <v>7.6220999999999997</v>
      </c>
      <c r="BG160" s="37">
        <v>7.6220999999999997</v>
      </c>
      <c r="BH160" s="37">
        <v>7.6220999999999997</v>
      </c>
      <c r="BI160" s="37">
        <v>7.6220999999999997</v>
      </c>
      <c r="BJ160" s="37">
        <v>7.6220999999999997</v>
      </c>
      <c r="BK160" s="37">
        <v>7.6220999999999997</v>
      </c>
      <c r="BL160" s="37">
        <v>7.6220999999999997</v>
      </c>
      <c r="BM160" s="37">
        <v>7.6220999999999997</v>
      </c>
      <c r="BN160" s="37">
        <v>7.6220999999999997</v>
      </c>
      <c r="BO160" s="37">
        <v>7.6220999999999997</v>
      </c>
      <c r="BP160" s="37">
        <v>7.6220999999999997</v>
      </c>
      <c r="BQ160" s="37">
        <v>7.6220999999999997</v>
      </c>
      <c r="BR160" s="37">
        <v>7.6220999999999997</v>
      </c>
      <c r="BS160" s="37">
        <v>7.6220999999999997</v>
      </c>
      <c r="BT160" s="37">
        <v>7.6220999999999997</v>
      </c>
      <c r="BU160" s="37">
        <v>7.6220999999999997</v>
      </c>
      <c r="BV160" s="37">
        <v>7.6220999999999997</v>
      </c>
      <c r="BW160" s="37">
        <v>7.6220999999999997</v>
      </c>
      <c r="BX160" s="37">
        <v>7.6220999999999997</v>
      </c>
      <c r="BY160" s="37">
        <v>7.6220999999999997</v>
      </c>
      <c r="BZ160" s="37">
        <v>7.6220999999999997</v>
      </c>
      <c r="CA160" s="37">
        <v>7.6220999999999997</v>
      </c>
      <c r="CB160" s="37">
        <v>7.6220999999999997</v>
      </c>
      <c r="CC160" s="37">
        <v>7.6220999999999997</v>
      </c>
      <c r="CD160" s="37">
        <v>7.6220999999999997</v>
      </c>
      <c r="CE160" s="37">
        <v>7.6220999999999997</v>
      </c>
      <c r="CF160" s="37">
        <v>7.6220999999999997</v>
      </c>
      <c r="CG160" s="37">
        <v>7.6220999999999997</v>
      </c>
      <c r="CH160" s="37">
        <v>7.6220999999999997</v>
      </c>
      <c r="CI160" s="37">
        <v>7.6220999999999997</v>
      </c>
      <c r="CJ160" s="37">
        <v>7.6220999999999997</v>
      </c>
      <c r="CK160" s="37">
        <v>7.6220999999999997</v>
      </c>
      <c r="CL160" s="37">
        <v>7.6220999999999997</v>
      </c>
      <c r="CM160" s="37">
        <v>7.6220999999999997</v>
      </c>
      <c r="CN160" s="37">
        <v>7.6220999999999997</v>
      </c>
      <c r="CO160" s="37">
        <v>7.6220999999999997</v>
      </c>
      <c r="CP160" s="37">
        <v>7.6220999999999997</v>
      </c>
      <c r="CQ160" s="37">
        <v>7.6220999999999997</v>
      </c>
      <c r="CR160" s="37">
        <v>7.6220999999999997</v>
      </c>
      <c r="CS160" s="37">
        <v>7.6220999999999997</v>
      </c>
      <c r="CT160" s="37">
        <v>7.6220999999999997</v>
      </c>
      <c r="CU160" s="37">
        <v>7.6220999999999997</v>
      </c>
      <c r="CV160" s="37">
        <v>7.6220999999999997</v>
      </c>
      <c r="CW160" s="37">
        <v>7.6220999999999997</v>
      </c>
      <c r="CX160" s="37">
        <v>7.6220999999999997</v>
      </c>
      <c r="CY160" s="37">
        <v>7.6220999999999997</v>
      </c>
      <c r="CZ160" s="37">
        <v>7.6220999999999997</v>
      </c>
      <c r="DA160" s="37">
        <v>7.6220999999999997</v>
      </c>
      <c r="DB160" s="37">
        <v>7.6220999999999997</v>
      </c>
      <c r="DC160" s="37">
        <v>7.6220999999999997</v>
      </c>
      <c r="DD160" s="37">
        <v>7.6220999999999997</v>
      </c>
      <c r="DE160" s="37">
        <v>7.6220999999999997</v>
      </c>
      <c r="DF160" s="37">
        <v>7.6220999999999997</v>
      </c>
      <c r="DG160" s="37">
        <v>7.6220999999999997</v>
      </c>
      <c r="DH160" s="37">
        <v>7.6220999999999997</v>
      </c>
      <c r="DI160" s="37">
        <v>7.6220999999999997</v>
      </c>
      <c r="DJ160" s="37">
        <v>7.6220999999999997</v>
      </c>
      <c r="DK160" s="37">
        <v>7.6220999999999997</v>
      </c>
      <c r="DL160" s="37">
        <v>7.6220999999999997</v>
      </c>
      <c r="DM160" s="37">
        <v>7.6220999999999997</v>
      </c>
      <c r="DN160" s="37">
        <v>7.6220999999999997</v>
      </c>
      <c r="DO160" s="37">
        <v>7.6220999999999997</v>
      </c>
      <c r="DP160" s="37">
        <v>7.6220999999999997</v>
      </c>
      <c r="DQ160" s="37">
        <v>7.6220999999999997</v>
      </c>
      <c r="DR160" s="37">
        <v>7.6220999999999997</v>
      </c>
      <c r="DS160" s="37">
        <v>7.6220999999999997</v>
      </c>
      <c r="DT160" s="37">
        <v>7.6220999999999997</v>
      </c>
      <c r="DU160" s="37">
        <v>7.6220999999999997</v>
      </c>
      <c r="DV160" s="37">
        <v>7.6220999999999997</v>
      </c>
      <c r="DW160" s="37">
        <v>7.6220999999999997</v>
      </c>
      <c r="DX160" s="37">
        <v>7.6220999999999997</v>
      </c>
      <c r="DY160" s="37">
        <v>7.6220999999999997</v>
      </c>
      <c r="DZ160" s="37">
        <v>7.6220999999999997</v>
      </c>
      <c r="EA160" s="37">
        <v>7.6220999999999997</v>
      </c>
      <c r="EB160" s="37">
        <v>7.6220999999999997</v>
      </c>
      <c r="EC160" s="37">
        <v>7.6220999999999997</v>
      </c>
      <c r="ED160" s="37">
        <v>7.6220999999999997</v>
      </c>
      <c r="EE160" s="37">
        <v>7.6220999999999997</v>
      </c>
      <c r="EF160" s="37">
        <v>7.6220999999999997</v>
      </c>
      <c r="EG160" s="37">
        <v>7.6220999999999997</v>
      </c>
      <c r="EH160" s="37">
        <v>7.6220999999999997</v>
      </c>
      <c r="EI160" s="37">
        <v>7.6220999999999997</v>
      </c>
      <c r="EJ160" s="37">
        <v>7.6220999999999997</v>
      </c>
      <c r="EK160" s="37">
        <v>7.6220999999999997</v>
      </c>
      <c r="EL160" s="37">
        <v>7.6220999999999997</v>
      </c>
      <c r="EM160" s="37">
        <v>7.6220999999999997</v>
      </c>
      <c r="EN160" s="37">
        <v>7.6220999999999997</v>
      </c>
      <c r="EO160" s="37">
        <v>7.6220999999999997</v>
      </c>
      <c r="EP160" s="37">
        <v>7.6220999999999997</v>
      </c>
      <c r="EQ160" s="37">
        <v>7.6220999999999997</v>
      </c>
      <c r="ER160" s="37">
        <v>7.6220999999999997</v>
      </c>
      <c r="ES160" s="37">
        <v>7.6220999999999997</v>
      </c>
      <c r="ET160" s="37">
        <v>7.6220999999999997</v>
      </c>
      <c r="EU160" s="37">
        <v>7.6220999999999997</v>
      </c>
      <c r="EV160" s="37">
        <v>7.6220999999999997</v>
      </c>
      <c r="EW160" s="37">
        <v>7.6220999999999997</v>
      </c>
      <c r="EX160" s="37">
        <v>7.6220999999999997</v>
      </c>
      <c r="EY160" s="37">
        <v>7.6220999999999997</v>
      </c>
      <c r="EZ160" s="37">
        <v>7.6220999999999997</v>
      </c>
      <c r="FA160" s="37">
        <v>7.6220999999999997</v>
      </c>
      <c r="FB160" s="37">
        <v>7.6220999999999997</v>
      </c>
      <c r="FC160" s="37">
        <v>7.6220999999999997</v>
      </c>
      <c r="FD160" s="37">
        <v>7.6220999999999997</v>
      </c>
      <c r="FE160" s="37">
        <v>7.6220999999999997</v>
      </c>
      <c r="FF160" s="37">
        <v>7.6220999999999997</v>
      </c>
      <c r="FG160" s="37">
        <v>7.6220999999999997</v>
      </c>
      <c r="FH160" s="37">
        <v>7.6220999999999997</v>
      </c>
      <c r="FI160" s="37">
        <v>7.6220999999999997</v>
      </c>
      <c r="FJ160" s="37">
        <v>7.6220999999999997</v>
      </c>
      <c r="FK160" s="37">
        <v>7.6220999999999997</v>
      </c>
      <c r="FL160" s="37">
        <v>7.6220999999999997</v>
      </c>
      <c r="FM160" s="37">
        <v>7.6220999999999997</v>
      </c>
      <c r="FN160" s="37">
        <v>7.6220999999999997</v>
      </c>
      <c r="FO160" s="37">
        <v>7.6220999999999997</v>
      </c>
      <c r="FP160" s="37">
        <v>7.6220999999999997</v>
      </c>
      <c r="FQ160" s="37">
        <v>7.6220999999999997</v>
      </c>
      <c r="FR160" s="37">
        <v>7.6220999999999997</v>
      </c>
      <c r="FS160" s="37">
        <v>7.6220999999999997</v>
      </c>
      <c r="FT160" s="37">
        <v>7.6220999999999997</v>
      </c>
      <c r="FU160" s="37">
        <v>7.6220999999999997</v>
      </c>
      <c r="FV160" s="37">
        <v>7.6220999999999997</v>
      </c>
      <c r="FW160" s="37">
        <v>7.6220999999999997</v>
      </c>
      <c r="FX160" s="37">
        <v>7.6220999999999997</v>
      </c>
      <c r="FY160" s="37">
        <v>7.6220999999999997</v>
      </c>
      <c r="FZ160" s="37">
        <v>7.6220999999999997</v>
      </c>
      <c r="GA160" s="37">
        <v>7.6220999999999997</v>
      </c>
      <c r="GB160" s="37">
        <v>7.6220999999999997</v>
      </c>
      <c r="GC160" s="37">
        <v>7.6220999999999997</v>
      </c>
      <c r="GD160" s="37">
        <v>7.6220999999999997</v>
      </c>
      <c r="GE160" s="37">
        <v>7.6220999999999997</v>
      </c>
      <c r="GF160" s="37">
        <v>7.6220999999999997</v>
      </c>
      <c r="GG160" s="37">
        <v>7.6220999999999997</v>
      </c>
      <c r="GH160" s="37">
        <v>7.6220999999999997</v>
      </c>
      <c r="GI160" s="37">
        <v>7.6220999999999997</v>
      </c>
      <c r="GJ160" s="37">
        <v>7.6220999999999997</v>
      </c>
      <c r="GK160" s="37">
        <v>7.6220999999999997</v>
      </c>
      <c r="GL160" s="37">
        <v>7.6220999999999997</v>
      </c>
      <c r="GM160" s="37">
        <v>7.6220999999999997</v>
      </c>
      <c r="GN160" s="37">
        <v>7.6220999999999997</v>
      </c>
      <c r="GO160" s="37">
        <v>7.6220999999999997</v>
      </c>
      <c r="GP160" s="37">
        <v>7.6220999999999997</v>
      </c>
      <c r="GQ160" s="37">
        <v>7.6220999999999997</v>
      </c>
      <c r="GR160" s="37">
        <v>7.5054600000000002</v>
      </c>
      <c r="GS160" s="37">
        <v>0</v>
      </c>
      <c r="GT160" s="37">
        <v>0</v>
      </c>
      <c r="GU160" s="37">
        <v>0</v>
      </c>
      <c r="GV160" s="37">
        <v>0</v>
      </c>
      <c r="GW160" s="37">
        <v>0</v>
      </c>
      <c r="GX160" s="37">
        <v>0</v>
      </c>
      <c r="GY160" s="37">
        <v>0</v>
      </c>
      <c r="GZ160" s="37">
        <v>0</v>
      </c>
      <c r="HA160" s="37">
        <v>0</v>
      </c>
      <c r="HB160" s="37">
        <v>0</v>
      </c>
      <c r="HC160" s="37">
        <v>0</v>
      </c>
      <c r="HD160" s="37">
        <v>0</v>
      </c>
      <c r="HE160" s="37">
        <v>0</v>
      </c>
      <c r="HF160" s="37">
        <v>0</v>
      </c>
      <c r="HG160" s="37">
        <v>0</v>
      </c>
      <c r="HH160" s="37">
        <v>0</v>
      </c>
      <c r="HI160" s="37">
        <v>0</v>
      </c>
      <c r="HJ160" s="37">
        <v>0</v>
      </c>
      <c r="HK160" s="37">
        <v>0</v>
      </c>
      <c r="HL160" s="37">
        <v>0</v>
      </c>
      <c r="HM160" s="37">
        <v>0</v>
      </c>
      <c r="HN160" s="37">
        <v>0</v>
      </c>
      <c r="HO160" s="37">
        <v>0</v>
      </c>
      <c r="HP160" s="37">
        <v>0</v>
      </c>
      <c r="HQ160" s="37">
        <v>0</v>
      </c>
      <c r="HR160" s="37">
        <v>0</v>
      </c>
      <c r="HS160" s="37">
        <v>0</v>
      </c>
      <c r="HT160" s="37">
        <v>0</v>
      </c>
      <c r="HU160" s="37">
        <v>0</v>
      </c>
      <c r="HV160" s="37">
        <v>0</v>
      </c>
      <c r="HW160" s="37">
        <v>0</v>
      </c>
      <c r="HX160" s="37">
        <v>0</v>
      </c>
      <c r="HY160" s="37">
        <v>0</v>
      </c>
      <c r="HZ160" s="37">
        <v>0</v>
      </c>
      <c r="IA160" s="37">
        <v>0</v>
      </c>
      <c r="IB160" s="37">
        <v>0</v>
      </c>
      <c r="IC160" s="37">
        <v>0</v>
      </c>
      <c r="ID160" s="37">
        <v>0</v>
      </c>
      <c r="IE160" s="37">
        <v>0</v>
      </c>
      <c r="IF160" s="37">
        <v>0</v>
      </c>
      <c r="IG160" s="37">
        <v>0</v>
      </c>
      <c r="IH160" s="37">
        <v>0</v>
      </c>
      <c r="II160" s="37">
        <v>0</v>
      </c>
      <c r="IJ160" s="37">
        <v>0</v>
      </c>
      <c r="IK160" s="37">
        <v>0</v>
      </c>
      <c r="IL160" s="37">
        <v>0</v>
      </c>
      <c r="IM160" s="37">
        <v>0</v>
      </c>
      <c r="IN160" s="37">
        <v>0</v>
      </c>
      <c r="IO160" s="37">
        <v>0</v>
      </c>
      <c r="IP160" s="37">
        <v>0</v>
      </c>
      <c r="IQ160" s="37">
        <v>0</v>
      </c>
      <c r="IR160" s="37">
        <v>0</v>
      </c>
      <c r="IS160" s="37">
        <v>0</v>
      </c>
      <c r="IT160" s="37">
        <v>0</v>
      </c>
      <c r="IU160" s="37">
        <v>0</v>
      </c>
      <c r="IV160" s="37">
        <v>0</v>
      </c>
      <c r="IW160" s="37">
        <v>0</v>
      </c>
      <c r="IX160" s="37">
        <v>0</v>
      </c>
      <c r="IY160" s="37">
        <v>0</v>
      </c>
      <c r="IZ160" s="37">
        <v>0</v>
      </c>
      <c r="JA160" s="37">
        <v>0</v>
      </c>
      <c r="JB160" s="37">
        <v>0</v>
      </c>
      <c r="JC160" s="37">
        <v>0</v>
      </c>
      <c r="JD160" s="37">
        <v>0</v>
      </c>
      <c r="JE160" s="37">
        <v>0</v>
      </c>
      <c r="JF160" s="37">
        <v>0</v>
      </c>
      <c r="JG160" s="37">
        <v>0</v>
      </c>
      <c r="JH160" s="37">
        <v>0</v>
      </c>
      <c r="JI160" s="37">
        <v>0</v>
      </c>
      <c r="JJ160" s="37">
        <v>0</v>
      </c>
      <c r="JK160" s="37">
        <v>0</v>
      </c>
      <c r="JL160" s="37">
        <v>0</v>
      </c>
      <c r="JM160" s="37">
        <v>0</v>
      </c>
      <c r="JN160" s="37">
        <v>0</v>
      </c>
      <c r="JO160" s="37">
        <v>0</v>
      </c>
      <c r="JP160" s="37">
        <v>0</v>
      </c>
      <c r="JQ160" s="37">
        <v>0</v>
      </c>
      <c r="JR160" s="37">
        <v>0</v>
      </c>
      <c r="JS160" s="37">
        <v>0</v>
      </c>
      <c r="JT160" s="37">
        <v>0</v>
      </c>
      <c r="JU160" s="37">
        <v>0</v>
      </c>
      <c r="JV160" s="37">
        <v>0</v>
      </c>
      <c r="JW160" s="37">
        <v>0</v>
      </c>
      <c r="JX160" s="37">
        <v>0</v>
      </c>
      <c r="JY160" s="37">
        <v>0</v>
      </c>
      <c r="JZ160" s="37">
        <v>0</v>
      </c>
      <c r="KA160" s="37">
        <v>0</v>
      </c>
      <c r="KB160" s="37">
        <v>0</v>
      </c>
      <c r="KC160" s="37">
        <v>0</v>
      </c>
      <c r="KD160" s="37">
        <v>0</v>
      </c>
      <c r="KE160" s="37">
        <v>0</v>
      </c>
      <c r="KF160" s="37">
        <v>0</v>
      </c>
      <c r="KG160" s="37">
        <v>0</v>
      </c>
      <c r="KH160" s="37">
        <v>0</v>
      </c>
      <c r="KI160" s="37">
        <v>0</v>
      </c>
      <c r="KJ160" s="37">
        <v>0</v>
      </c>
      <c r="KK160" s="37">
        <v>0</v>
      </c>
      <c r="KL160" s="37">
        <v>0</v>
      </c>
      <c r="KM160" s="37">
        <v>0</v>
      </c>
      <c r="KN160" s="37">
        <v>0</v>
      </c>
      <c r="KO160" s="37">
        <v>0</v>
      </c>
      <c r="KP160" s="37">
        <v>0</v>
      </c>
      <c r="KQ160" s="37">
        <v>0</v>
      </c>
      <c r="KR160" s="37">
        <v>0</v>
      </c>
      <c r="KS160" s="37">
        <v>0</v>
      </c>
      <c r="KT160" s="37">
        <v>0</v>
      </c>
      <c r="KU160" s="37">
        <v>0</v>
      </c>
      <c r="KV160" s="37">
        <v>0</v>
      </c>
      <c r="KW160" s="37">
        <v>0</v>
      </c>
      <c r="KX160" s="37">
        <v>0</v>
      </c>
      <c r="KY160" s="37">
        <v>0</v>
      </c>
      <c r="KZ160" s="37">
        <v>0</v>
      </c>
      <c r="LA160" s="37">
        <v>0</v>
      </c>
      <c r="LB160" s="37">
        <v>0</v>
      </c>
      <c r="LC160" s="37">
        <v>0</v>
      </c>
      <c r="LD160" s="37">
        <v>0</v>
      </c>
      <c r="LE160" s="37">
        <v>0</v>
      </c>
      <c r="LF160" s="37">
        <v>0</v>
      </c>
      <c r="LG160" s="37">
        <v>0</v>
      </c>
      <c r="LH160" s="37">
        <v>0</v>
      </c>
      <c r="LI160" s="37">
        <v>0</v>
      </c>
      <c r="LJ160" s="37">
        <v>0</v>
      </c>
      <c r="LK160" s="37">
        <v>0</v>
      </c>
      <c r="LL160" s="37">
        <v>0</v>
      </c>
      <c r="LM160" s="37">
        <v>0</v>
      </c>
      <c r="LN160" s="37">
        <v>0</v>
      </c>
      <c r="LO160" s="37">
        <v>0</v>
      </c>
      <c r="LP160" s="37">
        <v>0</v>
      </c>
      <c r="LQ160" s="37">
        <v>0</v>
      </c>
      <c r="LR160" s="37">
        <v>0</v>
      </c>
      <c r="LS160" s="37">
        <v>0</v>
      </c>
      <c r="LT160" s="37">
        <v>0</v>
      </c>
      <c r="LU160" s="37">
        <v>0</v>
      </c>
      <c r="LV160" s="37">
        <v>0</v>
      </c>
      <c r="LW160" s="37">
        <v>0</v>
      </c>
      <c r="LX160" s="37">
        <v>0</v>
      </c>
      <c r="LY160" s="37">
        <v>0</v>
      </c>
      <c r="LZ160" s="37">
        <v>0</v>
      </c>
      <c r="MA160" s="37">
        <v>0</v>
      </c>
      <c r="MB160" s="37">
        <v>0</v>
      </c>
      <c r="MC160" s="37">
        <v>0</v>
      </c>
      <c r="MD160" s="37">
        <v>0</v>
      </c>
      <c r="ME160" s="37">
        <v>0</v>
      </c>
      <c r="MF160" s="37">
        <v>0</v>
      </c>
      <c r="MG160" s="37">
        <v>0</v>
      </c>
      <c r="MH160" s="37">
        <v>0</v>
      </c>
      <c r="MI160" s="37">
        <v>0</v>
      </c>
      <c r="MJ160" s="37">
        <v>0</v>
      </c>
      <c r="MK160" s="37">
        <v>0</v>
      </c>
      <c r="ML160" s="37">
        <v>0</v>
      </c>
      <c r="MM160" s="37">
        <v>0</v>
      </c>
      <c r="MN160" s="37">
        <v>0</v>
      </c>
      <c r="MO160" s="37">
        <v>0</v>
      </c>
      <c r="MP160" s="37">
        <v>0</v>
      </c>
      <c r="MQ160" s="37">
        <v>0</v>
      </c>
      <c r="MR160" s="37">
        <v>0</v>
      </c>
      <c r="MS160" s="37">
        <v>0</v>
      </c>
      <c r="MT160" s="37">
        <v>0</v>
      </c>
      <c r="MU160" s="37">
        <v>0</v>
      </c>
      <c r="MV160" s="37">
        <v>0</v>
      </c>
      <c r="MW160" s="37">
        <v>0</v>
      </c>
      <c r="MX160" s="37">
        <v>0</v>
      </c>
      <c r="MY160" s="37">
        <v>0</v>
      </c>
      <c r="MZ160" s="37">
        <v>0</v>
      </c>
      <c r="NA160" s="37">
        <v>0</v>
      </c>
      <c r="NB160" s="37">
        <v>0</v>
      </c>
      <c r="NC160" s="37">
        <v>0</v>
      </c>
      <c r="ND160" s="37">
        <v>0</v>
      </c>
    </row>
    <row r="161" spans="1:372" x14ac:dyDescent="0.2">
      <c r="A161" s="37">
        <v>159</v>
      </c>
      <c r="B161" s="37" t="s">
        <v>1253</v>
      </c>
      <c r="C161" s="17">
        <f>+'Detalle Compras'!D161</f>
        <v>20240129022</v>
      </c>
      <c r="D161" s="55">
        <f t="shared" si="19"/>
        <v>11.832827999999999</v>
      </c>
      <c r="E161" s="14">
        <f>+IF(B161="","",'Detalle Compras'!S161+0)</f>
        <v>45514</v>
      </c>
      <c r="F161" s="14">
        <f>+IF(B161="","",EOMONTH('Detalle Compras'!Q161,G161)+10)</f>
        <v>10846</v>
      </c>
      <c r="G161" s="50">
        <f t="shared" si="20"/>
        <v>355</v>
      </c>
      <c r="H161" s="50">
        <f t="shared" si="21"/>
        <v>337</v>
      </c>
      <c r="I161" s="37">
        <v>0</v>
      </c>
      <c r="J161" s="37">
        <v>0</v>
      </c>
      <c r="K161" s="37">
        <v>0</v>
      </c>
      <c r="L161" s="37">
        <v>0</v>
      </c>
      <c r="M161" s="37">
        <v>0</v>
      </c>
      <c r="N161" s="37">
        <v>11.832827999999999</v>
      </c>
      <c r="O161" s="37">
        <v>11.832827999999999</v>
      </c>
      <c r="P161" s="37">
        <v>11.832827999999999</v>
      </c>
      <c r="Q161" s="37">
        <v>11.832827999999999</v>
      </c>
      <c r="R161" s="37">
        <v>11.832827999999999</v>
      </c>
      <c r="S161" s="37">
        <v>11.832827999999999</v>
      </c>
      <c r="T161" s="37">
        <v>11.832827999999999</v>
      </c>
      <c r="U161" s="37">
        <v>11.832827999999999</v>
      </c>
      <c r="V161" s="37">
        <v>11.832827999999999</v>
      </c>
      <c r="W161" s="37">
        <v>11.832827999999999</v>
      </c>
      <c r="X161" s="37">
        <v>11.832827999999999</v>
      </c>
      <c r="Y161" s="37">
        <v>11.832827999999999</v>
      </c>
      <c r="Z161" s="37">
        <v>11.832827999999999</v>
      </c>
      <c r="AA161" s="37">
        <v>11.832827999999999</v>
      </c>
      <c r="AB161" s="37">
        <v>11.832827999999999</v>
      </c>
      <c r="AC161" s="37">
        <v>11.832827999999999</v>
      </c>
      <c r="AD161" s="37">
        <v>11.832827999999999</v>
      </c>
      <c r="AE161" s="37">
        <v>11.832827999999999</v>
      </c>
      <c r="AF161" s="37">
        <v>11.832827999999999</v>
      </c>
      <c r="AG161" s="37">
        <v>11.832827999999999</v>
      </c>
      <c r="AH161" s="37">
        <v>11.832827999999999</v>
      </c>
      <c r="AI161" s="37">
        <v>11.832827999999999</v>
      </c>
      <c r="AJ161" s="37">
        <v>11.832827999999999</v>
      </c>
      <c r="AK161" s="37">
        <v>11.832827999999999</v>
      </c>
      <c r="AL161" s="37">
        <v>11.832827999999999</v>
      </c>
      <c r="AM161" s="37">
        <v>11.832827999999999</v>
      </c>
      <c r="AN161" s="37">
        <v>11.832827999999999</v>
      </c>
      <c r="AO161" s="37">
        <v>11.832827999999999</v>
      </c>
      <c r="AP161" s="37">
        <v>11.832827999999999</v>
      </c>
      <c r="AQ161" s="37">
        <v>11.832827999999999</v>
      </c>
      <c r="AR161" s="37">
        <v>11.832827999999999</v>
      </c>
      <c r="AS161" s="37">
        <v>11.832827999999999</v>
      </c>
      <c r="AT161" s="37">
        <v>11.832827999999999</v>
      </c>
      <c r="AU161" s="37">
        <v>11.832827999999999</v>
      </c>
      <c r="AV161" s="37">
        <v>11.832827999999999</v>
      </c>
      <c r="AW161" s="37">
        <v>11.832827999999999</v>
      </c>
      <c r="AX161" s="37">
        <v>11.832827999999999</v>
      </c>
      <c r="AY161" s="37">
        <v>11.832827999999999</v>
      </c>
      <c r="AZ161" s="37">
        <v>11.832827999999999</v>
      </c>
      <c r="BA161" s="37">
        <v>11.832827999999999</v>
      </c>
      <c r="BB161" s="37">
        <v>11.832827999999999</v>
      </c>
      <c r="BC161" s="37">
        <v>11.832827999999999</v>
      </c>
      <c r="BD161" s="37">
        <v>11.832827999999999</v>
      </c>
      <c r="BE161" s="37">
        <v>11.832827999999999</v>
      </c>
      <c r="BF161" s="37">
        <v>11.832827999999999</v>
      </c>
      <c r="BG161" s="37">
        <v>11.832827999999999</v>
      </c>
      <c r="BH161" s="37">
        <v>11.832827999999999</v>
      </c>
      <c r="BI161" s="37">
        <v>11.832827999999999</v>
      </c>
      <c r="BJ161" s="37">
        <v>11.832827999999999</v>
      </c>
      <c r="BK161" s="37">
        <v>11.832827999999999</v>
      </c>
      <c r="BL161" s="37">
        <v>11.832827999999999</v>
      </c>
      <c r="BM161" s="37">
        <v>11.832827999999999</v>
      </c>
      <c r="BN161" s="37">
        <v>11.832827999999999</v>
      </c>
      <c r="BO161" s="37">
        <v>11.832827999999999</v>
      </c>
      <c r="BP161" s="37">
        <v>11.832827999999999</v>
      </c>
      <c r="BQ161" s="37">
        <v>11.832827999999999</v>
      </c>
      <c r="BR161" s="37">
        <v>11.832827999999999</v>
      </c>
      <c r="BS161" s="37">
        <v>11.832827999999999</v>
      </c>
      <c r="BT161" s="37">
        <v>11.832827999999999</v>
      </c>
      <c r="BU161" s="37">
        <v>11.832827999999999</v>
      </c>
      <c r="BV161" s="37">
        <v>11.832827999999999</v>
      </c>
      <c r="BW161" s="37">
        <v>11.832827999999999</v>
      </c>
      <c r="BX161" s="37">
        <v>11.832827999999999</v>
      </c>
      <c r="BY161" s="37">
        <v>11.832827999999999</v>
      </c>
      <c r="BZ161" s="37">
        <v>11.832827999999999</v>
      </c>
      <c r="CA161" s="37">
        <v>11.832827999999999</v>
      </c>
      <c r="CB161" s="37">
        <v>11.832827999999999</v>
      </c>
      <c r="CC161" s="37">
        <v>11.832827999999999</v>
      </c>
      <c r="CD161" s="37">
        <v>11.832827999999999</v>
      </c>
      <c r="CE161" s="37">
        <v>11.832827999999999</v>
      </c>
      <c r="CF161" s="37">
        <v>11.832827999999999</v>
      </c>
      <c r="CG161" s="37">
        <v>11.832827999999999</v>
      </c>
      <c r="CH161" s="37">
        <v>11.832827999999999</v>
      </c>
      <c r="CI161" s="37">
        <v>11.832827999999999</v>
      </c>
      <c r="CJ161" s="37">
        <v>11.832827999999999</v>
      </c>
      <c r="CK161" s="37">
        <v>11.832827999999999</v>
      </c>
      <c r="CL161" s="37">
        <v>11.832827999999999</v>
      </c>
      <c r="CM161" s="37">
        <v>11.832827999999999</v>
      </c>
      <c r="CN161" s="37">
        <v>11.832827999999999</v>
      </c>
      <c r="CO161" s="37">
        <v>11.832827999999999</v>
      </c>
      <c r="CP161" s="37">
        <v>11.832827999999999</v>
      </c>
      <c r="CQ161" s="37">
        <v>11.832827999999999</v>
      </c>
      <c r="CR161" s="37">
        <v>11.832827999999999</v>
      </c>
      <c r="CS161" s="37">
        <v>11.832827999999999</v>
      </c>
      <c r="CT161" s="37">
        <v>11.832827999999999</v>
      </c>
      <c r="CU161" s="37">
        <v>11.832827999999999</v>
      </c>
      <c r="CV161" s="37">
        <v>11.832827999999999</v>
      </c>
      <c r="CW161" s="37">
        <v>11.832827999999999</v>
      </c>
      <c r="CX161" s="37">
        <v>11.832827999999999</v>
      </c>
      <c r="CY161" s="37">
        <v>11.832827999999999</v>
      </c>
      <c r="CZ161" s="37">
        <v>11.832827999999999</v>
      </c>
      <c r="DA161" s="37">
        <v>11.832827999999999</v>
      </c>
      <c r="DB161" s="37">
        <v>11.832827999999999</v>
      </c>
      <c r="DC161" s="37">
        <v>11.832827999999999</v>
      </c>
      <c r="DD161" s="37">
        <v>11.832827999999999</v>
      </c>
      <c r="DE161" s="37">
        <v>11.832827999999999</v>
      </c>
      <c r="DF161" s="37">
        <v>11.832827999999999</v>
      </c>
      <c r="DG161" s="37">
        <v>11.832827999999999</v>
      </c>
      <c r="DH161" s="37">
        <v>11.832827999999999</v>
      </c>
      <c r="DI161" s="37">
        <v>11.832827999999999</v>
      </c>
      <c r="DJ161" s="37">
        <v>11.832827999999999</v>
      </c>
      <c r="DK161" s="37">
        <v>11.832827999999999</v>
      </c>
      <c r="DL161" s="37">
        <v>11.832827999999999</v>
      </c>
      <c r="DM161" s="37">
        <v>11.832827999999999</v>
      </c>
      <c r="DN161" s="37">
        <v>11.832827999999999</v>
      </c>
      <c r="DO161" s="37">
        <v>11.832827999999999</v>
      </c>
      <c r="DP161" s="37">
        <v>11.832827999999999</v>
      </c>
      <c r="DQ161" s="37">
        <v>11.832827999999999</v>
      </c>
      <c r="DR161" s="37">
        <v>11.832827999999999</v>
      </c>
      <c r="DS161" s="37">
        <v>11.832827999999999</v>
      </c>
      <c r="DT161" s="37">
        <v>11.832827999999999</v>
      </c>
      <c r="DU161" s="37">
        <v>11.832827999999999</v>
      </c>
      <c r="DV161" s="37">
        <v>11.832827999999999</v>
      </c>
      <c r="DW161" s="37">
        <v>11.832827999999999</v>
      </c>
      <c r="DX161" s="37">
        <v>11.832827999999999</v>
      </c>
      <c r="DY161" s="37">
        <v>11.832827999999999</v>
      </c>
      <c r="DZ161" s="37">
        <v>11.832827999999999</v>
      </c>
      <c r="EA161" s="37">
        <v>11.832827999999999</v>
      </c>
      <c r="EB161" s="37">
        <v>11.832827999999999</v>
      </c>
      <c r="EC161" s="37">
        <v>11.832827999999999</v>
      </c>
      <c r="ED161" s="37">
        <v>11.832827999999999</v>
      </c>
      <c r="EE161" s="37">
        <v>11.832827999999999</v>
      </c>
      <c r="EF161" s="37">
        <v>11.832827999999999</v>
      </c>
      <c r="EG161" s="37">
        <v>11.832827999999999</v>
      </c>
      <c r="EH161" s="37">
        <v>11.832827999999999</v>
      </c>
      <c r="EI161" s="37">
        <v>11.832827999999999</v>
      </c>
      <c r="EJ161" s="37">
        <v>11.832827999999999</v>
      </c>
      <c r="EK161" s="37">
        <v>11.832827999999999</v>
      </c>
      <c r="EL161" s="37">
        <v>11.832827999999999</v>
      </c>
      <c r="EM161" s="37">
        <v>11.832827999999999</v>
      </c>
      <c r="EN161" s="37">
        <v>11.832827999999999</v>
      </c>
      <c r="EO161" s="37">
        <v>11.832827999999999</v>
      </c>
      <c r="EP161" s="37">
        <v>11.832827999999999</v>
      </c>
      <c r="EQ161" s="37">
        <v>11.832827999999999</v>
      </c>
      <c r="ER161" s="37">
        <v>11.832827999999999</v>
      </c>
      <c r="ES161" s="37">
        <v>11.832827999999999</v>
      </c>
      <c r="ET161" s="37">
        <v>11.832827999999999</v>
      </c>
      <c r="EU161" s="37">
        <v>11.832827999999999</v>
      </c>
      <c r="EV161" s="37">
        <v>11.832827999999999</v>
      </c>
      <c r="EW161" s="37">
        <v>11.832827999999999</v>
      </c>
      <c r="EX161" s="37">
        <v>11.832827999999999</v>
      </c>
      <c r="EY161" s="37">
        <v>11.832827999999999</v>
      </c>
      <c r="EZ161" s="37">
        <v>11.832827999999999</v>
      </c>
      <c r="FA161" s="37">
        <v>11.832827999999999</v>
      </c>
      <c r="FB161" s="37">
        <v>11.832827999999999</v>
      </c>
      <c r="FC161" s="37">
        <v>11.832827999999999</v>
      </c>
      <c r="FD161" s="37">
        <v>11.832827999999999</v>
      </c>
      <c r="FE161" s="37">
        <v>11.832827999999999</v>
      </c>
      <c r="FF161" s="37">
        <v>11.832827999999999</v>
      </c>
      <c r="FG161" s="37">
        <v>11.832827999999999</v>
      </c>
      <c r="FH161" s="37">
        <v>11.832827999999999</v>
      </c>
      <c r="FI161" s="37">
        <v>11.832827999999999</v>
      </c>
      <c r="FJ161" s="37">
        <v>11.832827999999999</v>
      </c>
      <c r="FK161" s="37">
        <v>11.832827999999999</v>
      </c>
      <c r="FL161" s="37">
        <v>11.832827999999999</v>
      </c>
      <c r="FM161" s="37">
        <v>11.832827999999999</v>
      </c>
      <c r="FN161" s="37">
        <v>11.832827999999999</v>
      </c>
      <c r="FO161" s="37">
        <v>11.832827999999999</v>
      </c>
      <c r="FP161" s="37">
        <v>11.832827999999999</v>
      </c>
      <c r="FQ161" s="37">
        <v>11.832827999999999</v>
      </c>
      <c r="FR161" s="37">
        <v>11.832827999999999</v>
      </c>
      <c r="FS161" s="37">
        <v>11.832827999999999</v>
      </c>
      <c r="FT161" s="37">
        <v>11.832827999999999</v>
      </c>
      <c r="FU161" s="37">
        <v>11.832827999999999</v>
      </c>
      <c r="FV161" s="37">
        <v>11.832827999999999</v>
      </c>
      <c r="FW161" s="37">
        <v>11.832827999999999</v>
      </c>
      <c r="FX161" s="37">
        <v>11.832827999999999</v>
      </c>
      <c r="FY161" s="37">
        <v>11.832827999999999</v>
      </c>
      <c r="FZ161" s="37">
        <v>11.832827999999999</v>
      </c>
      <c r="GA161" s="37">
        <v>11.832827999999999</v>
      </c>
      <c r="GB161" s="37">
        <v>11.832827999999999</v>
      </c>
      <c r="GC161" s="37">
        <v>11.832827999999999</v>
      </c>
      <c r="GD161" s="37">
        <v>11.832827999999999</v>
      </c>
      <c r="GE161" s="37">
        <v>11.832827999999999</v>
      </c>
      <c r="GF161" s="37">
        <v>11.832827999999999</v>
      </c>
      <c r="GG161" s="37">
        <v>11.832827999999999</v>
      </c>
      <c r="GH161" s="37">
        <v>11.832827999999999</v>
      </c>
      <c r="GI161" s="37">
        <v>11.832827999999999</v>
      </c>
      <c r="GJ161" s="37">
        <v>11.832827999999999</v>
      </c>
      <c r="GK161" s="37">
        <v>11.832827999999999</v>
      </c>
      <c r="GL161" s="37">
        <v>11.832827999999999</v>
      </c>
      <c r="GM161" s="37">
        <v>11.832827999999999</v>
      </c>
      <c r="GN161" s="37">
        <v>11.832827999999999</v>
      </c>
      <c r="GO161" s="37">
        <v>11.832827999999999</v>
      </c>
      <c r="GP161" s="37">
        <v>11.832827999999999</v>
      </c>
      <c r="GQ161" s="37">
        <v>11.832827999999999</v>
      </c>
      <c r="GR161" s="37">
        <v>11.832827999999999</v>
      </c>
      <c r="GS161" s="37">
        <v>11.832827999999999</v>
      </c>
      <c r="GT161" s="37">
        <v>11.832827999999999</v>
      </c>
      <c r="GU161" s="37">
        <v>11.832827999999999</v>
      </c>
      <c r="GV161" s="37">
        <v>11.832827999999999</v>
      </c>
      <c r="GW161" s="37">
        <v>11.832827999999999</v>
      </c>
      <c r="GX161" s="37">
        <v>11.832827999999999</v>
      </c>
      <c r="GY161" s="37">
        <v>11.832827999999999</v>
      </c>
      <c r="GZ161" s="37">
        <v>11.832827999999999</v>
      </c>
      <c r="HA161" s="37">
        <v>11.832827999999999</v>
      </c>
      <c r="HB161" s="37">
        <v>11.832827999999999</v>
      </c>
      <c r="HC161" s="37">
        <v>11.832827999999999</v>
      </c>
      <c r="HD161" s="37">
        <v>11.832827999999999</v>
      </c>
      <c r="HE161" s="37">
        <v>11.832827999999999</v>
      </c>
      <c r="HF161" s="37">
        <v>11.832827999999999</v>
      </c>
      <c r="HG161" s="37">
        <v>11.832827999999999</v>
      </c>
      <c r="HH161" s="37">
        <v>11.832827999999999</v>
      </c>
      <c r="HI161" s="37">
        <v>11.832827999999999</v>
      </c>
      <c r="HJ161" s="37">
        <v>11.832827999999999</v>
      </c>
      <c r="HK161" s="37">
        <v>11.832827999999999</v>
      </c>
      <c r="HL161" s="37">
        <v>11.832827999999999</v>
      </c>
      <c r="HM161" s="37">
        <v>11.832827999999999</v>
      </c>
      <c r="HN161" s="37">
        <v>11.832827999999999</v>
      </c>
      <c r="HO161" s="37">
        <v>11.832827999999999</v>
      </c>
      <c r="HP161" s="37">
        <v>11.832827999999999</v>
      </c>
      <c r="HQ161" s="37">
        <v>11.832827999999999</v>
      </c>
      <c r="HR161" s="37">
        <v>11.832827999999999</v>
      </c>
      <c r="HS161" s="37">
        <v>11.832827999999999</v>
      </c>
      <c r="HT161" s="37">
        <v>11.832827999999999</v>
      </c>
      <c r="HU161" s="37">
        <v>11.832827999999999</v>
      </c>
      <c r="HV161" s="37">
        <v>11.832827999999999</v>
      </c>
      <c r="HW161" s="37">
        <v>11.832827999999999</v>
      </c>
      <c r="HX161" s="37">
        <v>11.832827999999999</v>
      </c>
      <c r="HY161" s="37">
        <v>11.832827999999999</v>
      </c>
      <c r="HZ161" s="37">
        <v>11.832827999999999</v>
      </c>
      <c r="IA161" s="37">
        <v>11.832827999999999</v>
      </c>
      <c r="IB161" s="37">
        <v>11.832827999999999</v>
      </c>
      <c r="IC161" s="37">
        <v>11.832827999999999</v>
      </c>
      <c r="ID161" s="37">
        <v>11.832827999999999</v>
      </c>
      <c r="IE161" s="37">
        <v>11.832827999999999</v>
      </c>
      <c r="IF161" s="37">
        <v>11.832827999999999</v>
      </c>
      <c r="IG161" s="37">
        <v>11.832827999999999</v>
      </c>
      <c r="IH161" s="37">
        <v>11.832827999999999</v>
      </c>
      <c r="II161" s="37">
        <v>11.832827999999999</v>
      </c>
      <c r="IJ161" s="37">
        <v>11.832827999999999</v>
      </c>
      <c r="IK161" s="37">
        <v>11.832827999999999</v>
      </c>
      <c r="IL161" s="37">
        <v>11.832827999999999</v>
      </c>
      <c r="IM161" s="37">
        <v>11.832827999999999</v>
      </c>
      <c r="IN161" s="37">
        <v>11.832827999999999</v>
      </c>
      <c r="IO161" s="37">
        <v>11.832827999999999</v>
      </c>
      <c r="IP161" s="37">
        <v>11.832827999999999</v>
      </c>
      <c r="IQ161" s="37">
        <v>11.832827999999999</v>
      </c>
      <c r="IR161" s="37">
        <v>11.832827999999999</v>
      </c>
      <c r="IS161" s="37">
        <v>11.832827999999999</v>
      </c>
      <c r="IT161" s="37">
        <v>11.832827999999999</v>
      </c>
      <c r="IU161" s="37">
        <v>11.832827999999999</v>
      </c>
      <c r="IV161" s="37">
        <v>11.832827999999999</v>
      </c>
      <c r="IW161" s="37">
        <v>11.832827999999999</v>
      </c>
      <c r="IX161" s="37">
        <v>11.832827999999999</v>
      </c>
      <c r="IY161" s="37">
        <v>11.832827999999999</v>
      </c>
      <c r="IZ161" s="37">
        <v>11.832827999999999</v>
      </c>
      <c r="JA161" s="37">
        <v>11.832827999999999</v>
      </c>
      <c r="JB161" s="37">
        <v>11.832827999999999</v>
      </c>
      <c r="JC161" s="37">
        <v>11.832827999999999</v>
      </c>
      <c r="JD161" s="37">
        <v>11.832827999999999</v>
      </c>
      <c r="JE161" s="37">
        <v>11.832827999999999</v>
      </c>
      <c r="JF161" s="37">
        <v>11.832827999999999</v>
      </c>
      <c r="JG161" s="37">
        <v>11.832827999999999</v>
      </c>
      <c r="JH161" s="37">
        <v>11.832827999999999</v>
      </c>
      <c r="JI161" s="37">
        <v>11.832827999999999</v>
      </c>
      <c r="JJ161" s="37">
        <v>11.832827999999999</v>
      </c>
      <c r="JK161" s="37">
        <v>11.832827999999999</v>
      </c>
      <c r="JL161" s="37">
        <v>11.832827999999999</v>
      </c>
      <c r="JM161" s="37">
        <v>11.832827999999999</v>
      </c>
      <c r="JN161" s="37">
        <v>11.832827999999999</v>
      </c>
      <c r="JO161" s="37">
        <v>11.832827999999999</v>
      </c>
      <c r="JP161" s="37">
        <v>11.832827999999999</v>
      </c>
      <c r="JQ161" s="37">
        <v>11.832827999999999</v>
      </c>
      <c r="JR161" s="37">
        <v>11.832827999999999</v>
      </c>
      <c r="JS161" s="37">
        <v>11.832827999999999</v>
      </c>
      <c r="JT161" s="37">
        <v>11.832827999999999</v>
      </c>
      <c r="JU161" s="37">
        <v>11.832827999999999</v>
      </c>
      <c r="JV161" s="37">
        <v>11.832827999999999</v>
      </c>
      <c r="JW161" s="37">
        <v>11.832827999999999</v>
      </c>
      <c r="JX161" s="37">
        <v>11.832827999999999</v>
      </c>
      <c r="JY161" s="37">
        <v>11.832827999999999</v>
      </c>
      <c r="JZ161" s="37">
        <v>11.832827999999999</v>
      </c>
      <c r="KA161" s="37">
        <v>11.832827999999999</v>
      </c>
      <c r="KB161" s="37">
        <v>11.832827999999999</v>
      </c>
      <c r="KC161" s="37">
        <v>11.832827999999999</v>
      </c>
      <c r="KD161" s="37">
        <v>11.832827999999999</v>
      </c>
      <c r="KE161" s="37">
        <v>11.832827999999999</v>
      </c>
      <c r="KF161" s="37">
        <v>11.832827999999999</v>
      </c>
      <c r="KG161" s="37">
        <v>11.832827999999999</v>
      </c>
      <c r="KH161" s="37">
        <v>11.832827999999999</v>
      </c>
      <c r="KI161" s="37">
        <v>11.832827999999999</v>
      </c>
      <c r="KJ161" s="37">
        <v>11.832827999999999</v>
      </c>
      <c r="KK161" s="37">
        <v>11.832827999999999</v>
      </c>
      <c r="KL161" s="37">
        <v>11.832827999999999</v>
      </c>
      <c r="KM161" s="37">
        <v>11.832827999999999</v>
      </c>
      <c r="KN161" s="37">
        <v>11.832827999999999</v>
      </c>
      <c r="KO161" s="37">
        <v>11.832827999999999</v>
      </c>
      <c r="KP161" s="37">
        <v>11.832827999999999</v>
      </c>
      <c r="KQ161" s="37">
        <v>11.832827999999999</v>
      </c>
      <c r="KR161" s="37">
        <v>11.832827999999999</v>
      </c>
      <c r="KS161" s="37">
        <v>11.832827999999999</v>
      </c>
      <c r="KT161" s="37">
        <v>11.832827999999999</v>
      </c>
      <c r="KU161" s="37">
        <v>11.832827999999999</v>
      </c>
      <c r="KV161" s="37">
        <v>11.832827999999999</v>
      </c>
      <c r="KW161" s="37">
        <v>11.832827999999999</v>
      </c>
      <c r="KX161" s="37">
        <v>11.832827999999999</v>
      </c>
      <c r="KY161" s="37">
        <v>11.832827999999999</v>
      </c>
      <c r="KZ161" s="37">
        <v>11.832827999999999</v>
      </c>
      <c r="LA161" s="37">
        <v>11.832827999999999</v>
      </c>
      <c r="LB161" s="37">
        <v>11.832827999999999</v>
      </c>
      <c r="LC161" s="37">
        <v>11.832827999999999</v>
      </c>
      <c r="LD161" s="37">
        <v>11.832827999999999</v>
      </c>
      <c r="LE161" s="37">
        <v>11.832827999999999</v>
      </c>
      <c r="LF161" s="37">
        <v>11.832827999999999</v>
      </c>
      <c r="LG161" s="37">
        <v>11.832827999999999</v>
      </c>
      <c r="LH161" s="37">
        <v>11.832827999999999</v>
      </c>
      <c r="LI161" s="37">
        <v>11.832827999999999</v>
      </c>
      <c r="LJ161" s="37">
        <v>11.832827999999999</v>
      </c>
      <c r="LK161" s="37">
        <v>11.832827999999999</v>
      </c>
      <c r="LL161" s="37">
        <v>11.832827999999999</v>
      </c>
      <c r="LM161" s="37">
        <v>11.832827999999999</v>
      </c>
      <c r="LN161" s="37">
        <v>11.832827999999999</v>
      </c>
      <c r="LO161" s="37">
        <v>11.832827999999999</v>
      </c>
      <c r="LP161" s="37">
        <v>11.832827999999999</v>
      </c>
      <c r="LQ161" s="37">
        <v>11.832827999999999</v>
      </c>
      <c r="LR161" s="37">
        <v>11.832827999999999</v>
      </c>
      <c r="LS161" s="37">
        <v>11.832827999999999</v>
      </c>
      <c r="LT161" s="37">
        <v>11.832827999999999</v>
      </c>
      <c r="LU161" s="37">
        <v>11.832827999999999</v>
      </c>
      <c r="LV161" s="37">
        <v>11.832827999999999</v>
      </c>
      <c r="LW161" s="37">
        <v>11.832827999999999</v>
      </c>
      <c r="LX161" s="37">
        <v>11.832827999999999</v>
      </c>
      <c r="LY161" s="37">
        <v>11.832827999999999</v>
      </c>
      <c r="LZ161" s="37">
        <v>11.832827999999999</v>
      </c>
      <c r="MA161" s="37">
        <v>11.832827999999999</v>
      </c>
      <c r="MB161" s="37">
        <v>11.832827999999999</v>
      </c>
      <c r="MC161" s="37">
        <v>11.832827999999999</v>
      </c>
      <c r="MD161" s="37">
        <v>11.832827999999999</v>
      </c>
      <c r="ME161" s="37">
        <v>11.832827999999999</v>
      </c>
      <c r="MF161" s="37">
        <v>11.832827999999999</v>
      </c>
      <c r="MG161" s="37">
        <v>11.832827999999999</v>
      </c>
      <c r="MH161" s="37">
        <v>11.832827999999999</v>
      </c>
      <c r="MI161" s="37">
        <v>11.832827999999999</v>
      </c>
      <c r="MJ161" s="37">
        <v>11.832827999999999</v>
      </c>
      <c r="MK161" s="37">
        <v>11.832827999999999</v>
      </c>
      <c r="ML161" s="37">
        <v>11.832827999999999</v>
      </c>
      <c r="MM161" s="37">
        <v>11.832827999999999</v>
      </c>
      <c r="MN161" s="37">
        <v>11.832827999999999</v>
      </c>
      <c r="MO161" s="37">
        <v>11.832827999999999</v>
      </c>
      <c r="MP161" s="37">
        <v>11.832827999999999</v>
      </c>
      <c r="MQ161" s="37">
        <v>11.832827999999999</v>
      </c>
      <c r="MR161" s="37">
        <v>11.832827999999999</v>
      </c>
      <c r="MS161" s="37">
        <v>11.832827999999999</v>
      </c>
      <c r="MT161" s="37">
        <v>11.832827999999999</v>
      </c>
      <c r="MU161" s="37">
        <v>11.832827999999999</v>
      </c>
      <c r="MV161" s="37">
        <v>11.832827999999999</v>
      </c>
      <c r="MW161" s="37">
        <v>11.832827999999999</v>
      </c>
      <c r="MX161" s="37">
        <v>11.832827999999999</v>
      </c>
      <c r="MY161" s="37">
        <v>11.832827999999999</v>
      </c>
      <c r="MZ161" s="37">
        <v>11.832827999999999</v>
      </c>
      <c r="NA161" s="37">
        <v>11.832827999999999</v>
      </c>
      <c r="NB161" s="37">
        <v>11.832827999999999</v>
      </c>
      <c r="NC161" s="37">
        <v>11.832827999999999</v>
      </c>
      <c r="ND161" s="37">
        <v>12.799137999999999</v>
      </c>
    </row>
    <row r="162" spans="1:372" x14ac:dyDescent="0.2">
      <c r="A162" s="37">
        <v>160</v>
      </c>
      <c r="B162" s="37" t="s">
        <v>1258</v>
      </c>
      <c r="C162" s="17">
        <f>+'Detalle Compras'!D162</f>
        <v>20240130023</v>
      </c>
      <c r="D162" s="55">
        <f t="shared" si="19"/>
        <v>6.3752500000000003</v>
      </c>
      <c r="E162" s="14">
        <f>+IF(B162="","",'Detalle Compras'!S162+0)</f>
        <v>45514</v>
      </c>
      <c r="F162" s="14">
        <f>+IF(B162="","",EOMONTH('Detalle Compras'!Q162,G162)+10)</f>
        <v>10846</v>
      </c>
      <c r="G162" s="50">
        <f t="shared" si="20"/>
        <v>355</v>
      </c>
      <c r="H162" s="50">
        <f t="shared" si="21"/>
        <v>337</v>
      </c>
      <c r="I162" s="37">
        <v>0</v>
      </c>
      <c r="J162" s="37">
        <v>0</v>
      </c>
      <c r="K162" s="37">
        <v>0</v>
      </c>
      <c r="L162" s="37">
        <v>0</v>
      </c>
      <c r="M162" s="37">
        <v>0</v>
      </c>
      <c r="N162" s="37">
        <v>6.3752500000000003</v>
      </c>
      <c r="O162" s="37">
        <v>6.3752500000000003</v>
      </c>
      <c r="P162" s="37">
        <v>6.3752500000000003</v>
      </c>
      <c r="Q162" s="37">
        <v>6.3752500000000003</v>
      </c>
      <c r="R162" s="37">
        <v>6.3752500000000003</v>
      </c>
      <c r="S162" s="37">
        <v>6.3752500000000003</v>
      </c>
      <c r="T162" s="37">
        <v>6.3752500000000003</v>
      </c>
      <c r="U162" s="37">
        <v>6.3752500000000003</v>
      </c>
      <c r="V162" s="37">
        <v>6.3752500000000003</v>
      </c>
      <c r="W162" s="37">
        <v>6.3752500000000003</v>
      </c>
      <c r="X162" s="37">
        <v>6.3752500000000003</v>
      </c>
      <c r="Y162" s="37">
        <v>6.3752500000000003</v>
      </c>
      <c r="Z162" s="37">
        <v>6.3752500000000003</v>
      </c>
      <c r="AA162" s="37">
        <v>6.3752500000000003</v>
      </c>
      <c r="AB162" s="37">
        <v>6.3752500000000003</v>
      </c>
      <c r="AC162" s="37">
        <v>6.3752500000000003</v>
      </c>
      <c r="AD162" s="37">
        <v>6.3752500000000003</v>
      </c>
      <c r="AE162" s="37">
        <v>6.3752500000000003</v>
      </c>
      <c r="AF162" s="37">
        <v>6.3752500000000003</v>
      </c>
      <c r="AG162" s="37">
        <v>6.3752500000000003</v>
      </c>
      <c r="AH162" s="37">
        <v>6.3752500000000003</v>
      </c>
      <c r="AI162" s="37">
        <v>6.3752500000000003</v>
      </c>
      <c r="AJ162" s="37">
        <v>6.3752500000000003</v>
      </c>
      <c r="AK162" s="37">
        <v>6.3752500000000003</v>
      </c>
      <c r="AL162" s="37">
        <v>6.3752500000000003</v>
      </c>
      <c r="AM162" s="37">
        <v>6.3752500000000003</v>
      </c>
      <c r="AN162" s="37">
        <v>6.3752500000000003</v>
      </c>
      <c r="AO162" s="37">
        <v>6.3752500000000003</v>
      </c>
      <c r="AP162" s="37">
        <v>6.3752500000000003</v>
      </c>
      <c r="AQ162" s="37">
        <v>6.3752500000000003</v>
      </c>
      <c r="AR162" s="37">
        <v>6.3752500000000003</v>
      </c>
      <c r="AS162" s="37">
        <v>6.3752500000000003</v>
      </c>
      <c r="AT162" s="37">
        <v>6.3752500000000003</v>
      </c>
      <c r="AU162" s="37">
        <v>6.3752500000000003</v>
      </c>
      <c r="AV162" s="37">
        <v>6.3752500000000003</v>
      </c>
      <c r="AW162" s="37">
        <v>6.3752500000000003</v>
      </c>
      <c r="AX162" s="37">
        <v>6.3752500000000003</v>
      </c>
      <c r="AY162" s="37">
        <v>6.3752500000000003</v>
      </c>
      <c r="AZ162" s="37">
        <v>6.3752500000000003</v>
      </c>
      <c r="BA162" s="37">
        <v>6.3752500000000003</v>
      </c>
      <c r="BB162" s="37">
        <v>6.3752500000000003</v>
      </c>
      <c r="BC162" s="37">
        <v>6.3752500000000003</v>
      </c>
      <c r="BD162" s="37">
        <v>6.3752500000000003</v>
      </c>
      <c r="BE162" s="37">
        <v>6.3752500000000003</v>
      </c>
      <c r="BF162" s="37">
        <v>6.3752500000000003</v>
      </c>
      <c r="BG162" s="37">
        <v>6.3752500000000003</v>
      </c>
      <c r="BH162" s="37">
        <v>6.3752500000000003</v>
      </c>
      <c r="BI162" s="37">
        <v>6.3752500000000003</v>
      </c>
      <c r="BJ162" s="37">
        <v>6.3752500000000003</v>
      </c>
      <c r="BK162" s="37">
        <v>6.3752500000000003</v>
      </c>
      <c r="BL162" s="37">
        <v>6.3752500000000003</v>
      </c>
      <c r="BM162" s="37">
        <v>6.3752500000000003</v>
      </c>
      <c r="BN162" s="37">
        <v>6.3752500000000003</v>
      </c>
      <c r="BO162" s="37">
        <v>6.3752500000000003</v>
      </c>
      <c r="BP162" s="37">
        <v>6.3752500000000003</v>
      </c>
      <c r="BQ162" s="37">
        <v>6.3752500000000003</v>
      </c>
      <c r="BR162" s="37">
        <v>6.3752500000000003</v>
      </c>
      <c r="BS162" s="37">
        <v>6.3752500000000003</v>
      </c>
      <c r="BT162" s="37">
        <v>6.3752500000000003</v>
      </c>
      <c r="BU162" s="37">
        <v>6.3752500000000003</v>
      </c>
      <c r="BV162" s="37">
        <v>6.3752500000000003</v>
      </c>
      <c r="BW162" s="37">
        <v>6.3752500000000003</v>
      </c>
      <c r="BX162" s="37">
        <v>6.3752500000000003</v>
      </c>
      <c r="BY162" s="37">
        <v>6.3752500000000003</v>
      </c>
      <c r="BZ162" s="37">
        <v>6.3752500000000003</v>
      </c>
      <c r="CA162" s="37">
        <v>6.3752500000000003</v>
      </c>
      <c r="CB162" s="37">
        <v>6.3752500000000003</v>
      </c>
      <c r="CC162" s="37">
        <v>6.3752500000000003</v>
      </c>
      <c r="CD162" s="37">
        <v>6.3752500000000003</v>
      </c>
      <c r="CE162" s="37">
        <v>6.3752500000000003</v>
      </c>
      <c r="CF162" s="37">
        <v>6.3752500000000003</v>
      </c>
      <c r="CG162" s="37">
        <v>6.3752500000000003</v>
      </c>
      <c r="CH162" s="37">
        <v>6.3752500000000003</v>
      </c>
      <c r="CI162" s="37">
        <v>6.3752500000000003</v>
      </c>
      <c r="CJ162" s="37">
        <v>6.3752500000000003</v>
      </c>
      <c r="CK162" s="37">
        <v>6.3752500000000003</v>
      </c>
      <c r="CL162" s="37">
        <v>6.3752500000000003</v>
      </c>
      <c r="CM162" s="37">
        <v>6.3752500000000003</v>
      </c>
      <c r="CN162" s="37">
        <v>6.3752500000000003</v>
      </c>
      <c r="CO162" s="37">
        <v>6.3752500000000003</v>
      </c>
      <c r="CP162" s="37">
        <v>6.3752500000000003</v>
      </c>
      <c r="CQ162" s="37">
        <v>6.3752500000000003</v>
      </c>
      <c r="CR162" s="37">
        <v>6.3752500000000003</v>
      </c>
      <c r="CS162" s="37">
        <v>6.3752500000000003</v>
      </c>
      <c r="CT162" s="37">
        <v>6.3752500000000003</v>
      </c>
      <c r="CU162" s="37">
        <v>6.3752500000000003</v>
      </c>
      <c r="CV162" s="37">
        <v>6.3752500000000003</v>
      </c>
      <c r="CW162" s="37">
        <v>6.3752500000000003</v>
      </c>
      <c r="CX162" s="37">
        <v>6.3752500000000003</v>
      </c>
      <c r="CY162" s="37">
        <v>6.3752500000000003</v>
      </c>
      <c r="CZ162" s="37">
        <v>6.3752500000000003</v>
      </c>
      <c r="DA162" s="37">
        <v>6.3752500000000003</v>
      </c>
      <c r="DB162" s="37">
        <v>6.3752500000000003</v>
      </c>
      <c r="DC162" s="37">
        <v>6.3752500000000003</v>
      </c>
      <c r="DD162" s="37">
        <v>6.3752500000000003</v>
      </c>
      <c r="DE162" s="37">
        <v>6.3752500000000003</v>
      </c>
      <c r="DF162" s="37">
        <v>6.3752500000000003</v>
      </c>
      <c r="DG162" s="37">
        <v>6.3752500000000003</v>
      </c>
      <c r="DH162" s="37">
        <v>6.3752500000000003</v>
      </c>
      <c r="DI162" s="37">
        <v>6.3752500000000003</v>
      </c>
      <c r="DJ162" s="37">
        <v>6.3752500000000003</v>
      </c>
      <c r="DK162" s="37">
        <v>6.3752500000000003</v>
      </c>
      <c r="DL162" s="37">
        <v>6.3752500000000003</v>
      </c>
      <c r="DM162" s="37">
        <v>6.3752500000000003</v>
      </c>
      <c r="DN162" s="37">
        <v>6.3752500000000003</v>
      </c>
      <c r="DO162" s="37">
        <v>6.3752500000000003</v>
      </c>
      <c r="DP162" s="37">
        <v>6.3752500000000003</v>
      </c>
      <c r="DQ162" s="37">
        <v>6.3752500000000003</v>
      </c>
      <c r="DR162" s="37">
        <v>6.3752500000000003</v>
      </c>
      <c r="DS162" s="37">
        <v>6.3752500000000003</v>
      </c>
      <c r="DT162" s="37">
        <v>6.3752500000000003</v>
      </c>
      <c r="DU162" s="37">
        <v>6.3752500000000003</v>
      </c>
      <c r="DV162" s="37">
        <v>6.3752500000000003</v>
      </c>
      <c r="DW162" s="37">
        <v>6.3752500000000003</v>
      </c>
      <c r="DX162" s="37">
        <v>6.3752500000000003</v>
      </c>
      <c r="DY162" s="37">
        <v>6.3752500000000003</v>
      </c>
      <c r="DZ162" s="37">
        <v>6.3752500000000003</v>
      </c>
      <c r="EA162" s="37">
        <v>6.3752500000000003</v>
      </c>
      <c r="EB162" s="37">
        <v>6.3752500000000003</v>
      </c>
      <c r="EC162" s="37">
        <v>6.3752500000000003</v>
      </c>
      <c r="ED162" s="37">
        <v>6.3752500000000003</v>
      </c>
      <c r="EE162" s="37">
        <v>6.3752500000000003</v>
      </c>
      <c r="EF162" s="37">
        <v>6.3752500000000003</v>
      </c>
      <c r="EG162" s="37">
        <v>6.3752500000000003</v>
      </c>
      <c r="EH162" s="37">
        <v>6.3752500000000003</v>
      </c>
      <c r="EI162" s="37">
        <v>6.3752500000000003</v>
      </c>
      <c r="EJ162" s="37">
        <v>6.3752500000000003</v>
      </c>
      <c r="EK162" s="37">
        <v>6.3752500000000003</v>
      </c>
      <c r="EL162" s="37">
        <v>6.3752500000000003</v>
      </c>
      <c r="EM162" s="37">
        <v>6.3752500000000003</v>
      </c>
      <c r="EN162" s="37">
        <v>6.3752500000000003</v>
      </c>
      <c r="EO162" s="37">
        <v>6.3752500000000003</v>
      </c>
      <c r="EP162" s="37">
        <v>6.3752500000000003</v>
      </c>
      <c r="EQ162" s="37">
        <v>6.3752500000000003</v>
      </c>
      <c r="ER162" s="37">
        <v>6.3752500000000003</v>
      </c>
      <c r="ES162" s="37">
        <v>6.3752500000000003</v>
      </c>
      <c r="ET162" s="37">
        <v>6.3752500000000003</v>
      </c>
      <c r="EU162" s="37">
        <v>6.3752500000000003</v>
      </c>
      <c r="EV162" s="37">
        <v>6.3752500000000003</v>
      </c>
      <c r="EW162" s="37">
        <v>6.3752500000000003</v>
      </c>
      <c r="EX162" s="37">
        <v>6.3752500000000003</v>
      </c>
      <c r="EY162" s="37">
        <v>6.3752500000000003</v>
      </c>
      <c r="EZ162" s="37">
        <v>6.3752500000000003</v>
      </c>
      <c r="FA162" s="37">
        <v>6.3752500000000003</v>
      </c>
      <c r="FB162" s="37">
        <v>6.3752500000000003</v>
      </c>
      <c r="FC162" s="37">
        <v>6.3752500000000003</v>
      </c>
      <c r="FD162" s="37">
        <v>6.3752500000000003</v>
      </c>
      <c r="FE162" s="37">
        <v>6.3752500000000003</v>
      </c>
      <c r="FF162" s="37">
        <v>6.3752500000000003</v>
      </c>
      <c r="FG162" s="37">
        <v>6.3752500000000003</v>
      </c>
      <c r="FH162" s="37">
        <v>6.3752500000000003</v>
      </c>
      <c r="FI162" s="37">
        <v>6.3752500000000003</v>
      </c>
      <c r="FJ162" s="37">
        <v>6.3752500000000003</v>
      </c>
      <c r="FK162" s="37">
        <v>6.3752500000000003</v>
      </c>
      <c r="FL162" s="37">
        <v>6.3752500000000003</v>
      </c>
      <c r="FM162" s="37">
        <v>6.3752500000000003</v>
      </c>
      <c r="FN162" s="37">
        <v>6.3752500000000003</v>
      </c>
      <c r="FO162" s="37">
        <v>6.3752500000000003</v>
      </c>
      <c r="FP162" s="37">
        <v>6.3752500000000003</v>
      </c>
      <c r="FQ162" s="37">
        <v>6.3752500000000003</v>
      </c>
      <c r="FR162" s="37">
        <v>6.3752500000000003</v>
      </c>
      <c r="FS162" s="37">
        <v>6.3752500000000003</v>
      </c>
      <c r="FT162" s="37">
        <v>6.3752500000000003</v>
      </c>
      <c r="FU162" s="37">
        <v>6.3752500000000003</v>
      </c>
      <c r="FV162" s="37">
        <v>6.3752500000000003</v>
      </c>
      <c r="FW162" s="37">
        <v>6.3752500000000003</v>
      </c>
      <c r="FX162" s="37">
        <v>6.3752500000000003</v>
      </c>
      <c r="FY162" s="37">
        <v>6.3752500000000003</v>
      </c>
      <c r="FZ162" s="37">
        <v>6.3752500000000003</v>
      </c>
      <c r="GA162" s="37">
        <v>6.3752500000000003</v>
      </c>
      <c r="GB162" s="37">
        <v>6.3752500000000003</v>
      </c>
      <c r="GC162" s="37">
        <v>6.3752500000000003</v>
      </c>
      <c r="GD162" s="37">
        <v>6.3752500000000003</v>
      </c>
      <c r="GE162" s="37">
        <v>6.3752500000000003</v>
      </c>
      <c r="GF162" s="37">
        <v>6.3752500000000003</v>
      </c>
      <c r="GG162" s="37">
        <v>6.3752500000000003</v>
      </c>
      <c r="GH162" s="37">
        <v>6.3752500000000003</v>
      </c>
      <c r="GI162" s="37">
        <v>6.3752500000000003</v>
      </c>
      <c r="GJ162" s="37">
        <v>6.3752500000000003</v>
      </c>
      <c r="GK162" s="37">
        <v>6.3752500000000003</v>
      </c>
      <c r="GL162" s="37">
        <v>6.3752500000000003</v>
      </c>
      <c r="GM162" s="37">
        <v>6.3752500000000003</v>
      </c>
      <c r="GN162" s="37">
        <v>6.3752500000000003</v>
      </c>
      <c r="GO162" s="37">
        <v>6.3752500000000003</v>
      </c>
      <c r="GP162" s="37">
        <v>6.3752500000000003</v>
      </c>
      <c r="GQ162" s="37">
        <v>6.3752500000000003</v>
      </c>
      <c r="GR162" s="37">
        <v>6.3752500000000003</v>
      </c>
      <c r="GS162" s="37">
        <v>6.3752500000000003</v>
      </c>
      <c r="GT162" s="37">
        <v>6.3752500000000003</v>
      </c>
      <c r="GU162" s="37">
        <v>6.3752500000000003</v>
      </c>
      <c r="GV162" s="37">
        <v>6.3752500000000003</v>
      </c>
      <c r="GW162" s="37">
        <v>6.3752500000000003</v>
      </c>
      <c r="GX162" s="37">
        <v>6.3752500000000003</v>
      </c>
      <c r="GY162" s="37">
        <v>6.3752500000000003</v>
      </c>
      <c r="GZ162" s="37">
        <v>6.3752500000000003</v>
      </c>
      <c r="HA162" s="37">
        <v>6.3752500000000003</v>
      </c>
      <c r="HB162" s="37">
        <v>6.3752500000000003</v>
      </c>
      <c r="HC162" s="37">
        <v>6.3752500000000003</v>
      </c>
      <c r="HD162" s="37">
        <v>6.3752500000000003</v>
      </c>
      <c r="HE162" s="37">
        <v>6.3752500000000003</v>
      </c>
      <c r="HF162" s="37">
        <v>6.3752500000000003</v>
      </c>
      <c r="HG162" s="37">
        <v>6.3752500000000003</v>
      </c>
      <c r="HH162" s="37">
        <v>6.3752500000000003</v>
      </c>
      <c r="HI162" s="37">
        <v>6.3752500000000003</v>
      </c>
      <c r="HJ162" s="37">
        <v>6.3752500000000003</v>
      </c>
      <c r="HK162" s="37">
        <v>6.3752500000000003</v>
      </c>
      <c r="HL162" s="37">
        <v>6.3752500000000003</v>
      </c>
      <c r="HM162" s="37">
        <v>6.3752500000000003</v>
      </c>
      <c r="HN162" s="37">
        <v>6.3752500000000003</v>
      </c>
      <c r="HO162" s="37">
        <v>6.3752500000000003</v>
      </c>
      <c r="HP162" s="37">
        <v>6.3752500000000003</v>
      </c>
      <c r="HQ162" s="37">
        <v>6.3752500000000003</v>
      </c>
      <c r="HR162" s="37">
        <v>6.3752500000000003</v>
      </c>
      <c r="HS162" s="37">
        <v>6.3752500000000003</v>
      </c>
      <c r="HT162" s="37">
        <v>6.3752500000000003</v>
      </c>
      <c r="HU162" s="37">
        <v>6.3752500000000003</v>
      </c>
      <c r="HV162" s="37">
        <v>6.3752500000000003</v>
      </c>
      <c r="HW162" s="37">
        <v>6.3752500000000003</v>
      </c>
      <c r="HX162" s="37">
        <v>6.3752500000000003</v>
      </c>
      <c r="HY162" s="37">
        <v>6.3752500000000003</v>
      </c>
      <c r="HZ162" s="37">
        <v>6.3752500000000003</v>
      </c>
      <c r="IA162" s="37">
        <v>6.3752500000000003</v>
      </c>
      <c r="IB162" s="37">
        <v>6.3752500000000003</v>
      </c>
      <c r="IC162" s="37">
        <v>6.3752500000000003</v>
      </c>
      <c r="ID162" s="37">
        <v>6.3752500000000003</v>
      </c>
      <c r="IE162" s="37">
        <v>6.3752500000000003</v>
      </c>
      <c r="IF162" s="37">
        <v>6.3752500000000003</v>
      </c>
      <c r="IG162" s="37">
        <v>6.3752500000000003</v>
      </c>
      <c r="IH162" s="37">
        <v>6.3752500000000003</v>
      </c>
      <c r="II162" s="37">
        <v>6.3752500000000003</v>
      </c>
      <c r="IJ162" s="37">
        <v>6.3752500000000003</v>
      </c>
      <c r="IK162" s="37">
        <v>6.3752500000000003</v>
      </c>
      <c r="IL162" s="37">
        <v>6.3752500000000003</v>
      </c>
      <c r="IM162" s="37">
        <v>6.3752500000000003</v>
      </c>
      <c r="IN162" s="37">
        <v>6.3752500000000003</v>
      </c>
      <c r="IO162" s="37">
        <v>6.3752500000000003</v>
      </c>
      <c r="IP162" s="37">
        <v>6.3752500000000003</v>
      </c>
      <c r="IQ162" s="37">
        <v>6.3752500000000003</v>
      </c>
      <c r="IR162" s="37">
        <v>6.3752500000000003</v>
      </c>
      <c r="IS162" s="37">
        <v>6.3752500000000003</v>
      </c>
      <c r="IT162" s="37">
        <v>6.3752500000000003</v>
      </c>
      <c r="IU162" s="37">
        <v>6.3752500000000003</v>
      </c>
      <c r="IV162" s="37">
        <v>6.3752500000000003</v>
      </c>
      <c r="IW162" s="37">
        <v>6.3752500000000003</v>
      </c>
      <c r="IX162" s="37">
        <v>6.3752500000000003</v>
      </c>
      <c r="IY162" s="37">
        <v>6.3752500000000003</v>
      </c>
      <c r="IZ162" s="37">
        <v>6.3752500000000003</v>
      </c>
      <c r="JA162" s="37">
        <v>6.3752500000000003</v>
      </c>
      <c r="JB162" s="37">
        <v>6.3752500000000003</v>
      </c>
      <c r="JC162" s="37">
        <v>6.3752500000000003</v>
      </c>
      <c r="JD162" s="37">
        <v>6.3752500000000003</v>
      </c>
      <c r="JE162" s="37">
        <v>6.3752500000000003</v>
      </c>
      <c r="JF162" s="37">
        <v>6.3752500000000003</v>
      </c>
      <c r="JG162" s="37">
        <v>6.3752500000000003</v>
      </c>
      <c r="JH162" s="37">
        <v>6.3752500000000003</v>
      </c>
      <c r="JI162" s="37">
        <v>6.3752500000000003</v>
      </c>
      <c r="JJ162" s="37">
        <v>6.3752500000000003</v>
      </c>
      <c r="JK162" s="37">
        <v>6.3752500000000003</v>
      </c>
      <c r="JL162" s="37">
        <v>6.3752500000000003</v>
      </c>
      <c r="JM162" s="37">
        <v>6.3752500000000003</v>
      </c>
      <c r="JN162" s="37">
        <v>6.3752500000000003</v>
      </c>
      <c r="JO162" s="37">
        <v>6.3752500000000003</v>
      </c>
      <c r="JP162" s="37">
        <v>6.3752500000000003</v>
      </c>
      <c r="JQ162" s="37">
        <v>6.3752500000000003</v>
      </c>
      <c r="JR162" s="37">
        <v>6.3752500000000003</v>
      </c>
      <c r="JS162" s="37">
        <v>6.3752500000000003</v>
      </c>
      <c r="JT162" s="37">
        <v>6.3752500000000003</v>
      </c>
      <c r="JU162" s="37">
        <v>6.3752500000000003</v>
      </c>
      <c r="JV162" s="37">
        <v>6.3752500000000003</v>
      </c>
      <c r="JW162" s="37">
        <v>6.3752500000000003</v>
      </c>
      <c r="JX162" s="37">
        <v>6.3752500000000003</v>
      </c>
      <c r="JY162" s="37">
        <v>6.3752500000000003</v>
      </c>
      <c r="JZ162" s="37">
        <v>6.3752500000000003</v>
      </c>
      <c r="KA162" s="37">
        <v>6.3752500000000003</v>
      </c>
      <c r="KB162" s="37">
        <v>6.3752500000000003</v>
      </c>
      <c r="KC162" s="37">
        <v>6.3752500000000003</v>
      </c>
      <c r="KD162" s="37">
        <v>6.3752500000000003</v>
      </c>
      <c r="KE162" s="37">
        <v>6.3752500000000003</v>
      </c>
      <c r="KF162" s="37">
        <v>6.3752500000000003</v>
      </c>
      <c r="KG162" s="37">
        <v>6.3752500000000003</v>
      </c>
      <c r="KH162" s="37">
        <v>6.3752500000000003</v>
      </c>
      <c r="KI162" s="37">
        <v>6.3752500000000003</v>
      </c>
      <c r="KJ162" s="37">
        <v>6.3752500000000003</v>
      </c>
      <c r="KK162" s="37">
        <v>6.3752500000000003</v>
      </c>
      <c r="KL162" s="37">
        <v>6.3752500000000003</v>
      </c>
      <c r="KM162" s="37">
        <v>6.3752500000000003</v>
      </c>
      <c r="KN162" s="37">
        <v>6.3752500000000003</v>
      </c>
      <c r="KO162" s="37">
        <v>6.3752500000000003</v>
      </c>
      <c r="KP162" s="37">
        <v>6.3752500000000003</v>
      </c>
      <c r="KQ162" s="37">
        <v>6.3752500000000003</v>
      </c>
      <c r="KR162" s="37">
        <v>6.3752500000000003</v>
      </c>
      <c r="KS162" s="37">
        <v>6.3752500000000003</v>
      </c>
      <c r="KT162" s="37">
        <v>6.3752500000000003</v>
      </c>
      <c r="KU162" s="37">
        <v>6.3752500000000003</v>
      </c>
      <c r="KV162" s="37">
        <v>6.3752500000000003</v>
      </c>
      <c r="KW162" s="37">
        <v>6.3752500000000003</v>
      </c>
      <c r="KX162" s="37">
        <v>6.3752500000000003</v>
      </c>
      <c r="KY162" s="37">
        <v>6.3752500000000003</v>
      </c>
      <c r="KZ162" s="37">
        <v>6.3752500000000003</v>
      </c>
      <c r="LA162" s="37">
        <v>6.3752500000000003</v>
      </c>
      <c r="LB162" s="37">
        <v>6.3752500000000003</v>
      </c>
      <c r="LC162" s="37">
        <v>6.3752500000000003</v>
      </c>
      <c r="LD162" s="37">
        <v>6.3752500000000003</v>
      </c>
      <c r="LE162" s="37">
        <v>6.3752500000000003</v>
      </c>
      <c r="LF162" s="37">
        <v>6.3752500000000003</v>
      </c>
      <c r="LG162" s="37">
        <v>6.3752500000000003</v>
      </c>
      <c r="LH162" s="37">
        <v>6.3752500000000003</v>
      </c>
      <c r="LI162" s="37">
        <v>6.3752500000000003</v>
      </c>
      <c r="LJ162" s="37">
        <v>6.3752500000000003</v>
      </c>
      <c r="LK162" s="37">
        <v>6.3752500000000003</v>
      </c>
      <c r="LL162" s="37">
        <v>6.3752500000000003</v>
      </c>
      <c r="LM162" s="37">
        <v>6.3752500000000003</v>
      </c>
      <c r="LN162" s="37">
        <v>6.3752500000000003</v>
      </c>
      <c r="LO162" s="37">
        <v>6.3752500000000003</v>
      </c>
      <c r="LP162" s="37">
        <v>6.3752500000000003</v>
      </c>
      <c r="LQ162" s="37">
        <v>6.3752500000000003</v>
      </c>
      <c r="LR162" s="37">
        <v>6.3752500000000003</v>
      </c>
      <c r="LS162" s="37">
        <v>6.3752500000000003</v>
      </c>
      <c r="LT162" s="37">
        <v>6.3752500000000003</v>
      </c>
      <c r="LU162" s="37">
        <v>6.3752500000000003</v>
      </c>
      <c r="LV162" s="37">
        <v>6.3752500000000003</v>
      </c>
      <c r="LW162" s="37">
        <v>6.3752500000000003</v>
      </c>
      <c r="LX162" s="37">
        <v>6.3752500000000003</v>
      </c>
      <c r="LY162" s="37">
        <v>6.3752500000000003</v>
      </c>
      <c r="LZ162" s="37">
        <v>6.3752500000000003</v>
      </c>
      <c r="MA162" s="37">
        <v>6.3752500000000003</v>
      </c>
      <c r="MB162" s="37">
        <v>6.3752500000000003</v>
      </c>
      <c r="MC162" s="37">
        <v>6.3752500000000003</v>
      </c>
      <c r="MD162" s="37">
        <v>6.3752500000000003</v>
      </c>
      <c r="ME162" s="37">
        <v>6.3752500000000003</v>
      </c>
      <c r="MF162" s="37">
        <v>6.3752500000000003</v>
      </c>
      <c r="MG162" s="37">
        <v>6.3752500000000003</v>
      </c>
      <c r="MH162" s="37">
        <v>6.3752500000000003</v>
      </c>
      <c r="MI162" s="37">
        <v>6.3752500000000003</v>
      </c>
      <c r="MJ162" s="37">
        <v>6.3752500000000003</v>
      </c>
      <c r="MK162" s="37">
        <v>6.3752500000000003</v>
      </c>
      <c r="ML162" s="37">
        <v>6.3752500000000003</v>
      </c>
      <c r="MM162" s="37">
        <v>6.3752500000000003</v>
      </c>
      <c r="MN162" s="37">
        <v>6.3752500000000003</v>
      </c>
      <c r="MO162" s="37">
        <v>6.3752500000000003</v>
      </c>
      <c r="MP162" s="37">
        <v>6.3752500000000003</v>
      </c>
      <c r="MQ162" s="37">
        <v>6.3752500000000003</v>
      </c>
      <c r="MR162" s="37">
        <v>6.3752500000000003</v>
      </c>
      <c r="MS162" s="37">
        <v>6.3752500000000003</v>
      </c>
      <c r="MT162" s="37">
        <v>6.3752500000000003</v>
      </c>
      <c r="MU162" s="37">
        <v>6.3752500000000003</v>
      </c>
      <c r="MV162" s="37">
        <v>6.3752500000000003</v>
      </c>
      <c r="MW162" s="37">
        <v>6.3752500000000003</v>
      </c>
      <c r="MX162" s="37">
        <v>6.3752500000000003</v>
      </c>
      <c r="MY162" s="37">
        <v>6.3752500000000003</v>
      </c>
      <c r="MZ162" s="37">
        <v>6.3752500000000003</v>
      </c>
      <c r="NA162" s="37">
        <v>6.3752500000000003</v>
      </c>
      <c r="NB162" s="37">
        <v>6.3752500000000003</v>
      </c>
      <c r="NC162" s="37">
        <v>6.3752500000000003</v>
      </c>
      <c r="ND162" s="37">
        <v>6.8958750000000002</v>
      </c>
    </row>
    <row r="163" spans="1:372" x14ac:dyDescent="0.2">
      <c r="A163" s="37">
        <v>161</v>
      </c>
      <c r="B163" s="37" t="s">
        <v>1262</v>
      </c>
      <c r="C163" s="17">
        <f>+'Detalle Compras'!D163</f>
        <v>20240131024</v>
      </c>
      <c r="D163" s="55">
        <f t="shared" si="19"/>
        <v>11.985469999999999</v>
      </c>
      <c r="E163" s="14">
        <f>+IF(B163="","",'Detalle Compras'!S163+0)</f>
        <v>45514</v>
      </c>
      <c r="F163" s="14">
        <f>+IF(B163="","",EOMONTH('Detalle Compras'!Q163,G163)+10)</f>
        <v>10846</v>
      </c>
      <c r="G163" s="50">
        <f t="shared" si="20"/>
        <v>355</v>
      </c>
      <c r="H163" s="50">
        <f t="shared" si="21"/>
        <v>337</v>
      </c>
      <c r="I163" s="37">
        <v>0</v>
      </c>
      <c r="J163" s="37">
        <v>0</v>
      </c>
      <c r="K163" s="37">
        <v>0</v>
      </c>
      <c r="L163" s="37">
        <v>0</v>
      </c>
      <c r="M163" s="37">
        <v>0</v>
      </c>
      <c r="N163" s="37">
        <v>11.985469999999999</v>
      </c>
      <c r="O163" s="37">
        <v>11.985469999999999</v>
      </c>
      <c r="P163" s="37">
        <v>11.985469999999999</v>
      </c>
      <c r="Q163" s="37">
        <v>11.985469999999999</v>
      </c>
      <c r="R163" s="37">
        <v>11.985469999999999</v>
      </c>
      <c r="S163" s="37">
        <v>11.985469999999999</v>
      </c>
      <c r="T163" s="37">
        <v>11.985469999999999</v>
      </c>
      <c r="U163" s="37">
        <v>11.985469999999999</v>
      </c>
      <c r="V163" s="37">
        <v>11.985469999999999</v>
      </c>
      <c r="W163" s="37">
        <v>11.985469999999999</v>
      </c>
      <c r="X163" s="37">
        <v>11.985469999999999</v>
      </c>
      <c r="Y163" s="37">
        <v>11.985469999999999</v>
      </c>
      <c r="Z163" s="37">
        <v>11.985469999999999</v>
      </c>
      <c r="AA163" s="37">
        <v>11.985469999999999</v>
      </c>
      <c r="AB163" s="37">
        <v>11.985469999999999</v>
      </c>
      <c r="AC163" s="37">
        <v>11.985469999999999</v>
      </c>
      <c r="AD163" s="37">
        <v>11.985469999999999</v>
      </c>
      <c r="AE163" s="37">
        <v>11.985469999999999</v>
      </c>
      <c r="AF163" s="37">
        <v>11.985469999999999</v>
      </c>
      <c r="AG163" s="37">
        <v>11.985469999999999</v>
      </c>
      <c r="AH163" s="37">
        <v>11.985469999999999</v>
      </c>
      <c r="AI163" s="37">
        <v>11.985469999999999</v>
      </c>
      <c r="AJ163" s="37">
        <v>11.985469999999999</v>
      </c>
      <c r="AK163" s="37">
        <v>11.985469999999999</v>
      </c>
      <c r="AL163" s="37">
        <v>11.985469999999999</v>
      </c>
      <c r="AM163" s="37">
        <v>11.985469999999999</v>
      </c>
      <c r="AN163" s="37">
        <v>11.985469999999999</v>
      </c>
      <c r="AO163" s="37">
        <v>11.985469999999999</v>
      </c>
      <c r="AP163" s="37">
        <v>11.985469999999999</v>
      </c>
      <c r="AQ163" s="37">
        <v>11.985469999999999</v>
      </c>
      <c r="AR163" s="37">
        <v>11.985469999999999</v>
      </c>
      <c r="AS163" s="37">
        <v>11.985469999999999</v>
      </c>
      <c r="AT163" s="37">
        <v>11.985469999999999</v>
      </c>
      <c r="AU163" s="37">
        <v>11.985469999999999</v>
      </c>
      <c r="AV163" s="37">
        <v>11.985469999999999</v>
      </c>
      <c r="AW163" s="37">
        <v>11.985469999999999</v>
      </c>
      <c r="AX163" s="37">
        <v>11.985469999999999</v>
      </c>
      <c r="AY163" s="37">
        <v>11.985469999999999</v>
      </c>
      <c r="AZ163" s="37">
        <v>11.985469999999999</v>
      </c>
      <c r="BA163" s="37">
        <v>11.985469999999999</v>
      </c>
      <c r="BB163" s="37">
        <v>11.985469999999999</v>
      </c>
      <c r="BC163" s="37">
        <v>11.985469999999999</v>
      </c>
      <c r="BD163" s="37">
        <v>11.985469999999999</v>
      </c>
      <c r="BE163" s="37">
        <v>11.985469999999999</v>
      </c>
      <c r="BF163" s="37">
        <v>11.985469999999999</v>
      </c>
      <c r="BG163" s="37">
        <v>11.985469999999999</v>
      </c>
      <c r="BH163" s="37">
        <v>11.985469999999999</v>
      </c>
      <c r="BI163" s="37">
        <v>11.985469999999999</v>
      </c>
      <c r="BJ163" s="37">
        <v>11.985469999999999</v>
      </c>
      <c r="BK163" s="37">
        <v>11.985469999999999</v>
      </c>
      <c r="BL163" s="37">
        <v>11.985469999999999</v>
      </c>
      <c r="BM163" s="37">
        <v>11.985469999999999</v>
      </c>
      <c r="BN163" s="37">
        <v>11.985469999999999</v>
      </c>
      <c r="BO163" s="37">
        <v>11.985469999999999</v>
      </c>
      <c r="BP163" s="37">
        <v>11.985469999999999</v>
      </c>
      <c r="BQ163" s="37">
        <v>11.985469999999999</v>
      </c>
      <c r="BR163" s="37">
        <v>11.985469999999999</v>
      </c>
      <c r="BS163" s="37">
        <v>11.985469999999999</v>
      </c>
      <c r="BT163" s="37">
        <v>11.985469999999999</v>
      </c>
      <c r="BU163" s="37">
        <v>11.985469999999999</v>
      </c>
      <c r="BV163" s="37">
        <v>11.985469999999999</v>
      </c>
      <c r="BW163" s="37">
        <v>11.985469999999999</v>
      </c>
      <c r="BX163" s="37">
        <v>11.985469999999999</v>
      </c>
      <c r="BY163" s="37">
        <v>11.985469999999999</v>
      </c>
      <c r="BZ163" s="37">
        <v>11.985469999999999</v>
      </c>
      <c r="CA163" s="37">
        <v>11.985469999999999</v>
      </c>
      <c r="CB163" s="37">
        <v>11.985469999999999</v>
      </c>
      <c r="CC163" s="37">
        <v>11.985469999999999</v>
      </c>
      <c r="CD163" s="37">
        <v>11.985469999999999</v>
      </c>
      <c r="CE163" s="37">
        <v>11.985469999999999</v>
      </c>
      <c r="CF163" s="37">
        <v>11.985469999999999</v>
      </c>
      <c r="CG163" s="37">
        <v>11.985469999999999</v>
      </c>
      <c r="CH163" s="37">
        <v>11.985469999999999</v>
      </c>
      <c r="CI163" s="37">
        <v>11.985469999999999</v>
      </c>
      <c r="CJ163" s="37">
        <v>11.985469999999999</v>
      </c>
      <c r="CK163" s="37">
        <v>11.985469999999999</v>
      </c>
      <c r="CL163" s="37">
        <v>11.985469999999999</v>
      </c>
      <c r="CM163" s="37">
        <v>11.985469999999999</v>
      </c>
      <c r="CN163" s="37">
        <v>11.985469999999999</v>
      </c>
      <c r="CO163" s="37">
        <v>11.985469999999999</v>
      </c>
      <c r="CP163" s="37">
        <v>11.985469999999999</v>
      </c>
      <c r="CQ163" s="37">
        <v>11.985469999999999</v>
      </c>
      <c r="CR163" s="37">
        <v>11.985469999999999</v>
      </c>
      <c r="CS163" s="37">
        <v>11.985469999999999</v>
      </c>
      <c r="CT163" s="37">
        <v>11.985469999999999</v>
      </c>
      <c r="CU163" s="37">
        <v>11.985469999999999</v>
      </c>
      <c r="CV163" s="37">
        <v>11.985469999999999</v>
      </c>
      <c r="CW163" s="37">
        <v>11.985469999999999</v>
      </c>
      <c r="CX163" s="37">
        <v>11.985469999999999</v>
      </c>
      <c r="CY163" s="37">
        <v>11.985469999999999</v>
      </c>
      <c r="CZ163" s="37">
        <v>11.985469999999999</v>
      </c>
      <c r="DA163" s="37">
        <v>11.985469999999999</v>
      </c>
      <c r="DB163" s="37">
        <v>11.985469999999999</v>
      </c>
      <c r="DC163" s="37">
        <v>11.985469999999999</v>
      </c>
      <c r="DD163" s="37">
        <v>11.985469999999999</v>
      </c>
      <c r="DE163" s="37">
        <v>11.985469999999999</v>
      </c>
      <c r="DF163" s="37">
        <v>11.985469999999999</v>
      </c>
      <c r="DG163" s="37">
        <v>11.985469999999999</v>
      </c>
      <c r="DH163" s="37">
        <v>11.985469999999999</v>
      </c>
      <c r="DI163" s="37">
        <v>11.985469999999999</v>
      </c>
      <c r="DJ163" s="37">
        <v>11.985469999999999</v>
      </c>
      <c r="DK163" s="37">
        <v>11.985469999999999</v>
      </c>
      <c r="DL163" s="37">
        <v>11.985469999999999</v>
      </c>
      <c r="DM163" s="37">
        <v>11.985469999999999</v>
      </c>
      <c r="DN163" s="37">
        <v>11.985469999999999</v>
      </c>
      <c r="DO163" s="37">
        <v>11.985469999999999</v>
      </c>
      <c r="DP163" s="37">
        <v>11.985469999999999</v>
      </c>
      <c r="DQ163" s="37">
        <v>11.985469999999999</v>
      </c>
      <c r="DR163" s="37">
        <v>11.985469999999999</v>
      </c>
      <c r="DS163" s="37">
        <v>11.985469999999999</v>
      </c>
      <c r="DT163" s="37">
        <v>11.985469999999999</v>
      </c>
      <c r="DU163" s="37">
        <v>11.985469999999999</v>
      </c>
      <c r="DV163" s="37">
        <v>11.985469999999999</v>
      </c>
      <c r="DW163" s="37">
        <v>11.985469999999999</v>
      </c>
      <c r="DX163" s="37">
        <v>11.985469999999999</v>
      </c>
      <c r="DY163" s="37">
        <v>11.985469999999999</v>
      </c>
      <c r="DZ163" s="37">
        <v>11.985469999999999</v>
      </c>
      <c r="EA163" s="37">
        <v>11.985469999999999</v>
      </c>
      <c r="EB163" s="37">
        <v>11.985469999999999</v>
      </c>
      <c r="EC163" s="37">
        <v>11.985469999999999</v>
      </c>
      <c r="ED163" s="37">
        <v>11.985469999999999</v>
      </c>
      <c r="EE163" s="37">
        <v>11.985469999999999</v>
      </c>
      <c r="EF163" s="37">
        <v>11.985469999999999</v>
      </c>
      <c r="EG163" s="37">
        <v>11.985469999999999</v>
      </c>
      <c r="EH163" s="37">
        <v>11.985469999999999</v>
      </c>
      <c r="EI163" s="37">
        <v>11.985469999999999</v>
      </c>
      <c r="EJ163" s="37">
        <v>11.985469999999999</v>
      </c>
      <c r="EK163" s="37">
        <v>11.985469999999999</v>
      </c>
      <c r="EL163" s="37">
        <v>11.985469999999999</v>
      </c>
      <c r="EM163" s="37">
        <v>11.985469999999999</v>
      </c>
      <c r="EN163" s="37">
        <v>11.985469999999999</v>
      </c>
      <c r="EO163" s="37">
        <v>11.985469999999999</v>
      </c>
      <c r="EP163" s="37">
        <v>11.985469999999999</v>
      </c>
      <c r="EQ163" s="37">
        <v>11.985469999999999</v>
      </c>
      <c r="ER163" s="37">
        <v>11.985469999999999</v>
      </c>
      <c r="ES163" s="37">
        <v>11.985469999999999</v>
      </c>
      <c r="ET163" s="37">
        <v>11.985469999999999</v>
      </c>
      <c r="EU163" s="37">
        <v>11.985469999999999</v>
      </c>
      <c r="EV163" s="37">
        <v>11.985469999999999</v>
      </c>
      <c r="EW163" s="37">
        <v>11.985469999999999</v>
      </c>
      <c r="EX163" s="37">
        <v>11.985469999999999</v>
      </c>
      <c r="EY163" s="37">
        <v>11.985469999999999</v>
      </c>
      <c r="EZ163" s="37">
        <v>11.985469999999999</v>
      </c>
      <c r="FA163" s="37">
        <v>11.985469999999999</v>
      </c>
      <c r="FB163" s="37">
        <v>11.985469999999999</v>
      </c>
      <c r="FC163" s="37">
        <v>11.985469999999999</v>
      </c>
      <c r="FD163" s="37">
        <v>11.985469999999999</v>
      </c>
      <c r="FE163" s="37">
        <v>11.985469999999999</v>
      </c>
      <c r="FF163" s="37">
        <v>11.985469999999999</v>
      </c>
      <c r="FG163" s="37">
        <v>11.985469999999999</v>
      </c>
      <c r="FH163" s="37">
        <v>11.985469999999999</v>
      </c>
      <c r="FI163" s="37">
        <v>11.985469999999999</v>
      </c>
      <c r="FJ163" s="37">
        <v>11.985469999999999</v>
      </c>
      <c r="FK163" s="37">
        <v>11.985469999999999</v>
      </c>
      <c r="FL163" s="37">
        <v>11.985469999999999</v>
      </c>
      <c r="FM163" s="37">
        <v>11.985469999999999</v>
      </c>
      <c r="FN163" s="37">
        <v>11.985469999999999</v>
      </c>
      <c r="FO163" s="37">
        <v>11.985469999999999</v>
      </c>
      <c r="FP163" s="37">
        <v>11.985469999999999</v>
      </c>
      <c r="FQ163" s="37">
        <v>11.985469999999999</v>
      </c>
      <c r="FR163" s="37">
        <v>11.985469999999999</v>
      </c>
      <c r="FS163" s="37">
        <v>11.985469999999999</v>
      </c>
      <c r="FT163" s="37">
        <v>11.985469999999999</v>
      </c>
      <c r="FU163" s="37">
        <v>11.985469999999999</v>
      </c>
      <c r="FV163" s="37">
        <v>11.985469999999999</v>
      </c>
      <c r="FW163" s="37">
        <v>11.985469999999999</v>
      </c>
      <c r="FX163" s="37">
        <v>11.985469999999999</v>
      </c>
      <c r="FY163" s="37">
        <v>11.985469999999999</v>
      </c>
      <c r="FZ163" s="37">
        <v>11.985469999999999</v>
      </c>
      <c r="GA163" s="37">
        <v>11.985469999999999</v>
      </c>
      <c r="GB163" s="37">
        <v>11.985469999999999</v>
      </c>
      <c r="GC163" s="37">
        <v>11.985469999999999</v>
      </c>
      <c r="GD163" s="37">
        <v>11.985469999999999</v>
      </c>
      <c r="GE163" s="37">
        <v>11.985469999999999</v>
      </c>
      <c r="GF163" s="37">
        <v>11.985469999999999</v>
      </c>
      <c r="GG163" s="37">
        <v>11.985469999999999</v>
      </c>
      <c r="GH163" s="37">
        <v>11.985469999999999</v>
      </c>
      <c r="GI163" s="37">
        <v>11.985469999999999</v>
      </c>
      <c r="GJ163" s="37">
        <v>11.985469999999999</v>
      </c>
      <c r="GK163" s="37">
        <v>11.985469999999999</v>
      </c>
      <c r="GL163" s="37">
        <v>11.985469999999999</v>
      </c>
      <c r="GM163" s="37">
        <v>11.985469999999999</v>
      </c>
      <c r="GN163" s="37">
        <v>11.985469999999999</v>
      </c>
      <c r="GO163" s="37">
        <v>11.985469999999999</v>
      </c>
      <c r="GP163" s="37">
        <v>11.985469999999999</v>
      </c>
      <c r="GQ163" s="37">
        <v>11.985469999999999</v>
      </c>
      <c r="GR163" s="37">
        <v>11.985469999999999</v>
      </c>
      <c r="GS163" s="37">
        <v>11.985469999999999</v>
      </c>
      <c r="GT163" s="37">
        <v>11.985469999999999</v>
      </c>
      <c r="GU163" s="37">
        <v>11.985469999999999</v>
      </c>
      <c r="GV163" s="37">
        <v>11.985469999999999</v>
      </c>
      <c r="GW163" s="37">
        <v>11.985469999999999</v>
      </c>
      <c r="GX163" s="37">
        <v>11.985469999999999</v>
      </c>
      <c r="GY163" s="37">
        <v>11.985469999999999</v>
      </c>
      <c r="GZ163" s="37">
        <v>11.985469999999999</v>
      </c>
      <c r="HA163" s="37">
        <v>11.985469999999999</v>
      </c>
      <c r="HB163" s="37">
        <v>11.985469999999999</v>
      </c>
      <c r="HC163" s="37">
        <v>11.985469999999999</v>
      </c>
      <c r="HD163" s="37">
        <v>11.985469999999999</v>
      </c>
      <c r="HE163" s="37">
        <v>11.985469999999999</v>
      </c>
      <c r="HF163" s="37">
        <v>11.985469999999999</v>
      </c>
      <c r="HG163" s="37">
        <v>11.985469999999999</v>
      </c>
      <c r="HH163" s="37">
        <v>11.985469999999999</v>
      </c>
      <c r="HI163" s="37">
        <v>11.985469999999999</v>
      </c>
      <c r="HJ163" s="37">
        <v>11.985469999999999</v>
      </c>
      <c r="HK163" s="37">
        <v>11.985469999999999</v>
      </c>
      <c r="HL163" s="37">
        <v>11.985469999999999</v>
      </c>
      <c r="HM163" s="37">
        <v>11.985469999999999</v>
      </c>
      <c r="HN163" s="37">
        <v>11.985469999999999</v>
      </c>
      <c r="HO163" s="37">
        <v>11.985469999999999</v>
      </c>
      <c r="HP163" s="37">
        <v>11.985469999999999</v>
      </c>
      <c r="HQ163" s="37">
        <v>11.985469999999999</v>
      </c>
      <c r="HR163" s="37">
        <v>11.985469999999999</v>
      </c>
      <c r="HS163" s="37">
        <v>11.985469999999999</v>
      </c>
      <c r="HT163" s="37">
        <v>11.985469999999999</v>
      </c>
      <c r="HU163" s="37">
        <v>11.985469999999999</v>
      </c>
      <c r="HV163" s="37">
        <v>11.985469999999999</v>
      </c>
      <c r="HW163" s="37">
        <v>11.985469999999999</v>
      </c>
      <c r="HX163" s="37">
        <v>11.985469999999999</v>
      </c>
      <c r="HY163" s="37">
        <v>11.985469999999999</v>
      </c>
      <c r="HZ163" s="37">
        <v>11.985469999999999</v>
      </c>
      <c r="IA163" s="37">
        <v>11.985469999999999</v>
      </c>
      <c r="IB163" s="37">
        <v>11.985469999999999</v>
      </c>
      <c r="IC163" s="37">
        <v>11.985469999999999</v>
      </c>
      <c r="ID163" s="37">
        <v>11.985469999999999</v>
      </c>
      <c r="IE163" s="37">
        <v>11.985469999999999</v>
      </c>
      <c r="IF163" s="37">
        <v>11.985469999999999</v>
      </c>
      <c r="IG163" s="37">
        <v>11.985469999999999</v>
      </c>
      <c r="IH163" s="37">
        <v>11.985469999999999</v>
      </c>
      <c r="II163" s="37">
        <v>11.985469999999999</v>
      </c>
      <c r="IJ163" s="37">
        <v>11.985469999999999</v>
      </c>
      <c r="IK163" s="37">
        <v>11.985469999999999</v>
      </c>
      <c r="IL163" s="37">
        <v>11.985469999999999</v>
      </c>
      <c r="IM163" s="37">
        <v>11.985469999999999</v>
      </c>
      <c r="IN163" s="37">
        <v>11.985469999999999</v>
      </c>
      <c r="IO163" s="37">
        <v>11.985469999999999</v>
      </c>
      <c r="IP163" s="37">
        <v>11.985469999999999</v>
      </c>
      <c r="IQ163" s="37">
        <v>11.985469999999999</v>
      </c>
      <c r="IR163" s="37">
        <v>11.985469999999999</v>
      </c>
      <c r="IS163" s="37">
        <v>11.985469999999999</v>
      </c>
      <c r="IT163" s="37">
        <v>11.985469999999999</v>
      </c>
      <c r="IU163" s="37">
        <v>11.985469999999999</v>
      </c>
      <c r="IV163" s="37">
        <v>11.985469999999999</v>
      </c>
      <c r="IW163" s="37">
        <v>11.985469999999999</v>
      </c>
      <c r="IX163" s="37">
        <v>11.985469999999999</v>
      </c>
      <c r="IY163" s="37">
        <v>11.985469999999999</v>
      </c>
      <c r="IZ163" s="37">
        <v>11.985469999999999</v>
      </c>
      <c r="JA163" s="37">
        <v>11.985469999999999</v>
      </c>
      <c r="JB163" s="37">
        <v>11.985469999999999</v>
      </c>
      <c r="JC163" s="37">
        <v>11.985469999999999</v>
      </c>
      <c r="JD163" s="37">
        <v>11.985469999999999</v>
      </c>
      <c r="JE163" s="37">
        <v>11.985469999999999</v>
      </c>
      <c r="JF163" s="37">
        <v>11.985469999999999</v>
      </c>
      <c r="JG163" s="37">
        <v>11.985469999999999</v>
      </c>
      <c r="JH163" s="37">
        <v>11.985469999999999</v>
      </c>
      <c r="JI163" s="37">
        <v>11.985469999999999</v>
      </c>
      <c r="JJ163" s="37">
        <v>11.985469999999999</v>
      </c>
      <c r="JK163" s="37">
        <v>11.985469999999999</v>
      </c>
      <c r="JL163" s="37">
        <v>11.985469999999999</v>
      </c>
      <c r="JM163" s="37">
        <v>11.985469999999999</v>
      </c>
      <c r="JN163" s="37">
        <v>11.985469999999999</v>
      </c>
      <c r="JO163" s="37">
        <v>11.985469999999999</v>
      </c>
      <c r="JP163" s="37">
        <v>11.985469999999999</v>
      </c>
      <c r="JQ163" s="37">
        <v>11.985469999999999</v>
      </c>
      <c r="JR163" s="37">
        <v>11.985469999999999</v>
      </c>
      <c r="JS163" s="37">
        <v>11.985469999999999</v>
      </c>
      <c r="JT163" s="37">
        <v>11.985469999999999</v>
      </c>
      <c r="JU163" s="37">
        <v>11.985469999999999</v>
      </c>
      <c r="JV163" s="37">
        <v>11.985469999999999</v>
      </c>
      <c r="JW163" s="37">
        <v>11.985469999999999</v>
      </c>
      <c r="JX163" s="37">
        <v>11.985469999999999</v>
      </c>
      <c r="JY163" s="37">
        <v>11.985469999999999</v>
      </c>
      <c r="JZ163" s="37">
        <v>11.985469999999999</v>
      </c>
      <c r="KA163" s="37">
        <v>11.985469999999999</v>
      </c>
      <c r="KB163" s="37">
        <v>11.985469999999999</v>
      </c>
      <c r="KC163" s="37">
        <v>11.985469999999999</v>
      </c>
      <c r="KD163" s="37">
        <v>11.985469999999999</v>
      </c>
      <c r="KE163" s="37">
        <v>11.985469999999999</v>
      </c>
      <c r="KF163" s="37">
        <v>11.985469999999999</v>
      </c>
      <c r="KG163" s="37">
        <v>11.985469999999999</v>
      </c>
      <c r="KH163" s="37">
        <v>11.985469999999999</v>
      </c>
      <c r="KI163" s="37">
        <v>11.985469999999999</v>
      </c>
      <c r="KJ163" s="37">
        <v>11.985469999999999</v>
      </c>
      <c r="KK163" s="37">
        <v>11.985469999999999</v>
      </c>
      <c r="KL163" s="37">
        <v>11.985469999999999</v>
      </c>
      <c r="KM163" s="37">
        <v>11.985469999999999</v>
      </c>
      <c r="KN163" s="37">
        <v>11.985469999999999</v>
      </c>
      <c r="KO163" s="37">
        <v>11.985469999999999</v>
      </c>
      <c r="KP163" s="37">
        <v>11.985469999999999</v>
      </c>
      <c r="KQ163" s="37">
        <v>11.985469999999999</v>
      </c>
      <c r="KR163" s="37">
        <v>11.985469999999999</v>
      </c>
      <c r="KS163" s="37">
        <v>11.985469999999999</v>
      </c>
      <c r="KT163" s="37">
        <v>11.985469999999999</v>
      </c>
      <c r="KU163" s="37">
        <v>11.985469999999999</v>
      </c>
      <c r="KV163" s="37">
        <v>11.985469999999999</v>
      </c>
      <c r="KW163" s="37">
        <v>11.985469999999999</v>
      </c>
      <c r="KX163" s="37">
        <v>11.985469999999999</v>
      </c>
      <c r="KY163" s="37">
        <v>11.985469999999999</v>
      </c>
      <c r="KZ163" s="37">
        <v>11.985469999999999</v>
      </c>
      <c r="LA163" s="37">
        <v>11.985469999999999</v>
      </c>
      <c r="LB163" s="37">
        <v>11.985469999999999</v>
      </c>
      <c r="LC163" s="37">
        <v>11.985469999999999</v>
      </c>
      <c r="LD163" s="37">
        <v>11.985469999999999</v>
      </c>
      <c r="LE163" s="37">
        <v>11.985469999999999</v>
      </c>
      <c r="LF163" s="37">
        <v>11.985469999999999</v>
      </c>
      <c r="LG163" s="37">
        <v>11.985469999999999</v>
      </c>
      <c r="LH163" s="37">
        <v>11.985469999999999</v>
      </c>
      <c r="LI163" s="37">
        <v>11.985469999999999</v>
      </c>
      <c r="LJ163" s="37">
        <v>11.985469999999999</v>
      </c>
      <c r="LK163" s="37">
        <v>11.985469999999999</v>
      </c>
      <c r="LL163" s="37">
        <v>11.985469999999999</v>
      </c>
      <c r="LM163" s="37">
        <v>11.985469999999999</v>
      </c>
      <c r="LN163" s="37">
        <v>11.985469999999999</v>
      </c>
      <c r="LO163" s="37">
        <v>11.985469999999999</v>
      </c>
      <c r="LP163" s="37">
        <v>11.985469999999999</v>
      </c>
      <c r="LQ163" s="37">
        <v>11.985469999999999</v>
      </c>
      <c r="LR163" s="37">
        <v>11.985469999999999</v>
      </c>
      <c r="LS163" s="37">
        <v>11.985469999999999</v>
      </c>
      <c r="LT163" s="37">
        <v>11.985469999999999</v>
      </c>
      <c r="LU163" s="37">
        <v>11.985469999999999</v>
      </c>
      <c r="LV163" s="37">
        <v>11.985469999999999</v>
      </c>
      <c r="LW163" s="37">
        <v>11.985469999999999</v>
      </c>
      <c r="LX163" s="37">
        <v>11.985469999999999</v>
      </c>
      <c r="LY163" s="37">
        <v>11.985469999999999</v>
      </c>
      <c r="LZ163" s="37">
        <v>11.985469999999999</v>
      </c>
      <c r="MA163" s="37">
        <v>11.985469999999999</v>
      </c>
      <c r="MB163" s="37">
        <v>11.985469999999999</v>
      </c>
      <c r="MC163" s="37">
        <v>11.985469999999999</v>
      </c>
      <c r="MD163" s="37">
        <v>11.985469999999999</v>
      </c>
      <c r="ME163" s="37">
        <v>11.985469999999999</v>
      </c>
      <c r="MF163" s="37">
        <v>11.985469999999999</v>
      </c>
      <c r="MG163" s="37">
        <v>11.985469999999999</v>
      </c>
      <c r="MH163" s="37">
        <v>11.985469999999999</v>
      </c>
      <c r="MI163" s="37">
        <v>11.985469999999999</v>
      </c>
      <c r="MJ163" s="37">
        <v>11.985469999999999</v>
      </c>
      <c r="MK163" s="37">
        <v>11.985469999999999</v>
      </c>
      <c r="ML163" s="37">
        <v>11.985469999999999</v>
      </c>
      <c r="MM163" s="37">
        <v>11.985469999999999</v>
      </c>
      <c r="MN163" s="37">
        <v>11.985469999999999</v>
      </c>
      <c r="MO163" s="37">
        <v>11.985469999999999</v>
      </c>
      <c r="MP163" s="37">
        <v>11.985469999999999</v>
      </c>
      <c r="MQ163" s="37">
        <v>11.985469999999999</v>
      </c>
      <c r="MR163" s="37">
        <v>11.985469999999999</v>
      </c>
      <c r="MS163" s="37">
        <v>11.985469999999999</v>
      </c>
      <c r="MT163" s="37">
        <v>11.985469999999999</v>
      </c>
      <c r="MU163" s="37">
        <v>11.985469999999999</v>
      </c>
      <c r="MV163" s="37">
        <v>11.985469999999999</v>
      </c>
      <c r="MW163" s="37">
        <v>11.985469999999999</v>
      </c>
      <c r="MX163" s="37">
        <v>11.985469999999999</v>
      </c>
      <c r="MY163" s="37">
        <v>11.985469999999999</v>
      </c>
      <c r="MZ163" s="37">
        <v>11.985469999999999</v>
      </c>
      <c r="NA163" s="37">
        <v>11.985469999999999</v>
      </c>
      <c r="NB163" s="37">
        <v>11.985469999999999</v>
      </c>
      <c r="NC163" s="37">
        <v>11.985469999999999</v>
      </c>
      <c r="ND163" s="37">
        <v>12.964245</v>
      </c>
    </row>
    <row r="164" spans="1:372" x14ac:dyDescent="0.2">
      <c r="A164" s="37">
        <v>162</v>
      </c>
      <c r="B164" s="37" t="s">
        <v>1267</v>
      </c>
      <c r="C164" s="17">
        <f>+'Detalle Compras'!D164</f>
        <v>20240130025</v>
      </c>
      <c r="D164" s="55">
        <f t="shared" si="19"/>
        <v>12.71407</v>
      </c>
      <c r="E164" s="14">
        <f>+IF(B164="","",'Detalle Compras'!S164+0)</f>
        <v>45514</v>
      </c>
      <c r="F164" s="14">
        <f>+IF(B164="","",EOMONTH('Detalle Compras'!Q164,G164)+10)</f>
        <v>10846</v>
      </c>
      <c r="G164" s="50">
        <f t="shared" si="20"/>
        <v>355</v>
      </c>
      <c r="H164" s="50">
        <f t="shared" si="21"/>
        <v>337</v>
      </c>
      <c r="I164" s="37">
        <v>0</v>
      </c>
      <c r="J164" s="37">
        <v>0</v>
      </c>
      <c r="K164" s="37">
        <v>0</v>
      </c>
      <c r="L164" s="37">
        <v>0</v>
      </c>
      <c r="M164" s="37">
        <v>0</v>
      </c>
      <c r="N164" s="37">
        <v>12.71407</v>
      </c>
      <c r="O164" s="37">
        <v>12.71407</v>
      </c>
      <c r="P164" s="37">
        <v>12.71407</v>
      </c>
      <c r="Q164" s="37">
        <v>12.71407</v>
      </c>
      <c r="R164" s="37">
        <v>12.71407</v>
      </c>
      <c r="S164" s="37">
        <v>12.71407</v>
      </c>
      <c r="T164" s="37">
        <v>12.71407</v>
      </c>
      <c r="U164" s="37">
        <v>12.71407</v>
      </c>
      <c r="V164" s="37">
        <v>12.71407</v>
      </c>
      <c r="W164" s="37">
        <v>12.71407</v>
      </c>
      <c r="X164" s="37">
        <v>12.71407</v>
      </c>
      <c r="Y164" s="37">
        <v>12.71407</v>
      </c>
      <c r="Z164" s="37">
        <v>12.71407</v>
      </c>
      <c r="AA164" s="37">
        <v>12.71407</v>
      </c>
      <c r="AB164" s="37">
        <v>12.71407</v>
      </c>
      <c r="AC164" s="37">
        <v>12.71407</v>
      </c>
      <c r="AD164" s="37">
        <v>12.71407</v>
      </c>
      <c r="AE164" s="37">
        <v>12.71407</v>
      </c>
      <c r="AF164" s="37">
        <v>12.71407</v>
      </c>
      <c r="AG164" s="37">
        <v>12.71407</v>
      </c>
      <c r="AH164" s="37">
        <v>12.71407</v>
      </c>
      <c r="AI164" s="37">
        <v>12.71407</v>
      </c>
      <c r="AJ164" s="37">
        <v>12.71407</v>
      </c>
      <c r="AK164" s="37">
        <v>12.71407</v>
      </c>
      <c r="AL164" s="37">
        <v>12.71407</v>
      </c>
      <c r="AM164" s="37">
        <v>12.71407</v>
      </c>
      <c r="AN164" s="37">
        <v>12.71407</v>
      </c>
      <c r="AO164" s="37">
        <v>12.71407</v>
      </c>
      <c r="AP164" s="37">
        <v>12.71407</v>
      </c>
      <c r="AQ164" s="37">
        <v>12.71407</v>
      </c>
      <c r="AR164" s="37">
        <v>12.71407</v>
      </c>
      <c r="AS164" s="37">
        <v>12.71407</v>
      </c>
      <c r="AT164" s="37">
        <v>12.71407</v>
      </c>
      <c r="AU164" s="37">
        <v>12.71407</v>
      </c>
      <c r="AV164" s="37">
        <v>12.71407</v>
      </c>
      <c r="AW164" s="37">
        <v>12.71407</v>
      </c>
      <c r="AX164" s="37">
        <v>12.71407</v>
      </c>
      <c r="AY164" s="37">
        <v>12.71407</v>
      </c>
      <c r="AZ164" s="37">
        <v>12.71407</v>
      </c>
      <c r="BA164" s="37">
        <v>12.71407</v>
      </c>
      <c r="BB164" s="37">
        <v>12.71407</v>
      </c>
      <c r="BC164" s="37">
        <v>12.71407</v>
      </c>
      <c r="BD164" s="37">
        <v>12.71407</v>
      </c>
      <c r="BE164" s="37">
        <v>12.71407</v>
      </c>
      <c r="BF164" s="37">
        <v>12.71407</v>
      </c>
      <c r="BG164" s="37">
        <v>12.71407</v>
      </c>
      <c r="BH164" s="37">
        <v>12.71407</v>
      </c>
      <c r="BI164" s="37">
        <v>12.71407</v>
      </c>
      <c r="BJ164" s="37">
        <v>12.71407</v>
      </c>
      <c r="BK164" s="37">
        <v>12.71407</v>
      </c>
      <c r="BL164" s="37">
        <v>12.71407</v>
      </c>
      <c r="BM164" s="37">
        <v>12.71407</v>
      </c>
      <c r="BN164" s="37">
        <v>12.71407</v>
      </c>
      <c r="BO164" s="37">
        <v>12.71407</v>
      </c>
      <c r="BP164" s="37">
        <v>12.71407</v>
      </c>
      <c r="BQ164" s="37">
        <v>12.71407</v>
      </c>
      <c r="BR164" s="37">
        <v>12.71407</v>
      </c>
      <c r="BS164" s="37">
        <v>12.71407</v>
      </c>
      <c r="BT164" s="37">
        <v>12.71407</v>
      </c>
      <c r="BU164" s="37">
        <v>12.71407</v>
      </c>
      <c r="BV164" s="37">
        <v>12.71407</v>
      </c>
      <c r="BW164" s="37">
        <v>12.71407</v>
      </c>
      <c r="BX164" s="37">
        <v>12.71407</v>
      </c>
      <c r="BY164" s="37">
        <v>12.71407</v>
      </c>
      <c r="BZ164" s="37">
        <v>12.71407</v>
      </c>
      <c r="CA164" s="37">
        <v>12.71407</v>
      </c>
      <c r="CB164" s="37">
        <v>12.71407</v>
      </c>
      <c r="CC164" s="37">
        <v>12.71407</v>
      </c>
      <c r="CD164" s="37">
        <v>12.71407</v>
      </c>
      <c r="CE164" s="37">
        <v>12.71407</v>
      </c>
      <c r="CF164" s="37">
        <v>12.71407</v>
      </c>
      <c r="CG164" s="37">
        <v>12.71407</v>
      </c>
      <c r="CH164" s="37">
        <v>12.71407</v>
      </c>
      <c r="CI164" s="37">
        <v>12.71407</v>
      </c>
      <c r="CJ164" s="37">
        <v>12.71407</v>
      </c>
      <c r="CK164" s="37">
        <v>12.71407</v>
      </c>
      <c r="CL164" s="37">
        <v>12.71407</v>
      </c>
      <c r="CM164" s="37">
        <v>12.71407</v>
      </c>
      <c r="CN164" s="37">
        <v>12.71407</v>
      </c>
      <c r="CO164" s="37">
        <v>12.71407</v>
      </c>
      <c r="CP164" s="37">
        <v>12.71407</v>
      </c>
      <c r="CQ164" s="37">
        <v>12.71407</v>
      </c>
      <c r="CR164" s="37">
        <v>12.71407</v>
      </c>
      <c r="CS164" s="37">
        <v>12.71407</v>
      </c>
      <c r="CT164" s="37">
        <v>12.71407</v>
      </c>
      <c r="CU164" s="37">
        <v>12.71407</v>
      </c>
      <c r="CV164" s="37">
        <v>12.71407</v>
      </c>
      <c r="CW164" s="37">
        <v>12.71407</v>
      </c>
      <c r="CX164" s="37">
        <v>12.71407</v>
      </c>
      <c r="CY164" s="37">
        <v>12.71407</v>
      </c>
      <c r="CZ164" s="37">
        <v>12.71407</v>
      </c>
      <c r="DA164" s="37">
        <v>12.71407</v>
      </c>
      <c r="DB164" s="37">
        <v>12.71407</v>
      </c>
      <c r="DC164" s="37">
        <v>12.71407</v>
      </c>
      <c r="DD164" s="37">
        <v>12.71407</v>
      </c>
      <c r="DE164" s="37">
        <v>12.71407</v>
      </c>
      <c r="DF164" s="37">
        <v>12.71407</v>
      </c>
      <c r="DG164" s="37">
        <v>12.71407</v>
      </c>
      <c r="DH164" s="37">
        <v>12.71407</v>
      </c>
      <c r="DI164" s="37">
        <v>12.71407</v>
      </c>
      <c r="DJ164" s="37">
        <v>12.71407</v>
      </c>
      <c r="DK164" s="37">
        <v>12.71407</v>
      </c>
      <c r="DL164" s="37">
        <v>12.71407</v>
      </c>
      <c r="DM164" s="37">
        <v>12.71407</v>
      </c>
      <c r="DN164" s="37">
        <v>12.71407</v>
      </c>
      <c r="DO164" s="37">
        <v>12.71407</v>
      </c>
      <c r="DP164" s="37">
        <v>12.71407</v>
      </c>
      <c r="DQ164" s="37">
        <v>12.71407</v>
      </c>
      <c r="DR164" s="37">
        <v>12.71407</v>
      </c>
      <c r="DS164" s="37">
        <v>12.71407</v>
      </c>
      <c r="DT164" s="37">
        <v>12.71407</v>
      </c>
      <c r="DU164" s="37">
        <v>12.71407</v>
      </c>
      <c r="DV164" s="37">
        <v>12.71407</v>
      </c>
      <c r="DW164" s="37">
        <v>12.71407</v>
      </c>
      <c r="DX164" s="37">
        <v>12.71407</v>
      </c>
      <c r="DY164" s="37">
        <v>12.71407</v>
      </c>
      <c r="DZ164" s="37">
        <v>12.71407</v>
      </c>
      <c r="EA164" s="37">
        <v>12.71407</v>
      </c>
      <c r="EB164" s="37">
        <v>12.71407</v>
      </c>
      <c r="EC164" s="37">
        <v>12.71407</v>
      </c>
      <c r="ED164" s="37">
        <v>12.71407</v>
      </c>
      <c r="EE164" s="37">
        <v>12.71407</v>
      </c>
      <c r="EF164" s="37">
        <v>12.71407</v>
      </c>
      <c r="EG164" s="37">
        <v>12.71407</v>
      </c>
      <c r="EH164" s="37">
        <v>12.71407</v>
      </c>
      <c r="EI164" s="37">
        <v>12.71407</v>
      </c>
      <c r="EJ164" s="37">
        <v>12.71407</v>
      </c>
      <c r="EK164" s="37">
        <v>12.71407</v>
      </c>
      <c r="EL164" s="37">
        <v>12.71407</v>
      </c>
      <c r="EM164" s="37">
        <v>12.71407</v>
      </c>
      <c r="EN164" s="37">
        <v>12.71407</v>
      </c>
      <c r="EO164" s="37">
        <v>12.71407</v>
      </c>
      <c r="EP164" s="37">
        <v>12.71407</v>
      </c>
      <c r="EQ164" s="37">
        <v>12.71407</v>
      </c>
      <c r="ER164" s="37">
        <v>12.71407</v>
      </c>
      <c r="ES164" s="37">
        <v>12.71407</v>
      </c>
      <c r="ET164" s="37">
        <v>12.71407</v>
      </c>
      <c r="EU164" s="37">
        <v>12.71407</v>
      </c>
      <c r="EV164" s="37">
        <v>12.71407</v>
      </c>
      <c r="EW164" s="37">
        <v>12.71407</v>
      </c>
      <c r="EX164" s="37">
        <v>12.71407</v>
      </c>
      <c r="EY164" s="37">
        <v>12.71407</v>
      </c>
      <c r="EZ164" s="37">
        <v>12.71407</v>
      </c>
      <c r="FA164" s="37">
        <v>12.71407</v>
      </c>
      <c r="FB164" s="37">
        <v>12.71407</v>
      </c>
      <c r="FC164" s="37">
        <v>12.71407</v>
      </c>
      <c r="FD164" s="37">
        <v>12.71407</v>
      </c>
      <c r="FE164" s="37">
        <v>12.71407</v>
      </c>
      <c r="FF164" s="37">
        <v>12.71407</v>
      </c>
      <c r="FG164" s="37">
        <v>12.71407</v>
      </c>
      <c r="FH164" s="37">
        <v>12.71407</v>
      </c>
      <c r="FI164" s="37">
        <v>12.71407</v>
      </c>
      <c r="FJ164" s="37">
        <v>12.71407</v>
      </c>
      <c r="FK164" s="37">
        <v>12.71407</v>
      </c>
      <c r="FL164" s="37">
        <v>12.71407</v>
      </c>
      <c r="FM164" s="37">
        <v>12.71407</v>
      </c>
      <c r="FN164" s="37">
        <v>12.71407</v>
      </c>
      <c r="FO164" s="37">
        <v>12.71407</v>
      </c>
      <c r="FP164" s="37">
        <v>12.71407</v>
      </c>
      <c r="FQ164" s="37">
        <v>12.71407</v>
      </c>
      <c r="FR164" s="37">
        <v>12.71407</v>
      </c>
      <c r="FS164" s="37">
        <v>12.71407</v>
      </c>
      <c r="FT164" s="37">
        <v>12.71407</v>
      </c>
      <c r="FU164" s="37">
        <v>12.71407</v>
      </c>
      <c r="FV164" s="37">
        <v>12.71407</v>
      </c>
      <c r="FW164" s="37">
        <v>12.71407</v>
      </c>
      <c r="FX164" s="37">
        <v>12.71407</v>
      </c>
      <c r="FY164" s="37">
        <v>12.71407</v>
      </c>
      <c r="FZ164" s="37">
        <v>12.71407</v>
      </c>
      <c r="GA164" s="37">
        <v>12.71407</v>
      </c>
      <c r="GB164" s="37">
        <v>12.71407</v>
      </c>
      <c r="GC164" s="37">
        <v>12.71407</v>
      </c>
      <c r="GD164" s="37">
        <v>12.71407</v>
      </c>
      <c r="GE164" s="37">
        <v>12.71407</v>
      </c>
      <c r="GF164" s="37">
        <v>12.71407</v>
      </c>
      <c r="GG164" s="37">
        <v>12.71407</v>
      </c>
      <c r="GH164" s="37">
        <v>12.71407</v>
      </c>
      <c r="GI164" s="37">
        <v>12.71407</v>
      </c>
      <c r="GJ164" s="37">
        <v>12.71407</v>
      </c>
      <c r="GK164" s="37">
        <v>12.71407</v>
      </c>
      <c r="GL164" s="37">
        <v>12.71407</v>
      </c>
      <c r="GM164" s="37">
        <v>12.71407</v>
      </c>
      <c r="GN164" s="37">
        <v>12.71407</v>
      </c>
      <c r="GO164" s="37">
        <v>12.71407</v>
      </c>
      <c r="GP164" s="37">
        <v>12.71407</v>
      </c>
      <c r="GQ164" s="37">
        <v>12.71407</v>
      </c>
      <c r="GR164" s="37">
        <v>12.71407</v>
      </c>
      <c r="GS164" s="37">
        <v>12.71407</v>
      </c>
      <c r="GT164" s="37">
        <v>12.71407</v>
      </c>
      <c r="GU164" s="37">
        <v>12.71407</v>
      </c>
      <c r="GV164" s="37">
        <v>12.71407</v>
      </c>
      <c r="GW164" s="37">
        <v>12.71407</v>
      </c>
      <c r="GX164" s="37">
        <v>12.71407</v>
      </c>
      <c r="GY164" s="37">
        <v>12.71407</v>
      </c>
      <c r="GZ164" s="37">
        <v>12.71407</v>
      </c>
      <c r="HA164" s="37">
        <v>12.71407</v>
      </c>
      <c r="HB164" s="37">
        <v>12.71407</v>
      </c>
      <c r="HC164" s="37">
        <v>12.71407</v>
      </c>
      <c r="HD164" s="37">
        <v>12.71407</v>
      </c>
      <c r="HE164" s="37">
        <v>12.71407</v>
      </c>
      <c r="HF164" s="37">
        <v>12.71407</v>
      </c>
      <c r="HG164" s="37">
        <v>12.71407</v>
      </c>
      <c r="HH164" s="37">
        <v>12.71407</v>
      </c>
      <c r="HI164" s="37">
        <v>12.71407</v>
      </c>
      <c r="HJ164" s="37">
        <v>12.71407</v>
      </c>
      <c r="HK164" s="37">
        <v>12.71407</v>
      </c>
      <c r="HL164" s="37">
        <v>12.71407</v>
      </c>
      <c r="HM164" s="37">
        <v>12.71407</v>
      </c>
      <c r="HN164" s="37">
        <v>12.71407</v>
      </c>
      <c r="HO164" s="37">
        <v>12.71407</v>
      </c>
      <c r="HP164" s="37">
        <v>12.71407</v>
      </c>
      <c r="HQ164" s="37">
        <v>12.71407</v>
      </c>
      <c r="HR164" s="37">
        <v>12.71407</v>
      </c>
      <c r="HS164" s="37">
        <v>12.71407</v>
      </c>
      <c r="HT164" s="37">
        <v>12.71407</v>
      </c>
      <c r="HU164" s="37">
        <v>12.71407</v>
      </c>
      <c r="HV164" s="37">
        <v>12.71407</v>
      </c>
      <c r="HW164" s="37">
        <v>12.71407</v>
      </c>
      <c r="HX164" s="37">
        <v>12.71407</v>
      </c>
      <c r="HY164" s="37">
        <v>12.71407</v>
      </c>
      <c r="HZ164" s="37">
        <v>12.71407</v>
      </c>
      <c r="IA164" s="37">
        <v>12.71407</v>
      </c>
      <c r="IB164" s="37">
        <v>12.71407</v>
      </c>
      <c r="IC164" s="37">
        <v>12.71407</v>
      </c>
      <c r="ID164" s="37">
        <v>12.71407</v>
      </c>
      <c r="IE164" s="37">
        <v>12.71407</v>
      </c>
      <c r="IF164" s="37">
        <v>12.71407</v>
      </c>
      <c r="IG164" s="37">
        <v>12.71407</v>
      </c>
      <c r="IH164" s="37">
        <v>12.71407</v>
      </c>
      <c r="II164" s="37">
        <v>12.71407</v>
      </c>
      <c r="IJ164" s="37">
        <v>12.71407</v>
      </c>
      <c r="IK164" s="37">
        <v>12.71407</v>
      </c>
      <c r="IL164" s="37">
        <v>12.71407</v>
      </c>
      <c r="IM164" s="37">
        <v>12.71407</v>
      </c>
      <c r="IN164" s="37">
        <v>12.71407</v>
      </c>
      <c r="IO164" s="37">
        <v>12.71407</v>
      </c>
      <c r="IP164" s="37">
        <v>12.71407</v>
      </c>
      <c r="IQ164" s="37">
        <v>12.71407</v>
      </c>
      <c r="IR164" s="37">
        <v>12.71407</v>
      </c>
      <c r="IS164" s="37">
        <v>12.71407</v>
      </c>
      <c r="IT164" s="37">
        <v>12.71407</v>
      </c>
      <c r="IU164" s="37">
        <v>12.71407</v>
      </c>
      <c r="IV164" s="37">
        <v>12.71407</v>
      </c>
      <c r="IW164" s="37">
        <v>12.71407</v>
      </c>
      <c r="IX164" s="37">
        <v>12.71407</v>
      </c>
      <c r="IY164" s="37">
        <v>12.71407</v>
      </c>
      <c r="IZ164" s="37">
        <v>12.71407</v>
      </c>
      <c r="JA164" s="37">
        <v>12.71407</v>
      </c>
      <c r="JB164" s="37">
        <v>12.71407</v>
      </c>
      <c r="JC164" s="37">
        <v>12.71407</v>
      </c>
      <c r="JD164" s="37">
        <v>12.71407</v>
      </c>
      <c r="JE164" s="37">
        <v>12.71407</v>
      </c>
      <c r="JF164" s="37">
        <v>12.71407</v>
      </c>
      <c r="JG164" s="37">
        <v>12.71407</v>
      </c>
      <c r="JH164" s="37">
        <v>12.71407</v>
      </c>
      <c r="JI164" s="37">
        <v>12.71407</v>
      </c>
      <c r="JJ164" s="37">
        <v>12.71407</v>
      </c>
      <c r="JK164" s="37">
        <v>12.71407</v>
      </c>
      <c r="JL164" s="37">
        <v>12.71407</v>
      </c>
      <c r="JM164" s="37">
        <v>12.71407</v>
      </c>
      <c r="JN164" s="37">
        <v>12.71407</v>
      </c>
      <c r="JO164" s="37">
        <v>12.71407</v>
      </c>
      <c r="JP164" s="37">
        <v>12.71407</v>
      </c>
      <c r="JQ164" s="37">
        <v>12.71407</v>
      </c>
      <c r="JR164" s="37">
        <v>12.71407</v>
      </c>
      <c r="JS164" s="37">
        <v>12.71407</v>
      </c>
      <c r="JT164" s="37">
        <v>12.71407</v>
      </c>
      <c r="JU164" s="37">
        <v>12.71407</v>
      </c>
      <c r="JV164" s="37">
        <v>12.71407</v>
      </c>
      <c r="JW164" s="37">
        <v>12.71407</v>
      </c>
      <c r="JX164" s="37">
        <v>12.71407</v>
      </c>
      <c r="JY164" s="37">
        <v>12.71407</v>
      </c>
      <c r="JZ164" s="37">
        <v>12.71407</v>
      </c>
      <c r="KA164" s="37">
        <v>12.71407</v>
      </c>
      <c r="KB164" s="37">
        <v>12.71407</v>
      </c>
      <c r="KC164" s="37">
        <v>12.71407</v>
      </c>
      <c r="KD164" s="37">
        <v>12.71407</v>
      </c>
      <c r="KE164" s="37">
        <v>12.71407</v>
      </c>
      <c r="KF164" s="37">
        <v>12.71407</v>
      </c>
      <c r="KG164" s="37">
        <v>12.71407</v>
      </c>
      <c r="KH164" s="37">
        <v>12.71407</v>
      </c>
      <c r="KI164" s="37">
        <v>12.71407</v>
      </c>
      <c r="KJ164" s="37">
        <v>12.71407</v>
      </c>
      <c r="KK164" s="37">
        <v>12.71407</v>
      </c>
      <c r="KL164" s="37">
        <v>12.71407</v>
      </c>
      <c r="KM164" s="37">
        <v>12.71407</v>
      </c>
      <c r="KN164" s="37">
        <v>12.71407</v>
      </c>
      <c r="KO164" s="37">
        <v>12.71407</v>
      </c>
      <c r="KP164" s="37">
        <v>12.71407</v>
      </c>
      <c r="KQ164" s="37">
        <v>12.71407</v>
      </c>
      <c r="KR164" s="37">
        <v>12.71407</v>
      </c>
      <c r="KS164" s="37">
        <v>12.71407</v>
      </c>
      <c r="KT164" s="37">
        <v>12.71407</v>
      </c>
      <c r="KU164" s="37">
        <v>12.71407</v>
      </c>
      <c r="KV164" s="37">
        <v>12.71407</v>
      </c>
      <c r="KW164" s="37">
        <v>12.71407</v>
      </c>
      <c r="KX164" s="37">
        <v>12.71407</v>
      </c>
      <c r="KY164" s="37">
        <v>12.71407</v>
      </c>
      <c r="KZ164" s="37">
        <v>12.71407</v>
      </c>
      <c r="LA164" s="37">
        <v>12.71407</v>
      </c>
      <c r="LB164" s="37">
        <v>12.71407</v>
      </c>
      <c r="LC164" s="37">
        <v>12.71407</v>
      </c>
      <c r="LD164" s="37">
        <v>12.71407</v>
      </c>
      <c r="LE164" s="37">
        <v>12.71407</v>
      </c>
      <c r="LF164" s="37">
        <v>12.71407</v>
      </c>
      <c r="LG164" s="37">
        <v>12.71407</v>
      </c>
      <c r="LH164" s="37">
        <v>12.71407</v>
      </c>
      <c r="LI164" s="37">
        <v>12.71407</v>
      </c>
      <c r="LJ164" s="37">
        <v>12.71407</v>
      </c>
      <c r="LK164" s="37">
        <v>12.71407</v>
      </c>
      <c r="LL164" s="37">
        <v>12.71407</v>
      </c>
      <c r="LM164" s="37">
        <v>12.71407</v>
      </c>
      <c r="LN164" s="37">
        <v>12.71407</v>
      </c>
      <c r="LO164" s="37">
        <v>12.71407</v>
      </c>
      <c r="LP164" s="37">
        <v>12.71407</v>
      </c>
      <c r="LQ164" s="37">
        <v>12.71407</v>
      </c>
      <c r="LR164" s="37">
        <v>12.71407</v>
      </c>
      <c r="LS164" s="37">
        <v>12.71407</v>
      </c>
      <c r="LT164" s="37">
        <v>12.71407</v>
      </c>
      <c r="LU164" s="37">
        <v>12.71407</v>
      </c>
      <c r="LV164" s="37">
        <v>12.71407</v>
      </c>
      <c r="LW164" s="37">
        <v>12.71407</v>
      </c>
      <c r="LX164" s="37">
        <v>12.71407</v>
      </c>
      <c r="LY164" s="37">
        <v>12.71407</v>
      </c>
      <c r="LZ164" s="37">
        <v>12.71407</v>
      </c>
      <c r="MA164" s="37">
        <v>12.71407</v>
      </c>
      <c r="MB164" s="37">
        <v>12.71407</v>
      </c>
      <c r="MC164" s="37">
        <v>12.71407</v>
      </c>
      <c r="MD164" s="37">
        <v>12.71407</v>
      </c>
      <c r="ME164" s="37">
        <v>12.71407</v>
      </c>
      <c r="MF164" s="37">
        <v>12.71407</v>
      </c>
      <c r="MG164" s="37">
        <v>12.71407</v>
      </c>
      <c r="MH164" s="37">
        <v>12.71407</v>
      </c>
      <c r="MI164" s="37">
        <v>12.71407</v>
      </c>
      <c r="MJ164" s="37">
        <v>12.71407</v>
      </c>
      <c r="MK164" s="37">
        <v>12.71407</v>
      </c>
      <c r="ML164" s="37">
        <v>12.71407</v>
      </c>
      <c r="MM164" s="37">
        <v>12.71407</v>
      </c>
      <c r="MN164" s="37">
        <v>12.71407</v>
      </c>
      <c r="MO164" s="37">
        <v>12.71407</v>
      </c>
      <c r="MP164" s="37">
        <v>12.71407</v>
      </c>
      <c r="MQ164" s="37">
        <v>12.71407</v>
      </c>
      <c r="MR164" s="37">
        <v>12.71407</v>
      </c>
      <c r="MS164" s="37">
        <v>12.71407</v>
      </c>
      <c r="MT164" s="37">
        <v>12.71407</v>
      </c>
      <c r="MU164" s="37">
        <v>12.71407</v>
      </c>
      <c r="MV164" s="37">
        <v>12.71407</v>
      </c>
      <c r="MW164" s="37">
        <v>12.71407</v>
      </c>
      <c r="MX164" s="37">
        <v>12.71407</v>
      </c>
      <c r="MY164" s="37">
        <v>12.71407</v>
      </c>
      <c r="MZ164" s="37">
        <v>12.71407</v>
      </c>
      <c r="NA164" s="37">
        <v>12.71407</v>
      </c>
      <c r="NB164" s="37">
        <v>12.71407</v>
      </c>
      <c r="NC164" s="37">
        <v>12.71407</v>
      </c>
      <c r="ND164" s="37">
        <v>13.752345</v>
      </c>
    </row>
    <row r="165" spans="1:372" x14ac:dyDescent="0.2">
      <c r="A165" s="37">
        <v>163</v>
      </c>
      <c r="B165" s="37" t="s">
        <v>1271</v>
      </c>
      <c r="C165" s="17">
        <f>+'Detalle Compras'!D165</f>
        <v>20240131027</v>
      </c>
      <c r="D165" s="55">
        <f t="shared" si="19"/>
        <v>12.71407</v>
      </c>
      <c r="E165" s="14">
        <f>+IF(B165="","",'Detalle Compras'!S165+0)</f>
        <v>45514</v>
      </c>
      <c r="F165" s="14">
        <f>+IF(B165="","",EOMONTH('Detalle Compras'!Q165,G165)+10)</f>
        <v>10846</v>
      </c>
      <c r="G165" s="50">
        <f t="shared" si="20"/>
        <v>355</v>
      </c>
      <c r="H165" s="50">
        <f t="shared" si="21"/>
        <v>337</v>
      </c>
      <c r="I165" s="37">
        <v>0</v>
      </c>
      <c r="J165" s="37">
        <v>0</v>
      </c>
      <c r="K165" s="37">
        <v>0</v>
      </c>
      <c r="L165" s="37">
        <v>0</v>
      </c>
      <c r="M165" s="37">
        <v>0</v>
      </c>
      <c r="N165" s="37">
        <v>12.71407</v>
      </c>
      <c r="O165" s="37">
        <v>12.71407</v>
      </c>
      <c r="P165" s="37">
        <v>12.71407</v>
      </c>
      <c r="Q165" s="37">
        <v>12.71407</v>
      </c>
      <c r="R165" s="37">
        <v>12.71407</v>
      </c>
      <c r="S165" s="37">
        <v>12.71407</v>
      </c>
      <c r="T165" s="37">
        <v>12.71407</v>
      </c>
      <c r="U165" s="37">
        <v>12.71407</v>
      </c>
      <c r="V165" s="37">
        <v>12.71407</v>
      </c>
      <c r="W165" s="37">
        <v>12.71407</v>
      </c>
      <c r="X165" s="37">
        <v>12.71407</v>
      </c>
      <c r="Y165" s="37">
        <v>12.71407</v>
      </c>
      <c r="Z165" s="37">
        <v>12.71407</v>
      </c>
      <c r="AA165" s="37">
        <v>12.71407</v>
      </c>
      <c r="AB165" s="37">
        <v>12.71407</v>
      </c>
      <c r="AC165" s="37">
        <v>12.71407</v>
      </c>
      <c r="AD165" s="37">
        <v>12.71407</v>
      </c>
      <c r="AE165" s="37">
        <v>12.71407</v>
      </c>
      <c r="AF165" s="37">
        <v>12.71407</v>
      </c>
      <c r="AG165" s="37">
        <v>12.71407</v>
      </c>
      <c r="AH165" s="37">
        <v>12.71407</v>
      </c>
      <c r="AI165" s="37">
        <v>12.71407</v>
      </c>
      <c r="AJ165" s="37">
        <v>12.71407</v>
      </c>
      <c r="AK165" s="37">
        <v>12.71407</v>
      </c>
      <c r="AL165" s="37">
        <v>12.71407</v>
      </c>
      <c r="AM165" s="37">
        <v>12.71407</v>
      </c>
      <c r="AN165" s="37">
        <v>12.71407</v>
      </c>
      <c r="AO165" s="37">
        <v>12.71407</v>
      </c>
      <c r="AP165" s="37">
        <v>12.71407</v>
      </c>
      <c r="AQ165" s="37">
        <v>12.71407</v>
      </c>
      <c r="AR165" s="37">
        <v>12.71407</v>
      </c>
      <c r="AS165" s="37">
        <v>12.71407</v>
      </c>
      <c r="AT165" s="37">
        <v>12.71407</v>
      </c>
      <c r="AU165" s="37">
        <v>12.71407</v>
      </c>
      <c r="AV165" s="37">
        <v>12.71407</v>
      </c>
      <c r="AW165" s="37">
        <v>12.71407</v>
      </c>
      <c r="AX165" s="37">
        <v>12.71407</v>
      </c>
      <c r="AY165" s="37">
        <v>12.71407</v>
      </c>
      <c r="AZ165" s="37">
        <v>12.71407</v>
      </c>
      <c r="BA165" s="37">
        <v>12.71407</v>
      </c>
      <c r="BB165" s="37">
        <v>12.71407</v>
      </c>
      <c r="BC165" s="37">
        <v>12.71407</v>
      </c>
      <c r="BD165" s="37">
        <v>12.71407</v>
      </c>
      <c r="BE165" s="37">
        <v>12.71407</v>
      </c>
      <c r="BF165" s="37">
        <v>12.71407</v>
      </c>
      <c r="BG165" s="37">
        <v>12.71407</v>
      </c>
      <c r="BH165" s="37">
        <v>12.71407</v>
      </c>
      <c r="BI165" s="37">
        <v>12.71407</v>
      </c>
      <c r="BJ165" s="37">
        <v>12.71407</v>
      </c>
      <c r="BK165" s="37">
        <v>12.71407</v>
      </c>
      <c r="BL165" s="37">
        <v>12.71407</v>
      </c>
      <c r="BM165" s="37">
        <v>12.71407</v>
      </c>
      <c r="BN165" s="37">
        <v>12.71407</v>
      </c>
      <c r="BO165" s="37">
        <v>12.71407</v>
      </c>
      <c r="BP165" s="37">
        <v>12.71407</v>
      </c>
      <c r="BQ165" s="37">
        <v>12.71407</v>
      </c>
      <c r="BR165" s="37">
        <v>12.71407</v>
      </c>
      <c r="BS165" s="37">
        <v>12.71407</v>
      </c>
      <c r="BT165" s="37">
        <v>12.71407</v>
      </c>
      <c r="BU165" s="37">
        <v>12.71407</v>
      </c>
      <c r="BV165" s="37">
        <v>12.71407</v>
      </c>
      <c r="BW165" s="37">
        <v>12.71407</v>
      </c>
      <c r="BX165" s="37">
        <v>12.71407</v>
      </c>
      <c r="BY165" s="37">
        <v>12.71407</v>
      </c>
      <c r="BZ165" s="37">
        <v>12.71407</v>
      </c>
      <c r="CA165" s="37">
        <v>12.71407</v>
      </c>
      <c r="CB165" s="37">
        <v>12.71407</v>
      </c>
      <c r="CC165" s="37">
        <v>12.71407</v>
      </c>
      <c r="CD165" s="37">
        <v>12.71407</v>
      </c>
      <c r="CE165" s="37">
        <v>12.71407</v>
      </c>
      <c r="CF165" s="37">
        <v>12.71407</v>
      </c>
      <c r="CG165" s="37">
        <v>12.71407</v>
      </c>
      <c r="CH165" s="37">
        <v>12.71407</v>
      </c>
      <c r="CI165" s="37">
        <v>12.71407</v>
      </c>
      <c r="CJ165" s="37">
        <v>12.71407</v>
      </c>
      <c r="CK165" s="37">
        <v>12.71407</v>
      </c>
      <c r="CL165" s="37">
        <v>12.71407</v>
      </c>
      <c r="CM165" s="37">
        <v>12.71407</v>
      </c>
      <c r="CN165" s="37">
        <v>12.71407</v>
      </c>
      <c r="CO165" s="37">
        <v>12.71407</v>
      </c>
      <c r="CP165" s="37">
        <v>12.71407</v>
      </c>
      <c r="CQ165" s="37">
        <v>12.71407</v>
      </c>
      <c r="CR165" s="37">
        <v>12.71407</v>
      </c>
      <c r="CS165" s="37">
        <v>12.71407</v>
      </c>
      <c r="CT165" s="37">
        <v>12.71407</v>
      </c>
      <c r="CU165" s="37">
        <v>12.71407</v>
      </c>
      <c r="CV165" s="37">
        <v>12.71407</v>
      </c>
      <c r="CW165" s="37">
        <v>12.71407</v>
      </c>
      <c r="CX165" s="37">
        <v>12.71407</v>
      </c>
      <c r="CY165" s="37">
        <v>12.71407</v>
      </c>
      <c r="CZ165" s="37">
        <v>12.71407</v>
      </c>
      <c r="DA165" s="37">
        <v>12.71407</v>
      </c>
      <c r="DB165" s="37">
        <v>12.71407</v>
      </c>
      <c r="DC165" s="37">
        <v>12.71407</v>
      </c>
      <c r="DD165" s="37">
        <v>12.71407</v>
      </c>
      <c r="DE165" s="37">
        <v>12.71407</v>
      </c>
      <c r="DF165" s="37">
        <v>12.71407</v>
      </c>
      <c r="DG165" s="37">
        <v>12.71407</v>
      </c>
      <c r="DH165" s="37">
        <v>12.71407</v>
      </c>
      <c r="DI165" s="37">
        <v>12.71407</v>
      </c>
      <c r="DJ165" s="37">
        <v>12.71407</v>
      </c>
      <c r="DK165" s="37">
        <v>12.71407</v>
      </c>
      <c r="DL165" s="37">
        <v>12.71407</v>
      </c>
      <c r="DM165" s="37">
        <v>12.71407</v>
      </c>
      <c r="DN165" s="37">
        <v>12.71407</v>
      </c>
      <c r="DO165" s="37">
        <v>12.71407</v>
      </c>
      <c r="DP165" s="37">
        <v>12.71407</v>
      </c>
      <c r="DQ165" s="37">
        <v>12.71407</v>
      </c>
      <c r="DR165" s="37">
        <v>12.71407</v>
      </c>
      <c r="DS165" s="37">
        <v>12.71407</v>
      </c>
      <c r="DT165" s="37">
        <v>12.71407</v>
      </c>
      <c r="DU165" s="37">
        <v>12.71407</v>
      </c>
      <c r="DV165" s="37">
        <v>12.71407</v>
      </c>
      <c r="DW165" s="37">
        <v>12.71407</v>
      </c>
      <c r="DX165" s="37">
        <v>12.71407</v>
      </c>
      <c r="DY165" s="37">
        <v>12.71407</v>
      </c>
      <c r="DZ165" s="37">
        <v>12.71407</v>
      </c>
      <c r="EA165" s="37">
        <v>12.71407</v>
      </c>
      <c r="EB165" s="37">
        <v>12.71407</v>
      </c>
      <c r="EC165" s="37">
        <v>12.71407</v>
      </c>
      <c r="ED165" s="37">
        <v>12.71407</v>
      </c>
      <c r="EE165" s="37">
        <v>12.71407</v>
      </c>
      <c r="EF165" s="37">
        <v>12.71407</v>
      </c>
      <c r="EG165" s="37">
        <v>12.71407</v>
      </c>
      <c r="EH165" s="37">
        <v>12.71407</v>
      </c>
      <c r="EI165" s="37">
        <v>12.71407</v>
      </c>
      <c r="EJ165" s="37">
        <v>12.71407</v>
      </c>
      <c r="EK165" s="37">
        <v>12.71407</v>
      </c>
      <c r="EL165" s="37">
        <v>12.71407</v>
      </c>
      <c r="EM165" s="37">
        <v>12.71407</v>
      </c>
      <c r="EN165" s="37">
        <v>12.71407</v>
      </c>
      <c r="EO165" s="37">
        <v>12.71407</v>
      </c>
      <c r="EP165" s="37">
        <v>12.71407</v>
      </c>
      <c r="EQ165" s="37">
        <v>12.71407</v>
      </c>
      <c r="ER165" s="37">
        <v>12.71407</v>
      </c>
      <c r="ES165" s="37">
        <v>12.71407</v>
      </c>
      <c r="ET165" s="37">
        <v>12.71407</v>
      </c>
      <c r="EU165" s="37">
        <v>12.71407</v>
      </c>
      <c r="EV165" s="37">
        <v>12.71407</v>
      </c>
      <c r="EW165" s="37">
        <v>12.71407</v>
      </c>
      <c r="EX165" s="37">
        <v>12.71407</v>
      </c>
      <c r="EY165" s="37">
        <v>12.71407</v>
      </c>
      <c r="EZ165" s="37">
        <v>12.71407</v>
      </c>
      <c r="FA165" s="37">
        <v>12.71407</v>
      </c>
      <c r="FB165" s="37">
        <v>12.71407</v>
      </c>
      <c r="FC165" s="37">
        <v>12.71407</v>
      </c>
      <c r="FD165" s="37">
        <v>12.71407</v>
      </c>
      <c r="FE165" s="37">
        <v>12.71407</v>
      </c>
      <c r="FF165" s="37">
        <v>12.71407</v>
      </c>
      <c r="FG165" s="37">
        <v>12.71407</v>
      </c>
      <c r="FH165" s="37">
        <v>12.71407</v>
      </c>
      <c r="FI165" s="37">
        <v>12.71407</v>
      </c>
      <c r="FJ165" s="37">
        <v>12.71407</v>
      </c>
      <c r="FK165" s="37">
        <v>12.71407</v>
      </c>
      <c r="FL165" s="37">
        <v>12.71407</v>
      </c>
      <c r="FM165" s="37">
        <v>12.71407</v>
      </c>
      <c r="FN165" s="37">
        <v>12.71407</v>
      </c>
      <c r="FO165" s="37">
        <v>12.71407</v>
      </c>
      <c r="FP165" s="37">
        <v>12.71407</v>
      </c>
      <c r="FQ165" s="37">
        <v>12.71407</v>
      </c>
      <c r="FR165" s="37">
        <v>12.71407</v>
      </c>
      <c r="FS165" s="37">
        <v>12.71407</v>
      </c>
      <c r="FT165" s="37">
        <v>12.71407</v>
      </c>
      <c r="FU165" s="37">
        <v>12.71407</v>
      </c>
      <c r="FV165" s="37">
        <v>12.71407</v>
      </c>
      <c r="FW165" s="37">
        <v>12.71407</v>
      </c>
      <c r="FX165" s="37">
        <v>12.71407</v>
      </c>
      <c r="FY165" s="37">
        <v>12.71407</v>
      </c>
      <c r="FZ165" s="37">
        <v>12.71407</v>
      </c>
      <c r="GA165" s="37">
        <v>12.71407</v>
      </c>
      <c r="GB165" s="37">
        <v>12.71407</v>
      </c>
      <c r="GC165" s="37">
        <v>12.71407</v>
      </c>
      <c r="GD165" s="37">
        <v>12.71407</v>
      </c>
      <c r="GE165" s="37">
        <v>12.71407</v>
      </c>
      <c r="GF165" s="37">
        <v>12.71407</v>
      </c>
      <c r="GG165" s="37">
        <v>12.71407</v>
      </c>
      <c r="GH165" s="37">
        <v>12.71407</v>
      </c>
      <c r="GI165" s="37">
        <v>12.71407</v>
      </c>
      <c r="GJ165" s="37">
        <v>12.71407</v>
      </c>
      <c r="GK165" s="37">
        <v>12.71407</v>
      </c>
      <c r="GL165" s="37">
        <v>12.71407</v>
      </c>
      <c r="GM165" s="37">
        <v>12.71407</v>
      </c>
      <c r="GN165" s="37">
        <v>12.71407</v>
      </c>
      <c r="GO165" s="37">
        <v>12.71407</v>
      </c>
      <c r="GP165" s="37">
        <v>12.71407</v>
      </c>
      <c r="GQ165" s="37">
        <v>12.71407</v>
      </c>
      <c r="GR165" s="37">
        <v>12.71407</v>
      </c>
      <c r="GS165" s="37">
        <v>12.71407</v>
      </c>
      <c r="GT165" s="37">
        <v>12.71407</v>
      </c>
      <c r="GU165" s="37">
        <v>12.71407</v>
      </c>
      <c r="GV165" s="37">
        <v>12.71407</v>
      </c>
      <c r="GW165" s="37">
        <v>12.71407</v>
      </c>
      <c r="GX165" s="37">
        <v>12.71407</v>
      </c>
      <c r="GY165" s="37">
        <v>12.71407</v>
      </c>
      <c r="GZ165" s="37">
        <v>12.71407</v>
      </c>
      <c r="HA165" s="37">
        <v>12.71407</v>
      </c>
      <c r="HB165" s="37">
        <v>12.71407</v>
      </c>
      <c r="HC165" s="37">
        <v>12.71407</v>
      </c>
      <c r="HD165" s="37">
        <v>12.71407</v>
      </c>
      <c r="HE165" s="37">
        <v>12.71407</v>
      </c>
      <c r="HF165" s="37">
        <v>12.71407</v>
      </c>
      <c r="HG165" s="37">
        <v>12.71407</v>
      </c>
      <c r="HH165" s="37">
        <v>12.71407</v>
      </c>
      <c r="HI165" s="37">
        <v>12.71407</v>
      </c>
      <c r="HJ165" s="37">
        <v>12.71407</v>
      </c>
      <c r="HK165" s="37">
        <v>12.71407</v>
      </c>
      <c r="HL165" s="37">
        <v>12.71407</v>
      </c>
      <c r="HM165" s="37">
        <v>12.71407</v>
      </c>
      <c r="HN165" s="37">
        <v>12.71407</v>
      </c>
      <c r="HO165" s="37">
        <v>12.71407</v>
      </c>
      <c r="HP165" s="37">
        <v>12.71407</v>
      </c>
      <c r="HQ165" s="37">
        <v>12.71407</v>
      </c>
      <c r="HR165" s="37">
        <v>12.71407</v>
      </c>
      <c r="HS165" s="37">
        <v>12.71407</v>
      </c>
      <c r="HT165" s="37">
        <v>12.71407</v>
      </c>
      <c r="HU165" s="37">
        <v>12.71407</v>
      </c>
      <c r="HV165" s="37">
        <v>12.71407</v>
      </c>
      <c r="HW165" s="37">
        <v>12.71407</v>
      </c>
      <c r="HX165" s="37">
        <v>12.71407</v>
      </c>
      <c r="HY165" s="37">
        <v>12.71407</v>
      </c>
      <c r="HZ165" s="37">
        <v>12.71407</v>
      </c>
      <c r="IA165" s="37">
        <v>12.71407</v>
      </c>
      <c r="IB165" s="37">
        <v>12.71407</v>
      </c>
      <c r="IC165" s="37">
        <v>12.71407</v>
      </c>
      <c r="ID165" s="37">
        <v>12.71407</v>
      </c>
      <c r="IE165" s="37">
        <v>12.71407</v>
      </c>
      <c r="IF165" s="37">
        <v>12.71407</v>
      </c>
      <c r="IG165" s="37">
        <v>12.71407</v>
      </c>
      <c r="IH165" s="37">
        <v>12.71407</v>
      </c>
      <c r="II165" s="37">
        <v>12.71407</v>
      </c>
      <c r="IJ165" s="37">
        <v>12.71407</v>
      </c>
      <c r="IK165" s="37">
        <v>12.71407</v>
      </c>
      <c r="IL165" s="37">
        <v>12.71407</v>
      </c>
      <c r="IM165" s="37">
        <v>12.71407</v>
      </c>
      <c r="IN165" s="37">
        <v>12.71407</v>
      </c>
      <c r="IO165" s="37">
        <v>12.71407</v>
      </c>
      <c r="IP165" s="37">
        <v>12.71407</v>
      </c>
      <c r="IQ165" s="37">
        <v>12.71407</v>
      </c>
      <c r="IR165" s="37">
        <v>12.71407</v>
      </c>
      <c r="IS165" s="37">
        <v>12.71407</v>
      </c>
      <c r="IT165" s="37">
        <v>12.71407</v>
      </c>
      <c r="IU165" s="37">
        <v>12.71407</v>
      </c>
      <c r="IV165" s="37">
        <v>12.71407</v>
      </c>
      <c r="IW165" s="37">
        <v>12.71407</v>
      </c>
      <c r="IX165" s="37">
        <v>12.71407</v>
      </c>
      <c r="IY165" s="37">
        <v>12.71407</v>
      </c>
      <c r="IZ165" s="37">
        <v>12.71407</v>
      </c>
      <c r="JA165" s="37">
        <v>12.71407</v>
      </c>
      <c r="JB165" s="37">
        <v>12.71407</v>
      </c>
      <c r="JC165" s="37">
        <v>12.71407</v>
      </c>
      <c r="JD165" s="37">
        <v>12.71407</v>
      </c>
      <c r="JE165" s="37">
        <v>12.71407</v>
      </c>
      <c r="JF165" s="37">
        <v>12.71407</v>
      </c>
      <c r="JG165" s="37">
        <v>12.71407</v>
      </c>
      <c r="JH165" s="37">
        <v>12.71407</v>
      </c>
      <c r="JI165" s="37">
        <v>12.71407</v>
      </c>
      <c r="JJ165" s="37">
        <v>12.71407</v>
      </c>
      <c r="JK165" s="37">
        <v>12.71407</v>
      </c>
      <c r="JL165" s="37">
        <v>12.71407</v>
      </c>
      <c r="JM165" s="37">
        <v>12.71407</v>
      </c>
      <c r="JN165" s="37">
        <v>12.71407</v>
      </c>
      <c r="JO165" s="37">
        <v>12.71407</v>
      </c>
      <c r="JP165" s="37">
        <v>12.71407</v>
      </c>
      <c r="JQ165" s="37">
        <v>12.71407</v>
      </c>
      <c r="JR165" s="37">
        <v>12.71407</v>
      </c>
      <c r="JS165" s="37">
        <v>12.71407</v>
      </c>
      <c r="JT165" s="37">
        <v>12.71407</v>
      </c>
      <c r="JU165" s="37">
        <v>12.71407</v>
      </c>
      <c r="JV165" s="37">
        <v>12.71407</v>
      </c>
      <c r="JW165" s="37">
        <v>12.71407</v>
      </c>
      <c r="JX165" s="37">
        <v>12.71407</v>
      </c>
      <c r="JY165" s="37">
        <v>12.71407</v>
      </c>
      <c r="JZ165" s="37">
        <v>12.71407</v>
      </c>
      <c r="KA165" s="37">
        <v>12.71407</v>
      </c>
      <c r="KB165" s="37">
        <v>12.71407</v>
      </c>
      <c r="KC165" s="37">
        <v>12.71407</v>
      </c>
      <c r="KD165" s="37">
        <v>12.71407</v>
      </c>
      <c r="KE165" s="37">
        <v>12.71407</v>
      </c>
      <c r="KF165" s="37">
        <v>12.71407</v>
      </c>
      <c r="KG165" s="37">
        <v>12.71407</v>
      </c>
      <c r="KH165" s="37">
        <v>12.71407</v>
      </c>
      <c r="KI165" s="37">
        <v>12.71407</v>
      </c>
      <c r="KJ165" s="37">
        <v>12.71407</v>
      </c>
      <c r="KK165" s="37">
        <v>12.71407</v>
      </c>
      <c r="KL165" s="37">
        <v>12.71407</v>
      </c>
      <c r="KM165" s="37">
        <v>12.71407</v>
      </c>
      <c r="KN165" s="37">
        <v>12.71407</v>
      </c>
      <c r="KO165" s="37">
        <v>12.71407</v>
      </c>
      <c r="KP165" s="37">
        <v>12.71407</v>
      </c>
      <c r="KQ165" s="37">
        <v>12.71407</v>
      </c>
      <c r="KR165" s="37">
        <v>12.71407</v>
      </c>
      <c r="KS165" s="37">
        <v>12.71407</v>
      </c>
      <c r="KT165" s="37">
        <v>12.71407</v>
      </c>
      <c r="KU165" s="37">
        <v>12.71407</v>
      </c>
      <c r="KV165" s="37">
        <v>12.71407</v>
      </c>
      <c r="KW165" s="37">
        <v>12.71407</v>
      </c>
      <c r="KX165" s="37">
        <v>12.71407</v>
      </c>
      <c r="KY165" s="37">
        <v>12.71407</v>
      </c>
      <c r="KZ165" s="37">
        <v>12.71407</v>
      </c>
      <c r="LA165" s="37">
        <v>12.71407</v>
      </c>
      <c r="LB165" s="37">
        <v>12.71407</v>
      </c>
      <c r="LC165" s="37">
        <v>12.71407</v>
      </c>
      <c r="LD165" s="37">
        <v>12.71407</v>
      </c>
      <c r="LE165" s="37">
        <v>12.71407</v>
      </c>
      <c r="LF165" s="37">
        <v>12.71407</v>
      </c>
      <c r="LG165" s="37">
        <v>12.71407</v>
      </c>
      <c r="LH165" s="37">
        <v>12.71407</v>
      </c>
      <c r="LI165" s="37">
        <v>12.71407</v>
      </c>
      <c r="LJ165" s="37">
        <v>12.71407</v>
      </c>
      <c r="LK165" s="37">
        <v>12.71407</v>
      </c>
      <c r="LL165" s="37">
        <v>12.71407</v>
      </c>
      <c r="LM165" s="37">
        <v>12.71407</v>
      </c>
      <c r="LN165" s="37">
        <v>12.71407</v>
      </c>
      <c r="LO165" s="37">
        <v>12.71407</v>
      </c>
      <c r="LP165" s="37">
        <v>12.71407</v>
      </c>
      <c r="LQ165" s="37">
        <v>12.71407</v>
      </c>
      <c r="LR165" s="37">
        <v>12.71407</v>
      </c>
      <c r="LS165" s="37">
        <v>12.71407</v>
      </c>
      <c r="LT165" s="37">
        <v>12.71407</v>
      </c>
      <c r="LU165" s="37">
        <v>12.71407</v>
      </c>
      <c r="LV165" s="37">
        <v>12.71407</v>
      </c>
      <c r="LW165" s="37">
        <v>12.71407</v>
      </c>
      <c r="LX165" s="37">
        <v>12.71407</v>
      </c>
      <c r="LY165" s="37">
        <v>12.71407</v>
      </c>
      <c r="LZ165" s="37">
        <v>12.71407</v>
      </c>
      <c r="MA165" s="37">
        <v>12.71407</v>
      </c>
      <c r="MB165" s="37">
        <v>12.71407</v>
      </c>
      <c r="MC165" s="37">
        <v>12.71407</v>
      </c>
      <c r="MD165" s="37">
        <v>12.71407</v>
      </c>
      <c r="ME165" s="37">
        <v>12.71407</v>
      </c>
      <c r="MF165" s="37">
        <v>12.71407</v>
      </c>
      <c r="MG165" s="37">
        <v>12.71407</v>
      </c>
      <c r="MH165" s="37">
        <v>12.71407</v>
      </c>
      <c r="MI165" s="37">
        <v>12.71407</v>
      </c>
      <c r="MJ165" s="37">
        <v>12.71407</v>
      </c>
      <c r="MK165" s="37">
        <v>12.71407</v>
      </c>
      <c r="ML165" s="37">
        <v>12.71407</v>
      </c>
      <c r="MM165" s="37">
        <v>12.71407</v>
      </c>
      <c r="MN165" s="37">
        <v>12.71407</v>
      </c>
      <c r="MO165" s="37">
        <v>12.71407</v>
      </c>
      <c r="MP165" s="37">
        <v>12.71407</v>
      </c>
      <c r="MQ165" s="37">
        <v>12.71407</v>
      </c>
      <c r="MR165" s="37">
        <v>12.71407</v>
      </c>
      <c r="MS165" s="37">
        <v>12.71407</v>
      </c>
      <c r="MT165" s="37">
        <v>12.71407</v>
      </c>
      <c r="MU165" s="37">
        <v>12.71407</v>
      </c>
      <c r="MV165" s="37">
        <v>12.71407</v>
      </c>
      <c r="MW165" s="37">
        <v>12.71407</v>
      </c>
      <c r="MX165" s="37">
        <v>12.71407</v>
      </c>
      <c r="MY165" s="37">
        <v>12.71407</v>
      </c>
      <c r="MZ165" s="37">
        <v>12.71407</v>
      </c>
      <c r="NA165" s="37">
        <v>12.71407</v>
      </c>
      <c r="NB165" s="37">
        <v>12.71407</v>
      </c>
      <c r="NC165" s="37">
        <v>12.71407</v>
      </c>
      <c r="ND165" s="37">
        <v>13.752345</v>
      </c>
    </row>
    <row r="166" spans="1:372" x14ac:dyDescent="0.2">
      <c r="A166" s="37">
        <v>164</v>
      </c>
      <c r="B166" s="37" t="s">
        <v>1276</v>
      </c>
      <c r="C166" s="17">
        <f>+'Detalle Compras'!D166</f>
        <v>20240131037</v>
      </c>
      <c r="D166" s="55">
        <f t="shared" si="19"/>
        <v>6.2659599999999998</v>
      </c>
      <c r="E166" s="14">
        <f>+IF(B166="","",'Detalle Compras'!S166+0)</f>
        <v>45514</v>
      </c>
      <c r="F166" s="14">
        <f>+IF(B166="","",EOMONTH('Detalle Compras'!Q166,G166)+10)</f>
        <v>10846</v>
      </c>
      <c r="G166" s="50">
        <f t="shared" si="20"/>
        <v>355</v>
      </c>
      <c r="H166" s="50">
        <f t="shared" si="21"/>
        <v>337</v>
      </c>
      <c r="I166" s="37">
        <v>0</v>
      </c>
      <c r="J166" s="37">
        <v>0</v>
      </c>
      <c r="K166" s="37">
        <v>0</v>
      </c>
      <c r="L166" s="37">
        <v>0</v>
      </c>
      <c r="M166" s="37">
        <v>0</v>
      </c>
      <c r="N166" s="37">
        <v>6.2659599999999998</v>
      </c>
      <c r="O166" s="37">
        <v>6.2659599999999998</v>
      </c>
      <c r="P166" s="37">
        <v>6.2659599999999998</v>
      </c>
      <c r="Q166" s="37">
        <v>6.2659599999999998</v>
      </c>
      <c r="R166" s="37">
        <v>6.2659599999999998</v>
      </c>
      <c r="S166" s="37">
        <v>6.2659599999999998</v>
      </c>
      <c r="T166" s="37">
        <v>6.2659599999999998</v>
      </c>
      <c r="U166" s="37">
        <v>6.2659599999999998</v>
      </c>
      <c r="V166" s="37">
        <v>6.2659599999999998</v>
      </c>
      <c r="W166" s="37">
        <v>6.2659599999999998</v>
      </c>
      <c r="X166" s="37">
        <v>6.2659599999999998</v>
      </c>
      <c r="Y166" s="37">
        <v>6.2659599999999998</v>
      </c>
      <c r="Z166" s="37">
        <v>6.2659599999999998</v>
      </c>
      <c r="AA166" s="37">
        <v>6.2659599999999998</v>
      </c>
      <c r="AB166" s="37">
        <v>6.2659599999999998</v>
      </c>
      <c r="AC166" s="37">
        <v>6.2659599999999998</v>
      </c>
      <c r="AD166" s="37">
        <v>6.2659599999999998</v>
      </c>
      <c r="AE166" s="37">
        <v>6.2659599999999998</v>
      </c>
      <c r="AF166" s="37">
        <v>6.2659599999999998</v>
      </c>
      <c r="AG166" s="37">
        <v>6.2659599999999998</v>
      </c>
      <c r="AH166" s="37">
        <v>6.2659599999999998</v>
      </c>
      <c r="AI166" s="37">
        <v>6.2659599999999998</v>
      </c>
      <c r="AJ166" s="37">
        <v>6.2659599999999998</v>
      </c>
      <c r="AK166" s="37">
        <v>6.2659599999999998</v>
      </c>
      <c r="AL166" s="37">
        <v>6.2659599999999998</v>
      </c>
      <c r="AM166" s="37">
        <v>6.2659599999999998</v>
      </c>
      <c r="AN166" s="37">
        <v>6.2659599999999998</v>
      </c>
      <c r="AO166" s="37">
        <v>6.2659599999999998</v>
      </c>
      <c r="AP166" s="37">
        <v>6.2659599999999998</v>
      </c>
      <c r="AQ166" s="37">
        <v>6.2659599999999998</v>
      </c>
      <c r="AR166" s="37">
        <v>6.2659599999999998</v>
      </c>
      <c r="AS166" s="37">
        <v>6.2659599999999998</v>
      </c>
      <c r="AT166" s="37">
        <v>6.2659599999999998</v>
      </c>
      <c r="AU166" s="37">
        <v>6.2659599999999998</v>
      </c>
      <c r="AV166" s="37">
        <v>6.2659599999999998</v>
      </c>
      <c r="AW166" s="37">
        <v>6.2659599999999998</v>
      </c>
      <c r="AX166" s="37">
        <v>6.2659599999999998</v>
      </c>
      <c r="AY166" s="37">
        <v>6.2659599999999998</v>
      </c>
      <c r="AZ166" s="37">
        <v>6.2659599999999998</v>
      </c>
      <c r="BA166" s="37">
        <v>6.2659599999999998</v>
      </c>
      <c r="BB166" s="37">
        <v>6.2659599999999998</v>
      </c>
      <c r="BC166" s="37">
        <v>6.2659599999999998</v>
      </c>
      <c r="BD166" s="37">
        <v>6.2659599999999998</v>
      </c>
      <c r="BE166" s="37">
        <v>6.2659599999999998</v>
      </c>
      <c r="BF166" s="37">
        <v>6.2659599999999998</v>
      </c>
      <c r="BG166" s="37">
        <v>6.2659599999999998</v>
      </c>
      <c r="BH166" s="37">
        <v>6.2659599999999998</v>
      </c>
      <c r="BI166" s="37">
        <v>6.2659599999999998</v>
      </c>
      <c r="BJ166" s="37">
        <v>6.2659599999999998</v>
      </c>
      <c r="BK166" s="37">
        <v>6.2659599999999998</v>
      </c>
      <c r="BL166" s="37">
        <v>6.2659599999999998</v>
      </c>
      <c r="BM166" s="37">
        <v>6.2659599999999998</v>
      </c>
      <c r="BN166" s="37">
        <v>6.2659599999999998</v>
      </c>
      <c r="BO166" s="37">
        <v>6.2659599999999998</v>
      </c>
      <c r="BP166" s="37">
        <v>6.2659599999999998</v>
      </c>
      <c r="BQ166" s="37">
        <v>6.2659599999999998</v>
      </c>
      <c r="BR166" s="37">
        <v>6.2659599999999998</v>
      </c>
      <c r="BS166" s="37">
        <v>6.2659599999999998</v>
      </c>
      <c r="BT166" s="37">
        <v>6.2659599999999998</v>
      </c>
      <c r="BU166" s="37">
        <v>6.2659599999999998</v>
      </c>
      <c r="BV166" s="37">
        <v>6.2659599999999998</v>
      </c>
      <c r="BW166" s="37">
        <v>6.2659599999999998</v>
      </c>
      <c r="BX166" s="37">
        <v>6.2659599999999998</v>
      </c>
      <c r="BY166" s="37">
        <v>6.2659599999999998</v>
      </c>
      <c r="BZ166" s="37">
        <v>6.2659599999999998</v>
      </c>
      <c r="CA166" s="37">
        <v>6.2659599999999998</v>
      </c>
      <c r="CB166" s="37">
        <v>6.2659599999999998</v>
      </c>
      <c r="CC166" s="37">
        <v>6.2659599999999998</v>
      </c>
      <c r="CD166" s="37">
        <v>6.2659599999999998</v>
      </c>
      <c r="CE166" s="37">
        <v>6.2659599999999998</v>
      </c>
      <c r="CF166" s="37">
        <v>6.2659599999999998</v>
      </c>
      <c r="CG166" s="37">
        <v>6.2659599999999998</v>
      </c>
      <c r="CH166" s="37">
        <v>6.2659599999999998</v>
      </c>
      <c r="CI166" s="37">
        <v>6.2659599999999998</v>
      </c>
      <c r="CJ166" s="37">
        <v>6.2659599999999998</v>
      </c>
      <c r="CK166" s="37">
        <v>6.2659599999999998</v>
      </c>
      <c r="CL166" s="37">
        <v>6.2659599999999998</v>
      </c>
      <c r="CM166" s="37">
        <v>6.2659599999999998</v>
      </c>
      <c r="CN166" s="37">
        <v>6.2659599999999998</v>
      </c>
      <c r="CO166" s="37">
        <v>6.2659599999999998</v>
      </c>
      <c r="CP166" s="37">
        <v>6.2659599999999998</v>
      </c>
      <c r="CQ166" s="37">
        <v>6.2659599999999998</v>
      </c>
      <c r="CR166" s="37">
        <v>6.2659599999999998</v>
      </c>
      <c r="CS166" s="37">
        <v>6.2659599999999998</v>
      </c>
      <c r="CT166" s="37">
        <v>6.2659599999999998</v>
      </c>
      <c r="CU166" s="37">
        <v>6.2659599999999998</v>
      </c>
      <c r="CV166" s="37">
        <v>6.2659599999999998</v>
      </c>
      <c r="CW166" s="37">
        <v>6.2659599999999998</v>
      </c>
      <c r="CX166" s="37">
        <v>6.2659599999999998</v>
      </c>
      <c r="CY166" s="37">
        <v>6.2659599999999998</v>
      </c>
      <c r="CZ166" s="37">
        <v>6.2659599999999998</v>
      </c>
      <c r="DA166" s="37">
        <v>6.2659599999999998</v>
      </c>
      <c r="DB166" s="37">
        <v>6.2659599999999998</v>
      </c>
      <c r="DC166" s="37">
        <v>6.2659599999999998</v>
      </c>
      <c r="DD166" s="37">
        <v>6.2659599999999998</v>
      </c>
      <c r="DE166" s="37">
        <v>6.2659599999999998</v>
      </c>
      <c r="DF166" s="37">
        <v>6.2659599999999998</v>
      </c>
      <c r="DG166" s="37">
        <v>6.2659599999999998</v>
      </c>
      <c r="DH166" s="37">
        <v>6.2659599999999998</v>
      </c>
      <c r="DI166" s="37">
        <v>6.2659599999999998</v>
      </c>
      <c r="DJ166" s="37">
        <v>6.2659599999999998</v>
      </c>
      <c r="DK166" s="37">
        <v>6.2659599999999998</v>
      </c>
      <c r="DL166" s="37">
        <v>6.2659599999999998</v>
      </c>
      <c r="DM166" s="37">
        <v>6.2659599999999998</v>
      </c>
      <c r="DN166" s="37">
        <v>6.2659599999999998</v>
      </c>
      <c r="DO166" s="37">
        <v>6.2659599999999998</v>
      </c>
      <c r="DP166" s="37">
        <v>6.2659599999999998</v>
      </c>
      <c r="DQ166" s="37">
        <v>6.2659599999999998</v>
      </c>
      <c r="DR166" s="37">
        <v>6.2659599999999998</v>
      </c>
      <c r="DS166" s="37">
        <v>6.2659599999999998</v>
      </c>
      <c r="DT166" s="37">
        <v>6.2659599999999998</v>
      </c>
      <c r="DU166" s="37">
        <v>6.2659599999999998</v>
      </c>
      <c r="DV166" s="37">
        <v>6.2659599999999998</v>
      </c>
      <c r="DW166" s="37">
        <v>6.2659599999999998</v>
      </c>
      <c r="DX166" s="37">
        <v>6.2659599999999998</v>
      </c>
      <c r="DY166" s="37">
        <v>6.2659599999999998</v>
      </c>
      <c r="DZ166" s="37">
        <v>6.2659599999999998</v>
      </c>
      <c r="EA166" s="37">
        <v>6.2659599999999998</v>
      </c>
      <c r="EB166" s="37">
        <v>6.2659599999999998</v>
      </c>
      <c r="EC166" s="37">
        <v>6.2659599999999998</v>
      </c>
      <c r="ED166" s="37">
        <v>6.2659599999999998</v>
      </c>
      <c r="EE166" s="37">
        <v>6.2659599999999998</v>
      </c>
      <c r="EF166" s="37">
        <v>6.2659599999999998</v>
      </c>
      <c r="EG166" s="37">
        <v>6.2659599999999998</v>
      </c>
      <c r="EH166" s="37">
        <v>6.2659599999999998</v>
      </c>
      <c r="EI166" s="37">
        <v>6.2659599999999998</v>
      </c>
      <c r="EJ166" s="37">
        <v>6.2659599999999998</v>
      </c>
      <c r="EK166" s="37">
        <v>6.2659599999999998</v>
      </c>
      <c r="EL166" s="37">
        <v>6.2659599999999998</v>
      </c>
      <c r="EM166" s="37">
        <v>6.2659599999999998</v>
      </c>
      <c r="EN166" s="37">
        <v>6.2659599999999998</v>
      </c>
      <c r="EO166" s="37">
        <v>6.2659599999999998</v>
      </c>
      <c r="EP166" s="37">
        <v>6.2659599999999998</v>
      </c>
      <c r="EQ166" s="37">
        <v>6.2659599999999998</v>
      </c>
      <c r="ER166" s="37">
        <v>6.2659599999999998</v>
      </c>
      <c r="ES166" s="37">
        <v>6.2659599999999998</v>
      </c>
      <c r="ET166" s="37">
        <v>6.2659599999999998</v>
      </c>
      <c r="EU166" s="37">
        <v>6.2659599999999998</v>
      </c>
      <c r="EV166" s="37">
        <v>6.2659599999999998</v>
      </c>
      <c r="EW166" s="37">
        <v>6.2659599999999998</v>
      </c>
      <c r="EX166" s="37">
        <v>6.2659599999999998</v>
      </c>
      <c r="EY166" s="37">
        <v>6.2659599999999998</v>
      </c>
      <c r="EZ166" s="37">
        <v>6.2659599999999998</v>
      </c>
      <c r="FA166" s="37">
        <v>6.2659599999999998</v>
      </c>
      <c r="FB166" s="37">
        <v>6.2659599999999998</v>
      </c>
      <c r="FC166" s="37">
        <v>6.2659599999999998</v>
      </c>
      <c r="FD166" s="37">
        <v>6.2659599999999998</v>
      </c>
      <c r="FE166" s="37">
        <v>6.2659599999999998</v>
      </c>
      <c r="FF166" s="37">
        <v>6.2659599999999998</v>
      </c>
      <c r="FG166" s="37">
        <v>6.2659599999999998</v>
      </c>
      <c r="FH166" s="37">
        <v>6.2659599999999998</v>
      </c>
      <c r="FI166" s="37">
        <v>6.2659599999999998</v>
      </c>
      <c r="FJ166" s="37">
        <v>6.2659599999999998</v>
      </c>
      <c r="FK166" s="37">
        <v>6.2659599999999998</v>
      </c>
      <c r="FL166" s="37">
        <v>6.2659599999999998</v>
      </c>
      <c r="FM166" s="37">
        <v>6.2659599999999998</v>
      </c>
      <c r="FN166" s="37">
        <v>6.2659599999999998</v>
      </c>
      <c r="FO166" s="37">
        <v>6.2659599999999998</v>
      </c>
      <c r="FP166" s="37">
        <v>6.2659599999999998</v>
      </c>
      <c r="FQ166" s="37">
        <v>6.2659599999999998</v>
      </c>
      <c r="FR166" s="37">
        <v>6.2659599999999998</v>
      </c>
      <c r="FS166" s="37">
        <v>6.2659599999999998</v>
      </c>
      <c r="FT166" s="37">
        <v>6.2659599999999998</v>
      </c>
      <c r="FU166" s="37">
        <v>6.2659599999999998</v>
      </c>
      <c r="FV166" s="37">
        <v>6.2659599999999998</v>
      </c>
      <c r="FW166" s="37">
        <v>6.2659599999999998</v>
      </c>
      <c r="FX166" s="37">
        <v>6.2659599999999998</v>
      </c>
      <c r="FY166" s="37">
        <v>6.2659599999999998</v>
      </c>
      <c r="FZ166" s="37">
        <v>6.2659599999999998</v>
      </c>
      <c r="GA166" s="37">
        <v>6.2659599999999998</v>
      </c>
      <c r="GB166" s="37">
        <v>6.2659599999999998</v>
      </c>
      <c r="GC166" s="37">
        <v>6.2659599999999998</v>
      </c>
      <c r="GD166" s="37">
        <v>6.2659599999999998</v>
      </c>
      <c r="GE166" s="37">
        <v>6.2659599999999998</v>
      </c>
      <c r="GF166" s="37">
        <v>6.2659599999999998</v>
      </c>
      <c r="GG166" s="37">
        <v>6.2659599999999998</v>
      </c>
      <c r="GH166" s="37">
        <v>6.2659599999999998</v>
      </c>
      <c r="GI166" s="37">
        <v>6.2659599999999998</v>
      </c>
      <c r="GJ166" s="37">
        <v>6.2659599999999998</v>
      </c>
      <c r="GK166" s="37">
        <v>6.2659599999999998</v>
      </c>
      <c r="GL166" s="37">
        <v>6.2659599999999998</v>
      </c>
      <c r="GM166" s="37">
        <v>6.2659599999999998</v>
      </c>
      <c r="GN166" s="37">
        <v>6.2659599999999998</v>
      </c>
      <c r="GO166" s="37">
        <v>6.2659599999999998</v>
      </c>
      <c r="GP166" s="37">
        <v>6.2659599999999998</v>
      </c>
      <c r="GQ166" s="37">
        <v>6.2659599999999998</v>
      </c>
      <c r="GR166" s="37">
        <v>6.2659599999999998</v>
      </c>
      <c r="GS166" s="37">
        <v>6.2659599999999998</v>
      </c>
      <c r="GT166" s="37">
        <v>6.2659599999999998</v>
      </c>
      <c r="GU166" s="37">
        <v>6.2659599999999998</v>
      </c>
      <c r="GV166" s="37">
        <v>6.2659599999999998</v>
      </c>
      <c r="GW166" s="37">
        <v>6.2659599999999998</v>
      </c>
      <c r="GX166" s="37">
        <v>6.2659599999999998</v>
      </c>
      <c r="GY166" s="37">
        <v>6.2659599999999998</v>
      </c>
      <c r="GZ166" s="37">
        <v>6.2659599999999998</v>
      </c>
      <c r="HA166" s="37">
        <v>6.2659599999999998</v>
      </c>
      <c r="HB166" s="37">
        <v>6.2659599999999998</v>
      </c>
      <c r="HC166" s="37">
        <v>6.2659599999999998</v>
      </c>
      <c r="HD166" s="37">
        <v>6.2659599999999998</v>
      </c>
      <c r="HE166" s="37">
        <v>6.2659599999999998</v>
      </c>
      <c r="HF166" s="37">
        <v>6.2659599999999998</v>
      </c>
      <c r="HG166" s="37">
        <v>6.2659599999999998</v>
      </c>
      <c r="HH166" s="37">
        <v>6.2659599999999998</v>
      </c>
      <c r="HI166" s="37">
        <v>6.2659599999999998</v>
      </c>
      <c r="HJ166" s="37">
        <v>6.2659599999999998</v>
      </c>
      <c r="HK166" s="37">
        <v>6.2659599999999998</v>
      </c>
      <c r="HL166" s="37">
        <v>6.2659599999999998</v>
      </c>
      <c r="HM166" s="37">
        <v>6.2659599999999998</v>
      </c>
      <c r="HN166" s="37">
        <v>6.2659599999999998</v>
      </c>
      <c r="HO166" s="37">
        <v>6.2659599999999998</v>
      </c>
      <c r="HP166" s="37">
        <v>6.2659599999999998</v>
      </c>
      <c r="HQ166" s="37">
        <v>6.2659599999999998</v>
      </c>
      <c r="HR166" s="37">
        <v>6.2659599999999998</v>
      </c>
      <c r="HS166" s="37">
        <v>6.2659599999999998</v>
      </c>
      <c r="HT166" s="37">
        <v>6.2659599999999998</v>
      </c>
      <c r="HU166" s="37">
        <v>6.2659599999999998</v>
      </c>
      <c r="HV166" s="37">
        <v>6.2659599999999998</v>
      </c>
      <c r="HW166" s="37">
        <v>6.2659599999999998</v>
      </c>
      <c r="HX166" s="37">
        <v>6.2659599999999998</v>
      </c>
      <c r="HY166" s="37">
        <v>6.2659599999999998</v>
      </c>
      <c r="HZ166" s="37">
        <v>6.2659599999999998</v>
      </c>
      <c r="IA166" s="37">
        <v>6.2659599999999998</v>
      </c>
      <c r="IB166" s="37">
        <v>6.2659599999999998</v>
      </c>
      <c r="IC166" s="37">
        <v>6.2659599999999998</v>
      </c>
      <c r="ID166" s="37">
        <v>6.2659599999999998</v>
      </c>
      <c r="IE166" s="37">
        <v>6.2659599999999998</v>
      </c>
      <c r="IF166" s="37">
        <v>6.2659599999999998</v>
      </c>
      <c r="IG166" s="37">
        <v>6.2659599999999998</v>
      </c>
      <c r="IH166" s="37">
        <v>6.2659599999999998</v>
      </c>
      <c r="II166" s="37">
        <v>6.2659599999999998</v>
      </c>
      <c r="IJ166" s="37">
        <v>6.2659599999999998</v>
      </c>
      <c r="IK166" s="37">
        <v>6.2659599999999998</v>
      </c>
      <c r="IL166" s="37">
        <v>6.2659599999999998</v>
      </c>
      <c r="IM166" s="37">
        <v>6.2659599999999998</v>
      </c>
      <c r="IN166" s="37">
        <v>6.2659599999999998</v>
      </c>
      <c r="IO166" s="37">
        <v>6.2659599999999998</v>
      </c>
      <c r="IP166" s="37">
        <v>6.2659599999999998</v>
      </c>
      <c r="IQ166" s="37">
        <v>6.2659599999999998</v>
      </c>
      <c r="IR166" s="37">
        <v>6.2659599999999998</v>
      </c>
      <c r="IS166" s="37">
        <v>6.2659599999999998</v>
      </c>
      <c r="IT166" s="37">
        <v>6.2659599999999998</v>
      </c>
      <c r="IU166" s="37">
        <v>6.2659599999999998</v>
      </c>
      <c r="IV166" s="37">
        <v>6.2659599999999998</v>
      </c>
      <c r="IW166" s="37">
        <v>6.2659599999999998</v>
      </c>
      <c r="IX166" s="37">
        <v>6.2659599999999998</v>
      </c>
      <c r="IY166" s="37">
        <v>6.2659599999999998</v>
      </c>
      <c r="IZ166" s="37">
        <v>6.2659599999999998</v>
      </c>
      <c r="JA166" s="37">
        <v>6.2659599999999998</v>
      </c>
      <c r="JB166" s="37">
        <v>6.2659599999999998</v>
      </c>
      <c r="JC166" s="37">
        <v>6.2659599999999998</v>
      </c>
      <c r="JD166" s="37">
        <v>6.2659599999999998</v>
      </c>
      <c r="JE166" s="37">
        <v>6.2659599999999998</v>
      </c>
      <c r="JF166" s="37">
        <v>6.2659599999999998</v>
      </c>
      <c r="JG166" s="37">
        <v>6.2659599999999998</v>
      </c>
      <c r="JH166" s="37">
        <v>6.2659599999999998</v>
      </c>
      <c r="JI166" s="37">
        <v>6.2659599999999998</v>
      </c>
      <c r="JJ166" s="37">
        <v>6.2659599999999998</v>
      </c>
      <c r="JK166" s="37">
        <v>6.2659599999999998</v>
      </c>
      <c r="JL166" s="37">
        <v>6.2659599999999998</v>
      </c>
      <c r="JM166" s="37">
        <v>6.2659599999999998</v>
      </c>
      <c r="JN166" s="37">
        <v>6.2659599999999998</v>
      </c>
      <c r="JO166" s="37">
        <v>6.2659599999999998</v>
      </c>
      <c r="JP166" s="37">
        <v>6.2659599999999998</v>
      </c>
      <c r="JQ166" s="37">
        <v>6.2659599999999998</v>
      </c>
      <c r="JR166" s="37">
        <v>6.2659599999999998</v>
      </c>
      <c r="JS166" s="37">
        <v>6.2659599999999998</v>
      </c>
      <c r="JT166" s="37">
        <v>6.2659599999999998</v>
      </c>
      <c r="JU166" s="37">
        <v>6.2659599999999998</v>
      </c>
      <c r="JV166" s="37">
        <v>6.2659599999999998</v>
      </c>
      <c r="JW166" s="37">
        <v>6.2659599999999998</v>
      </c>
      <c r="JX166" s="37">
        <v>6.2659599999999998</v>
      </c>
      <c r="JY166" s="37">
        <v>6.2659599999999998</v>
      </c>
      <c r="JZ166" s="37">
        <v>6.2659599999999998</v>
      </c>
      <c r="KA166" s="37">
        <v>6.2659599999999998</v>
      </c>
      <c r="KB166" s="37">
        <v>6.2659599999999998</v>
      </c>
      <c r="KC166" s="37">
        <v>6.2659599999999998</v>
      </c>
      <c r="KD166" s="37">
        <v>6.2659599999999998</v>
      </c>
      <c r="KE166" s="37">
        <v>6.2659599999999998</v>
      </c>
      <c r="KF166" s="37">
        <v>6.2659599999999998</v>
      </c>
      <c r="KG166" s="37">
        <v>6.2659599999999998</v>
      </c>
      <c r="KH166" s="37">
        <v>6.2659599999999998</v>
      </c>
      <c r="KI166" s="37">
        <v>6.2659599999999998</v>
      </c>
      <c r="KJ166" s="37">
        <v>6.2659599999999998</v>
      </c>
      <c r="KK166" s="37">
        <v>6.2659599999999998</v>
      </c>
      <c r="KL166" s="37">
        <v>6.2659599999999998</v>
      </c>
      <c r="KM166" s="37">
        <v>6.2659599999999998</v>
      </c>
      <c r="KN166" s="37">
        <v>6.2659599999999998</v>
      </c>
      <c r="KO166" s="37">
        <v>6.2659599999999998</v>
      </c>
      <c r="KP166" s="37">
        <v>6.2659599999999998</v>
      </c>
      <c r="KQ166" s="37">
        <v>6.2659599999999998</v>
      </c>
      <c r="KR166" s="37">
        <v>6.2659599999999998</v>
      </c>
      <c r="KS166" s="37">
        <v>6.2659599999999998</v>
      </c>
      <c r="KT166" s="37">
        <v>6.2659599999999998</v>
      </c>
      <c r="KU166" s="37">
        <v>6.2659599999999998</v>
      </c>
      <c r="KV166" s="37">
        <v>6.2659599999999998</v>
      </c>
      <c r="KW166" s="37">
        <v>6.2659599999999998</v>
      </c>
      <c r="KX166" s="37">
        <v>6.2659599999999998</v>
      </c>
      <c r="KY166" s="37">
        <v>6.2659599999999998</v>
      </c>
      <c r="KZ166" s="37">
        <v>6.2659599999999998</v>
      </c>
      <c r="LA166" s="37">
        <v>6.2659599999999998</v>
      </c>
      <c r="LB166" s="37">
        <v>6.2659599999999998</v>
      </c>
      <c r="LC166" s="37">
        <v>6.2659599999999998</v>
      </c>
      <c r="LD166" s="37">
        <v>6.2659599999999998</v>
      </c>
      <c r="LE166" s="37">
        <v>6.2659599999999998</v>
      </c>
      <c r="LF166" s="37">
        <v>6.2659599999999998</v>
      </c>
      <c r="LG166" s="37">
        <v>6.2659599999999998</v>
      </c>
      <c r="LH166" s="37">
        <v>6.2659599999999998</v>
      </c>
      <c r="LI166" s="37">
        <v>6.2659599999999998</v>
      </c>
      <c r="LJ166" s="37">
        <v>6.2659599999999998</v>
      </c>
      <c r="LK166" s="37">
        <v>6.2659599999999998</v>
      </c>
      <c r="LL166" s="37">
        <v>6.2659599999999998</v>
      </c>
      <c r="LM166" s="37">
        <v>6.2659599999999998</v>
      </c>
      <c r="LN166" s="37">
        <v>6.2659599999999998</v>
      </c>
      <c r="LO166" s="37">
        <v>6.2659599999999998</v>
      </c>
      <c r="LP166" s="37">
        <v>6.2659599999999998</v>
      </c>
      <c r="LQ166" s="37">
        <v>6.2659599999999998</v>
      </c>
      <c r="LR166" s="37">
        <v>6.2659599999999998</v>
      </c>
      <c r="LS166" s="37">
        <v>6.2659599999999998</v>
      </c>
      <c r="LT166" s="37">
        <v>6.2659599999999998</v>
      </c>
      <c r="LU166" s="37">
        <v>6.2659599999999998</v>
      </c>
      <c r="LV166" s="37">
        <v>6.2659599999999998</v>
      </c>
      <c r="LW166" s="37">
        <v>6.2659599999999998</v>
      </c>
      <c r="LX166" s="37">
        <v>6.2659599999999998</v>
      </c>
      <c r="LY166" s="37">
        <v>6.2659599999999998</v>
      </c>
      <c r="LZ166" s="37">
        <v>6.2659599999999998</v>
      </c>
      <c r="MA166" s="37">
        <v>6.2659599999999998</v>
      </c>
      <c r="MB166" s="37">
        <v>6.2659599999999998</v>
      </c>
      <c r="MC166" s="37">
        <v>6.2659599999999998</v>
      </c>
      <c r="MD166" s="37">
        <v>6.2659599999999998</v>
      </c>
      <c r="ME166" s="37">
        <v>6.2659599999999998</v>
      </c>
      <c r="MF166" s="37">
        <v>6.2659599999999998</v>
      </c>
      <c r="MG166" s="37">
        <v>6.2659599999999998</v>
      </c>
      <c r="MH166" s="37">
        <v>6.2659599999999998</v>
      </c>
      <c r="MI166" s="37">
        <v>6.2659599999999998</v>
      </c>
      <c r="MJ166" s="37">
        <v>6.2659599999999998</v>
      </c>
      <c r="MK166" s="37">
        <v>6.2659599999999998</v>
      </c>
      <c r="ML166" s="37">
        <v>6.2659599999999998</v>
      </c>
      <c r="MM166" s="37">
        <v>6.2659599999999998</v>
      </c>
      <c r="MN166" s="37">
        <v>6.2659599999999998</v>
      </c>
      <c r="MO166" s="37">
        <v>6.2659599999999998</v>
      </c>
      <c r="MP166" s="37">
        <v>6.2659599999999998</v>
      </c>
      <c r="MQ166" s="37">
        <v>6.2659599999999998</v>
      </c>
      <c r="MR166" s="37">
        <v>6.2659599999999998</v>
      </c>
      <c r="MS166" s="37">
        <v>6.2659599999999998</v>
      </c>
      <c r="MT166" s="37">
        <v>6.2659599999999998</v>
      </c>
      <c r="MU166" s="37">
        <v>6.2659599999999998</v>
      </c>
      <c r="MV166" s="37">
        <v>6.2659599999999998</v>
      </c>
      <c r="MW166" s="37">
        <v>6.2659599999999998</v>
      </c>
      <c r="MX166" s="37">
        <v>6.2659599999999998</v>
      </c>
      <c r="MY166" s="37">
        <v>6.2659599999999998</v>
      </c>
      <c r="MZ166" s="37">
        <v>6.2659599999999998</v>
      </c>
      <c r="NA166" s="37">
        <v>6.2659599999999998</v>
      </c>
      <c r="NB166" s="37">
        <v>6.2659599999999998</v>
      </c>
      <c r="NC166" s="37">
        <v>6.2659599999999998</v>
      </c>
      <c r="ND166" s="37">
        <v>7.11</v>
      </c>
    </row>
    <row r="167" spans="1:372" x14ac:dyDescent="0.2">
      <c r="A167" s="37">
        <v>165</v>
      </c>
      <c r="B167" s="37" t="s">
        <v>1281</v>
      </c>
      <c r="C167" s="17">
        <f>+'Detalle Compras'!D167</f>
        <v>20240131031</v>
      </c>
      <c r="D167" s="55">
        <f t="shared" si="19"/>
        <v>13.86</v>
      </c>
      <c r="E167" s="14">
        <f>+IF(B167="","",'Detalle Compras'!S167+0)</f>
        <v>45514</v>
      </c>
      <c r="F167" s="14">
        <f>+IF(B167="","",EOMONTH('Detalle Compras'!Q167,G167)+10)</f>
        <v>10846</v>
      </c>
      <c r="G167" s="50">
        <f t="shared" si="20"/>
        <v>355</v>
      </c>
      <c r="H167" s="50">
        <f t="shared" si="21"/>
        <v>337</v>
      </c>
      <c r="I167" s="37">
        <v>0</v>
      </c>
      <c r="J167" s="37">
        <v>0</v>
      </c>
      <c r="K167" s="37">
        <v>0</v>
      </c>
      <c r="L167" s="37">
        <v>0</v>
      </c>
      <c r="M167" s="37">
        <v>0</v>
      </c>
      <c r="N167" s="37">
        <v>13.86</v>
      </c>
      <c r="O167" s="37">
        <v>13.86</v>
      </c>
      <c r="P167" s="37">
        <v>13.86</v>
      </c>
      <c r="Q167" s="37">
        <v>13.86</v>
      </c>
      <c r="R167" s="37">
        <v>13.86</v>
      </c>
      <c r="S167" s="37">
        <v>13.86</v>
      </c>
      <c r="T167" s="37">
        <v>13.86</v>
      </c>
      <c r="U167" s="37">
        <v>13.86</v>
      </c>
      <c r="V167" s="37">
        <v>13.86</v>
      </c>
      <c r="W167" s="37">
        <v>13.86</v>
      </c>
      <c r="X167" s="37">
        <v>13.86</v>
      </c>
      <c r="Y167" s="37">
        <v>13.86</v>
      </c>
      <c r="Z167" s="37">
        <v>13.86</v>
      </c>
      <c r="AA167" s="37">
        <v>13.86</v>
      </c>
      <c r="AB167" s="37">
        <v>13.86</v>
      </c>
      <c r="AC167" s="37">
        <v>13.86</v>
      </c>
      <c r="AD167" s="37">
        <v>13.86</v>
      </c>
      <c r="AE167" s="37">
        <v>13.86</v>
      </c>
      <c r="AF167" s="37">
        <v>13.86</v>
      </c>
      <c r="AG167" s="37">
        <v>13.86</v>
      </c>
      <c r="AH167" s="37">
        <v>13.86</v>
      </c>
      <c r="AI167" s="37">
        <v>13.86</v>
      </c>
      <c r="AJ167" s="37">
        <v>13.86</v>
      </c>
      <c r="AK167" s="37">
        <v>13.86</v>
      </c>
      <c r="AL167" s="37">
        <v>13.86</v>
      </c>
      <c r="AM167" s="37">
        <v>13.86</v>
      </c>
      <c r="AN167" s="37">
        <v>13.86</v>
      </c>
      <c r="AO167" s="37">
        <v>13.86</v>
      </c>
      <c r="AP167" s="37">
        <v>13.86</v>
      </c>
      <c r="AQ167" s="37">
        <v>13.86</v>
      </c>
      <c r="AR167" s="37">
        <v>13.86</v>
      </c>
      <c r="AS167" s="37">
        <v>13.86</v>
      </c>
      <c r="AT167" s="37">
        <v>13.86</v>
      </c>
      <c r="AU167" s="37">
        <v>13.86</v>
      </c>
      <c r="AV167" s="37">
        <v>13.86</v>
      </c>
      <c r="AW167" s="37">
        <v>13.86</v>
      </c>
      <c r="AX167" s="37">
        <v>13.86</v>
      </c>
      <c r="AY167" s="37">
        <v>13.86</v>
      </c>
      <c r="AZ167" s="37">
        <v>13.86</v>
      </c>
      <c r="BA167" s="37">
        <v>13.86</v>
      </c>
      <c r="BB167" s="37">
        <v>13.86</v>
      </c>
      <c r="BC167" s="37">
        <v>13.86</v>
      </c>
      <c r="BD167" s="37">
        <v>13.86</v>
      </c>
      <c r="BE167" s="37">
        <v>13.86</v>
      </c>
      <c r="BF167" s="37">
        <v>13.86</v>
      </c>
      <c r="BG167" s="37">
        <v>13.86</v>
      </c>
      <c r="BH167" s="37">
        <v>13.86</v>
      </c>
      <c r="BI167" s="37">
        <v>13.86</v>
      </c>
      <c r="BJ167" s="37">
        <v>13.86</v>
      </c>
      <c r="BK167" s="37">
        <v>13.86</v>
      </c>
      <c r="BL167" s="37">
        <v>13.86</v>
      </c>
      <c r="BM167" s="37">
        <v>13.86</v>
      </c>
      <c r="BN167" s="37">
        <v>13.86</v>
      </c>
      <c r="BO167" s="37">
        <v>13.86</v>
      </c>
      <c r="BP167" s="37">
        <v>13.86</v>
      </c>
      <c r="BQ167" s="37">
        <v>13.86</v>
      </c>
      <c r="BR167" s="37">
        <v>13.86</v>
      </c>
      <c r="BS167" s="37">
        <v>13.86</v>
      </c>
      <c r="BT167" s="37">
        <v>13.86</v>
      </c>
      <c r="BU167" s="37">
        <v>13.86</v>
      </c>
      <c r="BV167" s="37">
        <v>13.86</v>
      </c>
      <c r="BW167" s="37">
        <v>13.86</v>
      </c>
      <c r="BX167" s="37">
        <v>13.86</v>
      </c>
      <c r="BY167" s="37">
        <v>13.86</v>
      </c>
      <c r="BZ167" s="37">
        <v>13.86</v>
      </c>
      <c r="CA167" s="37">
        <v>13.86</v>
      </c>
      <c r="CB167" s="37">
        <v>13.86</v>
      </c>
      <c r="CC167" s="37">
        <v>13.86</v>
      </c>
      <c r="CD167" s="37">
        <v>13.86</v>
      </c>
      <c r="CE167" s="37">
        <v>13.86</v>
      </c>
      <c r="CF167" s="37">
        <v>13.86</v>
      </c>
      <c r="CG167" s="37">
        <v>13.86</v>
      </c>
      <c r="CH167" s="37">
        <v>13.86</v>
      </c>
      <c r="CI167" s="37">
        <v>13.86</v>
      </c>
      <c r="CJ167" s="37">
        <v>13.86</v>
      </c>
      <c r="CK167" s="37">
        <v>13.86</v>
      </c>
      <c r="CL167" s="37">
        <v>13.86</v>
      </c>
      <c r="CM167" s="37">
        <v>13.86</v>
      </c>
      <c r="CN167" s="37">
        <v>13.86</v>
      </c>
      <c r="CO167" s="37">
        <v>13.86</v>
      </c>
      <c r="CP167" s="37">
        <v>13.86</v>
      </c>
      <c r="CQ167" s="37">
        <v>13.86</v>
      </c>
      <c r="CR167" s="37">
        <v>13.86</v>
      </c>
      <c r="CS167" s="37">
        <v>13.86</v>
      </c>
      <c r="CT167" s="37">
        <v>13.86</v>
      </c>
      <c r="CU167" s="37">
        <v>13.86</v>
      </c>
      <c r="CV167" s="37">
        <v>13.86</v>
      </c>
      <c r="CW167" s="37">
        <v>13.86</v>
      </c>
      <c r="CX167" s="37">
        <v>13.86</v>
      </c>
      <c r="CY167" s="37">
        <v>13.86</v>
      </c>
      <c r="CZ167" s="37">
        <v>13.86</v>
      </c>
      <c r="DA167" s="37">
        <v>13.86</v>
      </c>
      <c r="DB167" s="37">
        <v>13.86</v>
      </c>
      <c r="DC167" s="37">
        <v>13.86</v>
      </c>
      <c r="DD167" s="37">
        <v>13.86</v>
      </c>
      <c r="DE167" s="37">
        <v>13.86</v>
      </c>
      <c r="DF167" s="37">
        <v>13.86</v>
      </c>
      <c r="DG167" s="37">
        <v>13.86</v>
      </c>
      <c r="DH167" s="37">
        <v>13.86</v>
      </c>
      <c r="DI167" s="37">
        <v>13.86</v>
      </c>
      <c r="DJ167" s="37">
        <v>13.86</v>
      </c>
      <c r="DK167" s="37">
        <v>13.86</v>
      </c>
      <c r="DL167" s="37">
        <v>13.86</v>
      </c>
      <c r="DM167" s="37">
        <v>13.86</v>
      </c>
      <c r="DN167" s="37">
        <v>13.86</v>
      </c>
      <c r="DO167" s="37">
        <v>13.86</v>
      </c>
      <c r="DP167" s="37">
        <v>13.86</v>
      </c>
      <c r="DQ167" s="37">
        <v>13.86</v>
      </c>
      <c r="DR167" s="37">
        <v>13.86</v>
      </c>
      <c r="DS167" s="37">
        <v>13.86</v>
      </c>
      <c r="DT167" s="37">
        <v>13.86</v>
      </c>
      <c r="DU167" s="37">
        <v>13.86</v>
      </c>
      <c r="DV167" s="37">
        <v>13.86</v>
      </c>
      <c r="DW167" s="37">
        <v>13.86</v>
      </c>
      <c r="DX167" s="37">
        <v>13.86</v>
      </c>
      <c r="DY167" s="37">
        <v>13.86</v>
      </c>
      <c r="DZ167" s="37">
        <v>13.86</v>
      </c>
      <c r="EA167" s="37">
        <v>13.86</v>
      </c>
      <c r="EB167" s="37">
        <v>13.86</v>
      </c>
      <c r="EC167" s="37">
        <v>13.86</v>
      </c>
      <c r="ED167" s="37">
        <v>13.86</v>
      </c>
      <c r="EE167" s="37">
        <v>13.86</v>
      </c>
      <c r="EF167" s="37">
        <v>13.86</v>
      </c>
      <c r="EG167" s="37">
        <v>13.86</v>
      </c>
      <c r="EH167" s="37">
        <v>13.86</v>
      </c>
      <c r="EI167" s="37">
        <v>13.86</v>
      </c>
      <c r="EJ167" s="37">
        <v>13.86</v>
      </c>
      <c r="EK167" s="37">
        <v>13.86</v>
      </c>
      <c r="EL167" s="37">
        <v>13.86</v>
      </c>
      <c r="EM167" s="37">
        <v>13.86</v>
      </c>
      <c r="EN167" s="37">
        <v>13.86</v>
      </c>
      <c r="EO167" s="37">
        <v>13.86</v>
      </c>
      <c r="EP167" s="37">
        <v>13.86</v>
      </c>
      <c r="EQ167" s="37">
        <v>13.86</v>
      </c>
      <c r="ER167" s="37">
        <v>13.86</v>
      </c>
      <c r="ES167" s="37">
        <v>13.86</v>
      </c>
      <c r="ET167" s="37">
        <v>13.86</v>
      </c>
      <c r="EU167" s="37">
        <v>13.86</v>
      </c>
      <c r="EV167" s="37">
        <v>13.86</v>
      </c>
      <c r="EW167" s="37">
        <v>13.86</v>
      </c>
      <c r="EX167" s="37">
        <v>13.86</v>
      </c>
      <c r="EY167" s="37">
        <v>13.86</v>
      </c>
      <c r="EZ167" s="37">
        <v>13.86</v>
      </c>
      <c r="FA167" s="37">
        <v>13.86</v>
      </c>
      <c r="FB167" s="37">
        <v>13.86</v>
      </c>
      <c r="FC167" s="37">
        <v>13.86</v>
      </c>
      <c r="FD167" s="37">
        <v>13.86</v>
      </c>
      <c r="FE167" s="37">
        <v>13.86</v>
      </c>
      <c r="FF167" s="37">
        <v>13.86</v>
      </c>
      <c r="FG167" s="37">
        <v>13.86</v>
      </c>
      <c r="FH167" s="37">
        <v>13.86</v>
      </c>
      <c r="FI167" s="37">
        <v>13.86</v>
      </c>
      <c r="FJ167" s="37">
        <v>13.86</v>
      </c>
      <c r="FK167" s="37">
        <v>13.86</v>
      </c>
      <c r="FL167" s="37">
        <v>13.86</v>
      </c>
      <c r="FM167" s="37">
        <v>13.86</v>
      </c>
      <c r="FN167" s="37">
        <v>13.86</v>
      </c>
      <c r="FO167" s="37">
        <v>13.86</v>
      </c>
      <c r="FP167" s="37">
        <v>13.86</v>
      </c>
      <c r="FQ167" s="37">
        <v>13.86</v>
      </c>
      <c r="FR167" s="37">
        <v>13.86</v>
      </c>
      <c r="FS167" s="37">
        <v>13.86</v>
      </c>
      <c r="FT167" s="37">
        <v>13.86</v>
      </c>
      <c r="FU167" s="37">
        <v>13.86</v>
      </c>
      <c r="FV167" s="37">
        <v>13.86</v>
      </c>
      <c r="FW167" s="37">
        <v>13.86</v>
      </c>
      <c r="FX167" s="37">
        <v>13.86</v>
      </c>
      <c r="FY167" s="37">
        <v>13.86</v>
      </c>
      <c r="FZ167" s="37">
        <v>13.86</v>
      </c>
      <c r="GA167" s="37">
        <v>13.86</v>
      </c>
      <c r="GB167" s="37">
        <v>13.86</v>
      </c>
      <c r="GC167" s="37">
        <v>13.86</v>
      </c>
      <c r="GD167" s="37">
        <v>13.86</v>
      </c>
      <c r="GE167" s="37">
        <v>13.86</v>
      </c>
      <c r="GF167" s="37">
        <v>13.86</v>
      </c>
      <c r="GG167" s="37">
        <v>13.86</v>
      </c>
      <c r="GH167" s="37">
        <v>13.86</v>
      </c>
      <c r="GI167" s="37">
        <v>13.86</v>
      </c>
      <c r="GJ167" s="37">
        <v>13.86</v>
      </c>
      <c r="GK167" s="37">
        <v>13.86</v>
      </c>
      <c r="GL167" s="37">
        <v>13.86</v>
      </c>
      <c r="GM167" s="37">
        <v>13.86</v>
      </c>
      <c r="GN167" s="37">
        <v>13.86</v>
      </c>
      <c r="GO167" s="37">
        <v>13.86</v>
      </c>
      <c r="GP167" s="37">
        <v>13.86</v>
      </c>
      <c r="GQ167" s="37">
        <v>13.86</v>
      </c>
      <c r="GR167" s="37">
        <v>13.86</v>
      </c>
      <c r="GS167" s="37">
        <v>13.86</v>
      </c>
      <c r="GT167" s="37">
        <v>13.86</v>
      </c>
      <c r="GU167" s="37">
        <v>13.86</v>
      </c>
      <c r="GV167" s="37">
        <v>13.86</v>
      </c>
      <c r="GW167" s="37">
        <v>13.86</v>
      </c>
      <c r="GX167" s="37">
        <v>13.86</v>
      </c>
      <c r="GY167" s="37">
        <v>13.86</v>
      </c>
      <c r="GZ167" s="37">
        <v>13.86</v>
      </c>
      <c r="HA167" s="37">
        <v>13.86</v>
      </c>
      <c r="HB167" s="37">
        <v>13.86</v>
      </c>
      <c r="HC167" s="37">
        <v>13.86</v>
      </c>
      <c r="HD167" s="37">
        <v>13.86</v>
      </c>
      <c r="HE167" s="37">
        <v>13.86</v>
      </c>
      <c r="HF167" s="37">
        <v>13.86</v>
      </c>
      <c r="HG167" s="37">
        <v>13.86</v>
      </c>
      <c r="HH167" s="37">
        <v>13.86</v>
      </c>
      <c r="HI167" s="37">
        <v>13.86</v>
      </c>
      <c r="HJ167" s="37">
        <v>13.86</v>
      </c>
      <c r="HK167" s="37">
        <v>13.86</v>
      </c>
      <c r="HL167" s="37">
        <v>13.86</v>
      </c>
      <c r="HM167" s="37">
        <v>13.86</v>
      </c>
      <c r="HN167" s="37">
        <v>13.86</v>
      </c>
      <c r="HO167" s="37">
        <v>13.86</v>
      </c>
      <c r="HP167" s="37">
        <v>13.86</v>
      </c>
      <c r="HQ167" s="37">
        <v>13.86</v>
      </c>
      <c r="HR167" s="37">
        <v>13.86</v>
      </c>
      <c r="HS167" s="37">
        <v>13.86</v>
      </c>
      <c r="HT167" s="37">
        <v>13.86</v>
      </c>
      <c r="HU167" s="37">
        <v>13.86</v>
      </c>
      <c r="HV167" s="37">
        <v>13.86</v>
      </c>
      <c r="HW167" s="37">
        <v>13.86</v>
      </c>
      <c r="HX167" s="37">
        <v>13.86</v>
      </c>
      <c r="HY167" s="37">
        <v>13.86</v>
      </c>
      <c r="HZ167" s="37">
        <v>13.86</v>
      </c>
      <c r="IA167" s="37">
        <v>13.86</v>
      </c>
      <c r="IB167" s="37">
        <v>13.86</v>
      </c>
      <c r="IC167" s="37">
        <v>13.86</v>
      </c>
      <c r="ID167" s="37">
        <v>13.86</v>
      </c>
      <c r="IE167" s="37">
        <v>13.86</v>
      </c>
      <c r="IF167" s="37">
        <v>13.86</v>
      </c>
      <c r="IG167" s="37">
        <v>13.86</v>
      </c>
      <c r="IH167" s="37">
        <v>13.86</v>
      </c>
      <c r="II167" s="37">
        <v>13.86</v>
      </c>
      <c r="IJ167" s="37">
        <v>13.86</v>
      </c>
      <c r="IK167" s="37">
        <v>13.86</v>
      </c>
      <c r="IL167" s="37">
        <v>13.86</v>
      </c>
      <c r="IM167" s="37">
        <v>13.86</v>
      </c>
      <c r="IN167" s="37">
        <v>13.86</v>
      </c>
      <c r="IO167" s="37">
        <v>13.86</v>
      </c>
      <c r="IP167" s="37">
        <v>13.86</v>
      </c>
      <c r="IQ167" s="37">
        <v>13.86</v>
      </c>
      <c r="IR167" s="37">
        <v>13.86</v>
      </c>
      <c r="IS167" s="37">
        <v>13.86</v>
      </c>
      <c r="IT167" s="37">
        <v>13.86</v>
      </c>
      <c r="IU167" s="37">
        <v>13.86</v>
      </c>
      <c r="IV167" s="37">
        <v>13.86</v>
      </c>
      <c r="IW167" s="37">
        <v>13.86</v>
      </c>
      <c r="IX167" s="37">
        <v>13.86</v>
      </c>
      <c r="IY167" s="37">
        <v>13.86</v>
      </c>
      <c r="IZ167" s="37">
        <v>13.86</v>
      </c>
      <c r="JA167" s="37">
        <v>13.86</v>
      </c>
      <c r="JB167" s="37">
        <v>13.86</v>
      </c>
      <c r="JC167" s="37">
        <v>13.86</v>
      </c>
      <c r="JD167" s="37">
        <v>13.86</v>
      </c>
      <c r="JE167" s="37">
        <v>13.86</v>
      </c>
      <c r="JF167" s="37">
        <v>13.86</v>
      </c>
      <c r="JG167" s="37">
        <v>13.86</v>
      </c>
      <c r="JH167" s="37">
        <v>13.86</v>
      </c>
      <c r="JI167" s="37">
        <v>13.86</v>
      </c>
      <c r="JJ167" s="37">
        <v>13.86</v>
      </c>
      <c r="JK167" s="37">
        <v>13.86</v>
      </c>
      <c r="JL167" s="37">
        <v>13.86</v>
      </c>
      <c r="JM167" s="37">
        <v>13.86</v>
      </c>
      <c r="JN167" s="37">
        <v>13.86</v>
      </c>
      <c r="JO167" s="37">
        <v>13.86</v>
      </c>
      <c r="JP167" s="37">
        <v>13.86</v>
      </c>
      <c r="JQ167" s="37">
        <v>13.86</v>
      </c>
      <c r="JR167" s="37">
        <v>13.86</v>
      </c>
      <c r="JS167" s="37">
        <v>13.86</v>
      </c>
      <c r="JT167" s="37">
        <v>13.86</v>
      </c>
      <c r="JU167" s="37">
        <v>13.86</v>
      </c>
      <c r="JV167" s="37">
        <v>13.86</v>
      </c>
      <c r="JW167" s="37">
        <v>13.86</v>
      </c>
      <c r="JX167" s="37">
        <v>13.86</v>
      </c>
      <c r="JY167" s="37">
        <v>13.86</v>
      </c>
      <c r="JZ167" s="37">
        <v>13.86</v>
      </c>
      <c r="KA167" s="37">
        <v>13.86</v>
      </c>
      <c r="KB167" s="37">
        <v>13.86</v>
      </c>
      <c r="KC167" s="37">
        <v>13.86</v>
      </c>
      <c r="KD167" s="37">
        <v>13.86</v>
      </c>
      <c r="KE167" s="37">
        <v>13.86</v>
      </c>
      <c r="KF167" s="37">
        <v>13.86</v>
      </c>
      <c r="KG167" s="37">
        <v>13.86</v>
      </c>
      <c r="KH167" s="37">
        <v>13.86</v>
      </c>
      <c r="KI167" s="37">
        <v>13.86</v>
      </c>
      <c r="KJ167" s="37">
        <v>13.86</v>
      </c>
      <c r="KK167" s="37">
        <v>13.86</v>
      </c>
      <c r="KL167" s="37">
        <v>13.86</v>
      </c>
      <c r="KM167" s="37">
        <v>13.86</v>
      </c>
      <c r="KN167" s="37">
        <v>13.86</v>
      </c>
      <c r="KO167" s="37">
        <v>13.86</v>
      </c>
      <c r="KP167" s="37">
        <v>13.86</v>
      </c>
      <c r="KQ167" s="37">
        <v>13.86</v>
      </c>
      <c r="KR167" s="37">
        <v>13.86</v>
      </c>
      <c r="KS167" s="37">
        <v>13.86</v>
      </c>
      <c r="KT167" s="37">
        <v>13.86</v>
      </c>
      <c r="KU167" s="37">
        <v>13.86</v>
      </c>
      <c r="KV167" s="37">
        <v>13.86</v>
      </c>
      <c r="KW167" s="37">
        <v>13.86</v>
      </c>
      <c r="KX167" s="37">
        <v>13.86</v>
      </c>
      <c r="KY167" s="37">
        <v>13.86</v>
      </c>
      <c r="KZ167" s="37">
        <v>13.86</v>
      </c>
      <c r="LA167" s="37">
        <v>13.86</v>
      </c>
      <c r="LB167" s="37">
        <v>13.86</v>
      </c>
      <c r="LC167" s="37">
        <v>13.86</v>
      </c>
      <c r="LD167" s="37">
        <v>13.86</v>
      </c>
      <c r="LE167" s="37">
        <v>13.86</v>
      </c>
      <c r="LF167" s="37">
        <v>13.86</v>
      </c>
      <c r="LG167" s="37">
        <v>13.86</v>
      </c>
      <c r="LH167" s="37">
        <v>13.86</v>
      </c>
      <c r="LI167" s="37">
        <v>13.86</v>
      </c>
      <c r="LJ167" s="37">
        <v>13.86</v>
      </c>
      <c r="LK167" s="37">
        <v>13.86</v>
      </c>
      <c r="LL167" s="37">
        <v>13.86</v>
      </c>
      <c r="LM167" s="37">
        <v>13.86</v>
      </c>
      <c r="LN167" s="37">
        <v>13.86</v>
      </c>
      <c r="LO167" s="37">
        <v>13.86</v>
      </c>
      <c r="LP167" s="37">
        <v>13.86</v>
      </c>
      <c r="LQ167" s="37">
        <v>13.86</v>
      </c>
      <c r="LR167" s="37">
        <v>13.86</v>
      </c>
      <c r="LS167" s="37">
        <v>13.86</v>
      </c>
      <c r="LT167" s="37">
        <v>13.86</v>
      </c>
      <c r="LU167" s="37">
        <v>13.86</v>
      </c>
      <c r="LV167" s="37">
        <v>13.86</v>
      </c>
      <c r="LW167" s="37">
        <v>13.86</v>
      </c>
      <c r="LX167" s="37">
        <v>13.86</v>
      </c>
      <c r="LY167" s="37">
        <v>13.86</v>
      </c>
      <c r="LZ167" s="37">
        <v>13.86</v>
      </c>
      <c r="MA167" s="37">
        <v>13.86</v>
      </c>
      <c r="MB167" s="37">
        <v>13.86</v>
      </c>
      <c r="MC167" s="37">
        <v>13.86</v>
      </c>
      <c r="MD167" s="37">
        <v>13.86</v>
      </c>
      <c r="ME167" s="37">
        <v>13.86</v>
      </c>
      <c r="MF167" s="37">
        <v>13.86</v>
      </c>
      <c r="MG167" s="37">
        <v>13.86</v>
      </c>
      <c r="MH167" s="37">
        <v>13.86</v>
      </c>
      <c r="MI167" s="37">
        <v>13.86</v>
      </c>
      <c r="MJ167" s="37">
        <v>13.86</v>
      </c>
      <c r="MK167" s="37">
        <v>13.86</v>
      </c>
      <c r="ML167" s="37">
        <v>13.86</v>
      </c>
      <c r="MM167" s="37">
        <v>13.86</v>
      </c>
      <c r="MN167" s="37">
        <v>13.86</v>
      </c>
      <c r="MO167" s="37">
        <v>13.86</v>
      </c>
      <c r="MP167" s="37">
        <v>13.86</v>
      </c>
      <c r="MQ167" s="37">
        <v>13.86</v>
      </c>
      <c r="MR167" s="37">
        <v>13.86</v>
      </c>
      <c r="MS167" s="37">
        <v>13.86</v>
      </c>
      <c r="MT167" s="37">
        <v>13.86</v>
      </c>
      <c r="MU167" s="37">
        <v>13.86</v>
      </c>
      <c r="MV167" s="37">
        <v>13.86</v>
      </c>
      <c r="MW167" s="37">
        <v>13.86</v>
      </c>
      <c r="MX167" s="37">
        <v>13.86</v>
      </c>
      <c r="MY167" s="37">
        <v>13.86</v>
      </c>
      <c r="MZ167" s="37">
        <v>13.86</v>
      </c>
      <c r="NA167" s="37">
        <v>13.86</v>
      </c>
      <c r="NB167" s="37">
        <v>13.86</v>
      </c>
      <c r="NC167" s="37">
        <v>13.86</v>
      </c>
      <c r="ND167" s="37">
        <v>14.71</v>
      </c>
    </row>
    <row r="168" spans="1:372" x14ac:dyDescent="0.2">
      <c r="A168" s="37">
        <v>166</v>
      </c>
      <c r="B168" s="37" t="s">
        <v>1286</v>
      </c>
      <c r="C168" s="17">
        <f>+'Detalle Compras'!D168</f>
        <v>20240129032</v>
      </c>
      <c r="D168" s="55">
        <f t="shared" si="19"/>
        <v>10.79</v>
      </c>
      <c r="E168" s="14">
        <f>+IF(B168="","",'Detalle Compras'!S168+0)</f>
        <v>45514</v>
      </c>
      <c r="F168" s="14">
        <f>+IF(B168="","",EOMONTH('Detalle Compras'!Q168,G168)+10)</f>
        <v>10846</v>
      </c>
      <c r="G168" s="50">
        <f t="shared" si="20"/>
        <v>355</v>
      </c>
      <c r="H168" s="50">
        <f t="shared" si="21"/>
        <v>337</v>
      </c>
      <c r="I168" s="37">
        <v>0</v>
      </c>
      <c r="J168" s="37">
        <v>0</v>
      </c>
      <c r="K168" s="37">
        <v>0</v>
      </c>
      <c r="L168" s="37">
        <v>0</v>
      </c>
      <c r="M168" s="37">
        <v>0</v>
      </c>
      <c r="N168" s="37">
        <v>10.79</v>
      </c>
      <c r="O168" s="37">
        <v>10.79</v>
      </c>
      <c r="P168" s="37">
        <v>10.79</v>
      </c>
      <c r="Q168" s="37">
        <v>10.79</v>
      </c>
      <c r="R168" s="37">
        <v>10.79</v>
      </c>
      <c r="S168" s="37">
        <v>10.79</v>
      </c>
      <c r="T168" s="37">
        <v>10.79</v>
      </c>
      <c r="U168" s="37">
        <v>10.79</v>
      </c>
      <c r="V168" s="37">
        <v>10.79</v>
      </c>
      <c r="W168" s="37">
        <v>10.79</v>
      </c>
      <c r="X168" s="37">
        <v>10.79</v>
      </c>
      <c r="Y168" s="37">
        <v>10.79</v>
      </c>
      <c r="Z168" s="37">
        <v>10.79</v>
      </c>
      <c r="AA168" s="37">
        <v>10.79</v>
      </c>
      <c r="AB168" s="37">
        <v>10.79</v>
      </c>
      <c r="AC168" s="37">
        <v>10.79</v>
      </c>
      <c r="AD168" s="37">
        <v>10.79</v>
      </c>
      <c r="AE168" s="37">
        <v>10.79</v>
      </c>
      <c r="AF168" s="37">
        <v>10.79</v>
      </c>
      <c r="AG168" s="37">
        <v>10.79</v>
      </c>
      <c r="AH168" s="37">
        <v>10.79</v>
      </c>
      <c r="AI168" s="37">
        <v>10.79</v>
      </c>
      <c r="AJ168" s="37">
        <v>10.79</v>
      </c>
      <c r="AK168" s="37">
        <v>10.79</v>
      </c>
      <c r="AL168" s="37">
        <v>10.79</v>
      </c>
      <c r="AM168" s="37">
        <v>10.79</v>
      </c>
      <c r="AN168" s="37">
        <v>10.79</v>
      </c>
      <c r="AO168" s="37">
        <v>10.79</v>
      </c>
      <c r="AP168" s="37">
        <v>10.79</v>
      </c>
      <c r="AQ168" s="37">
        <v>10.79</v>
      </c>
      <c r="AR168" s="37">
        <v>10.79</v>
      </c>
      <c r="AS168" s="37">
        <v>10.79</v>
      </c>
      <c r="AT168" s="37">
        <v>10.79</v>
      </c>
      <c r="AU168" s="37">
        <v>10.79</v>
      </c>
      <c r="AV168" s="37">
        <v>10.79</v>
      </c>
      <c r="AW168" s="37">
        <v>10.79</v>
      </c>
      <c r="AX168" s="37">
        <v>10.79</v>
      </c>
      <c r="AY168" s="37">
        <v>10.79</v>
      </c>
      <c r="AZ168" s="37">
        <v>10.79</v>
      </c>
      <c r="BA168" s="37">
        <v>10.79</v>
      </c>
      <c r="BB168" s="37">
        <v>10.79</v>
      </c>
      <c r="BC168" s="37">
        <v>10.79</v>
      </c>
      <c r="BD168" s="37">
        <v>10.79</v>
      </c>
      <c r="BE168" s="37">
        <v>10.79</v>
      </c>
      <c r="BF168" s="37">
        <v>10.79</v>
      </c>
      <c r="BG168" s="37">
        <v>10.79</v>
      </c>
      <c r="BH168" s="37">
        <v>10.79</v>
      </c>
      <c r="BI168" s="37">
        <v>10.79</v>
      </c>
      <c r="BJ168" s="37">
        <v>10.79</v>
      </c>
      <c r="BK168" s="37">
        <v>10.79</v>
      </c>
      <c r="BL168" s="37">
        <v>10.79</v>
      </c>
      <c r="BM168" s="37">
        <v>10.79</v>
      </c>
      <c r="BN168" s="37">
        <v>10.79</v>
      </c>
      <c r="BO168" s="37">
        <v>10.79</v>
      </c>
      <c r="BP168" s="37">
        <v>10.79</v>
      </c>
      <c r="BQ168" s="37">
        <v>10.79</v>
      </c>
      <c r="BR168" s="37">
        <v>10.79</v>
      </c>
      <c r="BS168" s="37">
        <v>10.79</v>
      </c>
      <c r="BT168" s="37">
        <v>10.79</v>
      </c>
      <c r="BU168" s="37">
        <v>10.79</v>
      </c>
      <c r="BV168" s="37">
        <v>10.79</v>
      </c>
      <c r="BW168" s="37">
        <v>10.79</v>
      </c>
      <c r="BX168" s="37">
        <v>10.79</v>
      </c>
      <c r="BY168" s="37">
        <v>10.79</v>
      </c>
      <c r="BZ168" s="37">
        <v>10.79</v>
      </c>
      <c r="CA168" s="37">
        <v>10.79</v>
      </c>
      <c r="CB168" s="37">
        <v>10.79</v>
      </c>
      <c r="CC168" s="37">
        <v>10.79</v>
      </c>
      <c r="CD168" s="37">
        <v>10.79</v>
      </c>
      <c r="CE168" s="37">
        <v>10.79</v>
      </c>
      <c r="CF168" s="37">
        <v>10.79</v>
      </c>
      <c r="CG168" s="37">
        <v>10.79</v>
      </c>
      <c r="CH168" s="37">
        <v>10.79</v>
      </c>
      <c r="CI168" s="37">
        <v>10.79</v>
      </c>
      <c r="CJ168" s="37">
        <v>10.79</v>
      </c>
      <c r="CK168" s="37">
        <v>10.79</v>
      </c>
      <c r="CL168" s="37">
        <v>10.79</v>
      </c>
      <c r="CM168" s="37">
        <v>10.79</v>
      </c>
      <c r="CN168" s="37">
        <v>10.79</v>
      </c>
      <c r="CO168" s="37">
        <v>10.79</v>
      </c>
      <c r="CP168" s="37">
        <v>10.79</v>
      </c>
      <c r="CQ168" s="37">
        <v>10.79</v>
      </c>
      <c r="CR168" s="37">
        <v>10.79</v>
      </c>
      <c r="CS168" s="37">
        <v>10.79</v>
      </c>
      <c r="CT168" s="37">
        <v>10.79</v>
      </c>
      <c r="CU168" s="37">
        <v>10.79</v>
      </c>
      <c r="CV168" s="37">
        <v>10.79</v>
      </c>
      <c r="CW168" s="37">
        <v>10.79</v>
      </c>
      <c r="CX168" s="37">
        <v>10.79</v>
      </c>
      <c r="CY168" s="37">
        <v>10.79</v>
      </c>
      <c r="CZ168" s="37">
        <v>10.79</v>
      </c>
      <c r="DA168" s="37">
        <v>10.79</v>
      </c>
      <c r="DB168" s="37">
        <v>10.79</v>
      </c>
      <c r="DC168" s="37">
        <v>10.79</v>
      </c>
      <c r="DD168" s="37">
        <v>10.79</v>
      </c>
      <c r="DE168" s="37">
        <v>10.79</v>
      </c>
      <c r="DF168" s="37">
        <v>10.79</v>
      </c>
      <c r="DG168" s="37">
        <v>10.79</v>
      </c>
      <c r="DH168" s="37">
        <v>10.79</v>
      </c>
      <c r="DI168" s="37">
        <v>10.79</v>
      </c>
      <c r="DJ168" s="37">
        <v>10.79</v>
      </c>
      <c r="DK168" s="37">
        <v>10.79</v>
      </c>
      <c r="DL168" s="37">
        <v>10.79</v>
      </c>
      <c r="DM168" s="37">
        <v>10.79</v>
      </c>
      <c r="DN168" s="37">
        <v>10.79</v>
      </c>
      <c r="DO168" s="37">
        <v>10.79</v>
      </c>
      <c r="DP168" s="37">
        <v>10.79</v>
      </c>
      <c r="DQ168" s="37">
        <v>10.79</v>
      </c>
      <c r="DR168" s="37">
        <v>10.79</v>
      </c>
      <c r="DS168" s="37">
        <v>10.79</v>
      </c>
      <c r="DT168" s="37">
        <v>10.79</v>
      </c>
      <c r="DU168" s="37">
        <v>10.79</v>
      </c>
      <c r="DV168" s="37">
        <v>10.79</v>
      </c>
      <c r="DW168" s="37">
        <v>10.79</v>
      </c>
      <c r="DX168" s="37">
        <v>10.79</v>
      </c>
      <c r="DY168" s="37">
        <v>10.79</v>
      </c>
      <c r="DZ168" s="37">
        <v>10.79</v>
      </c>
      <c r="EA168" s="37">
        <v>10.79</v>
      </c>
      <c r="EB168" s="37">
        <v>10.79</v>
      </c>
      <c r="EC168" s="37">
        <v>10.79</v>
      </c>
      <c r="ED168" s="37">
        <v>10.79</v>
      </c>
      <c r="EE168" s="37">
        <v>10.79</v>
      </c>
      <c r="EF168" s="37">
        <v>10.79</v>
      </c>
      <c r="EG168" s="37">
        <v>10.79</v>
      </c>
      <c r="EH168" s="37">
        <v>10.79</v>
      </c>
      <c r="EI168" s="37">
        <v>10.79</v>
      </c>
      <c r="EJ168" s="37">
        <v>10.79</v>
      </c>
      <c r="EK168" s="37">
        <v>10.79</v>
      </c>
      <c r="EL168" s="37">
        <v>10.79</v>
      </c>
      <c r="EM168" s="37">
        <v>10.79</v>
      </c>
      <c r="EN168" s="37">
        <v>10.79</v>
      </c>
      <c r="EO168" s="37">
        <v>10.79</v>
      </c>
      <c r="EP168" s="37">
        <v>10.79</v>
      </c>
      <c r="EQ168" s="37">
        <v>10.79</v>
      </c>
      <c r="ER168" s="37">
        <v>10.79</v>
      </c>
      <c r="ES168" s="37">
        <v>10.79</v>
      </c>
      <c r="ET168" s="37">
        <v>10.79</v>
      </c>
      <c r="EU168" s="37">
        <v>10.79</v>
      </c>
      <c r="EV168" s="37">
        <v>10.79</v>
      </c>
      <c r="EW168" s="37">
        <v>10.79</v>
      </c>
      <c r="EX168" s="37">
        <v>10.79</v>
      </c>
      <c r="EY168" s="37">
        <v>10.79</v>
      </c>
      <c r="EZ168" s="37">
        <v>10.79</v>
      </c>
      <c r="FA168" s="37">
        <v>10.79</v>
      </c>
      <c r="FB168" s="37">
        <v>10.79</v>
      </c>
      <c r="FC168" s="37">
        <v>10.79</v>
      </c>
      <c r="FD168" s="37">
        <v>10.79</v>
      </c>
      <c r="FE168" s="37">
        <v>10.79</v>
      </c>
      <c r="FF168" s="37">
        <v>10.79</v>
      </c>
      <c r="FG168" s="37">
        <v>10.79</v>
      </c>
      <c r="FH168" s="37">
        <v>10.79</v>
      </c>
      <c r="FI168" s="37">
        <v>10.79</v>
      </c>
      <c r="FJ168" s="37">
        <v>10.79</v>
      </c>
      <c r="FK168" s="37">
        <v>10.79</v>
      </c>
      <c r="FL168" s="37">
        <v>10.79</v>
      </c>
      <c r="FM168" s="37">
        <v>10.79</v>
      </c>
      <c r="FN168" s="37">
        <v>10.79</v>
      </c>
      <c r="FO168" s="37">
        <v>10.79</v>
      </c>
      <c r="FP168" s="37">
        <v>10.79</v>
      </c>
      <c r="FQ168" s="37">
        <v>10.79</v>
      </c>
      <c r="FR168" s="37">
        <v>10.79</v>
      </c>
      <c r="FS168" s="37">
        <v>10.79</v>
      </c>
      <c r="FT168" s="37">
        <v>10.79</v>
      </c>
      <c r="FU168" s="37">
        <v>10.79</v>
      </c>
      <c r="FV168" s="37">
        <v>10.79</v>
      </c>
      <c r="FW168" s="37">
        <v>10.79</v>
      </c>
      <c r="FX168" s="37">
        <v>10.79</v>
      </c>
      <c r="FY168" s="37">
        <v>10.79</v>
      </c>
      <c r="FZ168" s="37">
        <v>10.79</v>
      </c>
      <c r="GA168" s="37">
        <v>10.79</v>
      </c>
      <c r="GB168" s="37">
        <v>10.79</v>
      </c>
      <c r="GC168" s="37">
        <v>10.79</v>
      </c>
      <c r="GD168" s="37">
        <v>10.79</v>
      </c>
      <c r="GE168" s="37">
        <v>10.79</v>
      </c>
      <c r="GF168" s="37">
        <v>10.79</v>
      </c>
      <c r="GG168" s="37">
        <v>10.79</v>
      </c>
      <c r="GH168" s="37">
        <v>10.79</v>
      </c>
      <c r="GI168" s="37">
        <v>10.79</v>
      </c>
      <c r="GJ168" s="37">
        <v>10.79</v>
      </c>
      <c r="GK168" s="37">
        <v>10.79</v>
      </c>
      <c r="GL168" s="37">
        <v>10.79</v>
      </c>
      <c r="GM168" s="37">
        <v>10.79</v>
      </c>
      <c r="GN168" s="37">
        <v>10.79</v>
      </c>
      <c r="GO168" s="37">
        <v>10.79</v>
      </c>
      <c r="GP168" s="37">
        <v>10.79</v>
      </c>
      <c r="GQ168" s="37">
        <v>10.79</v>
      </c>
      <c r="GR168" s="37">
        <v>10.79</v>
      </c>
      <c r="GS168" s="37">
        <v>10.79</v>
      </c>
      <c r="GT168" s="37">
        <v>10.79</v>
      </c>
      <c r="GU168" s="37">
        <v>10.79</v>
      </c>
      <c r="GV168" s="37">
        <v>10.79</v>
      </c>
      <c r="GW168" s="37">
        <v>10.79</v>
      </c>
      <c r="GX168" s="37">
        <v>10.79</v>
      </c>
      <c r="GY168" s="37">
        <v>10.79</v>
      </c>
      <c r="GZ168" s="37">
        <v>10.79</v>
      </c>
      <c r="HA168" s="37">
        <v>10.79</v>
      </c>
      <c r="HB168" s="37">
        <v>10.79</v>
      </c>
      <c r="HC168" s="37">
        <v>10.79</v>
      </c>
      <c r="HD168" s="37">
        <v>10.79</v>
      </c>
      <c r="HE168" s="37">
        <v>10.79</v>
      </c>
      <c r="HF168" s="37">
        <v>10.79</v>
      </c>
      <c r="HG168" s="37">
        <v>10.79</v>
      </c>
      <c r="HH168" s="37">
        <v>10.79</v>
      </c>
      <c r="HI168" s="37">
        <v>10.79</v>
      </c>
      <c r="HJ168" s="37">
        <v>10.79</v>
      </c>
      <c r="HK168" s="37">
        <v>10.79</v>
      </c>
      <c r="HL168" s="37">
        <v>10.79</v>
      </c>
      <c r="HM168" s="37">
        <v>10.79</v>
      </c>
      <c r="HN168" s="37">
        <v>10.79</v>
      </c>
      <c r="HO168" s="37">
        <v>10.79</v>
      </c>
      <c r="HP168" s="37">
        <v>10.79</v>
      </c>
      <c r="HQ168" s="37">
        <v>10.79</v>
      </c>
      <c r="HR168" s="37">
        <v>10.79</v>
      </c>
      <c r="HS168" s="37">
        <v>10.79</v>
      </c>
      <c r="HT168" s="37">
        <v>10.79</v>
      </c>
      <c r="HU168" s="37">
        <v>10.79</v>
      </c>
      <c r="HV168" s="37">
        <v>10.79</v>
      </c>
      <c r="HW168" s="37">
        <v>10.79</v>
      </c>
      <c r="HX168" s="37">
        <v>10.79</v>
      </c>
      <c r="HY168" s="37">
        <v>10.79</v>
      </c>
      <c r="HZ168" s="37">
        <v>10.79</v>
      </c>
      <c r="IA168" s="37">
        <v>10.79</v>
      </c>
      <c r="IB168" s="37">
        <v>10.79</v>
      </c>
      <c r="IC168" s="37">
        <v>10.79</v>
      </c>
      <c r="ID168" s="37">
        <v>10.79</v>
      </c>
      <c r="IE168" s="37">
        <v>10.79</v>
      </c>
      <c r="IF168" s="37">
        <v>10.79</v>
      </c>
      <c r="IG168" s="37">
        <v>10.79</v>
      </c>
      <c r="IH168" s="37">
        <v>10.79</v>
      </c>
      <c r="II168" s="37">
        <v>10.79</v>
      </c>
      <c r="IJ168" s="37">
        <v>10.79</v>
      </c>
      <c r="IK168" s="37">
        <v>10.79</v>
      </c>
      <c r="IL168" s="37">
        <v>10.79</v>
      </c>
      <c r="IM168" s="37">
        <v>10.79</v>
      </c>
      <c r="IN168" s="37">
        <v>10.79</v>
      </c>
      <c r="IO168" s="37">
        <v>10.79</v>
      </c>
      <c r="IP168" s="37">
        <v>10.79</v>
      </c>
      <c r="IQ168" s="37">
        <v>10.79</v>
      </c>
      <c r="IR168" s="37">
        <v>10.79</v>
      </c>
      <c r="IS168" s="37">
        <v>10.79</v>
      </c>
      <c r="IT168" s="37">
        <v>10.79</v>
      </c>
      <c r="IU168" s="37">
        <v>10.79</v>
      </c>
      <c r="IV168" s="37">
        <v>10.79</v>
      </c>
      <c r="IW168" s="37">
        <v>10.79</v>
      </c>
      <c r="IX168" s="37">
        <v>10.79</v>
      </c>
      <c r="IY168" s="37">
        <v>10.79</v>
      </c>
      <c r="IZ168" s="37">
        <v>10.79</v>
      </c>
      <c r="JA168" s="37">
        <v>10.79</v>
      </c>
      <c r="JB168" s="37">
        <v>10.79</v>
      </c>
      <c r="JC168" s="37">
        <v>10.79</v>
      </c>
      <c r="JD168" s="37">
        <v>10.79</v>
      </c>
      <c r="JE168" s="37">
        <v>10.79</v>
      </c>
      <c r="JF168" s="37">
        <v>10.79</v>
      </c>
      <c r="JG168" s="37">
        <v>10.79</v>
      </c>
      <c r="JH168" s="37">
        <v>10.79</v>
      </c>
      <c r="JI168" s="37">
        <v>10.79</v>
      </c>
      <c r="JJ168" s="37">
        <v>10.79</v>
      </c>
      <c r="JK168" s="37">
        <v>10.79</v>
      </c>
      <c r="JL168" s="37">
        <v>10.79</v>
      </c>
      <c r="JM168" s="37">
        <v>10.79</v>
      </c>
      <c r="JN168" s="37">
        <v>10.79</v>
      </c>
      <c r="JO168" s="37">
        <v>10.79</v>
      </c>
      <c r="JP168" s="37">
        <v>10.79</v>
      </c>
      <c r="JQ168" s="37">
        <v>10.79</v>
      </c>
      <c r="JR168" s="37">
        <v>10.79</v>
      </c>
      <c r="JS168" s="37">
        <v>10.79</v>
      </c>
      <c r="JT168" s="37">
        <v>10.79</v>
      </c>
      <c r="JU168" s="37">
        <v>10.79</v>
      </c>
      <c r="JV168" s="37">
        <v>10.79</v>
      </c>
      <c r="JW168" s="37">
        <v>10.79</v>
      </c>
      <c r="JX168" s="37">
        <v>10.79</v>
      </c>
      <c r="JY168" s="37">
        <v>10.79</v>
      </c>
      <c r="JZ168" s="37">
        <v>10.79</v>
      </c>
      <c r="KA168" s="37">
        <v>10.79</v>
      </c>
      <c r="KB168" s="37">
        <v>10.79</v>
      </c>
      <c r="KC168" s="37">
        <v>10.79</v>
      </c>
      <c r="KD168" s="37">
        <v>10.79</v>
      </c>
      <c r="KE168" s="37">
        <v>10.79</v>
      </c>
      <c r="KF168" s="37">
        <v>10.79</v>
      </c>
      <c r="KG168" s="37">
        <v>10.79</v>
      </c>
      <c r="KH168" s="37">
        <v>10.79</v>
      </c>
      <c r="KI168" s="37">
        <v>10.79</v>
      </c>
      <c r="KJ168" s="37">
        <v>10.79</v>
      </c>
      <c r="KK168" s="37">
        <v>10.79</v>
      </c>
      <c r="KL168" s="37">
        <v>10.79</v>
      </c>
      <c r="KM168" s="37">
        <v>10.79</v>
      </c>
      <c r="KN168" s="37">
        <v>10.79</v>
      </c>
      <c r="KO168" s="37">
        <v>10.79</v>
      </c>
      <c r="KP168" s="37">
        <v>10.79</v>
      </c>
      <c r="KQ168" s="37">
        <v>10.79</v>
      </c>
      <c r="KR168" s="37">
        <v>10.79</v>
      </c>
      <c r="KS168" s="37">
        <v>10.79</v>
      </c>
      <c r="KT168" s="37">
        <v>10.79</v>
      </c>
      <c r="KU168" s="37">
        <v>10.79</v>
      </c>
      <c r="KV168" s="37">
        <v>10.79</v>
      </c>
      <c r="KW168" s="37">
        <v>10.79</v>
      </c>
      <c r="KX168" s="37">
        <v>10.79</v>
      </c>
      <c r="KY168" s="37">
        <v>10.79</v>
      </c>
      <c r="KZ168" s="37">
        <v>10.79</v>
      </c>
      <c r="LA168" s="37">
        <v>10.79</v>
      </c>
      <c r="LB168" s="37">
        <v>10.79</v>
      </c>
      <c r="LC168" s="37">
        <v>10.79</v>
      </c>
      <c r="LD168" s="37">
        <v>10.79</v>
      </c>
      <c r="LE168" s="37">
        <v>10.79</v>
      </c>
      <c r="LF168" s="37">
        <v>10.79</v>
      </c>
      <c r="LG168" s="37">
        <v>10.79</v>
      </c>
      <c r="LH168" s="37">
        <v>10.79</v>
      </c>
      <c r="LI168" s="37">
        <v>10.79</v>
      </c>
      <c r="LJ168" s="37">
        <v>10.79</v>
      </c>
      <c r="LK168" s="37">
        <v>10.79</v>
      </c>
      <c r="LL168" s="37">
        <v>10.79</v>
      </c>
      <c r="LM168" s="37">
        <v>10.79</v>
      </c>
      <c r="LN168" s="37">
        <v>10.79</v>
      </c>
      <c r="LO168" s="37">
        <v>10.79</v>
      </c>
      <c r="LP168" s="37">
        <v>10.79</v>
      </c>
      <c r="LQ168" s="37">
        <v>10.79</v>
      </c>
      <c r="LR168" s="37">
        <v>10.79</v>
      </c>
      <c r="LS168" s="37">
        <v>10.79</v>
      </c>
      <c r="LT168" s="37">
        <v>10.79</v>
      </c>
      <c r="LU168" s="37">
        <v>10.79</v>
      </c>
      <c r="LV168" s="37">
        <v>10.79</v>
      </c>
      <c r="LW168" s="37">
        <v>10.79</v>
      </c>
      <c r="LX168" s="37">
        <v>10.79</v>
      </c>
      <c r="LY168" s="37">
        <v>10.79</v>
      </c>
      <c r="LZ168" s="37">
        <v>10.79</v>
      </c>
      <c r="MA168" s="37">
        <v>10.79</v>
      </c>
      <c r="MB168" s="37">
        <v>10.79</v>
      </c>
      <c r="MC168" s="37">
        <v>10.79</v>
      </c>
      <c r="MD168" s="37">
        <v>10.79</v>
      </c>
      <c r="ME168" s="37">
        <v>10.79</v>
      </c>
      <c r="MF168" s="37">
        <v>10.79</v>
      </c>
      <c r="MG168" s="37">
        <v>10.79</v>
      </c>
      <c r="MH168" s="37">
        <v>10.79</v>
      </c>
      <c r="MI168" s="37">
        <v>10.79</v>
      </c>
      <c r="MJ168" s="37">
        <v>10.79</v>
      </c>
      <c r="MK168" s="37">
        <v>10.79</v>
      </c>
      <c r="ML168" s="37">
        <v>10.79</v>
      </c>
      <c r="MM168" s="37">
        <v>10.79</v>
      </c>
      <c r="MN168" s="37">
        <v>10.79</v>
      </c>
      <c r="MO168" s="37">
        <v>10.79</v>
      </c>
      <c r="MP168" s="37">
        <v>10.79</v>
      </c>
      <c r="MQ168" s="37">
        <v>10.79</v>
      </c>
      <c r="MR168" s="37">
        <v>10.79</v>
      </c>
      <c r="MS168" s="37">
        <v>10.79</v>
      </c>
      <c r="MT168" s="37">
        <v>10.79</v>
      </c>
      <c r="MU168" s="37">
        <v>10.79</v>
      </c>
      <c r="MV168" s="37">
        <v>10.79</v>
      </c>
      <c r="MW168" s="37">
        <v>10.79</v>
      </c>
      <c r="MX168" s="37">
        <v>10.79</v>
      </c>
      <c r="MY168" s="37">
        <v>10.79</v>
      </c>
      <c r="MZ168" s="37">
        <v>10.79</v>
      </c>
      <c r="NA168" s="37">
        <v>10.79</v>
      </c>
      <c r="NB168" s="37">
        <v>10.79</v>
      </c>
      <c r="NC168" s="37">
        <v>10.79</v>
      </c>
      <c r="ND168" s="37">
        <v>11.45</v>
      </c>
    </row>
    <row r="169" spans="1:372" x14ac:dyDescent="0.2">
      <c r="A169" s="37">
        <v>167</v>
      </c>
      <c r="B169" s="37" t="s">
        <v>1291</v>
      </c>
      <c r="C169" s="17">
        <f>+'Detalle Compras'!D169</f>
        <v>20240130035</v>
      </c>
      <c r="D169" s="55">
        <f t="shared" si="19"/>
        <v>11.81</v>
      </c>
      <c r="E169" s="14">
        <f>+IF(B169="","",'Detalle Compras'!S169+0)</f>
        <v>45514</v>
      </c>
      <c r="F169" s="14">
        <f>+IF(B169="","",EOMONTH('Detalle Compras'!Q169,G169)+10)</f>
        <v>10846</v>
      </c>
      <c r="G169" s="50">
        <f t="shared" si="20"/>
        <v>355</v>
      </c>
      <c r="H169" s="50">
        <f t="shared" si="21"/>
        <v>337</v>
      </c>
      <c r="I169" s="37">
        <v>0</v>
      </c>
      <c r="J169" s="37">
        <v>0</v>
      </c>
      <c r="K169" s="37">
        <v>0</v>
      </c>
      <c r="L169" s="37">
        <v>0</v>
      </c>
      <c r="M169" s="37">
        <v>0</v>
      </c>
      <c r="N169" s="37">
        <v>11.81</v>
      </c>
      <c r="O169" s="37">
        <v>11.81</v>
      </c>
      <c r="P169" s="37">
        <v>11.81</v>
      </c>
      <c r="Q169" s="37">
        <v>11.81</v>
      </c>
      <c r="R169" s="37">
        <v>11.81</v>
      </c>
      <c r="S169" s="37">
        <v>11.81</v>
      </c>
      <c r="T169" s="37">
        <v>11.81</v>
      </c>
      <c r="U169" s="37">
        <v>11.81</v>
      </c>
      <c r="V169" s="37">
        <v>11.81</v>
      </c>
      <c r="W169" s="37">
        <v>11.81</v>
      </c>
      <c r="X169" s="37">
        <v>11.81</v>
      </c>
      <c r="Y169" s="37">
        <v>11.81</v>
      </c>
      <c r="Z169" s="37">
        <v>11.81</v>
      </c>
      <c r="AA169" s="37">
        <v>11.81</v>
      </c>
      <c r="AB169" s="37">
        <v>11.81</v>
      </c>
      <c r="AC169" s="37">
        <v>11.81</v>
      </c>
      <c r="AD169" s="37">
        <v>11.81</v>
      </c>
      <c r="AE169" s="37">
        <v>11.81</v>
      </c>
      <c r="AF169" s="37">
        <v>11.81</v>
      </c>
      <c r="AG169" s="37">
        <v>11.81</v>
      </c>
      <c r="AH169" s="37">
        <v>11.81</v>
      </c>
      <c r="AI169" s="37">
        <v>11.81</v>
      </c>
      <c r="AJ169" s="37">
        <v>11.81</v>
      </c>
      <c r="AK169" s="37">
        <v>11.81</v>
      </c>
      <c r="AL169" s="37">
        <v>11.81</v>
      </c>
      <c r="AM169" s="37">
        <v>11.81</v>
      </c>
      <c r="AN169" s="37">
        <v>11.81</v>
      </c>
      <c r="AO169" s="37">
        <v>11.81</v>
      </c>
      <c r="AP169" s="37">
        <v>11.81</v>
      </c>
      <c r="AQ169" s="37">
        <v>11.81</v>
      </c>
      <c r="AR169" s="37">
        <v>11.81</v>
      </c>
      <c r="AS169" s="37">
        <v>11.81</v>
      </c>
      <c r="AT169" s="37">
        <v>11.81</v>
      </c>
      <c r="AU169" s="37">
        <v>11.81</v>
      </c>
      <c r="AV169" s="37">
        <v>11.81</v>
      </c>
      <c r="AW169" s="37">
        <v>11.81</v>
      </c>
      <c r="AX169" s="37">
        <v>11.81</v>
      </c>
      <c r="AY169" s="37">
        <v>11.81</v>
      </c>
      <c r="AZ169" s="37">
        <v>11.81</v>
      </c>
      <c r="BA169" s="37">
        <v>11.81</v>
      </c>
      <c r="BB169" s="37">
        <v>11.81</v>
      </c>
      <c r="BC169" s="37">
        <v>11.81</v>
      </c>
      <c r="BD169" s="37">
        <v>11.81</v>
      </c>
      <c r="BE169" s="37">
        <v>11.81</v>
      </c>
      <c r="BF169" s="37">
        <v>11.81</v>
      </c>
      <c r="BG169" s="37">
        <v>11.81</v>
      </c>
      <c r="BH169" s="37">
        <v>11.81</v>
      </c>
      <c r="BI169" s="37">
        <v>11.81</v>
      </c>
      <c r="BJ169" s="37">
        <v>11.81</v>
      </c>
      <c r="BK169" s="37">
        <v>11.81</v>
      </c>
      <c r="BL169" s="37">
        <v>11.81</v>
      </c>
      <c r="BM169" s="37">
        <v>11.81</v>
      </c>
      <c r="BN169" s="37">
        <v>11.81</v>
      </c>
      <c r="BO169" s="37">
        <v>11.81</v>
      </c>
      <c r="BP169" s="37">
        <v>11.81</v>
      </c>
      <c r="BQ169" s="37">
        <v>11.81</v>
      </c>
      <c r="BR169" s="37">
        <v>11.81</v>
      </c>
      <c r="BS169" s="37">
        <v>11.81</v>
      </c>
      <c r="BT169" s="37">
        <v>11.81</v>
      </c>
      <c r="BU169" s="37">
        <v>11.81</v>
      </c>
      <c r="BV169" s="37">
        <v>11.81</v>
      </c>
      <c r="BW169" s="37">
        <v>11.81</v>
      </c>
      <c r="BX169" s="37">
        <v>11.81</v>
      </c>
      <c r="BY169" s="37">
        <v>11.81</v>
      </c>
      <c r="BZ169" s="37">
        <v>11.81</v>
      </c>
      <c r="CA169" s="37">
        <v>11.81</v>
      </c>
      <c r="CB169" s="37">
        <v>11.81</v>
      </c>
      <c r="CC169" s="37">
        <v>11.81</v>
      </c>
      <c r="CD169" s="37">
        <v>11.81</v>
      </c>
      <c r="CE169" s="37">
        <v>11.81</v>
      </c>
      <c r="CF169" s="37">
        <v>11.81</v>
      </c>
      <c r="CG169" s="37">
        <v>11.81</v>
      </c>
      <c r="CH169" s="37">
        <v>11.81</v>
      </c>
      <c r="CI169" s="37">
        <v>11.81</v>
      </c>
      <c r="CJ169" s="37">
        <v>11.81</v>
      </c>
      <c r="CK169" s="37">
        <v>11.81</v>
      </c>
      <c r="CL169" s="37">
        <v>11.81</v>
      </c>
      <c r="CM169" s="37">
        <v>11.81</v>
      </c>
      <c r="CN169" s="37">
        <v>11.81</v>
      </c>
      <c r="CO169" s="37">
        <v>11.81</v>
      </c>
      <c r="CP169" s="37">
        <v>11.81</v>
      </c>
      <c r="CQ169" s="37">
        <v>11.81</v>
      </c>
      <c r="CR169" s="37">
        <v>11.81</v>
      </c>
      <c r="CS169" s="37">
        <v>11.81</v>
      </c>
      <c r="CT169" s="37">
        <v>11.81</v>
      </c>
      <c r="CU169" s="37">
        <v>11.81</v>
      </c>
      <c r="CV169" s="37">
        <v>11.81</v>
      </c>
      <c r="CW169" s="37">
        <v>11.81</v>
      </c>
      <c r="CX169" s="37">
        <v>11.81</v>
      </c>
      <c r="CY169" s="37">
        <v>11.81</v>
      </c>
      <c r="CZ169" s="37">
        <v>11.81</v>
      </c>
      <c r="DA169" s="37">
        <v>11.81</v>
      </c>
      <c r="DB169" s="37">
        <v>11.81</v>
      </c>
      <c r="DC169" s="37">
        <v>11.81</v>
      </c>
      <c r="DD169" s="37">
        <v>11.81</v>
      </c>
      <c r="DE169" s="37">
        <v>11.81</v>
      </c>
      <c r="DF169" s="37">
        <v>11.81</v>
      </c>
      <c r="DG169" s="37">
        <v>11.81</v>
      </c>
      <c r="DH169" s="37">
        <v>11.81</v>
      </c>
      <c r="DI169" s="37">
        <v>11.81</v>
      </c>
      <c r="DJ169" s="37">
        <v>11.81</v>
      </c>
      <c r="DK169" s="37">
        <v>11.81</v>
      </c>
      <c r="DL169" s="37">
        <v>11.81</v>
      </c>
      <c r="DM169" s="37">
        <v>11.81</v>
      </c>
      <c r="DN169" s="37">
        <v>11.81</v>
      </c>
      <c r="DO169" s="37">
        <v>11.81</v>
      </c>
      <c r="DP169" s="37">
        <v>11.81</v>
      </c>
      <c r="DQ169" s="37">
        <v>11.81</v>
      </c>
      <c r="DR169" s="37">
        <v>11.81</v>
      </c>
      <c r="DS169" s="37">
        <v>11.81</v>
      </c>
      <c r="DT169" s="37">
        <v>11.81</v>
      </c>
      <c r="DU169" s="37">
        <v>11.81</v>
      </c>
      <c r="DV169" s="37">
        <v>11.81</v>
      </c>
      <c r="DW169" s="37">
        <v>11.81</v>
      </c>
      <c r="DX169" s="37">
        <v>11.81</v>
      </c>
      <c r="DY169" s="37">
        <v>11.81</v>
      </c>
      <c r="DZ169" s="37">
        <v>11.81</v>
      </c>
      <c r="EA169" s="37">
        <v>11.81</v>
      </c>
      <c r="EB169" s="37">
        <v>11.81</v>
      </c>
      <c r="EC169" s="37">
        <v>11.81</v>
      </c>
      <c r="ED169" s="37">
        <v>11.81</v>
      </c>
      <c r="EE169" s="37">
        <v>11.81</v>
      </c>
      <c r="EF169" s="37">
        <v>11.81</v>
      </c>
      <c r="EG169" s="37">
        <v>11.81</v>
      </c>
      <c r="EH169" s="37">
        <v>11.81</v>
      </c>
      <c r="EI169" s="37">
        <v>11.81</v>
      </c>
      <c r="EJ169" s="37">
        <v>11.81</v>
      </c>
      <c r="EK169" s="37">
        <v>11.81</v>
      </c>
      <c r="EL169" s="37">
        <v>11.81</v>
      </c>
      <c r="EM169" s="37">
        <v>11.81</v>
      </c>
      <c r="EN169" s="37">
        <v>11.81</v>
      </c>
      <c r="EO169" s="37">
        <v>11.81</v>
      </c>
      <c r="EP169" s="37">
        <v>11.81</v>
      </c>
      <c r="EQ169" s="37">
        <v>11.81</v>
      </c>
      <c r="ER169" s="37">
        <v>11.81</v>
      </c>
      <c r="ES169" s="37">
        <v>11.81</v>
      </c>
      <c r="ET169" s="37">
        <v>11.81</v>
      </c>
      <c r="EU169" s="37">
        <v>11.81</v>
      </c>
      <c r="EV169" s="37">
        <v>11.81</v>
      </c>
      <c r="EW169" s="37">
        <v>11.81</v>
      </c>
      <c r="EX169" s="37">
        <v>11.81</v>
      </c>
      <c r="EY169" s="37">
        <v>11.81</v>
      </c>
      <c r="EZ169" s="37">
        <v>11.81</v>
      </c>
      <c r="FA169" s="37">
        <v>11.81</v>
      </c>
      <c r="FB169" s="37">
        <v>11.81</v>
      </c>
      <c r="FC169" s="37">
        <v>11.81</v>
      </c>
      <c r="FD169" s="37">
        <v>11.81</v>
      </c>
      <c r="FE169" s="37">
        <v>11.81</v>
      </c>
      <c r="FF169" s="37">
        <v>11.81</v>
      </c>
      <c r="FG169" s="37">
        <v>11.81</v>
      </c>
      <c r="FH169" s="37">
        <v>11.81</v>
      </c>
      <c r="FI169" s="37">
        <v>11.81</v>
      </c>
      <c r="FJ169" s="37">
        <v>11.81</v>
      </c>
      <c r="FK169" s="37">
        <v>11.81</v>
      </c>
      <c r="FL169" s="37">
        <v>11.81</v>
      </c>
      <c r="FM169" s="37">
        <v>11.81</v>
      </c>
      <c r="FN169" s="37">
        <v>11.81</v>
      </c>
      <c r="FO169" s="37">
        <v>11.81</v>
      </c>
      <c r="FP169" s="37">
        <v>11.81</v>
      </c>
      <c r="FQ169" s="37">
        <v>11.81</v>
      </c>
      <c r="FR169" s="37">
        <v>11.81</v>
      </c>
      <c r="FS169" s="37">
        <v>11.81</v>
      </c>
      <c r="FT169" s="37">
        <v>11.81</v>
      </c>
      <c r="FU169" s="37">
        <v>11.81</v>
      </c>
      <c r="FV169" s="37">
        <v>11.81</v>
      </c>
      <c r="FW169" s="37">
        <v>11.81</v>
      </c>
      <c r="FX169" s="37">
        <v>11.81</v>
      </c>
      <c r="FY169" s="37">
        <v>11.81</v>
      </c>
      <c r="FZ169" s="37">
        <v>11.81</v>
      </c>
      <c r="GA169" s="37">
        <v>11.81</v>
      </c>
      <c r="GB169" s="37">
        <v>11.81</v>
      </c>
      <c r="GC169" s="37">
        <v>11.81</v>
      </c>
      <c r="GD169" s="37">
        <v>11.81</v>
      </c>
      <c r="GE169" s="37">
        <v>11.81</v>
      </c>
      <c r="GF169" s="37">
        <v>11.81</v>
      </c>
      <c r="GG169" s="37">
        <v>11.81</v>
      </c>
      <c r="GH169" s="37">
        <v>11.81</v>
      </c>
      <c r="GI169" s="37">
        <v>11.81</v>
      </c>
      <c r="GJ169" s="37">
        <v>11.81</v>
      </c>
      <c r="GK169" s="37">
        <v>11.81</v>
      </c>
      <c r="GL169" s="37">
        <v>11.81</v>
      </c>
      <c r="GM169" s="37">
        <v>11.81</v>
      </c>
      <c r="GN169" s="37">
        <v>11.81</v>
      </c>
      <c r="GO169" s="37">
        <v>11.81</v>
      </c>
      <c r="GP169" s="37">
        <v>11.81</v>
      </c>
      <c r="GQ169" s="37">
        <v>11.81</v>
      </c>
      <c r="GR169" s="37">
        <v>11.81</v>
      </c>
      <c r="GS169" s="37">
        <v>11.81</v>
      </c>
      <c r="GT169" s="37">
        <v>11.81</v>
      </c>
      <c r="GU169" s="37">
        <v>11.81</v>
      </c>
      <c r="GV169" s="37">
        <v>11.81</v>
      </c>
      <c r="GW169" s="37">
        <v>11.81</v>
      </c>
      <c r="GX169" s="37">
        <v>11.81</v>
      </c>
      <c r="GY169" s="37">
        <v>11.81</v>
      </c>
      <c r="GZ169" s="37">
        <v>11.81</v>
      </c>
      <c r="HA169" s="37">
        <v>11.81</v>
      </c>
      <c r="HB169" s="37">
        <v>11.81</v>
      </c>
      <c r="HC169" s="37">
        <v>11.81</v>
      </c>
      <c r="HD169" s="37">
        <v>11.81</v>
      </c>
      <c r="HE169" s="37">
        <v>11.81</v>
      </c>
      <c r="HF169" s="37">
        <v>11.81</v>
      </c>
      <c r="HG169" s="37">
        <v>11.81</v>
      </c>
      <c r="HH169" s="37">
        <v>11.81</v>
      </c>
      <c r="HI169" s="37">
        <v>11.81</v>
      </c>
      <c r="HJ169" s="37">
        <v>11.81</v>
      </c>
      <c r="HK169" s="37">
        <v>11.81</v>
      </c>
      <c r="HL169" s="37">
        <v>11.81</v>
      </c>
      <c r="HM169" s="37">
        <v>11.81</v>
      </c>
      <c r="HN169" s="37">
        <v>11.81</v>
      </c>
      <c r="HO169" s="37">
        <v>11.81</v>
      </c>
      <c r="HP169" s="37">
        <v>11.81</v>
      </c>
      <c r="HQ169" s="37">
        <v>11.81</v>
      </c>
      <c r="HR169" s="37">
        <v>11.81</v>
      </c>
      <c r="HS169" s="37">
        <v>11.81</v>
      </c>
      <c r="HT169" s="37">
        <v>11.81</v>
      </c>
      <c r="HU169" s="37">
        <v>11.81</v>
      </c>
      <c r="HV169" s="37">
        <v>11.81</v>
      </c>
      <c r="HW169" s="37">
        <v>11.81</v>
      </c>
      <c r="HX169" s="37">
        <v>11.81</v>
      </c>
      <c r="HY169" s="37">
        <v>11.81</v>
      </c>
      <c r="HZ169" s="37">
        <v>11.81</v>
      </c>
      <c r="IA169" s="37">
        <v>11.81</v>
      </c>
      <c r="IB169" s="37">
        <v>11.81</v>
      </c>
      <c r="IC169" s="37">
        <v>11.81</v>
      </c>
      <c r="ID169" s="37">
        <v>11.81</v>
      </c>
      <c r="IE169" s="37">
        <v>11.81</v>
      </c>
      <c r="IF169" s="37">
        <v>11.81</v>
      </c>
      <c r="IG169" s="37">
        <v>11.81</v>
      </c>
      <c r="IH169" s="37">
        <v>11.81</v>
      </c>
      <c r="II169" s="37">
        <v>11.81</v>
      </c>
      <c r="IJ169" s="37">
        <v>11.81</v>
      </c>
      <c r="IK169" s="37">
        <v>11.81</v>
      </c>
      <c r="IL169" s="37">
        <v>11.81</v>
      </c>
      <c r="IM169" s="37">
        <v>11.81</v>
      </c>
      <c r="IN169" s="37">
        <v>11.81</v>
      </c>
      <c r="IO169" s="37">
        <v>11.81</v>
      </c>
      <c r="IP169" s="37">
        <v>11.81</v>
      </c>
      <c r="IQ169" s="37">
        <v>11.81</v>
      </c>
      <c r="IR169" s="37">
        <v>11.81</v>
      </c>
      <c r="IS169" s="37">
        <v>11.81</v>
      </c>
      <c r="IT169" s="37">
        <v>11.81</v>
      </c>
      <c r="IU169" s="37">
        <v>11.81</v>
      </c>
      <c r="IV169" s="37">
        <v>11.81</v>
      </c>
      <c r="IW169" s="37">
        <v>11.81</v>
      </c>
      <c r="IX169" s="37">
        <v>11.81</v>
      </c>
      <c r="IY169" s="37">
        <v>11.81</v>
      </c>
      <c r="IZ169" s="37">
        <v>11.81</v>
      </c>
      <c r="JA169" s="37">
        <v>11.81</v>
      </c>
      <c r="JB169" s="37">
        <v>11.81</v>
      </c>
      <c r="JC169" s="37">
        <v>11.81</v>
      </c>
      <c r="JD169" s="37">
        <v>11.81</v>
      </c>
      <c r="JE169" s="37">
        <v>11.81</v>
      </c>
      <c r="JF169" s="37">
        <v>11.81</v>
      </c>
      <c r="JG169" s="37">
        <v>11.81</v>
      </c>
      <c r="JH169" s="37">
        <v>11.81</v>
      </c>
      <c r="JI169" s="37">
        <v>11.81</v>
      </c>
      <c r="JJ169" s="37">
        <v>11.81</v>
      </c>
      <c r="JK169" s="37">
        <v>11.81</v>
      </c>
      <c r="JL169" s="37">
        <v>11.81</v>
      </c>
      <c r="JM169" s="37">
        <v>11.81</v>
      </c>
      <c r="JN169" s="37">
        <v>11.81</v>
      </c>
      <c r="JO169" s="37">
        <v>11.81</v>
      </c>
      <c r="JP169" s="37">
        <v>11.81</v>
      </c>
      <c r="JQ169" s="37">
        <v>11.81</v>
      </c>
      <c r="JR169" s="37">
        <v>11.81</v>
      </c>
      <c r="JS169" s="37">
        <v>11.81</v>
      </c>
      <c r="JT169" s="37">
        <v>11.81</v>
      </c>
      <c r="JU169" s="37">
        <v>11.81</v>
      </c>
      <c r="JV169" s="37">
        <v>11.81</v>
      </c>
      <c r="JW169" s="37">
        <v>11.81</v>
      </c>
      <c r="JX169" s="37">
        <v>11.81</v>
      </c>
      <c r="JY169" s="37">
        <v>11.81</v>
      </c>
      <c r="JZ169" s="37">
        <v>11.81</v>
      </c>
      <c r="KA169" s="37">
        <v>11.81</v>
      </c>
      <c r="KB169" s="37">
        <v>11.81</v>
      </c>
      <c r="KC169" s="37">
        <v>11.81</v>
      </c>
      <c r="KD169" s="37">
        <v>11.81</v>
      </c>
      <c r="KE169" s="37">
        <v>11.81</v>
      </c>
      <c r="KF169" s="37">
        <v>11.81</v>
      </c>
      <c r="KG169" s="37">
        <v>11.81</v>
      </c>
      <c r="KH169" s="37">
        <v>11.81</v>
      </c>
      <c r="KI169" s="37">
        <v>11.81</v>
      </c>
      <c r="KJ169" s="37">
        <v>11.81</v>
      </c>
      <c r="KK169" s="37">
        <v>11.81</v>
      </c>
      <c r="KL169" s="37">
        <v>11.81</v>
      </c>
      <c r="KM169" s="37">
        <v>11.81</v>
      </c>
      <c r="KN169" s="37">
        <v>11.81</v>
      </c>
      <c r="KO169" s="37">
        <v>11.81</v>
      </c>
      <c r="KP169" s="37">
        <v>11.81</v>
      </c>
      <c r="KQ169" s="37">
        <v>11.81</v>
      </c>
      <c r="KR169" s="37">
        <v>11.81</v>
      </c>
      <c r="KS169" s="37">
        <v>11.81</v>
      </c>
      <c r="KT169" s="37">
        <v>11.81</v>
      </c>
      <c r="KU169" s="37">
        <v>11.81</v>
      </c>
      <c r="KV169" s="37">
        <v>11.81</v>
      </c>
      <c r="KW169" s="37">
        <v>11.81</v>
      </c>
      <c r="KX169" s="37">
        <v>11.81</v>
      </c>
      <c r="KY169" s="37">
        <v>11.81</v>
      </c>
      <c r="KZ169" s="37">
        <v>11.81</v>
      </c>
      <c r="LA169" s="37">
        <v>11.81</v>
      </c>
      <c r="LB169" s="37">
        <v>11.81</v>
      </c>
      <c r="LC169" s="37">
        <v>11.81</v>
      </c>
      <c r="LD169" s="37">
        <v>11.81</v>
      </c>
      <c r="LE169" s="37">
        <v>11.81</v>
      </c>
      <c r="LF169" s="37">
        <v>11.81</v>
      </c>
      <c r="LG169" s="37">
        <v>11.81</v>
      </c>
      <c r="LH169" s="37">
        <v>11.81</v>
      </c>
      <c r="LI169" s="37">
        <v>11.81</v>
      </c>
      <c r="LJ169" s="37">
        <v>11.81</v>
      </c>
      <c r="LK169" s="37">
        <v>11.81</v>
      </c>
      <c r="LL169" s="37">
        <v>11.81</v>
      </c>
      <c r="LM169" s="37">
        <v>11.81</v>
      </c>
      <c r="LN169" s="37">
        <v>11.81</v>
      </c>
      <c r="LO169" s="37">
        <v>11.81</v>
      </c>
      <c r="LP169" s="37">
        <v>11.81</v>
      </c>
      <c r="LQ169" s="37">
        <v>11.81</v>
      </c>
      <c r="LR169" s="37">
        <v>11.81</v>
      </c>
      <c r="LS169" s="37">
        <v>11.81</v>
      </c>
      <c r="LT169" s="37">
        <v>11.81</v>
      </c>
      <c r="LU169" s="37">
        <v>11.81</v>
      </c>
      <c r="LV169" s="37">
        <v>11.81</v>
      </c>
      <c r="LW169" s="37">
        <v>11.81</v>
      </c>
      <c r="LX169" s="37">
        <v>11.81</v>
      </c>
      <c r="LY169" s="37">
        <v>11.81</v>
      </c>
      <c r="LZ169" s="37">
        <v>11.81</v>
      </c>
      <c r="MA169" s="37">
        <v>11.81</v>
      </c>
      <c r="MB169" s="37">
        <v>11.81</v>
      </c>
      <c r="MC169" s="37">
        <v>11.81</v>
      </c>
      <c r="MD169" s="37">
        <v>11.81</v>
      </c>
      <c r="ME169" s="37">
        <v>11.81</v>
      </c>
      <c r="MF169" s="37">
        <v>11.81</v>
      </c>
      <c r="MG169" s="37">
        <v>11.81</v>
      </c>
      <c r="MH169" s="37">
        <v>11.81</v>
      </c>
      <c r="MI169" s="37">
        <v>11.81</v>
      </c>
      <c r="MJ169" s="37">
        <v>11.81</v>
      </c>
      <c r="MK169" s="37">
        <v>11.81</v>
      </c>
      <c r="ML169" s="37">
        <v>11.81</v>
      </c>
      <c r="MM169" s="37">
        <v>11.81</v>
      </c>
      <c r="MN169" s="37">
        <v>11.81</v>
      </c>
      <c r="MO169" s="37">
        <v>11.81</v>
      </c>
      <c r="MP169" s="37">
        <v>11.81</v>
      </c>
      <c r="MQ169" s="37">
        <v>11.81</v>
      </c>
      <c r="MR169" s="37">
        <v>11.81</v>
      </c>
      <c r="MS169" s="37">
        <v>11.81</v>
      </c>
      <c r="MT169" s="37">
        <v>11.81</v>
      </c>
      <c r="MU169" s="37">
        <v>11.81</v>
      </c>
      <c r="MV169" s="37">
        <v>11.81</v>
      </c>
      <c r="MW169" s="37">
        <v>11.81</v>
      </c>
      <c r="MX169" s="37">
        <v>11.81</v>
      </c>
      <c r="MY169" s="37">
        <v>11.81</v>
      </c>
      <c r="MZ169" s="37">
        <v>11.81</v>
      </c>
      <c r="NA169" s="37">
        <v>11.81</v>
      </c>
      <c r="NB169" s="37">
        <v>11.81</v>
      </c>
      <c r="NC169" s="37">
        <v>11.81</v>
      </c>
      <c r="ND169" s="37">
        <v>12.53</v>
      </c>
    </row>
    <row r="170" spans="1:372" x14ac:dyDescent="0.2">
      <c r="A170" s="37">
        <v>168</v>
      </c>
      <c r="B170" s="37" t="s">
        <v>1295</v>
      </c>
      <c r="C170" s="17">
        <f>+'Detalle Compras'!D170</f>
        <v>20240131061</v>
      </c>
      <c r="D170" s="55">
        <f t="shared" si="19"/>
        <v>13.56</v>
      </c>
      <c r="E170" s="14">
        <f>+IF(B170="","",'Detalle Compras'!S170+0)</f>
        <v>45514</v>
      </c>
      <c r="F170" s="14">
        <f>+IF(B170="","",EOMONTH('Detalle Compras'!Q170,G170)+10)</f>
        <v>10846</v>
      </c>
      <c r="G170" s="50">
        <f t="shared" si="20"/>
        <v>355</v>
      </c>
      <c r="H170" s="50">
        <f t="shared" si="21"/>
        <v>337</v>
      </c>
      <c r="I170" s="37">
        <v>0</v>
      </c>
      <c r="J170" s="37">
        <v>0</v>
      </c>
      <c r="K170" s="37">
        <v>0</v>
      </c>
      <c r="L170" s="37">
        <v>0</v>
      </c>
      <c r="M170" s="37">
        <v>0</v>
      </c>
      <c r="N170" s="37">
        <v>13.56</v>
      </c>
      <c r="O170" s="37">
        <v>13.56</v>
      </c>
      <c r="P170" s="37">
        <v>13.56</v>
      </c>
      <c r="Q170" s="37">
        <v>13.56</v>
      </c>
      <c r="R170" s="37">
        <v>13.56</v>
      </c>
      <c r="S170" s="37">
        <v>13.56</v>
      </c>
      <c r="T170" s="37">
        <v>13.56</v>
      </c>
      <c r="U170" s="37">
        <v>13.56</v>
      </c>
      <c r="V170" s="37">
        <v>13.56</v>
      </c>
      <c r="W170" s="37">
        <v>13.56</v>
      </c>
      <c r="X170" s="37">
        <v>13.56</v>
      </c>
      <c r="Y170" s="37">
        <v>13.56</v>
      </c>
      <c r="Z170" s="37">
        <v>13.56</v>
      </c>
      <c r="AA170" s="37">
        <v>13.56</v>
      </c>
      <c r="AB170" s="37">
        <v>13.56</v>
      </c>
      <c r="AC170" s="37">
        <v>13.56</v>
      </c>
      <c r="AD170" s="37">
        <v>13.56</v>
      </c>
      <c r="AE170" s="37">
        <v>13.56</v>
      </c>
      <c r="AF170" s="37">
        <v>13.56</v>
      </c>
      <c r="AG170" s="37">
        <v>13.56</v>
      </c>
      <c r="AH170" s="37">
        <v>13.56</v>
      </c>
      <c r="AI170" s="37">
        <v>13.56</v>
      </c>
      <c r="AJ170" s="37">
        <v>13.56</v>
      </c>
      <c r="AK170" s="37">
        <v>13.56</v>
      </c>
      <c r="AL170" s="37">
        <v>13.56</v>
      </c>
      <c r="AM170" s="37">
        <v>13.56</v>
      </c>
      <c r="AN170" s="37">
        <v>13.56</v>
      </c>
      <c r="AO170" s="37">
        <v>13.56</v>
      </c>
      <c r="AP170" s="37">
        <v>13.56</v>
      </c>
      <c r="AQ170" s="37">
        <v>13.56</v>
      </c>
      <c r="AR170" s="37">
        <v>13.56</v>
      </c>
      <c r="AS170" s="37">
        <v>13.56</v>
      </c>
      <c r="AT170" s="37">
        <v>13.56</v>
      </c>
      <c r="AU170" s="37">
        <v>13.56</v>
      </c>
      <c r="AV170" s="37">
        <v>13.56</v>
      </c>
      <c r="AW170" s="37">
        <v>13.56</v>
      </c>
      <c r="AX170" s="37">
        <v>13.56</v>
      </c>
      <c r="AY170" s="37">
        <v>13.56</v>
      </c>
      <c r="AZ170" s="37">
        <v>13.56</v>
      </c>
      <c r="BA170" s="37">
        <v>13.56</v>
      </c>
      <c r="BB170" s="37">
        <v>13.56</v>
      </c>
      <c r="BC170" s="37">
        <v>13.56</v>
      </c>
      <c r="BD170" s="37">
        <v>13.56</v>
      </c>
      <c r="BE170" s="37">
        <v>13.56</v>
      </c>
      <c r="BF170" s="37">
        <v>13.56</v>
      </c>
      <c r="BG170" s="37">
        <v>13.56</v>
      </c>
      <c r="BH170" s="37">
        <v>13.56</v>
      </c>
      <c r="BI170" s="37">
        <v>13.56</v>
      </c>
      <c r="BJ170" s="37">
        <v>13.56</v>
      </c>
      <c r="BK170" s="37">
        <v>13.56</v>
      </c>
      <c r="BL170" s="37">
        <v>13.56</v>
      </c>
      <c r="BM170" s="37">
        <v>13.56</v>
      </c>
      <c r="BN170" s="37">
        <v>13.56</v>
      </c>
      <c r="BO170" s="37">
        <v>13.56</v>
      </c>
      <c r="BP170" s="37">
        <v>13.56</v>
      </c>
      <c r="BQ170" s="37">
        <v>13.56</v>
      </c>
      <c r="BR170" s="37">
        <v>13.56</v>
      </c>
      <c r="BS170" s="37">
        <v>13.56</v>
      </c>
      <c r="BT170" s="37">
        <v>13.56</v>
      </c>
      <c r="BU170" s="37">
        <v>13.56</v>
      </c>
      <c r="BV170" s="37">
        <v>13.56</v>
      </c>
      <c r="BW170" s="37">
        <v>13.56</v>
      </c>
      <c r="BX170" s="37">
        <v>13.56</v>
      </c>
      <c r="BY170" s="37">
        <v>13.56</v>
      </c>
      <c r="BZ170" s="37">
        <v>13.56</v>
      </c>
      <c r="CA170" s="37">
        <v>13.56</v>
      </c>
      <c r="CB170" s="37">
        <v>13.56</v>
      </c>
      <c r="CC170" s="37">
        <v>13.56</v>
      </c>
      <c r="CD170" s="37">
        <v>13.56</v>
      </c>
      <c r="CE170" s="37">
        <v>13.56</v>
      </c>
      <c r="CF170" s="37">
        <v>13.56</v>
      </c>
      <c r="CG170" s="37">
        <v>13.56</v>
      </c>
      <c r="CH170" s="37">
        <v>13.56</v>
      </c>
      <c r="CI170" s="37">
        <v>13.56</v>
      </c>
      <c r="CJ170" s="37">
        <v>13.56</v>
      </c>
      <c r="CK170" s="37">
        <v>13.56</v>
      </c>
      <c r="CL170" s="37">
        <v>13.56</v>
      </c>
      <c r="CM170" s="37">
        <v>13.56</v>
      </c>
      <c r="CN170" s="37">
        <v>13.56</v>
      </c>
      <c r="CO170" s="37">
        <v>13.56</v>
      </c>
      <c r="CP170" s="37">
        <v>13.56</v>
      </c>
      <c r="CQ170" s="37">
        <v>13.56</v>
      </c>
      <c r="CR170" s="37">
        <v>13.56</v>
      </c>
      <c r="CS170" s="37">
        <v>13.56</v>
      </c>
      <c r="CT170" s="37">
        <v>13.56</v>
      </c>
      <c r="CU170" s="37">
        <v>13.56</v>
      </c>
      <c r="CV170" s="37">
        <v>13.56</v>
      </c>
      <c r="CW170" s="37">
        <v>13.56</v>
      </c>
      <c r="CX170" s="37">
        <v>13.56</v>
      </c>
      <c r="CY170" s="37">
        <v>13.56</v>
      </c>
      <c r="CZ170" s="37">
        <v>13.56</v>
      </c>
      <c r="DA170" s="37">
        <v>13.56</v>
      </c>
      <c r="DB170" s="37">
        <v>13.56</v>
      </c>
      <c r="DC170" s="37">
        <v>13.56</v>
      </c>
      <c r="DD170" s="37">
        <v>13.56</v>
      </c>
      <c r="DE170" s="37">
        <v>13.56</v>
      </c>
      <c r="DF170" s="37">
        <v>13.56</v>
      </c>
      <c r="DG170" s="37">
        <v>13.56</v>
      </c>
      <c r="DH170" s="37">
        <v>13.56</v>
      </c>
      <c r="DI170" s="37">
        <v>13.56</v>
      </c>
      <c r="DJ170" s="37">
        <v>13.56</v>
      </c>
      <c r="DK170" s="37">
        <v>13.56</v>
      </c>
      <c r="DL170" s="37">
        <v>13.56</v>
      </c>
      <c r="DM170" s="37">
        <v>13.56</v>
      </c>
      <c r="DN170" s="37">
        <v>13.56</v>
      </c>
      <c r="DO170" s="37">
        <v>13.56</v>
      </c>
      <c r="DP170" s="37">
        <v>13.56</v>
      </c>
      <c r="DQ170" s="37">
        <v>13.56</v>
      </c>
      <c r="DR170" s="37">
        <v>13.56</v>
      </c>
      <c r="DS170" s="37">
        <v>13.56</v>
      </c>
      <c r="DT170" s="37">
        <v>13.56</v>
      </c>
      <c r="DU170" s="37">
        <v>13.56</v>
      </c>
      <c r="DV170" s="37">
        <v>13.56</v>
      </c>
      <c r="DW170" s="37">
        <v>13.56</v>
      </c>
      <c r="DX170" s="37">
        <v>13.56</v>
      </c>
      <c r="DY170" s="37">
        <v>13.56</v>
      </c>
      <c r="DZ170" s="37">
        <v>13.56</v>
      </c>
      <c r="EA170" s="37">
        <v>13.56</v>
      </c>
      <c r="EB170" s="37">
        <v>13.56</v>
      </c>
      <c r="EC170" s="37">
        <v>13.56</v>
      </c>
      <c r="ED170" s="37">
        <v>13.56</v>
      </c>
      <c r="EE170" s="37">
        <v>13.56</v>
      </c>
      <c r="EF170" s="37">
        <v>13.56</v>
      </c>
      <c r="EG170" s="37">
        <v>13.56</v>
      </c>
      <c r="EH170" s="37">
        <v>13.56</v>
      </c>
      <c r="EI170" s="37">
        <v>13.56</v>
      </c>
      <c r="EJ170" s="37">
        <v>13.56</v>
      </c>
      <c r="EK170" s="37">
        <v>13.56</v>
      </c>
      <c r="EL170" s="37">
        <v>13.56</v>
      </c>
      <c r="EM170" s="37">
        <v>13.56</v>
      </c>
      <c r="EN170" s="37">
        <v>13.56</v>
      </c>
      <c r="EO170" s="37">
        <v>13.56</v>
      </c>
      <c r="EP170" s="37">
        <v>13.56</v>
      </c>
      <c r="EQ170" s="37">
        <v>13.56</v>
      </c>
      <c r="ER170" s="37">
        <v>13.56</v>
      </c>
      <c r="ES170" s="37">
        <v>13.56</v>
      </c>
      <c r="ET170" s="37">
        <v>13.56</v>
      </c>
      <c r="EU170" s="37">
        <v>13.56</v>
      </c>
      <c r="EV170" s="37">
        <v>13.56</v>
      </c>
      <c r="EW170" s="37">
        <v>13.56</v>
      </c>
      <c r="EX170" s="37">
        <v>13.56</v>
      </c>
      <c r="EY170" s="37">
        <v>13.56</v>
      </c>
      <c r="EZ170" s="37">
        <v>13.56</v>
      </c>
      <c r="FA170" s="37">
        <v>13.56</v>
      </c>
      <c r="FB170" s="37">
        <v>13.56</v>
      </c>
      <c r="FC170" s="37">
        <v>13.56</v>
      </c>
      <c r="FD170" s="37">
        <v>13.56</v>
      </c>
      <c r="FE170" s="37">
        <v>13.56</v>
      </c>
      <c r="FF170" s="37">
        <v>13.56</v>
      </c>
      <c r="FG170" s="37">
        <v>13.56</v>
      </c>
      <c r="FH170" s="37">
        <v>13.56</v>
      </c>
      <c r="FI170" s="37">
        <v>13.56</v>
      </c>
      <c r="FJ170" s="37">
        <v>13.56</v>
      </c>
      <c r="FK170" s="37">
        <v>13.56</v>
      </c>
      <c r="FL170" s="37">
        <v>13.56</v>
      </c>
      <c r="FM170" s="37">
        <v>13.56</v>
      </c>
      <c r="FN170" s="37">
        <v>13.56</v>
      </c>
      <c r="FO170" s="37">
        <v>13.56</v>
      </c>
      <c r="FP170" s="37">
        <v>13.56</v>
      </c>
      <c r="FQ170" s="37">
        <v>13.56</v>
      </c>
      <c r="FR170" s="37">
        <v>13.56</v>
      </c>
      <c r="FS170" s="37">
        <v>13.56</v>
      </c>
      <c r="FT170" s="37">
        <v>13.56</v>
      </c>
      <c r="FU170" s="37">
        <v>13.56</v>
      </c>
      <c r="FV170" s="37">
        <v>13.56</v>
      </c>
      <c r="FW170" s="37">
        <v>13.56</v>
      </c>
      <c r="FX170" s="37">
        <v>13.56</v>
      </c>
      <c r="FY170" s="37">
        <v>13.56</v>
      </c>
      <c r="FZ170" s="37">
        <v>13.56</v>
      </c>
      <c r="GA170" s="37">
        <v>13.56</v>
      </c>
      <c r="GB170" s="37">
        <v>13.56</v>
      </c>
      <c r="GC170" s="37">
        <v>13.56</v>
      </c>
      <c r="GD170" s="37">
        <v>13.56</v>
      </c>
      <c r="GE170" s="37">
        <v>13.56</v>
      </c>
      <c r="GF170" s="37">
        <v>13.56</v>
      </c>
      <c r="GG170" s="37">
        <v>13.56</v>
      </c>
      <c r="GH170" s="37">
        <v>13.56</v>
      </c>
      <c r="GI170" s="37">
        <v>13.56</v>
      </c>
      <c r="GJ170" s="37">
        <v>13.56</v>
      </c>
      <c r="GK170" s="37">
        <v>13.56</v>
      </c>
      <c r="GL170" s="37">
        <v>13.56</v>
      </c>
      <c r="GM170" s="37">
        <v>13.56</v>
      </c>
      <c r="GN170" s="37">
        <v>13.56</v>
      </c>
      <c r="GO170" s="37">
        <v>13.56</v>
      </c>
      <c r="GP170" s="37">
        <v>13.56</v>
      </c>
      <c r="GQ170" s="37">
        <v>13.56</v>
      </c>
      <c r="GR170" s="37">
        <v>13.56</v>
      </c>
      <c r="GS170" s="37">
        <v>13.56</v>
      </c>
      <c r="GT170" s="37">
        <v>13.56</v>
      </c>
      <c r="GU170" s="37">
        <v>13.56</v>
      </c>
      <c r="GV170" s="37">
        <v>13.56</v>
      </c>
      <c r="GW170" s="37">
        <v>13.56</v>
      </c>
      <c r="GX170" s="37">
        <v>13.56</v>
      </c>
      <c r="GY170" s="37">
        <v>13.56</v>
      </c>
      <c r="GZ170" s="37">
        <v>13.56</v>
      </c>
      <c r="HA170" s="37">
        <v>13.56</v>
      </c>
      <c r="HB170" s="37">
        <v>13.56</v>
      </c>
      <c r="HC170" s="37">
        <v>13.56</v>
      </c>
      <c r="HD170" s="37">
        <v>13.56</v>
      </c>
      <c r="HE170" s="37">
        <v>13.56</v>
      </c>
      <c r="HF170" s="37">
        <v>13.56</v>
      </c>
      <c r="HG170" s="37">
        <v>13.56</v>
      </c>
      <c r="HH170" s="37">
        <v>13.56</v>
      </c>
      <c r="HI170" s="37">
        <v>13.56</v>
      </c>
      <c r="HJ170" s="37">
        <v>13.56</v>
      </c>
      <c r="HK170" s="37">
        <v>13.56</v>
      </c>
      <c r="HL170" s="37">
        <v>13.56</v>
      </c>
      <c r="HM170" s="37">
        <v>13.56</v>
      </c>
      <c r="HN170" s="37">
        <v>13.56</v>
      </c>
      <c r="HO170" s="37">
        <v>13.56</v>
      </c>
      <c r="HP170" s="37">
        <v>13.56</v>
      </c>
      <c r="HQ170" s="37">
        <v>13.56</v>
      </c>
      <c r="HR170" s="37">
        <v>13.56</v>
      </c>
      <c r="HS170" s="37">
        <v>13.56</v>
      </c>
      <c r="HT170" s="37">
        <v>13.56</v>
      </c>
      <c r="HU170" s="37">
        <v>13.56</v>
      </c>
      <c r="HV170" s="37">
        <v>13.56</v>
      </c>
      <c r="HW170" s="37">
        <v>13.56</v>
      </c>
      <c r="HX170" s="37">
        <v>13.56</v>
      </c>
      <c r="HY170" s="37">
        <v>13.56</v>
      </c>
      <c r="HZ170" s="37">
        <v>13.56</v>
      </c>
      <c r="IA170" s="37">
        <v>13.56</v>
      </c>
      <c r="IB170" s="37">
        <v>13.56</v>
      </c>
      <c r="IC170" s="37">
        <v>13.56</v>
      </c>
      <c r="ID170" s="37">
        <v>13.56</v>
      </c>
      <c r="IE170" s="37">
        <v>13.56</v>
      </c>
      <c r="IF170" s="37">
        <v>13.56</v>
      </c>
      <c r="IG170" s="37">
        <v>13.56</v>
      </c>
      <c r="IH170" s="37">
        <v>13.56</v>
      </c>
      <c r="II170" s="37">
        <v>13.56</v>
      </c>
      <c r="IJ170" s="37">
        <v>13.56</v>
      </c>
      <c r="IK170" s="37">
        <v>13.56</v>
      </c>
      <c r="IL170" s="37">
        <v>13.56</v>
      </c>
      <c r="IM170" s="37">
        <v>13.56</v>
      </c>
      <c r="IN170" s="37">
        <v>13.56</v>
      </c>
      <c r="IO170" s="37">
        <v>13.56</v>
      </c>
      <c r="IP170" s="37">
        <v>13.56</v>
      </c>
      <c r="IQ170" s="37">
        <v>13.56</v>
      </c>
      <c r="IR170" s="37">
        <v>13.56</v>
      </c>
      <c r="IS170" s="37">
        <v>13.56</v>
      </c>
      <c r="IT170" s="37">
        <v>13.56</v>
      </c>
      <c r="IU170" s="37">
        <v>13.56</v>
      </c>
      <c r="IV170" s="37">
        <v>13.56</v>
      </c>
      <c r="IW170" s="37">
        <v>13.56</v>
      </c>
      <c r="IX170" s="37">
        <v>13.56</v>
      </c>
      <c r="IY170" s="37">
        <v>13.56</v>
      </c>
      <c r="IZ170" s="37">
        <v>13.56</v>
      </c>
      <c r="JA170" s="37">
        <v>13.56</v>
      </c>
      <c r="JB170" s="37">
        <v>13.56</v>
      </c>
      <c r="JC170" s="37">
        <v>13.56</v>
      </c>
      <c r="JD170" s="37">
        <v>13.56</v>
      </c>
      <c r="JE170" s="37">
        <v>13.56</v>
      </c>
      <c r="JF170" s="37">
        <v>13.56</v>
      </c>
      <c r="JG170" s="37">
        <v>13.56</v>
      </c>
      <c r="JH170" s="37">
        <v>13.56</v>
      </c>
      <c r="JI170" s="37">
        <v>13.56</v>
      </c>
      <c r="JJ170" s="37">
        <v>13.56</v>
      </c>
      <c r="JK170" s="37">
        <v>13.56</v>
      </c>
      <c r="JL170" s="37">
        <v>13.56</v>
      </c>
      <c r="JM170" s="37">
        <v>13.56</v>
      </c>
      <c r="JN170" s="37">
        <v>13.56</v>
      </c>
      <c r="JO170" s="37">
        <v>13.56</v>
      </c>
      <c r="JP170" s="37">
        <v>13.56</v>
      </c>
      <c r="JQ170" s="37">
        <v>13.56</v>
      </c>
      <c r="JR170" s="37">
        <v>13.56</v>
      </c>
      <c r="JS170" s="37">
        <v>13.56</v>
      </c>
      <c r="JT170" s="37">
        <v>13.56</v>
      </c>
      <c r="JU170" s="37">
        <v>13.56</v>
      </c>
      <c r="JV170" s="37">
        <v>13.56</v>
      </c>
      <c r="JW170" s="37">
        <v>13.56</v>
      </c>
      <c r="JX170" s="37">
        <v>13.56</v>
      </c>
      <c r="JY170" s="37">
        <v>13.56</v>
      </c>
      <c r="JZ170" s="37">
        <v>13.56</v>
      </c>
      <c r="KA170" s="37">
        <v>13.56</v>
      </c>
      <c r="KB170" s="37">
        <v>13.56</v>
      </c>
      <c r="KC170" s="37">
        <v>13.56</v>
      </c>
      <c r="KD170" s="37">
        <v>13.56</v>
      </c>
      <c r="KE170" s="37">
        <v>13.56</v>
      </c>
      <c r="KF170" s="37">
        <v>13.56</v>
      </c>
      <c r="KG170" s="37">
        <v>13.56</v>
      </c>
      <c r="KH170" s="37">
        <v>13.56</v>
      </c>
      <c r="KI170" s="37">
        <v>13.56</v>
      </c>
      <c r="KJ170" s="37">
        <v>13.56</v>
      </c>
      <c r="KK170" s="37">
        <v>13.56</v>
      </c>
      <c r="KL170" s="37">
        <v>13.56</v>
      </c>
      <c r="KM170" s="37">
        <v>13.56</v>
      </c>
      <c r="KN170" s="37">
        <v>13.56</v>
      </c>
      <c r="KO170" s="37">
        <v>13.56</v>
      </c>
      <c r="KP170" s="37">
        <v>13.56</v>
      </c>
      <c r="KQ170" s="37">
        <v>13.56</v>
      </c>
      <c r="KR170" s="37">
        <v>13.56</v>
      </c>
      <c r="KS170" s="37">
        <v>13.56</v>
      </c>
      <c r="KT170" s="37">
        <v>13.56</v>
      </c>
      <c r="KU170" s="37">
        <v>13.56</v>
      </c>
      <c r="KV170" s="37">
        <v>13.56</v>
      </c>
      <c r="KW170" s="37">
        <v>13.56</v>
      </c>
      <c r="KX170" s="37">
        <v>13.56</v>
      </c>
      <c r="KY170" s="37">
        <v>13.56</v>
      </c>
      <c r="KZ170" s="37">
        <v>13.56</v>
      </c>
      <c r="LA170" s="37">
        <v>13.56</v>
      </c>
      <c r="LB170" s="37">
        <v>13.56</v>
      </c>
      <c r="LC170" s="37">
        <v>13.56</v>
      </c>
      <c r="LD170" s="37">
        <v>13.56</v>
      </c>
      <c r="LE170" s="37">
        <v>13.56</v>
      </c>
      <c r="LF170" s="37">
        <v>13.56</v>
      </c>
      <c r="LG170" s="37">
        <v>13.56</v>
      </c>
      <c r="LH170" s="37">
        <v>13.56</v>
      </c>
      <c r="LI170" s="37">
        <v>13.56</v>
      </c>
      <c r="LJ170" s="37">
        <v>13.56</v>
      </c>
      <c r="LK170" s="37">
        <v>13.56</v>
      </c>
      <c r="LL170" s="37">
        <v>13.56</v>
      </c>
      <c r="LM170" s="37">
        <v>13.56</v>
      </c>
      <c r="LN170" s="37">
        <v>13.56</v>
      </c>
      <c r="LO170" s="37">
        <v>13.56</v>
      </c>
      <c r="LP170" s="37">
        <v>13.56</v>
      </c>
      <c r="LQ170" s="37">
        <v>13.56</v>
      </c>
      <c r="LR170" s="37">
        <v>13.56</v>
      </c>
      <c r="LS170" s="37">
        <v>13.56</v>
      </c>
      <c r="LT170" s="37">
        <v>13.56</v>
      </c>
      <c r="LU170" s="37">
        <v>13.56</v>
      </c>
      <c r="LV170" s="37">
        <v>13.56</v>
      </c>
      <c r="LW170" s="37">
        <v>13.56</v>
      </c>
      <c r="LX170" s="37">
        <v>13.56</v>
      </c>
      <c r="LY170" s="37">
        <v>13.56</v>
      </c>
      <c r="LZ170" s="37">
        <v>13.56</v>
      </c>
      <c r="MA170" s="37">
        <v>13.56</v>
      </c>
      <c r="MB170" s="37">
        <v>13.56</v>
      </c>
      <c r="MC170" s="37">
        <v>13.56</v>
      </c>
      <c r="MD170" s="37">
        <v>13.56</v>
      </c>
      <c r="ME170" s="37">
        <v>13.56</v>
      </c>
      <c r="MF170" s="37">
        <v>13.56</v>
      </c>
      <c r="MG170" s="37">
        <v>13.56</v>
      </c>
      <c r="MH170" s="37">
        <v>13.56</v>
      </c>
      <c r="MI170" s="37">
        <v>13.56</v>
      </c>
      <c r="MJ170" s="37">
        <v>13.56</v>
      </c>
      <c r="MK170" s="37">
        <v>13.56</v>
      </c>
      <c r="ML170" s="37">
        <v>13.56</v>
      </c>
      <c r="MM170" s="37">
        <v>13.56</v>
      </c>
      <c r="MN170" s="37">
        <v>13.56</v>
      </c>
      <c r="MO170" s="37">
        <v>13.56</v>
      </c>
      <c r="MP170" s="37">
        <v>13.56</v>
      </c>
      <c r="MQ170" s="37">
        <v>13.56</v>
      </c>
      <c r="MR170" s="37">
        <v>13.56</v>
      </c>
      <c r="MS170" s="37">
        <v>13.56</v>
      </c>
      <c r="MT170" s="37">
        <v>13.56</v>
      </c>
      <c r="MU170" s="37">
        <v>13.56</v>
      </c>
      <c r="MV170" s="37">
        <v>13.56</v>
      </c>
      <c r="MW170" s="37">
        <v>13.56</v>
      </c>
      <c r="MX170" s="37">
        <v>13.56</v>
      </c>
      <c r="MY170" s="37">
        <v>13.56</v>
      </c>
      <c r="MZ170" s="37">
        <v>13.56</v>
      </c>
      <c r="NA170" s="37">
        <v>13.56</v>
      </c>
      <c r="NB170" s="37">
        <v>13.56</v>
      </c>
      <c r="NC170" s="37">
        <v>13.56</v>
      </c>
      <c r="ND170" s="37">
        <v>14.38</v>
      </c>
    </row>
    <row r="171" spans="1:372" x14ac:dyDescent="0.2">
      <c r="A171" s="37">
        <v>169</v>
      </c>
      <c r="B171" s="37" t="s">
        <v>1299</v>
      </c>
      <c r="C171" s="17">
        <f>+'Detalle Compras'!D171</f>
        <v>20240131043</v>
      </c>
      <c r="D171" s="55">
        <f t="shared" si="19"/>
        <v>15.26</v>
      </c>
      <c r="E171" s="14">
        <f>+IF(B171="","",'Detalle Compras'!S171+0)</f>
        <v>45514</v>
      </c>
      <c r="F171" s="14">
        <f>+IF(B171="","",EOMONTH('Detalle Compras'!Q171,G171)+10)</f>
        <v>10846</v>
      </c>
      <c r="G171" s="50">
        <f t="shared" si="20"/>
        <v>355</v>
      </c>
      <c r="H171" s="50">
        <f t="shared" si="21"/>
        <v>337</v>
      </c>
      <c r="I171" s="37">
        <v>0</v>
      </c>
      <c r="J171" s="37">
        <v>0</v>
      </c>
      <c r="K171" s="37">
        <v>0</v>
      </c>
      <c r="L171" s="37">
        <v>0</v>
      </c>
      <c r="M171" s="37">
        <v>0</v>
      </c>
      <c r="N171" s="37">
        <v>15.26</v>
      </c>
      <c r="O171" s="37">
        <v>15.26</v>
      </c>
      <c r="P171" s="37">
        <v>15.26</v>
      </c>
      <c r="Q171" s="37">
        <v>15.26</v>
      </c>
      <c r="R171" s="37">
        <v>15.26</v>
      </c>
      <c r="S171" s="37">
        <v>15.26</v>
      </c>
      <c r="T171" s="37">
        <v>15.26</v>
      </c>
      <c r="U171" s="37">
        <v>15.26</v>
      </c>
      <c r="V171" s="37">
        <v>15.26</v>
      </c>
      <c r="W171" s="37">
        <v>15.26</v>
      </c>
      <c r="X171" s="37">
        <v>15.26</v>
      </c>
      <c r="Y171" s="37">
        <v>15.26</v>
      </c>
      <c r="Z171" s="37">
        <v>15.26</v>
      </c>
      <c r="AA171" s="37">
        <v>15.26</v>
      </c>
      <c r="AB171" s="37">
        <v>15.26</v>
      </c>
      <c r="AC171" s="37">
        <v>15.26</v>
      </c>
      <c r="AD171" s="37">
        <v>15.26</v>
      </c>
      <c r="AE171" s="37">
        <v>15.26</v>
      </c>
      <c r="AF171" s="37">
        <v>15.26</v>
      </c>
      <c r="AG171" s="37">
        <v>15.26</v>
      </c>
      <c r="AH171" s="37">
        <v>15.26</v>
      </c>
      <c r="AI171" s="37">
        <v>15.26</v>
      </c>
      <c r="AJ171" s="37">
        <v>15.26</v>
      </c>
      <c r="AK171" s="37">
        <v>15.26</v>
      </c>
      <c r="AL171" s="37">
        <v>15.26</v>
      </c>
      <c r="AM171" s="37">
        <v>15.26</v>
      </c>
      <c r="AN171" s="37">
        <v>15.26</v>
      </c>
      <c r="AO171" s="37">
        <v>15.26</v>
      </c>
      <c r="AP171" s="37">
        <v>15.26</v>
      </c>
      <c r="AQ171" s="37">
        <v>15.26</v>
      </c>
      <c r="AR171" s="37">
        <v>15.26</v>
      </c>
      <c r="AS171" s="37">
        <v>15.26</v>
      </c>
      <c r="AT171" s="37">
        <v>15.26</v>
      </c>
      <c r="AU171" s="37">
        <v>15.26</v>
      </c>
      <c r="AV171" s="37">
        <v>15.26</v>
      </c>
      <c r="AW171" s="37">
        <v>15.26</v>
      </c>
      <c r="AX171" s="37">
        <v>15.26</v>
      </c>
      <c r="AY171" s="37">
        <v>15.26</v>
      </c>
      <c r="AZ171" s="37">
        <v>15.26</v>
      </c>
      <c r="BA171" s="37">
        <v>15.26</v>
      </c>
      <c r="BB171" s="37">
        <v>15.26</v>
      </c>
      <c r="BC171" s="37">
        <v>15.26</v>
      </c>
      <c r="BD171" s="37">
        <v>15.26</v>
      </c>
      <c r="BE171" s="37">
        <v>15.26</v>
      </c>
      <c r="BF171" s="37">
        <v>15.26</v>
      </c>
      <c r="BG171" s="37">
        <v>15.26</v>
      </c>
      <c r="BH171" s="37">
        <v>15.26</v>
      </c>
      <c r="BI171" s="37">
        <v>15.26</v>
      </c>
      <c r="BJ171" s="37">
        <v>15.26</v>
      </c>
      <c r="BK171" s="37">
        <v>15.26</v>
      </c>
      <c r="BL171" s="37">
        <v>15.26</v>
      </c>
      <c r="BM171" s="37">
        <v>15.26</v>
      </c>
      <c r="BN171" s="37">
        <v>15.26</v>
      </c>
      <c r="BO171" s="37">
        <v>15.26</v>
      </c>
      <c r="BP171" s="37">
        <v>15.26</v>
      </c>
      <c r="BQ171" s="37">
        <v>15.26</v>
      </c>
      <c r="BR171" s="37">
        <v>15.26</v>
      </c>
      <c r="BS171" s="37">
        <v>15.26</v>
      </c>
      <c r="BT171" s="37">
        <v>15.26</v>
      </c>
      <c r="BU171" s="37">
        <v>15.26</v>
      </c>
      <c r="BV171" s="37">
        <v>15.26</v>
      </c>
      <c r="BW171" s="37">
        <v>15.26</v>
      </c>
      <c r="BX171" s="37">
        <v>15.26</v>
      </c>
      <c r="BY171" s="37">
        <v>15.26</v>
      </c>
      <c r="BZ171" s="37">
        <v>15.26</v>
      </c>
      <c r="CA171" s="37">
        <v>15.26</v>
      </c>
      <c r="CB171" s="37">
        <v>15.26</v>
      </c>
      <c r="CC171" s="37">
        <v>15.26</v>
      </c>
      <c r="CD171" s="37">
        <v>15.26</v>
      </c>
      <c r="CE171" s="37">
        <v>15.26</v>
      </c>
      <c r="CF171" s="37">
        <v>15.26</v>
      </c>
      <c r="CG171" s="37">
        <v>15.26</v>
      </c>
      <c r="CH171" s="37">
        <v>15.26</v>
      </c>
      <c r="CI171" s="37">
        <v>15.26</v>
      </c>
      <c r="CJ171" s="37">
        <v>15.26</v>
      </c>
      <c r="CK171" s="37">
        <v>15.26</v>
      </c>
      <c r="CL171" s="37">
        <v>15.26</v>
      </c>
      <c r="CM171" s="37">
        <v>15.26</v>
      </c>
      <c r="CN171" s="37">
        <v>15.26</v>
      </c>
      <c r="CO171" s="37">
        <v>15.26</v>
      </c>
      <c r="CP171" s="37">
        <v>15.26</v>
      </c>
      <c r="CQ171" s="37">
        <v>15.26</v>
      </c>
      <c r="CR171" s="37">
        <v>15.26</v>
      </c>
      <c r="CS171" s="37">
        <v>15.26</v>
      </c>
      <c r="CT171" s="37">
        <v>15.26</v>
      </c>
      <c r="CU171" s="37">
        <v>15.26</v>
      </c>
      <c r="CV171" s="37">
        <v>15.26</v>
      </c>
      <c r="CW171" s="37">
        <v>15.26</v>
      </c>
      <c r="CX171" s="37">
        <v>15.26</v>
      </c>
      <c r="CY171" s="37">
        <v>15.26</v>
      </c>
      <c r="CZ171" s="37">
        <v>15.26</v>
      </c>
      <c r="DA171" s="37">
        <v>15.26</v>
      </c>
      <c r="DB171" s="37">
        <v>15.26</v>
      </c>
      <c r="DC171" s="37">
        <v>15.26</v>
      </c>
      <c r="DD171" s="37">
        <v>15.26</v>
      </c>
      <c r="DE171" s="37">
        <v>15.26</v>
      </c>
      <c r="DF171" s="37">
        <v>15.26</v>
      </c>
      <c r="DG171" s="37">
        <v>15.26</v>
      </c>
      <c r="DH171" s="37">
        <v>15.26</v>
      </c>
      <c r="DI171" s="37">
        <v>15.26</v>
      </c>
      <c r="DJ171" s="37">
        <v>15.26</v>
      </c>
      <c r="DK171" s="37">
        <v>15.26</v>
      </c>
      <c r="DL171" s="37">
        <v>15.26</v>
      </c>
      <c r="DM171" s="37">
        <v>15.26</v>
      </c>
      <c r="DN171" s="37">
        <v>15.26</v>
      </c>
      <c r="DO171" s="37">
        <v>15.26</v>
      </c>
      <c r="DP171" s="37">
        <v>15.26</v>
      </c>
      <c r="DQ171" s="37">
        <v>15.26</v>
      </c>
      <c r="DR171" s="37">
        <v>15.26</v>
      </c>
      <c r="DS171" s="37">
        <v>15.26</v>
      </c>
      <c r="DT171" s="37">
        <v>15.26</v>
      </c>
      <c r="DU171" s="37">
        <v>15.26</v>
      </c>
      <c r="DV171" s="37">
        <v>15.26</v>
      </c>
      <c r="DW171" s="37">
        <v>15.26</v>
      </c>
      <c r="DX171" s="37">
        <v>15.26</v>
      </c>
      <c r="DY171" s="37">
        <v>15.26</v>
      </c>
      <c r="DZ171" s="37">
        <v>15.26</v>
      </c>
      <c r="EA171" s="37">
        <v>15.26</v>
      </c>
      <c r="EB171" s="37">
        <v>15.26</v>
      </c>
      <c r="EC171" s="37">
        <v>15.26</v>
      </c>
      <c r="ED171" s="37">
        <v>15.26</v>
      </c>
      <c r="EE171" s="37">
        <v>15.26</v>
      </c>
      <c r="EF171" s="37">
        <v>15.26</v>
      </c>
      <c r="EG171" s="37">
        <v>15.26</v>
      </c>
      <c r="EH171" s="37">
        <v>15.26</v>
      </c>
      <c r="EI171" s="37">
        <v>15.26</v>
      </c>
      <c r="EJ171" s="37">
        <v>15.26</v>
      </c>
      <c r="EK171" s="37">
        <v>15.26</v>
      </c>
      <c r="EL171" s="37">
        <v>15.26</v>
      </c>
      <c r="EM171" s="37">
        <v>15.26</v>
      </c>
      <c r="EN171" s="37">
        <v>15.26</v>
      </c>
      <c r="EO171" s="37">
        <v>15.26</v>
      </c>
      <c r="EP171" s="37">
        <v>15.26</v>
      </c>
      <c r="EQ171" s="37">
        <v>15.26</v>
      </c>
      <c r="ER171" s="37">
        <v>15.26</v>
      </c>
      <c r="ES171" s="37">
        <v>15.26</v>
      </c>
      <c r="ET171" s="37">
        <v>15.26</v>
      </c>
      <c r="EU171" s="37">
        <v>15.26</v>
      </c>
      <c r="EV171" s="37">
        <v>15.26</v>
      </c>
      <c r="EW171" s="37">
        <v>15.26</v>
      </c>
      <c r="EX171" s="37">
        <v>15.26</v>
      </c>
      <c r="EY171" s="37">
        <v>15.26</v>
      </c>
      <c r="EZ171" s="37">
        <v>15.26</v>
      </c>
      <c r="FA171" s="37">
        <v>15.26</v>
      </c>
      <c r="FB171" s="37">
        <v>15.26</v>
      </c>
      <c r="FC171" s="37">
        <v>15.26</v>
      </c>
      <c r="FD171" s="37">
        <v>15.26</v>
      </c>
      <c r="FE171" s="37">
        <v>15.26</v>
      </c>
      <c r="FF171" s="37">
        <v>15.26</v>
      </c>
      <c r="FG171" s="37">
        <v>15.26</v>
      </c>
      <c r="FH171" s="37">
        <v>15.26</v>
      </c>
      <c r="FI171" s="37">
        <v>15.26</v>
      </c>
      <c r="FJ171" s="37">
        <v>15.26</v>
      </c>
      <c r="FK171" s="37">
        <v>15.26</v>
      </c>
      <c r="FL171" s="37">
        <v>15.26</v>
      </c>
      <c r="FM171" s="37">
        <v>15.26</v>
      </c>
      <c r="FN171" s="37">
        <v>15.26</v>
      </c>
      <c r="FO171" s="37">
        <v>15.26</v>
      </c>
      <c r="FP171" s="37">
        <v>15.26</v>
      </c>
      <c r="FQ171" s="37">
        <v>15.26</v>
      </c>
      <c r="FR171" s="37">
        <v>15.26</v>
      </c>
      <c r="FS171" s="37">
        <v>15.26</v>
      </c>
      <c r="FT171" s="37">
        <v>15.26</v>
      </c>
      <c r="FU171" s="37">
        <v>15.26</v>
      </c>
      <c r="FV171" s="37">
        <v>15.26</v>
      </c>
      <c r="FW171" s="37">
        <v>15.26</v>
      </c>
      <c r="FX171" s="37">
        <v>15.26</v>
      </c>
      <c r="FY171" s="37">
        <v>15.26</v>
      </c>
      <c r="FZ171" s="37">
        <v>15.26</v>
      </c>
      <c r="GA171" s="37">
        <v>15.26</v>
      </c>
      <c r="GB171" s="37">
        <v>15.26</v>
      </c>
      <c r="GC171" s="37">
        <v>15.26</v>
      </c>
      <c r="GD171" s="37">
        <v>15.26</v>
      </c>
      <c r="GE171" s="37">
        <v>15.26</v>
      </c>
      <c r="GF171" s="37">
        <v>15.26</v>
      </c>
      <c r="GG171" s="37">
        <v>15.26</v>
      </c>
      <c r="GH171" s="37">
        <v>15.26</v>
      </c>
      <c r="GI171" s="37">
        <v>15.26</v>
      </c>
      <c r="GJ171" s="37">
        <v>15.26</v>
      </c>
      <c r="GK171" s="37">
        <v>15.26</v>
      </c>
      <c r="GL171" s="37">
        <v>15.26</v>
      </c>
      <c r="GM171" s="37">
        <v>15.26</v>
      </c>
      <c r="GN171" s="37">
        <v>15.26</v>
      </c>
      <c r="GO171" s="37">
        <v>15.26</v>
      </c>
      <c r="GP171" s="37">
        <v>15.26</v>
      </c>
      <c r="GQ171" s="37">
        <v>15.26</v>
      </c>
      <c r="GR171" s="37">
        <v>15.26</v>
      </c>
      <c r="GS171" s="37">
        <v>15.26</v>
      </c>
      <c r="GT171" s="37">
        <v>15.26</v>
      </c>
      <c r="GU171" s="37">
        <v>15.26</v>
      </c>
      <c r="GV171" s="37">
        <v>15.26</v>
      </c>
      <c r="GW171" s="37">
        <v>15.26</v>
      </c>
      <c r="GX171" s="37">
        <v>15.26</v>
      </c>
      <c r="GY171" s="37">
        <v>15.26</v>
      </c>
      <c r="GZ171" s="37">
        <v>15.26</v>
      </c>
      <c r="HA171" s="37">
        <v>15.26</v>
      </c>
      <c r="HB171" s="37">
        <v>15.26</v>
      </c>
      <c r="HC171" s="37">
        <v>15.26</v>
      </c>
      <c r="HD171" s="37">
        <v>15.26</v>
      </c>
      <c r="HE171" s="37">
        <v>15.26</v>
      </c>
      <c r="HF171" s="37">
        <v>15.26</v>
      </c>
      <c r="HG171" s="37">
        <v>15.26</v>
      </c>
      <c r="HH171" s="37">
        <v>15.26</v>
      </c>
      <c r="HI171" s="37">
        <v>15.26</v>
      </c>
      <c r="HJ171" s="37">
        <v>15.26</v>
      </c>
      <c r="HK171" s="37">
        <v>15.26</v>
      </c>
      <c r="HL171" s="37">
        <v>15.26</v>
      </c>
      <c r="HM171" s="37">
        <v>15.26</v>
      </c>
      <c r="HN171" s="37">
        <v>15.26</v>
      </c>
      <c r="HO171" s="37">
        <v>15.26</v>
      </c>
      <c r="HP171" s="37">
        <v>15.26</v>
      </c>
      <c r="HQ171" s="37">
        <v>15.26</v>
      </c>
      <c r="HR171" s="37">
        <v>15.26</v>
      </c>
      <c r="HS171" s="37">
        <v>15.26</v>
      </c>
      <c r="HT171" s="37">
        <v>15.26</v>
      </c>
      <c r="HU171" s="37">
        <v>15.26</v>
      </c>
      <c r="HV171" s="37">
        <v>15.26</v>
      </c>
      <c r="HW171" s="37">
        <v>15.26</v>
      </c>
      <c r="HX171" s="37">
        <v>15.26</v>
      </c>
      <c r="HY171" s="37">
        <v>15.26</v>
      </c>
      <c r="HZ171" s="37">
        <v>15.26</v>
      </c>
      <c r="IA171" s="37">
        <v>15.26</v>
      </c>
      <c r="IB171" s="37">
        <v>15.26</v>
      </c>
      <c r="IC171" s="37">
        <v>15.26</v>
      </c>
      <c r="ID171" s="37">
        <v>15.26</v>
      </c>
      <c r="IE171" s="37">
        <v>15.26</v>
      </c>
      <c r="IF171" s="37">
        <v>15.26</v>
      </c>
      <c r="IG171" s="37">
        <v>15.26</v>
      </c>
      <c r="IH171" s="37">
        <v>15.26</v>
      </c>
      <c r="II171" s="37">
        <v>15.26</v>
      </c>
      <c r="IJ171" s="37">
        <v>15.26</v>
      </c>
      <c r="IK171" s="37">
        <v>15.26</v>
      </c>
      <c r="IL171" s="37">
        <v>15.26</v>
      </c>
      <c r="IM171" s="37">
        <v>15.26</v>
      </c>
      <c r="IN171" s="37">
        <v>15.26</v>
      </c>
      <c r="IO171" s="37">
        <v>15.26</v>
      </c>
      <c r="IP171" s="37">
        <v>15.26</v>
      </c>
      <c r="IQ171" s="37">
        <v>15.26</v>
      </c>
      <c r="IR171" s="37">
        <v>15.26</v>
      </c>
      <c r="IS171" s="37">
        <v>15.26</v>
      </c>
      <c r="IT171" s="37">
        <v>15.26</v>
      </c>
      <c r="IU171" s="37">
        <v>15.26</v>
      </c>
      <c r="IV171" s="37">
        <v>15.26</v>
      </c>
      <c r="IW171" s="37">
        <v>15.26</v>
      </c>
      <c r="IX171" s="37">
        <v>15.26</v>
      </c>
      <c r="IY171" s="37">
        <v>15.26</v>
      </c>
      <c r="IZ171" s="37">
        <v>15.26</v>
      </c>
      <c r="JA171" s="37">
        <v>15.26</v>
      </c>
      <c r="JB171" s="37">
        <v>15.26</v>
      </c>
      <c r="JC171" s="37">
        <v>15.26</v>
      </c>
      <c r="JD171" s="37">
        <v>15.26</v>
      </c>
      <c r="JE171" s="37">
        <v>15.26</v>
      </c>
      <c r="JF171" s="37">
        <v>15.26</v>
      </c>
      <c r="JG171" s="37">
        <v>15.26</v>
      </c>
      <c r="JH171" s="37">
        <v>15.26</v>
      </c>
      <c r="JI171" s="37">
        <v>15.26</v>
      </c>
      <c r="JJ171" s="37">
        <v>15.26</v>
      </c>
      <c r="JK171" s="37">
        <v>15.26</v>
      </c>
      <c r="JL171" s="37">
        <v>15.26</v>
      </c>
      <c r="JM171" s="37">
        <v>15.26</v>
      </c>
      <c r="JN171" s="37">
        <v>15.26</v>
      </c>
      <c r="JO171" s="37">
        <v>15.26</v>
      </c>
      <c r="JP171" s="37">
        <v>15.26</v>
      </c>
      <c r="JQ171" s="37">
        <v>15.26</v>
      </c>
      <c r="JR171" s="37">
        <v>15.26</v>
      </c>
      <c r="JS171" s="37">
        <v>15.26</v>
      </c>
      <c r="JT171" s="37">
        <v>15.26</v>
      </c>
      <c r="JU171" s="37">
        <v>15.26</v>
      </c>
      <c r="JV171" s="37">
        <v>15.26</v>
      </c>
      <c r="JW171" s="37">
        <v>15.26</v>
      </c>
      <c r="JX171" s="37">
        <v>15.26</v>
      </c>
      <c r="JY171" s="37">
        <v>15.26</v>
      </c>
      <c r="JZ171" s="37">
        <v>15.26</v>
      </c>
      <c r="KA171" s="37">
        <v>15.26</v>
      </c>
      <c r="KB171" s="37">
        <v>15.26</v>
      </c>
      <c r="KC171" s="37">
        <v>15.26</v>
      </c>
      <c r="KD171" s="37">
        <v>15.26</v>
      </c>
      <c r="KE171" s="37">
        <v>15.26</v>
      </c>
      <c r="KF171" s="37">
        <v>15.26</v>
      </c>
      <c r="KG171" s="37">
        <v>15.26</v>
      </c>
      <c r="KH171" s="37">
        <v>15.26</v>
      </c>
      <c r="KI171" s="37">
        <v>15.26</v>
      </c>
      <c r="KJ171" s="37">
        <v>15.26</v>
      </c>
      <c r="KK171" s="37">
        <v>15.26</v>
      </c>
      <c r="KL171" s="37">
        <v>15.26</v>
      </c>
      <c r="KM171" s="37">
        <v>15.26</v>
      </c>
      <c r="KN171" s="37">
        <v>15.26</v>
      </c>
      <c r="KO171" s="37">
        <v>15.26</v>
      </c>
      <c r="KP171" s="37">
        <v>15.26</v>
      </c>
      <c r="KQ171" s="37">
        <v>15.26</v>
      </c>
      <c r="KR171" s="37">
        <v>15.26</v>
      </c>
      <c r="KS171" s="37">
        <v>15.26</v>
      </c>
      <c r="KT171" s="37">
        <v>15.26</v>
      </c>
      <c r="KU171" s="37">
        <v>15.26</v>
      </c>
      <c r="KV171" s="37">
        <v>15.26</v>
      </c>
      <c r="KW171" s="37">
        <v>15.26</v>
      </c>
      <c r="KX171" s="37">
        <v>15.26</v>
      </c>
      <c r="KY171" s="37">
        <v>15.26</v>
      </c>
      <c r="KZ171" s="37">
        <v>15.26</v>
      </c>
      <c r="LA171" s="37">
        <v>15.26</v>
      </c>
      <c r="LB171" s="37">
        <v>15.26</v>
      </c>
      <c r="LC171" s="37">
        <v>15.26</v>
      </c>
      <c r="LD171" s="37">
        <v>15.26</v>
      </c>
      <c r="LE171" s="37">
        <v>15.26</v>
      </c>
      <c r="LF171" s="37">
        <v>15.26</v>
      </c>
      <c r="LG171" s="37">
        <v>15.26</v>
      </c>
      <c r="LH171" s="37">
        <v>15.26</v>
      </c>
      <c r="LI171" s="37">
        <v>15.26</v>
      </c>
      <c r="LJ171" s="37">
        <v>15.26</v>
      </c>
      <c r="LK171" s="37">
        <v>15.26</v>
      </c>
      <c r="LL171" s="37">
        <v>15.26</v>
      </c>
      <c r="LM171" s="37">
        <v>15.26</v>
      </c>
      <c r="LN171" s="37">
        <v>15.26</v>
      </c>
      <c r="LO171" s="37">
        <v>15.26</v>
      </c>
      <c r="LP171" s="37">
        <v>15.26</v>
      </c>
      <c r="LQ171" s="37">
        <v>15.26</v>
      </c>
      <c r="LR171" s="37">
        <v>15.26</v>
      </c>
      <c r="LS171" s="37">
        <v>15.26</v>
      </c>
      <c r="LT171" s="37">
        <v>15.26</v>
      </c>
      <c r="LU171" s="37">
        <v>15.26</v>
      </c>
      <c r="LV171" s="37">
        <v>15.26</v>
      </c>
      <c r="LW171" s="37">
        <v>15.26</v>
      </c>
      <c r="LX171" s="37">
        <v>15.26</v>
      </c>
      <c r="LY171" s="37">
        <v>15.26</v>
      </c>
      <c r="LZ171" s="37">
        <v>15.26</v>
      </c>
      <c r="MA171" s="37">
        <v>15.26</v>
      </c>
      <c r="MB171" s="37">
        <v>15.26</v>
      </c>
      <c r="MC171" s="37">
        <v>15.26</v>
      </c>
      <c r="MD171" s="37">
        <v>15.26</v>
      </c>
      <c r="ME171" s="37">
        <v>15.26</v>
      </c>
      <c r="MF171" s="37">
        <v>15.26</v>
      </c>
      <c r="MG171" s="37">
        <v>15.26</v>
      </c>
      <c r="MH171" s="37">
        <v>15.26</v>
      </c>
      <c r="MI171" s="37">
        <v>15.26</v>
      </c>
      <c r="MJ171" s="37">
        <v>15.26</v>
      </c>
      <c r="MK171" s="37">
        <v>15.26</v>
      </c>
      <c r="ML171" s="37">
        <v>15.26</v>
      </c>
      <c r="MM171" s="37">
        <v>15.26</v>
      </c>
      <c r="MN171" s="37">
        <v>15.26</v>
      </c>
      <c r="MO171" s="37">
        <v>15.26</v>
      </c>
      <c r="MP171" s="37">
        <v>15.26</v>
      </c>
      <c r="MQ171" s="37">
        <v>15.26</v>
      </c>
      <c r="MR171" s="37">
        <v>15.26</v>
      </c>
      <c r="MS171" s="37">
        <v>15.26</v>
      </c>
      <c r="MT171" s="37">
        <v>15.26</v>
      </c>
      <c r="MU171" s="37">
        <v>15.26</v>
      </c>
      <c r="MV171" s="37">
        <v>15.26</v>
      </c>
      <c r="MW171" s="37">
        <v>15.26</v>
      </c>
      <c r="MX171" s="37">
        <v>15.26</v>
      </c>
      <c r="MY171" s="37">
        <v>15.26</v>
      </c>
      <c r="MZ171" s="37">
        <v>15.26</v>
      </c>
      <c r="NA171" s="37">
        <v>15.26</v>
      </c>
      <c r="NB171" s="37">
        <v>15.26</v>
      </c>
      <c r="NC171" s="37">
        <v>15.26</v>
      </c>
      <c r="ND171" s="37">
        <v>16.3</v>
      </c>
    </row>
    <row r="172" spans="1:372" x14ac:dyDescent="0.2">
      <c r="A172" s="37">
        <v>170</v>
      </c>
      <c r="B172" s="37" t="s">
        <v>1304</v>
      </c>
      <c r="C172" s="17">
        <f>+'Detalle Compras'!D172</f>
        <v>20240131047</v>
      </c>
      <c r="D172" s="55">
        <f t="shared" si="19"/>
        <v>11.82</v>
      </c>
      <c r="E172" s="14">
        <f>+IF(B172="","",'Detalle Compras'!S172+0)</f>
        <v>45514</v>
      </c>
      <c r="F172" s="14">
        <f>+IF(B172="","",EOMONTH('Detalle Compras'!Q172,G172)+10)</f>
        <v>10846</v>
      </c>
      <c r="G172" s="50">
        <f t="shared" si="20"/>
        <v>355</v>
      </c>
      <c r="H172" s="50">
        <f t="shared" si="21"/>
        <v>337</v>
      </c>
      <c r="I172" s="37">
        <v>0</v>
      </c>
      <c r="J172" s="37">
        <v>0</v>
      </c>
      <c r="K172" s="37">
        <v>0</v>
      </c>
      <c r="L172" s="37">
        <v>0</v>
      </c>
      <c r="M172" s="37">
        <v>0</v>
      </c>
      <c r="N172" s="37">
        <v>11.82</v>
      </c>
      <c r="O172" s="37">
        <v>11.82</v>
      </c>
      <c r="P172" s="37">
        <v>11.82</v>
      </c>
      <c r="Q172" s="37">
        <v>11.82</v>
      </c>
      <c r="R172" s="37">
        <v>11.82</v>
      </c>
      <c r="S172" s="37">
        <v>11.82</v>
      </c>
      <c r="T172" s="37">
        <v>11.82</v>
      </c>
      <c r="U172" s="37">
        <v>11.82</v>
      </c>
      <c r="V172" s="37">
        <v>11.82</v>
      </c>
      <c r="W172" s="37">
        <v>11.82</v>
      </c>
      <c r="X172" s="37">
        <v>11.82</v>
      </c>
      <c r="Y172" s="37">
        <v>11.82</v>
      </c>
      <c r="Z172" s="37">
        <v>11.82</v>
      </c>
      <c r="AA172" s="37">
        <v>11.82</v>
      </c>
      <c r="AB172" s="37">
        <v>11.82</v>
      </c>
      <c r="AC172" s="37">
        <v>11.82</v>
      </c>
      <c r="AD172" s="37">
        <v>11.82</v>
      </c>
      <c r="AE172" s="37">
        <v>11.82</v>
      </c>
      <c r="AF172" s="37">
        <v>11.82</v>
      </c>
      <c r="AG172" s="37">
        <v>11.82</v>
      </c>
      <c r="AH172" s="37">
        <v>11.82</v>
      </c>
      <c r="AI172" s="37">
        <v>11.82</v>
      </c>
      <c r="AJ172" s="37">
        <v>11.82</v>
      </c>
      <c r="AK172" s="37">
        <v>11.82</v>
      </c>
      <c r="AL172" s="37">
        <v>11.82</v>
      </c>
      <c r="AM172" s="37">
        <v>11.82</v>
      </c>
      <c r="AN172" s="37">
        <v>11.82</v>
      </c>
      <c r="AO172" s="37">
        <v>11.82</v>
      </c>
      <c r="AP172" s="37">
        <v>11.82</v>
      </c>
      <c r="AQ172" s="37">
        <v>11.82</v>
      </c>
      <c r="AR172" s="37">
        <v>11.82</v>
      </c>
      <c r="AS172" s="37">
        <v>11.82</v>
      </c>
      <c r="AT172" s="37">
        <v>11.82</v>
      </c>
      <c r="AU172" s="37">
        <v>11.82</v>
      </c>
      <c r="AV172" s="37">
        <v>11.82</v>
      </c>
      <c r="AW172" s="37">
        <v>11.82</v>
      </c>
      <c r="AX172" s="37">
        <v>11.82</v>
      </c>
      <c r="AY172" s="37">
        <v>11.82</v>
      </c>
      <c r="AZ172" s="37">
        <v>11.82</v>
      </c>
      <c r="BA172" s="37">
        <v>11.82</v>
      </c>
      <c r="BB172" s="37">
        <v>11.82</v>
      </c>
      <c r="BC172" s="37">
        <v>11.82</v>
      </c>
      <c r="BD172" s="37">
        <v>11.82</v>
      </c>
      <c r="BE172" s="37">
        <v>11.82</v>
      </c>
      <c r="BF172" s="37">
        <v>11.82</v>
      </c>
      <c r="BG172" s="37">
        <v>11.82</v>
      </c>
      <c r="BH172" s="37">
        <v>11.82</v>
      </c>
      <c r="BI172" s="37">
        <v>11.82</v>
      </c>
      <c r="BJ172" s="37">
        <v>11.82</v>
      </c>
      <c r="BK172" s="37">
        <v>11.82</v>
      </c>
      <c r="BL172" s="37">
        <v>11.82</v>
      </c>
      <c r="BM172" s="37">
        <v>11.82</v>
      </c>
      <c r="BN172" s="37">
        <v>11.82</v>
      </c>
      <c r="BO172" s="37">
        <v>11.82</v>
      </c>
      <c r="BP172" s="37">
        <v>11.82</v>
      </c>
      <c r="BQ172" s="37">
        <v>11.82</v>
      </c>
      <c r="BR172" s="37">
        <v>11.82</v>
      </c>
      <c r="BS172" s="37">
        <v>11.82</v>
      </c>
      <c r="BT172" s="37">
        <v>11.82</v>
      </c>
      <c r="BU172" s="37">
        <v>11.82</v>
      </c>
      <c r="BV172" s="37">
        <v>11.82</v>
      </c>
      <c r="BW172" s="37">
        <v>11.82</v>
      </c>
      <c r="BX172" s="37">
        <v>11.82</v>
      </c>
      <c r="BY172" s="37">
        <v>11.82</v>
      </c>
      <c r="BZ172" s="37">
        <v>11.82</v>
      </c>
      <c r="CA172" s="37">
        <v>11.82</v>
      </c>
      <c r="CB172" s="37">
        <v>11.82</v>
      </c>
      <c r="CC172" s="37">
        <v>11.82</v>
      </c>
      <c r="CD172" s="37">
        <v>11.82</v>
      </c>
      <c r="CE172" s="37">
        <v>11.82</v>
      </c>
      <c r="CF172" s="37">
        <v>11.82</v>
      </c>
      <c r="CG172" s="37">
        <v>11.82</v>
      </c>
      <c r="CH172" s="37">
        <v>11.82</v>
      </c>
      <c r="CI172" s="37">
        <v>11.82</v>
      </c>
      <c r="CJ172" s="37">
        <v>11.82</v>
      </c>
      <c r="CK172" s="37">
        <v>11.82</v>
      </c>
      <c r="CL172" s="37">
        <v>11.82</v>
      </c>
      <c r="CM172" s="37">
        <v>11.82</v>
      </c>
      <c r="CN172" s="37">
        <v>11.82</v>
      </c>
      <c r="CO172" s="37">
        <v>11.82</v>
      </c>
      <c r="CP172" s="37">
        <v>11.82</v>
      </c>
      <c r="CQ172" s="37">
        <v>11.82</v>
      </c>
      <c r="CR172" s="37">
        <v>11.82</v>
      </c>
      <c r="CS172" s="37">
        <v>11.82</v>
      </c>
      <c r="CT172" s="37">
        <v>11.82</v>
      </c>
      <c r="CU172" s="37">
        <v>11.82</v>
      </c>
      <c r="CV172" s="37">
        <v>11.82</v>
      </c>
      <c r="CW172" s="37">
        <v>11.82</v>
      </c>
      <c r="CX172" s="37">
        <v>11.82</v>
      </c>
      <c r="CY172" s="37">
        <v>11.82</v>
      </c>
      <c r="CZ172" s="37">
        <v>11.82</v>
      </c>
      <c r="DA172" s="37">
        <v>11.82</v>
      </c>
      <c r="DB172" s="37">
        <v>11.82</v>
      </c>
      <c r="DC172" s="37">
        <v>11.82</v>
      </c>
      <c r="DD172" s="37">
        <v>11.82</v>
      </c>
      <c r="DE172" s="37">
        <v>11.82</v>
      </c>
      <c r="DF172" s="37">
        <v>11.82</v>
      </c>
      <c r="DG172" s="37">
        <v>11.82</v>
      </c>
      <c r="DH172" s="37">
        <v>11.82</v>
      </c>
      <c r="DI172" s="37">
        <v>11.82</v>
      </c>
      <c r="DJ172" s="37">
        <v>11.82</v>
      </c>
      <c r="DK172" s="37">
        <v>11.82</v>
      </c>
      <c r="DL172" s="37">
        <v>11.82</v>
      </c>
      <c r="DM172" s="37">
        <v>11.82</v>
      </c>
      <c r="DN172" s="37">
        <v>11.82</v>
      </c>
      <c r="DO172" s="37">
        <v>11.82</v>
      </c>
      <c r="DP172" s="37">
        <v>11.82</v>
      </c>
      <c r="DQ172" s="37">
        <v>11.82</v>
      </c>
      <c r="DR172" s="37">
        <v>11.82</v>
      </c>
      <c r="DS172" s="37">
        <v>11.82</v>
      </c>
      <c r="DT172" s="37">
        <v>11.82</v>
      </c>
      <c r="DU172" s="37">
        <v>11.82</v>
      </c>
      <c r="DV172" s="37">
        <v>11.82</v>
      </c>
      <c r="DW172" s="37">
        <v>11.82</v>
      </c>
      <c r="DX172" s="37">
        <v>11.82</v>
      </c>
      <c r="DY172" s="37">
        <v>11.82</v>
      </c>
      <c r="DZ172" s="37">
        <v>11.82</v>
      </c>
      <c r="EA172" s="37">
        <v>11.82</v>
      </c>
      <c r="EB172" s="37">
        <v>11.82</v>
      </c>
      <c r="EC172" s="37">
        <v>11.82</v>
      </c>
      <c r="ED172" s="37">
        <v>11.82</v>
      </c>
      <c r="EE172" s="37">
        <v>11.82</v>
      </c>
      <c r="EF172" s="37">
        <v>11.82</v>
      </c>
      <c r="EG172" s="37">
        <v>11.82</v>
      </c>
      <c r="EH172" s="37">
        <v>11.82</v>
      </c>
      <c r="EI172" s="37">
        <v>11.82</v>
      </c>
      <c r="EJ172" s="37">
        <v>11.82</v>
      </c>
      <c r="EK172" s="37">
        <v>11.82</v>
      </c>
      <c r="EL172" s="37">
        <v>11.82</v>
      </c>
      <c r="EM172" s="37">
        <v>11.82</v>
      </c>
      <c r="EN172" s="37">
        <v>11.82</v>
      </c>
      <c r="EO172" s="37">
        <v>11.82</v>
      </c>
      <c r="EP172" s="37">
        <v>11.82</v>
      </c>
      <c r="EQ172" s="37">
        <v>11.82</v>
      </c>
      <c r="ER172" s="37">
        <v>11.82</v>
      </c>
      <c r="ES172" s="37">
        <v>11.82</v>
      </c>
      <c r="ET172" s="37">
        <v>11.82</v>
      </c>
      <c r="EU172" s="37">
        <v>11.82</v>
      </c>
      <c r="EV172" s="37">
        <v>11.82</v>
      </c>
      <c r="EW172" s="37">
        <v>11.82</v>
      </c>
      <c r="EX172" s="37">
        <v>11.82</v>
      </c>
      <c r="EY172" s="37">
        <v>11.82</v>
      </c>
      <c r="EZ172" s="37">
        <v>11.82</v>
      </c>
      <c r="FA172" s="37">
        <v>11.82</v>
      </c>
      <c r="FB172" s="37">
        <v>11.82</v>
      </c>
      <c r="FC172" s="37">
        <v>11.82</v>
      </c>
      <c r="FD172" s="37">
        <v>11.82</v>
      </c>
      <c r="FE172" s="37">
        <v>11.82</v>
      </c>
      <c r="FF172" s="37">
        <v>11.82</v>
      </c>
      <c r="FG172" s="37">
        <v>11.82</v>
      </c>
      <c r="FH172" s="37">
        <v>11.82</v>
      </c>
      <c r="FI172" s="37">
        <v>11.82</v>
      </c>
      <c r="FJ172" s="37">
        <v>11.82</v>
      </c>
      <c r="FK172" s="37">
        <v>11.82</v>
      </c>
      <c r="FL172" s="37">
        <v>11.82</v>
      </c>
      <c r="FM172" s="37">
        <v>11.82</v>
      </c>
      <c r="FN172" s="37">
        <v>11.82</v>
      </c>
      <c r="FO172" s="37">
        <v>11.82</v>
      </c>
      <c r="FP172" s="37">
        <v>11.82</v>
      </c>
      <c r="FQ172" s="37">
        <v>11.82</v>
      </c>
      <c r="FR172" s="37">
        <v>11.82</v>
      </c>
      <c r="FS172" s="37">
        <v>11.82</v>
      </c>
      <c r="FT172" s="37">
        <v>11.82</v>
      </c>
      <c r="FU172" s="37">
        <v>11.82</v>
      </c>
      <c r="FV172" s="37">
        <v>11.82</v>
      </c>
      <c r="FW172" s="37">
        <v>11.82</v>
      </c>
      <c r="FX172" s="37">
        <v>11.82</v>
      </c>
      <c r="FY172" s="37">
        <v>11.82</v>
      </c>
      <c r="FZ172" s="37">
        <v>11.82</v>
      </c>
      <c r="GA172" s="37">
        <v>11.82</v>
      </c>
      <c r="GB172" s="37">
        <v>11.82</v>
      </c>
      <c r="GC172" s="37">
        <v>11.82</v>
      </c>
      <c r="GD172" s="37">
        <v>11.82</v>
      </c>
      <c r="GE172" s="37">
        <v>11.82</v>
      </c>
      <c r="GF172" s="37">
        <v>11.82</v>
      </c>
      <c r="GG172" s="37">
        <v>11.82</v>
      </c>
      <c r="GH172" s="37">
        <v>11.82</v>
      </c>
      <c r="GI172" s="37">
        <v>11.82</v>
      </c>
      <c r="GJ172" s="37">
        <v>11.82</v>
      </c>
      <c r="GK172" s="37">
        <v>11.82</v>
      </c>
      <c r="GL172" s="37">
        <v>11.82</v>
      </c>
      <c r="GM172" s="37">
        <v>11.82</v>
      </c>
      <c r="GN172" s="37">
        <v>11.82</v>
      </c>
      <c r="GO172" s="37">
        <v>11.82</v>
      </c>
      <c r="GP172" s="37">
        <v>11.82</v>
      </c>
      <c r="GQ172" s="37">
        <v>11.82</v>
      </c>
      <c r="GR172" s="37">
        <v>11.82</v>
      </c>
      <c r="GS172" s="37">
        <v>11.82</v>
      </c>
      <c r="GT172" s="37">
        <v>11.82</v>
      </c>
      <c r="GU172" s="37">
        <v>11.82</v>
      </c>
      <c r="GV172" s="37">
        <v>11.82</v>
      </c>
      <c r="GW172" s="37">
        <v>11.82</v>
      </c>
      <c r="GX172" s="37">
        <v>11.82</v>
      </c>
      <c r="GY172" s="37">
        <v>11.82</v>
      </c>
      <c r="GZ172" s="37">
        <v>11.82</v>
      </c>
      <c r="HA172" s="37">
        <v>11.82</v>
      </c>
      <c r="HB172" s="37">
        <v>11.82</v>
      </c>
      <c r="HC172" s="37">
        <v>11.82</v>
      </c>
      <c r="HD172" s="37">
        <v>11.82</v>
      </c>
      <c r="HE172" s="37">
        <v>11.82</v>
      </c>
      <c r="HF172" s="37">
        <v>11.82</v>
      </c>
      <c r="HG172" s="37">
        <v>11.82</v>
      </c>
      <c r="HH172" s="37">
        <v>11.82</v>
      </c>
      <c r="HI172" s="37">
        <v>11.82</v>
      </c>
      <c r="HJ172" s="37">
        <v>11.82</v>
      </c>
      <c r="HK172" s="37">
        <v>11.82</v>
      </c>
      <c r="HL172" s="37">
        <v>11.82</v>
      </c>
      <c r="HM172" s="37">
        <v>11.82</v>
      </c>
      <c r="HN172" s="37">
        <v>11.82</v>
      </c>
      <c r="HO172" s="37">
        <v>11.82</v>
      </c>
      <c r="HP172" s="37">
        <v>11.82</v>
      </c>
      <c r="HQ172" s="37">
        <v>11.82</v>
      </c>
      <c r="HR172" s="37">
        <v>11.82</v>
      </c>
      <c r="HS172" s="37">
        <v>11.82</v>
      </c>
      <c r="HT172" s="37">
        <v>11.82</v>
      </c>
      <c r="HU172" s="37">
        <v>11.82</v>
      </c>
      <c r="HV172" s="37">
        <v>11.82</v>
      </c>
      <c r="HW172" s="37">
        <v>11.82</v>
      </c>
      <c r="HX172" s="37">
        <v>11.82</v>
      </c>
      <c r="HY172" s="37">
        <v>11.82</v>
      </c>
      <c r="HZ172" s="37">
        <v>11.82</v>
      </c>
      <c r="IA172" s="37">
        <v>11.82</v>
      </c>
      <c r="IB172" s="37">
        <v>11.82</v>
      </c>
      <c r="IC172" s="37">
        <v>11.82</v>
      </c>
      <c r="ID172" s="37">
        <v>11.82</v>
      </c>
      <c r="IE172" s="37">
        <v>11.82</v>
      </c>
      <c r="IF172" s="37">
        <v>11.82</v>
      </c>
      <c r="IG172" s="37">
        <v>11.82</v>
      </c>
      <c r="IH172" s="37">
        <v>11.82</v>
      </c>
      <c r="II172" s="37">
        <v>11.82</v>
      </c>
      <c r="IJ172" s="37">
        <v>11.82</v>
      </c>
      <c r="IK172" s="37">
        <v>11.82</v>
      </c>
      <c r="IL172" s="37">
        <v>11.82</v>
      </c>
      <c r="IM172" s="37">
        <v>11.82</v>
      </c>
      <c r="IN172" s="37">
        <v>11.82</v>
      </c>
      <c r="IO172" s="37">
        <v>11.82</v>
      </c>
      <c r="IP172" s="37">
        <v>11.82</v>
      </c>
      <c r="IQ172" s="37">
        <v>11.82</v>
      </c>
      <c r="IR172" s="37">
        <v>11.82</v>
      </c>
      <c r="IS172" s="37">
        <v>11.82</v>
      </c>
      <c r="IT172" s="37">
        <v>11.82</v>
      </c>
      <c r="IU172" s="37">
        <v>11.82</v>
      </c>
      <c r="IV172" s="37">
        <v>11.82</v>
      </c>
      <c r="IW172" s="37">
        <v>11.82</v>
      </c>
      <c r="IX172" s="37">
        <v>11.82</v>
      </c>
      <c r="IY172" s="37">
        <v>11.82</v>
      </c>
      <c r="IZ172" s="37">
        <v>11.82</v>
      </c>
      <c r="JA172" s="37">
        <v>11.82</v>
      </c>
      <c r="JB172" s="37">
        <v>11.82</v>
      </c>
      <c r="JC172" s="37">
        <v>11.82</v>
      </c>
      <c r="JD172" s="37">
        <v>11.82</v>
      </c>
      <c r="JE172" s="37">
        <v>11.82</v>
      </c>
      <c r="JF172" s="37">
        <v>11.82</v>
      </c>
      <c r="JG172" s="37">
        <v>11.82</v>
      </c>
      <c r="JH172" s="37">
        <v>11.82</v>
      </c>
      <c r="JI172" s="37">
        <v>11.82</v>
      </c>
      <c r="JJ172" s="37">
        <v>11.82</v>
      </c>
      <c r="JK172" s="37">
        <v>11.82</v>
      </c>
      <c r="JL172" s="37">
        <v>11.82</v>
      </c>
      <c r="JM172" s="37">
        <v>11.82</v>
      </c>
      <c r="JN172" s="37">
        <v>11.82</v>
      </c>
      <c r="JO172" s="37">
        <v>11.82</v>
      </c>
      <c r="JP172" s="37">
        <v>11.82</v>
      </c>
      <c r="JQ172" s="37">
        <v>11.82</v>
      </c>
      <c r="JR172" s="37">
        <v>11.82</v>
      </c>
      <c r="JS172" s="37">
        <v>11.82</v>
      </c>
      <c r="JT172" s="37">
        <v>11.82</v>
      </c>
      <c r="JU172" s="37">
        <v>11.82</v>
      </c>
      <c r="JV172" s="37">
        <v>11.82</v>
      </c>
      <c r="JW172" s="37">
        <v>11.82</v>
      </c>
      <c r="JX172" s="37">
        <v>11.82</v>
      </c>
      <c r="JY172" s="37">
        <v>11.82</v>
      </c>
      <c r="JZ172" s="37">
        <v>11.82</v>
      </c>
      <c r="KA172" s="37">
        <v>11.82</v>
      </c>
      <c r="KB172" s="37">
        <v>11.82</v>
      </c>
      <c r="KC172" s="37">
        <v>11.82</v>
      </c>
      <c r="KD172" s="37">
        <v>11.82</v>
      </c>
      <c r="KE172" s="37">
        <v>11.82</v>
      </c>
      <c r="KF172" s="37">
        <v>11.82</v>
      </c>
      <c r="KG172" s="37">
        <v>11.82</v>
      </c>
      <c r="KH172" s="37">
        <v>11.82</v>
      </c>
      <c r="KI172" s="37">
        <v>11.82</v>
      </c>
      <c r="KJ172" s="37">
        <v>11.82</v>
      </c>
      <c r="KK172" s="37">
        <v>11.82</v>
      </c>
      <c r="KL172" s="37">
        <v>11.82</v>
      </c>
      <c r="KM172" s="37">
        <v>11.82</v>
      </c>
      <c r="KN172" s="37">
        <v>11.82</v>
      </c>
      <c r="KO172" s="37">
        <v>11.82</v>
      </c>
      <c r="KP172" s="37">
        <v>11.82</v>
      </c>
      <c r="KQ172" s="37">
        <v>11.82</v>
      </c>
      <c r="KR172" s="37">
        <v>11.82</v>
      </c>
      <c r="KS172" s="37">
        <v>11.82</v>
      </c>
      <c r="KT172" s="37">
        <v>11.82</v>
      </c>
      <c r="KU172" s="37">
        <v>11.82</v>
      </c>
      <c r="KV172" s="37">
        <v>11.82</v>
      </c>
      <c r="KW172" s="37">
        <v>11.82</v>
      </c>
      <c r="KX172" s="37">
        <v>11.82</v>
      </c>
      <c r="KY172" s="37">
        <v>11.82</v>
      </c>
      <c r="KZ172" s="37">
        <v>11.82</v>
      </c>
      <c r="LA172" s="37">
        <v>11.82</v>
      </c>
      <c r="LB172" s="37">
        <v>11.82</v>
      </c>
      <c r="LC172" s="37">
        <v>11.82</v>
      </c>
      <c r="LD172" s="37">
        <v>11.82</v>
      </c>
      <c r="LE172" s="37">
        <v>11.82</v>
      </c>
      <c r="LF172" s="37">
        <v>11.82</v>
      </c>
      <c r="LG172" s="37">
        <v>11.82</v>
      </c>
      <c r="LH172" s="37">
        <v>11.82</v>
      </c>
      <c r="LI172" s="37">
        <v>11.82</v>
      </c>
      <c r="LJ172" s="37">
        <v>11.82</v>
      </c>
      <c r="LK172" s="37">
        <v>11.82</v>
      </c>
      <c r="LL172" s="37">
        <v>11.82</v>
      </c>
      <c r="LM172" s="37">
        <v>11.82</v>
      </c>
      <c r="LN172" s="37">
        <v>11.82</v>
      </c>
      <c r="LO172" s="37">
        <v>11.82</v>
      </c>
      <c r="LP172" s="37">
        <v>11.82</v>
      </c>
      <c r="LQ172" s="37">
        <v>11.82</v>
      </c>
      <c r="LR172" s="37">
        <v>11.82</v>
      </c>
      <c r="LS172" s="37">
        <v>11.82</v>
      </c>
      <c r="LT172" s="37">
        <v>11.82</v>
      </c>
      <c r="LU172" s="37">
        <v>11.82</v>
      </c>
      <c r="LV172" s="37">
        <v>11.82</v>
      </c>
      <c r="LW172" s="37">
        <v>11.82</v>
      </c>
      <c r="LX172" s="37">
        <v>11.82</v>
      </c>
      <c r="LY172" s="37">
        <v>11.82</v>
      </c>
      <c r="LZ172" s="37">
        <v>11.82</v>
      </c>
      <c r="MA172" s="37">
        <v>11.82</v>
      </c>
      <c r="MB172" s="37">
        <v>11.82</v>
      </c>
      <c r="MC172" s="37">
        <v>11.82</v>
      </c>
      <c r="MD172" s="37">
        <v>11.82</v>
      </c>
      <c r="ME172" s="37">
        <v>11.82</v>
      </c>
      <c r="MF172" s="37">
        <v>11.82</v>
      </c>
      <c r="MG172" s="37">
        <v>11.82</v>
      </c>
      <c r="MH172" s="37">
        <v>11.82</v>
      </c>
      <c r="MI172" s="37">
        <v>11.82</v>
      </c>
      <c r="MJ172" s="37">
        <v>11.82</v>
      </c>
      <c r="MK172" s="37">
        <v>11.82</v>
      </c>
      <c r="ML172" s="37">
        <v>11.82</v>
      </c>
      <c r="MM172" s="37">
        <v>11.82</v>
      </c>
      <c r="MN172" s="37">
        <v>11.82</v>
      </c>
      <c r="MO172" s="37">
        <v>11.82</v>
      </c>
      <c r="MP172" s="37">
        <v>11.82</v>
      </c>
      <c r="MQ172" s="37">
        <v>11.82</v>
      </c>
      <c r="MR172" s="37">
        <v>11.82</v>
      </c>
      <c r="MS172" s="37">
        <v>11.82</v>
      </c>
      <c r="MT172" s="37">
        <v>11.82</v>
      </c>
      <c r="MU172" s="37">
        <v>11.82</v>
      </c>
      <c r="MV172" s="37">
        <v>11.82</v>
      </c>
      <c r="MW172" s="37">
        <v>11.82</v>
      </c>
      <c r="MX172" s="37">
        <v>11.82</v>
      </c>
      <c r="MY172" s="37">
        <v>11.82</v>
      </c>
      <c r="MZ172" s="37">
        <v>11.82</v>
      </c>
      <c r="NA172" s="37">
        <v>11.82</v>
      </c>
      <c r="NB172" s="37">
        <v>11.82</v>
      </c>
      <c r="NC172" s="37">
        <v>11.82</v>
      </c>
      <c r="ND172" s="37">
        <v>12.54</v>
      </c>
    </row>
    <row r="173" spans="1:372" x14ac:dyDescent="0.2">
      <c r="A173" s="37">
        <v>171</v>
      </c>
      <c r="B173" s="37" t="s">
        <v>1309</v>
      </c>
      <c r="C173" s="17">
        <f>+'Detalle Compras'!D173</f>
        <v>20240131051</v>
      </c>
      <c r="D173" s="55">
        <f t="shared" si="19"/>
        <v>9.2100000000000009</v>
      </c>
      <c r="E173" s="14">
        <f>+IF(B173="","",'Detalle Compras'!S173+0)</f>
        <v>45514</v>
      </c>
      <c r="F173" s="14">
        <f>+IF(B173="","",EOMONTH('Detalle Compras'!Q173,G173)+10)</f>
        <v>10846</v>
      </c>
      <c r="G173" s="50">
        <f t="shared" si="20"/>
        <v>355</v>
      </c>
      <c r="H173" s="50">
        <f t="shared" si="21"/>
        <v>337</v>
      </c>
      <c r="I173" s="37">
        <v>0</v>
      </c>
      <c r="J173" s="37">
        <v>0</v>
      </c>
      <c r="K173" s="37">
        <v>0</v>
      </c>
      <c r="L173" s="37">
        <v>0</v>
      </c>
      <c r="M173" s="37">
        <v>0</v>
      </c>
      <c r="N173" s="37">
        <v>9.2100000000000009</v>
      </c>
      <c r="O173" s="37">
        <v>9.2100000000000009</v>
      </c>
      <c r="P173" s="37">
        <v>9.2100000000000009</v>
      </c>
      <c r="Q173" s="37">
        <v>9.2100000000000009</v>
      </c>
      <c r="R173" s="37">
        <v>9.2100000000000009</v>
      </c>
      <c r="S173" s="37">
        <v>9.2100000000000009</v>
      </c>
      <c r="T173" s="37">
        <v>9.2100000000000009</v>
      </c>
      <c r="U173" s="37">
        <v>9.2100000000000009</v>
      </c>
      <c r="V173" s="37">
        <v>9.2100000000000009</v>
      </c>
      <c r="W173" s="37">
        <v>9.2100000000000009</v>
      </c>
      <c r="X173" s="37">
        <v>9.2100000000000009</v>
      </c>
      <c r="Y173" s="37">
        <v>9.2100000000000009</v>
      </c>
      <c r="Z173" s="37">
        <v>9.2100000000000009</v>
      </c>
      <c r="AA173" s="37">
        <v>9.2100000000000009</v>
      </c>
      <c r="AB173" s="37">
        <v>9.2100000000000009</v>
      </c>
      <c r="AC173" s="37">
        <v>9.2100000000000009</v>
      </c>
      <c r="AD173" s="37">
        <v>9.2100000000000009</v>
      </c>
      <c r="AE173" s="37">
        <v>9.2100000000000009</v>
      </c>
      <c r="AF173" s="37">
        <v>9.2100000000000009</v>
      </c>
      <c r="AG173" s="37">
        <v>9.2100000000000009</v>
      </c>
      <c r="AH173" s="37">
        <v>9.2100000000000009</v>
      </c>
      <c r="AI173" s="37">
        <v>9.2100000000000009</v>
      </c>
      <c r="AJ173" s="37">
        <v>9.2100000000000009</v>
      </c>
      <c r="AK173" s="37">
        <v>9.2100000000000009</v>
      </c>
      <c r="AL173" s="37">
        <v>9.2100000000000009</v>
      </c>
      <c r="AM173" s="37">
        <v>9.2100000000000009</v>
      </c>
      <c r="AN173" s="37">
        <v>9.2100000000000009</v>
      </c>
      <c r="AO173" s="37">
        <v>9.2100000000000009</v>
      </c>
      <c r="AP173" s="37">
        <v>9.2100000000000009</v>
      </c>
      <c r="AQ173" s="37">
        <v>9.2100000000000009</v>
      </c>
      <c r="AR173" s="37">
        <v>9.2100000000000009</v>
      </c>
      <c r="AS173" s="37">
        <v>9.2100000000000009</v>
      </c>
      <c r="AT173" s="37">
        <v>9.2100000000000009</v>
      </c>
      <c r="AU173" s="37">
        <v>9.2100000000000009</v>
      </c>
      <c r="AV173" s="37">
        <v>9.2100000000000009</v>
      </c>
      <c r="AW173" s="37">
        <v>9.2100000000000009</v>
      </c>
      <c r="AX173" s="37">
        <v>9.2100000000000009</v>
      </c>
      <c r="AY173" s="37">
        <v>9.2100000000000009</v>
      </c>
      <c r="AZ173" s="37">
        <v>9.2100000000000009</v>
      </c>
      <c r="BA173" s="37">
        <v>9.2100000000000009</v>
      </c>
      <c r="BB173" s="37">
        <v>9.2100000000000009</v>
      </c>
      <c r="BC173" s="37">
        <v>9.2100000000000009</v>
      </c>
      <c r="BD173" s="37">
        <v>9.2100000000000009</v>
      </c>
      <c r="BE173" s="37">
        <v>9.2100000000000009</v>
      </c>
      <c r="BF173" s="37">
        <v>9.2100000000000009</v>
      </c>
      <c r="BG173" s="37">
        <v>9.2100000000000009</v>
      </c>
      <c r="BH173" s="37">
        <v>9.2100000000000009</v>
      </c>
      <c r="BI173" s="37">
        <v>9.2100000000000009</v>
      </c>
      <c r="BJ173" s="37">
        <v>9.2100000000000009</v>
      </c>
      <c r="BK173" s="37">
        <v>9.2100000000000009</v>
      </c>
      <c r="BL173" s="37">
        <v>9.2100000000000009</v>
      </c>
      <c r="BM173" s="37">
        <v>9.2100000000000009</v>
      </c>
      <c r="BN173" s="37">
        <v>9.2100000000000009</v>
      </c>
      <c r="BO173" s="37">
        <v>9.2100000000000009</v>
      </c>
      <c r="BP173" s="37">
        <v>9.2100000000000009</v>
      </c>
      <c r="BQ173" s="37">
        <v>9.2100000000000009</v>
      </c>
      <c r="BR173" s="37">
        <v>9.2100000000000009</v>
      </c>
      <c r="BS173" s="37">
        <v>9.2100000000000009</v>
      </c>
      <c r="BT173" s="37">
        <v>9.2100000000000009</v>
      </c>
      <c r="BU173" s="37">
        <v>9.2100000000000009</v>
      </c>
      <c r="BV173" s="37">
        <v>9.2100000000000009</v>
      </c>
      <c r="BW173" s="37">
        <v>9.2100000000000009</v>
      </c>
      <c r="BX173" s="37">
        <v>9.2100000000000009</v>
      </c>
      <c r="BY173" s="37">
        <v>9.2100000000000009</v>
      </c>
      <c r="BZ173" s="37">
        <v>9.2100000000000009</v>
      </c>
      <c r="CA173" s="37">
        <v>9.2100000000000009</v>
      </c>
      <c r="CB173" s="37">
        <v>9.2100000000000009</v>
      </c>
      <c r="CC173" s="37">
        <v>9.2100000000000009</v>
      </c>
      <c r="CD173" s="37">
        <v>9.2100000000000009</v>
      </c>
      <c r="CE173" s="37">
        <v>9.2100000000000009</v>
      </c>
      <c r="CF173" s="37">
        <v>9.2100000000000009</v>
      </c>
      <c r="CG173" s="37">
        <v>9.2100000000000009</v>
      </c>
      <c r="CH173" s="37">
        <v>9.2100000000000009</v>
      </c>
      <c r="CI173" s="37">
        <v>9.2100000000000009</v>
      </c>
      <c r="CJ173" s="37">
        <v>9.2100000000000009</v>
      </c>
      <c r="CK173" s="37">
        <v>9.2100000000000009</v>
      </c>
      <c r="CL173" s="37">
        <v>9.2100000000000009</v>
      </c>
      <c r="CM173" s="37">
        <v>9.2100000000000009</v>
      </c>
      <c r="CN173" s="37">
        <v>9.2100000000000009</v>
      </c>
      <c r="CO173" s="37">
        <v>9.2100000000000009</v>
      </c>
      <c r="CP173" s="37">
        <v>9.2100000000000009</v>
      </c>
      <c r="CQ173" s="37">
        <v>9.2100000000000009</v>
      </c>
      <c r="CR173" s="37">
        <v>9.2100000000000009</v>
      </c>
      <c r="CS173" s="37">
        <v>9.2100000000000009</v>
      </c>
      <c r="CT173" s="37">
        <v>9.2100000000000009</v>
      </c>
      <c r="CU173" s="37">
        <v>9.2100000000000009</v>
      </c>
      <c r="CV173" s="37">
        <v>9.2100000000000009</v>
      </c>
      <c r="CW173" s="37">
        <v>9.2100000000000009</v>
      </c>
      <c r="CX173" s="37">
        <v>9.2100000000000009</v>
      </c>
      <c r="CY173" s="37">
        <v>9.2100000000000009</v>
      </c>
      <c r="CZ173" s="37">
        <v>9.2100000000000009</v>
      </c>
      <c r="DA173" s="37">
        <v>9.2100000000000009</v>
      </c>
      <c r="DB173" s="37">
        <v>9.2100000000000009</v>
      </c>
      <c r="DC173" s="37">
        <v>9.2100000000000009</v>
      </c>
      <c r="DD173" s="37">
        <v>9.2100000000000009</v>
      </c>
      <c r="DE173" s="37">
        <v>9.2100000000000009</v>
      </c>
      <c r="DF173" s="37">
        <v>9.2100000000000009</v>
      </c>
      <c r="DG173" s="37">
        <v>9.2100000000000009</v>
      </c>
      <c r="DH173" s="37">
        <v>9.2100000000000009</v>
      </c>
      <c r="DI173" s="37">
        <v>9.2100000000000009</v>
      </c>
      <c r="DJ173" s="37">
        <v>9.2100000000000009</v>
      </c>
      <c r="DK173" s="37">
        <v>9.2100000000000009</v>
      </c>
      <c r="DL173" s="37">
        <v>9.2100000000000009</v>
      </c>
      <c r="DM173" s="37">
        <v>9.2100000000000009</v>
      </c>
      <c r="DN173" s="37">
        <v>9.2100000000000009</v>
      </c>
      <c r="DO173" s="37">
        <v>9.2100000000000009</v>
      </c>
      <c r="DP173" s="37">
        <v>9.2100000000000009</v>
      </c>
      <c r="DQ173" s="37">
        <v>9.2100000000000009</v>
      </c>
      <c r="DR173" s="37">
        <v>9.2100000000000009</v>
      </c>
      <c r="DS173" s="37">
        <v>9.2100000000000009</v>
      </c>
      <c r="DT173" s="37">
        <v>9.2100000000000009</v>
      </c>
      <c r="DU173" s="37">
        <v>9.2100000000000009</v>
      </c>
      <c r="DV173" s="37">
        <v>9.2100000000000009</v>
      </c>
      <c r="DW173" s="37">
        <v>9.2100000000000009</v>
      </c>
      <c r="DX173" s="37">
        <v>9.2100000000000009</v>
      </c>
      <c r="DY173" s="37">
        <v>9.2100000000000009</v>
      </c>
      <c r="DZ173" s="37">
        <v>9.2100000000000009</v>
      </c>
      <c r="EA173" s="37">
        <v>9.2100000000000009</v>
      </c>
      <c r="EB173" s="37">
        <v>9.2100000000000009</v>
      </c>
      <c r="EC173" s="37">
        <v>9.2100000000000009</v>
      </c>
      <c r="ED173" s="37">
        <v>9.2100000000000009</v>
      </c>
      <c r="EE173" s="37">
        <v>9.2100000000000009</v>
      </c>
      <c r="EF173" s="37">
        <v>9.2100000000000009</v>
      </c>
      <c r="EG173" s="37">
        <v>9.2100000000000009</v>
      </c>
      <c r="EH173" s="37">
        <v>9.2100000000000009</v>
      </c>
      <c r="EI173" s="37">
        <v>9.2100000000000009</v>
      </c>
      <c r="EJ173" s="37">
        <v>9.2100000000000009</v>
      </c>
      <c r="EK173" s="37">
        <v>9.2100000000000009</v>
      </c>
      <c r="EL173" s="37">
        <v>9.2100000000000009</v>
      </c>
      <c r="EM173" s="37">
        <v>9.2100000000000009</v>
      </c>
      <c r="EN173" s="37">
        <v>9.2100000000000009</v>
      </c>
      <c r="EO173" s="37">
        <v>9.2100000000000009</v>
      </c>
      <c r="EP173" s="37">
        <v>9.2100000000000009</v>
      </c>
      <c r="EQ173" s="37">
        <v>9.2100000000000009</v>
      </c>
      <c r="ER173" s="37">
        <v>9.2100000000000009</v>
      </c>
      <c r="ES173" s="37">
        <v>9.2100000000000009</v>
      </c>
      <c r="ET173" s="37">
        <v>9.2100000000000009</v>
      </c>
      <c r="EU173" s="37">
        <v>9.2100000000000009</v>
      </c>
      <c r="EV173" s="37">
        <v>9.2100000000000009</v>
      </c>
      <c r="EW173" s="37">
        <v>9.2100000000000009</v>
      </c>
      <c r="EX173" s="37">
        <v>9.2100000000000009</v>
      </c>
      <c r="EY173" s="37">
        <v>9.2100000000000009</v>
      </c>
      <c r="EZ173" s="37">
        <v>9.2100000000000009</v>
      </c>
      <c r="FA173" s="37">
        <v>9.2100000000000009</v>
      </c>
      <c r="FB173" s="37">
        <v>9.2100000000000009</v>
      </c>
      <c r="FC173" s="37">
        <v>9.2100000000000009</v>
      </c>
      <c r="FD173" s="37">
        <v>9.2100000000000009</v>
      </c>
      <c r="FE173" s="37">
        <v>9.2100000000000009</v>
      </c>
      <c r="FF173" s="37">
        <v>9.2100000000000009</v>
      </c>
      <c r="FG173" s="37">
        <v>9.2100000000000009</v>
      </c>
      <c r="FH173" s="37">
        <v>9.2100000000000009</v>
      </c>
      <c r="FI173" s="37">
        <v>9.2100000000000009</v>
      </c>
      <c r="FJ173" s="37">
        <v>9.2100000000000009</v>
      </c>
      <c r="FK173" s="37">
        <v>9.2100000000000009</v>
      </c>
      <c r="FL173" s="37">
        <v>9.2100000000000009</v>
      </c>
      <c r="FM173" s="37">
        <v>9.2100000000000009</v>
      </c>
      <c r="FN173" s="37">
        <v>9.2100000000000009</v>
      </c>
      <c r="FO173" s="37">
        <v>9.2100000000000009</v>
      </c>
      <c r="FP173" s="37">
        <v>9.2100000000000009</v>
      </c>
      <c r="FQ173" s="37">
        <v>9.2100000000000009</v>
      </c>
      <c r="FR173" s="37">
        <v>9.2100000000000009</v>
      </c>
      <c r="FS173" s="37">
        <v>9.2100000000000009</v>
      </c>
      <c r="FT173" s="37">
        <v>9.2100000000000009</v>
      </c>
      <c r="FU173" s="37">
        <v>9.2100000000000009</v>
      </c>
      <c r="FV173" s="37">
        <v>9.2100000000000009</v>
      </c>
      <c r="FW173" s="37">
        <v>9.2100000000000009</v>
      </c>
      <c r="FX173" s="37">
        <v>9.2100000000000009</v>
      </c>
      <c r="FY173" s="37">
        <v>9.2100000000000009</v>
      </c>
      <c r="FZ173" s="37">
        <v>9.2100000000000009</v>
      </c>
      <c r="GA173" s="37">
        <v>9.2100000000000009</v>
      </c>
      <c r="GB173" s="37">
        <v>9.2100000000000009</v>
      </c>
      <c r="GC173" s="37">
        <v>9.2100000000000009</v>
      </c>
      <c r="GD173" s="37">
        <v>9.2100000000000009</v>
      </c>
      <c r="GE173" s="37">
        <v>9.2100000000000009</v>
      </c>
      <c r="GF173" s="37">
        <v>9.2100000000000009</v>
      </c>
      <c r="GG173" s="37">
        <v>9.2100000000000009</v>
      </c>
      <c r="GH173" s="37">
        <v>9.2100000000000009</v>
      </c>
      <c r="GI173" s="37">
        <v>9.2100000000000009</v>
      </c>
      <c r="GJ173" s="37">
        <v>9.2100000000000009</v>
      </c>
      <c r="GK173" s="37">
        <v>9.2100000000000009</v>
      </c>
      <c r="GL173" s="37">
        <v>9.2100000000000009</v>
      </c>
      <c r="GM173" s="37">
        <v>9.2100000000000009</v>
      </c>
      <c r="GN173" s="37">
        <v>9.2100000000000009</v>
      </c>
      <c r="GO173" s="37">
        <v>9.2100000000000009</v>
      </c>
      <c r="GP173" s="37">
        <v>9.2100000000000009</v>
      </c>
      <c r="GQ173" s="37">
        <v>9.2100000000000009</v>
      </c>
      <c r="GR173" s="37">
        <v>9.2100000000000009</v>
      </c>
      <c r="GS173" s="37">
        <v>9.2100000000000009</v>
      </c>
      <c r="GT173" s="37">
        <v>9.2100000000000009</v>
      </c>
      <c r="GU173" s="37">
        <v>9.2100000000000009</v>
      </c>
      <c r="GV173" s="37">
        <v>9.2100000000000009</v>
      </c>
      <c r="GW173" s="37">
        <v>9.2100000000000009</v>
      </c>
      <c r="GX173" s="37">
        <v>9.2100000000000009</v>
      </c>
      <c r="GY173" s="37">
        <v>9.2100000000000009</v>
      </c>
      <c r="GZ173" s="37">
        <v>9.2100000000000009</v>
      </c>
      <c r="HA173" s="37">
        <v>9.2100000000000009</v>
      </c>
      <c r="HB173" s="37">
        <v>9.2100000000000009</v>
      </c>
      <c r="HC173" s="37">
        <v>9.2100000000000009</v>
      </c>
      <c r="HD173" s="37">
        <v>9.2100000000000009</v>
      </c>
      <c r="HE173" s="37">
        <v>9.2100000000000009</v>
      </c>
      <c r="HF173" s="37">
        <v>9.2100000000000009</v>
      </c>
      <c r="HG173" s="37">
        <v>9.2100000000000009</v>
      </c>
      <c r="HH173" s="37">
        <v>9.2100000000000009</v>
      </c>
      <c r="HI173" s="37">
        <v>9.2100000000000009</v>
      </c>
      <c r="HJ173" s="37">
        <v>9.2100000000000009</v>
      </c>
      <c r="HK173" s="37">
        <v>9.2100000000000009</v>
      </c>
      <c r="HL173" s="37">
        <v>9.2100000000000009</v>
      </c>
      <c r="HM173" s="37">
        <v>9.2100000000000009</v>
      </c>
      <c r="HN173" s="37">
        <v>9.2100000000000009</v>
      </c>
      <c r="HO173" s="37">
        <v>9.2100000000000009</v>
      </c>
      <c r="HP173" s="37">
        <v>9.2100000000000009</v>
      </c>
      <c r="HQ173" s="37">
        <v>9.2100000000000009</v>
      </c>
      <c r="HR173" s="37">
        <v>9.2100000000000009</v>
      </c>
      <c r="HS173" s="37">
        <v>9.2100000000000009</v>
      </c>
      <c r="HT173" s="37">
        <v>9.2100000000000009</v>
      </c>
      <c r="HU173" s="37">
        <v>9.2100000000000009</v>
      </c>
      <c r="HV173" s="37">
        <v>9.2100000000000009</v>
      </c>
      <c r="HW173" s="37">
        <v>9.2100000000000009</v>
      </c>
      <c r="HX173" s="37">
        <v>9.2100000000000009</v>
      </c>
      <c r="HY173" s="37">
        <v>9.2100000000000009</v>
      </c>
      <c r="HZ173" s="37">
        <v>9.2100000000000009</v>
      </c>
      <c r="IA173" s="37">
        <v>9.2100000000000009</v>
      </c>
      <c r="IB173" s="37">
        <v>9.2100000000000009</v>
      </c>
      <c r="IC173" s="37">
        <v>9.2100000000000009</v>
      </c>
      <c r="ID173" s="37">
        <v>9.2100000000000009</v>
      </c>
      <c r="IE173" s="37">
        <v>9.2100000000000009</v>
      </c>
      <c r="IF173" s="37">
        <v>9.2100000000000009</v>
      </c>
      <c r="IG173" s="37">
        <v>9.2100000000000009</v>
      </c>
      <c r="IH173" s="37">
        <v>9.2100000000000009</v>
      </c>
      <c r="II173" s="37">
        <v>9.2100000000000009</v>
      </c>
      <c r="IJ173" s="37">
        <v>9.2100000000000009</v>
      </c>
      <c r="IK173" s="37">
        <v>9.2100000000000009</v>
      </c>
      <c r="IL173" s="37">
        <v>9.2100000000000009</v>
      </c>
      <c r="IM173" s="37">
        <v>9.2100000000000009</v>
      </c>
      <c r="IN173" s="37">
        <v>9.2100000000000009</v>
      </c>
      <c r="IO173" s="37">
        <v>9.2100000000000009</v>
      </c>
      <c r="IP173" s="37">
        <v>9.2100000000000009</v>
      </c>
      <c r="IQ173" s="37">
        <v>9.2100000000000009</v>
      </c>
      <c r="IR173" s="37">
        <v>9.2100000000000009</v>
      </c>
      <c r="IS173" s="37">
        <v>9.2100000000000009</v>
      </c>
      <c r="IT173" s="37">
        <v>9.2100000000000009</v>
      </c>
      <c r="IU173" s="37">
        <v>9.2100000000000009</v>
      </c>
      <c r="IV173" s="37">
        <v>9.2100000000000009</v>
      </c>
      <c r="IW173" s="37">
        <v>9.2100000000000009</v>
      </c>
      <c r="IX173" s="37">
        <v>9.2100000000000009</v>
      </c>
      <c r="IY173" s="37">
        <v>9.2100000000000009</v>
      </c>
      <c r="IZ173" s="37">
        <v>9.2100000000000009</v>
      </c>
      <c r="JA173" s="37">
        <v>9.2100000000000009</v>
      </c>
      <c r="JB173" s="37">
        <v>9.2100000000000009</v>
      </c>
      <c r="JC173" s="37">
        <v>9.2100000000000009</v>
      </c>
      <c r="JD173" s="37">
        <v>9.2100000000000009</v>
      </c>
      <c r="JE173" s="37">
        <v>9.2100000000000009</v>
      </c>
      <c r="JF173" s="37">
        <v>9.2100000000000009</v>
      </c>
      <c r="JG173" s="37">
        <v>9.2100000000000009</v>
      </c>
      <c r="JH173" s="37">
        <v>9.2100000000000009</v>
      </c>
      <c r="JI173" s="37">
        <v>9.2100000000000009</v>
      </c>
      <c r="JJ173" s="37">
        <v>9.2100000000000009</v>
      </c>
      <c r="JK173" s="37">
        <v>9.2100000000000009</v>
      </c>
      <c r="JL173" s="37">
        <v>9.2100000000000009</v>
      </c>
      <c r="JM173" s="37">
        <v>9.2100000000000009</v>
      </c>
      <c r="JN173" s="37">
        <v>9.2100000000000009</v>
      </c>
      <c r="JO173" s="37">
        <v>9.2100000000000009</v>
      </c>
      <c r="JP173" s="37">
        <v>9.2100000000000009</v>
      </c>
      <c r="JQ173" s="37">
        <v>9.2100000000000009</v>
      </c>
      <c r="JR173" s="37">
        <v>9.2100000000000009</v>
      </c>
      <c r="JS173" s="37">
        <v>9.2100000000000009</v>
      </c>
      <c r="JT173" s="37">
        <v>9.2100000000000009</v>
      </c>
      <c r="JU173" s="37">
        <v>9.2100000000000009</v>
      </c>
      <c r="JV173" s="37">
        <v>9.2100000000000009</v>
      </c>
      <c r="JW173" s="37">
        <v>9.2100000000000009</v>
      </c>
      <c r="JX173" s="37">
        <v>9.2100000000000009</v>
      </c>
      <c r="JY173" s="37">
        <v>9.2100000000000009</v>
      </c>
      <c r="JZ173" s="37">
        <v>9.2100000000000009</v>
      </c>
      <c r="KA173" s="37">
        <v>9.2100000000000009</v>
      </c>
      <c r="KB173" s="37">
        <v>9.2100000000000009</v>
      </c>
      <c r="KC173" s="37">
        <v>9.2100000000000009</v>
      </c>
      <c r="KD173" s="37">
        <v>9.2100000000000009</v>
      </c>
      <c r="KE173" s="37">
        <v>9.2100000000000009</v>
      </c>
      <c r="KF173" s="37">
        <v>9.2100000000000009</v>
      </c>
      <c r="KG173" s="37">
        <v>9.2100000000000009</v>
      </c>
      <c r="KH173" s="37">
        <v>9.2100000000000009</v>
      </c>
      <c r="KI173" s="37">
        <v>9.2100000000000009</v>
      </c>
      <c r="KJ173" s="37">
        <v>9.2100000000000009</v>
      </c>
      <c r="KK173" s="37">
        <v>9.2100000000000009</v>
      </c>
      <c r="KL173" s="37">
        <v>9.2100000000000009</v>
      </c>
      <c r="KM173" s="37">
        <v>9.2100000000000009</v>
      </c>
      <c r="KN173" s="37">
        <v>9.2100000000000009</v>
      </c>
      <c r="KO173" s="37">
        <v>9.2100000000000009</v>
      </c>
      <c r="KP173" s="37">
        <v>9.2100000000000009</v>
      </c>
      <c r="KQ173" s="37">
        <v>9.2100000000000009</v>
      </c>
      <c r="KR173" s="37">
        <v>9.2100000000000009</v>
      </c>
      <c r="KS173" s="37">
        <v>9.2100000000000009</v>
      </c>
      <c r="KT173" s="37">
        <v>9.2100000000000009</v>
      </c>
      <c r="KU173" s="37">
        <v>9.2100000000000009</v>
      </c>
      <c r="KV173" s="37">
        <v>9.2100000000000009</v>
      </c>
      <c r="KW173" s="37">
        <v>9.2100000000000009</v>
      </c>
      <c r="KX173" s="37">
        <v>9.2100000000000009</v>
      </c>
      <c r="KY173" s="37">
        <v>9.2100000000000009</v>
      </c>
      <c r="KZ173" s="37">
        <v>9.2100000000000009</v>
      </c>
      <c r="LA173" s="37">
        <v>9.2100000000000009</v>
      </c>
      <c r="LB173" s="37">
        <v>9.2100000000000009</v>
      </c>
      <c r="LC173" s="37">
        <v>9.2100000000000009</v>
      </c>
      <c r="LD173" s="37">
        <v>9.2100000000000009</v>
      </c>
      <c r="LE173" s="37">
        <v>9.2100000000000009</v>
      </c>
      <c r="LF173" s="37">
        <v>9.2100000000000009</v>
      </c>
      <c r="LG173" s="37">
        <v>9.2100000000000009</v>
      </c>
      <c r="LH173" s="37">
        <v>9.2100000000000009</v>
      </c>
      <c r="LI173" s="37">
        <v>9.2100000000000009</v>
      </c>
      <c r="LJ173" s="37">
        <v>9.2100000000000009</v>
      </c>
      <c r="LK173" s="37">
        <v>9.2100000000000009</v>
      </c>
      <c r="LL173" s="37">
        <v>9.2100000000000009</v>
      </c>
      <c r="LM173" s="37">
        <v>9.2100000000000009</v>
      </c>
      <c r="LN173" s="37">
        <v>9.2100000000000009</v>
      </c>
      <c r="LO173" s="37">
        <v>9.2100000000000009</v>
      </c>
      <c r="LP173" s="37">
        <v>9.2100000000000009</v>
      </c>
      <c r="LQ173" s="37">
        <v>9.2100000000000009</v>
      </c>
      <c r="LR173" s="37">
        <v>9.2100000000000009</v>
      </c>
      <c r="LS173" s="37">
        <v>9.2100000000000009</v>
      </c>
      <c r="LT173" s="37">
        <v>9.2100000000000009</v>
      </c>
      <c r="LU173" s="37">
        <v>9.2100000000000009</v>
      </c>
      <c r="LV173" s="37">
        <v>9.2100000000000009</v>
      </c>
      <c r="LW173" s="37">
        <v>9.2100000000000009</v>
      </c>
      <c r="LX173" s="37">
        <v>9.2100000000000009</v>
      </c>
      <c r="LY173" s="37">
        <v>9.2100000000000009</v>
      </c>
      <c r="LZ173" s="37">
        <v>9.2100000000000009</v>
      </c>
      <c r="MA173" s="37">
        <v>9.2100000000000009</v>
      </c>
      <c r="MB173" s="37">
        <v>9.2100000000000009</v>
      </c>
      <c r="MC173" s="37">
        <v>9.2100000000000009</v>
      </c>
      <c r="MD173" s="37">
        <v>9.2100000000000009</v>
      </c>
      <c r="ME173" s="37">
        <v>9.2100000000000009</v>
      </c>
      <c r="MF173" s="37">
        <v>9.2100000000000009</v>
      </c>
      <c r="MG173" s="37">
        <v>9.2100000000000009</v>
      </c>
      <c r="MH173" s="37">
        <v>9.2100000000000009</v>
      </c>
      <c r="MI173" s="37">
        <v>9.2100000000000009</v>
      </c>
      <c r="MJ173" s="37">
        <v>9.2100000000000009</v>
      </c>
      <c r="MK173" s="37">
        <v>9.2100000000000009</v>
      </c>
      <c r="ML173" s="37">
        <v>9.2100000000000009</v>
      </c>
      <c r="MM173" s="37">
        <v>9.2100000000000009</v>
      </c>
      <c r="MN173" s="37">
        <v>9.2100000000000009</v>
      </c>
      <c r="MO173" s="37">
        <v>9.2100000000000009</v>
      </c>
      <c r="MP173" s="37">
        <v>9.2100000000000009</v>
      </c>
      <c r="MQ173" s="37">
        <v>9.2100000000000009</v>
      </c>
      <c r="MR173" s="37">
        <v>9.2100000000000009</v>
      </c>
      <c r="MS173" s="37">
        <v>9.2100000000000009</v>
      </c>
      <c r="MT173" s="37">
        <v>9.2100000000000009</v>
      </c>
      <c r="MU173" s="37">
        <v>9.2100000000000009</v>
      </c>
      <c r="MV173" s="37">
        <v>9.2100000000000009</v>
      </c>
      <c r="MW173" s="37">
        <v>9.2100000000000009</v>
      </c>
      <c r="MX173" s="37">
        <v>9.2100000000000009</v>
      </c>
      <c r="MY173" s="37">
        <v>9.2100000000000009</v>
      </c>
      <c r="MZ173" s="37">
        <v>9.2100000000000009</v>
      </c>
      <c r="NA173" s="37">
        <v>9.2100000000000009</v>
      </c>
      <c r="NB173" s="37">
        <v>9.2100000000000009</v>
      </c>
      <c r="NC173" s="37">
        <v>9.2100000000000009</v>
      </c>
      <c r="ND173" s="37">
        <v>9.77</v>
      </c>
    </row>
    <row r="174" spans="1:372" x14ac:dyDescent="0.2">
      <c r="A174" s="37">
        <v>172</v>
      </c>
      <c r="B174" s="37" t="s">
        <v>1314</v>
      </c>
      <c r="C174" s="17">
        <f>+'Detalle Compras'!D174</f>
        <v>20240131056</v>
      </c>
      <c r="D174" s="55">
        <f t="shared" si="19"/>
        <v>9.67</v>
      </c>
      <c r="E174" s="14">
        <f>+IF(B174="","",'Detalle Compras'!S174+0)</f>
        <v>45514</v>
      </c>
      <c r="F174" s="14">
        <f>+IF(B174="","",EOMONTH('Detalle Compras'!Q174,G174)+10)</f>
        <v>10481</v>
      </c>
      <c r="G174" s="50">
        <f t="shared" si="20"/>
        <v>343</v>
      </c>
      <c r="H174" s="50">
        <f t="shared" si="21"/>
        <v>337</v>
      </c>
      <c r="I174" s="37">
        <v>0</v>
      </c>
      <c r="J174" s="37">
        <v>0</v>
      </c>
      <c r="K174" s="37">
        <v>0</v>
      </c>
      <c r="L174" s="37">
        <v>0</v>
      </c>
      <c r="M174" s="37">
        <v>0</v>
      </c>
      <c r="N174" s="37">
        <v>9.67</v>
      </c>
      <c r="O174" s="37">
        <v>9.67</v>
      </c>
      <c r="P174" s="37">
        <v>9.67</v>
      </c>
      <c r="Q174" s="37">
        <v>9.67</v>
      </c>
      <c r="R174" s="37">
        <v>9.67</v>
      </c>
      <c r="S174" s="37">
        <v>9.67</v>
      </c>
      <c r="T174" s="37">
        <v>9.67</v>
      </c>
      <c r="U174" s="37">
        <v>9.67</v>
      </c>
      <c r="V174" s="37">
        <v>9.67</v>
      </c>
      <c r="W174" s="37">
        <v>9.67</v>
      </c>
      <c r="X174" s="37">
        <v>9.67</v>
      </c>
      <c r="Y174" s="37">
        <v>9.67</v>
      </c>
      <c r="Z174" s="37">
        <v>9.67</v>
      </c>
      <c r="AA174" s="37">
        <v>9.67</v>
      </c>
      <c r="AB174" s="37">
        <v>9.67</v>
      </c>
      <c r="AC174" s="37">
        <v>9.67</v>
      </c>
      <c r="AD174" s="37">
        <v>9.67</v>
      </c>
      <c r="AE174" s="37">
        <v>9.67</v>
      </c>
      <c r="AF174" s="37">
        <v>9.67</v>
      </c>
      <c r="AG174" s="37">
        <v>9.67</v>
      </c>
      <c r="AH174" s="37">
        <v>9.67</v>
      </c>
      <c r="AI174" s="37">
        <v>9.67</v>
      </c>
      <c r="AJ174" s="37">
        <v>9.67</v>
      </c>
      <c r="AK174" s="37">
        <v>9.67</v>
      </c>
      <c r="AL174" s="37">
        <v>9.67</v>
      </c>
      <c r="AM174" s="37">
        <v>9.67</v>
      </c>
      <c r="AN174" s="37">
        <v>9.67</v>
      </c>
      <c r="AO174" s="37">
        <v>9.67</v>
      </c>
      <c r="AP174" s="37">
        <v>9.67</v>
      </c>
      <c r="AQ174" s="37">
        <v>9.67</v>
      </c>
      <c r="AR174" s="37">
        <v>9.67</v>
      </c>
      <c r="AS174" s="37">
        <v>9.67</v>
      </c>
      <c r="AT174" s="37">
        <v>9.67</v>
      </c>
      <c r="AU174" s="37">
        <v>9.67</v>
      </c>
      <c r="AV174" s="37">
        <v>9.67</v>
      </c>
      <c r="AW174" s="37">
        <v>9.67</v>
      </c>
      <c r="AX174" s="37">
        <v>9.67</v>
      </c>
      <c r="AY174" s="37">
        <v>9.67</v>
      </c>
      <c r="AZ174" s="37">
        <v>9.67</v>
      </c>
      <c r="BA174" s="37">
        <v>9.67</v>
      </c>
      <c r="BB174" s="37">
        <v>9.67</v>
      </c>
      <c r="BC174" s="37">
        <v>9.67</v>
      </c>
      <c r="BD174" s="37">
        <v>9.67</v>
      </c>
      <c r="BE174" s="37">
        <v>9.67</v>
      </c>
      <c r="BF174" s="37">
        <v>9.67</v>
      </c>
      <c r="BG174" s="37">
        <v>9.67</v>
      </c>
      <c r="BH174" s="37">
        <v>9.67</v>
      </c>
      <c r="BI174" s="37">
        <v>9.67</v>
      </c>
      <c r="BJ174" s="37">
        <v>9.67</v>
      </c>
      <c r="BK174" s="37">
        <v>9.67</v>
      </c>
      <c r="BL174" s="37">
        <v>9.67</v>
      </c>
      <c r="BM174" s="37">
        <v>9.67</v>
      </c>
      <c r="BN174" s="37">
        <v>9.67</v>
      </c>
      <c r="BO174" s="37">
        <v>9.67</v>
      </c>
      <c r="BP174" s="37">
        <v>9.67</v>
      </c>
      <c r="BQ174" s="37">
        <v>9.67</v>
      </c>
      <c r="BR174" s="37">
        <v>9.67</v>
      </c>
      <c r="BS174" s="37">
        <v>9.67</v>
      </c>
      <c r="BT174" s="37">
        <v>9.67</v>
      </c>
      <c r="BU174" s="37">
        <v>9.67</v>
      </c>
      <c r="BV174" s="37">
        <v>9.67</v>
      </c>
      <c r="BW174" s="37">
        <v>9.67</v>
      </c>
      <c r="BX174" s="37">
        <v>9.67</v>
      </c>
      <c r="BY174" s="37">
        <v>9.67</v>
      </c>
      <c r="BZ174" s="37">
        <v>9.67</v>
      </c>
      <c r="CA174" s="37">
        <v>9.67</v>
      </c>
      <c r="CB174" s="37">
        <v>9.67</v>
      </c>
      <c r="CC174" s="37">
        <v>9.67</v>
      </c>
      <c r="CD174" s="37">
        <v>9.67</v>
      </c>
      <c r="CE174" s="37">
        <v>9.67</v>
      </c>
      <c r="CF174" s="37">
        <v>9.67</v>
      </c>
      <c r="CG174" s="37">
        <v>9.67</v>
      </c>
      <c r="CH174" s="37">
        <v>9.67</v>
      </c>
      <c r="CI174" s="37">
        <v>9.67</v>
      </c>
      <c r="CJ174" s="37">
        <v>9.67</v>
      </c>
      <c r="CK174" s="37">
        <v>9.67</v>
      </c>
      <c r="CL174" s="37">
        <v>9.67</v>
      </c>
      <c r="CM174" s="37">
        <v>9.67</v>
      </c>
      <c r="CN174" s="37">
        <v>9.67</v>
      </c>
      <c r="CO174" s="37">
        <v>9.67</v>
      </c>
      <c r="CP174" s="37">
        <v>9.67</v>
      </c>
      <c r="CQ174" s="37">
        <v>9.67</v>
      </c>
      <c r="CR174" s="37">
        <v>9.67</v>
      </c>
      <c r="CS174" s="37">
        <v>9.67</v>
      </c>
      <c r="CT174" s="37">
        <v>9.67</v>
      </c>
      <c r="CU174" s="37">
        <v>9.67</v>
      </c>
      <c r="CV174" s="37">
        <v>9.67</v>
      </c>
      <c r="CW174" s="37">
        <v>9.67</v>
      </c>
      <c r="CX174" s="37">
        <v>9.67</v>
      </c>
      <c r="CY174" s="37">
        <v>9.67</v>
      </c>
      <c r="CZ174" s="37">
        <v>9.67</v>
      </c>
      <c r="DA174" s="37">
        <v>9.67</v>
      </c>
      <c r="DB174" s="37">
        <v>9.67</v>
      </c>
      <c r="DC174" s="37">
        <v>9.67</v>
      </c>
      <c r="DD174" s="37">
        <v>9.67</v>
      </c>
      <c r="DE174" s="37">
        <v>9.67</v>
      </c>
      <c r="DF174" s="37">
        <v>9.67</v>
      </c>
      <c r="DG174" s="37">
        <v>9.67</v>
      </c>
      <c r="DH174" s="37">
        <v>9.67</v>
      </c>
      <c r="DI174" s="37">
        <v>9.67</v>
      </c>
      <c r="DJ174" s="37">
        <v>9.67</v>
      </c>
      <c r="DK174" s="37">
        <v>9.67</v>
      </c>
      <c r="DL174" s="37">
        <v>9.67</v>
      </c>
      <c r="DM174" s="37">
        <v>9.67</v>
      </c>
      <c r="DN174" s="37">
        <v>9.67</v>
      </c>
      <c r="DO174" s="37">
        <v>9.67</v>
      </c>
      <c r="DP174" s="37">
        <v>9.67</v>
      </c>
      <c r="DQ174" s="37">
        <v>9.67</v>
      </c>
      <c r="DR174" s="37">
        <v>9.67</v>
      </c>
      <c r="DS174" s="37">
        <v>9.67</v>
      </c>
      <c r="DT174" s="37">
        <v>9.67</v>
      </c>
      <c r="DU174" s="37">
        <v>9.67</v>
      </c>
      <c r="DV174" s="37">
        <v>9.67</v>
      </c>
      <c r="DW174" s="37">
        <v>9.67</v>
      </c>
      <c r="DX174" s="37">
        <v>9.67</v>
      </c>
      <c r="DY174" s="37">
        <v>9.67</v>
      </c>
      <c r="DZ174" s="37">
        <v>9.67</v>
      </c>
      <c r="EA174" s="37">
        <v>9.67</v>
      </c>
      <c r="EB174" s="37">
        <v>9.67</v>
      </c>
      <c r="EC174" s="37">
        <v>9.67</v>
      </c>
      <c r="ED174" s="37">
        <v>9.67</v>
      </c>
      <c r="EE174" s="37">
        <v>9.67</v>
      </c>
      <c r="EF174" s="37">
        <v>9.67</v>
      </c>
      <c r="EG174" s="37">
        <v>9.67</v>
      </c>
      <c r="EH174" s="37">
        <v>9.67</v>
      </c>
      <c r="EI174" s="37">
        <v>9.67</v>
      </c>
      <c r="EJ174" s="37">
        <v>9.67</v>
      </c>
      <c r="EK174" s="37">
        <v>9.67</v>
      </c>
      <c r="EL174" s="37">
        <v>9.67</v>
      </c>
      <c r="EM174" s="37">
        <v>9.67</v>
      </c>
      <c r="EN174" s="37">
        <v>9.67</v>
      </c>
      <c r="EO174" s="37">
        <v>9.67</v>
      </c>
      <c r="EP174" s="37">
        <v>9.67</v>
      </c>
      <c r="EQ174" s="37">
        <v>9.67</v>
      </c>
      <c r="ER174" s="37">
        <v>9.67</v>
      </c>
      <c r="ES174" s="37">
        <v>9.67</v>
      </c>
      <c r="ET174" s="37">
        <v>9.67</v>
      </c>
      <c r="EU174" s="37">
        <v>9.67</v>
      </c>
      <c r="EV174" s="37">
        <v>9.67</v>
      </c>
      <c r="EW174" s="37">
        <v>9.67</v>
      </c>
      <c r="EX174" s="37">
        <v>9.67</v>
      </c>
      <c r="EY174" s="37">
        <v>9.67</v>
      </c>
      <c r="EZ174" s="37">
        <v>9.67</v>
      </c>
      <c r="FA174" s="37">
        <v>9.67</v>
      </c>
      <c r="FB174" s="37">
        <v>9.67</v>
      </c>
      <c r="FC174" s="37">
        <v>9.67</v>
      </c>
      <c r="FD174" s="37">
        <v>9.67</v>
      </c>
      <c r="FE174" s="37">
        <v>9.67</v>
      </c>
      <c r="FF174" s="37">
        <v>9.67</v>
      </c>
      <c r="FG174" s="37">
        <v>9.67</v>
      </c>
      <c r="FH174" s="37">
        <v>9.67</v>
      </c>
      <c r="FI174" s="37">
        <v>9.67</v>
      </c>
      <c r="FJ174" s="37">
        <v>9.67</v>
      </c>
      <c r="FK174" s="37">
        <v>9.67</v>
      </c>
      <c r="FL174" s="37">
        <v>9.67</v>
      </c>
      <c r="FM174" s="37">
        <v>9.67</v>
      </c>
      <c r="FN174" s="37">
        <v>9.67</v>
      </c>
      <c r="FO174" s="37">
        <v>9.67</v>
      </c>
      <c r="FP174" s="37">
        <v>9.67</v>
      </c>
      <c r="FQ174" s="37">
        <v>9.67</v>
      </c>
      <c r="FR174" s="37">
        <v>9.67</v>
      </c>
      <c r="FS174" s="37">
        <v>9.67</v>
      </c>
      <c r="FT174" s="37">
        <v>9.67</v>
      </c>
      <c r="FU174" s="37">
        <v>9.67</v>
      </c>
      <c r="FV174" s="37">
        <v>9.67</v>
      </c>
      <c r="FW174" s="37">
        <v>9.67</v>
      </c>
      <c r="FX174" s="37">
        <v>9.67</v>
      </c>
      <c r="FY174" s="37">
        <v>9.67</v>
      </c>
      <c r="FZ174" s="37">
        <v>9.67</v>
      </c>
      <c r="GA174" s="37">
        <v>9.67</v>
      </c>
      <c r="GB174" s="37">
        <v>9.67</v>
      </c>
      <c r="GC174" s="37">
        <v>9.67</v>
      </c>
      <c r="GD174" s="37">
        <v>9.67</v>
      </c>
      <c r="GE174" s="37">
        <v>9.67</v>
      </c>
      <c r="GF174" s="37">
        <v>9.67</v>
      </c>
      <c r="GG174" s="37">
        <v>9.67</v>
      </c>
      <c r="GH174" s="37">
        <v>9.67</v>
      </c>
      <c r="GI174" s="37">
        <v>9.67</v>
      </c>
      <c r="GJ174" s="37">
        <v>9.67</v>
      </c>
      <c r="GK174" s="37">
        <v>9.67</v>
      </c>
      <c r="GL174" s="37">
        <v>9.67</v>
      </c>
      <c r="GM174" s="37">
        <v>9.67</v>
      </c>
      <c r="GN174" s="37">
        <v>9.67</v>
      </c>
      <c r="GO174" s="37">
        <v>9.67</v>
      </c>
      <c r="GP174" s="37">
        <v>9.67</v>
      </c>
      <c r="GQ174" s="37">
        <v>9.67</v>
      </c>
      <c r="GR174" s="37">
        <v>9.67</v>
      </c>
      <c r="GS174" s="37">
        <v>9.67</v>
      </c>
      <c r="GT174" s="37">
        <v>9.67</v>
      </c>
      <c r="GU174" s="37">
        <v>9.67</v>
      </c>
      <c r="GV174" s="37">
        <v>9.67</v>
      </c>
      <c r="GW174" s="37">
        <v>9.67</v>
      </c>
      <c r="GX174" s="37">
        <v>9.67</v>
      </c>
      <c r="GY174" s="37">
        <v>9.67</v>
      </c>
      <c r="GZ174" s="37">
        <v>9.67</v>
      </c>
      <c r="HA174" s="37">
        <v>9.67</v>
      </c>
      <c r="HB174" s="37">
        <v>9.67</v>
      </c>
      <c r="HC174" s="37">
        <v>9.67</v>
      </c>
      <c r="HD174" s="37">
        <v>9.67</v>
      </c>
      <c r="HE174" s="37">
        <v>9.67</v>
      </c>
      <c r="HF174" s="37">
        <v>9.67</v>
      </c>
      <c r="HG174" s="37">
        <v>9.67</v>
      </c>
      <c r="HH174" s="37">
        <v>9.67</v>
      </c>
      <c r="HI174" s="37">
        <v>9.67</v>
      </c>
      <c r="HJ174" s="37">
        <v>9.67</v>
      </c>
      <c r="HK174" s="37">
        <v>9.67</v>
      </c>
      <c r="HL174" s="37">
        <v>9.67</v>
      </c>
      <c r="HM174" s="37">
        <v>9.67</v>
      </c>
      <c r="HN174" s="37">
        <v>9.67</v>
      </c>
      <c r="HO174" s="37">
        <v>9.67</v>
      </c>
      <c r="HP174" s="37">
        <v>9.67</v>
      </c>
      <c r="HQ174" s="37">
        <v>9.67</v>
      </c>
      <c r="HR174" s="37">
        <v>9.67</v>
      </c>
      <c r="HS174" s="37">
        <v>9.67</v>
      </c>
      <c r="HT174" s="37">
        <v>9.67</v>
      </c>
      <c r="HU174" s="37">
        <v>9.67</v>
      </c>
      <c r="HV174" s="37">
        <v>9.67</v>
      </c>
      <c r="HW174" s="37">
        <v>9.67</v>
      </c>
      <c r="HX174" s="37">
        <v>9.67</v>
      </c>
      <c r="HY174" s="37">
        <v>9.67</v>
      </c>
      <c r="HZ174" s="37">
        <v>9.67</v>
      </c>
      <c r="IA174" s="37">
        <v>9.67</v>
      </c>
      <c r="IB174" s="37">
        <v>9.67</v>
      </c>
      <c r="IC174" s="37">
        <v>9.67</v>
      </c>
      <c r="ID174" s="37">
        <v>9.67</v>
      </c>
      <c r="IE174" s="37">
        <v>9.67</v>
      </c>
      <c r="IF174" s="37">
        <v>9.67</v>
      </c>
      <c r="IG174" s="37">
        <v>9.67</v>
      </c>
      <c r="IH174" s="37">
        <v>9.67</v>
      </c>
      <c r="II174" s="37">
        <v>9.67</v>
      </c>
      <c r="IJ174" s="37">
        <v>9.67</v>
      </c>
      <c r="IK174" s="37">
        <v>9.67</v>
      </c>
      <c r="IL174" s="37">
        <v>9.67</v>
      </c>
      <c r="IM174" s="37">
        <v>9.67</v>
      </c>
      <c r="IN174" s="37">
        <v>9.67</v>
      </c>
      <c r="IO174" s="37">
        <v>9.67</v>
      </c>
      <c r="IP174" s="37">
        <v>9.67</v>
      </c>
      <c r="IQ174" s="37">
        <v>9.67</v>
      </c>
      <c r="IR174" s="37">
        <v>9.67</v>
      </c>
      <c r="IS174" s="37">
        <v>9.67</v>
      </c>
      <c r="IT174" s="37">
        <v>9.67</v>
      </c>
      <c r="IU174" s="37">
        <v>9.67</v>
      </c>
      <c r="IV174" s="37">
        <v>9.67</v>
      </c>
      <c r="IW174" s="37">
        <v>9.67</v>
      </c>
      <c r="IX174" s="37">
        <v>9.67</v>
      </c>
      <c r="IY174" s="37">
        <v>9.67</v>
      </c>
      <c r="IZ174" s="37">
        <v>9.67</v>
      </c>
      <c r="JA174" s="37">
        <v>9.67</v>
      </c>
      <c r="JB174" s="37">
        <v>9.67</v>
      </c>
      <c r="JC174" s="37">
        <v>9.67</v>
      </c>
      <c r="JD174" s="37">
        <v>9.67</v>
      </c>
      <c r="JE174" s="37">
        <v>9.67</v>
      </c>
      <c r="JF174" s="37">
        <v>9.67</v>
      </c>
      <c r="JG174" s="37">
        <v>9.67</v>
      </c>
      <c r="JH174" s="37">
        <v>9.67</v>
      </c>
      <c r="JI174" s="37">
        <v>9.67</v>
      </c>
      <c r="JJ174" s="37">
        <v>9.67</v>
      </c>
      <c r="JK174" s="37">
        <v>9.67</v>
      </c>
      <c r="JL174" s="37">
        <v>9.67</v>
      </c>
      <c r="JM174" s="37">
        <v>9.67</v>
      </c>
      <c r="JN174" s="37">
        <v>9.67</v>
      </c>
      <c r="JO174" s="37">
        <v>9.67</v>
      </c>
      <c r="JP174" s="37">
        <v>9.67</v>
      </c>
      <c r="JQ174" s="37">
        <v>9.67</v>
      </c>
      <c r="JR174" s="37">
        <v>9.67</v>
      </c>
      <c r="JS174" s="37">
        <v>9.67</v>
      </c>
      <c r="JT174" s="37">
        <v>9.67</v>
      </c>
      <c r="JU174" s="37">
        <v>9.67</v>
      </c>
      <c r="JV174" s="37">
        <v>9.67</v>
      </c>
      <c r="JW174" s="37">
        <v>9.67</v>
      </c>
      <c r="JX174" s="37">
        <v>9.67</v>
      </c>
      <c r="JY174" s="37">
        <v>9.67</v>
      </c>
      <c r="JZ174" s="37">
        <v>9.67</v>
      </c>
      <c r="KA174" s="37">
        <v>9.67</v>
      </c>
      <c r="KB174" s="37">
        <v>9.67</v>
      </c>
      <c r="KC174" s="37">
        <v>9.67</v>
      </c>
      <c r="KD174" s="37">
        <v>9.67</v>
      </c>
      <c r="KE174" s="37">
        <v>9.67</v>
      </c>
      <c r="KF174" s="37">
        <v>9.67</v>
      </c>
      <c r="KG174" s="37">
        <v>9.67</v>
      </c>
      <c r="KH174" s="37">
        <v>9.67</v>
      </c>
      <c r="KI174" s="37">
        <v>9.67</v>
      </c>
      <c r="KJ174" s="37">
        <v>9.67</v>
      </c>
      <c r="KK174" s="37">
        <v>9.67</v>
      </c>
      <c r="KL174" s="37">
        <v>9.67</v>
      </c>
      <c r="KM174" s="37">
        <v>9.67</v>
      </c>
      <c r="KN174" s="37">
        <v>9.67</v>
      </c>
      <c r="KO174" s="37">
        <v>9.67</v>
      </c>
      <c r="KP174" s="37">
        <v>9.67</v>
      </c>
      <c r="KQ174" s="37">
        <v>9.67</v>
      </c>
      <c r="KR174" s="37">
        <v>9.67</v>
      </c>
      <c r="KS174" s="37">
        <v>9.67</v>
      </c>
      <c r="KT174" s="37">
        <v>9.67</v>
      </c>
      <c r="KU174" s="37">
        <v>9.67</v>
      </c>
      <c r="KV174" s="37">
        <v>9.67</v>
      </c>
      <c r="KW174" s="37">
        <v>9.67</v>
      </c>
      <c r="KX174" s="37">
        <v>9.67</v>
      </c>
      <c r="KY174" s="37">
        <v>9.67</v>
      </c>
      <c r="KZ174" s="37">
        <v>9.67</v>
      </c>
      <c r="LA174" s="37">
        <v>9.67</v>
      </c>
      <c r="LB174" s="37">
        <v>9.67</v>
      </c>
      <c r="LC174" s="37">
        <v>9.67</v>
      </c>
      <c r="LD174" s="37">
        <v>9.67</v>
      </c>
      <c r="LE174" s="37">
        <v>9.67</v>
      </c>
      <c r="LF174" s="37">
        <v>9.67</v>
      </c>
      <c r="LG174" s="37">
        <v>9.67</v>
      </c>
      <c r="LH174" s="37">
        <v>9.67</v>
      </c>
      <c r="LI174" s="37">
        <v>9.67</v>
      </c>
      <c r="LJ174" s="37">
        <v>9.67</v>
      </c>
      <c r="LK174" s="37">
        <v>9.67</v>
      </c>
      <c r="LL174" s="37">
        <v>9.67</v>
      </c>
      <c r="LM174" s="37">
        <v>9.67</v>
      </c>
      <c r="LN174" s="37">
        <v>9.67</v>
      </c>
      <c r="LO174" s="37">
        <v>9.67</v>
      </c>
      <c r="LP174" s="37">
        <v>9.67</v>
      </c>
      <c r="LQ174" s="37">
        <v>9.67</v>
      </c>
      <c r="LR174" s="37">
        <v>9.67</v>
      </c>
      <c r="LS174" s="37">
        <v>9.67</v>
      </c>
      <c r="LT174" s="37">
        <v>9.67</v>
      </c>
      <c r="LU174" s="37">
        <v>9.67</v>
      </c>
      <c r="LV174" s="37">
        <v>9.67</v>
      </c>
      <c r="LW174" s="37">
        <v>9.67</v>
      </c>
      <c r="LX174" s="37">
        <v>9.67</v>
      </c>
      <c r="LY174" s="37">
        <v>9.67</v>
      </c>
      <c r="LZ174" s="37">
        <v>9.67</v>
      </c>
      <c r="MA174" s="37">
        <v>9.67</v>
      </c>
      <c r="MB174" s="37">
        <v>9.67</v>
      </c>
      <c r="MC174" s="37">
        <v>9.67</v>
      </c>
      <c r="MD174" s="37">
        <v>9.67</v>
      </c>
      <c r="ME174" s="37">
        <v>9.67</v>
      </c>
      <c r="MF174" s="37">
        <v>9.67</v>
      </c>
      <c r="MG174" s="37">
        <v>9.67</v>
      </c>
      <c r="MH174" s="37">
        <v>9.67</v>
      </c>
      <c r="MI174" s="37">
        <v>9.67</v>
      </c>
      <c r="MJ174" s="37">
        <v>9.67</v>
      </c>
      <c r="MK174" s="37">
        <v>9.67</v>
      </c>
      <c r="ML174" s="37">
        <v>9.67</v>
      </c>
      <c r="MM174" s="37">
        <v>9.67</v>
      </c>
      <c r="MN174" s="37">
        <v>9.67</v>
      </c>
      <c r="MO174" s="37">
        <v>9.67</v>
      </c>
      <c r="MP174" s="37">
        <v>9.67</v>
      </c>
      <c r="MQ174" s="37">
        <v>9.67</v>
      </c>
      <c r="MR174" s="37">
        <v>9.24</v>
      </c>
      <c r="MS174" s="37">
        <v>0</v>
      </c>
      <c r="MT174" s="37">
        <v>0</v>
      </c>
      <c r="MU174" s="37">
        <v>0</v>
      </c>
      <c r="MV174" s="37">
        <v>0</v>
      </c>
      <c r="MW174" s="37">
        <v>0</v>
      </c>
      <c r="MX174" s="37">
        <v>0</v>
      </c>
      <c r="MY174" s="37">
        <v>0</v>
      </c>
      <c r="MZ174" s="37">
        <v>0</v>
      </c>
      <c r="NA174" s="37">
        <v>0</v>
      </c>
      <c r="NB174" s="37">
        <v>0</v>
      </c>
      <c r="NC174" s="37">
        <v>0</v>
      </c>
      <c r="ND174" s="37">
        <v>0</v>
      </c>
    </row>
    <row r="175" spans="1:372" x14ac:dyDescent="0.2">
      <c r="A175" s="37">
        <v>173</v>
      </c>
      <c r="C175" s="17">
        <f>+'Detalle Compras'!D175</f>
        <v>0</v>
      </c>
      <c r="D175" s="55" t="str">
        <f t="shared" si="19"/>
        <v/>
      </c>
      <c r="E175" s="14" t="str">
        <f>+IF(B175="","",'Detalle Compras'!S175+0)</f>
        <v/>
      </c>
      <c r="F175" s="14" t="str">
        <f>+IF(B175="","",EOMONTH('Detalle Compras'!S175,G175)+10)</f>
        <v/>
      </c>
      <c r="G175" s="50">
        <f t="shared" si="20"/>
        <v>0</v>
      </c>
      <c r="H175" s="50">
        <f t="shared" si="21"/>
        <v>0</v>
      </c>
    </row>
    <row r="176" spans="1:372" x14ac:dyDescent="0.2">
      <c r="A176" s="37">
        <v>174</v>
      </c>
      <c r="C176" s="17">
        <f>+'Detalle Compras'!D176</f>
        <v>0</v>
      </c>
      <c r="D176" s="55" t="str">
        <f t="shared" si="19"/>
        <v/>
      </c>
      <c r="E176" s="14" t="str">
        <f>+IF(B176="","",'Detalle Compras'!S176+0)</f>
        <v/>
      </c>
      <c r="F176" s="14" t="str">
        <f>+IF(B176="","",EOMONTH('Detalle Compras'!S176,G176)+10)</f>
        <v/>
      </c>
      <c r="G176" s="50">
        <f t="shared" si="20"/>
        <v>0</v>
      </c>
      <c r="H176" s="50">
        <f t="shared" si="21"/>
        <v>0</v>
      </c>
      <c r="M176" s="52"/>
      <c r="N176" s="52"/>
      <c r="O176" s="52"/>
      <c r="P176" s="52"/>
      <c r="Q176" s="52"/>
      <c r="R176" s="52"/>
      <c r="S176" s="52"/>
      <c r="T176" s="52"/>
      <c r="U176" s="52"/>
      <c r="V176" s="52"/>
      <c r="W176" s="52"/>
      <c r="X176" s="52"/>
      <c r="Y176" s="52"/>
      <c r="Z176" s="52"/>
      <c r="AA176" s="52"/>
      <c r="AB176" s="52"/>
      <c r="AC176" s="52"/>
      <c r="AD176" s="52"/>
      <c r="AE176" s="52"/>
      <c r="AF176" s="52"/>
      <c r="AG176" s="52"/>
      <c r="AH176" s="52"/>
      <c r="AI176" s="52"/>
      <c r="AJ176" s="52"/>
      <c r="AK176" s="52"/>
      <c r="AL176" s="52"/>
      <c r="AM176" s="52"/>
      <c r="AN176" s="52"/>
      <c r="AO176" s="52"/>
      <c r="AP176" s="52"/>
      <c r="AQ176" s="52"/>
      <c r="AR176" s="52"/>
      <c r="AS176" s="52"/>
      <c r="AT176" s="52"/>
      <c r="AU176" s="52"/>
      <c r="AV176" s="52"/>
      <c r="AW176" s="52"/>
      <c r="AX176" s="52"/>
      <c r="AY176" s="52"/>
      <c r="AZ176" s="52"/>
      <c r="BA176" s="52"/>
      <c r="BB176" s="52"/>
      <c r="BC176" s="52"/>
      <c r="BD176" s="52"/>
      <c r="BE176" s="52"/>
      <c r="BF176" s="52"/>
      <c r="BG176" s="52"/>
      <c r="BH176" s="52"/>
      <c r="BI176" s="52"/>
      <c r="BJ176" s="52"/>
      <c r="BK176" s="52"/>
      <c r="BL176" s="52"/>
      <c r="BM176" s="52"/>
      <c r="BN176" s="52"/>
      <c r="BO176" s="52"/>
      <c r="BP176" s="52"/>
      <c r="BQ176" s="52"/>
      <c r="BR176" s="52"/>
      <c r="BS176" s="52"/>
      <c r="BT176" s="52"/>
      <c r="BU176" s="52"/>
      <c r="BV176" s="52"/>
      <c r="BW176" s="52"/>
      <c r="BX176" s="52"/>
      <c r="BY176" s="52"/>
      <c r="BZ176" s="52"/>
      <c r="CA176" s="52"/>
      <c r="CB176" s="52"/>
      <c r="CC176" s="52"/>
      <c r="CD176" s="52"/>
      <c r="CE176" s="52"/>
      <c r="CF176" s="52"/>
      <c r="CG176" s="52"/>
      <c r="CH176" s="52"/>
      <c r="CI176" s="52"/>
      <c r="CJ176" s="52"/>
      <c r="CK176" s="52"/>
      <c r="CL176" s="52"/>
      <c r="CM176" s="52"/>
      <c r="CN176" s="52"/>
      <c r="CO176" s="52"/>
      <c r="CP176" s="52"/>
      <c r="CQ176" s="52"/>
      <c r="CR176" s="52"/>
      <c r="CS176" s="52"/>
      <c r="CT176" s="52"/>
      <c r="CU176" s="52"/>
      <c r="CV176" s="52"/>
      <c r="CW176" s="52"/>
      <c r="CX176" s="52"/>
      <c r="CY176" s="52"/>
      <c r="CZ176" s="52"/>
      <c r="DA176" s="52"/>
      <c r="DB176" s="52"/>
      <c r="DC176" s="52"/>
      <c r="DD176" s="52"/>
      <c r="DE176" s="52"/>
      <c r="DF176" s="52"/>
      <c r="DG176" s="52"/>
      <c r="DH176" s="52"/>
      <c r="DI176" s="52"/>
      <c r="DJ176" s="52"/>
      <c r="DK176" s="52"/>
      <c r="DL176" s="52"/>
      <c r="DM176" s="52"/>
      <c r="DN176" s="52"/>
      <c r="DO176" s="52"/>
      <c r="DP176" s="52"/>
      <c r="DQ176" s="52"/>
      <c r="DR176" s="52"/>
      <c r="DS176" s="52"/>
      <c r="DT176" s="52"/>
      <c r="DU176" s="52"/>
      <c r="DV176" s="52"/>
      <c r="DW176" s="52"/>
      <c r="DX176" s="52"/>
      <c r="DY176" s="52"/>
      <c r="DZ176" s="52"/>
      <c r="EA176" s="52"/>
      <c r="EB176" s="52"/>
      <c r="EC176" s="52"/>
      <c r="ED176" s="52"/>
      <c r="EE176" s="52"/>
      <c r="EF176" s="52"/>
      <c r="EG176" s="52"/>
      <c r="EH176" s="52"/>
      <c r="EI176" s="52"/>
      <c r="EJ176" s="52"/>
      <c r="EK176" s="52"/>
      <c r="EL176" s="52"/>
      <c r="EM176" s="52"/>
      <c r="EN176" s="52"/>
      <c r="EO176" s="52"/>
      <c r="EP176" s="52"/>
      <c r="EQ176" s="52"/>
      <c r="ER176" s="52"/>
      <c r="ES176" s="52"/>
      <c r="ET176" s="52"/>
      <c r="EU176" s="52"/>
      <c r="EV176" s="52"/>
      <c r="EW176" s="52"/>
      <c r="EX176" s="52"/>
      <c r="EY176" s="52"/>
      <c r="EZ176" s="52"/>
      <c r="FA176" s="52"/>
      <c r="FB176" s="52"/>
      <c r="FC176" s="52"/>
      <c r="FD176" s="52"/>
      <c r="FE176" s="52"/>
      <c r="FF176" s="52"/>
      <c r="FG176" s="52"/>
      <c r="FH176" s="52"/>
      <c r="FI176" s="52"/>
      <c r="FJ176" s="52"/>
      <c r="FK176" s="52"/>
      <c r="FL176" s="52"/>
      <c r="FM176" s="52"/>
      <c r="FN176" s="52"/>
      <c r="FO176" s="52"/>
      <c r="FP176" s="52"/>
      <c r="FQ176" s="52"/>
      <c r="FR176" s="52"/>
      <c r="FS176" s="52"/>
      <c r="FT176" s="52"/>
      <c r="FU176" s="52"/>
      <c r="FV176" s="52"/>
      <c r="FW176" s="52"/>
      <c r="FX176" s="52"/>
      <c r="FY176" s="52"/>
      <c r="FZ176" s="52"/>
      <c r="GA176" s="52"/>
      <c r="GB176" s="52"/>
      <c r="GC176" s="52"/>
      <c r="GD176" s="52"/>
      <c r="GE176" s="52"/>
      <c r="GF176" s="52"/>
      <c r="GG176" s="52"/>
      <c r="GH176" s="52"/>
      <c r="GI176" s="52"/>
      <c r="GJ176" s="52"/>
      <c r="GK176" s="52"/>
      <c r="GL176" s="52"/>
      <c r="GM176" s="52"/>
      <c r="GN176" s="52"/>
      <c r="GO176" s="52"/>
      <c r="GP176" s="52"/>
      <c r="GQ176" s="52"/>
      <c r="GR176" s="52"/>
      <c r="GS176" s="52"/>
      <c r="GT176" s="52"/>
      <c r="GU176" s="52"/>
      <c r="GV176" s="52"/>
      <c r="GW176" s="52"/>
      <c r="GX176" s="52"/>
      <c r="GY176" s="52"/>
      <c r="GZ176" s="52"/>
      <c r="HA176" s="52"/>
      <c r="HB176" s="52"/>
      <c r="HC176" s="52"/>
      <c r="HD176" s="52"/>
      <c r="HE176" s="52"/>
      <c r="HF176" s="52"/>
      <c r="HG176" s="52"/>
      <c r="HH176" s="52"/>
      <c r="HI176" s="52"/>
      <c r="HJ176" s="52"/>
      <c r="HK176" s="52"/>
      <c r="HL176" s="52"/>
      <c r="HM176" s="52"/>
      <c r="HN176" s="52"/>
      <c r="HO176" s="52"/>
      <c r="HP176" s="52"/>
      <c r="HQ176" s="52"/>
      <c r="HR176" s="52"/>
      <c r="HS176" s="52"/>
      <c r="HT176" s="52"/>
      <c r="HU176" s="52"/>
      <c r="HV176" s="52"/>
      <c r="HW176" s="52"/>
      <c r="HX176" s="52"/>
      <c r="HY176" s="52"/>
      <c r="HZ176" s="52"/>
      <c r="IA176" s="52"/>
      <c r="IB176" s="52"/>
      <c r="IC176" s="52"/>
      <c r="ID176" s="52"/>
      <c r="IE176" s="52"/>
      <c r="IF176" s="52"/>
      <c r="IG176" s="52"/>
      <c r="IH176" s="52"/>
      <c r="II176" s="52"/>
      <c r="IJ176" s="52"/>
      <c r="IK176" s="52"/>
      <c r="IL176" s="52"/>
      <c r="IM176" s="52"/>
      <c r="IN176" s="52"/>
      <c r="IO176" s="52"/>
      <c r="IP176" s="52"/>
      <c r="IQ176" s="52"/>
      <c r="IR176" s="52"/>
      <c r="IS176" s="52"/>
      <c r="IT176" s="52"/>
      <c r="IU176" s="52"/>
      <c r="IV176" s="52"/>
      <c r="IW176" s="52"/>
      <c r="IX176" s="52"/>
      <c r="IY176" s="52"/>
      <c r="IZ176" s="52"/>
      <c r="JA176" s="52"/>
      <c r="JB176" s="52"/>
      <c r="JC176" s="52"/>
      <c r="JD176" s="52"/>
      <c r="JE176" s="52"/>
      <c r="JF176" s="52"/>
      <c r="JG176" s="52"/>
      <c r="JH176" s="52"/>
      <c r="JI176" s="52"/>
      <c r="JJ176" s="52"/>
      <c r="JK176" s="52"/>
      <c r="JL176" s="52"/>
      <c r="JM176" s="52"/>
      <c r="JN176" s="52"/>
      <c r="JO176" s="52"/>
      <c r="JP176" s="52"/>
      <c r="JQ176" s="52"/>
      <c r="JR176" s="52"/>
      <c r="JS176" s="52"/>
      <c r="JT176" s="52"/>
      <c r="JU176" s="52"/>
      <c r="JV176" s="52"/>
      <c r="JW176" s="52"/>
      <c r="JX176" s="52"/>
      <c r="JY176" s="52"/>
      <c r="JZ176" s="52"/>
      <c r="KA176" s="52"/>
      <c r="KB176" s="52"/>
      <c r="KC176" s="52"/>
      <c r="KD176" s="52"/>
      <c r="KE176" s="52"/>
      <c r="KF176" s="52"/>
      <c r="KG176" s="52"/>
      <c r="KH176" s="52"/>
      <c r="KI176" s="52"/>
      <c r="KJ176" s="52"/>
      <c r="KK176" s="52"/>
      <c r="KL176" s="52"/>
      <c r="KM176" s="52"/>
      <c r="KN176" s="52"/>
      <c r="KO176" s="52"/>
      <c r="KP176" s="52"/>
      <c r="KQ176" s="52"/>
      <c r="KR176" s="52"/>
      <c r="KS176" s="52"/>
      <c r="KT176" s="52"/>
      <c r="KU176" s="52"/>
      <c r="KV176" s="52"/>
      <c r="KW176" s="52"/>
      <c r="KX176" s="52"/>
      <c r="KY176" s="52"/>
      <c r="KZ176" s="52"/>
      <c r="LA176" s="52"/>
      <c r="LB176" s="52"/>
      <c r="LC176" s="52"/>
      <c r="LD176" s="52"/>
      <c r="LE176" s="52"/>
      <c r="LF176" s="52"/>
      <c r="LG176" s="52"/>
      <c r="LH176" s="52"/>
      <c r="LI176" s="52"/>
      <c r="LJ176" s="52"/>
      <c r="LK176" s="52"/>
      <c r="LL176" s="52"/>
      <c r="LM176" s="52"/>
      <c r="LN176" s="52"/>
      <c r="LO176" s="52"/>
      <c r="LP176" s="52"/>
      <c r="LQ176" s="52"/>
      <c r="LR176" s="52"/>
      <c r="LS176" s="52"/>
      <c r="LT176" s="52"/>
      <c r="LU176" s="52"/>
      <c r="LV176" s="52"/>
      <c r="LW176" s="52"/>
      <c r="LX176" s="52"/>
      <c r="LY176" s="52"/>
      <c r="LZ176" s="52"/>
      <c r="MA176" s="52"/>
      <c r="MB176" s="52"/>
      <c r="MC176" s="52"/>
      <c r="MD176" s="52"/>
      <c r="ME176" s="52"/>
      <c r="MF176" s="52"/>
      <c r="MG176" s="52"/>
      <c r="MH176" s="52"/>
      <c r="MI176" s="52"/>
      <c r="MJ176" s="52"/>
      <c r="MK176" s="52"/>
      <c r="ML176" s="52"/>
      <c r="MM176" s="52"/>
      <c r="MN176" s="52"/>
      <c r="MO176" s="52"/>
      <c r="MP176" s="52"/>
      <c r="MQ176" s="52"/>
      <c r="MR176" s="52"/>
      <c r="MS176" s="52"/>
      <c r="MT176" s="52"/>
      <c r="MU176" s="52"/>
      <c r="MV176" s="52"/>
      <c r="MW176" s="52"/>
      <c r="MX176" s="52"/>
      <c r="MY176" s="52"/>
      <c r="MZ176" s="52"/>
      <c r="NA176" s="52"/>
      <c r="NB176" s="52"/>
      <c r="NC176" s="52"/>
      <c r="ND176" s="52"/>
      <c r="NE176" s="52"/>
      <c r="NF176" s="52"/>
      <c r="NG176" s="52"/>
      <c r="NH176" s="52"/>
    </row>
    <row r="177" spans="1:373" x14ac:dyDescent="0.2">
      <c r="A177" s="37">
        <v>175</v>
      </c>
      <c r="C177" s="17">
        <f>+'Detalle Compras'!D177</f>
        <v>0</v>
      </c>
      <c r="D177" s="55" t="str">
        <f t="shared" si="19"/>
        <v/>
      </c>
      <c r="E177" s="14" t="str">
        <f>+IF(B177="","",'Detalle Compras'!S177+0)</f>
        <v/>
      </c>
      <c r="F177" s="14" t="str">
        <f>+IF(B177="","",EOMONTH('Detalle Compras'!S177,G177)+10)</f>
        <v/>
      </c>
      <c r="G177" s="50">
        <f t="shared" si="20"/>
        <v>0</v>
      </c>
      <c r="H177" s="50">
        <f t="shared" si="21"/>
        <v>0</v>
      </c>
      <c r="M177" s="52"/>
      <c r="N177" s="52"/>
      <c r="O177" s="52"/>
      <c r="P177" s="52"/>
      <c r="Q177" s="52"/>
      <c r="R177" s="52"/>
      <c r="S177" s="52"/>
      <c r="T177" s="52"/>
      <c r="U177" s="52"/>
      <c r="V177" s="52"/>
      <c r="W177" s="52"/>
      <c r="X177" s="52"/>
      <c r="Y177" s="52"/>
      <c r="Z177" s="52"/>
      <c r="AA177" s="52"/>
      <c r="AB177" s="52"/>
      <c r="AC177" s="52"/>
      <c r="AD177" s="52"/>
      <c r="AE177" s="52"/>
      <c r="AF177" s="52"/>
      <c r="AG177" s="52"/>
      <c r="AH177" s="52"/>
      <c r="AI177" s="52"/>
      <c r="AJ177" s="52"/>
      <c r="AK177" s="52"/>
      <c r="AL177" s="52"/>
      <c r="AM177" s="52"/>
      <c r="AN177" s="52"/>
      <c r="AO177" s="52"/>
      <c r="AP177" s="52"/>
      <c r="AQ177" s="52"/>
      <c r="AR177" s="52"/>
      <c r="AS177" s="52"/>
      <c r="AT177" s="52"/>
      <c r="AU177" s="52"/>
      <c r="AV177" s="52"/>
      <c r="AW177" s="52"/>
      <c r="AX177" s="52"/>
      <c r="AY177" s="52"/>
      <c r="AZ177" s="52"/>
      <c r="BA177" s="52"/>
      <c r="BB177" s="52"/>
      <c r="BC177" s="52"/>
      <c r="BD177" s="52"/>
      <c r="BE177" s="52"/>
      <c r="BF177" s="52"/>
      <c r="BG177" s="52"/>
      <c r="BH177" s="52"/>
      <c r="BI177" s="52"/>
      <c r="BJ177" s="52"/>
      <c r="BK177" s="52"/>
      <c r="BL177" s="52"/>
      <c r="BM177" s="52"/>
      <c r="BN177" s="52"/>
      <c r="BO177" s="52"/>
      <c r="BP177" s="52"/>
      <c r="BQ177" s="52"/>
      <c r="BR177" s="52"/>
      <c r="BS177" s="52"/>
      <c r="BT177" s="52"/>
      <c r="BU177" s="52"/>
      <c r="BV177" s="52"/>
      <c r="BW177" s="52"/>
      <c r="BX177" s="52"/>
      <c r="BY177" s="52"/>
      <c r="BZ177" s="52"/>
      <c r="CA177" s="52"/>
      <c r="CB177" s="52"/>
      <c r="CC177" s="52"/>
      <c r="CD177" s="52"/>
      <c r="CE177" s="52"/>
      <c r="CF177" s="52"/>
      <c r="CG177" s="52"/>
      <c r="CH177" s="52"/>
      <c r="CI177" s="52"/>
      <c r="CJ177" s="52"/>
      <c r="CK177" s="52"/>
      <c r="CL177" s="52"/>
      <c r="CM177" s="52"/>
      <c r="CN177" s="52"/>
      <c r="CO177" s="52"/>
      <c r="CP177" s="52"/>
      <c r="CQ177" s="52"/>
      <c r="CR177" s="52"/>
      <c r="CS177" s="52"/>
      <c r="CT177" s="52"/>
      <c r="CU177" s="52"/>
      <c r="CV177" s="52"/>
      <c r="CW177" s="52"/>
      <c r="CX177" s="52"/>
      <c r="CY177" s="52"/>
      <c r="CZ177" s="52"/>
      <c r="DA177" s="52"/>
      <c r="DB177" s="52"/>
      <c r="DC177" s="52"/>
      <c r="DD177" s="52"/>
      <c r="DE177" s="52"/>
      <c r="DF177" s="52"/>
      <c r="DG177" s="52"/>
      <c r="DH177" s="52"/>
      <c r="DI177" s="52"/>
      <c r="DJ177" s="52"/>
      <c r="DK177" s="52"/>
      <c r="DL177" s="52"/>
      <c r="DM177" s="52"/>
      <c r="DN177" s="52"/>
      <c r="DO177" s="52"/>
      <c r="DP177" s="52"/>
      <c r="DQ177" s="52"/>
      <c r="DR177" s="52"/>
      <c r="DS177" s="52"/>
      <c r="DT177" s="52"/>
      <c r="DU177" s="52"/>
      <c r="DV177" s="52"/>
      <c r="DW177" s="52"/>
      <c r="DX177" s="52"/>
      <c r="DY177" s="52"/>
      <c r="DZ177" s="52"/>
      <c r="EA177" s="52"/>
      <c r="EB177" s="52"/>
      <c r="EC177" s="52"/>
      <c r="ED177" s="52"/>
      <c r="EE177" s="52"/>
      <c r="EF177" s="52"/>
      <c r="EG177" s="52"/>
      <c r="EH177" s="52"/>
      <c r="EI177" s="52"/>
      <c r="EJ177" s="52"/>
      <c r="EK177" s="52"/>
      <c r="EL177" s="52"/>
      <c r="EM177" s="52"/>
      <c r="EN177" s="52"/>
      <c r="EO177" s="52"/>
      <c r="EP177" s="52"/>
      <c r="EQ177" s="52"/>
      <c r="ER177" s="52"/>
      <c r="ES177" s="52"/>
      <c r="ET177" s="52"/>
      <c r="EU177" s="52"/>
      <c r="EV177" s="52"/>
      <c r="EW177" s="52"/>
      <c r="EX177" s="52"/>
      <c r="EY177" s="52"/>
      <c r="EZ177" s="52"/>
      <c r="FA177" s="52"/>
      <c r="FB177" s="52"/>
      <c r="FC177" s="52"/>
      <c r="FD177" s="52"/>
      <c r="FE177" s="52"/>
      <c r="FF177" s="52"/>
      <c r="FG177" s="52"/>
      <c r="FH177" s="52"/>
      <c r="FI177" s="52"/>
      <c r="FJ177" s="52"/>
      <c r="FK177" s="52"/>
      <c r="FL177" s="52"/>
      <c r="FM177" s="52"/>
      <c r="FN177" s="52"/>
      <c r="FO177" s="52"/>
      <c r="FP177" s="52"/>
      <c r="FQ177" s="52"/>
      <c r="FR177" s="52"/>
      <c r="FS177" s="52"/>
      <c r="FT177" s="52"/>
      <c r="FU177" s="52"/>
      <c r="FV177" s="52"/>
      <c r="FW177" s="52"/>
      <c r="FX177" s="52"/>
      <c r="FY177" s="52"/>
      <c r="FZ177" s="52"/>
      <c r="GA177" s="52"/>
      <c r="GB177" s="52"/>
      <c r="GC177" s="52"/>
      <c r="GD177" s="52"/>
      <c r="GE177" s="52"/>
      <c r="GF177" s="52"/>
      <c r="GG177" s="52"/>
      <c r="GH177" s="52"/>
      <c r="GI177" s="52"/>
      <c r="GJ177" s="52"/>
      <c r="GK177" s="52"/>
      <c r="GL177" s="52"/>
      <c r="GM177" s="52"/>
      <c r="GN177" s="52"/>
      <c r="GO177" s="52"/>
      <c r="GP177" s="52"/>
      <c r="GQ177" s="52"/>
      <c r="GR177" s="52"/>
      <c r="GS177" s="52"/>
      <c r="GT177" s="52"/>
      <c r="GU177" s="52"/>
      <c r="GV177" s="52"/>
      <c r="GW177" s="52"/>
      <c r="GX177" s="52"/>
      <c r="GY177" s="52"/>
      <c r="GZ177" s="52"/>
      <c r="HA177" s="52"/>
      <c r="HB177" s="52"/>
      <c r="HC177" s="52"/>
      <c r="HD177" s="52"/>
      <c r="HE177" s="52"/>
      <c r="HF177" s="52"/>
      <c r="HG177" s="52"/>
      <c r="HH177" s="52"/>
      <c r="HI177" s="52"/>
      <c r="HJ177" s="52"/>
      <c r="HK177" s="52"/>
      <c r="HL177" s="52"/>
      <c r="HM177" s="52"/>
      <c r="HN177" s="52"/>
      <c r="HO177" s="52"/>
      <c r="HP177" s="52"/>
      <c r="HQ177" s="52"/>
      <c r="HR177" s="52"/>
      <c r="HS177" s="52"/>
      <c r="HT177" s="52"/>
      <c r="HU177" s="52"/>
      <c r="HV177" s="52"/>
      <c r="HW177" s="52"/>
      <c r="HX177" s="52"/>
      <c r="HY177" s="52"/>
      <c r="HZ177" s="52"/>
      <c r="IA177" s="52"/>
      <c r="IB177" s="52"/>
      <c r="IC177" s="52"/>
      <c r="ID177" s="52"/>
      <c r="IE177" s="52"/>
      <c r="IF177" s="52"/>
      <c r="IG177" s="52"/>
      <c r="IH177" s="52"/>
      <c r="II177" s="52"/>
      <c r="IJ177" s="52"/>
      <c r="IK177" s="52"/>
      <c r="IL177" s="52"/>
      <c r="IM177" s="52"/>
      <c r="IN177" s="52"/>
      <c r="IO177" s="52"/>
      <c r="IP177" s="52"/>
      <c r="IQ177" s="52"/>
      <c r="IR177" s="52"/>
      <c r="IS177" s="52"/>
      <c r="IT177" s="52"/>
      <c r="IU177" s="52"/>
      <c r="IV177" s="52"/>
      <c r="IW177" s="52"/>
      <c r="IX177" s="52"/>
      <c r="IY177" s="52"/>
      <c r="IZ177" s="52"/>
      <c r="JA177" s="52"/>
      <c r="JB177" s="52"/>
      <c r="JC177" s="52"/>
      <c r="JD177" s="52"/>
      <c r="JE177" s="52"/>
      <c r="JF177" s="52"/>
      <c r="JG177" s="52"/>
      <c r="JH177" s="52"/>
      <c r="JI177" s="52"/>
      <c r="JJ177" s="52"/>
      <c r="JK177" s="52"/>
      <c r="JL177" s="52"/>
      <c r="JM177" s="52"/>
      <c r="JN177" s="52"/>
      <c r="JO177" s="52"/>
      <c r="JP177" s="52"/>
      <c r="JQ177" s="52"/>
      <c r="JR177" s="52"/>
      <c r="JS177" s="52"/>
      <c r="JT177" s="52"/>
      <c r="JU177" s="52"/>
      <c r="JV177" s="52"/>
      <c r="JW177" s="52"/>
      <c r="JX177" s="52"/>
      <c r="JY177" s="52"/>
      <c r="JZ177" s="52"/>
      <c r="KA177" s="52"/>
      <c r="KB177" s="52"/>
      <c r="KC177" s="52"/>
      <c r="KD177" s="52"/>
      <c r="KE177" s="52"/>
      <c r="KF177" s="52"/>
      <c r="KG177" s="52"/>
      <c r="KH177" s="52"/>
      <c r="KI177" s="52"/>
      <c r="KJ177" s="52"/>
      <c r="KK177" s="52"/>
      <c r="KL177" s="52"/>
      <c r="KM177" s="52"/>
      <c r="KN177" s="52"/>
      <c r="KO177" s="52"/>
      <c r="KP177" s="52"/>
      <c r="KQ177" s="52"/>
      <c r="KR177" s="52"/>
      <c r="KS177" s="52"/>
      <c r="KT177" s="52"/>
      <c r="KU177" s="52"/>
      <c r="KV177" s="52"/>
      <c r="KW177" s="52"/>
    </row>
    <row r="178" spans="1:373" x14ac:dyDescent="0.2">
      <c r="A178" s="37">
        <v>176</v>
      </c>
      <c r="C178" s="17">
        <f>+'Detalle Compras'!D178</f>
        <v>0</v>
      </c>
      <c r="D178" s="55" t="str">
        <f t="shared" si="19"/>
        <v/>
      </c>
      <c r="E178" s="14" t="str">
        <f>+IF(B178="","",'Detalle Compras'!S178+0)</f>
        <v/>
      </c>
      <c r="F178" s="14" t="str">
        <f>+IF(B178="","",EOMONTH('Detalle Compras'!S178,G178)+10)</f>
        <v/>
      </c>
      <c r="G178" s="50">
        <f t="shared" si="20"/>
        <v>0</v>
      </c>
      <c r="H178" s="50">
        <f t="shared" si="21"/>
        <v>0</v>
      </c>
      <c r="M178" s="52"/>
      <c r="N178" s="52"/>
      <c r="O178" s="52"/>
      <c r="P178" s="52"/>
      <c r="Q178" s="52"/>
      <c r="R178" s="52"/>
      <c r="S178" s="52"/>
      <c r="T178" s="52"/>
      <c r="U178" s="52"/>
      <c r="V178" s="52"/>
      <c r="W178" s="52"/>
      <c r="X178" s="52"/>
      <c r="Y178" s="52"/>
      <c r="Z178" s="52"/>
      <c r="AA178" s="52"/>
      <c r="AB178" s="52"/>
      <c r="AC178" s="52"/>
      <c r="AD178" s="52"/>
      <c r="AE178" s="52"/>
      <c r="AF178" s="52"/>
      <c r="AG178" s="52"/>
      <c r="AH178" s="52"/>
      <c r="AI178" s="52"/>
      <c r="AJ178" s="52"/>
      <c r="AK178" s="52"/>
      <c r="AL178" s="52"/>
      <c r="AM178" s="52"/>
      <c r="AN178" s="52"/>
      <c r="AO178" s="52"/>
      <c r="AP178" s="52"/>
      <c r="AQ178" s="52"/>
      <c r="AR178" s="52"/>
      <c r="AS178" s="52"/>
      <c r="AT178" s="52"/>
      <c r="AU178" s="52"/>
      <c r="AV178" s="52"/>
      <c r="AW178" s="52"/>
      <c r="AX178" s="52"/>
      <c r="AY178" s="52"/>
      <c r="AZ178" s="52"/>
      <c r="BA178" s="52"/>
      <c r="BB178" s="52"/>
      <c r="BC178" s="52"/>
      <c r="BD178" s="52"/>
      <c r="BE178" s="52"/>
      <c r="BF178" s="52"/>
      <c r="BG178" s="52"/>
      <c r="BH178" s="52"/>
      <c r="BI178" s="52"/>
      <c r="BJ178" s="52"/>
      <c r="BK178" s="52"/>
      <c r="BL178" s="52"/>
      <c r="BM178" s="52"/>
      <c r="BN178" s="52"/>
      <c r="BO178" s="52"/>
      <c r="BP178" s="52"/>
      <c r="BQ178" s="52"/>
      <c r="BR178" s="52"/>
      <c r="BS178" s="52"/>
      <c r="BT178" s="52"/>
      <c r="BU178" s="52"/>
      <c r="BV178" s="52"/>
      <c r="BW178" s="52"/>
      <c r="BX178" s="52"/>
      <c r="BY178" s="52"/>
      <c r="BZ178" s="52"/>
      <c r="CA178" s="52"/>
      <c r="CB178" s="52"/>
      <c r="CC178" s="52"/>
      <c r="CD178" s="52"/>
      <c r="CE178" s="52"/>
      <c r="CF178" s="52"/>
      <c r="CG178" s="52"/>
      <c r="CH178" s="52"/>
      <c r="CI178" s="52"/>
      <c r="CJ178" s="52"/>
      <c r="CK178" s="52"/>
      <c r="CL178" s="52"/>
      <c r="CM178" s="52"/>
      <c r="CN178" s="52"/>
      <c r="CO178" s="52"/>
      <c r="CP178" s="52"/>
      <c r="CQ178" s="52"/>
      <c r="CR178" s="52"/>
      <c r="CS178" s="52"/>
      <c r="CT178" s="52"/>
      <c r="CU178" s="52"/>
      <c r="CV178" s="52"/>
      <c r="CW178" s="52"/>
      <c r="CX178" s="52"/>
      <c r="CY178" s="52"/>
      <c r="CZ178" s="52"/>
      <c r="DA178" s="52"/>
      <c r="DB178" s="52"/>
      <c r="DC178" s="52"/>
      <c r="DD178" s="52"/>
      <c r="DE178" s="52"/>
      <c r="DF178" s="52"/>
      <c r="DG178" s="52"/>
      <c r="DH178" s="52"/>
      <c r="DI178" s="52"/>
      <c r="DJ178" s="52"/>
      <c r="DK178" s="52"/>
      <c r="DL178" s="52"/>
      <c r="DM178" s="52"/>
      <c r="DN178" s="52"/>
      <c r="DO178" s="52"/>
      <c r="DP178" s="52"/>
      <c r="DQ178" s="52"/>
      <c r="DR178" s="52"/>
      <c r="DS178" s="52"/>
      <c r="DT178" s="52"/>
      <c r="DU178" s="52"/>
      <c r="DV178" s="52"/>
      <c r="DW178" s="52"/>
      <c r="DX178" s="52"/>
      <c r="DY178" s="52"/>
      <c r="DZ178" s="52"/>
      <c r="EA178" s="52"/>
      <c r="EB178" s="52"/>
      <c r="EC178" s="52"/>
      <c r="ED178" s="52"/>
      <c r="EE178" s="52"/>
      <c r="EF178" s="52"/>
      <c r="EG178" s="52"/>
      <c r="EH178" s="52"/>
      <c r="EI178" s="52"/>
      <c r="EJ178" s="52"/>
      <c r="EK178" s="52"/>
      <c r="EL178" s="52"/>
      <c r="EM178" s="52"/>
      <c r="EN178" s="52"/>
      <c r="EO178" s="52"/>
      <c r="EP178" s="52"/>
      <c r="EQ178" s="52"/>
      <c r="ER178" s="52"/>
      <c r="ES178" s="52"/>
      <c r="ET178" s="52"/>
      <c r="EU178" s="52"/>
      <c r="EV178" s="52"/>
      <c r="EW178" s="52"/>
      <c r="EX178" s="52"/>
      <c r="EY178" s="52"/>
      <c r="EZ178" s="52"/>
      <c r="FA178" s="52"/>
      <c r="FB178" s="52"/>
      <c r="FC178" s="52"/>
      <c r="FD178" s="52"/>
      <c r="FE178" s="52"/>
      <c r="FF178" s="52"/>
      <c r="FG178" s="52"/>
      <c r="FH178" s="52"/>
      <c r="FI178" s="52"/>
      <c r="FJ178" s="52"/>
      <c r="FK178" s="52"/>
      <c r="FL178" s="52"/>
      <c r="FM178" s="52"/>
      <c r="FN178" s="52"/>
      <c r="FO178" s="52"/>
      <c r="FP178" s="52"/>
      <c r="FQ178" s="52"/>
      <c r="FR178" s="52"/>
      <c r="FS178" s="52"/>
      <c r="FT178" s="52"/>
      <c r="FU178" s="52"/>
      <c r="FV178" s="52"/>
      <c r="FW178" s="52"/>
      <c r="FX178" s="52"/>
      <c r="FY178" s="52"/>
      <c r="FZ178" s="52"/>
      <c r="GA178" s="52"/>
      <c r="GB178" s="52"/>
      <c r="GC178" s="52"/>
      <c r="GD178" s="52"/>
      <c r="GE178" s="52"/>
      <c r="GF178" s="52"/>
      <c r="GG178" s="52"/>
      <c r="GH178" s="52"/>
      <c r="GI178" s="52"/>
      <c r="GJ178" s="52"/>
      <c r="GK178" s="52"/>
      <c r="GL178" s="52"/>
      <c r="GM178" s="52"/>
      <c r="GN178" s="52"/>
      <c r="GO178" s="52"/>
      <c r="GP178" s="52"/>
      <c r="GQ178" s="52"/>
      <c r="GR178" s="52"/>
      <c r="GS178" s="52"/>
      <c r="GT178" s="52"/>
      <c r="GU178" s="52"/>
      <c r="GV178" s="52"/>
      <c r="GW178" s="52"/>
      <c r="GX178" s="52"/>
      <c r="GY178" s="52"/>
      <c r="GZ178" s="52"/>
      <c r="HA178" s="52"/>
      <c r="HB178" s="52"/>
      <c r="HC178" s="52"/>
      <c r="HD178" s="52"/>
      <c r="HE178" s="52"/>
      <c r="HF178" s="52"/>
      <c r="HG178" s="52"/>
      <c r="HH178" s="52"/>
      <c r="HI178" s="52"/>
      <c r="HJ178" s="52"/>
      <c r="HK178" s="52"/>
      <c r="HL178" s="52"/>
      <c r="HM178" s="52"/>
      <c r="HN178" s="52"/>
      <c r="HO178" s="52"/>
      <c r="HP178" s="52"/>
      <c r="HQ178" s="52"/>
      <c r="HR178" s="52"/>
      <c r="HS178" s="52"/>
      <c r="HT178" s="52"/>
      <c r="HU178" s="52"/>
      <c r="HV178" s="52"/>
      <c r="HW178" s="52"/>
      <c r="HX178" s="52"/>
      <c r="HY178" s="52"/>
      <c r="HZ178" s="52"/>
      <c r="IA178" s="52"/>
      <c r="IB178" s="52"/>
      <c r="IC178" s="52"/>
      <c r="ID178" s="52"/>
      <c r="IE178" s="52"/>
      <c r="IF178" s="52"/>
      <c r="IG178" s="52"/>
      <c r="IH178" s="52"/>
      <c r="II178" s="52"/>
      <c r="IJ178" s="52"/>
      <c r="IK178" s="52"/>
      <c r="IL178" s="52"/>
      <c r="IM178" s="52"/>
      <c r="IN178" s="52"/>
      <c r="IO178" s="52"/>
      <c r="IP178" s="52"/>
      <c r="IQ178" s="52"/>
      <c r="IR178" s="52"/>
      <c r="IS178" s="52"/>
      <c r="IT178" s="52"/>
      <c r="IU178" s="52"/>
      <c r="IV178" s="52"/>
      <c r="IW178" s="52"/>
      <c r="IX178" s="52"/>
      <c r="IY178" s="52"/>
      <c r="IZ178" s="52"/>
      <c r="JA178" s="52"/>
      <c r="JB178" s="52"/>
      <c r="JC178" s="52"/>
      <c r="JD178" s="52"/>
      <c r="JE178" s="52"/>
      <c r="JF178" s="52"/>
      <c r="JG178" s="52"/>
      <c r="JH178" s="52"/>
      <c r="JI178" s="52"/>
      <c r="JJ178" s="52"/>
      <c r="JK178" s="52"/>
      <c r="JL178" s="52"/>
      <c r="JM178" s="52"/>
      <c r="JN178" s="52"/>
      <c r="JO178" s="52"/>
      <c r="JP178" s="52"/>
      <c r="JQ178" s="52"/>
      <c r="JR178" s="52"/>
      <c r="JS178" s="52"/>
      <c r="JT178" s="52"/>
      <c r="JU178" s="52"/>
      <c r="JV178" s="52"/>
      <c r="JW178" s="52"/>
      <c r="JX178" s="52"/>
      <c r="JY178" s="52"/>
      <c r="JZ178" s="52"/>
      <c r="KA178" s="52"/>
      <c r="KB178" s="52"/>
      <c r="KC178" s="52"/>
      <c r="KD178" s="52"/>
      <c r="KE178" s="52"/>
      <c r="KF178" s="52"/>
      <c r="KG178" s="52"/>
      <c r="KH178" s="52"/>
      <c r="KI178" s="52"/>
      <c r="KJ178" s="52"/>
      <c r="KK178" s="52"/>
      <c r="KL178" s="52"/>
      <c r="KM178" s="52"/>
      <c r="KN178" s="52"/>
      <c r="KO178" s="52"/>
      <c r="KP178" s="52"/>
      <c r="KQ178" s="52"/>
      <c r="KR178" s="52"/>
      <c r="KS178" s="52"/>
      <c r="KT178" s="52"/>
      <c r="KU178" s="52"/>
      <c r="KV178" s="52"/>
      <c r="KW178" s="52"/>
      <c r="KX178" s="52"/>
      <c r="KY178" s="52"/>
      <c r="KZ178" s="52"/>
      <c r="LA178" s="52"/>
      <c r="LB178" s="52"/>
      <c r="LC178" s="52"/>
      <c r="LD178" s="52"/>
      <c r="LE178" s="52"/>
      <c r="LF178" s="52"/>
      <c r="LG178" s="52"/>
      <c r="LH178" s="52"/>
      <c r="LI178" s="52"/>
      <c r="LJ178" s="52"/>
      <c r="LK178" s="52"/>
      <c r="LL178" s="52"/>
      <c r="LM178" s="52"/>
      <c r="LN178" s="52"/>
      <c r="LO178" s="52"/>
      <c r="LP178" s="52"/>
      <c r="LQ178" s="52"/>
      <c r="LR178" s="52"/>
      <c r="LS178" s="52"/>
      <c r="LT178" s="52"/>
      <c r="LU178" s="52"/>
      <c r="LV178" s="52"/>
      <c r="LW178" s="52"/>
      <c r="LX178" s="52"/>
      <c r="LY178" s="52"/>
      <c r="LZ178" s="52"/>
      <c r="MA178" s="52"/>
      <c r="MB178" s="52"/>
      <c r="MC178" s="52"/>
      <c r="MD178" s="52"/>
      <c r="ME178" s="52"/>
      <c r="MF178" s="52"/>
      <c r="MG178" s="52"/>
      <c r="MH178" s="52"/>
      <c r="MI178" s="52"/>
      <c r="MJ178" s="52"/>
      <c r="MK178" s="52"/>
      <c r="ML178" s="52"/>
      <c r="MM178" s="52"/>
      <c r="MN178" s="52"/>
      <c r="MO178" s="52"/>
      <c r="MP178" s="52"/>
      <c r="MQ178" s="52"/>
      <c r="MR178" s="52"/>
      <c r="MS178" s="52"/>
      <c r="MT178" s="52"/>
      <c r="MU178" s="52"/>
      <c r="MV178" s="52"/>
      <c r="MW178" s="52"/>
      <c r="MX178" s="52"/>
      <c r="MY178" s="52"/>
      <c r="MZ178" s="52"/>
      <c r="NA178" s="52"/>
      <c r="NB178" s="52"/>
      <c r="NC178" s="52"/>
      <c r="ND178" s="52"/>
      <c r="NE178" s="52"/>
      <c r="NF178" s="52"/>
      <c r="NG178" s="52"/>
      <c r="NH178" s="52"/>
    </row>
    <row r="179" spans="1:373" x14ac:dyDescent="0.2">
      <c r="A179" s="37">
        <v>177</v>
      </c>
      <c r="C179" s="17">
        <f>+'Detalle Compras'!D179</f>
        <v>0</v>
      </c>
      <c r="D179" s="55" t="str">
        <f t="shared" si="19"/>
        <v/>
      </c>
      <c r="E179" s="14" t="str">
        <f>+IF(B179="","",'Detalle Compras'!S179+0)</f>
        <v/>
      </c>
      <c r="F179" s="14" t="str">
        <f>+IF(B179="","",EOMONTH('Detalle Compras'!S179,G179)+10)</f>
        <v/>
      </c>
      <c r="G179" s="50">
        <f t="shared" si="20"/>
        <v>0</v>
      </c>
      <c r="H179" s="50">
        <f t="shared" si="21"/>
        <v>0</v>
      </c>
      <c r="M179" s="52"/>
      <c r="N179" s="52"/>
      <c r="O179" s="52"/>
      <c r="P179" s="52"/>
      <c r="Q179" s="52"/>
      <c r="R179" s="52"/>
      <c r="S179" s="52"/>
      <c r="T179" s="52"/>
      <c r="U179" s="52"/>
      <c r="V179" s="52"/>
      <c r="W179" s="52"/>
      <c r="X179" s="52"/>
      <c r="Y179" s="52"/>
      <c r="Z179" s="52"/>
      <c r="AA179" s="52"/>
      <c r="AB179" s="52"/>
      <c r="AC179" s="52"/>
      <c r="AD179" s="52"/>
      <c r="AE179" s="52"/>
      <c r="AF179" s="52"/>
      <c r="AG179" s="52"/>
      <c r="AH179" s="52"/>
      <c r="AI179" s="52"/>
      <c r="AJ179" s="52"/>
      <c r="AK179" s="52"/>
      <c r="AL179" s="52"/>
      <c r="AM179" s="52"/>
      <c r="AN179" s="52"/>
      <c r="AO179" s="52"/>
      <c r="AP179" s="52"/>
      <c r="AQ179" s="52"/>
      <c r="AR179" s="52"/>
      <c r="AS179" s="52"/>
      <c r="AT179" s="52"/>
      <c r="AU179" s="52"/>
      <c r="AV179" s="52"/>
      <c r="AW179" s="52"/>
      <c r="AX179" s="52"/>
      <c r="AY179" s="52"/>
      <c r="AZ179" s="52"/>
      <c r="BA179" s="52"/>
      <c r="BB179" s="52"/>
      <c r="BC179" s="52"/>
      <c r="BD179" s="52"/>
      <c r="BE179" s="52"/>
      <c r="BF179" s="52"/>
      <c r="BG179" s="52"/>
      <c r="BH179" s="52"/>
      <c r="BI179" s="52"/>
      <c r="BJ179" s="52"/>
      <c r="BK179" s="52"/>
      <c r="BL179" s="52"/>
      <c r="BM179" s="52"/>
      <c r="BN179" s="52"/>
      <c r="BO179" s="52"/>
      <c r="BP179" s="52"/>
      <c r="BQ179" s="52"/>
      <c r="BR179" s="52"/>
      <c r="BS179" s="52"/>
      <c r="BT179" s="52"/>
      <c r="BU179" s="52"/>
      <c r="BV179" s="52"/>
      <c r="BW179" s="52"/>
      <c r="BX179" s="52"/>
      <c r="BY179" s="52"/>
      <c r="BZ179" s="52"/>
      <c r="CA179" s="52"/>
      <c r="CB179" s="52"/>
      <c r="CC179" s="52"/>
      <c r="CD179" s="52"/>
      <c r="CE179" s="52"/>
      <c r="CF179" s="52"/>
      <c r="CG179" s="52"/>
      <c r="CH179" s="52"/>
      <c r="CI179" s="52"/>
      <c r="CJ179" s="52"/>
      <c r="CK179" s="52"/>
      <c r="CL179" s="52"/>
      <c r="CM179" s="52"/>
      <c r="CN179" s="52"/>
      <c r="CO179" s="52"/>
      <c r="CP179" s="52"/>
      <c r="CQ179" s="52"/>
      <c r="CR179" s="52"/>
      <c r="CS179" s="52"/>
      <c r="CT179" s="52"/>
      <c r="CU179" s="52"/>
      <c r="CV179" s="52"/>
      <c r="CW179" s="52"/>
      <c r="CX179" s="52"/>
      <c r="CY179" s="52"/>
      <c r="CZ179" s="52"/>
      <c r="DA179" s="52"/>
      <c r="DB179" s="52"/>
      <c r="DC179" s="52"/>
      <c r="DD179" s="52"/>
      <c r="DE179" s="52"/>
      <c r="DF179" s="52"/>
      <c r="DG179" s="52"/>
      <c r="DH179" s="52"/>
      <c r="DI179" s="52"/>
      <c r="DJ179" s="52"/>
      <c r="DK179" s="52"/>
      <c r="DL179" s="52"/>
      <c r="DM179" s="52"/>
      <c r="DN179" s="52"/>
      <c r="DO179" s="52"/>
      <c r="DP179" s="52"/>
      <c r="DQ179" s="52"/>
      <c r="DR179" s="52"/>
      <c r="DS179" s="52"/>
      <c r="DT179" s="52"/>
      <c r="DU179" s="52"/>
      <c r="DV179" s="52"/>
      <c r="DW179" s="52"/>
      <c r="DX179" s="52"/>
      <c r="DY179" s="52"/>
      <c r="DZ179" s="52"/>
      <c r="EA179" s="52"/>
      <c r="EB179" s="52"/>
      <c r="EC179" s="52"/>
      <c r="ED179" s="52"/>
      <c r="EE179" s="52"/>
      <c r="EF179" s="52"/>
      <c r="EG179" s="52"/>
      <c r="EH179" s="52"/>
      <c r="EI179" s="52"/>
      <c r="EJ179" s="52"/>
      <c r="EK179" s="52"/>
      <c r="EL179" s="52"/>
      <c r="EM179" s="52"/>
      <c r="EN179" s="52"/>
      <c r="EO179" s="52"/>
      <c r="EP179" s="52"/>
      <c r="EQ179" s="52"/>
      <c r="ER179" s="52"/>
      <c r="ES179" s="52"/>
      <c r="ET179" s="52"/>
      <c r="EU179" s="52"/>
      <c r="EV179" s="52"/>
      <c r="EW179" s="52"/>
      <c r="EX179" s="52"/>
      <c r="EY179" s="52"/>
      <c r="EZ179" s="52"/>
      <c r="FA179" s="52"/>
      <c r="FB179" s="52"/>
      <c r="FC179" s="52"/>
      <c r="FD179" s="52"/>
      <c r="FE179" s="52"/>
      <c r="FF179" s="52"/>
      <c r="FG179" s="52"/>
      <c r="FH179" s="52"/>
      <c r="FI179" s="52"/>
      <c r="FJ179" s="52"/>
      <c r="FK179" s="52"/>
      <c r="FL179" s="52"/>
      <c r="FM179" s="52"/>
      <c r="FN179" s="52"/>
      <c r="FO179" s="52"/>
      <c r="FP179" s="52"/>
      <c r="FQ179" s="52"/>
      <c r="FR179" s="52"/>
      <c r="FS179" s="52"/>
      <c r="FT179" s="52"/>
      <c r="FU179" s="52"/>
      <c r="FV179" s="52"/>
      <c r="FW179" s="52"/>
      <c r="FX179" s="52"/>
      <c r="FY179" s="52"/>
      <c r="FZ179" s="52"/>
      <c r="GA179" s="52"/>
      <c r="GB179" s="52"/>
      <c r="GC179" s="52"/>
      <c r="GD179" s="52"/>
      <c r="GE179" s="52"/>
      <c r="GF179" s="52"/>
      <c r="GG179" s="52"/>
      <c r="GH179" s="52"/>
      <c r="GI179" s="52"/>
      <c r="GJ179" s="52"/>
      <c r="GK179" s="52"/>
      <c r="GL179" s="52"/>
      <c r="GM179" s="52"/>
      <c r="GN179" s="52"/>
      <c r="GO179" s="52"/>
      <c r="GP179" s="52"/>
      <c r="GQ179" s="52"/>
      <c r="GR179" s="52"/>
      <c r="GS179" s="52"/>
      <c r="GT179" s="52"/>
      <c r="GU179" s="52"/>
      <c r="GV179" s="52"/>
      <c r="GW179" s="52"/>
      <c r="GX179" s="52"/>
      <c r="GY179" s="52"/>
      <c r="GZ179" s="52"/>
      <c r="HA179" s="52"/>
      <c r="HB179" s="52"/>
      <c r="HC179" s="52"/>
      <c r="HD179" s="52"/>
      <c r="HE179" s="52"/>
      <c r="HF179" s="52"/>
      <c r="HG179" s="52"/>
      <c r="HH179" s="52"/>
      <c r="HI179" s="52"/>
      <c r="HJ179" s="52"/>
      <c r="HK179" s="52"/>
      <c r="HL179" s="52"/>
      <c r="HM179" s="52"/>
      <c r="HN179" s="52"/>
      <c r="HO179" s="52"/>
      <c r="HP179" s="52"/>
      <c r="HQ179" s="52"/>
      <c r="HR179" s="52"/>
      <c r="HS179" s="52"/>
      <c r="HT179" s="52"/>
      <c r="HU179" s="52"/>
      <c r="HV179" s="52"/>
      <c r="HW179" s="52"/>
      <c r="HX179" s="52"/>
      <c r="HY179" s="52"/>
      <c r="HZ179" s="52"/>
      <c r="IA179" s="52"/>
      <c r="IB179" s="52"/>
      <c r="IC179" s="52"/>
      <c r="ID179" s="52"/>
      <c r="IE179" s="52"/>
      <c r="IF179" s="52"/>
      <c r="IG179" s="52"/>
      <c r="IH179" s="52"/>
      <c r="II179" s="52"/>
      <c r="IJ179" s="52"/>
      <c r="IK179" s="52"/>
      <c r="IL179" s="52"/>
      <c r="IM179" s="52"/>
      <c r="IN179" s="52"/>
      <c r="IO179" s="52"/>
      <c r="IP179" s="52"/>
      <c r="IQ179" s="52"/>
      <c r="IR179" s="52"/>
      <c r="IS179" s="52"/>
      <c r="IT179" s="52"/>
      <c r="IU179" s="52"/>
      <c r="IV179" s="52"/>
      <c r="IW179" s="52"/>
      <c r="IX179" s="52"/>
      <c r="IY179" s="52"/>
      <c r="IZ179" s="52"/>
      <c r="JA179" s="52"/>
      <c r="JB179" s="52"/>
      <c r="JC179" s="52"/>
      <c r="JD179" s="52"/>
      <c r="JE179" s="52"/>
      <c r="JF179" s="52"/>
      <c r="JG179" s="52"/>
      <c r="JH179" s="52"/>
      <c r="JI179" s="52"/>
      <c r="JJ179" s="52"/>
      <c r="JK179" s="52"/>
      <c r="JL179" s="52"/>
      <c r="JM179" s="52"/>
      <c r="JN179" s="52"/>
      <c r="JO179" s="52"/>
      <c r="JP179" s="52"/>
      <c r="JQ179" s="52"/>
      <c r="JR179" s="52"/>
      <c r="JS179" s="52"/>
      <c r="JT179" s="52"/>
      <c r="JU179" s="52"/>
      <c r="JV179" s="52"/>
      <c r="JW179" s="52"/>
      <c r="JX179" s="52"/>
      <c r="JY179" s="52"/>
      <c r="JZ179" s="52"/>
      <c r="KA179" s="52"/>
      <c r="KB179" s="52"/>
      <c r="KC179" s="52"/>
      <c r="KD179" s="52"/>
      <c r="KE179" s="52"/>
      <c r="KF179" s="52"/>
      <c r="KG179" s="52"/>
      <c r="KH179" s="52"/>
      <c r="KI179" s="52"/>
      <c r="KJ179" s="52"/>
      <c r="KK179" s="52"/>
      <c r="KL179" s="52"/>
      <c r="KM179" s="52"/>
      <c r="KN179" s="52"/>
      <c r="KO179" s="52"/>
      <c r="KP179" s="52"/>
      <c r="KQ179" s="52"/>
      <c r="KR179" s="52"/>
      <c r="KS179" s="52"/>
      <c r="KT179" s="52"/>
      <c r="KU179" s="52"/>
      <c r="KV179" s="52"/>
      <c r="KW179" s="52"/>
      <c r="KX179" s="52"/>
      <c r="KY179" s="52"/>
      <c r="KZ179" s="52"/>
      <c r="LA179" s="52"/>
      <c r="LB179" s="52"/>
      <c r="LC179" s="52"/>
      <c r="LD179" s="52"/>
      <c r="LE179" s="52"/>
      <c r="LF179" s="52"/>
      <c r="LG179" s="52"/>
      <c r="LH179" s="52"/>
      <c r="LI179" s="52"/>
      <c r="LJ179" s="52"/>
      <c r="LK179" s="52"/>
      <c r="LL179" s="52"/>
      <c r="LM179" s="52"/>
      <c r="LN179" s="52"/>
      <c r="LO179" s="52"/>
      <c r="LP179" s="52"/>
      <c r="LQ179" s="52"/>
      <c r="LR179" s="52"/>
      <c r="LS179" s="52"/>
      <c r="LT179" s="52"/>
      <c r="LU179" s="52"/>
      <c r="LV179" s="52"/>
      <c r="LW179" s="52"/>
      <c r="LX179" s="52"/>
      <c r="LY179" s="52"/>
      <c r="LZ179" s="52"/>
      <c r="MA179" s="52"/>
      <c r="MB179" s="52"/>
      <c r="MC179" s="52"/>
      <c r="MD179" s="52"/>
      <c r="ME179" s="52"/>
      <c r="MF179" s="52"/>
      <c r="MG179" s="52"/>
      <c r="MH179" s="52"/>
      <c r="MI179" s="52"/>
      <c r="MJ179" s="52"/>
      <c r="MK179" s="52"/>
      <c r="ML179" s="52"/>
      <c r="MM179" s="52"/>
      <c r="MN179" s="52"/>
      <c r="MO179" s="52"/>
      <c r="MP179" s="52"/>
      <c r="MQ179" s="52"/>
      <c r="MR179" s="52"/>
      <c r="MS179" s="52"/>
      <c r="MT179" s="52"/>
      <c r="MU179" s="52"/>
      <c r="MV179" s="52"/>
      <c r="MW179" s="52"/>
      <c r="MX179" s="52"/>
      <c r="MY179" s="52"/>
      <c r="MZ179" s="52"/>
      <c r="NA179" s="52"/>
      <c r="NB179" s="52"/>
      <c r="NC179" s="52"/>
      <c r="ND179" s="52"/>
      <c r="NE179" s="52"/>
      <c r="NF179" s="52"/>
      <c r="NG179" s="52"/>
      <c r="NH179" s="52"/>
      <c r="NI179" s="52"/>
    </row>
    <row r="180" spans="1:373" x14ac:dyDescent="0.2">
      <c r="A180" s="37">
        <v>178</v>
      </c>
      <c r="C180" s="17">
        <f>+'Detalle Compras'!D180</f>
        <v>0</v>
      </c>
      <c r="D180" s="55" t="str">
        <f t="shared" si="19"/>
        <v/>
      </c>
      <c r="E180" s="14" t="str">
        <f>+IF(B180="","",'Detalle Compras'!S180+0)</f>
        <v/>
      </c>
      <c r="F180" s="14" t="str">
        <f>+IF(B180="","",EOMONTH('Detalle Compras'!S180,G180)+10)</f>
        <v/>
      </c>
      <c r="G180" s="50">
        <f t="shared" si="20"/>
        <v>0</v>
      </c>
      <c r="H180" s="50">
        <f t="shared" si="21"/>
        <v>0</v>
      </c>
      <c r="M180" s="52"/>
      <c r="N180" s="52"/>
      <c r="O180" s="52"/>
      <c r="P180" s="52"/>
      <c r="Q180" s="52"/>
      <c r="R180" s="52"/>
      <c r="S180" s="52"/>
      <c r="T180" s="52"/>
      <c r="U180" s="52"/>
      <c r="V180" s="52"/>
      <c r="W180" s="52"/>
      <c r="X180" s="52"/>
      <c r="Y180" s="52"/>
      <c r="Z180" s="52"/>
      <c r="AA180" s="52"/>
      <c r="AB180" s="52"/>
      <c r="AC180" s="52"/>
      <c r="AD180" s="52"/>
      <c r="AE180" s="52"/>
      <c r="AF180" s="52"/>
      <c r="AG180" s="52"/>
      <c r="AH180" s="52"/>
      <c r="AI180" s="52"/>
      <c r="AJ180" s="52"/>
      <c r="AK180" s="52"/>
      <c r="AL180" s="52"/>
      <c r="AM180" s="52"/>
      <c r="AN180" s="52"/>
      <c r="AO180" s="52"/>
      <c r="AP180" s="52"/>
      <c r="AQ180" s="52"/>
      <c r="AR180" s="52"/>
      <c r="AS180" s="52"/>
      <c r="AT180" s="52"/>
      <c r="AU180" s="52"/>
      <c r="AV180" s="52"/>
      <c r="AW180" s="52"/>
      <c r="AX180" s="52"/>
      <c r="AY180" s="52"/>
      <c r="AZ180" s="52"/>
      <c r="BA180" s="52"/>
      <c r="BB180" s="52"/>
      <c r="BC180" s="52"/>
      <c r="BD180" s="52"/>
      <c r="BE180" s="52"/>
      <c r="BF180" s="52"/>
      <c r="BG180" s="52"/>
      <c r="BH180" s="52"/>
      <c r="BI180" s="52"/>
      <c r="BJ180" s="52"/>
      <c r="BK180" s="52"/>
      <c r="BL180" s="52"/>
      <c r="BM180" s="52"/>
      <c r="BN180" s="52"/>
      <c r="BO180" s="52"/>
      <c r="BP180" s="52"/>
      <c r="BQ180" s="52"/>
      <c r="BR180" s="52"/>
      <c r="BS180" s="52"/>
      <c r="BT180" s="52"/>
      <c r="BU180" s="52"/>
      <c r="BV180" s="52"/>
      <c r="BW180" s="52"/>
      <c r="BX180" s="52"/>
      <c r="BY180" s="52"/>
      <c r="BZ180" s="52"/>
      <c r="CA180" s="52"/>
      <c r="CB180" s="52"/>
      <c r="CC180" s="52"/>
      <c r="CD180" s="52"/>
      <c r="CE180" s="52"/>
      <c r="CF180" s="52"/>
      <c r="CG180" s="52"/>
      <c r="CH180" s="52"/>
      <c r="CI180" s="52"/>
      <c r="CJ180" s="52"/>
      <c r="CK180" s="52"/>
      <c r="CL180" s="52"/>
      <c r="CM180" s="52"/>
      <c r="CN180" s="52"/>
      <c r="CO180" s="52"/>
      <c r="CP180" s="52"/>
      <c r="CQ180" s="52"/>
      <c r="CR180" s="52"/>
      <c r="CS180" s="52"/>
      <c r="CT180" s="52"/>
      <c r="CU180" s="52"/>
      <c r="CV180" s="52"/>
      <c r="CW180" s="52"/>
      <c r="CX180" s="52"/>
      <c r="CY180" s="52"/>
      <c r="CZ180" s="52"/>
      <c r="DA180" s="52"/>
      <c r="DB180" s="52"/>
      <c r="DC180" s="52"/>
      <c r="DD180" s="52"/>
      <c r="DE180" s="52"/>
      <c r="DF180" s="52"/>
      <c r="DG180" s="52"/>
      <c r="DH180" s="52"/>
      <c r="DI180" s="52"/>
      <c r="DJ180" s="52"/>
      <c r="DK180" s="52"/>
      <c r="DL180" s="52"/>
      <c r="DM180" s="52"/>
      <c r="DN180" s="52"/>
      <c r="DO180" s="52"/>
      <c r="DP180" s="52"/>
      <c r="DQ180" s="52"/>
      <c r="DR180" s="52"/>
      <c r="DS180" s="52"/>
      <c r="DT180" s="52"/>
      <c r="DU180" s="52"/>
      <c r="DV180" s="52"/>
      <c r="DW180" s="52"/>
      <c r="DX180" s="52"/>
      <c r="DY180" s="52"/>
      <c r="DZ180" s="52"/>
      <c r="EA180" s="52"/>
      <c r="EB180" s="52"/>
      <c r="EC180" s="52"/>
      <c r="ED180" s="52"/>
      <c r="EE180" s="52"/>
      <c r="EF180" s="52"/>
      <c r="EG180" s="52"/>
      <c r="EH180" s="52"/>
      <c r="EI180" s="52"/>
      <c r="EJ180" s="52"/>
      <c r="EK180" s="52"/>
      <c r="EL180" s="52"/>
      <c r="EM180" s="52"/>
      <c r="EN180" s="52"/>
      <c r="EO180" s="52"/>
      <c r="EP180" s="52"/>
      <c r="EQ180" s="52"/>
      <c r="ER180" s="52"/>
      <c r="ES180" s="52"/>
      <c r="ET180" s="52"/>
      <c r="EU180" s="52"/>
      <c r="EV180" s="52"/>
      <c r="EW180" s="52"/>
      <c r="EX180" s="52"/>
      <c r="EY180" s="52"/>
      <c r="EZ180" s="52"/>
      <c r="FA180" s="52"/>
      <c r="FB180" s="52"/>
      <c r="FC180" s="52"/>
      <c r="FD180" s="52"/>
      <c r="FE180" s="52"/>
      <c r="FF180" s="52"/>
      <c r="FG180" s="52"/>
      <c r="FH180" s="52"/>
      <c r="FI180" s="52"/>
      <c r="FJ180" s="52"/>
      <c r="FK180" s="52"/>
      <c r="FL180" s="52"/>
      <c r="FM180" s="52"/>
      <c r="FN180" s="52"/>
      <c r="FO180" s="52"/>
      <c r="FP180" s="52"/>
      <c r="FQ180" s="52"/>
      <c r="FR180" s="52"/>
      <c r="FS180" s="52"/>
      <c r="FT180" s="52"/>
      <c r="FU180" s="52"/>
      <c r="FV180" s="52"/>
      <c r="FW180" s="52"/>
      <c r="FX180" s="52"/>
      <c r="FY180" s="52"/>
      <c r="FZ180" s="52"/>
      <c r="GA180" s="52"/>
      <c r="GB180" s="52"/>
      <c r="GC180" s="52"/>
      <c r="GD180" s="52"/>
      <c r="GE180" s="52"/>
      <c r="GF180" s="52"/>
      <c r="GG180" s="52"/>
      <c r="GH180" s="52"/>
      <c r="GI180" s="52"/>
      <c r="GJ180" s="52"/>
      <c r="GK180" s="52"/>
      <c r="GL180" s="52"/>
      <c r="GM180" s="52"/>
      <c r="GN180" s="52"/>
      <c r="GO180" s="52"/>
      <c r="GP180" s="52"/>
      <c r="GQ180" s="52"/>
      <c r="GR180" s="52"/>
      <c r="GS180" s="52"/>
      <c r="GT180" s="52"/>
      <c r="GU180" s="52"/>
      <c r="GV180" s="52"/>
      <c r="GW180" s="52"/>
      <c r="GX180" s="52"/>
      <c r="GY180" s="52"/>
      <c r="GZ180" s="52"/>
      <c r="HA180" s="52"/>
      <c r="HB180" s="52"/>
      <c r="HC180" s="52"/>
      <c r="HD180" s="52"/>
      <c r="HE180" s="52"/>
      <c r="HF180" s="52"/>
      <c r="HG180" s="52"/>
      <c r="HH180" s="52"/>
      <c r="HI180" s="52"/>
      <c r="HJ180" s="52"/>
      <c r="HK180" s="52"/>
      <c r="HL180" s="52"/>
      <c r="HM180" s="52"/>
      <c r="HN180" s="52"/>
      <c r="HO180" s="52"/>
      <c r="HP180" s="52"/>
      <c r="HQ180" s="52"/>
      <c r="HR180" s="52"/>
      <c r="HS180" s="52"/>
      <c r="HT180" s="52"/>
      <c r="HU180" s="52"/>
      <c r="HV180" s="52"/>
      <c r="HW180" s="52"/>
      <c r="HX180" s="52"/>
      <c r="HY180" s="52"/>
      <c r="HZ180" s="52"/>
      <c r="IA180" s="52"/>
      <c r="IB180" s="52"/>
      <c r="IC180" s="52"/>
      <c r="ID180" s="52"/>
      <c r="IE180" s="52"/>
      <c r="IF180" s="52"/>
      <c r="IG180" s="52"/>
      <c r="IH180" s="52"/>
      <c r="II180" s="52"/>
      <c r="IJ180" s="52"/>
      <c r="IK180" s="52"/>
      <c r="IL180" s="52"/>
      <c r="IM180" s="52"/>
      <c r="IN180" s="52"/>
      <c r="IO180" s="52"/>
      <c r="IP180" s="52"/>
      <c r="IQ180" s="52"/>
      <c r="IR180" s="52"/>
      <c r="IS180" s="52"/>
      <c r="IT180" s="52"/>
      <c r="IU180" s="52"/>
      <c r="IV180" s="52"/>
      <c r="IW180" s="52"/>
      <c r="IX180" s="52"/>
      <c r="IY180" s="52"/>
      <c r="IZ180" s="52"/>
      <c r="JA180" s="52"/>
      <c r="JB180" s="52"/>
      <c r="JC180" s="52"/>
      <c r="JD180" s="52"/>
      <c r="JE180" s="52"/>
      <c r="JF180" s="52"/>
      <c r="JG180" s="52"/>
      <c r="JH180" s="52"/>
      <c r="JI180" s="52"/>
      <c r="JJ180" s="52"/>
      <c r="JK180" s="52"/>
      <c r="JL180" s="52"/>
      <c r="JM180" s="52"/>
      <c r="JN180" s="52"/>
      <c r="JO180" s="52"/>
      <c r="JP180" s="52"/>
      <c r="JQ180" s="52"/>
      <c r="JR180" s="52"/>
      <c r="JS180" s="52"/>
      <c r="JT180" s="52"/>
      <c r="JU180" s="52"/>
      <c r="JV180" s="52"/>
      <c r="JW180" s="52"/>
      <c r="JX180" s="52"/>
      <c r="JY180" s="52"/>
      <c r="JZ180" s="52"/>
      <c r="KA180" s="52"/>
      <c r="KB180" s="52"/>
      <c r="KC180" s="52"/>
      <c r="KD180" s="52"/>
      <c r="KE180" s="52"/>
      <c r="KF180" s="52"/>
      <c r="KG180" s="52"/>
      <c r="KH180" s="52"/>
      <c r="KI180" s="52"/>
      <c r="KJ180" s="52"/>
      <c r="KK180" s="52"/>
      <c r="KL180" s="52"/>
      <c r="KM180" s="52"/>
      <c r="KN180" s="52"/>
      <c r="KO180" s="52"/>
      <c r="KP180" s="52"/>
      <c r="KQ180" s="52"/>
      <c r="KR180" s="52"/>
      <c r="KS180" s="52"/>
      <c r="KT180" s="52"/>
      <c r="KU180" s="52"/>
      <c r="KV180" s="52"/>
      <c r="KW180" s="52"/>
      <c r="KX180" s="52"/>
      <c r="KY180" s="52"/>
      <c r="KZ180" s="52"/>
      <c r="LA180" s="52"/>
      <c r="LB180" s="52"/>
      <c r="LC180" s="52"/>
      <c r="LD180" s="52"/>
      <c r="LE180" s="52"/>
      <c r="LF180" s="52"/>
      <c r="LG180" s="52"/>
      <c r="LH180" s="52"/>
      <c r="LI180" s="52"/>
      <c r="LJ180" s="52"/>
      <c r="LK180" s="52"/>
      <c r="LL180" s="52"/>
      <c r="LM180" s="52"/>
      <c r="LN180" s="52"/>
      <c r="LO180" s="52"/>
      <c r="LP180" s="52"/>
      <c r="LQ180" s="52"/>
      <c r="LR180" s="52"/>
      <c r="LS180" s="52"/>
      <c r="LT180" s="52"/>
      <c r="LU180" s="52"/>
      <c r="LV180" s="52"/>
      <c r="LW180" s="52"/>
      <c r="LX180" s="52"/>
      <c r="LY180" s="52"/>
      <c r="LZ180" s="52"/>
      <c r="MA180" s="52"/>
      <c r="MB180" s="52"/>
      <c r="MC180" s="52"/>
      <c r="MD180" s="52"/>
      <c r="ME180" s="52"/>
      <c r="MF180" s="52"/>
      <c r="MG180" s="52"/>
      <c r="MH180" s="52"/>
      <c r="MI180" s="52"/>
      <c r="MJ180" s="52"/>
      <c r="MK180" s="52"/>
      <c r="ML180" s="52"/>
      <c r="MM180" s="52"/>
      <c r="MN180" s="52"/>
      <c r="MO180" s="52"/>
      <c r="MP180" s="52"/>
      <c r="MQ180" s="52"/>
      <c r="MR180" s="52"/>
      <c r="MS180" s="52"/>
      <c r="MT180" s="52"/>
      <c r="MU180" s="52"/>
      <c r="MV180" s="52"/>
      <c r="MW180" s="52"/>
      <c r="MX180" s="52"/>
      <c r="MY180" s="52"/>
      <c r="MZ180" s="52"/>
      <c r="NA180" s="52"/>
      <c r="NB180" s="52"/>
      <c r="NC180" s="52"/>
      <c r="ND180" s="52"/>
      <c r="NE180" s="52"/>
      <c r="NF180" s="52"/>
      <c r="NG180" s="52"/>
      <c r="NH180" s="52"/>
    </row>
    <row r="181" spans="1:373" x14ac:dyDescent="0.2">
      <c r="A181" s="37">
        <v>179</v>
      </c>
      <c r="C181" s="17">
        <f>+'Detalle Compras'!D181</f>
        <v>0</v>
      </c>
      <c r="D181" s="55" t="str">
        <f t="shared" si="19"/>
        <v/>
      </c>
      <c r="E181" s="14" t="str">
        <f>+IF(B181="","",'Detalle Compras'!S181+0)</f>
        <v/>
      </c>
      <c r="F181" s="14" t="str">
        <f>+IF(B181="","",EOMONTH('Detalle Compras'!S181,G181)+10)</f>
        <v/>
      </c>
      <c r="G181" s="50">
        <f t="shared" si="20"/>
        <v>0</v>
      </c>
      <c r="H181" s="50">
        <f t="shared" si="21"/>
        <v>0</v>
      </c>
      <c r="M181" s="52"/>
      <c r="N181" s="52"/>
      <c r="O181" s="52"/>
      <c r="P181" s="52"/>
      <c r="Q181" s="52"/>
      <c r="R181" s="52"/>
      <c r="S181" s="52"/>
      <c r="T181" s="52"/>
      <c r="U181" s="52"/>
      <c r="V181" s="52"/>
      <c r="W181" s="52"/>
      <c r="X181" s="52"/>
      <c r="Y181" s="52"/>
      <c r="Z181" s="52"/>
      <c r="AA181" s="52"/>
      <c r="AB181" s="52"/>
      <c r="AC181" s="52"/>
      <c r="AD181" s="52"/>
      <c r="AE181" s="52"/>
      <c r="AF181" s="52"/>
      <c r="AG181" s="52"/>
      <c r="AH181" s="52"/>
      <c r="AI181" s="52"/>
      <c r="AJ181" s="52"/>
      <c r="AK181" s="52"/>
      <c r="AL181" s="52"/>
      <c r="AM181" s="52"/>
      <c r="AN181" s="52"/>
      <c r="AO181" s="52"/>
      <c r="AP181" s="52"/>
      <c r="AQ181" s="52"/>
      <c r="AR181" s="52"/>
      <c r="AS181" s="52"/>
      <c r="AT181" s="52"/>
      <c r="AU181" s="52"/>
      <c r="AV181" s="52"/>
      <c r="AW181" s="52"/>
      <c r="AX181" s="52"/>
      <c r="AY181" s="52"/>
      <c r="AZ181" s="52"/>
      <c r="BA181" s="52"/>
      <c r="BB181" s="52"/>
      <c r="BC181" s="52"/>
      <c r="BD181" s="52"/>
      <c r="BE181" s="52"/>
      <c r="BF181" s="52"/>
      <c r="BG181" s="52"/>
      <c r="BH181" s="52"/>
      <c r="BI181" s="52"/>
      <c r="BJ181" s="52"/>
      <c r="BK181" s="52"/>
      <c r="BL181" s="52"/>
      <c r="BM181" s="52"/>
      <c r="BN181" s="52"/>
      <c r="BO181" s="52"/>
      <c r="BP181" s="52"/>
      <c r="BQ181" s="52"/>
      <c r="BR181" s="52"/>
      <c r="BS181" s="52"/>
      <c r="BT181" s="52"/>
      <c r="BU181" s="52"/>
      <c r="BV181" s="52"/>
      <c r="BW181" s="52"/>
      <c r="BX181" s="52"/>
      <c r="BY181" s="52"/>
      <c r="BZ181" s="52"/>
      <c r="CA181" s="52"/>
      <c r="CB181" s="52"/>
      <c r="CC181" s="52"/>
      <c r="CD181" s="52"/>
      <c r="CE181" s="52"/>
      <c r="CF181" s="52"/>
      <c r="CG181" s="52"/>
      <c r="CH181" s="52"/>
      <c r="CI181" s="52"/>
      <c r="CJ181" s="52"/>
      <c r="CK181" s="52"/>
      <c r="CL181" s="52"/>
      <c r="CM181" s="52"/>
      <c r="CN181" s="52"/>
      <c r="CO181" s="52"/>
      <c r="CP181" s="52"/>
      <c r="CQ181" s="52"/>
      <c r="CR181" s="52"/>
      <c r="CS181" s="52"/>
      <c r="CT181" s="52"/>
      <c r="CU181" s="52"/>
      <c r="CV181" s="52"/>
      <c r="CW181" s="52"/>
      <c r="CX181" s="52"/>
      <c r="CY181" s="52"/>
      <c r="CZ181" s="52"/>
      <c r="DA181" s="52"/>
      <c r="DB181" s="52"/>
      <c r="DC181" s="52"/>
      <c r="DD181" s="52"/>
      <c r="DE181" s="52"/>
      <c r="DF181" s="52"/>
      <c r="DG181" s="52"/>
      <c r="DH181" s="52"/>
      <c r="DI181" s="52"/>
      <c r="DJ181" s="52"/>
      <c r="DK181" s="52"/>
      <c r="DL181" s="52"/>
      <c r="DM181" s="52"/>
      <c r="DN181" s="52"/>
      <c r="DO181" s="52"/>
      <c r="DP181" s="52"/>
      <c r="DQ181" s="52"/>
      <c r="DR181" s="52"/>
      <c r="DS181" s="52"/>
      <c r="DT181" s="52"/>
      <c r="DU181" s="52"/>
      <c r="DV181" s="52"/>
      <c r="DW181" s="52"/>
      <c r="DX181" s="52"/>
      <c r="DY181" s="52"/>
      <c r="DZ181" s="52"/>
      <c r="EA181" s="52"/>
      <c r="EB181" s="52"/>
      <c r="EC181" s="52"/>
      <c r="ED181" s="52"/>
      <c r="EE181" s="52"/>
      <c r="EF181" s="52"/>
      <c r="EG181" s="52"/>
      <c r="EH181" s="52"/>
      <c r="EI181" s="52"/>
      <c r="EJ181" s="52"/>
      <c r="EK181" s="52"/>
      <c r="EL181" s="52"/>
      <c r="EM181" s="52"/>
      <c r="EN181" s="52"/>
      <c r="EO181" s="52"/>
      <c r="EP181" s="52"/>
      <c r="EQ181" s="52"/>
      <c r="ER181" s="52"/>
      <c r="ES181" s="52"/>
      <c r="ET181" s="52"/>
      <c r="EU181" s="52"/>
      <c r="EV181" s="52"/>
      <c r="EW181" s="52"/>
      <c r="EX181" s="52"/>
      <c r="EY181" s="52"/>
      <c r="EZ181" s="52"/>
      <c r="FA181" s="52"/>
      <c r="FB181" s="52"/>
      <c r="FC181" s="52"/>
      <c r="FD181" s="52"/>
      <c r="FE181" s="52"/>
      <c r="FF181" s="52"/>
      <c r="FG181" s="52"/>
      <c r="FH181" s="52"/>
      <c r="FI181" s="52"/>
      <c r="FJ181" s="52"/>
      <c r="FK181" s="52"/>
      <c r="FL181" s="52"/>
      <c r="FM181" s="52"/>
      <c r="FN181" s="52"/>
      <c r="FO181" s="52"/>
      <c r="FP181" s="52"/>
      <c r="FQ181" s="52"/>
      <c r="FR181" s="52"/>
      <c r="FS181" s="52"/>
      <c r="FT181" s="52"/>
      <c r="FU181" s="52"/>
      <c r="FV181" s="52"/>
      <c r="FW181" s="52"/>
      <c r="FX181" s="52"/>
      <c r="FY181" s="52"/>
      <c r="FZ181" s="52"/>
      <c r="GA181" s="52"/>
      <c r="GB181" s="52"/>
      <c r="GC181" s="52"/>
      <c r="GD181" s="52"/>
      <c r="GE181" s="52"/>
      <c r="GF181" s="52"/>
      <c r="GG181" s="52"/>
      <c r="GH181" s="52"/>
      <c r="GI181" s="52"/>
      <c r="GJ181" s="52"/>
      <c r="GK181" s="52"/>
      <c r="GL181" s="52"/>
      <c r="GM181" s="52"/>
      <c r="GN181" s="52"/>
      <c r="GO181" s="52"/>
      <c r="GP181" s="52"/>
      <c r="GQ181" s="52"/>
      <c r="GR181" s="52"/>
      <c r="GS181" s="52"/>
      <c r="GT181" s="52"/>
      <c r="GU181" s="52"/>
      <c r="GV181" s="52"/>
      <c r="GW181" s="52"/>
      <c r="GX181" s="52"/>
      <c r="GY181" s="52"/>
      <c r="GZ181" s="52"/>
      <c r="HA181" s="52"/>
      <c r="HB181" s="52"/>
      <c r="HC181" s="52"/>
      <c r="HD181" s="52"/>
      <c r="HE181" s="52"/>
      <c r="HF181" s="52"/>
      <c r="HG181" s="52"/>
      <c r="HH181" s="52"/>
      <c r="HI181" s="52"/>
      <c r="HJ181" s="52"/>
      <c r="HK181" s="52"/>
      <c r="HL181" s="52"/>
      <c r="HM181" s="52"/>
      <c r="HN181" s="52"/>
      <c r="HO181" s="52"/>
      <c r="HP181" s="52"/>
      <c r="HQ181" s="52"/>
      <c r="HR181" s="52"/>
      <c r="HS181" s="52"/>
      <c r="HT181" s="52"/>
      <c r="HU181" s="52"/>
      <c r="HV181" s="52"/>
      <c r="HW181" s="52"/>
      <c r="HX181" s="52"/>
      <c r="HY181" s="52"/>
      <c r="HZ181" s="52"/>
      <c r="IA181" s="52"/>
      <c r="IB181" s="52"/>
      <c r="IC181" s="52"/>
      <c r="ID181" s="52"/>
      <c r="IE181" s="52"/>
      <c r="IF181" s="52"/>
      <c r="IG181" s="52"/>
      <c r="IH181" s="52"/>
      <c r="II181" s="52"/>
      <c r="IJ181" s="52"/>
      <c r="IK181" s="52"/>
      <c r="IL181" s="52"/>
      <c r="IM181" s="52"/>
      <c r="IN181" s="52"/>
      <c r="IO181" s="52"/>
      <c r="IP181" s="52"/>
      <c r="IQ181" s="52"/>
      <c r="IR181" s="52"/>
      <c r="IS181" s="52"/>
      <c r="IT181" s="52"/>
      <c r="IU181" s="52"/>
      <c r="IV181" s="52"/>
      <c r="IW181" s="52"/>
      <c r="IX181" s="52"/>
      <c r="IY181" s="52"/>
      <c r="IZ181" s="52"/>
      <c r="JA181" s="52"/>
      <c r="JB181" s="52"/>
      <c r="JC181" s="52"/>
      <c r="JD181" s="52"/>
      <c r="JE181" s="52"/>
      <c r="JF181" s="52"/>
      <c r="JG181" s="52"/>
      <c r="JH181" s="52"/>
      <c r="JI181" s="52"/>
      <c r="JJ181" s="52"/>
      <c r="JK181" s="52"/>
      <c r="JL181" s="52"/>
      <c r="JM181" s="52"/>
      <c r="JN181" s="52"/>
      <c r="JO181" s="52"/>
      <c r="JP181" s="52"/>
      <c r="JQ181" s="52"/>
      <c r="JR181" s="52"/>
      <c r="JS181" s="52"/>
      <c r="JT181" s="52"/>
      <c r="JU181" s="52"/>
      <c r="JV181" s="52"/>
      <c r="JW181" s="52"/>
      <c r="JX181" s="52"/>
      <c r="JY181" s="52"/>
      <c r="JZ181" s="52"/>
      <c r="KA181" s="52"/>
      <c r="KB181" s="52"/>
      <c r="KC181" s="52"/>
      <c r="KD181" s="52"/>
      <c r="KE181" s="52"/>
      <c r="KF181" s="52"/>
      <c r="KG181" s="52"/>
      <c r="KH181" s="52"/>
      <c r="KI181" s="52"/>
      <c r="KJ181" s="52"/>
      <c r="KK181" s="52"/>
      <c r="KL181" s="52"/>
      <c r="KM181" s="52"/>
      <c r="KN181" s="52"/>
      <c r="KO181" s="52"/>
      <c r="KP181" s="52"/>
      <c r="KQ181" s="52"/>
      <c r="KR181" s="52"/>
      <c r="KS181" s="52"/>
      <c r="KT181" s="52"/>
      <c r="KU181" s="52"/>
      <c r="KV181" s="52"/>
      <c r="KW181" s="52"/>
      <c r="KX181" s="52"/>
      <c r="KY181" s="52"/>
      <c r="KZ181" s="52"/>
      <c r="LA181" s="52"/>
      <c r="LB181" s="52"/>
      <c r="LC181" s="52"/>
      <c r="LD181" s="52"/>
      <c r="LE181" s="52"/>
      <c r="LF181" s="52"/>
      <c r="LG181" s="52"/>
      <c r="LH181" s="52"/>
      <c r="LI181" s="52"/>
      <c r="LJ181" s="52"/>
      <c r="LK181" s="52"/>
      <c r="LL181" s="52"/>
      <c r="LM181" s="52"/>
      <c r="LN181" s="52"/>
      <c r="LO181" s="52"/>
      <c r="LP181" s="52"/>
      <c r="LQ181" s="52"/>
      <c r="LR181" s="52"/>
      <c r="LS181" s="52"/>
      <c r="LT181" s="52"/>
      <c r="LU181" s="52"/>
      <c r="LV181" s="52"/>
      <c r="LW181" s="52"/>
      <c r="LX181" s="52"/>
      <c r="LY181" s="52"/>
      <c r="LZ181" s="52"/>
      <c r="MA181" s="52"/>
      <c r="MB181" s="52"/>
      <c r="MC181" s="52"/>
      <c r="MD181" s="52"/>
      <c r="ME181" s="52"/>
      <c r="MF181" s="52"/>
      <c r="MG181" s="52"/>
      <c r="MH181" s="52"/>
      <c r="MI181" s="52"/>
      <c r="MJ181" s="52"/>
      <c r="MK181" s="52"/>
      <c r="ML181" s="52"/>
      <c r="MM181" s="52"/>
      <c r="MN181" s="52"/>
      <c r="MO181" s="52"/>
      <c r="MP181" s="52"/>
      <c r="MQ181" s="52"/>
      <c r="MR181" s="52"/>
      <c r="MS181" s="52"/>
      <c r="MT181" s="52"/>
      <c r="MU181" s="52"/>
      <c r="MV181" s="52"/>
      <c r="MW181" s="52"/>
      <c r="MX181" s="52"/>
      <c r="MY181" s="52"/>
      <c r="MZ181" s="52"/>
      <c r="NA181" s="52"/>
      <c r="NB181" s="52"/>
      <c r="NC181" s="52"/>
      <c r="ND181" s="52"/>
      <c r="NE181" s="52"/>
      <c r="NF181" s="52"/>
      <c r="NG181" s="52"/>
      <c r="NH181" s="52"/>
    </row>
    <row r="182" spans="1:373" x14ac:dyDescent="0.2">
      <c r="A182" s="37">
        <v>180</v>
      </c>
      <c r="C182" s="17">
        <f>+'Detalle Compras'!D182</f>
        <v>0</v>
      </c>
      <c r="D182" s="55" t="str">
        <f t="shared" si="19"/>
        <v/>
      </c>
      <c r="E182" s="14" t="str">
        <f>+IF(B182="","",'Detalle Compras'!S182+0)</f>
        <v/>
      </c>
      <c r="F182" s="14" t="str">
        <f>+IF(B182="","",EOMONTH('Detalle Compras'!S182,G182)+10)</f>
        <v/>
      </c>
      <c r="G182" s="50">
        <f t="shared" si="20"/>
        <v>0</v>
      </c>
      <c r="H182" s="50">
        <f t="shared" si="21"/>
        <v>0</v>
      </c>
      <c r="M182" s="52"/>
      <c r="N182" s="52"/>
      <c r="O182" s="52"/>
      <c r="P182" s="52"/>
      <c r="Q182" s="52"/>
      <c r="R182" s="52"/>
      <c r="S182" s="52"/>
      <c r="T182" s="52"/>
      <c r="U182" s="52"/>
      <c r="V182" s="52"/>
      <c r="W182" s="52"/>
      <c r="X182" s="52"/>
      <c r="Y182" s="52"/>
      <c r="Z182" s="52"/>
      <c r="AA182" s="52"/>
      <c r="AB182" s="52"/>
      <c r="AC182" s="52"/>
      <c r="AD182" s="52"/>
      <c r="AE182" s="52"/>
      <c r="AF182" s="52"/>
      <c r="AG182" s="52"/>
      <c r="AH182" s="52"/>
      <c r="AI182" s="52"/>
      <c r="AJ182" s="52"/>
      <c r="AK182" s="52"/>
      <c r="AL182" s="52"/>
      <c r="AM182" s="52"/>
      <c r="AN182" s="52"/>
      <c r="AO182" s="52"/>
      <c r="AP182" s="52"/>
      <c r="AQ182" s="52"/>
      <c r="AR182" s="52"/>
      <c r="AS182" s="52"/>
      <c r="AT182" s="52"/>
      <c r="AU182" s="52"/>
      <c r="AV182" s="52"/>
      <c r="AW182" s="52"/>
      <c r="AX182" s="52"/>
      <c r="AY182" s="52"/>
      <c r="AZ182" s="52"/>
      <c r="BA182" s="52"/>
      <c r="BB182" s="52"/>
      <c r="BC182" s="52"/>
      <c r="BD182" s="52"/>
      <c r="BE182" s="52"/>
      <c r="BF182" s="52"/>
      <c r="BG182" s="52"/>
      <c r="BH182" s="52"/>
      <c r="BI182" s="52"/>
      <c r="BJ182" s="52"/>
      <c r="BK182" s="52"/>
      <c r="BL182" s="52"/>
      <c r="BM182" s="52"/>
      <c r="BN182" s="52"/>
      <c r="BO182" s="52"/>
      <c r="BP182" s="52"/>
      <c r="BQ182" s="52"/>
      <c r="BR182" s="52"/>
      <c r="BS182" s="52"/>
      <c r="BT182" s="52"/>
      <c r="BU182" s="52"/>
      <c r="BV182" s="52"/>
      <c r="BW182" s="52"/>
      <c r="BX182" s="52"/>
      <c r="BY182" s="52"/>
      <c r="BZ182" s="52"/>
      <c r="CA182" s="52"/>
      <c r="CB182" s="52"/>
      <c r="CC182" s="52"/>
      <c r="CD182" s="52"/>
      <c r="CE182" s="52"/>
      <c r="CF182" s="52"/>
      <c r="CG182" s="52"/>
      <c r="CH182" s="52"/>
      <c r="CI182" s="52"/>
      <c r="CJ182" s="52"/>
      <c r="CK182" s="52"/>
      <c r="CL182" s="52"/>
      <c r="CM182" s="52"/>
      <c r="CN182" s="52"/>
      <c r="CO182" s="52"/>
      <c r="CP182" s="52"/>
      <c r="CQ182" s="52"/>
      <c r="CR182" s="52"/>
      <c r="CS182" s="52"/>
      <c r="CT182" s="52"/>
      <c r="CU182" s="52"/>
      <c r="CV182" s="52"/>
      <c r="CW182" s="52"/>
      <c r="CX182" s="52"/>
      <c r="CY182" s="52"/>
      <c r="CZ182" s="52"/>
      <c r="DA182" s="52"/>
      <c r="DB182" s="52"/>
      <c r="DC182" s="52"/>
      <c r="DD182" s="52"/>
      <c r="DE182" s="52"/>
      <c r="DF182" s="52"/>
      <c r="DG182" s="52"/>
      <c r="DH182" s="52"/>
      <c r="DI182" s="52"/>
      <c r="DJ182" s="52"/>
      <c r="DK182" s="52"/>
      <c r="DL182" s="52"/>
      <c r="DM182" s="52"/>
      <c r="DN182" s="52"/>
      <c r="DO182" s="52"/>
      <c r="DP182" s="52"/>
      <c r="DQ182" s="52"/>
      <c r="DR182" s="52"/>
      <c r="DS182" s="52"/>
      <c r="DT182" s="52"/>
      <c r="DU182" s="52"/>
      <c r="DV182" s="52"/>
      <c r="DW182" s="52"/>
      <c r="DX182" s="52"/>
      <c r="DY182" s="52"/>
      <c r="DZ182" s="52"/>
      <c r="EA182" s="52"/>
      <c r="EB182" s="52"/>
      <c r="EC182" s="52"/>
      <c r="ED182" s="52"/>
      <c r="EE182" s="52"/>
      <c r="EF182" s="52"/>
      <c r="EG182" s="52"/>
      <c r="EH182" s="52"/>
      <c r="EI182" s="52"/>
      <c r="EJ182" s="52"/>
      <c r="EK182" s="52"/>
      <c r="EL182" s="52"/>
      <c r="EM182" s="52"/>
      <c r="EN182" s="52"/>
      <c r="EO182" s="52"/>
      <c r="EP182" s="52"/>
      <c r="EQ182" s="52"/>
      <c r="ER182" s="52"/>
      <c r="ES182" s="52"/>
      <c r="ET182" s="52"/>
      <c r="EU182" s="52"/>
      <c r="EV182" s="52"/>
      <c r="EW182" s="52"/>
      <c r="EX182" s="52"/>
      <c r="EY182" s="52"/>
      <c r="EZ182" s="52"/>
      <c r="FA182" s="52"/>
      <c r="FB182" s="52"/>
      <c r="FC182" s="52"/>
      <c r="FD182" s="52"/>
      <c r="FE182" s="52"/>
      <c r="FF182" s="52"/>
      <c r="FG182" s="52"/>
      <c r="FH182" s="52"/>
      <c r="FI182" s="52"/>
      <c r="FJ182" s="52"/>
      <c r="FK182" s="52"/>
      <c r="FL182" s="52"/>
      <c r="FM182" s="52"/>
      <c r="FN182" s="52"/>
      <c r="FO182" s="52"/>
      <c r="FP182" s="52"/>
      <c r="FQ182" s="52"/>
      <c r="FR182" s="52"/>
      <c r="FS182" s="52"/>
      <c r="FT182" s="52"/>
      <c r="FU182" s="52"/>
      <c r="FV182" s="52"/>
      <c r="FW182" s="52"/>
      <c r="FX182" s="52"/>
      <c r="FY182" s="52"/>
      <c r="FZ182" s="52"/>
      <c r="GA182" s="52"/>
      <c r="GB182" s="52"/>
      <c r="GC182" s="52"/>
      <c r="GD182" s="52"/>
      <c r="GE182" s="52"/>
      <c r="GF182" s="52"/>
      <c r="GG182" s="52"/>
      <c r="GH182" s="52"/>
      <c r="GI182" s="52"/>
      <c r="GJ182" s="52"/>
      <c r="GK182" s="52"/>
      <c r="GL182" s="52"/>
      <c r="GM182" s="52"/>
      <c r="GN182" s="52"/>
      <c r="GO182" s="52"/>
      <c r="GP182" s="52"/>
      <c r="GQ182" s="52"/>
      <c r="GR182" s="52"/>
      <c r="GS182" s="52"/>
      <c r="GT182" s="52"/>
      <c r="GU182" s="52"/>
      <c r="GV182" s="52"/>
      <c r="GW182" s="52"/>
      <c r="GX182" s="52"/>
      <c r="GY182" s="52"/>
      <c r="GZ182" s="52"/>
      <c r="HA182" s="52"/>
      <c r="HB182" s="52"/>
      <c r="HC182" s="52"/>
      <c r="HD182" s="52"/>
      <c r="HE182" s="52"/>
      <c r="HF182" s="52"/>
      <c r="HG182" s="52"/>
      <c r="HH182" s="52"/>
      <c r="HI182" s="52"/>
      <c r="HJ182" s="52"/>
      <c r="HK182" s="52"/>
      <c r="HL182" s="52"/>
      <c r="HM182" s="52"/>
      <c r="HN182" s="52"/>
      <c r="HO182" s="52"/>
      <c r="HP182" s="52"/>
      <c r="HQ182" s="52"/>
      <c r="HR182" s="52"/>
      <c r="HS182" s="52"/>
      <c r="HT182" s="52"/>
      <c r="HU182" s="52"/>
      <c r="HV182" s="52"/>
      <c r="HW182" s="52"/>
      <c r="HX182" s="52"/>
      <c r="HY182" s="52"/>
      <c r="HZ182" s="52"/>
      <c r="IA182" s="52"/>
      <c r="IB182" s="52"/>
      <c r="IC182" s="52"/>
      <c r="ID182" s="52"/>
      <c r="IE182" s="52"/>
      <c r="IF182" s="52"/>
      <c r="IG182" s="52"/>
      <c r="IH182" s="52"/>
      <c r="II182" s="52"/>
      <c r="IJ182" s="52"/>
      <c r="IK182" s="52"/>
      <c r="IL182" s="52"/>
      <c r="IM182" s="52"/>
      <c r="IN182" s="52"/>
      <c r="IO182" s="52"/>
      <c r="IP182" s="52"/>
      <c r="IQ182" s="52"/>
      <c r="IR182" s="52"/>
      <c r="IS182" s="52"/>
      <c r="IT182" s="52"/>
      <c r="IU182" s="52"/>
      <c r="IV182" s="52"/>
      <c r="IW182" s="52"/>
      <c r="IX182" s="52"/>
      <c r="IY182" s="52"/>
      <c r="IZ182" s="52"/>
      <c r="JA182" s="52"/>
      <c r="JB182" s="52"/>
      <c r="JC182" s="52"/>
      <c r="JD182" s="52"/>
      <c r="JE182" s="52"/>
      <c r="JF182" s="52"/>
      <c r="JG182" s="52"/>
      <c r="JH182" s="52"/>
      <c r="JI182" s="52"/>
      <c r="JJ182" s="52"/>
      <c r="JK182" s="52"/>
      <c r="JL182" s="52"/>
      <c r="JM182" s="52"/>
      <c r="JN182" s="52"/>
      <c r="JO182" s="52"/>
      <c r="JP182" s="52"/>
      <c r="JQ182" s="52"/>
      <c r="JR182" s="52"/>
      <c r="JS182" s="52"/>
      <c r="JT182" s="52"/>
      <c r="JU182" s="52"/>
      <c r="JV182" s="52"/>
      <c r="JW182" s="52"/>
      <c r="JX182" s="52"/>
      <c r="JY182" s="52"/>
      <c r="JZ182" s="52"/>
      <c r="KA182" s="52"/>
      <c r="KB182" s="52"/>
      <c r="KC182" s="52"/>
      <c r="KD182" s="52"/>
      <c r="KE182" s="52"/>
      <c r="KF182" s="52"/>
      <c r="KG182" s="52"/>
      <c r="KH182" s="52"/>
      <c r="KI182" s="52"/>
      <c r="KJ182" s="52"/>
      <c r="KK182" s="52"/>
      <c r="KL182" s="52"/>
      <c r="KM182" s="52"/>
      <c r="KN182" s="52"/>
      <c r="KO182" s="52"/>
      <c r="KP182" s="52"/>
      <c r="KQ182" s="52"/>
      <c r="KR182" s="52"/>
      <c r="KS182" s="52"/>
      <c r="KT182" s="52"/>
      <c r="KU182" s="52"/>
      <c r="KV182" s="52"/>
      <c r="KW182" s="52"/>
      <c r="KX182" s="52"/>
      <c r="KY182" s="52"/>
      <c r="KZ182" s="52"/>
      <c r="LA182" s="52"/>
      <c r="LB182" s="52"/>
      <c r="LC182" s="52"/>
      <c r="LD182" s="52"/>
      <c r="LE182" s="52"/>
      <c r="LF182" s="52"/>
      <c r="LG182" s="52"/>
      <c r="LH182" s="52"/>
      <c r="LI182" s="52"/>
      <c r="LJ182" s="52"/>
      <c r="LK182" s="52"/>
      <c r="LL182" s="52"/>
      <c r="LM182" s="52"/>
      <c r="LN182" s="52"/>
      <c r="LO182" s="52"/>
      <c r="LP182" s="52"/>
      <c r="LQ182" s="52"/>
      <c r="LR182" s="52"/>
      <c r="LS182" s="52"/>
      <c r="LT182" s="52"/>
      <c r="LU182" s="52"/>
      <c r="LV182" s="52"/>
      <c r="LW182" s="52"/>
      <c r="LX182" s="52"/>
      <c r="LY182" s="52"/>
      <c r="LZ182" s="52"/>
      <c r="MA182" s="52"/>
      <c r="MB182" s="52"/>
      <c r="MC182" s="52"/>
      <c r="MD182" s="52"/>
      <c r="ME182" s="52"/>
      <c r="MF182" s="52"/>
      <c r="MG182" s="52"/>
      <c r="MH182" s="52"/>
      <c r="MI182" s="52"/>
      <c r="MJ182" s="52"/>
      <c r="MK182" s="52"/>
      <c r="ML182" s="52"/>
      <c r="MM182" s="52"/>
      <c r="MN182" s="52"/>
      <c r="MO182" s="52"/>
      <c r="MP182" s="52"/>
      <c r="MQ182" s="52"/>
      <c r="MR182" s="52"/>
      <c r="MS182" s="52"/>
      <c r="MT182" s="52"/>
      <c r="MU182" s="52"/>
      <c r="MV182" s="52"/>
      <c r="MW182" s="52"/>
      <c r="MX182" s="52"/>
      <c r="MY182" s="52"/>
      <c r="MZ182" s="52"/>
      <c r="NA182" s="52"/>
      <c r="NB182" s="52"/>
      <c r="NC182" s="52"/>
      <c r="ND182" s="52"/>
      <c r="NE182" s="52"/>
      <c r="NF182" s="52"/>
      <c r="NG182" s="52"/>
      <c r="NH182" s="52"/>
      <c r="NI182" s="52"/>
    </row>
    <row r="183" spans="1:373" x14ac:dyDescent="0.2">
      <c r="A183" s="37">
        <v>181</v>
      </c>
      <c r="C183" s="17">
        <f>+'Detalle Compras'!D183</f>
        <v>0</v>
      </c>
      <c r="D183" s="55" t="str">
        <f t="shared" si="19"/>
        <v/>
      </c>
      <c r="E183" s="14" t="str">
        <f>+IF(B183="","",'Detalle Compras'!S183+0)</f>
        <v/>
      </c>
      <c r="F183" s="14" t="str">
        <f>+IF(B183="","",EOMONTH('Detalle Compras'!S183,G183)+10)</f>
        <v/>
      </c>
      <c r="G183" s="50">
        <f t="shared" si="20"/>
        <v>0</v>
      </c>
      <c r="H183" s="50">
        <f t="shared" si="21"/>
        <v>0</v>
      </c>
      <c r="M183" s="52"/>
      <c r="N183" s="52"/>
      <c r="O183" s="52"/>
      <c r="P183" s="52"/>
      <c r="Q183" s="52"/>
      <c r="R183" s="52"/>
      <c r="S183" s="52"/>
      <c r="T183" s="52"/>
      <c r="U183" s="52"/>
      <c r="V183" s="52"/>
      <c r="W183" s="52"/>
      <c r="X183" s="52"/>
      <c r="Y183" s="52"/>
      <c r="Z183" s="52"/>
      <c r="AA183" s="52"/>
      <c r="AB183" s="52"/>
      <c r="AC183" s="52"/>
      <c r="AD183" s="52"/>
      <c r="AE183" s="52"/>
      <c r="AF183" s="52"/>
      <c r="AG183" s="52"/>
      <c r="AH183" s="52"/>
      <c r="AI183" s="52"/>
      <c r="AJ183" s="52"/>
      <c r="AK183" s="52"/>
      <c r="AL183" s="52"/>
      <c r="AM183" s="52"/>
      <c r="AN183" s="52"/>
      <c r="AO183" s="52"/>
      <c r="AP183" s="52"/>
      <c r="AQ183" s="52"/>
      <c r="AR183" s="52"/>
      <c r="AS183" s="52"/>
      <c r="AT183" s="52"/>
      <c r="AU183" s="52"/>
      <c r="AV183" s="52"/>
      <c r="AW183" s="52"/>
      <c r="AX183" s="52"/>
      <c r="AY183" s="52"/>
      <c r="AZ183" s="52"/>
      <c r="BA183" s="52"/>
      <c r="BB183" s="52"/>
      <c r="BC183" s="52"/>
      <c r="BD183" s="52"/>
      <c r="BE183" s="52"/>
      <c r="BF183" s="52"/>
      <c r="BG183" s="52"/>
      <c r="BH183" s="52"/>
      <c r="BI183" s="52"/>
      <c r="BJ183" s="52"/>
      <c r="BK183" s="52"/>
      <c r="BL183" s="52"/>
      <c r="BM183" s="52"/>
      <c r="BN183" s="52"/>
      <c r="BO183" s="52"/>
      <c r="BP183" s="52"/>
      <c r="BQ183" s="52"/>
      <c r="BR183" s="52"/>
      <c r="BS183" s="52"/>
      <c r="BT183" s="52"/>
      <c r="BU183" s="52"/>
      <c r="BV183" s="52"/>
      <c r="BW183" s="52"/>
      <c r="BX183" s="52"/>
      <c r="BY183" s="52"/>
      <c r="BZ183" s="52"/>
      <c r="CA183" s="52"/>
      <c r="CB183" s="52"/>
      <c r="CC183" s="52"/>
      <c r="CD183" s="52"/>
      <c r="CE183" s="52"/>
      <c r="CF183" s="52"/>
      <c r="CG183" s="52"/>
      <c r="CH183" s="52"/>
      <c r="CI183" s="52"/>
      <c r="CJ183" s="52"/>
      <c r="CK183" s="52"/>
      <c r="CL183" s="52"/>
      <c r="CM183" s="52"/>
      <c r="CN183" s="52"/>
      <c r="CO183" s="52"/>
      <c r="CP183" s="52"/>
      <c r="CQ183" s="52"/>
      <c r="CR183" s="52"/>
      <c r="CS183" s="52"/>
      <c r="CT183" s="52"/>
      <c r="CU183" s="52"/>
      <c r="CV183" s="52"/>
      <c r="CW183" s="52"/>
      <c r="CX183" s="52"/>
      <c r="CY183" s="52"/>
      <c r="CZ183" s="52"/>
      <c r="DA183" s="52"/>
      <c r="DB183" s="52"/>
      <c r="DC183" s="52"/>
      <c r="DD183" s="52"/>
      <c r="DE183" s="52"/>
      <c r="DF183" s="52"/>
      <c r="DG183" s="52"/>
      <c r="DH183" s="52"/>
      <c r="DI183" s="52"/>
      <c r="DJ183" s="52"/>
      <c r="DK183" s="52"/>
      <c r="DL183" s="52"/>
      <c r="DM183" s="52"/>
      <c r="DN183" s="52"/>
      <c r="DO183" s="52"/>
      <c r="DP183" s="52"/>
      <c r="DQ183" s="52"/>
      <c r="DR183" s="52"/>
      <c r="DS183" s="52"/>
      <c r="DT183" s="52"/>
      <c r="DU183" s="52"/>
      <c r="DV183" s="52"/>
      <c r="DW183" s="52"/>
      <c r="DX183" s="52"/>
      <c r="DY183" s="52"/>
      <c r="DZ183" s="52"/>
      <c r="EA183" s="52"/>
      <c r="EB183" s="52"/>
      <c r="EC183" s="52"/>
      <c r="ED183" s="52"/>
      <c r="EE183" s="52"/>
      <c r="EF183" s="52"/>
      <c r="EG183" s="52"/>
      <c r="EH183" s="52"/>
      <c r="EI183" s="52"/>
      <c r="EJ183" s="52"/>
      <c r="EK183" s="52"/>
      <c r="EL183" s="52"/>
      <c r="EM183" s="52"/>
      <c r="EN183" s="52"/>
      <c r="EO183" s="52"/>
      <c r="EP183" s="52"/>
      <c r="EQ183" s="52"/>
      <c r="ER183" s="52"/>
      <c r="ES183" s="52"/>
      <c r="ET183" s="52"/>
      <c r="EU183" s="52"/>
      <c r="EV183" s="52"/>
      <c r="EW183" s="52"/>
      <c r="EX183" s="52"/>
      <c r="EY183" s="52"/>
      <c r="EZ183" s="52"/>
      <c r="FA183" s="52"/>
      <c r="FB183" s="52"/>
      <c r="FC183" s="52"/>
      <c r="FD183" s="52"/>
      <c r="FE183" s="52"/>
      <c r="FF183" s="52"/>
      <c r="FG183" s="52"/>
      <c r="FH183" s="52"/>
      <c r="FI183" s="52"/>
      <c r="FJ183" s="52"/>
      <c r="FK183" s="52"/>
      <c r="FL183" s="52"/>
      <c r="FM183" s="52"/>
      <c r="FN183" s="52"/>
      <c r="FO183" s="52"/>
      <c r="FP183" s="52"/>
      <c r="FQ183" s="52"/>
      <c r="FR183" s="52"/>
      <c r="FS183" s="52"/>
      <c r="FT183" s="52"/>
      <c r="FU183" s="52"/>
      <c r="FV183" s="52"/>
      <c r="FW183" s="52"/>
      <c r="FX183" s="52"/>
      <c r="FY183" s="52"/>
      <c r="FZ183" s="52"/>
      <c r="GA183" s="52"/>
      <c r="GB183" s="52"/>
      <c r="GC183" s="52"/>
      <c r="GD183" s="52"/>
      <c r="GE183" s="52"/>
      <c r="GF183" s="52"/>
      <c r="GG183" s="52"/>
      <c r="GH183" s="52"/>
      <c r="GI183" s="52"/>
      <c r="GJ183" s="52"/>
      <c r="GK183" s="52"/>
      <c r="GL183" s="52"/>
      <c r="GM183" s="52"/>
      <c r="GN183" s="52"/>
      <c r="GO183" s="52"/>
      <c r="GP183" s="52"/>
      <c r="GQ183" s="52"/>
      <c r="GR183" s="52"/>
      <c r="GS183" s="52"/>
      <c r="GT183" s="52"/>
      <c r="GU183" s="52"/>
      <c r="GV183" s="52"/>
      <c r="GW183" s="52"/>
      <c r="GX183" s="52"/>
      <c r="GY183" s="52"/>
      <c r="GZ183" s="52"/>
      <c r="HA183" s="52"/>
      <c r="HB183" s="52"/>
      <c r="HC183" s="52"/>
      <c r="HD183" s="52"/>
      <c r="HE183" s="52"/>
      <c r="HF183" s="52"/>
      <c r="HG183" s="52"/>
      <c r="HH183" s="52"/>
      <c r="HI183" s="52"/>
      <c r="HJ183" s="52"/>
      <c r="HK183" s="52"/>
      <c r="HL183" s="52"/>
      <c r="HM183" s="52"/>
      <c r="HN183" s="52"/>
      <c r="HO183" s="52"/>
      <c r="HP183" s="52"/>
      <c r="HQ183" s="52"/>
      <c r="HR183" s="52"/>
      <c r="HS183" s="52"/>
      <c r="HT183" s="52"/>
      <c r="HU183" s="52"/>
      <c r="HV183" s="52"/>
      <c r="HW183" s="52"/>
      <c r="HX183" s="52"/>
      <c r="HY183" s="52"/>
      <c r="HZ183" s="52"/>
      <c r="IA183" s="52"/>
      <c r="IB183" s="52"/>
      <c r="IC183" s="52"/>
      <c r="ID183" s="52"/>
      <c r="IE183" s="52"/>
      <c r="IF183" s="52"/>
      <c r="IG183" s="52"/>
      <c r="IH183" s="52"/>
      <c r="II183" s="52"/>
      <c r="IJ183" s="52"/>
      <c r="IK183" s="52"/>
      <c r="IL183" s="52"/>
      <c r="IM183" s="52"/>
      <c r="IN183" s="52"/>
      <c r="IO183" s="52"/>
      <c r="IP183" s="52"/>
      <c r="IQ183" s="52"/>
      <c r="IR183" s="52"/>
      <c r="IS183" s="52"/>
      <c r="IT183" s="52"/>
      <c r="IU183" s="52"/>
      <c r="IV183" s="52"/>
      <c r="IW183" s="52"/>
      <c r="IX183" s="52"/>
      <c r="IY183" s="52"/>
      <c r="IZ183" s="52"/>
      <c r="JA183" s="52"/>
      <c r="JB183" s="52"/>
      <c r="JC183" s="52"/>
      <c r="JD183" s="52"/>
      <c r="JE183" s="52"/>
      <c r="JF183" s="52"/>
      <c r="JG183" s="52"/>
      <c r="JH183" s="52"/>
      <c r="JI183" s="52"/>
      <c r="JJ183" s="52"/>
      <c r="JK183" s="52"/>
      <c r="JL183" s="52"/>
      <c r="JM183" s="52"/>
      <c r="JN183" s="52"/>
      <c r="JO183" s="52"/>
      <c r="JP183" s="52"/>
      <c r="JQ183" s="52"/>
      <c r="JR183" s="52"/>
      <c r="JS183" s="52"/>
      <c r="JT183" s="52"/>
      <c r="JU183" s="52"/>
      <c r="JV183" s="52"/>
      <c r="JW183" s="52"/>
      <c r="JX183" s="52"/>
      <c r="JY183" s="52"/>
      <c r="JZ183" s="52"/>
      <c r="KA183" s="52"/>
      <c r="KB183" s="52"/>
      <c r="KC183" s="52"/>
      <c r="KD183" s="52"/>
      <c r="KE183" s="52"/>
      <c r="KF183" s="52"/>
      <c r="KG183" s="52"/>
      <c r="KH183" s="52"/>
      <c r="KI183" s="52"/>
      <c r="KJ183" s="52"/>
      <c r="KK183" s="52"/>
      <c r="KL183" s="52"/>
      <c r="KM183" s="52"/>
      <c r="KN183" s="52"/>
      <c r="KO183" s="52"/>
      <c r="KP183" s="52"/>
      <c r="KQ183" s="52"/>
      <c r="KR183" s="52"/>
      <c r="KS183" s="52"/>
      <c r="KT183" s="52"/>
      <c r="KU183" s="52"/>
      <c r="KV183" s="52"/>
      <c r="KW183" s="52"/>
      <c r="KX183" s="52"/>
      <c r="KY183" s="52"/>
      <c r="KZ183" s="52"/>
    </row>
    <row r="184" spans="1:373" x14ac:dyDescent="0.2">
      <c r="A184" s="37">
        <v>182</v>
      </c>
      <c r="C184" s="17">
        <f>+'Detalle Compras'!D184</f>
        <v>0</v>
      </c>
      <c r="D184" s="55" t="str">
        <f t="shared" si="19"/>
        <v/>
      </c>
      <c r="E184" s="14" t="str">
        <f>+IF(B184="","",'Detalle Compras'!S184+0)</f>
        <v/>
      </c>
      <c r="F184" s="14" t="str">
        <f>+IF(B184="","",EOMONTH('Detalle Compras'!S184,G184)+10)</f>
        <v/>
      </c>
      <c r="G184" s="50">
        <f t="shared" si="20"/>
        <v>0</v>
      </c>
      <c r="H184" s="50">
        <f t="shared" si="21"/>
        <v>0</v>
      </c>
      <c r="M184" s="52"/>
      <c r="N184" s="52"/>
      <c r="O184" s="52"/>
      <c r="P184" s="52"/>
      <c r="Q184" s="52"/>
      <c r="R184" s="52"/>
      <c r="S184" s="52"/>
      <c r="T184" s="52"/>
      <c r="U184" s="52"/>
      <c r="V184" s="52"/>
      <c r="W184" s="52"/>
      <c r="X184" s="52"/>
      <c r="Y184" s="52"/>
      <c r="Z184" s="52"/>
      <c r="AA184" s="52"/>
      <c r="AB184" s="52"/>
      <c r="AC184" s="52"/>
      <c r="AD184" s="52"/>
      <c r="AE184" s="52"/>
      <c r="AF184" s="52"/>
      <c r="AG184" s="52"/>
      <c r="AH184" s="52"/>
      <c r="AI184" s="52"/>
      <c r="AJ184" s="52"/>
      <c r="AK184" s="52"/>
      <c r="AL184" s="52"/>
      <c r="AM184" s="52"/>
      <c r="AN184" s="52"/>
      <c r="AO184" s="52"/>
      <c r="AP184" s="52"/>
      <c r="AQ184" s="52"/>
      <c r="AR184" s="52"/>
      <c r="AS184" s="52"/>
      <c r="AT184" s="52"/>
      <c r="AU184" s="52"/>
      <c r="AV184" s="52"/>
      <c r="AW184" s="52"/>
      <c r="AX184" s="52"/>
      <c r="AY184" s="52"/>
      <c r="AZ184" s="52"/>
      <c r="BA184" s="52"/>
      <c r="BB184" s="52"/>
      <c r="BC184" s="52"/>
      <c r="BD184" s="52"/>
      <c r="BE184" s="52"/>
      <c r="BF184" s="52"/>
      <c r="BG184" s="52"/>
      <c r="BH184" s="52"/>
      <c r="BI184" s="52"/>
      <c r="BJ184" s="52"/>
      <c r="BK184" s="52"/>
      <c r="BL184" s="52"/>
      <c r="BM184" s="52"/>
      <c r="BN184" s="52"/>
      <c r="BO184" s="52"/>
      <c r="BP184" s="52"/>
      <c r="BQ184" s="52"/>
      <c r="BR184" s="52"/>
      <c r="BS184" s="52"/>
      <c r="BT184" s="52"/>
      <c r="BU184" s="52"/>
      <c r="BV184" s="52"/>
      <c r="BW184" s="52"/>
      <c r="BX184" s="52"/>
      <c r="BY184" s="52"/>
      <c r="BZ184" s="52"/>
      <c r="CA184" s="52"/>
      <c r="CB184" s="52"/>
      <c r="CC184" s="52"/>
      <c r="CD184" s="52"/>
      <c r="CE184" s="52"/>
      <c r="CF184" s="52"/>
      <c r="CG184" s="52"/>
      <c r="CH184" s="52"/>
      <c r="CI184" s="52"/>
      <c r="CJ184" s="52"/>
      <c r="CK184" s="52"/>
      <c r="CL184" s="52"/>
      <c r="CM184" s="52"/>
      <c r="CN184" s="52"/>
      <c r="CO184" s="52"/>
      <c r="CP184" s="52"/>
      <c r="CQ184" s="52"/>
      <c r="CR184" s="52"/>
      <c r="CS184" s="52"/>
      <c r="CT184" s="52"/>
      <c r="CU184" s="52"/>
      <c r="CV184" s="52"/>
      <c r="CW184" s="52"/>
      <c r="CX184" s="52"/>
      <c r="CY184" s="52"/>
      <c r="CZ184" s="52"/>
      <c r="DA184" s="52"/>
      <c r="DB184" s="52"/>
      <c r="DC184" s="52"/>
      <c r="DD184" s="52"/>
      <c r="DE184" s="52"/>
      <c r="DF184" s="52"/>
      <c r="DG184" s="52"/>
      <c r="DH184" s="52"/>
      <c r="DI184" s="52"/>
      <c r="DJ184" s="52"/>
      <c r="DK184" s="52"/>
      <c r="DL184" s="52"/>
      <c r="DM184" s="52"/>
      <c r="DN184" s="52"/>
      <c r="DO184" s="52"/>
      <c r="DP184" s="52"/>
      <c r="DQ184" s="52"/>
      <c r="DR184" s="52"/>
      <c r="DS184" s="52"/>
      <c r="DT184" s="52"/>
      <c r="DU184" s="52"/>
      <c r="DV184" s="52"/>
      <c r="DW184" s="52"/>
      <c r="DX184" s="52"/>
      <c r="DY184" s="52"/>
      <c r="DZ184" s="52"/>
      <c r="EA184" s="52"/>
      <c r="EB184" s="52"/>
      <c r="EC184" s="52"/>
      <c r="ED184" s="52"/>
      <c r="EE184" s="52"/>
      <c r="EF184" s="52"/>
      <c r="EG184" s="52"/>
      <c r="EH184" s="52"/>
      <c r="EI184" s="52"/>
      <c r="EJ184" s="52"/>
      <c r="EK184" s="52"/>
      <c r="EL184" s="52"/>
      <c r="EM184" s="52"/>
      <c r="EN184" s="52"/>
      <c r="EO184" s="52"/>
      <c r="EP184" s="52"/>
      <c r="EQ184" s="52"/>
      <c r="ER184" s="52"/>
      <c r="ES184" s="52"/>
      <c r="ET184" s="52"/>
      <c r="EU184" s="52"/>
      <c r="EV184" s="52"/>
      <c r="EW184" s="52"/>
      <c r="EX184" s="52"/>
      <c r="EY184" s="52"/>
      <c r="EZ184" s="52"/>
      <c r="FA184" s="52"/>
      <c r="FB184" s="52"/>
      <c r="FC184" s="52"/>
      <c r="FD184" s="52"/>
      <c r="FE184" s="52"/>
      <c r="FF184" s="52"/>
      <c r="FG184" s="52"/>
      <c r="FH184" s="52"/>
      <c r="FI184" s="52"/>
      <c r="FJ184" s="52"/>
      <c r="FK184" s="52"/>
      <c r="FL184" s="52"/>
      <c r="FM184" s="52"/>
      <c r="FN184" s="52"/>
      <c r="FO184" s="52"/>
      <c r="FP184" s="52"/>
      <c r="FQ184" s="52"/>
      <c r="FR184" s="52"/>
      <c r="FS184" s="52"/>
      <c r="FT184" s="52"/>
      <c r="FU184" s="52"/>
      <c r="FV184" s="52"/>
      <c r="FW184" s="52"/>
      <c r="FX184" s="52"/>
      <c r="FY184" s="52"/>
      <c r="FZ184" s="52"/>
      <c r="GA184" s="52"/>
      <c r="GB184" s="52"/>
      <c r="GC184" s="52"/>
      <c r="GD184" s="52"/>
      <c r="GE184" s="52"/>
      <c r="GF184" s="52"/>
      <c r="GG184" s="52"/>
      <c r="GH184" s="52"/>
      <c r="GI184" s="52"/>
      <c r="GJ184" s="52"/>
      <c r="GK184" s="52"/>
      <c r="GL184" s="52"/>
      <c r="GM184" s="52"/>
      <c r="GN184" s="52"/>
      <c r="GO184" s="52"/>
      <c r="GP184" s="52"/>
      <c r="GQ184" s="52"/>
      <c r="GR184" s="52"/>
      <c r="GS184" s="52"/>
      <c r="GT184" s="52"/>
      <c r="GU184" s="52"/>
      <c r="GV184" s="52"/>
      <c r="GW184" s="52"/>
      <c r="GX184" s="52"/>
      <c r="GY184" s="52"/>
      <c r="GZ184" s="52"/>
      <c r="HA184" s="52"/>
      <c r="HB184" s="52"/>
      <c r="HC184" s="52"/>
      <c r="HD184" s="52"/>
      <c r="HE184" s="52"/>
      <c r="HF184" s="52"/>
      <c r="HG184" s="52"/>
      <c r="HH184" s="52"/>
      <c r="HI184" s="52"/>
      <c r="HJ184" s="52"/>
      <c r="HK184" s="52"/>
      <c r="HL184" s="52"/>
      <c r="HM184" s="52"/>
      <c r="HN184" s="52"/>
      <c r="HO184" s="52"/>
      <c r="HP184" s="52"/>
      <c r="HQ184" s="52"/>
      <c r="HR184" s="52"/>
      <c r="HS184" s="52"/>
      <c r="HT184" s="52"/>
      <c r="HU184" s="52"/>
      <c r="HV184" s="52"/>
      <c r="HW184" s="52"/>
      <c r="HX184" s="52"/>
      <c r="HY184" s="52"/>
      <c r="HZ184" s="52"/>
      <c r="IA184" s="52"/>
      <c r="IB184" s="52"/>
      <c r="IC184" s="52"/>
      <c r="ID184" s="52"/>
      <c r="IE184" s="52"/>
      <c r="IF184" s="52"/>
      <c r="IG184" s="52"/>
      <c r="IH184" s="52"/>
      <c r="II184" s="52"/>
      <c r="IJ184" s="52"/>
      <c r="IK184" s="52"/>
      <c r="IL184" s="52"/>
      <c r="IM184" s="52"/>
      <c r="IN184" s="52"/>
      <c r="IO184" s="52"/>
      <c r="IP184" s="52"/>
      <c r="IQ184" s="52"/>
      <c r="IR184" s="52"/>
      <c r="IS184" s="52"/>
      <c r="IT184" s="52"/>
      <c r="IU184" s="52"/>
      <c r="IV184" s="52"/>
      <c r="IW184" s="52"/>
      <c r="IX184" s="52"/>
      <c r="IY184" s="52"/>
      <c r="IZ184" s="52"/>
      <c r="JA184" s="52"/>
      <c r="JB184" s="52"/>
      <c r="JC184" s="52"/>
      <c r="JD184" s="52"/>
      <c r="JE184" s="52"/>
      <c r="JF184" s="52"/>
      <c r="JG184" s="52"/>
      <c r="JH184" s="52"/>
      <c r="JI184" s="52"/>
      <c r="JJ184" s="52"/>
      <c r="JK184" s="52"/>
      <c r="JL184" s="52"/>
      <c r="JM184" s="52"/>
      <c r="JN184" s="52"/>
      <c r="JO184" s="52"/>
      <c r="JP184" s="52"/>
      <c r="JQ184" s="52"/>
      <c r="JR184" s="52"/>
      <c r="JS184" s="52"/>
      <c r="JT184" s="52"/>
      <c r="JU184" s="52"/>
      <c r="JV184" s="52"/>
      <c r="JW184" s="52"/>
      <c r="JX184" s="52"/>
      <c r="JY184" s="52"/>
      <c r="JZ184" s="52"/>
      <c r="KA184" s="52"/>
      <c r="KB184" s="52"/>
      <c r="KC184" s="52"/>
      <c r="KD184" s="52"/>
      <c r="KE184" s="52"/>
      <c r="KF184" s="52"/>
      <c r="KG184" s="52"/>
      <c r="KH184" s="52"/>
      <c r="KI184" s="52"/>
      <c r="KJ184" s="52"/>
      <c r="KK184" s="52"/>
      <c r="KL184" s="52"/>
      <c r="KM184" s="52"/>
      <c r="KN184" s="52"/>
      <c r="KO184" s="52"/>
      <c r="KP184" s="52"/>
      <c r="KQ184" s="52"/>
      <c r="KR184" s="52"/>
      <c r="KS184" s="52"/>
      <c r="KT184" s="52"/>
      <c r="KU184" s="52"/>
      <c r="KV184" s="52"/>
      <c r="KW184" s="52"/>
      <c r="KX184" s="52"/>
      <c r="KY184" s="52"/>
      <c r="KZ184" s="52"/>
      <c r="LA184" s="52"/>
      <c r="LB184" s="52"/>
      <c r="LC184" s="52"/>
      <c r="LD184" s="52"/>
      <c r="LE184" s="52"/>
      <c r="LF184" s="52"/>
      <c r="LG184" s="52"/>
      <c r="LH184" s="52"/>
      <c r="LI184" s="52"/>
      <c r="LJ184" s="52"/>
      <c r="LK184" s="52"/>
      <c r="LL184" s="52"/>
      <c r="LM184" s="52"/>
      <c r="LN184" s="52"/>
      <c r="LO184" s="52"/>
      <c r="LP184" s="52"/>
      <c r="LQ184" s="52"/>
      <c r="LR184" s="52"/>
      <c r="LS184" s="52"/>
      <c r="LT184" s="52"/>
      <c r="LU184" s="52"/>
      <c r="LV184" s="52"/>
      <c r="LW184" s="52"/>
      <c r="LX184" s="52"/>
      <c r="LY184" s="52"/>
      <c r="LZ184" s="52"/>
      <c r="MA184" s="52"/>
      <c r="MB184" s="52"/>
      <c r="MC184" s="52"/>
      <c r="MD184" s="52"/>
      <c r="ME184" s="52"/>
      <c r="MF184" s="52"/>
      <c r="MG184" s="52"/>
      <c r="MH184" s="52"/>
      <c r="MI184" s="52"/>
      <c r="MJ184" s="52"/>
      <c r="MK184" s="52"/>
      <c r="ML184" s="52"/>
      <c r="MM184" s="52"/>
      <c r="MN184" s="52"/>
      <c r="MO184" s="52"/>
      <c r="MP184" s="52"/>
      <c r="MQ184" s="52"/>
      <c r="MR184" s="52"/>
      <c r="MS184" s="52"/>
      <c r="MT184" s="52"/>
      <c r="MU184" s="52"/>
      <c r="MV184" s="52"/>
      <c r="MW184" s="52"/>
      <c r="MX184" s="52"/>
      <c r="MY184" s="52"/>
      <c r="MZ184" s="52"/>
      <c r="NA184" s="52"/>
      <c r="NB184" s="52"/>
      <c r="NC184" s="52"/>
      <c r="ND184" s="52"/>
      <c r="NE184" s="52"/>
      <c r="NF184" s="52"/>
      <c r="NG184" s="52"/>
      <c r="NH184" s="52"/>
      <c r="NI184" s="52"/>
    </row>
    <row r="185" spans="1:373" x14ac:dyDescent="0.2">
      <c r="A185" s="37">
        <v>183</v>
      </c>
      <c r="C185" s="17">
        <f>+'Detalle Compras'!D185</f>
        <v>0</v>
      </c>
      <c r="D185" s="55" t="str">
        <f t="shared" si="19"/>
        <v/>
      </c>
      <c r="E185" s="14" t="str">
        <f>+IF(B185="","",'Detalle Compras'!S185+0)</f>
        <v/>
      </c>
      <c r="F185" s="14" t="str">
        <f>+IF(B185="","",EOMONTH('Detalle Compras'!S185,G185)+10)</f>
        <v/>
      </c>
      <c r="G185" s="50">
        <f t="shared" si="20"/>
        <v>0</v>
      </c>
      <c r="H185" s="50">
        <f t="shared" si="21"/>
        <v>0</v>
      </c>
      <c r="M185" s="52"/>
      <c r="N185" s="52"/>
      <c r="O185" s="52"/>
      <c r="P185" s="52"/>
      <c r="Q185" s="52"/>
      <c r="R185" s="52"/>
      <c r="S185" s="52"/>
      <c r="T185" s="52"/>
      <c r="U185" s="52"/>
      <c r="V185" s="52"/>
      <c r="W185" s="52"/>
      <c r="X185" s="52"/>
      <c r="Y185" s="52"/>
      <c r="Z185" s="52"/>
      <c r="AA185" s="52"/>
      <c r="AB185" s="52"/>
      <c r="AC185" s="52"/>
      <c r="AD185" s="52"/>
      <c r="AE185" s="52"/>
      <c r="AF185" s="52"/>
      <c r="AG185" s="52"/>
      <c r="AH185" s="52"/>
      <c r="AI185" s="52"/>
      <c r="AJ185" s="52"/>
      <c r="AK185" s="52"/>
      <c r="AL185" s="52"/>
      <c r="AM185" s="52"/>
      <c r="AN185" s="52"/>
      <c r="AO185" s="52"/>
      <c r="AP185" s="52"/>
      <c r="AQ185" s="52"/>
      <c r="AR185" s="52"/>
      <c r="AS185" s="52"/>
      <c r="AT185" s="52"/>
      <c r="AU185" s="52"/>
      <c r="AV185" s="52"/>
      <c r="AW185" s="52"/>
      <c r="AX185" s="52"/>
      <c r="AY185" s="52"/>
      <c r="AZ185" s="52"/>
      <c r="BA185" s="52"/>
      <c r="BB185" s="52"/>
      <c r="BC185" s="52"/>
      <c r="BD185" s="52"/>
      <c r="BE185" s="52"/>
      <c r="BF185" s="52"/>
      <c r="BG185" s="52"/>
      <c r="BH185" s="52"/>
      <c r="BI185" s="52"/>
      <c r="BJ185" s="52"/>
      <c r="BK185" s="52"/>
      <c r="BL185" s="52"/>
      <c r="BM185" s="52"/>
      <c r="BN185" s="52"/>
      <c r="BO185" s="52"/>
      <c r="BP185" s="52"/>
      <c r="BQ185" s="52"/>
      <c r="BR185" s="52"/>
      <c r="BS185" s="52"/>
      <c r="BT185" s="52"/>
      <c r="BU185" s="52"/>
      <c r="BV185" s="52"/>
      <c r="BW185" s="52"/>
      <c r="BX185" s="52"/>
      <c r="BY185" s="52"/>
      <c r="BZ185" s="52"/>
      <c r="CA185" s="52"/>
      <c r="CB185" s="52"/>
      <c r="CC185" s="52"/>
      <c r="CD185" s="52"/>
      <c r="CE185" s="52"/>
      <c r="CF185" s="52"/>
      <c r="CG185" s="52"/>
      <c r="CH185" s="52"/>
      <c r="CI185" s="52"/>
      <c r="CJ185" s="52"/>
      <c r="CK185" s="52"/>
      <c r="CL185" s="52"/>
      <c r="CM185" s="52"/>
      <c r="CN185" s="52"/>
      <c r="CO185" s="52"/>
      <c r="CP185" s="52"/>
      <c r="CQ185" s="52"/>
      <c r="CR185" s="52"/>
      <c r="CS185" s="52"/>
      <c r="CT185" s="52"/>
      <c r="CU185" s="52"/>
      <c r="CV185" s="52"/>
      <c r="CW185" s="52"/>
      <c r="CX185" s="52"/>
      <c r="CY185" s="52"/>
      <c r="CZ185" s="52"/>
      <c r="DA185" s="52"/>
      <c r="DB185" s="52"/>
      <c r="DC185" s="52"/>
      <c r="DD185" s="52"/>
      <c r="DE185" s="52"/>
      <c r="DF185" s="52"/>
      <c r="DG185" s="52"/>
      <c r="DH185" s="52"/>
      <c r="DI185" s="52"/>
      <c r="DJ185" s="52"/>
      <c r="DK185" s="52"/>
      <c r="DL185" s="52"/>
      <c r="DM185" s="52"/>
      <c r="DN185" s="52"/>
      <c r="DO185" s="52"/>
      <c r="DP185" s="52"/>
      <c r="DQ185" s="52"/>
      <c r="DR185" s="52"/>
      <c r="DS185" s="52"/>
      <c r="DT185" s="52"/>
      <c r="DU185" s="52"/>
      <c r="DV185" s="52"/>
      <c r="DW185" s="52"/>
      <c r="DX185" s="52"/>
      <c r="DY185" s="52"/>
      <c r="DZ185" s="52"/>
      <c r="EA185" s="52"/>
      <c r="EB185" s="52"/>
      <c r="EC185" s="52"/>
      <c r="ED185" s="52"/>
      <c r="EE185" s="52"/>
      <c r="EF185" s="52"/>
      <c r="EG185" s="52"/>
      <c r="EH185" s="52"/>
      <c r="EI185" s="52"/>
      <c r="EJ185" s="52"/>
      <c r="EK185" s="52"/>
      <c r="EL185" s="52"/>
      <c r="EM185" s="52"/>
      <c r="EN185" s="52"/>
      <c r="EO185" s="52"/>
      <c r="EP185" s="52"/>
      <c r="EQ185" s="52"/>
      <c r="ER185" s="52"/>
      <c r="ES185" s="52"/>
      <c r="ET185" s="52"/>
      <c r="EU185" s="52"/>
      <c r="EV185" s="52"/>
      <c r="EW185" s="52"/>
      <c r="EX185" s="52"/>
      <c r="EY185" s="52"/>
      <c r="EZ185" s="52"/>
      <c r="FA185" s="52"/>
      <c r="FB185" s="52"/>
      <c r="FC185" s="52"/>
      <c r="FD185" s="52"/>
      <c r="FE185" s="52"/>
      <c r="FF185" s="52"/>
      <c r="FG185" s="52"/>
      <c r="FH185" s="52"/>
      <c r="FI185" s="52"/>
      <c r="FJ185" s="52"/>
      <c r="FK185" s="52"/>
      <c r="FL185" s="52"/>
      <c r="FM185" s="52"/>
      <c r="FN185" s="52"/>
      <c r="FO185" s="52"/>
      <c r="FP185" s="52"/>
      <c r="FQ185" s="52"/>
      <c r="FR185" s="52"/>
      <c r="FS185" s="52"/>
      <c r="FT185" s="52"/>
      <c r="FU185" s="52"/>
      <c r="FV185" s="52"/>
      <c r="FW185" s="52"/>
      <c r="FX185" s="52"/>
      <c r="FY185" s="52"/>
      <c r="FZ185" s="52"/>
      <c r="GA185" s="52"/>
      <c r="GB185" s="52"/>
      <c r="GC185" s="52"/>
      <c r="GD185" s="52"/>
      <c r="GE185" s="52"/>
      <c r="GF185" s="52"/>
      <c r="GG185" s="52"/>
      <c r="GH185" s="52"/>
      <c r="GI185" s="52"/>
      <c r="GJ185" s="52"/>
      <c r="GK185" s="52"/>
      <c r="GL185" s="52"/>
      <c r="GM185" s="52"/>
      <c r="GN185" s="52"/>
      <c r="GO185" s="52"/>
      <c r="GP185" s="52"/>
      <c r="GQ185" s="52"/>
      <c r="GR185" s="52"/>
      <c r="GS185" s="52"/>
      <c r="GT185" s="52"/>
      <c r="GU185" s="52"/>
      <c r="GV185" s="52"/>
      <c r="GW185" s="52"/>
      <c r="GX185" s="52"/>
      <c r="GY185" s="52"/>
      <c r="GZ185" s="52"/>
      <c r="HA185" s="52"/>
      <c r="HB185" s="52"/>
      <c r="HC185" s="52"/>
      <c r="HD185" s="52"/>
      <c r="HE185" s="52"/>
      <c r="HF185" s="52"/>
      <c r="HG185" s="52"/>
      <c r="HH185" s="52"/>
      <c r="HI185" s="52"/>
      <c r="HJ185" s="52"/>
      <c r="HK185" s="52"/>
      <c r="HL185" s="52"/>
      <c r="HM185" s="52"/>
      <c r="HN185" s="52"/>
      <c r="HO185" s="52"/>
      <c r="HP185" s="52"/>
      <c r="HQ185" s="52"/>
      <c r="HR185" s="52"/>
      <c r="HS185" s="52"/>
      <c r="HT185" s="52"/>
      <c r="HU185" s="52"/>
      <c r="HV185" s="52"/>
      <c r="HW185" s="52"/>
      <c r="HX185" s="52"/>
      <c r="HY185" s="52"/>
      <c r="HZ185" s="52"/>
      <c r="IA185" s="52"/>
      <c r="IB185" s="52"/>
      <c r="IC185" s="52"/>
      <c r="ID185" s="52"/>
      <c r="IE185" s="52"/>
      <c r="IF185" s="52"/>
      <c r="IG185" s="52"/>
      <c r="IH185" s="52"/>
      <c r="II185" s="52"/>
      <c r="IJ185" s="52"/>
      <c r="IK185" s="52"/>
      <c r="IL185" s="52"/>
      <c r="IM185" s="52"/>
      <c r="IN185" s="52"/>
      <c r="IO185" s="52"/>
      <c r="IP185" s="52"/>
      <c r="IQ185" s="52"/>
      <c r="IR185" s="52"/>
      <c r="IS185" s="52"/>
      <c r="IT185" s="52"/>
      <c r="IU185" s="52"/>
      <c r="IV185" s="52"/>
      <c r="IW185" s="52"/>
      <c r="IX185" s="52"/>
      <c r="IY185" s="52"/>
      <c r="IZ185" s="52"/>
      <c r="JA185" s="52"/>
      <c r="JB185" s="52"/>
      <c r="JC185" s="52"/>
      <c r="JD185" s="52"/>
      <c r="JE185" s="52"/>
      <c r="JF185" s="52"/>
      <c r="JG185" s="52"/>
      <c r="JH185" s="52"/>
      <c r="JI185" s="52"/>
      <c r="JJ185" s="52"/>
      <c r="JK185" s="52"/>
      <c r="JL185" s="52"/>
      <c r="JM185" s="52"/>
      <c r="JN185" s="52"/>
      <c r="JO185" s="52"/>
      <c r="JP185" s="52"/>
      <c r="JQ185" s="52"/>
      <c r="JR185" s="52"/>
      <c r="JS185" s="52"/>
      <c r="JT185" s="52"/>
      <c r="JU185" s="52"/>
      <c r="JV185" s="52"/>
      <c r="JW185" s="52"/>
      <c r="JX185" s="52"/>
      <c r="JY185" s="52"/>
      <c r="JZ185" s="52"/>
      <c r="KA185" s="52"/>
      <c r="KB185" s="52"/>
      <c r="KC185" s="52"/>
      <c r="KD185" s="52"/>
      <c r="KE185" s="52"/>
      <c r="KF185" s="52"/>
      <c r="KG185" s="52"/>
      <c r="KH185" s="52"/>
      <c r="KI185" s="52"/>
      <c r="KJ185" s="52"/>
      <c r="KK185" s="52"/>
      <c r="KL185" s="52"/>
      <c r="KM185" s="52"/>
      <c r="KN185" s="52"/>
      <c r="KO185" s="52"/>
      <c r="KP185" s="52"/>
      <c r="KQ185" s="52"/>
      <c r="KR185" s="52"/>
      <c r="KS185" s="52"/>
      <c r="KT185" s="52"/>
      <c r="KU185" s="52"/>
      <c r="KV185" s="52"/>
      <c r="KW185" s="52"/>
      <c r="KX185" s="52"/>
      <c r="KY185" s="52"/>
      <c r="KZ185" s="52"/>
      <c r="LA185" s="52"/>
      <c r="LB185" s="52"/>
      <c r="LC185" s="52"/>
      <c r="LD185" s="52"/>
      <c r="LE185" s="52"/>
      <c r="LF185" s="52"/>
      <c r="LG185" s="52"/>
      <c r="LH185" s="52"/>
      <c r="LI185" s="52"/>
      <c r="LJ185" s="52"/>
      <c r="LK185" s="52"/>
      <c r="LL185" s="52"/>
      <c r="LM185" s="52"/>
      <c r="LN185" s="52"/>
      <c r="LO185" s="52"/>
      <c r="LP185" s="52"/>
      <c r="LQ185" s="52"/>
      <c r="LR185" s="52"/>
      <c r="LS185" s="52"/>
      <c r="LT185" s="52"/>
      <c r="LU185" s="52"/>
      <c r="LV185" s="52"/>
      <c r="LW185" s="52"/>
      <c r="LX185" s="52"/>
      <c r="LY185" s="52"/>
      <c r="LZ185" s="52"/>
      <c r="MA185" s="52"/>
      <c r="MB185" s="52"/>
      <c r="MC185" s="52"/>
      <c r="MD185" s="52"/>
      <c r="ME185" s="52"/>
      <c r="MF185" s="52"/>
      <c r="MG185" s="52"/>
      <c r="MH185" s="52"/>
      <c r="MI185" s="52"/>
      <c r="MJ185" s="52"/>
      <c r="MK185" s="52"/>
      <c r="ML185" s="52"/>
      <c r="MM185" s="52"/>
      <c r="MN185" s="52"/>
      <c r="MO185" s="52"/>
      <c r="MP185" s="52"/>
      <c r="MQ185" s="52"/>
      <c r="MR185" s="52"/>
      <c r="MS185" s="52"/>
      <c r="MT185" s="52"/>
      <c r="MU185" s="52"/>
      <c r="MV185" s="52"/>
      <c r="MW185" s="52"/>
      <c r="MX185" s="52"/>
      <c r="MY185" s="52"/>
      <c r="MZ185" s="52"/>
      <c r="NA185" s="52"/>
      <c r="NB185" s="52"/>
      <c r="NC185" s="52"/>
      <c r="ND185" s="52"/>
      <c r="NE185" s="52"/>
      <c r="NF185" s="52"/>
      <c r="NG185" s="52"/>
      <c r="NH185" s="52"/>
      <c r="NI185" s="52"/>
    </row>
    <row r="186" spans="1:373" x14ac:dyDescent="0.2">
      <c r="A186" s="37">
        <v>184</v>
      </c>
      <c r="C186" s="17">
        <f>+'Detalle Compras'!D186</f>
        <v>0</v>
      </c>
      <c r="D186" s="55" t="str">
        <f t="shared" si="19"/>
        <v/>
      </c>
      <c r="E186" s="14" t="str">
        <f>+IF(B186="","",'Detalle Compras'!S186+0)</f>
        <v/>
      </c>
      <c r="F186" s="14" t="str">
        <f>+IF(B186="","",EOMONTH('Detalle Compras'!S186,G186)+10)</f>
        <v/>
      </c>
      <c r="G186" s="50">
        <f t="shared" si="20"/>
        <v>0</v>
      </c>
      <c r="H186" s="50">
        <f t="shared" si="21"/>
        <v>0</v>
      </c>
      <c r="M186" s="52"/>
      <c r="N186" s="52"/>
      <c r="O186" s="52"/>
      <c r="P186" s="52"/>
      <c r="Q186" s="52"/>
      <c r="R186" s="52"/>
      <c r="S186" s="52"/>
      <c r="T186" s="52"/>
      <c r="U186" s="52"/>
      <c r="V186" s="52"/>
      <c r="W186" s="52"/>
      <c r="X186" s="52"/>
      <c r="Y186" s="52"/>
      <c r="Z186" s="52"/>
      <c r="AA186" s="52"/>
      <c r="AB186" s="52"/>
      <c r="AC186" s="52"/>
      <c r="AD186" s="52"/>
      <c r="AE186" s="52"/>
      <c r="AF186" s="52"/>
      <c r="AG186" s="52"/>
      <c r="AH186" s="52"/>
      <c r="AI186" s="52"/>
      <c r="AJ186" s="52"/>
      <c r="AK186" s="52"/>
      <c r="AL186" s="52"/>
      <c r="AM186" s="52"/>
      <c r="AN186" s="52"/>
      <c r="AO186" s="52"/>
      <c r="AP186" s="52"/>
      <c r="AQ186" s="52"/>
      <c r="AR186" s="52"/>
      <c r="AS186" s="52"/>
      <c r="AT186" s="52"/>
      <c r="AU186" s="52"/>
      <c r="AV186" s="52"/>
      <c r="AW186" s="52"/>
      <c r="AX186" s="52"/>
      <c r="AY186" s="52"/>
      <c r="AZ186" s="52"/>
      <c r="BA186" s="52"/>
      <c r="BB186" s="52"/>
      <c r="BC186" s="52"/>
      <c r="BD186" s="52"/>
      <c r="BE186" s="52"/>
      <c r="BF186" s="52"/>
      <c r="BG186" s="52"/>
      <c r="BH186" s="52"/>
      <c r="BI186" s="52"/>
      <c r="BJ186" s="52"/>
      <c r="BK186" s="52"/>
      <c r="BL186" s="52"/>
      <c r="BM186" s="52"/>
      <c r="BN186" s="52"/>
      <c r="BO186" s="52"/>
      <c r="BP186" s="52"/>
      <c r="BQ186" s="52"/>
      <c r="BR186" s="52"/>
      <c r="BS186" s="52"/>
      <c r="BT186" s="52"/>
      <c r="BU186" s="52"/>
      <c r="BV186" s="52"/>
      <c r="BW186" s="52"/>
      <c r="BX186" s="52"/>
      <c r="BY186" s="52"/>
      <c r="BZ186" s="52"/>
      <c r="CA186" s="52"/>
      <c r="CB186" s="52"/>
      <c r="CC186" s="52"/>
      <c r="CD186" s="52"/>
      <c r="CE186" s="52"/>
      <c r="CF186" s="52"/>
      <c r="CG186" s="52"/>
      <c r="CH186" s="52"/>
      <c r="CI186" s="52"/>
      <c r="CJ186" s="52"/>
      <c r="CK186" s="52"/>
      <c r="CL186" s="52"/>
      <c r="CM186" s="52"/>
      <c r="CN186" s="52"/>
      <c r="CO186" s="52"/>
      <c r="CP186" s="52"/>
      <c r="CQ186" s="52"/>
      <c r="CR186" s="52"/>
      <c r="CS186" s="52"/>
      <c r="CT186" s="52"/>
      <c r="CU186" s="52"/>
      <c r="CV186" s="52"/>
      <c r="CW186" s="52"/>
      <c r="CX186" s="52"/>
      <c r="CY186" s="52"/>
      <c r="CZ186" s="52"/>
      <c r="DA186" s="52"/>
      <c r="DB186" s="52"/>
      <c r="DC186" s="52"/>
      <c r="DD186" s="52"/>
      <c r="DE186" s="52"/>
      <c r="DF186" s="52"/>
      <c r="DG186" s="52"/>
      <c r="DH186" s="52"/>
      <c r="DI186" s="52"/>
      <c r="DJ186" s="52"/>
      <c r="DK186" s="52"/>
      <c r="DL186" s="52"/>
      <c r="DM186" s="52"/>
      <c r="DN186" s="52"/>
      <c r="DO186" s="52"/>
      <c r="DP186" s="52"/>
      <c r="DQ186" s="52"/>
      <c r="DR186" s="52"/>
      <c r="DS186" s="52"/>
      <c r="DT186" s="52"/>
      <c r="DU186" s="52"/>
      <c r="DV186" s="52"/>
      <c r="DW186" s="52"/>
      <c r="DX186" s="52"/>
      <c r="DY186" s="52"/>
      <c r="DZ186" s="52"/>
      <c r="EA186" s="52"/>
      <c r="EB186" s="52"/>
      <c r="EC186" s="52"/>
      <c r="ED186" s="52"/>
      <c r="EE186" s="52"/>
      <c r="EF186" s="52"/>
      <c r="EG186" s="52"/>
      <c r="EH186" s="52"/>
      <c r="EI186" s="52"/>
      <c r="EJ186" s="52"/>
      <c r="EK186" s="52"/>
      <c r="EL186" s="52"/>
      <c r="EM186" s="52"/>
      <c r="EN186" s="52"/>
      <c r="EO186" s="52"/>
      <c r="EP186" s="52"/>
      <c r="EQ186" s="52"/>
      <c r="ER186" s="52"/>
      <c r="ES186" s="52"/>
      <c r="ET186" s="52"/>
      <c r="EU186" s="52"/>
      <c r="EV186" s="52"/>
      <c r="EW186" s="52"/>
      <c r="EX186" s="52"/>
      <c r="EY186" s="52"/>
      <c r="EZ186" s="52"/>
      <c r="FA186" s="52"/>
      <c r="FB186" s="52"/>
      <c r="FC186" s="52"/>
      <c r="FD186" s="52"/>
      <c r="FE186" s="52"/>
      <c r="FF186" s="52"/>
      <c r="FG186" s="52"/>
      <c r="FH186" s="52"/>
      <c r="FI186" s="52"/>
      <c r="FJ186" s="52"/>
      <c r="FK186" s="52"/>
      <c r="FL186" s="52"/>
      <c r="FM186" s="52"/>
      <c r="FN186" s="52"/>
      <c r="FO186" s="52"/>
      <c r="FP186" s="52"/>
      <c r="FQ186" s="52"/>
      <c r="FR186" s="52"/>
      <c r="FS186" s="52"/>
      <c r="FT186" s="52"/>
      <c r="FU186" s="52"/>
      <c r="FV186" s="52"/>
      <c r="FW186" s="52"/>
      <c r="FX186" s="52"/>
      <c r="FY186" s="52"/>
      <c r="FZ186" s="52"/>
      <c r="GA186" s="52"/>
      <c r="GB186" s="52"/>
      <c r="GC186" s="52"/>
      <c r="GD186" s="52"/>
      <c r="GE186" s="52"/>
      <c r="GF186" s="52"/>
      <c r="GG186" s="52"/>
      <c r="GH186" s="52"/>
      <c r="GI186" s="52"/>
      <c r="GJ186" s="52"/>
      <c r="GK186" s="52"/>
      <c r="GL186" s="52"/>
      <c r="GM186" s="52"/>
      <c r="GN186" s="52"/>
      <c r="GO186" s="52"/>
      <c r="GP186" s="52"/>
      <c r="GQ186" s="52"/>
      <c r="GR186" s="52"/>
      <c r="GS186" s="52"/>
      <c r="GT186" s="52"/>
      <c r="GU186" s="52"/>
      <c r="GV186" s="52"/>
      <c r="GW186" s="52"/>
      <c r="GX186" s="52"/>
      <c r="GY186" s="52"/>
      <c r="GZ186" s="52"/>
      <c r="HA186" s="52"/>
      <c r="HB186" s="52"/>
      <c r="HC186" s="52"/>
      <c r="HD186" s="52"/>
      <c r="HE186" s="52"/>
      <c r="HF186" s="52"/>
      <c r="HG186" s="52"/>
      <c r="HH186" s="52"/>
      <c r="HI186" s="52"/>
      <c r="HJ186" s="52"/>
      <c r="HK186" s="52"/>
      <c r="HL186" s="52"/>
      <c r="HM186" s="52"/>
      <c r="HN186" s="52"/>
      <c r="HO186" s="52"/>
      <c r="HP186" s="52"/>
      <c r="HQ186" s="52"/>
      <c r="HR186" s="52"/>
      <c r="HS186" s="52"/>
      <c r="HT186" s="52"/>
      <c r="HU186" s="52"/>
      <c r="HV186" s="52"/>
      <c r="HW186" s="52"/>
      <c r="HX186" s="52"/>
      <c r="HY186" s="52"/>
      <c r="HZ186" s="52"/>
      <c r="IA186" s="52"/>
      <c r="IB186" s="52"/>
      <c r="IC186" s="52"/>
      <c r="ID186" s="52"/>
      <c r="IE186" s="52"/>
      <c r="IF186" s="52"/>
      <c r="IG186" s="52"/>
      <c r="IH186" s="52"/>
      <c r="II186" s="52"/>
      <c r="IJ186" s="52"/>
      <c r="IK186" s="52"/>
      <c r="IL186" s="52"/>
      <c r="IM186" s="52"/>
      <c r="IN186" s="52"/>
      <c r="IO186" s="52"/>
      <c r="IP186" s="52"/>
      <c r="IQ186" s="52"/>
      <c r="IR186" s="52"/>
      <c r="IS186" s="52"/>
      <c r="IT186" s="52"/>
      <c r="IU186" s="52"/>
      <c r="IV186" s="52"/>
      <c r="IW186" s="52"/>
      <c r="IX186" s="52"/>
      <c r="IY186" s="52"/>
      <c r="IZ186" s="52"/>
      <c r="JA186" s="52"/>
      <c r="JB186" s="52"/>
      <c r="JC186" s="52"/>
      <c r="JD186" s="52"/>
      <c r="JE186" s="52"/>
      <c r="JF186" s="52"/>
      <c r="JG186" s="52"/>
      <c r="JH186" s="52"/>
      <c r="JI186" s="52"/>
      <c r="JJ186" s="52"/>
      <c r="JK186" s="52"/>
      <c r="JL186" s="52"/>
      <c r="JM186" s="52"/>
      <c r="JN186" s="52"/>
      <c r="JO186" s="52"/>
      <c r="JP186" s="52"/>
      <c r="JQ186" s="52"/>
      <c r="JR186" s="52"/>
      <c r="JS186" s="52"/>
      <c r="JT186" s="52"/>
      <c r="JU186" s="52"/>
      <c r="JV186" s="52"/>
      <c r="JW186" s="52"/>
      <c r="JX186" s="52"/>
      <c r="JY186" s="52"/>
      <c r="JZ186" s="52"/>
      <c r="KA186" s="52"/>
      <c r="KB186" s="52"/>
      <c r="KC186" s="52"/>
      <c r="KD186" s="52"/>
      <c r="KE186" s="52"/>
      <c r="KF186" s="52"/>
      <c r="KG186" s="52"/>
      <c r="KH186" s="52"/>
      <c r="KI186" s="52"/>
      <c r="KJ186" s="52"/>
      <c r="KK186" s="52"/>
      <c r="KL186" s="52"/>
      <c r="KM186" s="52"/>
      <c r="KN186" s="52"/>
      <c r="KO186" s="52"/>
      <c r="KP186" s="52"/>
      <c r="KQ186" s="52"/>
      <c r="KR186" s="52"/>
      <c r="KS186" s="52"/>
      <c r="KT186" s="52"/>
      <c r="KU186" s="52"/>
      <c r="KV186" s="52"/>
      <c r="KW186" s="52"/>
      <c r="KX186" s="52"/>
      <c r="KY186" s="52"/>
      <c r="KZ186" s="52"/>
      <c r="LA186" s="52"/>
      <c r="LB186" s="52"/>
      <c r="LC186" s="52"/>
      <c r="LD186" s="52"/>
      <c r="LE186" s="52"/>
      <c r="LF186" s="52"/>
      <c r="LG186" s="52"/>
      <c r="LH186" s="52"/>
      <c r="LI186" s="52"/>
      <c r="LJ186" s="52"/>
      <c r="LK186" s="52"/>
      <c r="LL186" s="52"/>
      <c r="LM186" s="52"/>
      <c r="LN186" s="52"/>
      <c r="LO186" s="52"/>
      <c r="LP186" s="52"/>
      <c r="LQ186" s="52"/>
      <c r="LR186" s="52"/>
      <c r="LS186" s="52"/>
      <c r="LT186" s="52"/>
      <c r="LU186" s="52"/>
      <c r="LV186" s="52"/>
      <c r="LW186" s="52"/>
      <c r="LX186" s="52"/>
      <c r="LY186" s="52"/>
      <c r="LZ186" s="52"/>
      <c r="MA186" s="52"/>
      <c r="MB186" s="52"/>
      <c r="MC186" s="52"/>
      <c r="MD186" s="52"/>
      <c r="ME186" s="52"/>
      <c r="MF186" s="52"/>
      <c r="MG186" s="52"/>
      <c r="MH186" s="52"/>
      <c r="MI186" s="52"/>
      <c r="MJ186" s="52"/>
      <c r="MK186" s="52"/>
      <c r="ML186" s="52"/>
      <c r="MM186" s="52"/>
      <c r="MN186" s="52"/>
      <c r="MO186" s="52"/>
      <c r="MP186" s="52"/>
      <c r="MQ186" s="52"/>
      <c r="MR186" s="52"/>
      <c r="MS186" s="52"/>
      <c r="MT186" s="52"/>
      <c r="MU186" s="52"/>
      <c r="MV186" s="52"/>
      <c r="MW186" s="52"/>
      <c r="MX186" s="52"/>
      <c r="MY186" s="52"/>
      <c r="MZ186" s="52"/>
      <c r="NA186" s="52"/>
      <c r="NB186" s="52"/>
      <c r="NC186" s="52"/>
      <c r="ND186" s="52"/>
      <c r="NE186" s="52"/>
      <c r="NF186" s="52"/>
      <c r="NG186" s="52"/>
      <c r="NH186" s="52"/>
    </row>
    <row r="187" spans="1:373" x14ac:dyDescent="0.2">
      <c r="A187" s="37">
        <v>185</v>
      </c>
      <c r="C187" s="17">
        <f>+'Detalle Compras'!D187</f>
        <v>0</v>
      </c>
      <c r="D187" s="55" t="str">
        <f t="shared" si="19"/>
        <v/>
      </c>
      <c r="E187" s="14" t="str">
        <f>+IF(B187="","",'Detalle Compras'!S187+0)</f>
        <v/>
      </c>
      <c r="F187" s="14" t="str">
        <f>+IF(B187="","",EOMONTH('Detalle Compras'!S187,G187)+10)</f>
        <v/>
      </c>
      <c r="G187" s="50">
        <f t="shared" si="20"/>
        <v>0</v>
      </c>
      <c r="H187" s="50">
        <f t="shared" si="21"/>
        <v>0</v>
      </c>
      <c r="M187" s="52"/>
      <c r="N187" s="52"/>
      <c r="O187" s="52"/>
      <c r="P187" s="52"/>
      <c r="Q187" s="52"/>
      <c r="R187" s="52"/>
      <c r="S187" s="52"/>
      <c r="T187" s="52"/>
      <c r="U187" s="52"/>
      <c r="V187" s="52"/>
      <c r="W187" s="52"/>
      <c r="X187" s="52"/>
      <c r="Y187" s="52"/>
      <c r="Z187" s="52"/>
      <c r="AA187" s="52"/>
      <c r="AB187" s="52"/>
      <c r="AC187" s="52"/>
      <c r="AD187" s="52"/>
      <c r="AE187" s="52"/>
      <c r="AF187" s="52"/>
      <c r="AG187" s="52"/>
      <c r="AH187" s="52"/>
      <c r="AI187" s="52"/>
      <c r="AJ187" s="52"/>
      <c r="AK187" s="52"/>
      <c r="AL187" s="52"/>
      <c r="AM187" s="52"/>
      <c r="AN187" s="52"/>
      <c r="AO187" s="52"/>
      <c r="AP187" s="52"/>
      <c r="AQ187" s="52"/>
      <c r="AR187" s="52"/>
      <c r="AS187" s="52"/>
      <c r="AT187" s="52"/>
      <c r="AU187" s="52"/>
      <c r="AV187" s="52"/>
      <c r="AW187" s="52"/>
      <c r="AX187" s="52"/>
      <c r="AY187" s="52"/>
      <c r="AZ187" s="52"/>
      <c r="BA187" s="52"/>
      <c r="BB187" s="52"/>
      <c r="BC187" s="52"/>
      <c r="BD187" s="52"/>
      <c r="BE187" s="52"/>
      <c r="BF187" s="52"/>
      <c r="BG187" s="52"/>
      <c r="BH187" s="52"/>
      <c r="BI187" s="52"/>
      <c r="BJ187" s="52"/>
      <c r="BK187" s="52"/>
      <c r="BL187" s="52"/>
      <c r="BM187" s="52"/>
      <c r="BN187" s="52"/>
      <c r="BO187" s="52"/>
      <c r="BP187" s="52"/>
      <c r="BQ187" s="52"/>
      <c r="BR187" s="52"/>
      <c r="BS187" s="52"/>
      <c r="BT187" s="52"/>
      <c r="BU187" s="52"/>
      <c r="BV187" s="52"/>
      <c r="BW187" s="52"/>
      <c r="BX187" s="52"/>
      <c r="BY187" s="52"/>
      <c r="BZ187" s="52"/>
      <c r="CA187" s="52"/>
      <c r="CB187" s="52"/>
      <c r="CC187" s="52"/>
      <c r="CD187" s="52"/>
      <c r="CE187" s="52"/>
      <c r="CF187" s="52"/>
      <c r="CG187" s="52"/>
      <c r="CH187" s="52"/>
      <c r="CI187" s="52"/>
      <c r="CJ187" s="52"/>
      <c r="CK187" s="52"/>
      <c r="CL187" s="52"/>
      <c r="CM187" s="52"/>
      <c r="CN187" s="52"/>
      <c r="CO187" s="52"/>
      <c r="CP187" s="52"/>
      <c r="CQ187" s="52"/>
      <c r="CR187" s="52"/>
      <c r="CS187" s="52"/>
      <c r="CT187" s="52"/>
      <c r="CU187" s="52"/>
      <c r="CV187" s="52"/>
      <c r="CW187" s="52"/>
      <c r="CX187" s="52"/>
      <c r="CY187" s="52"/>
      <c r="CZ187" s="52"/>
      <c r="DA187" s="52"/>
      <c r="DB187" s="52"/>
      <c r="DC187" s="52"/>
      <c r="DD187" s="52"/>
      <c r="DE187" s="52"/>
      <c r="DF187" s="52"/>
      <c r="DG187" s="52"/>
      <c r="DH187" s="52"/>
      <c r="DI187" s="52"/>
      <c r="DJ187" s="52"/>
      <c r="DK187" s="52"/>
      <c r="DL187" s="52"/>
      <c r="DM187" s="52"/>
      <c r="DN187" s="52"/>
      <c r="DO187" s="52"/>
      <c r="DP187" s="52"/>
      <c r="DQ187" s="52"/>
      <c r="DR187" s="52"/>
      <c r="DS187" s="52"/>
      <c r="DT187" s="52"/>
      <c r="DU187" s="52"/>
      <c r="DV187" s="52"/>
      <c r="DW187" s="52"/>
      <c r="DX187" s="52"/>
      <c r="DY187" s="52"/>
      <c r="DZ187" s="52"/>
      <c r="EA187" s="52"/>
      <c r="EB187" s="52"/>
      <c r="EC187" s="52"/>
      <c r="ED187" s="52"/>
      <c r="EE187" s="52"/>
      <c r="EF187" s="52"/>
      <c r="EG187" s="52"/>
      <c r="EH187" s="52"/>
      <c r="EI187" s="52"/>
      <c r="EJ187" s="52"/>
      <c r="EK187" s="52"/>
      <c r="EL187" s="52"/>
      <c r="EM187" s="52"/>
      <c r="EN187" s="52"/>
      <c r="EO187" s="52"/>
      <c r="EP187" s="52"/>
      <c r="EQ187" s="52"/>
      <c r="ER187" s="52"/>
      <c r="ES187" s="52"/>
      <c r="ET187" s="52"/>
      <c r="EU187" s="52"/>
      <c r="EV187" s="52"/>
      <c r="EW187" s="52"/>
      <c r="EX187" s="52"/>
      <c r="EY187" s="52"/>
      <c r="EZ187" s="52"/>
      <c r="FA187" s="52"/>
      <c r="FB187" s="52"/>
      <c r="FC187" s="52"/>
      <c r="FD187" s="52"/>
      <c r="FE187" s="52"/>
      <c r="FF187" s="52"/>
      <c r="FG187" s="52"/>
      <c r="FH187" s="52"/>
      <c r="FI187" s="52"/>
      <c r="FJ187" s="52"/>
      <c r="FK187" s="52"/>
      <c r="FL187" s="52"/>
      <c r="FM187" s="52"/>
      <c r="FN187" s="52"/>
      <c r="FO187" s="52"/>
      <c r="FP187" s="52"/>
      <c r="FQ187" s="52"/>
      <c r="FR187" s="52"/>
      <c r="FS187" s="52"/>
      <c r="FT187" s="52"/>
      <c r="FU187" s="52"/>
      <c r="FV187" s="52"/>
      <c r="FW187" s="52"/>
      <c r="FX187" s="52"/>
      <c r="FY187" s="52"/>
      <c r="FZ187" s="52"/>
      <c r="GA187" s="52"/>
      <c r="GB187" s="52"/>
      <c r="GC187" s="52"/>
      <c r="GD187" s="52"/>
      <c r="GE187" s="52"/>
      <c r="GF187" s="52"/>
      <c r="GG187" s="52"/>
      <c r="GH187" s="52"/>
      <c r="GI187" s="52"/>
      <c r="GJ187" s="52"/>
      <c r="GK187" s="52"/>
      <c r="GL187" s="52"/>
      <c r="GM187" s="52"/>
      <c r="GN187" s="52"/>
      <c r="GO187" s="52"/>
      <c r="GP187" s="52"/>
      <c r="GQ187" s="52"/>
      <c r="GR187" s="52"/>
      <c r="GS187" s="52"/>
      <c r="GT187" s="52"/>
      <c r="GU187" s="52"/>
      <c r="GV187" s="52"/>
      <c r="GW187" s="52"/>
      <c r="GX187" s="52"/>
      <c r="GY187" s="52"/>
      <c r="GZ187" s="52"/>
      <c r="HA187" s="52"/>
      <c r="HB187" s="52"/>
      <c r="HC187" s="52"/>
      <c r="HD187" s="52"/>
      <c r="HE187" s="52"/>
      <c r="HF187" s="52"/>
      <c r="HG187" s="52"/>
      <c r="HH187" s="52"/>
      <c r="HI187" s="52"/>
      <c r="HJ187" s="52"/>
      <c r="HK187" s="52"/>
      <c r="HL187" s="52"/>
      <c r="HM187" s="52"/>
      <c r="HN187" s="52"/>
      <c r="HO187" s="52"/>
      <c r="HP187" s="52"/>
      <c r="HQ187" s="52"/>
      <c r="HR187" s="52"/>
      <c r="HS187" s="52"/>
      <c r="HT187" s="52"/>
      <c r="HU187" s="52"/>
      <c r="HV187" s="52"/>
      <c r="HW187" s="52"/>
      <c r="HX187" s="52"/>
      <c r="HY187" s="52"/>
      <c r="HZ187" s="52"/>
      <c r="IA187" s="52"/>
      <c r="IB187" s="52"/>
      <c r="IC187" s="52"/>
      <c r="ID187" s="52"/>
      <c r="IE187" s="52"/>
      <c r="IF187" s="52"/>
      <c r="IG187" s="52"/>
      <c r="IH187" s="52"/>
      <c r="II187" s="52"/>
      <c r="IJ187" s="52"/>
      <c r="IK187" s="52"/>
      <c r="IL187" s="52"/>
      <c r="IM187" s="52"/>
      <c r="IN187" s="52"/>
      <c r="IO187" s="52"/>
      <c r="IP187" s="52"/>
      <c r="IQ187" s="52"/>
      <c r="IR187" s="52"/>
      <c r="IS187" s="52"/>
      <c r="IT187" s="52"/>
      <c r="IU187" s="52"/>
      <c r="IV187" s="52"/>
      <c r="IW187" s="52"/>
      <c r="IX187" s="52"/>
      <c r="IY187" s="52"/>
      <c r="IZ187" s="52"/>
      <c r="JA187" s="52"/>
      <c r="JB187" s="52"/>
      <c r="JC187" s="52"/>
      <c r="JD187" s="52"/>
      <c r="JE187" s="52"/>
      <c r="JF187" s="52"/>
      <c r="JG187" s="52"/>
      <c r="JH187" s="52"/>
      <c r="JI187" s="52"/>
      <c r="JJ187" s="52"/>
      <c r="JK187" s="52"/>
      <c r="JL187" s="52"/>
      <c r="JM187" s="52"/>
      <c r="JN187" s="52"/>
      <c r="JO187" s="52"/>
      <c r="JP187" s="52"/>
      <c r="JQ187" s="52"/>
      <c r="JR187" s="52"/>
      <c r="JS187" s="52"/>
      <c r="JT187" s="52"/>
      <c r="JU187" s="52"/>
      <c r="JV187" s="52"/>
      <c r="JW187" s="52"/>
      <c r="JX187" s="52"/>
      <c r="JY187" s="52"/>
      <c r="JZ187" s="52"/>
      <c r="KA187" s="52"/>
      <c r="KB187" s="52"/>
      <c r="KC187" s="52"/>
      <c r="KD187" s="52"/>
      <c r="KE187" s="52"/>
      <c r="KF187" s="52"/>
      <c r="KG187" s="52"/>
      <c r="KH187" s="52"/>
      <c r="KI187" s="52"/>
      <c r="KJ187" s="52"/>
      <c r="KK187" s="52"/>
      <c r="KL187" s="52"/>
      <c r="KM187" s="52"/>
      <c r="KN187" s="52"/>
      <c r="KO187" s="52"/>
      <c r="KP187" s="52"/>
      <c r="KQ187" s="52"/>
      <c r="KR187" s="52"/>
      <c r="KS187" s="52"/>
      <c r="KT187" s="52"/>
      <c r="KU187" s="52"/>
      <c r="KV187" s="52"/>
      <c r="KW187" s="52"/>
      <c r="KX187" s="52"/>
      <c r="KY187" s="52"/>
      <c r="KZ187" s="52"/>
      <c r="LA187" s="52"/>
      <c r="LB187" s="52"/>
      <c r="LC187" s="52"/>
      <c r="LD187" s="52"/>
      <c r="LE187" s="52"/>
      <c r="LF187" s="52"/>
      <c r="LG187" s="52"/>
      <c r="LH187" s="52"/>
      <c r="LI187" s="52"/>
      <c r="LJ187" s="52"/>
      <c r="LK187" s="52"/>
      <c r="LL187" s="52"/>
      <c r="LM187" s="52"/>
      <c r="LN187" s="52"/>
      <c r="LO187" s="52"/>
      <c r="LP187" s="52"/>
      <c r="LQ187" s="52"/>
      <c r="LR187" s="52"/>
      <c r="LS187" s="52"/>
      <c r="LT187" s="52"/>
      <c r="LU187" s="52"/>
      <c r="LV187" s="52"/>
      <c r="LW187" s="52"/>
      <c r="LX187" s="52"/>
      <c r="LY187" s="52"/>
      <c r="LZ187" s="52"/>
      <c r="MA187" s="52"/>
      <c r="MB187" s="52"/>
      <c r="MC187" s="52"/>
      <c r="MD187" s="52"/>
      <c r="ME187" s="52"/>
      <c r="MF187" s="52"/>
      <c r="MG187" s="52"/>
      <c r="MH187" s="52"/>
      <c r="MI187" s="52"/>
      <c r="MJ187" s="52"/>
      <c r="MK187" s="52"/>
      <c r="ML187" s="52"/>
      <c r="MM187" s="52"/>
      <c r="MN187" s="52"/>
      <c r="MO187" s="52"/>
      <c r="MP187" s="52"/>
      <c r="MQ187" s="52"/>
      <c r="MR187" s="52"/>
      <c r="MS187" s="52"/>
      <c r="MT187" s="52"/>
      <c r="MU187" s="52"/>
      <c r="MV187" s="52"/>
      <c r="MW187" s="52"/>
      <c r="MX187" s="52"/>
      <c r="MY187" s="52"/>
      <c r="MZ187" s="52"/>
      <c r="NA187" s="52"/>
      <c r="NB187" s="52"/>
      <c r="NC187" s="52"/>
      <c r="ND187" s="52"/>
      <c r="NE187" s="52"/>
      <c r="NF187" s="52"/>
      <c r="NG187" s="52"/>
      <c r="NH187" s="52"/>
      <c r="NI187" s="52"/>
    </row>
    <row r="188" spans="1:373" x14ac:dyDescent="0.2">
      <c r="A188" s="37">
        <v>186</v>
      </c>
      <c r="C188" s="17">
        <f>+'Detalle Compras'!D188</f>
        <v>0</v>
      </c>
      <c r="D188" s="55" t="str">
        <f t="shared" si="19"/>
        <v/>
      </c>
      <c r="E188" s="14" t="str">
        <f>+IF(B188="","",'Detalle Compras'!S188+0)</f>
        <v/>
      </c>
      <c r="F188" s="14" t="str">
        <f>+IF(B188="","",EOMONTH('Detalle Compras'!S188,G188)+10)</f>
        <v/>
      </c>
      <c r="G188" s="50">
        <f t="shared" si="20"/>
        <v>0</v>
      </c>
      <c r="H188" s="50">
        <f t="shared" si="21"/>
        <v>0</v>
      </c>
      <c r="M188" s="52"/>
      <c r="N188" s="52"/>
      <c r="O188" s="52"/>
      <c r="P188" s="52"/>
      <c r="Q188" s="52"/>
      <c r="R188" s="52"/>
      <c r="S188" s="52"/>
      <c r="T188" s="52"/>
      <c r="U188" s="52"/>
      <c r="V188" s="52"/>
      <c r="W188" s="52"/>
      <c r="X188" s="52"/>
      <c r="Y188" s="52"/>
      <c r="Z188" s="52"/>
      <c r="AA188" s="52"/>
      <c r="AB188" s="52"/>
      <c r="AC188" s="52"/>
      <c r="AD188" s="52"/>
      <c r="AE188" s="52"/>
      <c r="AF188" s="52"/>
      <c r="AG188" s="52"/>
      <c r="AH188" s="52"/>
      <c r="AI188" s="52"/>
      <c r="AJ188" s="52"/>
      <c r="AK188" s="52"/>
      <c r="AL188" s="52"/>
      <c r="AM188" s="52"/>
      <c r="AN188" s="52"/>
      <c r="AO188" s="52"/>
      <c r="AP188" s="52"/>
      <c r="AQ188" s="52"/>
      <c r="AR188" s="52"/>
      <c r="AS188" s="52"/>
      <c r="AT188" s="52"/>
      <c r="AU188" s="52"/>
      <c r="AV188" s="52"/>
      <c r="AW188" s="52"/>
      <c r="AX188" s="52"/>
      <c r="AY188" s="52"/>
      <c r="AZ188" s="52"/>
      <c r="BA188" s="52"/>
      <c r="BB188" s="52"/>
      <c r="BC188" s="52"/>
      <c r="BD188" s="52"/>
      <c r="BE188" s="52"/>
      <c r="BF188" s="52"/>
      <c r="BG188" s="52"/>
      <c r="BH188" s="52"/>
      <c r="BI188" s="52"/>
      <c r="BJ188" s="52"/>
      <c r="BK188" s="52"/>
      <c r="BL188" s="52"/>
      <c r="BM188" s="52"/>
      <c r="BN188" s="52"/>
      <c r="BO188" s="52"/>
      <c r="BP188" s="52"/>
      <c r="BQ188" s="52"/>
      <c r="BR188" s="52"/>
      <c r="BS188" s="52"/>
      <c r="BT188" s="52"/>
      <c r="BU188" s="52"/>
      <c r="BV188" s="52"/>
      <c r="BW188" s="52"/>
      <c r="BX188" s="52"/>
      <c r="BY188" s="52"/>
      <c r="BZ188" s="52"/>
      <c r="CA188" s="52"/>
      <c r="CB188" s="52"/>
      <c r="CC188" s="52"/>
      <c r="CD188" s="52"/>
      <c r="CE188" s="52"/>
      <c r="CF188" s="52"/>
      <c r="CG188" s="52"/>
      <c r="CH188" s="52"/>
      <c r="CI188" s="52"/>
      <c r="CJ188" s="52"/>
      <c r="CK188" s="52"/>
      <c r="CL188" s="52"/>
      <c r="CM188" s="52"/>
      <c r="CN188" s="52"/>
      <c r="CO188" s="52"/>
      <c r="CP188" s="52"/>
      <c r="CQ188" s="52"/>
      <c r="CR188" s="52"/>
      <c r="CS188" s="52"/>
      <c r="CT188" s="52"/>
      <c r="CU188" s="52"/>
      <c r="CV188" s="52"/>
      <c r="CW188" s="52"/>
      <c r="CX188" s="52"/>
      <c r="CY188" s="52"/>
      <c r="CZ188" s="52"/>
      <c r="DA188" s="52"/>
      <c r="DB188" s="52"/>
      <c r="DC188" s="52"/>
      <c r="DD188" s="52"/>
      <c r="DE188" s="52"/>
      <c r="DF188" s="52"/>
      <c r="DG188" s="52"/>
      <c r="DH188" s="52"/>
      <c r="DI188" s="52"/>
      <c r="DJ188" s="52"/>
      <c r="DK188" s="52"/>
      <c r="DL188" s="52"/>
      <c r="DM188" s="52"/>
      <c r="DN188" s="52"/>
      <c r="DO188" s="52"/>
      <c r="DP188" s="52"/>
      <c r="DQ188" s="52"/>
      <c r="DR188" s="52"/>
      <c r="DS188" s="52"/>
      <c r="DT188" s="52"/>
      <c r="DU188" s="52"/>
      <c r="DV188" s="52"/>
      <c r="DW188" s="52"/>
      <c r="DX188" s="52"/>
      <c r="DY188" s="52"/>
      <c r="DZ188" s="52"/>
      <c r="EA188" s="52"/>
      <c r="EB188" s="52"/>
      <c r="EC188" s="52"/>
      <c r="ED188" s="52"/>
      <c r="EE188" s="52"/>
      <c r="EF188" s="52"/>
      <c r="EG188" s="52"/>
      <c r="EH188" s="52"/>
      <c r="EI188" s="52"/>
      <c r="EJ188" s="52"/>
      <c r="EK188" s="52"/>
      <c r="EL188" s="52"/>
      <c r="EM188" s="52"/>
      <c r="EN188" s="52"/>
      <c r="EO188" s="52"/>
      <c r="EP188" s="52"/>
      <c r="EQ188" s="52"/>
      <c r="ER188" s="52"/>
      <c r="ES188" s="52"/>
      <c r="ET188" s="52"/>
      <c r="EU188" s="52"/>
      <c r="EV188" s="52"/>
      <c r="EW188" s="52"/>
      <c r="EX188" s="52"/>
      <c r="EY188" s="52"/>
      <c r="EZ188" s="52"/>
      <c r="FA188" s="52"/>
      <c r="FB188" s="52"/>
      <c r="FC188" s="52"/>
      <c r="FD188" s="52"/>
      <c r="FE188" s="52"/>
      <c r="FF188" s="52"/>
      <c r="FG188" s="52"/>
      <c r="FH188" s="52"/>
      <c r="FI188" s="52"/>
      <c r="FJ188" s="52"/>
      <c r="FK188" s="52"/>
      <c r="FL188" s="52"/>
      <c r="FM188" s="52"/>
      <c r="FN188" s="52"/>
      <c r="FO188" s="52"/>
      <c r="FP188" s="52"/>
      <c r="FQ188" s="52"/>
      <c r="FR188" s="52"/>
      <c r="FS188" s="52"/>
      <c r="FT188" s="52"/>
      <c r="FU188" s="52"/>
      <c r="FV188" s="52"/>
      <c r="FW188" s="52"/>
      <c r="FX188" s="52"/>
      <c r="FY188" s="52"/>
      <c r="FZ188" s="52"/>
      <c r="GA188" s="52"/>
      <c r="GB188" s="52"/>
      <c r="GC188" s="52"/>
      <c r="GD188" s="52"/>
      <c r="GE188" s="52"/>
      <c r="GF188" s="52"/>
      <c r="GG188" s="52"/>
      <c r="GH188" s="52"/>
      <c r="GI188" s="52"/>
      <c r="GJ188" s="52"/>
      <c r="GK188" s="52"/>
      <c r="GL188" s="52"/>
      <c r="GM188" s="52"/>
      <c r="GN188" s="52"/>
      <c r="GO188" s="52"/>
      <c r="GP188" s="52"/>
      <c r="GQ188" s="52"/>
      <c r="GR188" s="52"/>
      <c r="GS188" s="52"/>
      <c r="GT188" s="52"/>
      <c r="GU188" s="52"/>
      <c r="GV188" s="52"/>
      <c r="GW188" s="52"/>
      <c r="GX188" s="52"/>
      <c r="GY188" s="52"/>
      <c r="GZ188" s="52"/>
      <c r="HA188" s="52"/>
      <c r="HB188" s="52"/>
      <c r="HC188" s="52"/>
      <c r="HD188" s="52"/>
      <c r="HE188" s="52"/>
      <c r="HF188" s="52"/>
      <c r="HG188" s="52"/>
      <c r="HH188" s="52"/>
      <c r="HI188" s="52"/>
      <c r="HJ188" s="52"/>
      <c r="HK188" s="52"/>
      <c r="HL188" s="52"/>
      <c r="HM188" s="52"/>
      <c r="HN188" s="52"/>
      <c r="HO188" s="52"/>
      <c r="HP188" s="52"/>
      <c r="HQ188" s="52"/>
      <c r="HR188" s="52"/>
      <c r="HS188" s="52"/>
      <c r="HT188" s="52"/>
      <c r="HU188" s="52"/>
      <c r="HV188" s="52"/>
      <c r="HW188" s="52"/>
      <c r="HX188" s="52"/>
      <c r="HY188" s="52"/>
      <c r="HZ188" s="52"/>
      <c r="IA188" s="52"/>
      <c r="IB188" s="52"/>
      <c r="IC188" s="52"/>
      <c r="ID188" s="52"/>
      <c r="IE188" s="52"/>
      <c r="IF188" s="52"/>
      <c r="IG188" s="52"/>
      <c r="IH188" s="52"/>
      <c r="II188" s="52"/>
      <c r="IJ188" s="52"/>
      <c r="IK188" s="52"/>
      <c r="IL188" s="52"/>
      <c r="IM188" s="52"/>
      <c r="IN188" s="52"/>
      <c r="IO188" s="52"/>
      <c r="IP188" s="52"/>
      <c r="IQ188" s="52"/>
      <c r="IR188" s="52"/>
      <c r="IS188" s="52"/>
      <c r="IT188" s="52"/>
      <c r="IU188" s="52"/>
      <c r="IV188" s="52"/>
      <c r="IW188" s="52"/>
      <c r="IX188" s="52"/>
      <c r="IY188" s="52"/>
      <c r="IZ188" s="52"/>
      <c r="JA188" s="52"/>
      <c r="JB188" s="52"/>
      <c r="JC188" s="52"/>
      <c r="JD188" s="52"/>
      <c r="JE188" s="52"/>
      <c r="JF188" s="52"/>
      <c r="JG188" s="52"/>
      <c r="JH188" s="52"/>
      <c r="JI188" s="52"/>
      <c r="JJ188" s="52"/>
      <c r="JK188" s="52"/>
      <c r="JL188" s="52"/>
      <c r="JM188" s="52"/>
      <c r="JN188" s="52"/>
      <c r="JO188" s="52"/>
      <c r="JP188" s="52"/>
      <c r="JQ188" s="52"/>
      <c r="JR188" s="52"/>
      <c r="JS188" s="52"/>
      <c r="JT188" s="52"/>
      <c r="JU188" s="52"/>
      <c r="JV188" s="52"/>
      <c r="JW188" s="52"/>
      <c r="JX188" s="52"/>
      <c r="JY188" s="52"/>
      <c r="JZ188" s="52"/>
      <c r="KA188" s="52"/>
      <c r="KB188" s="52"/>
      <c r="KC188" s="52"/>
      <c r="KD188" s="52"/>
      <c r="KE188" s="52"/>
      <c r="KF188" s="52"/>
      <c r="KG188" s="52"/>
      <c r="KH188" s="52"/>
      <c r="KI188" s="52"/>
      <c r="KJ188" s="52"/>
      <c r="KK188" s="52"/>
      <c r="KL188" s="52"/>
      <c r="KM188" s="52"/>
      <c r="KN188" s="52"/>
      <c r="KO188" s="52"/>
      <c r="KP188" s="52"/>
      <c r="KQ188" s="52"/>
      <c r="KR188" s="52"/>
      <c r="KS188" s="52"/>
      <c r="KT188" s="52"/>
      <c r="KU188" s="52"/>
      <c r="KV188" s="52"/>
      <c r="KW188" s="52"/>
      <c r="KX188" s="52"/>
      <c r="KY188" s="52"/>
      <c r="KZ188" s="52"/>
      <c r="LA188" s="52"/>
      <c r="LB188" s="52"/>
      <c r="LC188" s="52"/>
      <c r="LD188" s="52"/>
      <c r="LE188" s="52"/>
      <c r="LF188" s="52"/>
      <c r="LG188" s="52"/>
      <c r="LH188" s="52"/>
      <c r="LI188" s="52"/>
      <c r="LJ188" s="52"/>
      <c r="LK188" s="52"/>
      <c r="LL188" s="52"/>
      <c r="LM188" s="52"/>
      <c r="LN188" s="52"/>
      <c r="LO188" s="52"/>
      <c r="LP188" s="52"/>
      <c r="LQ188" s="52"/>
      <c r="LR188" s="52"/>
      <c r="LS188" s="52"/>
      <c r="LT188" s="52"/>
      <c r="LU188" s="52"/>
      <c r="LV188" s="52"/>
      <c r="LW188" s="52"/>
      <c r="LX188" s="52"/>
      <c r="LY188" s="52"/>
      <c r="LZ188" s="52"/>
      <c r="MA188" s="52"/>
      <c r="MB188" s="52"/>
      <c r="MC188" s="52"/>
      <c r="MD188" s="52"/>
      <c r="ME188" s="52"/>
      <c r="MF188" s="52"/>
      <c r="MG188" s="52"/>
      <c r="MH188" s="52"/>
      <c r="MI188" s="52"/>
      <c r="MJ188" s="52"/>
      <c r="MK188" s="52"/>
      <c r="ML188" s="52"/>
      <c r="MM188" s="52"/>
      <c r="MN188" s="52"/>
      <c r="MO188" s="52"/>
      <c r="MP188" s="52"/>
      <c r="MQ188" s="52"/>
      <c r="MR188" s="52"/>
      <c r="MS188" s="52"/>
      <c r="MT188" s="52"/>
      <c r="MU188" s="52"/>
      <c r="MV188" s="52"/>
      <c r="MW188" s="52"/>
      <c r="MX188" s="52"/>
      <c r="MY188" s="52"/>
      <c r="MZ188" s="52"/>
      <c r="NA188" s="52"/>
      <c r="NB188" s="52"/>
      <c r="NC188" s="52"/>
      <c r="ND188" s="52"/>
      <c r="NE188" s="52"/>
      <c r="NF188" s="52"/>
      <c r="NG188" s="52"/>
      <c r="NH188" s="52"/>
    </row>
    <row r="189" spans="1:373" x14ac:dyDescent="0.2">
      <c r="A189" s="37">
        <v>187</v>
      </c>
      <c r="C189" s="17">
        <f>+'Detalle Compras'!D189</f>
        <v>0</v>
      </c>
      <c r="D189" s="55" t="str">
        <f t="shared" si="19"/>
        <v/>
      </c>
      <c r="E189" s="14" t="str">
        <f>+IF(B189="","",'Detalle Compras'!S189+0)</f>
        <v/>
      </c>
      <c r="F189" s="14" t="str">
        <f>+IF(B189="","",EOMONTH('Detalle Compras'!S189,G189)+10)</f>
        <v/>
      </c>
      <c r="G189" s="50">
        <f t="shared" si="20"/>
        <v>0</v>
      </c>
      <c r="H189" s="50">
        <f t="shared" si="21"/>
        <v>0</v>
      </c>
      <c r="M189" s="52"/>
      <c r="N189" s="52"/>
      <c r="O189" s="52"/>
      <c r="P189" s="52"/>
      <c r="Q189" s="52"/>
      <c r="R189" s="52"/>
      <c r="S189" s="52"/>
      <c r="T189" s="52"/>
      <c r="U189" s="52"/>
      <c r="V189" s="52"/>
      <c r="W189" s="52"/>
      <c r="X189" s="52"/>
      <c r="Y189" s="52"/>
      <c r="Z189" s="52"/>
      <c r="AA189" s="52"/>
      <c r="AB189" s="52"/>
      <c r="AC189" s="52"/>
      <c r="AD189" s="52"/>
      <c r="AE189" s="52"/>
      <c r="AF189" s="52"/>
      <c r="AG189" s="52"/>
      <c r="AH189" s="52"/>
      <c r="AI189" s="52"/>
      <c r="AJ189" s="52"/>
      <c r="AK189" s="52"/>
      <c r="AL189" s="52"/>
      <c r="AM189" s="52"/>
      <c r="AN189" s="52"/>
      <c r="AO189" s="52"/>
      <c r="AP189" s="52"/>
      <c r="AQ189" s="52"/>
      <c r="AR189" s="52"/>
      <c r="AS189" s="52"/>
      <c r="AT189" s="52"/>
      <c r="AU189" s="52"/>
      <c r="AV189" s="52"/>
      <c r="AW189" s="52"/>
      <c r="AX189" s="52"/>
      <c r="AY189" s="52"/>
      <c r="AZ189" s="52"/>
      <c r="BA189" s="52"/>
      <c r="BB189" s="52"/>
      <c r="BC189" s="52"/>
      <c r="BD189" s="52"/>
      <c r="BE189" s="52"/>
      <c r="BF189" s="52"/>
      <c r="BG189" s="52"/>
      <c r="BH189" s="52"/>
      <c r="BI189" s="52"/>
      <c r="BJ189" s="52"/>
      <c r="BK189" s="52"/>
      <c r="BL189" s="52"/>
      <c r="BM189" s="52"/>
      <c r="BN189" s="52"/>
      <c r="BO189" s="52"/>
      <c r="BP189" s="52"/>
      <c r="BQ189" s="52"/>
      <c r="BR189" s="52"/>
      <c r="BS189" s="52"/>
      <c r="BT189" s="52"/>
      <c r="BU189" s="52"/>
      <c r="BV189" s="52"/>
      <c r="BW189" s="52"/>
      <c r="BX189" s="52"/>
      <c r="BY189" s="52"/>
      <c r="BZ189" s="52"/>
      <c r="CA189" s="52"/>
      <c r="CB189" s="52"/>
      <c r="CC189" s="52"/>
      <c r="CD189" s="52"/>
      <c r="CE189" s="52"/>
      <c r="CF189" s="52"/>
      <c r="CG189" s="52"/>
      <c r="CH189" s="52"/>
      <c r="CI189" s="52"/>
      <c r="CJ189" s="52"/>
      <c r="CK189" s="52"/>
      <c r="CL189" s="52"/>
      <c r="CM189" s="52"/>
      <c r="CN189" s="52"/>
      <c r="CO189" s="52"/>
      <c r="CP189" s="52"/>
      <c r="CQ189" s="52"/>
      <c r="CR189" s="52"/>
      <c r="CS189" s="52"/>
      <c r="CT189" s="52"/>
      <c r="CU189" s="52"/>
      <c r="CV189" s="52"/>
      <c r="CW189" s="52"/>
      <c r="CX189" s="52"/>
      <c r="CY189" s="52"/>
      <c r="CZ189" s="52"/>
      <c r="DA189" s="52"/>
      <c r="DB189" s="52"/>
      <c r="DC189" s="52"/>
      <c r="DD189" s="52"/>
      <c r="DE189" s="52"/>
      <c r="DF189" s="52"/>
      <c r="DG189" s="52"/>
      <c r="DH189" s="52"/>
      <c r="DI189" s="52"/>
      <c r="DJ189" s="52"/>
      <c r="DK189" s="52"/>
      <c r="DL189" s="52"/>
      <c r="DM189" s="52"/>
      <c r="DN189" s="52"/>
      <c r="DO189" s="52"/>
      <c r="DP189" s="52"/>
      <c r="DQ189" s="52"/>
      <c r="DR189" s="52"/>
      <c r="DS189" s="52"/>
      <c r="DT189" s="52"/>
      <c r="DU189" s="52"/>
      <c r="DV189" s="52"/>
      <c r="DW189" s="52"/>
      <c r="DX189" s="52"/>
      <c r="DY189" s="52"/>
      <c r="DZ189" s="52"/>
      <c r="EA189" s="52"/>
      <c r="EB189" s="52"/>
      <c r="EC189" s="52"/>
      <c r="ED189" s="52"/>
      <c r="EE189" s="52"/>
      <c r="EF189" s="52"/>
      <c r="EG189" s="52"/>
      <c r="EH189" s="52"/>
      <c r="EI189" s="52"/>
      <c r="EJ189" s="52"/>
      <c r="EK189" s="52"/>
      <c r="EL189" s="52"/>
      <c r="EM189" s="52"/>
      <c r="EN189" s="52"/>
      <c r="EO189" s="52"/>
      <c r="EP189" s="52"/>
      <c r="EQ189" s="52"/>
      <c r="ER189" s="52"/>
      <c r="ES189" s="52"/>
      <c r="ET189" s="52"/>
      <c r="EU189" s="52"/>
      <c r="EV189" s="52"/>
      <c r="EW189" s="52"/>
      <c r="EX189" s="52"/>
      <c r="EY189" s="52"/>
      <c r="EZ189" s="52"/>
      <c r="FA189" s="52"/>
      <c r="FB189" s="52"/>
      <c r="FC189" s="52"/>
      <c r="FD189" s="52"/>
      <c r="FE189" s="52"/>
      <c r="FF189" s="52"/>
      <c r="FG189" s="52"/>
      <c r="FH189" s="52"/>
      <c r="FI189" s="52"/>
      <c r="FJ189" s="52"/>
      <c r="FK189" s="52"/>
      <c r="FL189" s="52"/>
      <c r="FM189" s="52"/>
      <c r="FN189" s="52"/>
      <c r="FO189" s="52"/>
      <c r="FP189" s="52"/>
      <c r="FQ189" s="52"/>
      <c r="FR189" s="52"/>
      <c r="FS189" s="52"/>
      <c r="FT189" s="52"/>
      <c r="FU189" s="52"/>
      <c r="FV189" s="52"/>
      <c r="FW189" s="52"/>
      <c r="FX189" s="52"/>
      <c r="FY189" s="52"/>
      <c r="FZ189" s="52"/>
      <c r="GA189" s="52"/>
      <c r="GB189" s="52"/>
      <c r="GC189" s="52"/>
      <c r="GD189" s="52"/>
      <c r="GE189" s="52"/>
      <c r="GF189" s="52"/>
      <c r="GG189" s="52"/>
      <c r="GH189" s="52"/>
      <c r="GI189" s="52"/>
      <c r="GJ189" s="52"/>
      <c r="GK189" s="52"/>
      <c r="GL189" s="52"/>
      <c r="GM189" s="52"/>
      <c r="GN189" s="52"/>
      <c r="GO189" s="52"/>
      <c r="GP189" s="52"/>
      <c r="GQ189" s="52"/>
      <c r="GR189" s="52"/>
      <c r="GS189" s="52"/>
      <c r="GT189" s="52"/>
      <c r="GU189" s="52"/>
      <c r="GV189" s="52"/>
      <c r="GW189" s="52"/>
      <c r="GX189" s="52"/>
      <c r="GY189" s="52"/>
      <c r="GZ189" s="52"/>
      <c r="HA189" s="52"/>
      <c r="HB189" s="52"/>
      <c r="HC189" s="52"/>
      <c r="HD189" s="52"/>
      <c r="HE189" s="52"/>
      <c r="HF189" s="52"/>
      <c r="HG189" s="52"/>
      <c r="HH189" s="52"/>
      <c r="HI189" s="52"/>
      <c r="HJ189" s="52"/>
      <c r="HK189" s="52"/>
      <c r="HL189" s="52"/>
      <c r="HM189" s="52"/>
      <c r="HN189" s="52"/>
      <c r="HO189" s="52"/>
      <c r="HP189" s="52"/>
      <c r="HQ189" s="52"/>
      <c r="HR189" s="52"/>
      <c r="HS189" s="52"/>
      <c r="HT189" s="52"/>
      <c r="HU189" s="52"/>
      <c r="HV189" s="52"/>
      <c r="HW189" s="52"/>
      <c r="HX189" s="52"/>
      <c r="HY189" s="52"/>
      <c r="HZ189" s="52"/>
      <c r="IA189" s="52"/>
      <c r="IB189" s="52"/>
      <c r="IC189" s="52"/>
      <c r="ID189" s="52"/>
      <c r="IE189" s="52"/>
      <c r="IF189" s="52"/>
      <c r="IG189" s="52"/>
      <c r="IH189" s="52"/>
      <c r="II189" s="52"/>
      <c r="IJ189" s="52"/>
      <c r="IK189" s="52"/>
      <c r="IL189" s="52"/>
      <c r="IM189" s="52"/>
      <c r="IN189" s="52"/>
      <c r="IO189" s="52"/>
      <c r="IP189" s="52"/>
      <c r="IQ189" s="52"/>
      <c r="IR189" s="52"/>
      <c r="IS189" s="52"/>
      <c r="IT189" s="52"/>
      <c r="IU189" s="52"/>
      <c r="IV189" s="52"/>
      <c r="IW189" s="52"/>
      <c r="IX189" s="52"/>
      <c r="IY189" s="52"/>
      <c r="IZ189" s="52"/>
      <c r="JA189" s="52"/>
      <c r="JB189" s="52"/>
      <c r="JC189" s="52"/>
      <c r="JD189" s="52"/>
      <c r="JE189" s="52"/>
      <c r="JF189" s="52"/>
      <c r="JG189" s="52"/>
      <c r="JH189" s="52"/>
      <c r="JI189" s="52"/>
      <c r="JJ189" s="52"/>
      <c r="JK189" s="52"/>
      <c r="JL189" s="52"/>
      <c r="JM189" s="52"/>
      <c r="JN189" s="52"/>
      <c r="JO189" s="52"/>
      <c r="JP189" s="52"/>
      <c r="JQ189" s="52"/>
      <c r="JR189" s="52"/>
      <c r="JS189" s="52"/>
      <c r="JT189" s="52"/>
      <c r="JU189" s="52"/>
      <c r="JV189" s="52"/>
      <c r="JW189" s="52"/>
      <c r="JX189" s="52"/>
      <c r="JY189" s="52"/>
      <c r="JZ189" s="52"/>
      <c r="KA189" s="52"/>
      <c r="KB189" s="52"/>
      <c r="KC189" s="52"/>
      <c r="KD189" s="52"/>
      <c r="KE189" s="52"/>
      <c r="KF189" s="52"/>
      <c r="KG189" s="52"/>
      <c r="KH189" s="52"/>
      <c r="KI189" s="52"/>
      <c r="KJ189" s="52"/>
      <c r="KK189" s="52"/>
      <c r="KL189" s="52"/>
      <c r="KM189" s="52"/>
      <c r="KN189" s="52"/>
      <c r="KO189" s="52"/>
      <c r="KP189" s="52"/>
      <c r="KQ189" s="52"/>
      <c r="KR189" s="52"/>
      <c r="KS189" s="52"/>
      <c r="KT189" s="52"/>
      <c r="KU189" s="52"/>
      <c r="KV189" s="52"/>
      <c r="KW189" s="52"/>
      <c r="KX189" s="52"/>
      <c r="KY189" s="52"/>
      <c r="KZ189" s="52"/>
      <c r="LA189" s="52"/>
      <c r="LB189" s="52"/>
      <c r="LC189" s="52"/>
      <c r="LD189" s="52"/>
      <c r="LE189" s="52"/>
      <c r="LF189" s="52"/>
      <c r="LG189" s="52"/>
      <c r="LH189" s="52"/>
      <c r="LI189" s="52"/>
      <c r="LJ189" s="52"/>
      <c r="LK189" s="52"/>
      <c r="LL189" s="52"/>
      <c r="LM189" s="52"/>
      <c r="LN189" s="52"/>
      <c r="LO189" s="52"/>
      <c r="LP189" s="52"/>
      <c r="LQ189" s="52"/>
      <c r="LR189" s="52"/>
      <c r="LS189" s="52"/>
      <c r="LT189" s="52"/>
      <c r="LU189" s="52"/>
      <c r="LV189" s="52"/>
      <c r="LW189" s="52"/>
      <c r="LX189" s="52"/>
      <c r="LY189" s="52"/>
      <c r="LZ189" s="52"/>
      <c r="MA189" s="52"/>
      <c r="MB189" s="52"/>
      <c r="MC189" s="52"/>
      <c r="MD189" s="52"/>
      <c r="ME189" s="52"/>
      <c r="MF189" s="52"/>
      <c r="MG189" s="52"/>
      <c r="MH189" s="52"/>
      <c r="MI189" s="52"/>
      <c r="MJ189" s="52"/>
      <c r="MK189" s="52"/>
      <c r="ML189" s="52"/>
      <c r="MM189" s="52"/>
      <c r="MN189" s="52"/>
      <c r="MO189" s="52"/>
      <c r="MP189" s="52"/>
      <c r="MQ189" s="52"/>
      <c r="MR189" s="52"/>
      <c r="MS189" s="52"/>
      <c r="MT189" s="52"/>
      <c r="MU189" s="52"/>
      <c r="MV189" s="52"/>
      <c r="MW189" s="52"/>
      <c r="MX189" s="52"/>
      <c r="MY189" s="52"/>
      <c r="MZ189" s="52"/>
      <c r="NA189" s="52"/>
      <c r="NB189" s="52"/>
      <c r="NC189" s="52"/>
      <c r="ND189" s="52"/>
      <c r="NE189" s="52"/>
      <c r="NF189" s="52"/>
      <c r="NG189" s="52"/>
      <c r="NH189" s="52"/>
      <c r="NI189" s="52"/>
    </row>
    <row r="190" spans="1:373" x14ac:dyDescent="0.2">
      <c r="A190" s="37">
        <v>188</v>
      </c>
      <c r="C190" s="17">
        <f>+'Detalle Compras'!D190</f>
        <v>0</v>
      </c>
      <c r="D190" s="55" t="str">
        <f t="shared" si="19"/>
        <v/>
      </c>
      <c r="E190" s="14" t="str">
        <f>+IF(B190="","",'Detalle Compras'!S190+0)</f>
        <v/>
      </c>
      <c r="F190" s="14" t="str">
        <f>+IF(B190="","",EOMONTH('Detalle Compras'!S190,G190)+10)</f>
        <v/>
      </c>
      <c r="G190" s="50">
        <f t="shared" si="20"/>
        <v>0</v>
      </c>
      <c r="H190" s="50">
        <f t="shared" si="21"/>
        <v>0</v>
      </c>
      <c r="M190" s="52"/>
      <c r="N190" s="52"/>
      <c r="O190" s="52"/>
      <c r="P190" s="52"/>
      <c r="Q190" s="52"/>
      <c r="R190" s="52"/>
      <c r="S190" s="52"/>
      <c r="T190" s="52"/>
      <c r="U190" s="52"/>
      <c r="V190" s="52"/>
      <c r="W190" s="52"/>
      <c r="X190" s="52"/>
      <c r="Y190" s="52"/>
      <c r="Z190" s="52"/>
      <c r="AA190" s="52"/>
      <c r="AB190" s="52"/>
      <c r="AC190" s="52"/>
      <c r="AD190" s="52"/>
      <c r="AE190" s="52"/>
      <c r="AF190" s="52"/>
      <c r="AG190" s="52"/>
      <c r="AH190" s="52"/>
      <c r="AI190" s="52"/>
      <c r="AJ190" s="52"/>
      <c r="AK190" s="52"/>
      <c r="AL190" s="52"/>
      <c r="AM190" s="52"/>
      <c r="AN190" s="52"/>
      <c r="AO190" s="52"/>
      <c r="AP190" s="52"/>
      <c r="AQ190" s="52"/>
      <c r="AR190" s="52"/>
      <c r="AS190" s="52"/>
      <c r="AT190" s="52"/>
      <c r="AU190" s="52"/>
      <c r="AV190" s="52"/>
      <c r="AW190" s="52"/>
      <c r="AX190" s="52"/>
      <c r="AY190" s="52"/>
      <c r="AZ190" s="52"/>
      <c r="BA190" s="52"/>
      <c r="BB190" s="52"/>
      <c r="BC190" s="52"/>
      <c r="BD190" s="52"/>
      <c r="BE190" s="52"/>
      <c r="BF190" s="52"/>
      <c r="BG190" s="52"/>
      <c r="BH190" s="52"/>
      <c r="BI190" s="52"/>
      <c r="BJ190" s="52"/>
      <c r="BK190" s="52"/>
      <c r="BL190" s="52"/>
      <c r="BM190" s="52"/>
      <c r="BN190" s="52"/>
      <c r="BO190" s="52"/>
      <c r="BP190" s="52"/>
      <c r="BQ190" s="52"/>
      <c r="BR190" s="52"/>
      <c r="BS190" s="52"/>
      <c r="BT190" s="52"/>
      <c r="BU190" s="52"/>
      <c r="BV190" s="52"/>
      <c r="BW190" s="52"/>
      <c r="BX190" s="52"/>
      <c r="BY190" s="52"/>
      <c r="BZ190" s="52"/>
      <c r="CA190" s="52"/>
      <c r="CB190" s="52"/>
      <c r="CC190" s="52"/>
      <c r="CD190" s="52"/>
      <c r="CE190" s="52"/>
      <c r="CF190" s="52"/>
      <c r="CG190" s="52"/>
      <c r="CH190" s="52"/>
      <c r="CI190" s="52"/>
      <c r="CJ190" s="52"/>
      <c r="CK190" s="52"/>
      <c r="CL190" s="52"/>
      <c r="CM190" s="52"/>
      <c r="CN190" s="52"/>
      <c r="CO190" s="52"/>
      <c r="CP190" s="52"/>
      <c r="CQ190" s="52"/>
      <c r="CR190" s="52"/>
      <c r="CS190" s="52"/>
      <c r="CT190" s="52"/>
      <c r="CU190" s="52"/>
      <c r="CV190" s="52"/>
      <c r="CW190" s="52"/>
      <c r="CX190" s="52"/>
      <c r="CY190" s="52"/>
      <c r="CZ190" s="52"/>
      <c r="DA190" s="52"/>
      <c r="DB190" s="52"/>
      <c r="DC190" s="52"/>
      <c r="DD190" s="52"/>
      <c r="DE190" s="52"/>
      <c r="DF190" s="52"/>
      <c r="DG190" s="52"/>
      <c r="DH190" s="52"/>
      <c r="DI190" s="52"/>
      <c r="DJ190" s="52"/>
      <c r="DK190" s="52"/>
      <c r="DL190" s="52"/>
      <c r="DM190" s="52"/>
      <c r="DN190" s="52"/>
      <c r="DO190" s="52"/>
      <c r="DP190" s="52"/>
      <c r="DQ190" s="52"/>
      <c r="DR190" s="52"/>
      <c r="DS190" s="52"/>
      <c r="DT190" s="52"/>
      <c r="DU190" s="52"/>
      <c r="DV190" s="52"/>
      <c r="DW190" s="52"/>
      <c r="DX190" s="52"/>
      <c r="DY190" s="52"/>
      <c r="DZ190" s="52"/>
      <c r="EA190" s="52"/>
      <c r="EB190" s="52"/>
      <c r="EC190" s="52"/>
      <c r="ED190" s="52"/>
      <c r="EE190" s="52"/>
      <c r="EF190" s="52"/>
      <c r="EG190" s="52"/>
      <c r="EH190" s="52"/>
      <c r="EI190" s="52"/>
      <c r="EJ190" s="52"/>
      <c r="EK190" s="52"/>
      <c r="EL190" s="52"/>
      <c r="EM190" s="52"/>
      <c r="EN190" s="52"/>
      <c r="EO190" s="52"/>
      <c r="EP190" s="52"/>
      <c r="EQ190" s="52"/>
      <c r="ER190" s="52"/>
      <c r="ES190" s="52"/>
      <c r="ET190" s="52"/>
      <c r="EU190" s="52"/>
      <c r="EV190" s="52"/>
      <c r="EW190" s="52"/>
      <c r="EX190" s="52"/>
      <c r="EY190" s="52"/>
      <c r="EZ190" s="52"/>
      <c r="FA190" s="52"/>
      <c r="FB190" s="52"/>
      <c r="FC190" s="52"/>
      <c r="FD190" s="52"/>
      <c r="FE190" s="52"/>
      <c r="FF190" s="52"/>
      <c r="FG190" s="52"/>
      <c r="FH190" s="52"/>
      <c r="FI190" s="52"/>
      <c r="FJ190" s="52"/>
      <c r="FK190" s="52"/>
      <c r="FL190" s="52"/>
      <c r="FM190" s="52"/>
      <c r="FN190" s="52"/>
      <c r="FO190" s="52"/>
      <c r="FP190" s="52"/>
      <c r="FQ190" s="52"/>
      <c r="FR190" s="52"/>
      <c r="FS190" s="52"/>
      <c r="FT190" s="52"/>
      <c r="FU190" s="52"/>
      <c r="FV190" s="52"/>
      <c r="FW190" s="52"/>
      <c r="FX190" s="52"/>
      <c r="FY190" s="52"/>
      <c r="FZ190" s="52"/>
      <c r="GA190" s="52"/>
      <c r="GB190" s="52"/>
      <c r="GC190" s="52"/>
      <c r="GD190" s="52"/>
      <c r="GE190" s="52"/>
      <c r="GF190" s="52"/>
      <c r="GG190" s="52"/>
      <c r="GH190" s="52"/>
      <c r="GI190" s="52"/>
      <c r="GJ190" s="52"/>
      <c r="GK190" s="52"/>
      <c r="GL190" s="52"/>
      <c r="GM190" s="52"/>
      <c r="GN190" s="52"/>
      <c r="GO190" s="52"/>
      <c r="GP190" s="52"/>
      <c r="GQ190" s="52"/>
      <c r="GR190" s="52"/>
      <c r="GS190" s="52"/>
      <c r="GT190" s="52"/>
      <c r="GU190" s="52"/>
      <c r="GV190" s="52"/>
      <c r="GW190" s="52"/>
      <c r="GX190" s="52"/>
      <c r="GY190" s="52"/>
      <c r="GZ190" s="52"/>
      <c r="HA190" s="52"/>
      <c r="HB190" s="52"/>
      <c r="HC190" s="52"/>
      <c r="HD190" s="52"/>
      <c r="HE190" s="52"/>
      <c r="HF190" s="52"/>
      <c r="HG190" s="52"/>
      <c r="HH190" s="52"/>
      <c r="HI190" s="52"/>
      <c r="HJ190" s="52"/>
      <c r="HK190" s="52"/>
      <c r="HL190" s="52"/>
      <c r="HM190" s="52"/>
      <c r="HN190" s="52"/>
      <c r="HO190" s="52"/>
      <c r="HP190" s="52"/>
      <c r="HQ190" s="52"/>
      <c r="HR190" s="52"/>
      <c r="HS190" s="52"/>
      <c r="HT190" s="52"/>
      <c r="HU190" s="52"/>
      <c r="HV190" s="52"/>
      <c r="HW190" s="52"/>
      <c r="HX190" s="52"/>
      <c r="HY190" s="52"/>
      <c r="HZ190" s="52"/>
      <c r="IA190" s="52"/>
      <c r="IB190" s="52"/>
      <c r="IC190" s="52"/>
      <c r="ID190" s="52"/>
      <c r="IE190" s="52"/>
      <c r="IF190" s="52"/>
      <c r="IG190" s="52"/>
      <c r="IH190" s="52"/>
      <c r="II190" s="52"/>
      <c r="IJ190" s="52"/>
      <c r="IK190" s="52"/>
      <c r="IL190" s="52"/>
      <c r="IM190" s="52"/>
      <c r="IN190" s="52"/>
      <c r="IO190" s="52"/>
      <c r="IP190" s="52"/>
      <c r="IQ190" s="52"/>
      <c r="IR190" s="52"/>
      <c r="IS190" s="52"/>
      <c r="IT190" s="52"/>
      <c r="IU190" s="52"/>
      <c r="IV190" s="52"/>
      <c r="IW190" s="52"/>
      <c r="IX190" s="52"/>
      <c r="IY190" s="52"/>
      <c r="IZ190" s="52"/>
      <c r="JA190" s="52"/>
      <c r="JB190" s="52"/>
      <c r="JC190" s="52"/>
      <c r="JD190" s="52"/>
      <c r="JE190" s="52"/>
      <c r="JF190" s="52"/>
      <c r="JG190" s="52"/>
      <c r="JH190" s="52"/>
      <c r="JI190" s="52"/>
      <c r="JJ190" s="52"/>
      <c r="JK190" s="52"/>
      <c r="JL190" s="52"/>
      <c r="JM190" s="52"/>
      <c r="JN190" s="52"/>
      <c r="JO190" s="52"/>
      <c r="JP190" s="52"/>
      <c r="JQ190" s="52"/>
      <c r="JR190" s="52"/>
      <c r="JS190" s="52"/>
      <c r="JT190" s="52"/>
      <c r="JU190" s="52"/>
      <c r="JV190" s="52"/>
      <c r="JW190" s="52"/>
      <c r="JX190" s="52"/>
      <c r="JY190" s="52"/>
      <c r="JZ190" s="52"/>
      <c r="KA190" s="52"/>
      <c r="KB190" s="52"/>
      <c r="KC190" s="52"/>
      <c r="KD190" s="52"/>
      <c r="KE190" s="52"/>
      <c r="KF190" s="52"/>
      <c r="KG190" s="52"/>
      <c r="KH190" s="52"/>
      <c r="KI190" s="52"/>
      <c r="KJ190" s="52"/>
      <c r="KK190" s="52"/>
      <c r="KL190" s="52"/>
      <c r="KM190" s="52"/>
      <c r="KN190" s="52"/>
      <c r="KO190" s="52"/>
      <c r="KP190" s="52"/>
      <c r="KQ190" s="52"/>
      <c r="KR190" s="52"/>
      <c r="KS190" s="52"/>
      <c r="KT190" s="52"/>
      <c r="KU190" s="52"/>
      <c r="KV190" s="52"/>
      <c r="KW190" s="52"/>
      <c r="KX190" s="52"/>
      <c r="KY190" s="52"/>
      <c r="KZ190" s="52"/>
      <c r="LA190" s="52"/>
      <c r="LB190" s="52"/>
      <c r="LC190" s="52"/>
      <c r="LD190" s="52"/>
      <c r="LE190" s="52"/>
      <c r="LF190" s="52"/>
      <c r="LG190" s="52"/>
      <c r="LH190" s="52"/>
      <c r="LI190" s="52"/>
      <c r="LJ190" s="52"/>
      <c r="LK190" s="52"/>
      <c r="LL190" s="52"/>
      <c r="LM190" s="52"/>
      <c r="LN190" s="52"/>
      <c r="LO190" s="52"/>
      <c r="LP190" s="52"/>
      <c r="LQ190" s="52"/>
      <c r="LR190" s="52"/>
      <c r="LS190" s="52"/>
      <c r="LT190" s="52"/>
      <c r="LU190" s="52"/>
      <c r="LV190" s="52"/>
      <c r="LW190" s="52"/>
      <c r="LX190" s="52"/>
      <c r="LY190" s="52"/>
      <c r="LZ190" s="52"/>
      <c r="MA190" s="52"/>
      <c r="MB190" s="52"/>
      <c r="MC190" s="52"/>
      <c r="MD190" s="52"/>
      <c r="ME190" s="52"/>
      <c r="MF190" s="52"/>
      <c r="MG190" s="52"/>
      <c r="MH190" s="52"/>
      <c r="MI190" s="52"/>
      <c r="MJ190" s="52"/>
      <c r="MK190" s="52"/>
      <c r="ML190" s="52"/>
      <c r="MM190" s="52"/>
      <c r="MN190" s="52"/>
      <c r="MO190" s="52"/>
      <c r="MP190" s="52"/>
      <c r="MQ190" s="52"/>
      <c r="MR190" s="52"/>
      <c r="MS190" s="52"/>
      <c r="MT190" s="52"/>
      <c r="MU190" s="52"/>
      <c r="MV190" s="52"/>
      <c r="MW190" s="52"/>
      <c r="MX190" s="52"/>
      <c r="MY190" s="52"/>
      <c r="MZ190" s="52"/>
      <c r="NA190" s="52"/>
      <c r="NB190" s="52"/>
      <c r="NC190" s="52"/>
      <c r="ND190" s="52"/>
      <c r="NE190" s="52"/>
      <c r="NF190" s="52"/>
      <c r="NG190" s="52"/>
      <c r="NH190" s="52"/>
      <c r="NI190" s="52"/>
    </row>
    <row r="191" spans="1:373" x14ac:dyDescent="0.2">
      <c r="A191" s="37">
        <v>189</v>
      </c>
      <c r="C191" s="17">
        <f>+'Detalle Compras'!D191</f>
        <v>0</v>
      </c>
      <c r="D191" s="55" t="str">
        <f t="shared" si="19"/>
        <v/>
      </c>
      <c r="E191" s="14" t="str">
        <f>+IF(B191="","",'Detalle Compras'!S191+0)</f>
        <v/>
      </c>
      <c r="F191" s="14" t="str">
        <f>+IF(B191="","",EOMONTH('Detalle Compras'!S191,G191)+10)</f>
        <v/>
      </c>
      <c r="G191" s="50">
        <f t="shared" si="20"/>
        <v>0</v>
      </c>
      <c r="H191" s="50">
        <f t="shared" si="21"/>
        <v>0</v>
      </c>
    </row>
    <row r="192" spans="1:373" x14ac:dyDescent="0.2">
      <c r="A192" s="37">
        <v>190</v>
      </c>
      <c r="C192" s="17">
        <f>+'Detalle Compras'!D192</f>
        <v>0</v>
      </c>
      <c r="D192" s="55" t="str">
        <f t="shared" si="19"/>
        <v/>
      </c>
      <c r="E192" s="14" t="str">
        <f>+IF(B192="","",'Detalle Compras'!S192+0)</f>
        <v/>
      </c>
      <c r="F192" s="14" t="str">
        <f>+IF(B192="","",EOMONTH('Detalle Compras'!S192,G192)+10)</f>
        <v/>
      </c>
      <c r="G192" s="50">
        <f t="shared" si="20"/>
        <v>0</v>
      </c>
      <c r="H192" s="50">
        <f t="shared" si="21"/>
        <v>0</v>
      </c>
    </row>
    <row r="193" spans="1:8" x14ac:dyDescent="0.2">
      <c r="A193" s="37">
        <v>191</v>
      </c>
      <c r="C193" s="17">
        <f>+'Detalle Compras'!D193</f>
        <v>0</v>
      </c>
      <c r="D193" s="55" t="str">
        <f t="shared" si="19"/>
        <v/>
      </c>
      <c r="E193" s="14" t="str">
        <f>+IF(B193="","",'Detalle Compras'!S193+0)</f>
        <v/>
      </c>
      <c r="F193" s="14" t="str">
        <f>+IF(B193="","",EOMONTH('Detalle Compras'!S193,G193)+10)</f>
        <v/>
      </c>
      <c r="G193" s="50">
        <f t="shared" si="20"/>
        <v>0</v>
      </c>
      <c r="H193" s="50">
        <f t="shared" si="21"/>
        <v>0</v>
      </c>
    </row>
    <row r="194" spans="1:8" x14ac:dyDescent="0.2">
      <c r="A194" s="37">
        <v>192</v>
      </c>
      <c r="C194" s="17">
        <f>+'Detalle Compras'!D194</f>
        <v>0</v>
      </c>
      <c r="D194" s="55" t="str">
        <f t="shared" si="19"/>
        <v/>
      </c>
      <c r="E194" s="14" t="str">
        <f>+IF(B194="","",'Detalle Compras'!S194+0)</f>
        <v/>
      </c>
      <c r="F194" s="14" t="str">
        <f>+IF(B194="","",EOMONTH('Detalle Compras'!S194,G194)+10)</f>
        <v/>
      </c>
      <c r="G194" s="50">
        <f t="shared" si="20"/>
        <v>0</v>
      </c>
      <c r="H194" s="50">
        <f t="shared" si="21"/>
        <v>0</v>
      </c>
    </row>
    <row r="195" spans="1:8" x14ac:dyDescent="0.2">
      <c r="A195" s="37">
        <v>193</v>
      </c>
      <c r="C195" s="17">
        <f>+'Detalle Compras'!D195</f>
        <v>0</v>
      </c>
      <c r="D195" s="55" t="str">
        <f t="shared" si="19"/>
        <v/>
      </c>
      <c r="E195" s="14" t="str">
        <f>+IF(B195="","",'Detalle Compras'!S195+0)</f>
        <v/>
      </c>
      <c r="F195" s="14" t="str">
        <f>+IF(B195="","",EOMONTH('Detalle Compras'!S195,G195)+10)</f>
        <v/>
      </c>
      <c r="G195" s="50">
        <f t="shared" si="20"/>
        <v>0</v>
      </c>
      <c r="H195" s="50">
        <f t="shared" si="21"/>
        <v>0</v>
      </c>
    </row>
    <row r="196" spans="1:8" x14ac:dyDescent="0.2">
      <c r="A196" s="37">
        <v>194</v>
      </c>
      <c r="C196" s="17">
        <f>+'Detalle Compras'!D196</f>
        <v>0</v>
      </c>
      <c r="D196" s="55" t="str">
        <f t="shared" ref="D196:D259" si="22">+IF(B196="","",EA196)</f>
        <v/>
      </c>
      <c r="E196" s="14" t="str">
        <f>+IF(B196="","",'Detalle Compras'!S196+0)</f>
        <v/>
      </c>
      <c r="F196" s="14" t="str">
        <f>+IF(B196="","",EOMONTH('Detalle Compras'!S196,G196)+10)</f>
        <v/>
      </c>
      <c r="G196" s="50">
        <f t="shared" ref="G196:G259" si="23">+COUNTIF(I196:ADF196,"&gt;1")</f>
        <v>0</v>
      </c>
      <c r="H196" s="50">
        <f t="shared" ref="H196:H259" si="24">+COUNT(AF196:ADF196)</f>
        <v>0</v>
      </c>
    </row>
    <row r="197" spans="1:8" x14ac:dyDescent="0.2">
      <c r="A197" s="37">
        <v>195</v>
      </c>
      <c r="C197" s="17">
        <f>+'Detalle Compras'!D197</f>
        <v>0</v>
      </c>
      <c r="D197" s="55" t="str">
        <f t="shared" si="22"/>
        <v/>
      </c>
      <c r="E197" s="14" t="str">
        <f>+IF(B197="","",'Detalle Compras'!S197+0)</f>
        <v/>
      </c>
      <c r="F197" s="14" t="str">
        <f>+IF(B197="","",EOMONTH('Detalle Compras'!S197,G197)+10)</f>
        <v/>
      </c>
      <c r="G197" s="50">
        <f t="shared" si="23"/>
        <v>0</v>
      </c>
      <c r="H197" s="50">
        <f t="shared" si="24"/>
        <v>0</v>
      </c>
    </row>
    <row r="198" spans="1:8" x14ac:dyDescent="0.2">
      <c r="A198" s="37">
        <v>196</v>
      </c>
      <c r="C198" s="17">
        <f>+'Detalle Compras'!D198</f>
        <v>0</v>
      </c>
      <c r="D198" s="55" t="str">
        <f t="shared" si="22"/>
        <v/>
      </c>
      <c r="E198" s="14" t="str">
        <f>+IF(B198="","",'Detalle Compras'!S198+0)</f>
        <v/>
      </c>
      <c r="F198" s="14" t="str">
        <f>+IF(B198="","",EOMONTH('Detalle Compras'!S198,G198)+10)</f>
        <v/>
      </c>
      <c r="G198" s="50">
        <f t="shared" si="23"/>
        <v>0</v>
      </c>
      <c r="H198" s="50">
        <f t="shared" si="24"/>
        <v>0</v>
      </c>
    </row>
    <row r="199" spans="1:8" x14ac:dyDescent="0.2">
      <c r="A199" s="37">
        <v>197</v>
      </c>
      <c r="C199" s="17">
        <f>+'Detalle Compras'!D199</f>
        <v>0</v>
      </c>
      <c r="D199" s="55" t="str">
        <f t="shared" si="22"/>
        <v/>
      </c>
      <c r="E199" s="14" t="str">
        <f>+IF(B199="","",'Detalle Compras'!S199+0)</f>
        <v/>
      </c>
      <c r="F199" s="14" t="str">
        <f>+IF(B199="","",EOMONTH('Detalle Compras'!S199,G199)+10)</f>
        <v/>
      </c>
      <c r="G199" s="50">
        <f t="shared" si="23"/>
        <v>0</v>
      </c>
      <c r="H199" s="50">
        <f t="shared" si="24"/>
        <v>0</v>
      </c>
    </row>
    <row r="200" spans="1:8" x14ac:dyDescent="0.2">
      <c r="A200" s="37">
        <v>198</v>
      </c>
      <c r="C200" s="17">
        <f>+'Detalle Compras'!D200</f>
        <v>0</v>
      </c>
      <c r="D200" s="55" t="str">
        <f t="shared" si="22"/>
        <v/>
      </c>
      <c r="E200" s="14" t="str">
        <f>+IF(B200="","",'Detalle Compras'!S200+0)</f>
        <v/>
      </c>
      <c r="F200" s="14" t="str">
        <f>+IF(B200="","",EOMONTH('Detalle Compras'!S200,G200)+10)</f>
        <v/>
      </c>
      <c r="G200" s="50">
        <f t="shared" si="23"/>
        <v>0</v>
      </c>
      <c r="H200" s="50">
        <f t="shared" si="24"/>
        <v>0</v>
      </c>
    </row>
    <row r="201" spans="1:8" x14ac:dyDescent="0.2">
      <c r="A201" s="37">
        <v>199</v>
      </c>
      <c r="C201" s="17">
        <f>+'Detalle Compras'!D201</f>
        <v>0</v>
      </c>
      <c r="D201" s="55" t="str">
        <f t="shared" si="22"/>
        <v/>
      </c>
      <c r="E201" s="14" t="str">
        <f>+IF(B201="","",'Detalle Compras'!S201+0)</f>
        <v/>
      </c>
      <c r="F201" s="14" t="str">
        <f>+IF(B201="","",EOMONTH('Detalle Compras'!S201,G201)+10)</f>
        <v/>
      </c>
      <c r="G201" s="50">
        <f t="shared" si="23"/>
        <v>0</v>
      </c>
      <c r="H201" s="50">
        <f t="shared" si="24"/>
        <v>0</v>
      </c>
    </row>
    <row r="202" spans="1:8" x14ac:dyDescent="0.2">
      <c r="A202" s="37">
        <v>200</v>
      </c>
      <c r="C202" s="17">
        <f>+'Detalle Compras'!D202</f>
        <v>0</v>
      </c>
      <c r="D202" s="55" t="str">
        <f t="shared" si="22"/>
        <v/>
      </c>
      <c r="E202" s="14" t="str">
        <f>+IF(B202="","",'Detalle Compras'!S202+0)</f>
        <v/>
      </c>
      <c r="F202" s="14" t="str">
        <f>+IF(B202="","",EOMONTH('Detalle Compras'!S202,G202)+10)</f>
        <v/>
      </c>
      <c r="G202" s="50">
        <f t="shared" si="23"/>
        <v>0</v>
      </c>
      <c r="H202" s="50">
        <f t="shared" si="24"/>
        <v>0</v>
      </c>
    </row>
    <row r="203" spans="1:8" x14ac:dyDescent="0.2">
      <c r="A203" s="37">
        <v>201</v>
      </c>
      <c r="C203" s="17">
        <f>+'Detalle Compras'!D203</f>
        <v>0</v>
      </c>
      <c r="D203" s="55" t="str">
        <f t="shared" si="22"/>
        <v/>
      </c>
      <c r="E203" s="14" t="str">
        <f>+IF(B203="","",'Detalle Compras'!S203+0)</f>
        <v/>
      </c>
      <c r="F203" s="14" t="str">
        <f>+IF(B203="","",EOMONTH('Detalle Compras'!S203,G203)+10)</f>
        <v/>
      </c>
      <c r="G203" s="50">
        <f t="shared" si="23"/>
        <v>0</v>
      </c>
      <c r="H203" s="50">
        <f t="shared" si="24"/>
        <v>0</v>
      </c>
    </row>
    <row r="204" spans="1:8" x14ac:dyDescent="0.2">
      <c r="A204" s="37">
        <v>202</v>
      </c>
      <c r="C204" s="17">
        <f>+'Detalle Compras'!D204</f>
        <v>0</v>
      </c>
      <c r="D204" s="55" t="str">
        <f t="shared" si="22"/>
        <v/>
      </c>
      <c r="E204" s="14" t="str">
        <f>+IF(B204="","",'Detalle Compras'!S204+0)</f>
        <v/>
      </c>
      <c r="F204" s="14" t="str">
        <f>+IF(B204="","",EOMONTH('Detalle Compras'!S204,G204)+10)</f>
        <v/>
      </c>
      <c r="G204" s="50">
        <f t="shared" si="23"/>
        <v>0</v>
      </c>
      <c r="H204" s="50">
        <f t="shared" si="24"/>
        <v>0</v>
      </c>
    </row>
    <row r="205" spans="1:8" x14ac:dyDescent="0.2">
      <c r="A205" s="37">
        <v>203</v>
      </c>
      <c r="C205" s="17">
        <f>+'Detalle Compras'!D205</f>
        <v>0</v>
      </c>
      <c r="D205" s="55" t="str">
        <f t="shared" si="22"/>
        <v/>
      </c>
      <c r="E205" s="14" t="str">
        <f>+IF(B205="","",'Detalle Compras'!S205+0)</f>
        <v/>
      </c>
      <c r="F205" s="14" t="str">
        <f>+IF(B205="","",EOMONTH('Detalle Compras'!S205,G205)+10)</f>
        <v/>
      </c>
      <c r="G205" s="50">
        <f t="shared" si="23"/>
        <v>0</v>
      </c>
      <c r="H205" s="50">
        <f t="shared" si="24"/>
        <v>0</v>
      </c>
    </row>
    <row r="206" spans="1:8" x14ac:dyDescent="0.2">
      <c r="A206" s="37">
        <v>204</v>
      </c>
      <c r="C206" s="17">
        <f>+'Detalle Compras'!D206</f>
        <v>0</v>
      </c>
      <c r="D206" s="55" t="str">
        <f t="shared" si="22"/>
        <v/>
      </c>
      <c r="E206" s="14" t="str">
        <f>+IF(B206="","",'Detalle Compras'!S206+0)</f>
        <v/>
      </c>
      <c r="F206" s="14" t="str">
        <f>+IF(B206="","",EOMONTH('Detalle Compras'!S206,G206)+10)</f>
        <v/>
      </c>
      <c r="G206" s="50">
        <f t="shared" si="23"/>
        <v>0</v>
      </c>
      <c r="H206" s="50">
        <f t="shared" si="24"/>
        <v>0</v>
      </c>
    </row>
    <row r="207" spans="1:8" x14ac:dyDescent="0.2">
      <c r="A207" s="37">
        <v>205</v>
      </c>
      <c r="C207" s="17">
        <f>+'Detalle Compras'!D207</f>
        <v>0</v>
      </c>
      <c r="D207" s="55" t="str">
        <f t="shared" si="22"/>
        <v/>
      </c>
      <c r="E207" s="14" t="str">
        <f>+IF(B207="","",'Detalle Compras'!S207+0)</f>
        <v/>
      </c>
      <c r="F207" s="14" t="str">
        <f>+IF(B207="","",EOMONTH('Detalle Compras'!S207,G207)+10)</f>
        <v/>
      </c>
      <c r="G207" s="50">
        <f t="shared" si="23"/>
        <v>0</v>
      </c>
      <c r="H207" s="50">
        <f t="shared" si="24"/>
        <v>0</v>
      </c>
    </row>
    <row r="208" spans="1:8" x14ac:dyDescent="0.2">
      <c r="A208" s="37">
        <v>206</v>
      </c>
      <c r="C208" s="17">
        <f>+'Detalle Compras'!D208</f>
        <v>0</v>
      </c>
      <c r="D208" s="55" t="str">
        <f t="shared" si="22"/>
        <v/>
      </c>
      <c r="E208" s="14" t="str">
        <f>+IF(B208="","",'Detalle Compras'!S208+0)</f>
        <v/>
      </c>
      <c r="F208" s="14" t="str">
        <f>+IF(B208="","",EOMONTH('Detalle Compras'!S208,G208)+10)</f>
        <v/>
      </c>
      <c r="G208" s="50">
        <f t="shared" si="23"/>
        <v>0</v>
      </c>
      <c r="H208" s="50">
        <f t="shared" si="24"/>
        <v>0</v>
      </c>
    </row>
    <row r="209" spans="1:373" x14ac:dyDescent="0.2">
      <c r="A209" s="37">
        <v>207</v>
      </c>
      <c r="C209" s="17">
        <f>+'Detalle Compras'!D209</f>
        <v>0</v>
      </c>
      <c r="D209" s="55" t="str">
        <f t="shared" si="22"/>
        <v/>
      </c>
      <c r="E209" s="14" t="str">
        <f>+IF(B209="","",'Detalle Compras'!S209+0)</f>
        <v/>
      </c>
      <c r="F209" s="14" t="str">
        <f>+IF(B209="","",EOMONTH('Detalle Compras'!S209,G209)+10)</f>
        <v/>
      </c>
      <c r="G209" s="50">
        <f t="shared" si="23"/>
        <v>0</v>
      </c>
      <c r="H209" s="50">
        <f t="shared" si="24"/>
        <v>0</v>
      </c>
    </row>
    <row r="210" spans="1:373" x14ac:dyDescent="0.2">
      <c r="A210" s="37">
        <v>208</v>
      </c>
      <c r="C210" s="17">
        <f>+'Detalle Compras'!D210</f>
        <v>0</v>
      </c>
      <c r="D210" s="55" t="str">
        <f t="shared" si="22"/>
        <v/>
      </c>
      <c r="E210" s="14" t="str">
        <f>+IF(B210="","",'Detalle Compras'!S210+0)</f>
        <v/>
      </c>
      <c r="F210" s="14" t="str">
        <f>+IF(B210="","",EOMONTH('Detalle Compras'!S210,G210)+10)</f>
        <v/>
      </c>
      <c r="G210" s="50">
        <f t="shared" si="23"/>
        <v>0</v>
      </c>
      <c r="H210" s="50">
        <f t="shared" si="24"/>
        <v>0</v>
      </c>
    </row>
    <row r="211" spans="1:373" x14ac:dyDescent="0.2">
      <c r="A211" s="37">
        <v>209</v>
      </c>
      <c r="C211" s="17">
        <f>+'Detalle Compras'!D211</f>
        <v>0</v>
      </c>
      <c r="D211" s="55" t="str">
        <f t="shared" si="22"/>
        <v/>
      </c>
      <c r="E211" s="14" t="str">
        <f>+IF(B211="","",'Detalle Compras'!S211+0)</f>
        <v/>
      </c>
      <c r="F211" s="14" t="str">
        <f>+IF(B211="","",EOMONTH('Detalle Compras'!S211,G211)+10)</f>
        <v/>
      </c>
      <c r="G211" s="50">
        <f t="shared" si="23"/>
        <v>0</v>
      </c>
      <c r="H211" s="50">
        <f t="shared" si="24"/>
        <v>0</v>
      </c>
    </row>
    <row r="212" spans="1:373" x14ac:dyDescent="0.2">
      <c r="A212" s="37">
        <v>210</v>
      </c>
      <c r="C212" s="17">
        <f>+'Detalle Compras'!D212</f>
        <v>0</v>
      </c>
      <c r="D212" s="55" t="str">
        <f t="shared" si="22"/>
        <v/>
      </c>
      <c r="E212" s="14" t="str">
        <f>+IF(B212="","",'Detalle Compras'!S212+0)</f>
        <v/>
      </c>
      <c r="F212" s="14" t="str">
        <f>+IF(B212="","",EOMONTH('Detalle Compras'!S212,G212)+10)</f>
        <v/>
      </c>
      <c r="G212" s="50">
        <f t="shared" si="23"/>
        <v>0</v>
      </c>
      <c r="H212" s="50">
        <f t="shared" si="24"/>
        <v>0</v>
      </c>
    </row>
    <row r="213" spans="1:373" x14ac:dyDescent="0.2">
      <c r="A213" s="37">
        <v>211</v>
      </c>
      <c r="C213" s="17">
        <f>+'Detalle Compras'!D213</f>
        <v>0</v>
      </c>
      <c r="D213" s="55" t="str">
        <f t="shared" si="22"/>
        <v/>
      </c>
      <c r="E213" s="14" t="str">
        <f>+IF(B213="","",'Detalle Compras'!S213+0)</f>
        <v/>
      </c>
      <c r="F213" s="14" t="str">
        <f>+IF(B213="","",EOMONTH('Detalle Compras'!S213,G213)+10)</f>
        <v/>
      </c>
      <c r="G213" s="50">
        <f t="shared" si="23"/>
        <v>0</v>
      </c>
      <c r="H213" s="50">
        <f t="shared" si="24"/>
        <v>0</v>
      </c>
    </row>
    <row r="214" spans="1:373" x14ac:dyDescent="0.2">
      <c r="A214" s="37">
        <v>212</v>
      </c>
      <c r="C214" s="17">
        <f>+'Detalle Compras'!D214</f>
        <v>0</v>
      </c>
      <c r="D214" s="55" t="str">
        <f t="shared" si="22"/>
        <v/>
      </c>
      <c r="E214" s="14" t="str">
        <f>+IF(B214="","",'Detalle Compras'!S214+0)</f>
        <v/>
      </c>
      <c r="F214" s="14" t="str">
        <f>+IF(B214="","",EOMONTH('Detalle Compras'!S214,G214)+10)</f>
        <v/>
      </c>
      <c r="G214" s="50">
        <f t="shared" si="23"/>
        <v>0</v>
      </c>
      <c r="H214" s="50">
        <f t="shared" si="24"/>
        <v>0</v>
      </c>
    </row>
    <row r="215" spans="1:373" x14ac:dyDescent="0.2">
      <c r="A215" s="37">
        <v>213</v>
      </c>
      <c r="C215" s="17">
        <f>+'Detalle Compras'!D215</f>
        <v>0</v>
      </c>
      <c r="D215" s="55" t="str">
        <f t="shared" si="22"/>
        <v/>
      </c>
      <c r="E215" s="14" t="str">
        <f>+IF(B215="","",'Detalle Compras'!S215+0)</f>
        <v/>
      </c>
      <c r="F215" s="14" t="str">
        <f>+IF(B215="","",EOMONTH('Detalle Compras'!S215,G215)+10)</f>
        <v/>
      </c>
      <c r="G215" s="50">
        <f t="shared" si="23"/>
        <v>0</v>
      </c>
      <c r="H215" s="50">
        <f t="shared" si="24"/>
        <v>0</v>
      </c>
    </row>
    <row r="216" spans="1:373" x14ac:dyDescent="0.2">
      <c r="A216" s="37">
        <v>214</v>
      </c>
      <c r="C216" s="17">
        <f>+'Detalle Compras'!D216</f>
        <v>0</v>
      </c>
      <c r="D216" s="55" t="str">
        <f t="shared" si="22"/>
        <v/>
      </c>
      <c r="E216" s="14" t="str">
        <f>+IF(B216="","",'Detalle Compras'!S216+0)</f>
        <v/>
      </c>
      <c r="F216" s="14" t="str">
        <f>+IF(B216="","",EOMONTH('Detalle Compras'!S216,G216)+10)</f>
        <v/>
      </c>
      <c r="G216" s="50">
        <f t="shared" si="23"/>
        <v>0</v>
      </c>
      <c r="H216" s="50">
        <f t="shared" si="24"/>
        <v>0</v>
      </c>
    </row>
    <row r="217" spans="1:373" x14ac:dyDescent="0.2">
      <c r="A217" s="37">
        <v>215</v>
      </c>
      <c r="C217" s="17">
        <f>+'Detalle Compras'!D217</f>
        <v>0</v>
      </c>
      <c r="D217" s="55" t="str">
        <f t="shared" si="22"/>
        <v/>
      </c>
      <c r="E217" s="14" t="str">
        <f>+IF(B217="","",'Detalle Compras'!S217+0)</f>
        <v/>
      </c>
      <c r="F217" s="14" t="str">
        <f>+IF(B217="","",EOMONTH('Detalle Compras'!S217,G217)+10)</f>
        <v/>
      </c>
      <c r="G217" s="50">
        <f t="shared" si="23"/>
        <v>0</v>
      </c>
      <c r="H217" s="50">
        <f t="shared" si="24"/>
        <v>0</v>
      </c>
    </row>
    <row r="218" spans="1:373" x14ac:dyDescent="0.2">
      <c r="A218" s="37">
        <v>216</v>
      </c>
      <c r="C218" s="17">
        <f>+'Detalle Compras'!D218</f>
        <v>0</v>
      </c>
      <c r="D218" s="55" t="str">
        <f t="shared" si="22"/>
        <v/>
      </c>
      <c r="E218" s="14" t="str">
        <f>+IF(B218="","",'Detalle Compras'!S218+0)</f>
        <v/>
      </c>
      <c r="F218" s="14" t="str">
        <f>+IF(B218="","",EOMONTH('Detalle Compras'!S218,G218)+10)</f>
        <v/>
      </c>
      <c r="G218" s="50">
        <f t="shared" si="23"/>
        <v>0</v>
      </c>
      <c r="H218" s="50">
        <f t="shared" si="24"/>
        <v>0</v>
      </c>
    </row>
    <row r="219" spans="1:373" x14ac:dyDescent="0.2">
      <c r="A219" s="37">
        <v>217</v>
      </c>
      <c r="C219" s="17">
        <f>+'Detalle Compras'!D219</f>
        <v>0</v>
      </c>
      <c r="D219" s="55" t="str">
        <f t="shared" si="22"/>
        <v/>
      </c>
      <c r="E219" s="14" t="str">
        <f>+IF(B219="","",'Detalle Compras'!S219+0)</f>
        <v/>
      </c>
      <c r="F219" s="14" t="str">
        <f>+IF(B219="","",EOMONTH('Detalle Compras'!S219,G219)+10)</f>
        <v/>
      </c>
      <c r="G219" s="50">
        <f t="shared" si="23"/>
        <v>0</v>
      </c>
      <c r="H219" s="50">
        <f t="shared" si="24"/>
        <v>0</v>
      </c>
    </row>
    <row r="220" spans="1:373" x14ac:dyDescent="0.2">
      <c r="A220" s="37">
        <v>218</v>
      </c>
      <c r="C220" s="17">
        <f>+'Detalle Compras'!D220</f>
        <v>0</v>
      </c>
      <c r="D220" s="55" t="str">
        <f t="shared" si="22"/>
        <v/>
      </c>
      <c r="E220" s="14" t="str">
        <f>+IF(B220="","",'Detalle Compras'!S220+0)</f>
        <v/>
      </c>
      <c r="F220" s="14" t="str">
        <f>+IF(B220="","",EOMONTH('Detalle Compras'!S220,G220)+10)</f>
        <v/>
      </c>
      <c r="G220" s="50">
        <f t="shared" si="23"/>
        <v>0</v>
      </c>
      <c r="H220" s="50">
        <f t="shared" si="24"/>
        <v>0</v>
      </c>
    </row>
    <row r="221" spans="1:373" x14ac:dyDescent="0.2">
      <c r="A221" s="37">
        <v>219</v>
      </c>
      <c r="C221" s="17">
        <f>+'Detalle Compras'!D221</f>
        <v>0</v>
      </c>
      <c r="D221" s="55" t="str">
        <f t="shared" si="22"/>
        <v/>
      </c>
      <c r="E221" s="14" t="str">
        <f>+IF(B221="","",'Detalle Compras'!S221+0)</f>
        <v/>
      </c>
      <c r="F221" s="14" t="str">
        <f>+IF(B221="","",EOMONTH('Detalle Compras'!S221,G221)+10)</f>
        <v/>
      </c>
      <c r="G221" s="50">
        <f t="shared" si="23"/>
        <v>0</v>
      </c>
      <c r="H221" s="50">
        <f t="shared" si="24"/>
        <v>0</v>
      </c>
    </row>
    <row r="222" spans="1:373" x14ac:dyDescent="0.2">
      <c r="A222" s="37">
        <v>220</v>
      </c>
      <c r="C222" s="17">
        <f>+'Detalle Compras'!D222</f>
        <v>0</v>
      </c>
      <c r="D222" s="55" t="str">
        <f t="shared" si="22"/>
        <v/>
      </c>
      <c r="E222" s="14" t="str">
        <f>+IF(B222="","",'Detalle Compras'!S222+0)</f>
        <v/>
      </c>
      <c r="F222" s="14" t="str">
        <f>+IF(B222="","",EOMONTH('Detalle Compras'!S222,G222)+10)</f>
        <v/>
      </c>
      <c r="G222" s="50">
        <f t="shared" si="23"/>
        <v>0</v>
      </c>
      <c r="H222" s="50">
        <f t="shared" si="24"/>
        <v>0</v>
      </c>
    </row>
    <row r="223" spans="1:373" x14ac:dyDescent="0.2">
      <c r="A223" s="37">
        <v>221</v>
      </c>
      <c r="C223" s="17">
        <f>+'Detalle Compras'!D223</f>
        <v>0</v>
      </c>
      <c r="D223" s="55" t="str">
        <f t="shared" si="22"/>
        <v/>
      </c>
      <c r="E223" s="14" t="str">
        <f>+IF(B223="","",'Detalle Compras'!S223+0)</f>
        <v/>
      </c>
      <c r="F223" s="14" t="str">
        <f>+IF(B223="","",EOMONTH('Detalle Compras'!S223,G223)+10)</f>
        <v/>
      </c>
      <c r="G223" s="50">
        <f t="shared" si="23"/>
        <v>0</v>
      </c>
      <c r="H223" s="50">
        <f t="shared" si="24"/>
        <v>0</v>
      </c>
      <c r="N223" s="52"/>
      <c r="O223" s="52"/>
      <c r="P223" s="52"/>
      <c r="Q223" s="52"/>
      <c r="R223" s="52"/>
      <c r="S223" s="52"/>
      <c r="T223" s="52"/>
      <c r="U223" s="52"/>
      <c r="V223" s="52"/>
      <c r="W223" s="52"/>
      <c r="X223" s="52"/>
      <c r="Y223" s="52"/>
      <c r="Z223" s="52"/>
      <c r="AA223" s="52"/>
      <c r="AB223" s="52"/>
      <c r="AC223" s="52"/>
      <c r="AD223" s="52"/>
      <c r="AE223" s="52"/>
      <c r="AF223" s="52"/>
      <c r="AG223" s="52"/>
      <c r="AH223" s="52"/>
      <c r="AI223" s="52"/>
      <c r="AJ223" s="52"/>
      <c r="AK223" s="52"/>
      <c r="AL223" s="52"/>
      <c r="AM223" s="52"/>
      <c r="AN223" s="52"/>
      <c r="AO223" s="52"/>
      <c r="AP223" s="52"/>
      <c r="AQ223" s="52"/>
      <c r="AR223" s="52"/>
      <c r="AS223" s="52"/>
      <c r="AT223" s="52"/>
      <c r="AU223" s="52"/>
      <c r="AV223" s="52"/>
      <c r="AW223" s="52"/>
      <c r="AX223" s="52"/>
      <c r="AY223" s="52"/>
      <c r="AZ223" s="52"/>
      <c r="BA223" s="52"/>
      <c r="BB223" s="52"/>
      <c r="BC223" s="52"/>
      <c r="BD223" s="52"/>
      <c r="BE223" s="52"/>
      <c r="BF223" s="52"/>
      <c r="BG223" s="52"/>
      <c r="BH223" s="52"/>
      <c r="BI223" s="52"/>
      <c r="BJ223" s="52"/>
      <c r="BK223" s="52"/>
      <c r="BL223" s="52"/>
      <c r="BM223" s="52"/>
      <c r="BN223" s="52"/>
      <c r="BO223" s="52"/>
      <c r="BP223" s="52"/>
      <c r="BQ223" s="52"/>
      <c r="BR223" s="52"/>
      <c r="BS223" s="52"/>
      <c r="BT223" s="52"/>
      <c r="BU223" s="52"/>
      <c r="BV223" s="52"/>
      <c r="BW223" s="52"/>
      <c r="BX223" s="52"/>
      <c r="BY223" s="52"/>
      <c r="BZ223" s="52"/>
      <c r="CA223" s="52"/>
      <c r="CB223" s="52"/>
      <c r="CC223" s="52"/>
      <c r="CD223" s="52"/>
      <c r="CE223" s="52"/>
      <c r="CF223" s="52"/>
      <c r="CG223" s="52"/>
      <c r="CH223" s="52"/>
      <c r="CI223" s="52"/>
      <c r="CJ223" s="52"/>
      <c r="CK223" s="52"/>
      <c r="CL223" s="52"/>
      <c r="CM223" s="52"/>
      <c r="CN223" s="52"/>
      <c r="CO223" s="52"/>
      <c r="CP223" s="52"/>
      <c r="CQ223" s="52"/>
      <c r="CR223" s="52"/>
      <c r="CS223" s="52"/>
      <c r="CT223" s="52"/>
      <c r="CU223" s="52"/>
      <c r="CV223" s="52"/>
      <c r="CW223" s="52"/>
      <c r="CX223" s="52"/>
      <c r="CY223" s="52"/>
      <c r="CZ223" s="52"/>
      <c r="DA223" s="52"/>
      <c r="DB223" s="52"/>
      <c r="DC223" s="52"/>
      <c r="DD223" s="52"/>
      <c r="DE223" s="52"/>
      <c r="DF223" s="52"/>
      <c r="DG223" s="52"/>
      <c r="DH223" s="52"/>
      <c r="DI223" s="52"/>
      <c r="DJ223" s="52"/>
      <c r="DK223" s="52"/>
      <c r="DL223" s="52"/>
      <c r="DM223" s="52"/>
      <c r="DN223" s="52"/>
      <c r="DO223" s="52"/>
      <c r="DP223" s="52"/>
      <c r="DQ223" s="52"/>
      <c r="DR223" s="52"/>
      <c r="DS223" s="52"/>
      <c r="DT223" s="52"/>
      <c r="DU223" s="52"/>
      <c r="DV223" s="52"/>
      <c r="DW223" s="52"/>
      <c r="DX223" s="52"/>
      <c r="DY223" s="52"/>
      <c r="DZ223" s="52"/>
      <c r="EA223" s="52"/>
      <c r="EB223" s="52"/>
      <c r="EC223" s="52"/>
      <c r="ED223" s="52"/>
      <c r="EE223" s="52"/>
      <c r="EF223" s="52"/>
      <c r="EG223" s="52"/>
      <c r="EH223" s="52"/>
      <c r="EI223" s="52"/>
      <c r="EJ223" s="52"/>
      <c r="EK223" s="52"/>
      <c r="EL223" s="52"/>
      <c r="EM223" s="52"/>
      <c r="EN223" s="52"/>
      <c r="EO223" s="52"/>
      <c r="EP223" s="52"/>
      <c r="EQ223" s="52"/>
      <c r="ER223" s="52"/>
      <c r="ES223" s="52"/>
      <c r="ET223" s="52"/>
      <c r="EU223" s="52"/>
      <c r="EV223" s="52"/>
      <c r="EW223" s="52"/>
      <c r="EX223" s="52"/>
      <c r="EY223" s="52"/>
      <c r="EZ223" s="52"/>
      <c r="FA223" s="52"/>
      <c r="FB223" s="52"/>
      <c r="FC223" s="52"/>
      <c r="FD223" s="52"/>
      <c r="FE223" s="52"/>
      <c r="FF223" s="52"/>
      <c r="FG223" s="52"/>
      <c r="FH223" s="52"/>
      <c r="FI223" s="52"/>
      <c r="FJ223" s="52"/>
      <c r="FK223" s="52"/>
      <c r="FL223" s="52"/>
      <c r="FM223" s="52"/>
      <c r="FN223" s="52"/>
      <c r="FO223" s="52"/>
      <c r="FP223" s="52"/>
      <c r="FQ223" s="52"/>
      <c r="FR223" s="52"/>
      <c r="FS223" s="52"/>
      <c r="FT223" s="52"/>
      <c r="FU223" s="52"/>
      <c r="FV223" s="52"/>
      <c r="FW223" s="52"/>
      <c r="FX223" s="52"/>
      <c r="FY223" s="52"/>
      <c r="FZ223" s="52"/>
      <c r="GA223" s="52"/>
      <c r="GB223" s="52"/>
      <c r="GC223" s="52"/>
      <c r="GD223" s="52"/>
      <c r="GE223" s="52"/>
      <c r="GF223" s="52"/>
      <c r="GG223" s="52"/>
      <c r="GH223" s="52"/>
      <c r="GI223" s="52"/>
      <c r="GJ223" s="52"/>
      <c r="GK223" s="52"/>
      <c r="GL223" s="52"/>
      <c r="GM223" s="52"/>
      <c r="GN223" s="52"/>
      <c r="GO223" s="52"/>
      <c r="GP223" s="52"/>
      <c r="GQ223" s="52"/>
      <c r="GR223" s="52"/>
      <c r="GS223" s="52"/>
      <c r="GT223" s="52"/>
      <c r="GU223" s="52"/>
      <c r="GV223" s="52"/>
      <c r="GW223" s="52"/>
      <c r="GX223" s="52"/>
      <c r="GY223" s="52"/>
      <c r="GZ223" s="52"/>
      <c r="HA223" s="52"/>
      <c r="HB223" s="52"/>
      <c r="HC223" s="52"/>
      <c r="HD223" s="52"/>
      <c r="HE223" s="52"/>
      <c r="HF223" s="52"/>
      <c r="HG223" s="52"/>
      <c r="HH223" s="52"/>
      <c r="HI223" s="52"/>
      <c r="HJ223" s="52"/>
      <c r="HK223" s="52"/>
      <c r="HL223" s="52"/>
      <c r="HM223" s="52"/>
      <c r="HN223" s="52"/>
      <c r="HO223" s="52"/>
      <c r="HP223" s="52"/>
      <c r="HQ223" s="52"/>
      <c r="HR223" s="52"/>
      <c r="HS223" s="52"/>
      <c r="HT223" s="52"/>
      <c r="HU223" s="52"/>
      <c r="HV223" s="52"/>
      <c r="HW223" s="52"/>
      <c r="HX223" s="52"/>
      <c r="HY223" s="52"/>
      <c r="HZ223" s="52"/>
      <c r="IA223" s="52"/>
      <c r="IB223" s="52"/>
      <c r="IC223" s="52"/>
      <c r="ID223" s="52"/>
      <c r="IE223" s="52"/>
      <c r="IF223" s="52"/>
      <c r="IG223" s="52"/>
      <c r="IH223" s="52"/>
      <c r="II223" s="52"/>
      <c r="IJ223" s="52"/>
      <c r="IK223" s="52"/>
      <c r="IL223" s="52"/>
      <c r="IM223" s="52"/>
      <c r="IN223" s="52"/>
      <c r="IO223" s="52"/>
      <c r="IP223" s="52"/>
      <c r="IQ223" s="52"/>
      <c r="IR223" s="52"/>
      <c r="IS223" s="52"/>
      <c r="IT223" s="52"/>
      <c r="IU223" s="52"/>
      <c r="IV223" s="52"/>
      <c r="IW223" s="52"/>
      <c r="IX223" s="52"/>
      <c r="IY223" s="52"/>
      <c r="IZ223" s="52"/>
      <c r="JA223" s="52"/>
      <c r="JB223" s="52"/>
      <c r="JC223" s="52"/>
      <c r="JD223" s="52"/>
      <c r="JE223" s="52"/>
      <c r="JF223" s="52"/>
      <c r="JG223" s="52"/>
      <c r="JH223" s="52"/>
      <c r="JI223" s="52"/>
      <c r="JJ223" s="52"/>
      <c r="JK223" s="52"/>
      <c r="JL223" s="52"/>
      <c r="JM223" s="52"/>
      <c r="JN223" s="52"/>
      <c r="JO223" s="52"/>
      <c r="JP223" s="52"/>
      <c r="JQ223" s="52"/>
      <c r="JR223" s="52"/>
      <c r="JS223" s="52"/>
      <c r="JT223" s="52"/>
      <c r="JU223" s="52"/>
      <c r="JV223" s="52"/>
      <c r="JW223" s="52"/>
      <c r="JX223" s="52"/>
      <c r="JY223" s="52"/>
      <c r="JZ223" s="52"/>
      <c r="KA223" s="52"/>
      <c r="KB223" s="52"/>
      <c r="KC223" s="52"/>
      <c r="KD223" s="52"/>
      <c r="KE223" s="52"/>
      <c r="KF223" s="52"/>
      <c r="KG223" s="52"/>
      <c r="KH223" s="52"/>
      <c r="KI223" s="52"/>
      <c r="KJ223" s="52"/>
      <c r="KK223" s="52"/>
      <c r="KL223" s="52"/>
      <c r="KM223" s="52"/>
      <c r="KN223" s="52"/>
      <c r="KO223" s="52"/>
      <c r="KP223" s="52"/>
      <c r="KQ223" s="52"/>
      <c r="KR223" s="52"/>
      <c r="KS223" s="52"/>
      <c r="KT223" s="52"/>
      <c r="KU223" s="52"/>
      <c r="KV223" s="52"/>
      <c r="KW223" s="52"/>
      <c r="KX223" s="52"/>
      <c r="KY223" s="52"/>
      <c r="KZ223" s="52"/>
      <c r="LA223" s="52"/>
      <c r="LB223" s="52"/>
      <c r="LC223" s="52"/>
      <c r="LD223" s="52"/>
      <c r="LE223" s="52"/>
      <c r="LF223" s="52"/>
      <c r="LG223" s="52"/>
      <c r="LH223" s="52"/>
      <c r="LI223" s="52"/>
      <c r="LJ223" s="52"/>
      <c r="LK223" s="52"/>
      <c r="LL223" s="52"/>
      <c r="LM223" s="52"/>
      <c r="LN223" s="52"/>
      <c r="LO223" s="52"/>
      <c r="LP223" s="52"/>
      <c r="LQ223" s="52"/>
      <c r="LR223" s="52"/>
      <c r="LS223" s="52"/>
      <c r="LT223" s="52"/>
      <c r="LU223" s="52"/>
      <c r="LV223" s="52"/>
      <c r="LW223" s="52"/>
      <c r="LX223" s="52"/>
      <c r="LY223" s="52"/>
      <c r="LZ223" s="52"/>
      <c r="MA223" s="52"/>
      <c r="MB223" s="52"/>
      <c r="MC223" s="52"/>
      <c r="MD223" s="52"/>
      <c r="ME223" s="52"/>
      <c r="MF223" s="52"/>
      <c r="MG223" s="52"/>
      <c r="MH223" s="52"/>
      <c r="MI223" s="52"/>
      <c r="MJ223" s="52"/>
      <c r="MK223" s="52"/>
      <c r="ML223" s="52"/>
      <c r="MM223" s="52"/>
      <c r="MN223" s="52"/>
      <c r="MO223" s="52"/>
      <c r="MP223" s="52"/>
      <c r="MQ223" s="52"/>
      <c r="MR223" s="52"/>
      <c r="MS223" s="52"/>
      <c r="MT223" s="52"/>
      <c r="MU223" s="52"/>
      <c r="MV223" s="52"/>
      <c r="MW223" s="52"/>
      <c r="MX223" s="52"/>
      <c r="MY223" s="52"/>
      <c r="MZ223" s="52"/>
      <c r="NA223" s="52"/>
      <c r="NB223" s="52"/>
      <c r="NC223" s="52"/>
      <c r="ND223" s="52"/>
      <c r="NE223" s="52"/>
      <c r="NF223" s="52"/>
      <c r="NG223" s="52"/>
      <c r="NH223" s="52"/>
      <c r="NI223" s="52"/>
    </row>
    <row r="224" spans="1:373" x14ac:dyDescent="0.2">
      <c r="A224" s="37">
        <v>222</v>
      </c>
      <c r="C224" s="17">
        <f>+'Detalle Compras'!D224</f>
        <v>0</v>
      </c>
      <c r="D224" s="55" t="str">
        <f t="shared" si="22"/>
        <v/>
      </c>
      <c r="E224" s="14" t="str">
        <f>+IF(B224="","",'Detalle Compras'!S224+0)</f>
        <v/>
      </c>
      <c r="F224" s="14" t="str">
        <f>+IF(B224="","",EOMONTH('Detalle Compras'!S224,G224)+10)</f>
        <v/>
      </c>
      <c r="G224" s="50">
        <f t="shared" si="23"/>
        <v>0</v>
      </c>
      <c r="H224" s="50">
        <f t="shared" si="24"/>
        <v>0</v>
      </c>
    </row>
    <row r="225" spans="1:8" x14ac:dyDescent="0.2">
      <c r="A225" s="37">
        <v>223</v>
      </c>
      <c r="C225" s="17">
        <f>+'Detalle Compras'!D225</f>
        <v>0</v>
      </c>
      <c r="D225" s="55" t="str">
        <f t="shared" si="22"/>
        <v/>
      </c>
      <c r="E225" s="14" t="str">
        <f>+IF(B225="","",'Detalle Compras'!S225+0)</f>
        <v/>
      </c>
      <c r="F225" s="14" t="str">
        <f>+IF(B225="","",EOMONTH('Detalle Compras'!S225,G225)+10)</f>
        <v/>
      </c>
      <c r="G225" s="50">
        <f t="shared" si="23"/>
        <v>0</v>
      </c>
      <c r="H225" s="50">
        <f t="shared" si="24"/>
        <v>0</v>
      </c>
    </row>
    <row r="226" spans="1:8" x14ac:dyDescent="0.2">
      <c r="A226" s="37">
        <v>224</v>
      </c>
      <c r="C226" s="17">
        <f>+'Detalle Compras'!D226</f>
        <v>0</v>
      </c>
      <c r="D226" s="55" t="str">
        <f t="shared" si="22"/>
        <v/>
      </c>
      <c r="E226" s="14" t="str">
        <f>+IF(B226="","",'Detalle Compras'!S226+0)</f>
        <v/>
      </c>
      <c r="F226" s="14" t="str">
        <f>+IF(B226="","",EOMONTH('Detalle Compras'!S226,G226)+10)</f>
        <v/>
      </c>
      <c r="G226" s="50">
        <f t="shared" si="23"/>
        <v>0</v>
      </c>
      <c r="H226" s="50">
        <f t="shared" si="24"/>
        <v>0</v>
      </c>
    </row>
    <row r="227" spans="1:8" x14ac:dyDescent="0.2">
      <c r="A227" s="37">
        <v>225</v>
      </c>
      <c r="C227" s="17">
        <f>+'Detalle Compras'!D227</f>
        <v>0</v>
      </c>
      <c r="D227" s="55" t="str">
        <f t="shared" si="22"/>
        <v/>
      </c>
      <c r="E227" s="14" t="str">
        <f>+IF(B227="","",'Detalle Compras'!S227+0)</f>
        <v/>
      </c>
      <c r="F227" s="14" t="str">
        <f>+IF(B227="","",EOMONTH('Detalle Compras'!S227,G227)+10)</f>
        <v/>
      </c>
      <c r="G227" s="50">
        <f t="shared" si="23"/>
        <v>0</v>
      </c>
      <c r="H227" s="50">
        <f t="shared" si="24"/>
        <v>0</v>
      </c>
    </row>
    <row r="228" spans="1:8" x14ac:dyDescent="0.2">
      <c r="A228" s="37">
        <v>226</v>
      </c>
      <c r="C228" s="17">
        <f>+'Detalle Compras'!D228</f>
        <v>0</v>
      </c>
      <c r="D228" s="55" t="str">
        <f t="shared" si="22"/>
        <v/>
      </c>
      <c r="E228" s="14" t="str">
        <f>+IF(B228="","",'Detalle Compras'!S228+0)</f>
        <v/>
      </c>
      <c r="F228" s="14" t="str">
        <f>+IF(B228="","",EOMONTH('Detalle Compras'!S228,G228)+10)</f>
        <v/>
      </c>
      <c r="G228" s="50">
        <f t="shared" si="23"/>
        <v>0</v>
      </c>
      <c r="H228" s="50">
        <f t="shared" si="24"/>
        <v>0</v>
      </c>
    </row>
    <row r="229" spans="1:8" x14ac:dyDescent="0.2">
      <c r="A229" s="37">
        <v>227</v>
      </c>
      <c r="C229" s="17">
        <f>+'Detalle Compras'!D229</f>
        <v>0</v>
      </c>
      <c r="D229" s="55" t="str">
        <f t="shared" si="22"/>
        <v/>
      </c>
      <c r="E229" s="14" t="str">
        <f>+IF(B229="","",'Detalle Compras'!S229+0)</f>
        <v/>
      </c>
      <c r="F229" s="14" t="str">
        <f>+IF(B229="","",EOMONTH('Detalle Compras'!S229,G229)+10)</f>
        <v/>
      </c>
      <c r="G229" s="50">
        <f t="shared" si="23"/>
        <v>0</v>
      </c>
      <c r="H229" s="50">
        <f t="shared" si="24"/>
        <v>0</v>
      </c>
    </row>
    <row r="230" spans="1:8" x14ac:dyDescent="0.2">
      <c r="A230" s="37">
        <v>228</v>
      </c>
      <c r="C230" s="17">
        <f>+'Detalle Compras'!D230</f>
        <v>0</v>
      </c>
      <c r="D230" s="55" t="str">
        <f t="shared" si="22"/>
        <v/>
      </c>
      <c r="E230" s="14" t="str">
        <f>+IF(B230="","",'Detalle Compras'!S230+0)</f>
        <v/>
      </c>
      <c r="F230" s="14" t="str">
        <f>+IF(B230="","",EOMONTH('Detalle Compras'!S230,G230)+10)</f>
        <v/>
      </c>
      <c r="G230" s="50">
        <f t="shared" si="23"/>
        <v>0</v>
      </c>
      <c r="H230" s="50">
        <f t="shared" si="24"/>
        <v>0</v>
      </c>
    </row>
    <row r="231" spans="1:8" x14ac:dyDescent="0.2">
      <c r="A231" s="37">
        <v>229</v>
      </c>
      <c r="C231" s="17">
        <f>+'Detalle Compras'!D231</f>
        <v>0</v>
      </c>
      <c r="D231" s="55" t="str">
        <f t="shared" si="22"/>
        <v/>
      </c>
      <c r="E231" s="14" t="str">
        <f>+IF(B231="","",'Detalle Compras'!S231+0)</f>
        <v/>
      </c>
      <c r="F231" s="14" t="str">
        <f>+IF(B231="","",EOMONTH('Detalle Compras'!S231,G231)+10)</f>
        <v/>
      </c>
      <c r="G231" s="50">
        <f t="shared" si="23"/>
        <v>0</v>
      </c>
      <c r="H231" s="50">
        <f t="shared" si="24"/>
        <v>0</v>
      </c>
    </row>
    <row r="232" spans="1:8" x14ac:dyDescent="0.2">
      <c r="A232" s="37">
        <v>230</v>
      </c>
      <c r="C232" s="17">
        <f>+'Detalle Compras'!D232</f>
        <v>0</v>
      </c>
      <c r="D232" s="55" t="str">
        <f t="shared" si="22"/>
        <v/>
      </c>
      <c r="E232" s="14" t="str">
        <f>+IF(B232="","",'Detalle Compras'!S232+0)</f>
        <v/>
      </c>
      <c r="F232" s="14" t="str">
        <f>+IF(B232="","",EOMONTH('Detalle Compras'!S232,G232)+10)</f>
        <v/>
      </c>
      <c r="G232" s="50">
        <f t="shared" si="23"/>
        <v>0</v>
      </c>
      <c r="H232" s="50">
        <f t="shared" si="24"/>
        <v>0</v>
      </c>
    </row>
    <row r="233" spans="1:8" x14ac:dyDescent="0.2">
      <c r="A233" s="37">
        <v>231</v>
      </c>
      <c r="C233" s="17">
        <f>+'Detalle Compras'!D233</f>
        <v>0</v>
      </c>
      <c r="D233" s="55" t="str">
        <f t="shared" si="22"/>
        <v/>
      </c>
      <c r="E233" s="14" t="str">
        <f>+IF(B233="","",'Detalle Compras'!S233+0)</f>
        <v/>
      </c>
      <c r="F233" s="14" t="str">
        <f>+IF(B233="","",EOMONTH('Detalle Compras'!S233,G233)+10)</f>
        <v/>
      </c>
      <c r="G233" s="50">
        <f t="shared" si="23"/>
        <v>0</v>
      </c>
      <c r="H233" s="50">
        <f t="shared" si="24"/>
        <v>0</v>
      </c>
    </row>
    <row r="234" spans="1:8" x14ac:dyDescent="0.2">
      <c r="A234" s="37">
        <v>232</v>
      </c>
      <c r="C234" s="17">
        <f>+'Detalle Compras'!D234</f>
        <v>0</v>
      </c>
      <c r="D234" s="55" t="str">
        <f t="shared" si="22"/>
        <v/>
      </c>
      <c r="E234" s="14" t="str">
        <f>+IF(B234="","",'Detalle Compras'!S234+0)</f>
        <v/>
      </c>
      <c r="F234" s="14" t="str">
        <f>+IF(B234="","",EOMONTH('Detalle Compras'!S234,G234)+10)</f>
        <v/>
      </c>
      <c r="G234" s="50">
        <f t="shared" si="23"/>
        <v>0</v>
      </c>
      <c r="H234" s="50">
        <f t="shared" si="24"/>
        <v>0</v>
      </c>
    </row>
    <row r="235" spans="1:8" x14ac:dyDescent="0.2">
      <c r="A235" s="37">
        <v>233</v>
      </c>
      <c r="C235" s="17">
        <f>+'Detalle Compras'!D235</f>
        <v>0</v>
      </c>
      <c r="D235" s="55" t="str">
        <f t="shared" si="22"/>
        <v/>
      </c>
      <c r="E235" s="14" t="str">
        <f>+IF(B235="","",'Detalle Compras'!S235+0)</f>
        <v/>
      </c>
      <c r="F235" s="14" t="str">
        <f>+IF(B235="","",EOMONTH('Detalle Compras'!S235,G235)+10)</f>
        <v/>
      </c>
      <c r="G235" s="50">
        <f t="shared" si="23"/>
        <v>0</v>
      </c>
      <c r="H235" s="50">
        <f t="shared" si="24"/>
        <v>0</v>
      </c>
    </row>
    <row r="236" spans="1:8" x14ac:dyDescent="0.2">
      <c r="A236" s="37">
        <v>234</v>
      </c>
      <c r="C236" s="17">
        <f>+'Detalle Compras'!D236</f>
        <v>0</v>
      </c>
      <c r="D236" s="55" t="str">
        <f t="shared" si="22"/>
        <v/>
      </c>
      <c r="E236" s="14" t="str">
        <f>+IF(B236="","",'Detalle Compras'!S236+0)</f>
        <v/>
      </c>
      <c r="F236" s="14" t="str">
        <f>+IF(B236="","",EOMONTH('Detalle Compras'!S236,G236)+10)</f>
        <v/>
      </c>
      <c r="G236" s="50">
        <f t="shared" si="23"/>
        <v>0</v>
      </c>
      <c r="H236" s="50">
        <f t="shared" si="24"/>
        <v>0</v>
      </c>
    </row>
    <row r="237" spans="1:8" x14ac:dyDescent="0.2">
      <c r="A237" s="37">
        <v>235</v>
      </c>
      <c r="C237" s="17">
        <f>+'Detalle Compras'!D237</f>
        <v>0</v>
      </c>
      <c r="D237" s="55" t="str">
        <f t="shared" si="22"/>
        <v/>
      </c>
      <c r="E237" s="14" t="str">
        <f>+IF(B237="","",'Detalle Compras'!S237+0)</f>
        <v/>
      </c>
      <c r="F237" s="14" t="str">
        <f>+IF(B237="","",EOMONTH('Detalle Compras'!S237,G237)+10)</f>
        <v/>
      </c>
      <c r="G237" s="50">
        <f t="shared" si="23"/>
        <v>0</v>
      </c>
      <c r="H237" s="50">
        <f t="shared" si="24"/>
        <v>0</v>
      </c>
    </row>
    <row r="238" spans="1:8" x14ac:dyDescent="0.2">
      <c r="A238" s="37">
        <v>236</v>
      </c>
      <c r="C238" s="17">
        <f>+'Detalle Compras'!D238</f>
        <v>0</v>
      </c>
      <c r="D238" s="55" t="str">
        <f t="shared" si="22"/>
        <v/>
      </c>
      <c r="E238" s="14" t="str">
        <f>+IF(B238="","",'Detalle Compras'!S238+0)</f>
        <v/>
      </c>
      <c r="F238" s="14" t="str">
        <f>+IF(B238="","",EOMONTH('Detalle Compras'!S238,G238)+10)</f>
        <v/>
      </c>
      <c r="G238" s="50">
        <f t="shared" si="23"/>
        <v>0</v>
      </c>
      <c r="H238" s="50">
        <f t="shared" si="24"/>
        <v>0</v>
      </c>
    </row>
    <row r="239" spans="1:8" x14ac:dyDescent="0.2">
      <c r="A239" s="37">
        <v>237</v>
      </c>
      <c r="C239" s="17">
        <f>+'Detalle Compras'!D239</f>
        <v>0</v>
      </c>
      <c r="D239" s="55" t="str">
        <f t="shared" si="22"/>
        <v/>
      </c>
      <c r="E239" s="14" t="str">
        <f>+IF(B239="","",'Detalle Compras'!S239+0)</f>
        <v/>
      </c>
      <c r="F239" s="14" t="str">
        <f>+IF(B239="","",EOMONTH('Detalle Compras'!S239,G239)+10)</f>
        <v/>
      </c>
      <c r="G239" s="50">
        <f t="shared" si="23"/>
        <v>0</v>
      </c>
      <c r="H239" s="50">
        <f t="shared" si="24"/>
        <v>0</v>
      </c>
    </row>
    <row r="240" spans="1:8" x14ac:dyDescent="0.2">
      <c r="A240" s="37">
        <v>238</v>
      </c>
      <c r="C240" s="17">
        <f>+'Detalle Compras'!D240</f>
        <v>0</v>
      </c>
      <c r="D240" s="55" t="str">
        <f t="shared" si="22"/>
        <v/>
      </c>
      <c r="E240" s="14" t="str">
        <f>+IF(B240="","",'Detalle Compras'!S240+0)</f>
        <v/>
      </c>
      <c r="F240" s="14" t="str">
        <f>+IF(B240="","",EOMONTH('Detalle Compras'!S240,G240)+10)</f>
        <v/>
      </c>
      <c r="G240" s="50">
        <f t="shared" si="23"/>
        <v>0</v>
      </c>
      <c r="H240" s="50">
        <f t="shared" si="24"/>
        <v>0</v>
      </c>
    </row>
    <row r="241" spans="1:374" x14ac:dyDescent="0.2">
      <c r="A241" s="37">
        <v>239</v>
      </c>
      <c r="C241" s="17">
        <f>+'Detalle Compras'!D241</f>
        <v>0</v>
      </c>
      <c r="D241" s="55" t="str">
        <f t="shared" si="22"/>
        <v/>
      </c>
      <c r="E241" s="14" t="str">
        <f>+IF(B241="","",'Detalle Compras'!S241+0)</f>
        <v/>
      </c>
      <c r="F241" s="14" t="str">
        <f>+IF(B241="","",EOMONTH('Detalle Compras'!S241,G241)+10)</f>
        <v/>
      </c>
      <c r="G241" s="50">
        <f t="shared" si="23"/>
        <v>0</v>
      </c>
      <c r="H241" s="50">
        <f t="shared" si="24"/>
        <v>0</v>
      </c>
    </row>
    <row r="242" spans="1:374" x14ac:dyDescent="0.2">
      <c r="A242" s="37">
        <v>240</v>
      </c>
      <c r="C242" s="17">
        <f>+'Detalle Compras'!D242</f>
        <v>0</v>
      </c>
      <c r="D242" s="55" t="str">
        <f t="shared" si="22"/>
        <v/>
      </c>
      <c r="E242" s="14" t="str">
        <f>+IF(B242="","",'Detalle Compras'!S242+0)</f>
        <v/>
      </c>
      <c r="F242" s="14" t="str">
        <f>+IF(B242="","",EOMONTH('Detalle Compras'!S242,G242)+10)</f>
        <v/>
      </c>
      <c r="G242" s="50">
        <f t="shared" si="23"/>
        <v>0</v>
      </c>
      <c r="H242" s="50">
        <f t="shared" si="24"/>
        <v>0</v>
      </c>
    </row>
    <row r="243" spans="1:374" x14ac:dyDescent="0.2">
      <c r="A243" s="37">
        <v>241</v>
      </c>
      <c r="C243" s="17">
        <f>+'Detalle Compras'!D243</f>
        <v>0</v>
      </c>
      <c r="D243" s="55" t="str">
        <f t="shared" si="22"/>
        <v/>
      </c>
      <c r="E243" s="14" t="str">
        <f>+IF(B243="","",'Detalle Compras'!S243+0)</f>
        <v/>
      </c>
      <c r="F243" s="14" t="str">
        <f>+IF(B243="","",EOMONTH('Detalle Compras'!S243,G243)+10)</f>
        <v/>
      </c>
      <c r="G243" s="50">
        <f t="shared" si="23"/>
        <v>0</v>
      </c>
      <c r="H243" s="50">
        <f t="shared" si="24"/>
        <v>0</v>
      </c>
    </row>
    <row r="244" spans="1:374" x14ac:dyDescent="0.2">
      <c r="A244" s="37">
        <v>242</v>
      </c>
      <c r="C244" s="17">
        <f>+'Detalle Compras'!D244</f>
        <v>0</v>
      </c>
      <c r="D244" s="55" t="str">
        <f t="shared" si="22"/>
        <v/>
      </c>
      <c r="E244" s="14" t="str">
        <f>+IF(B244="","",'Detalle Compras'!S244+0)</f>
        <v/>
      </c>
      <c r="F244" s="14" t="str">
        <f>+IF(B244="","",EOMONTH('Detalle Compras'!S244,G244)+10)</f>
        <v/>
      </c>
      <c r="G244" s="50">
        <f t="shared" si="23"/>
        <v>0</v>
      </c>
      <c r="H244" s="50">
        <f t="shared" si="24"/>
        <v>0</v>
      </c>
    </row>
    <row r="245" spans="1:374" x14ac:dyDescent="0.2">
      <c r="A245" s="37">
        <v>243</v>
      </c>
      <c r="C245" s="17">
        <f>+'Detalle Compras'!D245</f>
        <v>0</v>
      </c>
      <c r="D245" s="55" t="str">
        <f t="shared" si="22"/>
        <v/>
      </c>
      <c r="E245" s="14" t="str">
        <f>+IF(B245="","",'Detalle Compras'!S245+0)</f>
        <v/>
      </c>
      <c r="F245" s="14" t="str">
        <f>+IF(B245="","",EOMONTH('Detalle Compras'!S245,G245)+10)</f>
        <v/>
      </c>
      <c r="G245" s="50">
        <f t="shared" si="23"/>
        <v>0</v>
      </c>
      <c r="H245" s="50">
        <f t="shared" si="24"/>
        <v>0</v>
      </c>
    </row>
    <row r="246" spans="1:374" x14ac:dyDescent="0.2">
      <c r="A246" s="37">
        <v>244</v>
      </c>
      <c r="C246" s="17">
        <f>+'Detalle Compras'!D246</f>
        <v>0</v>
      </c>
      <c r="D246" s="55" t="str">
        <f t="shared" si="22"/>
        <v/>
      </c>
      <c r="E246" s="14" t="str">
        <f>+IF(B246="","",'Detalle Compras'!S246+0)</f>
        <v/>
      </c>
      <c r="F246" s="14" t="str">
        <f>+IF(B246="","",EOMONTH('Detalle Compras'!S246,G246)+10)</f>
        <v/>
      </c>
      <c r="G246" s="50">
        <f t="shared" si="23"/>
        <v>0</v>
      </c>
      <c r="H246" s="50">
        <f t="shared" si="24"/>
        <v>0</v>
      </c>
    </row>
    <row r="247" spans="1:374" x14ac:dyDescent="0.2">
      <c r="A247" s="37">
        <v>245</v>
      </c>
      <c r="C247" s="17">
        <f>+'Detalle Compras'!D247</f>
        <v>0</v>
      </c>
      <c r="D247" s="55" t="str">
        <f t="shared" si="22"/>
        <v/>
      </c>
      <c r="E247" s="14" t="str">
        <f>+IF(B247="","",'Detalle Compras'!S247+0)</f>
        <v/>
      </c>
      <c r="F247" s="14" t="str">
        <f>+IF(B247="","",EOMONTH('Detalle Compras'!S247,G247)+10)</f>
        <v/>
      </c>
      <c r="G247" s="50">
        <f t="shared" si="23"/>
        <v>0</v>
      </c>
      <c r="H247" s="50">
        <f t="shared" si="24"/>
        <v>0</v>
      </c>
    </row>
    <row r="248" spans="1:374" x14ac:dyDescent="0.2">
      <c r="A248" s="37">
        <v>246</v>
      </c>
      <c r="C248" s="17">
        <f>+'Detalle Compras'!D248</f>
        <v>0</v>
      </c>
      <c r="D248" s="55" t="str">
        <f t="shared" si="22"/>
        <v/>
      </c>
      <c r="E248" s="14" t="str">
        <f>+IF(B248="","",'Detalle Compras'!S248+0)</f>
        <v/>
      </c>
      <c r="F248" s="14" t="str">
        <f>+IF(B248="","",EOMONTH('Detalle Compras'!S248,G248)+10)</f>
        <v/>
      </c>
      <c r="G248" s="50">
        <f t="shared" si="23"/>
        <v>0</v>
      </c>
      <c r="H248" s="50">
        <f t="shared" si="24"/>
        <v>0</v>
      </c>
    </row>
    <row r="249" spans="1:374" x14ac:dyDescent="0.2">
      <c r="A249" s="37">
        <v>247</v>
      </c>
      <c r="C249" s="17">
        <f>+'Detalle Compras'!D249</f>
        <v>0</v>
      </c>
      <c r="D249" s="55" t="str">
        <f t="shared" si="22"/>
        <v/>
      </c>
      <c r="E249" s="14" t="str">
        <f>+IF(B249="","",'Detalle Compras'!S249+0)</f>
        <v/>
      </c>
      <c r="F249" s="14" t="str">
        <f>+IF(B249="","",EOMONTH('Detalle Compras'!S249,G249)+10)</f>
        <v/>
      </c>
      <c r="G249" s="50">
        <f t="shared" si="23"/>
        <v>0</v>
      </c>
      <c r="H249" s="50">
        <f t="shared" si="24"/>
        <v>0</v>
      </c>
    </row>
    <row r="250" spans="1:374" x14ac:dyDescent="0.2">
      <c r="A250" s="37">
        <v>248</v>
      </c>
      <c r="C250" s="17">
        <f>+'Detalle Compras'!D250</f>
        <v>0</v>
      </c>
      <c r="D250" s="55" t="str">
        <f t="shared" si="22"/>
        <v/>
      </c>
      <c r="E250" s="14" t="str">
        <f>+IF(B250="","",'Detalle Compras'!S250+0)</f>
        <v/>
      </c>
      <c r="F250" s="14" t="str">
        <f>+IF(B250="","",EOMONTH('Detalle Compras'!S250,G250)+10)</f>
        <v/>
      </c>
      <c r="G250" s="50">
        <f t="shared" si="23"/>
        <v>0</v>
      </c>
      <c r="H250" s="50">
        <f t="shared" si="24"/>
        <v>0</v>
      </c>
    </row>
    <row r="251" spans="1:374" x14ac:dyDescent="0.2">
      <c r="A251" s="37">
        <v>249</v>
      </c>
      <c r="C251" s="17">
        <f>+'Detalle Compras'!D251</f>
        <v>0</v>
      </c>
      <c r="D251" s="55" t="str">
        <f t="shared" si="22"/>
        <v/>
      </c>
      <c r="E251" s="14" t="str">
        <f>+IF(B251="","",'Detalle Compras'!S251+0)</f>
        <v/>
      </c>
      <c r="F251" s="14" t="str">
        <f>+IF(B251="","",EOMONTH('Detalle Compras'!S251,G251)+10)</f>
        <v/>
      </c>
      <c r="G251" s="50">
        <f t="shared" si="23"/>
        <v>0</v>
      </c>
      <c r="H251" s="50">
        <f t="shared" si="24"/>
        <v>0</v>
      </c>
    </row>
    <row r="252" spans="1:374" x14ac:dyDescent="0.2">
      <c r="A252" s="37">
        <v>250</v>
      </c>
      <c r="C252" s="17">
        <f>+'Detalle Compras'!D252</f>
        <v>0</v>
      </c>
      <c r="D252" s="55" t="str">
        <f t="shared" si="22"/>
        <v/>
      </c>
      <c r="E252" s="14" t="str">
        <f>+IF(B252="","",'Detalle Compras'!S252+0)</f>
        <v/>
      </c>
      <c r="F252" s="14" t="str">
        <f>+IF(B252="","",EOMONTH('Detalle Compras'!S252,G252)+10)</f>
        <v/>
      </c>
      <c r="G252" s="50">
        <f t="shared" si="23"/>
        <v>0</v>
      </c>
      <c r="H252" s="50">
        <f t="shared" si="24"/>
        <v>0</v>
      </c>
    </row>
    <row r="253" spans="1:374" x14ac:dyDescent="0.2">
      <c r="A253" s="37">
        <v>251</v>
      </c>
      <c r="C253" s="17">
        <f>+'Detalle Compras'!D253</f>
        <v>0</v>
      </c>
      <c r="D253" s="55" t="str">
        <f t="shared" si="22"/>
        <v/>
      </c>
      <c r="E253" s="14" t="str">
        <f>+IF(B253="","",'Detalle Compras'!S253+0)</f>
        <v/>
      </c>
      <c r="F253" s="14" t="str">
        <f>+IF(B253="","",EOMONTH('Detalle Compras'!S253,G253)+10)</f>
        <v/>
      </c>
      <c r="G253" s="50">
        <f t="shared" si="23"/>
        <v>0</v>
      </c>
      <c r="H253" s="50">
        <f t="shared" si="24"/>
        <v>0</v>
      </c>
      <c r="O253" s="52"/>
      <c r="P253" s="52"/>
      <c r="Q253" s="52"/>
      <c r="R253" s="52"/>
      <c r="S253" s="52"/>
      <c r="T253" s="52"/>
      <c r="U253" s="52"/>
      <c r="V253" s="52"/>
      <c r="W253" s="52"/>
      <c r="X253" s="52"/>
      <c r="Y253" s="52"/>
      <c r="Z253" s="52"/>
      <c r="AA253" s="52"/>
      <c r="AB253" s="52"/>
      <c r="AC253" s="52"/>
      <c r="AD253" s="52"/>
      <c r="AE253" s="52"/>
      <c r="AF253" s="52"/>
      <c r="AG253" s="52"/>
      <c r="AH253" s="52"/>
      <c r="AI253" s="52"/>
      <c r="AJ253" s="52"/>
      <c r="AK253" s="52"/>
      <c r="AL253" s="52"/>
      <c r="AM253" s="52"/>
      <c r="AN253" s="52"/>
      <c r="AO253" s="52"/>
      <c r="AP253" s="52"/>
      <c r="AQ253" s="52"/>
      <c r="AR253" s="52"/>
      <c r="AS253" s="52"/>
      <c r="AT253" s="52"/>
      <c r="AU253" s="52"/>
      <c r="AV253" s="52"/>
      <c r="AW253" s="52"/>
      <c r="AX253" s="52"/>
      <c r="AY253" s="52"/>
      <c r="AZ253" s="52"/>
      <c r="BA253" s="52"/>
      <c r="BB253" s="52"/>
      <c r="BC253" s="52"/>
      <c r="BD253" s="52"/>
      <c r="BE253" s="52"/>
      <c r="BF253" s="52"/>
      <c r="BG253" s="52"/>
      <c r="BH253" s="52"/>
      <c r="BI253" s="52"/>
      <c r="BJ253" s="52"/>
      <c r="BK253" s="52"/>
      <c r="BL253" s="52"/>
      <c r="BM253" s="52"/>
      <c r="BN253" s="52"/>
      <c r="BO253" s="52"/>
      <c r="BP253" s="52"/>
      <c r="BQ253" s="52"/>
      <c r="BR253" s="52"/>
      <c r="BS253" s="52"/>
      <c r="BT253" s="52"/>
      <c r="BU253" s="52"/>
      <c r="BV253" s="52"/>
      <c r="BW253" s="52"/>
      <c r="BX253" s="52"/>
      <c r="BY253" s="52"/>
      <c r="BZ253" s="52"/>
      <c r="CA253" s="52"/>
      <c r="CB253" s="52"/>
      <c r="CC253" s="52"/>
      <c r="CD253" s="52"/>
      <c r="CE253" s="52"/>
      <c r="CF253" s="52"/>
      <c r="CG253" s="52"/>
      <c r="CH253" s="52"/>
      <c r="CI253" s="52"/>
      <c r="CJ253" s="52"/>
      <c r="CK253" s="52"/>
      <c r="CL253" s="52"/>
      <c r="CM253" s="52"/>
      <c r="CN253" s="52"/>
      <c r="CO253" s="52"/>
      <c r="CP253" s="52"/>
      <c r="CQ253" s="52"/>
      <c r="CR253" s="52"/>
      <c r="CS253" s="52"/>
      <c r="CT253" s="52"/>
      <c r="CU253" s="52"/>
      <c r="CV253" s="52"/>
      <c r="CW253" s="52"/>
      <c r="CX253" s="52"/>
      <c r="CY253" s="52"/>
      <c r="CZ253" s="52"/>
      <c r="DA253" s="52"/>
      <c r="DB253" s="52"/>
      <c r="DC253" s="52"/>
      <c r="DD253" s="52"/>
      <c r="DE253" s="52"/>
      <c r="DF253" s="52"/>
      <c r="DG253" s="52"/>
      <c r="DH253" s="52"/>
      <c r="DI253" s="52"/>
      <c r="DJ253" s="52"/>
      <c r="DK253" s="52"/>
      <c r="DL253" s="52"/>
      <c r="DM253" s="52"/>
      <c r="DN253" s="52"/>
      <c r="DO253" s="52"/>
      <c r="DP253" s="52"/>
      <c r="DQ253" s="52"/>
      <c r="DR253" s="52"/>
      <c r="DS253" s="52"/>
      <c r="DT253" s="52"/>
      <c r="DU253" s="52"/>
      <c r="DV253" s="52"/>
      <c r="DW253" s="52"/>
      <c r="DX253" s="52"/>
      <c r="DY253" s="52"/>
      <c r="DZ253" s="52"/>
      <c r="EA253" s="52"/>
      <c r="EB253" s="52"/>
      <c r="EC253" s="52"/>
      <c r="ED253" s="52"/>
      <c r="EE253" s="52"/>
      <c r="EF253" s="52"/>
      <c r="EG253" s="52"/>
      <c r="EH253" s="52"/>
      <c r="EI253" s="52"/>
      <c r="EJ253" s="52"/>
      <c r="EK253" s="52"/>
      <c r="EL253" s="52"/>
      <c r="EM253" s="52"/>
      <c r="EN253" s="52"/>
      <c r="EO253" s="52"/>
      <c r="EP253" s="52"/>
      <c r="EQ253" s="52"/>
      <c r="ER253" s="52"/>
      <c r="ES253" s="52"/>
      <c r="ET253" s="52"/>
      <c r="EU253" s="52"/>
      <c r="EV253" s="52"/>
      <c r="EW253" s="52"/>
      <c r="EX253" s="52"/>
      <c r="EY253" s="52"/>
      <c r="EZ253" s="52"/>
      <c r="FA253" s="52"/>
      <c r="FB253" s="52"/>
      <c r="FC253" s="52"/>
      <c r="FD253" s="52"/>
      <c r="FE253" s="52"/>
      <c r="FF253" s="52"/>
      <c r="FG253" s="52"/>
      <c r="FH253" s="52"/>
      <c r="FI253" s="52"/>
      <c r="FJ253" s="52"/>
      <c r="FK253" s="52"/>
      <c r="FL253" s="52"/>
      <c r="FM253" s="52"/>
      <c r="FN253" s="52"/>
      <c r="FO253" s="52"/>
      <c r="FP253" s="52"/>
      <c r="FQ253" s="52"/>
      <c r="FR253" s="52"/>
      <c r="FS253" s="52"/>
      <c r="FT253" s="52"/>
      <c r="FU253" s="52"/>
      <c r="FV253" s="52"/>
      <c r="FW253" s="52"/>
      <c r="FX253" s="52"/>
      <c r="FY253" s="52"/>
      <c r="FZ253" s="52"/>
      <c r="GA253" s="52"/>
      <c r="GB253" s="52"/>
      <c r="GC253" s="52"/>
      <c r="GD253" s="52"/>
      <c r="GE253" s="52"/>
      <c r="GF253" s="52"/>
      <c r="GG253" s="52"/>
      <c r="GH253" s="52"/>
      <c r="GI253" s="52"/>
      <c r="GJ253" s="52"/>
      <c r="GK253" s="52"/>
      <c r="GL253" s="52"/>
      <c r="GM253" s="52"/>
      <c r="GN253" s="52"/>
      <c r="GO253" s="52"/>
      <c r="GP253" s="52"/>
      <c r="GQ253" s="52"/>
      <c r="GR253" s="52"/>
      <c r="GS253" s="52"/>
      <c r="GT253" s="52"/>
      <c r="GU253" s="52"/>
      <c r="GV253" s="52"/>
      <c r="GW253" s="52"/>
      <c r="GX253" s="52"/>
      <c r="GY253" s="52"/>
      <c r="GZ253" s="52"/>
      <c r="HA253" s="52"/>
      <c r="HB253" s="52"/>
      <c r="HC253" s="52"/>
      <c r="HD253" s="52"/>
      <c r="HE253" s="52"/>
      <c r="HF253" s="52"/>
      <c r="HG253" s="52"/>
      <c r="HH253" s="52"/>
      <c r="HI253" s="52"/>
      <c r="HJ253" s="52"/>
      <c r="HK253" s="52"/>
      <c r="HL253" s="52"/>
      <c r="HM253" s="52"/>
      <c r="HN253" s="52"/>
      <c r="HO253" s="52"/>
      <c r="HP253" s="52"/>
      <c r="HQ253" s="52"/>
      <c r="HR253" s="52"/>
      <c r="HS253" s="52"/>
      <c r="HT253" s="52"/>
      <c r="HU253" s="52"/>
      <c r="HV253" s="52"/>
      <c r="HW253" s="52"/>
      <c r="HX253" s="52"/>
      <c r="HY253" s="52"/>
      <c r="HZ253" s="52"/>
      <c r="IA253" s="52"/>
      <c r="IB253" s="52"/>
      <c r="IC253" s="52"/>
      <c r="ID253" s="52"/>
      <c r="IE253" s="52"/>
      <c r="IF253" s="52"/>
      <c r="IG253" s="52"/>
      <c r="IH253" s="52"/>
      <c r="II253" s="52"/>
      <c r="IJ253" s="52"/>
      <c r="IK253" s="52"/>
      <c r="IL253" s="52"/>
      <c r="IM253" s="52"/>
      <c r="IN253" s="52"/>
      <c r="IO253" s="52"/>
      <c r="IP253" s="52"/>
      <c r="IQ253" s="52"/>
      <c r="IR253" s="52"/>
      <c r="IS253" s="52"/>
      <c r="IT253" s="52"/>
      <c r="IU253" s="52"/>
      <c r="IV253" s="52"/>
      <c r="IW253" s="52"/>
      <c r="IX253" s="52"/>
      <c r="IY253" s="52"/>
      <c r="IZ253" s="52"/>
      <c r="JA253" s="52"/>
      <c r="JB253" s="52"/>
      <c r="JC253" s="52"/>
      <c r="JD253" s="52"/>
      <c r="JE253" s="52"/>
      <c r="JF253" s="52"/>
      <c r="JG253" s="52"/>
      <c r="JH253" s="52"/>
      <c r="JI253" s="52"/>
      <c r="JJ253" s="52"/>
      <c r="JK253" s="52"/>
      <c r="JL253" s="52"/>
      <c r="JM253" s="52"/>
      <c r="JN253" s="52"/>
      <c r="JO253" s="52"/>
      <c r="JP253" s="52"/>
      <c r="JQ253" s="52"/>
      <c r="JR253" s="52"/>
      <c r="JS253" s="52"/>
      <c r="JT253" s="52"/>
      <c r="JU253" s="52"/>
      <c r="JV253" s="52"/>
      <c r="JW253" s="52"/>
      <c r="JX253" s="52"/>
      <c r="JY253" s="52"/>
      <c r="JZ253" s="52"/>
      <c r="KA253" s="52"/>
      <c r="KB253" s="52"/>
      <c r="KC253" s="52"/>
      <c r="KD253" s="52"/>
      <c r="KE253" s="52"/>
      <c r="KF253" s="52"/>
      <c r="KG253" s="52"/>
      <c r="KH253" s="52"/>
      <c r="KI253" s="52"/>
      <c r="KJ253" s="52"/>
      <c r="KK253" s="52"/>
      <c r="KL253" s="52"/>
      <c r="KM253" s="52"/>
      <c r="KN253" s="52"/>
      <c r="KO253" s="52"/>
      <c r="KP253" s="52"/>
      <c r="KQ253" s="52"/>
      <c r="KR253" s="52"/>
      <c r="KS253" s="52"/>
      <c r="KT253" s="52"/>
      <c r="KU253" s="52"/>
      <c r="KV253" s="52"/>
      <c r="KW253" s="52"/>
      <c r="KX253" s="52"/>
      <c r="KY253" s="52"/>
      <c r="KZ253" s="52"/>
      <c r="LA253" s="52"/>
      <c r="LB253" s="52"/>
      <c r="LC253" s="52"/>
      <c r="LD253" s="52"/>
      <c r="LE253" s="52"/>
      <c r="LF253" s="52"/>
      <c r="LG253" s="52"/>
      <c r="LH253" s="52"/>
      <c r="LI253" s="52"/>
      <c r="LJ253" s="52"/>
      <c r="LK253" s="52"/>
      <c r="LL253" s="52"/>
      <c r="LM253" s="52"/>
      <c r="LN253" s="52"/>
      <c r="LO253" s="52"/>
      <c r="LP253" s="52"/>
      <c r="LQ253" s="52"/>
      <c r="LR253" s="52"/>
      <c r="LS253" s="52"/>
      <c r="LT253" s="52"/>
      <c r="LU253" s="52"/>
      <c r="LV253" s="52"/>
      <c r="LW253" s="52"/>
      <c r="LX253" s="52"/>
      <c r="LY253" s="52"/>
      <c r="LZ253" s="52"/>
      <c r="MA253" s="52"/>
      <c r="MB253" s="52"/>
      <c r="MC253" s="52"/>
      <c r="MD253" s="52"/>
      <c r="ME253" s="52"/>
      <c r="MF253" s="52"/>
      <c r="MG253" s="52"/>
      <c r="MH253" s="52"/>
      <c r="MI253" s="52"/>
      <c r="MJ253" s="52"/>
      <c r="MK253" s="52"/>
      <c r="ML253" s="52"/>
      <c r="MM253" s="52"/>
      <c r="MN253" s="52"/>
      <c r="MO253" s="52"/>
      <c r="MP253" s="52"/>
      <c r="MQ253" s="52"/>
      <c r="MR253" s="52"/>
      <c r="MS253" s="52"/>
      <c r="MT253" s="52"/>
      <c r="MU253" s="52"/>
      <c r="MV253" s="52"/>
      <c r="MW253" s="52"/>
      <c r="MX253" s="52"/>
      <c r="MY253" s="52"/>
      <c r="MZ253" s="52"/>
      <c r="NA253" s="52"/>
      <c r="NB253" s="52"/>
      <c r="NC253" s="52"/>
      <c r="ND253" s="52"/>
      <c r="NE253" s="52"/>
      <c r="NF253" s="52"/>
      <c r="NG253" s="52"/>
      <c r="NH253" s="52"/>
      <c r="NI253" s="52"/>
      <c r="NJ253" s="52"/>
    </row>
    <row r="254" spans="1:374" x14ac:dyDescent="0.2">
      <c r="A254" s="37">
        <v>252</v>
      </c>
      <c r="C254" s="17">
        <f>+'Detalle Compras'!D254</f>
        <v>0</v>
      </c>
      <c r="D254" s="55" t="str">
        <f t="shared" si="22"/>
        <v/>
      </c>
      <c r="E254" s="14" t="str">
        <f>+IF(B254="","",'Detalle Compras'!S254+0)</f>
        <v/>
      </c>
      <c r="F254" s="14" t="str">
        <f>+IF(B254="","",EOMONTH('Detalle Compras'!S254,G254)+10)</f>
        <v/>
      </c>
      <c r="G254" s="50">
        <f t="shared" si="23"/>
        <v>0</v>
      </c>
      <c r="H254" s="50">
        <f t="shared" si="24"/>
        <v>0</v>
      </c>
    </row>
    <row r="255" spans="1:374" x14ac:dyDescent="0.2">
      <c r="A255" s="37">
        <v>253</v>
      </c>
      <c r="C255" s="17">
        <f>+'Detalle Compras'!D255</f>
        <v>0</v>
      </c>
      <c r="D255" s="55" t="str">
        <f t="shared" si="22"/>
        <v/>
      </c>
      <c r="E255" s="14" t="str">
        <f>+IF(B255="","",'Detalle Compras'!S255+0)</f>
        <v/>
      </c>
      <c r="F255" s="14" t="str">
        <f>+IF(B255="","",EOMONTH('Detalle Compras'!S255,G255)+10)</f>
        <v/>
      </c>
      <c r="G255" s="50">
        <f t="shared" si="23"/>
        <v>0</v>
      </c>
      <c r="H255" s="50">
        <f t="shared" si="24"/>
        <v>0</v>
      </c>
    </row>
    <row r="256" spans="1:374" x14ac:dyDescent="0.2">
      <c r="A256" s="37">
        <v>254</v>
      </c>
      <c r="C256" s="17">
        <f>+'Detalle Compras'!D256</f>
        <v>0</v>
      </c>
      <c r="D256" s="55" t="str">
        <f t="shared" si="22"/>
        <v/>
      </c>
      <c r="E256" s="14" t="str">
        <f>+IF(B256="","",'Detalle Compras'!S256+0)</f>
        <v/>
      </c>
      <c r="F256" s="14" t="str">
        <f>+IF(B256="","",EOMONTH('Detalle Compras'!S256,G256)+10)</f>
        <v/>
      </c>
      <c r="G256" s="50">
        <f t="shared" si="23"/>
        <v>0</v>
      </c>
      <c r="H256" s="50">
        <f t="shared" si="24"/>
        <v>0</v>
      </c>
    </row>
    <row r="257" spans="1:373" x14ac:dyDescent="0.2">
      <c r="A257" s="37">
        <v>255</v>
      </c>
      <c r="C257" s="17">
        <f>+'Detalle Compras'!D257</f>
        <v>0</v>
      </c>
      <c r="D257" s="55" t="str">
        <f t="shared" si="22"/>
        <v/>
      </c>
      <c r="E257" s="14" t="str">
        <f>+IF(B257="","",'Detalle Compras'!S257+0)</f>
        <v/>
      </c>
      <c r="F257" s="14" t="str">
        <f>+IF(B257="","",EOMONTH('Detalle Compras'!S257,G257)+10)</f>
        <v/>
      </c>
      <c r="G257" s="50">
        <f t="shared" si="23"/>
        <v>0</v>
      </c>
      <c r="H257" s="50">
        <f t="shared" si="24"/>
        <v>0</v>
      </c>
    </row>
    <row r="258" spans="1:373" x14ac:dyDescent="0.2">
      <c r="A258" s="37">
        <v>256</v>
      </c>
      <c r="C258" s="17">
        <f>+'Detalle Compras'!D258</f>
        <v>0</v>
      </c>
      <c r="D258" s="55" t="str">
        <f t="shared" si="22"/>
        <v/>
      </c>
      <c r="E258" s="14" t="str">
        <f>+IF(B258="","",'Detalle Compras'!S258+0)</f>
        <v/>
      </c>
      <c r="F258" s="14" t="str">
        <f>+IF(B258="","",EOMONTH('Detalle Compras'!S258,G258)+10)</f>
        <v/>
      </c>
      <c r="G258" s="50">
        <f t="shared" si="23"/>
        <v>0</v>
      </c>
      <c r="H258" s="50">
        <f t="shared" si="24"/>
        <v>0</v>
      </c>
    </row>
    <row r="259" spans="1:373" x14ac:dyDescent="0.2">
      <c r="A259" s="37">
        <v>257</v>
      </c>
      <c r="C259" s="17">
        <f>+'Detalle Compras'!D259</f>
        <v>0</v>
      </c>
      <c r="D259" s="55" t="str">
        <f t="shared" si="22"/>
        <v/>
      </c>
      <c r="E259" s="14" t="str">
        <f>+IF(B259="","",'Detalle Compras'!S259+0)</f>
        <v/>
      </c>
      <c r="F259" s="14" t="str">
        <f>+IF(B259="","",EOMONTH('Detalle Compras'!S259,G259)+10)</f>
        <v/>
      </c>
      <c r="G259" s="50">
        <f t="shared" si="23"/>
        <v>0</v>
      </c>
      <c r="H259" s="50">
        <f t="shared" si="24"/>
        <v>0</v>
      </c>
    </row>
    <row r="260" spans="1:373" x14ac:dyDescent="0.2">
      <c r="A260" s="37">
        <v>258</v>
      </c>
      <c r="C260" s="17">
        <f>+'Detalle Compras'!D260</f>
        <v>0</v>
      </c>
      <c r="D260" s="55" t="str">
        <f t="shared" ref="D260:D323" si="25">+IF(B260="","",EA260)</f>
        <v/>
      </c>
      <c r="E260" s="14" t="str">
        <f>+IF(B260="","",'Detalle Compras'!S260+0)</f>
        <v/>
      </c>
      <c r="F260" s="14" t="str">
        <f>+IF(B260="","",EOMONTH('Detalle Compras'!S260,G260)+10)</f>
        <v/>
      </c>
      <c r="G260" s="50">
        <f t="shared" ref="G260:G323" si="26">+COUNTIF(I260:ADF260,"&gt;1")</f>
        <v>0</v>
      </c>
      <c r="H260" s="50">
        <f t="shared" ref="H260:H323" si="27">+COUNT(AF260:ADF260)</f>
        <v>0</v>
      </c>
    </row>
    <row r="261" spans="1:373" x14ac:dyDescent="0.2">
      <c r="A261" s="37">
        <v>259</v>
      </c>
      <c r="C261" s="17">
        <f>+'Detalle Compras'!D261</f>
        <v>0</v>
      </c>
      <c r="D261" s="55" t="str">
        <f t="shared" si="25"/>
        <v/>
      </c>
      <c r="E261" s="14" t="str">
        <f>+IF(B261="","",'Detalle Compras'!S261+0)</f>
        <v/>
      </c>
      <c r="F261" s="14" t="str">
        <f>+IF(B261="","",EOMONTH('Detalle Compras'!S261,G261)+10)</f>
        <v/>
      </c>
      <c r="G261" s="50">
        <f t="shared" si="26"/>
        <v>0</v>
      </c>
      <c r="H261" s="50">
        <f t="shared" si="27"/>
        <v>0</v>
      </c>
    </row>
    <row r="262" spans="1:373" x14ac:dyDescent="0.2">
      <c r="A262" s="37">
        <v>260</v>
      </c>
      <c r="C262" s="17">
        <f>+'Detalle Compras'!D262</f>
        <v>0</v>
      </c>
      <c r="D262" s="55" t="str">
        <f t="shared" si="25"/>
        <v/>
      </c>
      <c r="E262" s="14" t="str">
        <f>+IF(B262="","",'Detalle Compras'!S262+0)</f>
        <v/>
      </c>
      <c r="F262" s="14" t="str">
        <f>+IF(B262="","",EOMONTH('Detalle Compras'!S262,G262)+10)</f>
        <v/>
      </c>
      <c r="G262" s="50">
        <f t="shared" si="26"/>
        <v>0</v>
      </c>
      <c r="H262" s="50">
        <f t="shared" si="27"/>
        <v>0</v>
      </c>
    </row>
    <row r="263" spans="1:373" x14ac:dyDescent="0.2">
      <c r="A263" s="37">
        <v>261</v>
      </c>
      <c r="C263" s="17">
        <f>+'Detalle Compras'!D263</f>
        <v>0</v>
      </c>
      <c r="D263" s="55" t="str">
        <f t="shared" si="25"/>
        <v/>
      </c>
      <c r="E263" s="14" t="str">
        <f>+IF(B263="","",'Detalle Compras'!S263+0)</f>
        <v/>
      </c>
      <c r="F263" s="14" t="str">
        <f>+IF(B263="","",EOMONTH('Detalle Compras'!S263,G263)+10)</f>
        <v/>
      </c>
      <c r="G263" s="50">
        <f t="shared" si="26"/>
        <v>0</v>
      </c>
      <c r="H263" s="50">
        <f t="shared" si="27"/>
        <v>0</v>
      </c>
    </row>
    <row r="264" spans="1:373" x14ac:dyDescent="0.2">
      <c r="A264" s="37">
        <v>262</v>
      </c>
      <c r="C264" s="17">
        <f>+'Detalle Compras'!D264</f>
        <v>0</v>
      </c>
      <c r="D264" s="55" t="str">
        <f t="shared" si="25"/>
        <v/>
      </c>
      <c r="E264" s="14" t="str">
        <f>+IF(B264="","",'Detalle Compras'!S264+0)</f>
        <v/>
      </c>
      <c r="F264" s="14" t="str">
        <f>+IF(B264="","",EOMONTH('Detalle Compras'!S264,G264)+10)</f>
        <v/>
      </c>
      <c r="G264" s="50">
        <f t="shared" si="26"/>
        <v>0</v>
      </c>
      <c r="H264" s="50">
        <f t="shared" si="27"/>
        <v>0</v>
      </c>
      <c r="MX264" s="52"/>
      <c r="MY264" s="52"/>
      <c r="MZ264" s="52"/>
      <c r="NA264" s="52"/>
      <c r="NB264" s="52"/>
      <c r="NC264" s="52"/>
      <c r="ND264" s="52"/>
      <c r="NE264" s="52"/>
      <c r="NF264" s="52"/>
      <c r="NG264" s="52"/>
      <c r="NH264" s="52"/>
      <c r="NI264" s="52"/>
    </row>
    <row r="265" spans="1:373" x14ac:dyDescent="0.2">
      <c r="A265" s="37">
        <v>263</v>
      </c>
      <c r="C265" s="17">
        <f>+'Detalle Compras'!D265</f>
        <v>0</v>
      </c>
      <c r="D265" s="55" t="str">
        <f t="shared" si="25"/>
        <v/>
      </c>
      <c r="E265" s="14" t="str">
        <f>+IF(B265="","",'Detalle Compras'!S265+0)</f>
        <v/>
      </c>
      <c r="F265" s="14" t="str">
        <f>+IF(B265="","",EOMONTH('Detalle Compras'!S265,G265)+10)</f>
        <v/>
      </c>
      <c r="G265" s="50">
        <f t="shared" si="26"/>
        <v>0</v>
      </c>
      <c r="H265" s="50">
        <f t="shared" si="27"/>
        <v>0</v>
      </c>
    </row>
    <row r="266" spans="1:373" x14ac:dyDescent="0.2">
      <c r="A266" s="37">
        <v>264</v>
      </c>
      <c r="C266" s="17">
        <f>+'Detalle Compras'!D266</f>
        <v>0</v>
      </c>
      <c r="D266" s="55" t="str">
        <f t="shared" si="25"/>
        <v/>
      </c>
      <c r="E266" s="14" t="str">
        <f>+IF(B266="","",'Detalle Compras'!S266+0)</f>
        <v/>
      </c>
      <c r="F266" s="14" t="str">
        <f>+IF(B266="","",EOMONTH('Detalle Compras'!S266,G266)+10)</f>
        <v/>
      </c>
      <c r="G266" s="50">
        <f t="shared" si="26"/>
        <v>0</v>
      </c>
      <c r="H266" s="50">
        <f t="shared" si="27"/>
        <v>0</v>
      </c>
    </row>
    <row r="267" spans="1:373" x14ac:dyDescent="0.2">
      <c r="A267" s="37">
        <v>265</v>
      </c>
      <c r="C267" s="17">
        <f>+'Detalle Compras'!D267</f>
        <v>0</v>
      </c>
      <c r="D267" s="55" t="str">
        <f t="shared" si="25"/>
        <v/>
      </c>
      <c r="E267" s="14" t="str">
        <f>+IF(B267="","",'Detalle Compras'!S267+0)</f>
        <v/>
      </c>
      <c r="F267" s="14" t="str">
        <f>+IF(B267="","",EOMONTH('Detalle Compras'!S267,G267)+10)</f>
        <v/>
      </c>
      <c r="G267" s="50">
        <f t="shared" si="26"/>
        <v>0</v>
      </c>
      <c r="H267" s="50">
        <f t="shared" si="27"/>
        <v>0</v>
      </c>
    </row>
    <row r="268" spans="1:373" x14ac:dyDescent="0.2">
      <c r="A268" s="37">
        <v>266</v>
      </c>
      <c r="C268" s="17">
        <f>+'Detalle Compras'!D268</f>
        <v>0</v>
      </c>
      <c r="D268" s="55" t="str">
        <f t="shared" si="25"/>
        <v/>
      </c>
      <c r="E268" s="14" t="str">
        <f>+IF(B268="","",'Detalle Compras'!S268+0)</f>
        <v/>
      </c>
      <c r="F268" s="14" t="str">
        <f>+IF(B268="","",EOMONTH('Detalle Compras'!S268,G268)+10)</f>
        <v/>
      </c>
      <c r="G268" s="50">
        <f t="shared" si="26"/>
        <v>0</v>
      </c>
      <c r="H268" s="50">
        <f t="shared" si="27"/>
        <v>0</v>
      </c>
    </row>
    <row r="269" spans="1:373" x14ac:dyDescent="0.2">
      <c r="A269" s="37">
        <v>267</v>
      </c>
      <c r="C269" s="17">
        <f>+'Detalle Compras'!D269</f>
        <v>0</v>
      </c>
      <c r="D269" s="55" t="str">
        <f t="shared" si="25"/>
        <v/>
      </c>
      <c r="E269" s="14" t="str">
        <f>+IF(B269="","",'Detalle Compras'!S269+0)</f>
        <v/>
      </c>
      <c r="F269" s="14" t="str">
        <f>+IF(B269="","",EOMONTH('Detalle Compras'!S269,G269)+10)</f>
        <v/>
      </c>
      <c r="G269" s="50">
        <f t="shared" si="26"/>
        <v>0</v>
      </c>
      <c r="H269" s="50">
        <f t="shared" si="27"/>
        <v>0</v>
      </c>
    </row>
    <row r="270" spans="1:373" x14ac:dyDescent="0.2">
      <c r="A270" s="37">
        <v>268</v>
      </c>
      <c r="C270" s="17">
        <f>+'Detalle Compras'!D270</f>
        <v>0</v>
      </c>
      <c r="D270" s="55" t="str">
        <f t="shared" si="25"/>
        <v/>
      </c>
      <c r="E270" s="14" t="str">
        <f>+IF(B270="","",'Detalle Compras'!S270+0)</f>
        <v/>
      </c>
      <c r="F270" s="14" t="str">
        <f>+IF(B270="","",EOMONTH('Detalle Compras'!S270,G270)+10)</f>
        <v/>
      </c>
      <c r="G270" s="50">
        <f t="shared" si="26"/>
        <v>0</v>
      </c>
      <c r="H270" s="50">
        <f t="shared" si="27"/>
        <v>0</v>
      </c>
    </row>
    <row r="271" spans="1:373" x14ac:dyDescent="0.2">
      <c r="A271" s="37">
        <v>269</v>
      </c>
      <c r="C271" s="17">
        <f>+'Detalle Compras'!D271</f>
        <v>0</v>
      </c>
      <c r="D271" s="55" t="str">
        <f t="shared" si="25"/>
        <v/>
      </c>
      <c r="E271" s="14" t="str">
        <f>+IF(B271="","",'Detalle Compras'!S271+0)</f>
        <v/>
      </c>
      <c r="F271" s="14" t="str">
        <f>+IF(B271="","",EOMONTH('Detalle Compras'!S271,G271)+10)</f>
        <v/>
      </c>
      <c r="G271" s="50">
        <f t="shared" si="26"/>
        <v>0</v>
      </c>
      <c r="H271" s="50">
        <f t="shared" si="27"/>
        <v>0</v>
      </c>
    </row>
    <row r="272" spans="1:373" x14ac:dyDescent="0.2">
      <c r="A272" s="37">
        <v>270</v>
      </c>
      <c r="C272" s="17">
        <f>+'Detalle Compras'!D272</f>
        <v>0</v>
      </c>
      <c r="D272" s="55" t="str">
        <f t="shared" si="25"/>
        <v/>
      </c>
      <c r="E272" s="14" t="str">
        <f>+IF(B272="","",'Detalle Compras'!S272+0)</f>
        <v/>
      </c>
      <c r="F272" s="14" t="str">
        <f>+IF(B272="","",EOMONTH('Detalle Compras'!S272,G272)+10)</f>
        <v/>
      </c>
      <c r="G272" s="50">
        <f t="shared" si="26"/>
        <v>0</v>
      </c>
      <c r="H272" s="50">
        <f t="shared" si="27"/>
        <v>0</v>
      </c>
    </row>
    <row r="273" spans="1:8" x14ac:dyDescent="0.2">
      <c r="A273" s="37">
        <v>271</v>
      </c>
      <c r="C273" s="17">
        <f>+'Detalle Compras'!D273</f>
        <v>0</v>
      </c>
      <c r="D273" s="55" t="str">
        <f t="shared" si="25"/>
        <v/>
      </c>
      <c r="E273" s="14" t="str">
        <f>+IF(B273="","",'Detalle Compras'!S273+0)</f>
        <v/>
      </c>
      <c r="F273" s="14" t="str">
        <f>+IF(B273="","",EOMONTH('Detalle Compras'!S273,G273)+10)</f>
        <v/>
      </c>
      <c r="G273" s="50">
        <f t="shared" si="26"/>
        <v>0</v>
      </c>
      <c r="H273" s="50">
        <f t="shared" si="27"/>
        <v>0</v>
      </c>
    </row>
    <row r="274" spans="1:8" x14ac:dyDescent="0.2">
      <c r="A274" s="37">
        <v>272</v>
      </c>
      <c r="C274" s="17">
        <f>+'Detalle Compras'!D274</f>
        <v>0</v>
      </c>
      <c r="D274" s="55" t="str">
        <f t="shared" si="25"/>
        <v/>
      </c>
      <c r="E274" s="14" t="str">
        <f>+IF(B274="","",'Detalle Compras'!S274+0)</f>
        <v/>
      </c>
      <c r="F274" s="14" t="str">
        <f>+IF(B274="","",EOMONTH('Detalle Compras'!S274,G274)+10)</f>
        <v/>
      </c>
      <c r="G274" s="50">
        <f t="shared" si="26"/>
        <v>0</v>
      </c>
      <c r="H274" s="50">
        <f t="shared" si="27"/>
        <v>0</v>
      </c>
    </row>
    <row r="275" spans="1:8" x14ac:dyDescent="0.2">
      <c r="A275" s="37">
        <v>273</v>
      </c>
      <c r="C275" s="17">
        <f>+'Detalle Compras'!D275</f>
        <v>0</v>
      </c>
      <c r="D275" s="55" t="str">
        <f t="shared" si="25"/>
        <v/>
      </c>
      <c r="E275" s="14" t="str">
        <f>+IF(B275="","",'Detalle Compras'!S275+0)</f>
        <v/>
      </c>
      <c r="F275" s="14" t="str">
        <f>+IF(B275="","",EOMONTH('Detalle Compras'!S275,G275)+10)</f>
        <v/>
      </c>
      <c r="G275" s="50">
        <f t="shared" si="26"/>
        <v>0</v>
      </c>
      <c r="H275" s="50">
        <f t="shared" si="27"/>
        <v>0</v>
      </c>
    </row>
    <row r="276" spans="1:8" x14ac:dyDescent="0.2">
      <c r="A276" s="37">
        <v>274</v>
      </c>
      <c r="C276" s="17">
        <f>+'Detalle Compras'!D276</f>
        <v>0</v>
      </c>
      <c r="D276" s="55" t="str">
        <f t="shared" si="25"/>
        <v/>
      </c>
      <c r="E276" s="14" t="str">
        <f>+IF(B276="","",'Detalle Compras'!S276+0)</f>
        <v/>
      </c>
      <c r="F276" s="14" t="str">
        <f>+IF(B276="","",EOMONTH('Detalle Compras'!S276,G276)+10)</f>
        <v/>
      </c>
      <c r="G276" s="50">
        <f t="shared" si="26"/>
        <v>0</v>
      </c>
      <c r="H276" s="50">
        <f t="shared" si="27"/>
        <v>0</v>
      </c>
    </row>
    <row r="277" spans="1:8" x14ac:dyDescent="0.2">
      <c r="A277" s="37">
        <v>275</v>
      </c>
      <c r="C277" s="17">
        <f>+'Detalle Compras'!D277</f>
        <v>0</v>
      </c>
      <c r="D277" s="55" t="str">
        <f t="shared" si="25"/>
        <v/>
      </c>
      <c r="E277" s="14" t="str">
        <f>+IF(B277="","",'Detalle Compras'!S277+0)</f>
        <v/>
      </c>
      <c r="F277" s="14" t="str">
        <f>+IF(B277="","",EOMONTH('Detalle Compras'!S277,G277)+10)</f>
        <v/>
      </c>
      <c r="G277" s="50">
        <f t="shared" si="26"/>
        <v>0</v>
      </c>
      <c r="H277" s="50">
        <f t="shared" si="27"/>
        <v>0</v>
      </c>
    </row>
    <row r="278" spans="1:8" x14ac:dyDescent="0.2">
      <c r="A278" s="37">
        <v>276</v>
      </c>
      <c r="C278" s="17">
        <f>+'Detalle Compras'!D278</f>
        <v>0</v>
      </c>
      <c r="D278" s="55" t="str">
        <f t="shared" si="25"/>
        <v/>
      </c>
      <c r="E278" s="14" t="str">
        <f>+IF(B278="","",'Detalle Compras'!S278+0)</f>
        <v/>
      </c>
      <c r="F278" s="14" t="str">
        <f>+IF(B278="","",EOMONTH('Detalle Compras'!S278,G278)+10)</f>
        <v/>
      </c>
      <c r="G278" s="50">
        <f t="shared" si="26"/>
        <v>0</v>
      </c>
      <c r="H278" s="50">
        <f t="shared" si="27"/>
        <v>0</v>
      </c>
    </row>
    <row r="279" spans="1:8" x14ac:dyDescent="0.2">
      <c r="A279" s="37">
        <v>277</v>
      </c>
      <c r="C279" s="17">
        <f>+'Detalle Compras'!D279</f>
        <v>0</v>
      </c>
      <c r="D279" s="55" t="str">
        <f t="shared" si="25"/>
        <v/>
      </c>
      <c r="E279" s="14" t="str">
        <f>+IF(B279="","",'Detalle Compras'!S279+0)</f>
        <v/>
      </c>
      <c r="F279" s="14" t="str">
        <f>+IF(B279="","",EOMONTH('Detalle Compras'!S279,G279)+10)</f>
        <v/>
      </c>
      <c r="G279" s="50">
        <f t="shared" si="26"/>
        <v>0</v>
      </c>
      <c r="H279" s="50">
        <f t="shared" si="27"/>
        <v>0</v>
      </c>
    </row>
    <row r="280" spans="1:8" x14ac:dyDescent="0.2">
      <c r="A280" s="37">
        <v>278</v>
      </c>
      <c r="C280" s="17">
        <f>+'Detalle Compras'!D280</f>
        <v>0</v>
      </c>
      <c r="D280" s="55" t="str">
        <f t="shared" si="25"/>
        <v/>
      </c>
      <c r="E280" s="14" t="str">
        <f>+IF(B280="","",'Detalle Compras'!S280+0)</f>
        <v/>
      </c>
      <c r="F280" s="14" t="str">
        <f>+IF(B280="","",EOMONTH('Detalle Compras'!S280,G280)+10)</f>
        <v/>
      </c>
      <c r="G280" s="50">
        <f t="shared" si="26"/>
        <v>0</v>
      </c>
      <c r="H280" s="50">
        <f t="shared" si="27"/>
        <v>0</v>
      </c>
    </row>
    <row r="281" spans="1:8" x14ac:dyDescent="0.2">
      <c r="A281" s="37">
        <v>279</v>
      </c>
      <c r="C281" s="17">
        <f>+'Detalle Compras'!D281</f>
        <v>0</v>
      </c>
      <c r="D281" s="55" t="str">
        <f t="shared" si="25"/>
        <v/>
      </c>
      <c r="E281" s="14" t="str">
        <f>+IF(B281="","",'Detalle Compras'!S281+0)</f>
        <v/>
      </c>
      <c r="F281" s="14" t="str">
        <f>+IF(B281="","",EOMONTH('Detalle Compras'!S281,G281)+10)</f>
        <v/>
      </c>
      <c r="G281" s="50">
        <f t="shared" si="26"/>
        <v>0</v>
      </c>
      <c r="H281" s="50">
        <f t="shared" si="27"/>
        <v>0</v>
      </c>
    </row>
    <row r="282" spans="1:8" x14ac:dyDescent="0.2">
      <c r="A282" s="37">
        <v>280</v>
      </c>
      <c r="C282" s="17">
        <f>+'Detalle Compras'!D282</f>
        <v>0</v>
      </c>
      <c r="D282" s="55" t="str">
        <f t="shared" si="25"/>
        <v/>
      </c>
      <c r="E282" s="14" t="str">
        <f>+IF(B282="","",'Detalle Compras'!S282+0)</f>
        <v/>
      </c>
      <c r="F282" s="14" t="str">
        <f>+IF(B282="","",EOMONTH('Detalle Compras'!S282,G282)+10)</f>
        <v/>
      </c>
      <c r="G282" s="50">
        <f t="shared" si="26"/>
        <v>0</v>
      </c>
      <c r="H282" s="50">
        <f t="shared" si="27"/>
        <v>0</v>
      </c>
    </row>
    <row r="283" spans="1:8" x14ac:dyDescent="0.2">
      <c r="A283" s="37">
        <v>281</v>
      </c>
      <c r="C283" s="17">
        <f>+'Detalle Compras'!D283</f>
        <v>0</v>
      </c>
      <c r="D283" s="55" t="str">
        <f t="shared" si="25"/>
        <v/>
      </c>
      <c r="E283" s="14" t="str">
        <f>+IF(B283="","",'Detalle Compras'!S283+0)</f>
        <v/>
      </c>
      <c r="F283" s="14" t="str">
        <f>+IF(B283="","",EOMONTH('Detalle Compras'!S283,G283)+10)</f>
        <v/>
      </c>
      <c r="G283" s="50">
        <f t="shared" si="26"/>
        <v>0</v>
      </c>
      <c r="H283" s="50">
        <f t="shared" si="27"/>
        <v>0</v>
      </c>
    </row>
    <row r="284" spans="1:8" x14ac:dyDescent="0.2">
      <c r="A284" s="37">
        <v>282</v>
      </c>
      <c r="C284" s="17">
        <f>+'Detalle Compras'!D284</f>
        <v>0</v>
      </c>
      <c r="D284" s="55" t="str">
        <f t="shared" si="25"/>
        <v/>
      </c>
      <c r="E284" s="14" t="str">
        <f>+IF(B284="","",'Detalle Compras'!S284+0)</f>
        <v/>
      </c>
      <c r="F284" s="14" t="str">
        <f>+IF(B284="","",EOMONTH('Detalle Compras'!S284,G284)+10)</f>
        <v/>
      </c>
      <c r="G284" s="50">
        <f t="shared" si="26"/>
        <v>0</v>
      </c>
      <c r="H284" s="50">
        <f t="shared" si="27"/>
        <v>0</v>
      </c>
    </row>
    <row r="285" spans="1:8" x14ac:dyDescent="0.2">
      <c r="A285" s="37">
        <v>283</v>
      </c>
      <c r="C285" s="17">
        <f>+'Detalle Compras'!D285</f>
        <v>0</v>
      </c>
      <c r="D285" s="55" t="str">
        <f t="shared" si="25"/>
        <v/>
      </c>
      <c r="E285" s="14" t="str">
        <f>+IF(B285="","",'Detalle Compras'!S285+0)</f>
        <v/>
      </c>
      <c r="F285" s="14" t="str">
        <f>+IF(B285="","",EOMONTH('Detalle Compras'!S285,G285)+10)</f>
        <v/>
      </c>
      <c r="G285" s="50">
        <f t="shared" si="26"/>
        <v>0</v>
      </c>
      <c r="H285" s="50">
        <f t="shared" si="27"/>
        <v>0</v>
      </c>
    </row>
    <row r="286" spans="1:8" x14ac:dyDescent="0.2">
      <c r="A286" s="37">
        <v>284</v>
      </c>
      <c r="C286" s="17">
        <f>+'Detalle Compras'!D286</f>
        <v>0</v>
      </c>
      <c r="D286" s="55" t="str">
        <f t="shared" si="25"/>
        <v/>
      </c>
      <c r="E286" s="14" t="str">
        <f>+IF(B286="","",'Detalle Compras'!S286+0)</f>
        <v/>
      </c>
      <c r="F286" s="14" t="str">
        <f>+IF(B286="","",EOMONTH('Detalle Compras'!S286,G286)+10)</f>
        <v/>
      </c>
      <c r="G286" s="50">
        <f t="shared" si="26"/>
        <v>0</v>
      </c>
      <c r="H286" s="50">
        <f t="shared" si="27"/>
        <v>0</v>
      </c>
    </row>
    <row r="287" spans="1:8" x14ac:dyDescent="0.2">
      <c r="A287" s="37">
        <v>285</v>
      </c>
      <c r="C287" s="17">
        <f>+'Detalle Compras'!D287</f>
        <v>0</v>
      </c>
      <c r="D287" s="55" t="str">
        <f t="shared" si="25"/>
        <v/>
      </c>
      <c r="E287" s="14" t="str">
        <f>+IF(B287="","",'Detalle Compras'!S287+0)</f>
        <v/>
      </c>
      <c r="F287" s="14" t="str">
        <f>+IF(B287="","",EOMONTH('Detalle Compras'!S287,G287)+10)</f>
        <v/>
      </c>
      <c r="G287" s="50">
        <f t="shared" si="26"/>
        <v>0</v>
      </c>
      <c r="H287" s="50">
        <f t="shared" si="27"/>
        <v>0</v>
      </c>
    </row>
    <row r="288" spans="1:8" x14ac:dyDescent="0.2">
      <c r="A288" s="37">
        <v>286</v>
      </c>
      <c r="C288" s="17">
        <f>+'Detalle Compras'!D288</f>
        <v>0</v>
      </c>
      <c r="D288" s="55" t="str">
        <f t="shared" si="25"/>
        <v/>
      </c>
      <c r="E288" s="14" t="str">
        <f>+IF(B288="","",'Detalle Compras'!S288+0)</f>
        <v/>
      </c>
      <c r="F288" s="14" t="str">
        <f>+IF(B288="","",EOMONTH('Detalle Compras'!S288,G288)+10)</f>
        <v/>
      </c>
      <c r="G288" s="50">
        <f t="shared" si="26"/>
        <v>0</v>
      </c>
      <c r="H288" s="50">
        <f t="shared" si="27"/>
        <v>0</v>
      </c>
    </row>
    <row r="289" spans="1:8" x14ac:dyDescent="0.2">
      <c r="A289" s="37">
        <v>287</v>
      </c>
      <c r="C289" s="17">
        <f>+'Detalle Compras'!D289</f>
        <v>0</v>
      </c>
      <c r="D289" s="55" t="str">
        <f t="shared" si="25"/>
        <v/>
      </c>
      <c r="E289" s="14" t="str">
        <f>+IF(B289="","",'Detalle Compras'!S289+0)</f>
        <v/>
      </c>
      <c r="F289" s="14" t="str">
        <f>+IF(B289="","",EOMONTH('Detalle Compras'!S289,G289)+10)</f>
        <v/>
      </c>
      <c r="G289" s="50">
        <f t="shared" si="26"/>
        <v>0</v>
      </c>
      <c r="H289" s="50">
        <f t="shared" si="27"/>
        <v>0</v>
      </c>
    </row>
    <row r="290" spans="1:8" x14ac:dyDescent="0.2">
      <c r="A290" s="37">
        <v>288</v>
      </c>
      <c r="C290" s="17">
        <f>+'Detalle Compras'!D290</f>
        <v>0</v>
      </c>
      <c r="D290" s="55" t="str">
        <f t="shared" si="25"/>
        <v/>
      </c>
      <c r="E290" s="14" t="str">
        <f>+IF(B290="","",'Detalle Compras'!S290+0)</f>
        <v/>
      </c>
      <c r="F290" s="14" t="str">
        <f>+IF(B290="","",EOMONTH('Detalle Compras'!S290,G290)+10)</f>
        <v/>
      </c>
      <c r="G290" s="50">
        <f t="shared" si="26"/>
        <v>0</v>
      </c>
      <c r="H290" s="50">
        <f t="shared" si="27"/>
        <v>0</v>
      </c>
    </row>
    <row r="291" spans="1:8" x14ac:dyDescent="0.2">
      <c r="A291" s="37">
        <v>289</v>
      </c>
      <c r="C291" s="17">
        <f>+'Detalle Compras'!D291</f>
        <v>0</v>
      </c>
      <c r="D291" s="55" t="str">
        <f t="shared" si="25"/>
        <v/>
      </c>
      <c r="E291" s="14" t="str">
        <f>+IF(B291="","",'Detalle Compras'!S291+0)</f>
        <v/>
      </c>
      <c r="F291" s="14" t="str">
        <f>+IF(B291="","",EOMONTH('Detalle Compras'!S291,G291)+10)</f>
        <v/>
      </c>
      <c r="G291" s="50">
        <f t="shared" si="26"/>
        <v>0</v>
      </c>
      <c r="H291" s="50">
        <f t="shared" si="27"/>
        <v>0</v>
      </c>
    </row>
    <row r="292" spans="1:8" x14ac:dyDescent="0.2">
      <c r="A292" s="37">
        <v>290</v>
      </c>
      <c r="C292" s="17">
        <f>+'Detalle Compras'!D292</f>
        <v>0</v>
      </c>
      <c r="D292" s="55" t="str">
        <f t="shared" si="25"/>
        <v/>
      </c>
      <c r="E292" s="14" t="str">
        <f>+IF(B292="","",'Detalle Compras'!S292+0)</f>
        <v/>
      </c>
      <c r="F292" s="14" t="str">
        <f>+IF(B292="","",EOMONTH('Detalle Compras'!S292,G292)+10)</f>
        <v/>
      </c>
      <c r="G292" s="50">
        <f t="shared" si="26"/>
        <v>0</v>
      </c>
      <c r="H292" s="50">
        <f t="shared" si="27"/>
        <v>0</v>
      </c>
    </row>
    <row r="293" spans="1:8" x14ac:dyDescent="0.2">
      <c r="A293" s="37">
        <v>291</v>
      </c>
      <c r="C293" s="17">
        <f>+'Detalle Compras'!D293</f>
        <v>0</v>
      </c>
      <c r="D293" s="55" t="str">
        <f t="shared" si="25"/>
        <v/>
      </c>
      <c r="E293" s="14" t="str">
        <f>+IF(B293="","",'Detalle Compras'!S293+0)</f>
        <v/>
      </c>
      <c r="F293" s="14" t="str">
        <f>+IF(B293="","",EOMONTH('Detalle Compras'!S293,G293)+10)</f>
        <v/>
      </c>
      <c r="G293" s="50">
        <f t="shared" si="26"/>
        <v>0</v>
      </c>
      <c r="H293" s="50">
        <f t="shared" si="27"/>
        <v>0</v>
      </c>
    </row>
    <row r="294" spans="1:8" x14ac:dyDescent="0.2">
      <c r="A294" s="37">
        <v>292</v>
      </c>
      <c r="C294" s="17">
        <f>+'Detalle Compras'!D294</f>
        <v>0</v>
      </c>
      <c r="D294" s="55" t="str">
        <f t="shared" si="25"/>
        <v/>
      </c>
      <c r="E294" s="14" t="str">
        <f>+IF(B294="","",'Detalle Compras'!S294+0)</f>
        <v/>
      </c>
      <c r="F294" s="14" t="str">
        <f>+IF(B294="","",EOMONTH('Detalle Compras'!S294,G294)+10)</f>
        <v/>
      </c>
      <c r="G294" s="50">
        <f t="shared" si="26"/>
        <v>0</v>
      </c>
      <c r="H294" s="50">
        <f t="shared" si="27"/>
        <v>0</v>
      </c>
    </row>
    <row r="295" spans="1:8" x14ac:dyDescent="0.2">
      <c r="A295" s="37">
        <v>293</v>
      </c>
      <c r="C295" s="17">
        <f>+'Detalle Compras'!D295</f>
        <v>0</v>
      </c>
      <c r="D295" s="55" t="str">
        <f t="shared" si="25"/>
        <v/>
      </c>
      <c r="E295" s="14" t="str">
        <f>+IF(B295="","",'Detalle Compras'!S295+0)</f>
        <v/>
      </c>
      <c r="F295" s="14" t="str">
        <f>+IF(B295="","",EOMONTH('Detalle Compras'!S295,G295)+10)</f>
        <v/>
      </c>
      <c r="G295" s="50">
        <f t="shared" si="26"/>
        <v>0</v>
      </c>
      <c r="H295" s="50">
        <f t="shared" si="27"/>
        <v>0</v>
      </c>
    </row>
    <row r="296" spans="1:8" x14ac:dyDescent="0.2">
      <c r="A296" s="37">
        <v>294</v>
      </c>
      <c r="C296" s="17">
        <f>+'Detalle Compras'!D296</f>
        <v>0</v>
      </c>
      <c r="D296" s="55" t="str">
        <f t="shared" si="25"/>
        <v/>
      </c>
      <c r="E296" s="14" t="str">
        <f>+IF(B296="","",'Detalle Compras'!S296+0)</f>
        <v/>
      </c>
      <c r="F296" s="14" t="str">
        <f>+IF(B296="","",EOMONTH('Detalle Compras'!S296,G296)+10)</f>
        <v/>
      </c>
      <c r="G296" s="50">
        <f t="shared" si="26"/>
        <v>0</v>
      </c>
      <c r="H296" s="50">
        <f t="shared" si="27"/>
        <v>0</v>
      </c>
    </row>
    <row r="297" spans="1:8" x14ac:dyDescent="0.2">
      <c r="A297" s="37">
        <v>295</v>
      </c>
      <c r="C297" s="17">
        <f>+'Detalle Compras'!D297</f>
        <v>0</v>
      </c>
      <c r="D297" s="55" t="str">
        <f t="shared" si="25"/>
        <v/>
      </c>
      <c r="E297" s="14" t="str">
        <f>+IF(B297="","",'Detalle Compras'!S297+0)</f>
        <v/>
      </c>
      <c r="F297" s="14" t="str">
        <f>+IF(B297="","",EOMONTH('Detalle Compras'!S297,G297)+10)</f>
        <v/>
      </c>
      <c r="G297" s="50">
        <f t="shared" si="26"/>
        <v>0</v>
      </c>
      <c r="H297" s="50">
        <f t="shared" si="27"/>
        <v>0</v>
      </c>
    </row>
    <row r="298" spans="1:8" x14ac:dyDescent="0.2">
      <c r="A298" s="37">
        <v>296</v>
      </c>
      <c r="C298" s="17">
        <f>+'Detalle Compras'!D298</f>
        <v>0</v>
      </c>
      <c r="D298" s="55" t="str">
        <f t="shared" si="25"/>
        <v/>
      </c>
      <c r="E298" s="14" t="str">
        <f>+IF(B298="","",'Detalle Compras'!S298+0)</f>
        <v/>
      </c>
      <c r="F298" s="14" t="str">
        <f>+IF(B298="","",EOMONTH('Detalle Compras'!S298,G298)+10)</f>
        <v/>
      </c>
      <c r="G298" s="50">
        <f t="shared" si="26"/>
        <v>0</v>
      </c>
      <c r="H298" s="50">
        <f t="shared" si="27"/>
        <v>0</v>
      </c>
    </row>
    <row r="299" spans="1:8" x14ac:dyDescent="0.2">
      <c r="A299" s="37">
        <v>297</v>
      </c>
      <c r="C299" s="17">
        <f>+'Detalle Compras'!D299</f>
        <v>0</v>
      </c>
      <c r="D299" s="55" t="str">
        <f t="shared" si="25"/>
        <v/>
      </c>
      <c r="E299" s="14" t="str">
        <f>+IF(B299="","",'Detalle Compras'!S299+0)</f>
        <v/>
      </c>
      <c r="F299" s="14" t="str">
        <f>+IF(B299="","",EOMONTH('Detalle Compras'!S299,G299)+10)</f>
        <v/>
      </c>
      <c r="G299" s="50">
        <f t="shared" si="26"/>
        <v>0</v>
      </c>
      <c r="H299" s="50">
        <f t="shared" si="27"/>
        <v>0</v>
      </c>
    </row>
    <row r="300" spans="1:8" x14ac:dyDescent="0.2">
      <c r="A300" s="37">
        <v>298</v>
      </c>
      <c r="C300" s="17">
        <f>+'Detalle Compras'!D300</f>
        <v>0</v>
      </c>
      <c r="D300" s="55" t="str">
        <f t="shared" si="25"/>
        <v/>
      </c>
      <c r="E300" s="14" t="str">
        <f>+IF(B300="","",'Detalle Compras'!S300+0)</f>
        <v/>
      </c>
      <c r="F300" s="14" t="str">
        <f>+IF(B300="","",EOMONTH('Detalle Compras'!S300,G300)+10)</f>
        <v/>
      </c>
      <c r="G300" s="50">
        <f t="shared" si="26"/>
        <v>0</v>
      </c>
      <c r="H300" s="50">
        <f t="shared" si="27"/>
        <v>0</v>
      </c>
    </row>
    <row r="301" spans="1:8" x14ac:dyDescent="0.2">
      <c r="A301" s="37">
        <v>299</v>
      </c>
      <c r="C301" s="17">
        <f>+'Detalle Compras'!D301</f>
        <v>0</v>
      </c>
      <c r="D301" s="55" t="str">
        <f t="shared" si="25"/>
        <v/>
      </c>
      <c r="E301" s="14" t="str">
        <f>+IF(B301="","",'Detalle Compras'!S301+0)</f>
        <v/>
      </c>
      <c r="F301" s="14" t="str">
        <f>+IF(B301="","",EOMONTH('Detalle Compras'!S301,G301)+10)</f>
        <v/>
      </c>
      <c r="G301" s="50">
        <f t="shared" si="26"/>
        <v>0</v>
      </c>
      <c r="H301" s="50">
        <f t="shared" si="27"/>
        <v>0</v>
      </c>
    </row>
    <row r="302" spans="1:8" x14ac:dyDescent="0.2">
      <c r="A302" s="37">
        <v>300</v>
      </c>
      <c r="C302" s="17">
        <f>+'Detalle Compras'!D302</f>
        <v>0</v>
      </c>
      <c r="D302" s="55" t="str">
        <f t="shared" si="25"/>
        <v/>
      </c>
      <c r="E302" s="14" t="str">
        <f>+IF(B302="","",'Detalle Compras'!S302+0)</f>
        <v/>
      </c>
      <c r="F302" s="14" t="str">
        <f>+IF(B302="","",EOMONTH('Detalle Compras'!S302,G302)+10)</f>
        <v/>
      </c>
      <c r="G302" s="50">
        <f t="shared" si="26"/>
        <v>0</v>
      </c>
      <c r="H302" s="50">
        <f t="shared" si="27"/>
        <v>0</v>
      </c>
    </row>
    <row r="303" spans="1:8" x14ac:dyDescent="0.2">
      <c r="A303" s="37">
        <v>301</v>
      </c>
      <c r="C303" s="17">
        <f>+'Detalle Compras'!D303</f>
        <v>0</v>
      </c>
      <c r="D303" s="55" t="str">
        <f t="shared" si="25"/>
        <v/>
      </c>
      <c r="E303" s="14" t="str">
        <f>+IF(B303="","",'Detalle Compras'!S303+0)</f>
        <v/>
      </c>
      <c r="F303" s="14" t="str">
        <f>+IF(B303="","",EOMONTH('Detalle Compras'!S303,G303)+10)</f>
        <v/>
      </c>
      <c r="G303" s="50">
        <f t="shared" si="26"/>
        <v>0</v>
      </c>
      <c r="H303" s="50">
        <f t="shared" si="27"/>
        <v>0</v>
      </c>
    </row>
    <row r="304" spans="1:8" x14ac:dyDescent="0.2">
      <c r="A304" s="37">
        <v>302</v>
      </c>
      <c r="C304" s="17">
        <f>+'Detalle Compras'!D304</f>
        <v>0</v>
      </c>
      <c r="D304" s="55" t="str">
        <f t="shared" si="25"/>
        <v/>
      </c>
      <c r="E304" s="14" t="str">
        <f>+IF(B304="","",'Detalle Compras'!S304+0)</f>
        <v/>
      </c>
      <c r="F304" s="14" t="str">
        <f>+IF(B304="","",EOMONTH('Detalle Compras'!S304,G304)+10)</f>
        <v/>
      </c>
      <c r="G304" s="50">
        <f t="shared" si="26"/>
        <v>0</v>
      </c>
      <c r="H304" s="50">
        <f t="shared" si="27"/>
        <v>0</v>
      </c>
    </row>
    <row r="305" spans="1:8" x14ac:dyDescent="0.2">
      <c r="A305" s="37">
        <v>303</v>
      </c>
      <c r="C305" s="17">
        <f>+'Detalle Compras'!D305</f>
        <v>0</v>
      </c>
      <c r="D305" s="55" t="str">
        <f t="shared" si="25"/>
        <v/>
      </c>
      <c r="E305" s="14" t="str">
        <f>+IF(B305="","",'Detalle Compras'!S305+0)</f>
        <v/>
      </c>
      <c r="F305" s="14" t="str">
        <f>+IF(B305="","",EOMONTH('Detalle Compras'!S305,G305)+10)</f>
        <v/>
      </c>
      <c r="G305" s="50">
        <f t="shared" si="26"/>
        <v>0</v>
      </c>
      <c r="H305" s="50">
        <f t="shared" si="27"/>
        <v>0</v>
      </c>
    </row>
    <row r="306" spans="1:8" x14ac:dyDescent="0.2">
      <c r="A306" s="37">
        <v>304</v>
      </c>
      <c r="C306" s="17">
        <f>+'Detalle Compras'!D306</f>
        <v>0</v>
      </c>
      <c r="D306" s="55" t="str">
        <f t="shared" si="25"/>
        <v/>
      </c>
      <c r="E306" s="14" t="str">
        <f>+IF(B306="","",'Detalle Compras'!S306+0)</f>
        <v/>
      </c>
      <c r="F306" s="14" t="str">
        <f>+IF(B306="","",EOMONTH('Detalle Compras'!S306,G306)+10)</f>
        <v/>
      </c>
      <c r="G306" s="50">
        <f t="shared" si="26"/>
        <v>0</v>
      </c>
      <c r="H306" s="50">
        <f t="shared" si="27"/>
        <v>0</v>
      </c>
    </row>
    <row r="307" spans="1:8" x14ac:dyDescent="0.2">
      <c r="A307" s="37">
        <v>305</v>
      </c>
      <c r="C307" s="17">
        <f>+'Detalle Compras'!D307</f>
        <v>0</v>
      </c>
      <c r="D307" s="55" t="str">
        <f t="shared" si="25"/>
        <v/>
      </c>
      <c r="E307" s="14" t="str">
        <f>+IF(B307="","",'Detalle Compras'!S307+0)</f>
        <v/>
      </c>
      <c r="F307" s="14" t="str">
        <f>+IF(B307="","",EOMONTH('Detalle Compras'!S307,G307)+10)</f>
        <v/>
      </c>
      <c r="G307" s="50">
        <f t="shared" si="26"/>
        <v>0</v>
      </c>
      <c r="H307" s="50">
        <f t="shared" si="27"/>
        <v>0</v>
      </c>
    </row>
    <row r="308" spans="1:8" x14ac:dyDescent="0.2">
      <c r="A308" s="37">
        <v>306</v>
      </c>
      <c r="C308" s="17">
        <f>+'Detalle Compras'!D308</f>
        <v>0</v>
      </c>
      <c r="D308" s="55" t="str">
        <f t="shared" si="25"/>
        <v/>
      </c>
      <c r="E308" s="14" t="str">
        <f>+IF(B308="","",'Detalle Compras'!S308+0)</f>
        <v/>
      </c>
      <c r="F308" s="14" t="str">
        <f>+IF(B308="","",EOMONTH('Detalle Compras'!S308,G308)+10)</f>
        <v/>
      </c>
      <c r="G308" s="50">
        <f t="shared" si="26"/>
        <v>0</v>
      </c>
      <c r="H308" s="50">
        <f t="shared" si="27"/>
        <v>0</v>
      </c>
    </row>
    <row r="309" spans="1:8" x14ac:dyDescent="0.2">
      <c r="A309" s="37">
        <v>307</v>
      </c>
      <c r="C309" s="17">
        <f>+'Detalle Compras'!D309</f>
        <v>0</v>
      </c>
      <c r="D309" s="55" t="str">
        <f t="shared" si="25"/>
        <v/>
      </c>
      <c r="E309" s="14" t="str">
        <f>+IF(B309="","",'Detalle Compras'!S309+0)</f>
        <v/>
      </c>
      <c r="F309" s="14" t="str">
        <f>+IF(B309="","",EOMONTH('Detalle Compras'!S309,G309)+10)</f>
        <v/>
      </c>
      <c r="G309" s="50">
        <f t="shared" si="26"/>
        <v>0</v>
      </c>
      <c r="H309" s="50">
        <f t="shared" si="27"/>
        <v>0</v>
      </c>
    </row>
    <row r="310" spans="1:8" x14ac:dyDescent="0.2">
      <c r="A310" s="37">
        <v>308</v>
      </c>
      <c r="C310" s="17">
        <f>+'Detalle Compras'!D310</f>
        <v>0</v>
      </c>
      <c r="D310" s="55" t="str">
        <f t="shared" si="25"/>
        <v/>
      </c>
      <c r="E310" s="14" t="str">
        <f>+IF(B310="","",'Detalle Compras'!S310+0)</f>
        <v/>
      </c>
      <c r="F310" s="14" t="str">
        <f>+IF(B310="","",EOMONTH('Detalle Compras'!S310,G310)+10)</f>
        <v/>
      </c>
      <c r="G310" s="50">
        <f t="shared" si="26"/>
        <v>0</v>
      </c>
      <c r="H310" s="50">
        <f t="shared" si="27"/>
        <v>0</v>
      </c>
    </row>
    <row r="311" spans="1:8" x14ac:dyDescent="0.2">
      <c r="A311" s="37">
        <v>309</v>
      </c>
      <c r="C311" s="17">
        <f>+'Detalle Compras'!D311</f>
        <v>0</v>
      </c>
      <c r="D311" s="55" t="str">
        <f t="shared" si="25"/>
        <v/>
      </c>
      <c r="E311" s="14" t="str">
        <f>+IF(B311="","",'Detalle Compras'!S311+0)</f>
        <v/>
      </c>
      <c r="F311" s="14" t="str">
        <f>+IF(B311="","",EOMONTH('Detalle Compras'!S311,G311)+10)</f>
        <v/>
      </c>
      <c r="G311" s="50">
        <f t="shared" si="26"/>
        <v>0</v>
      </c>
      <c r="H311" s="50">
        <f t="shared" si="27"/>
        <v>0</v>
      </c>
    </row>
    <row r="312" spans="1:8" x14ac:dyDescent="0.2">
      <c r="A312" s="37">
        <v>310</v>
      </c>
      <c r="C312" s="17">
        <f>+'Detalle Compras'!D312</f>
        <v>0</v>
      </c>
      <c r="D312" s="55" t="str">
        <f t="shared" si="25"/>
        <v/>
      </c>
      <c r="E312" s="14" t="str">
        <f>+IF(B312="","",'Detalle Compras'!S312+0)</f>
        <v/>
      </c>
      <c r="F312" s="14" t="str">
        <f>+IF(B312="","",EOMONTH('Detalle Compras'!S312,G312)+10)</f>
        <v/>
      </c>
      <c r="G312" s="50">
        <f t="shared" si="26"/>
        <v>0</v>
      </c>
      <c r="H312" s="50">
        <f t="shared" si="27"/>
        <v>0</v>
      </c>
    </row>
    <row r="313" spans="1:8" x14ac:dyDescent="0.2">
      <c r="A313" s="37">
        <v>311</v>
      </c>
      <c r="C313" s="17">
        <f>+'Detalle Compras'!D313</f>
        <v>0</v>
      </c>
      <c r="D313" s="55" t="str">
        <f t="shared" si="25"/>
        <v/>
      </c>
      <c r="E313" s="14" t="str">
        <f>+IF(B313="","",'Detalle Compras'!S313+0)</f>
        <v/>
      </c>
      <c r="F313" s="14" t="str">
        <f>+IF(B313="","",EOMONTH('Detalle Compras'!S313,G313)+10)</f>
        <v/>
      </c>
      <c r="G313" s="50">
        <f t="shared" si="26"/>
        <v>0</v>
      </c>
      <c r="H313" s="50">
        <f t="shared" si="27"/>
        <v>0</v>
      </c>
    </row>
    <row r="314" spans="1:8" x14ac:dyDescent="0.2">
      <c r="A314" s="37">
        <v>312</v>
      </c>
      <c r="C314" s="17">
        <f>+'Detalle Compras'!D314</f>
        <v>0</v>
      </c>
      <c r="D314" s="55" t="str">
        <f t="shared" si="25"/>
        <v/>
      </c>
      <c r="E314" s="14" t="str">
        <f>+IF(B314="","",'Detalle Compras'!S314+0)</f>
        <v/>
      </c>
      <c r="F314" s="14" t="str">
        <f>+IF(B314="","",EOMONTH('Detalle Compras'!S314,G314)+10)</f>
        <v/>
      </c>
      <c r="G314" s="50">
        <f t="shared" si="26"/>
        <v>0</v>
      </c>
      <c r="H314" s="50">
        <f t="shared" si="27"/>
        <v>0</v>
      </c>
    </row>
    <row r="315" spans="1:8" x14ac:dyDescent="0.2">
      <c r="A315" s="37">
        <v>313</v>
      </c>
      <c r="C315" s="17">
        <f>+'Detalle Compras'!D315</f>
        <v>0</v>
      </c>
      <c r="D315" s="55" t="str">
        <f t="shared" si="25"/>
        <v/>
      </c>
      <c r="E315" s="14" t="str">
        <f>+IF(B315="","",'Detalle Compras'!S315+0)</f>
        <v/>
      </c>
      <c r="F315" s="14" t="str">
        <f>+IF(B315="","",EOMONTH('Detalle Compras'!S315,G315)+10)</f>
        <v/>
      </c>
      <c r="G315" s="50">
        <f t="shared" si="26"/>
        <v>0</v>
      </c>
      <c r="H315" s="50">
        <f t="shared" si="27"/>
        <v>0</v>
      </c>
    </row>
    <row r="316" spans="1:8" x14ac:dyDescent="0.2">
      <c r="A316" s="37">
        <v>314</v>
      </c>
      <c r="C316" s="17">
        <f>+'Detalle Compras'!D316</f>
        <v>0</v>
      </c>
      <c r="D316" s="55" t="str">
        <f t="shared" si="25"/>
        <v/>
      </c>
      <c r="E316" s="14" t="str">
        <f>+IF(B316="","",'Detalle Compras'!S316+0)</f>
        <v/>
      </c>
      <c r="F316" s="14" t="str">
        <f>+IF(B316="","",EOMONTH('Detalle Compras'!S316,G316)+10)</f>
        <v/>
      </c>
      <c r="G316" s="50">
        <f t="shared" si="26"/>
        <v>0</v>
      </c>
      <c r="H316" s="50">
        <f t="shared" si="27"/>
        <v>0</v>
      </c>
    </row>
    <row r="317" spans="1:8" x14ac:dyDescent="0.2">
      <c r="A317" s="37">
        <v>315</v>
      </c>
      <c r="C317" s="17">
        <f>+'Detalle Compras'!D317</f>
        <v>0</v>
      </c>
      <c r="D317" s="55" t="str">
        <f t="shared" si="25"/>
        <v/>
      </c>
      <c r="E317" s="14" t="str">
        <f>+IF(B317="","",'Detalle Compras'!S317+0)</f>
        <v/>
      </c>
      <c r="F317" s="14" t="str">
        <f>+IF(B317="","",EOMONTH('Detalle Compras'!S317,G317)+10)</f>
        <v/>
      </c>
      <c r="G317" s="50">
        <f t="shared" si="26"/>
        <v>0</v>
      </c>
      <c r="H317" s="50">
        <f t="shared" si="27"/>
        <v>0</v>
      </c>
    </row>
    <row r="318" spans="1:8" x14ac:dyDescent="0.2">
      <c r="A318" s="37">
        <v>316</v>
      </c>
      <c r="C318" s="17">
        <f>+'Detalle Compras'!D318</f>
        <v>0</v>
      </c>
      <c r="D318" s="55" t="str">
        <f t="shared" si="25"/>
        <v/>
      </c>
      <c r="E318" s="14" t="str">
        <f>+IF(B318="","",'Detalle Compras'!S318+0)</f>
        <v/>
      </c>
      <c r="F318" s="14" t="str">
        <f>+IF(B318="","",EOMONTH('Detalle Compras'!S318,G318)+10)</f>
        <v/>
      </c>
      <c r="G318" s="50">
        <f t="shared" si="26"/>
        <v>0</v>
      </c>
      <c r="H318" s="50">
        <f t="shared" si="27"/>
        <v>0</v>
      </c>
    </row>
    <row r="319" spans="1:8" x14ac:dyDescent="0.2">
      <c r="A319" s="37">
        <v>317</v>
      </c>
      <c r="C319" s="17">
        <f>+'Detalle Compras'!D319</f>
        <v>0</v>
      </c>
      <c r="D319" s="55" t="str">
        <f t="shared" si="25"/>
        <v/>
      </c>
      <c r="E319" s="14" t="str">
        <f>+IF(B319="","",'Detalle Compras'!S319+0)</f>
        <v/>
      </c>
      <c r="F319" s="14" t="str">
        <f>+IF(B319="","",EOMONTH('Detalle Compras'!S319,G319)+10)</f>
        <v/>
      </c>
      <c r="G319" s="50">
        <f t="shared" si="26"/>
        <v>0</v>
      </c>
      <c r="H319" s="50">
        <f t="shared" si="27"/>
        <v>0</v>
      </c>
    </row>
    <row r="320" spans="1:8" x14ac:dyDescent="0.2">
      <c r="A320" s="37">
        <v>318</v>
      </c>
      <c r="C320" s="17">
        <f>+'Detalle Compras'!D320</f>
        <v>0</v>
      </c>
      <c r="D320" s="55" t="str">
        <f t="shared" si="25"/>
        <v/>
      </c>
      <c r="E320" s="14" t="str">
        <f>+IF(B320="","",'Detalle Compras'!S320+0)</f>
        <v/>
      </c>
      <c r="F320" s="14" t="str">
        <f>+IF(B320="","",EOMONTH('Detalle Compras'!S320,G320)+10)</f>
        <v/>
      </c>
      <c r="G320" s="50">
        <f t="shared" si="26"/>
        <v>0</v>
      </c>
      <c r="H320" s="50">
        <f t="shared" si="27"/>
        <v>0</v>
      </c>
    </row>
    <row r="321" spans="1:374" x14ac:dyDescent="0.2">
      <c r="A321" s="37">
        <v>319</v>
      </c>
      <c r="C321" s="17">
        <f>+'Detalle Compras'!D321</f>
        <v>0</v>
      </c>
      <c r="D321" s="55" t="str">
        <f t="shared" si="25"/>
        <v/>
      </c>
      <c r="E321" s="14" t="str">
        <f>+IF(B321="","",'Detalle Compras'!S321+0)</f>
        <v/>
      </c>
      <c r="F321" s="14" t="str">
        <f>+IF(B321="","",EOMONTH('Detalle Compras'!S321,G321)+10)</f>
        <v/>
      </c>
      <c r="G321" s="50">
        <f t="shared" si="26"/>
        <v>0</v>
      </c>
      <c r="H321" s="50">
        <f t="shared" si="27"/>
        <v>0</v>
      </c>
    </row>
    <row r="322" spans="1:374" x14ac:dyDescent="0.2">
      <c r="A322" s="37">
        <v>320</v>
      </c>
      <c r="C322" s="17">
        <f>+'Detalle Compras'!D322</f>
        <v>0</v>
      </c>
      <c r="D322" s="55" t="str">
        <f t="shared" si="25"/>
        <v/>
      </c>
      <c r="E322" s="14" t="str">
        <f>+IF(B322="","",'Detalle Compras'!S322+0)</f>
        <v/>
      </c>
      <c r="F322" s="14" t="str">
        <f>+IF(B322="","",EOMONTH('Detalle Compras'!S322,G322)+10)</f>
        <v/>
      </c>
      <c r="G322" s="50">
        <f t="shared" si="26"/>
        <v>0</v>
      </c>
      <c r="H322" s="50">
        <f t="shared" si="27"/>
        <v>0</v>
      </c>
      <c r="O322" s="52"/>
      <c r="P322" s="52"/>
      <c r="Q322" s="52"/>
      <c r="R322" s="52"/>
      <c r="S322" s="52"/>
      <c r="T322" s="52"/>
      <c r="U322" s="52"/>
      <c r="V322" s="52"/>
      <c r="W322" s="52"/>
      <c r="X322" s="52"/>
      <c r="Y322" s="52"/>
      <c r="Z322" s="52"/>
      <c r="AA322" s="52"/>
      <c r="AB322" s="52"/>
      <c r="AC322" s="52"/>
      <c r="AD322" s="52"/>
      <c r="AE322" s="52"/>
      <c r="AF322" s="52"/>
      <c r="AG322" s="52"/>
      <c r="AH322" s="52"/>
      <c r="AI322" s="52"/>
      <c r="AJ322" s="52"/>
      <c r="AK322" s="52"/>
      <c r="AL322" s="52"/>
      <c r="AM322" s="52"/>
      <c r="AN322" s="52"/>
      <c r="AO322" s="52"/>
      <c r="AP322" s="52"/>
      <c r="AQ322" s="52"/>
      <c r="AR322" s="52"/>
      <c r="AS322" s="52"/>
      <c r="AT322" s="52"/>
      <c r="AU322" s="52"/>
      <c r="AV322" s="52"/>
      <c r="AW322" s="52"/>
      <c r="AX322" s="52"/>
      <c r="AY322" s="52"/>
      <c r="AZ322" s="52"/>
      <c r="BA322" s="52"/>
      <c r="BB322" s="52"/>
      <c r="BC322" s="52"/>
      <c r="BD322" s="52"/>
      <c r="BE322" s="52"/>
      <c r="BF322" s="52"/>
      <c r="BG322" s="52"/>
      <c r="BH322" s="52"/>
      <c r="BI322" s="52"/>
      <c r="BJ322" s="52"/>
      <c r="BK322" s="52"/>
      <c r="BL322" s="52"/>
      <c r="BM322" s="52"/>
      <c r="BN322" s="52"/>
      <c r="BO322" s="52"/>
      <c r="BP322" s="52"/>
      <c r="BQ322" s="52"/>
      <c r="BR322" s="52"/>
      <c r="BS322" s="52"/>
      <c r="BT322" s="52"/>
      <c r="BU322" s="52"/>
      <c r="BV322" s="52"/>
      <c r="BW322" s="52"/>
      <c r="BX322" s="52"/>
      <c r="BY322" s="52"/>
      <c r="BZ322" s="52"/>
      <c r="CA322" s="52"/>
      <c r="CB322" s="52"/>
      <c r="CC322" s="52"/>
      <c r="CD322" s="52"/>
      <c r="CE322" s="52"/>
      <c r="CF322" s="52"/>
      <c r="CG322" s="52"/>
      <c r="CH322" s="52"/>
      <c r="CI322" s="52"/>
      <c r="CJ322" s="52"/>
      <c r="CK322" s="52"/>
      <c r="CL322" s="52"/>
      <c r="CM322" s="52"/>
      <c r="CN322" s="52"/>
      <c r="CO322" s="52"/>
      <c r="CP322" s="52"/>
      <c r="CQ322" s="52"/>
      <c r="CR322" s="52"/>
      <c r="CS322" s="52"/>
      <c r="CT322" s="52"/>
      <c r="CU322" s="52"/>
      <c r="CV322" s="52"/>
      <c r="CW322" s="52"/>
      <c r="CX322" s="52"/>
      <c r="CY322" s="52"/>
      <c r="CZ322" s="52"/>
      <c r="DA322" s="52"/>
      <c r="DB322" s="52"/>
      <c r="DC322" s="52"/>
      <c r="DD322" s="52"/>
      <c r="DE322" s="52"/>
      <c r="DF322" s="52"/>
      <c r="DG322" s="52"/>
      <c r="DH322" s="52"/>
      <c r="DI322" s="52"/>
      <c r="DJ322" s="52"/>
      <c r="DK322" s="52"/>
      <c r="DL322" s="52"/>
      <c r="DM322" s="52"/>
      <c r="DN322" s="52"/>
      <c r="DO322" s="52"/>
      <c r="DP322" s="52"/>
      <c r="DQ322" s="52"/>
      <c r="DR322" s="52"/>
      <c r="DS322" s="52"/>
      <c r="DT322" s="52"/>
      <c r="DU322" s="52"/>
      <c r="DV322" s="52"/>
      <c r="DW322" s="52"/>
      <c r="DX322" s="52"/>
      <c r="DY322" s="52"/>
      <c r="DZ322" s="52"/>
      <c r="EA322" s="52"/>
      <c r="EB322" s="52"/>
      <c r="EC322" s="52"/>
      <c r="ED322" s="52"/>
      <c r="EE322" s="52"/>
      <c r="EF322" s="52"/>
      <c r="EG322" s="52"/>
      <c r="EH322" s="52"/>
      <c r="EI322" s="52"/>
      <c r="EJ322" s="52"/>
      <c r="EK322" s="52"/>
      <c r="EL322" s="52"/>
      <c r="EM322" s="52"/>
      <c r="EN322" s="52"/>
      <c r="EO322" s="52"/>
      <c r="EP322" s="52"/>
      <c r="EQ322" s="52"/>
      <c r="ER322" s="52"/>
      <c r="ES322" s="52"/>
      <c r="ET322" s="52"/>
      <c r="EU322" s="52"/>
      <c r="EV322" s="52"/>
      <c r="EW322" s="52"/>
      <c r="EX322" s="52"/>
      <c r="EY322" s="52"/>
      <c r="EZ322" s="52"/>
      <c r="FA322" s="52"/>
      <c r="FB322" s="52"/>
      <c r="FC322" s="52"/>
      <c r="FD322" s="52"/>
      <c r="FE322" s="52"/>
      <c r="FF322" s="52"/>
      <c r="FG322" s="52"/>
      <c r="FH322" s="52"/>
      <c r="FI322" s="52"/>
      <c r="FJ322" s="52"/>
      <c r="FK322" s="52"/>
      <c r="FL322" s="52"/>
      <c r="FM322" s="52"/>
      <c r="FN322" s="52"/>
      <c r="FO322" s="52"/>
      <c r="FP322" s="52"/>
      <c r="FQ322" s="52"/>
      <c r="FR322" s="52"/>
      <c r="FS322" s="52"/>
      <c r="FT322" s="52"/>
      <c r="FU322" s="52"/>
      <c r="FV322" s="52"/>
      <c r="FW322" s="52"/>
      <c r="FX322" s="52"/>
      <c r="FY322" s="52"/>
      <c r="FZ322" s="52"/>
      <c r="GA322" s="52"/>
      <c r="GB322" s="52"/>
      <c r="GC322" s="52"/>
      <c r="GD322" s="52"/>
      <c r="GE322" s="52"/>
      <c r="GF322" s="52"/>
      <c r="GG322" s="52"/>
      <c r="GH322" s="52"/>
      <c r="GI322" s="52"/>
      <c r="GJ322" s="52"/>
      <c r="GK322" s="52"/>
      <c r="GL322" s="52"/>
      <c r="GM322" s="52"/>
      <c r="GN322" s="52"/>
      <c r="GO322" s="52"/>
      <c r="GP322" s="52"/>
      <c r="GQ322" s="52"/>
      <c r="GR322" s="52"/>
      <c r="GS322" s="52"/>
      <c r="GT322" s="52"/>
      <c r="GU322" s="52"/>
      <c r="GV322" s="52"/>
      <c r="GW322" s="52"/>
      <c r="GX322" s="52"/>
      <c r="GY322" s="52"/>
      <c r="GZ322" s="52"/>
      <c r="HA322" s="52"/>
      <c r="HB322" s="52"/>
      <c r="HC322" s="52"/>
      <c r="HD322" s="52"/>
      <c r="HE322" s="52"/>
      <c r="HF322" s="52"/>
      <c r="HG322" s="52"/>
      <c r="HH322" s="52"/>
      <c r="HI322" s="52"/>
      <c r="HJ322" s="52"/>
      <c r="HK322" s="52"/>
      <c r="HL322" s="52"/>
      <c r="HM322" s="52"/>
      <c r="HN322" s="52"/>
      <c r="HO322" s="52"/>
      <c r="HP322" s="52"/>
      <c r="HQ322" s="52"/>
      <c r="HR322" s="52"/>
      <c r="HS322" s="52"/>
      <c r="HT322" s="52"/>
      <c r="HU322" s="52"/>
      <c r="HV322" s="52"/>
      <c r="HW322" s="52"/>
      <c r="HX322" s="52"/>
      <c r="HY322" s="52"/>
      <c r="HZ322" s="52"/>
      <c r="IA322" s="52"/>
      <c r="IB322" s="52"/>
      <c r="IC322" s="52"/>
      <c r="ID322" s="52"/>
      <c r="IE322" s="52"/>
      <c r="IF322" s="52"/>
      <c r="IG322" s="52"/>
      <c r="IH322" s="52"/>
      <c r="II322" s="52"/>
      <c r="IJ322" s="52"/>
      <c r="IK322" s="52"/>
      <c r="IL322" s="52"/>
      <c r="IM322" s="52"/>
      <c r="IN322" s="52"/>
      <c r="IO322" s="52"/>
      <c r="IP322" s="52"/>
      <c r="IQ322" s="52"/>
      <c r="IR322" s="52"/>
      <c r="IS322" s="52"/>
      <c r="IT322" s="52"/>
      <c r="IU322" s="52"/>
      <c r="IV322" s="52"/>
      <c r="IW322" s="52"/>
      <c r="IX322" s="52"/>
      <c r="IY322" s="52"/>
      <c r="IZ322" s="52"/>
      <c r="JA322" s="52"/>
      <c r="JB322" s="52"/>
      <c r="JC322" s="52"/>
      <c r="JD322" s="52"/>
      <c r="JE322" s="52"/>
      <c r="JF322" s="52"/>
      <c r="JG322" s="52"/>
      <c r="JH322" s="52"/>
      <c r="JI322" s="52"/>
      <c r="JJ322" s="52"/>
      <c r="JK322" s="52"/>
      <c r="JL322" s="52"/>
      <c r="JM322" s="52"/>
      <c r="JN322" s="52"/>
      <c r="JO322" s="52"/>
      <c r="JP322" s="52"/>
      <c r="JQ322" s="52"/>
      <c r="JR322" s="52"/>
      <c r="JS322" s="52"/>
      <c r="JT322" s="52"/>
      <c r="JU322" s="52"/>
      <c r="JV322" s="52"/>
      <c r="JW322" s="52"/>
      <c r="JX322" s="52"/>
      <c r="JY322" s="52"/>
      <c r="JZ322" s="52"/>
      <c r="KA322" s="52"/>
      <c r="KB322" s="52"/>
      <c r="KC322" s="52"/>
      <c r="KD322" s="52"/>
      <c r="KE322" s="52"/>
      <c r="KF322" s="52"/>
      <c r="KG322" s="52"/>
      <c r="KH322" s="52"/>
      <c r="KI322" s="52"/>
      <c r="KJ322" s="52"/>
      <c r="KK322" s="52"/>
      <c r="KL322" s="52"/>
      <c r="KM322" s="52"/>
      <c r="KN322" s="52"/>
      <c r="KO322" s="52"/>
      <c r="KP322" s="52"/>
      <c r="KQ322" s="52"/>
      <c r="KR322" s="52"/>
      <c r="KS322" s="52"/>
      <c r="KT322" s="52"/>
      <c r="KU322" s="52"/>
      <c r="KV322" s="52"/>
      <c r="KW322" s="52"/>
      <c r="KX322" s="52"/>
      <c r="KY322" s="52"/>
      <c r="KZ322" s="52"/>
      <c r="LA322" s="52"/>
      <c r="LB322" s="52"/>
      <c r="LC322" s="52"/>
      <c r="LD322" s="52"/>
      <c r="LE322" s="52"/>
      <c r="LF322" s="52"/>
      <c r="LG322" s="52"/>
      <c r="LH322" s="52"/>
      <c r="LI322" s="52"/>
      <c r="LJ322" s="52"/>
      <c r="LK322" s="52"/>
      <c r="LL322" s="52"/>
      <c r="LM322" s="52"/>
      <c r="LN322" s="52"/>
      <c r="LO322" s="52"/>
      <c r="LP322" s="52"/>
      <c r="LQ322" s="52"/>
      <c r="LR322" s="52"/>
      <c r="LS322" s="52"/>
      <c r="LT322" s="52"/>
      <c r="LU322" s="52"/>
      <c r="LV322" s="52"/>
      <c r="LW322" s="52"/>
      <c r="LX322" s="52"/>
      <c r="LY322" s="52"/>
      <c r="LZ322" s="52"/>
      <c r="MA322" s="52"/>
      <c r="MB322" s="52"/>
      <c r="MC322" s="52"/>
      <c r="MD322" s="52"/>
      <c r="ME322" s="52"/>
      <c r="MF322" s="52"/>
      <c r="MG322" s="52"/>
      <c r="MH322" s="52"/>
      <c r="MI322" s="52"/>
      <c r="MJ322" s="52"/>
      <c r="MK322" s="52"/>
      <c r="ML322" s="52"/>
      <c r="MM322" s="52"/>
      <c r="MN322" s="52"/>
      <c r="MO322" s="52"/>
      <c r="MP322" s="52"/>
      <c r="MQ322" s="52"/>
      <c r="MR322" s="52"/>
      <c r="MS322" s="52"/>
      <c r="MT322" s="52"/>
      <c r="MU322" s="52"/>
      <c r="MV322" s="52"/>
      <c r="MW322" s="52"/>
      <c r="MX322" s="52"/>
      <c r="MY322" s="52"/>
      <c r="MZ322" s="52"/>
      <c r="NA322" s="52"/>
      <c r="NB322" s="52"/>
      <c r="NC322" s="52"/>
      <c r="ND322" s="52"/>
      <c r="NE322" s="52"/>
      <c r="NF322" s="52"/>
      <c r="NG322" s="52"/>
      <c r="NH322" s="52"/>
      <c r="NI322" s="52"/>
      <c r="NJ322" s="52"/>
    </row>
    <row r="323" spans="1:374" x14ac:dyDescent="0.2">
      <c r="A323" s="37">
        <v>321</v>
      </c>
      <c r="C323" s="17">
        <f>+'Detalle Compras'!D323</f>
        <v>0</v>
      </c>
      <c r="D323" s="55" t="str">
        <f t="shared" si="25"/>
        <v/>
      </c>
      <c r="E323" s="14" t="str">
        <f>+IF(B323="","",'Detalle Compras'!S323+0)</f>
        <v/>
      </c>
      <c r="F323" s="14" t="str">
        <f>+IF(B323="","",EOMONTH('Detalle Compras'!S323,G323)+10)</f>
        <v/>
      </c>
      <c r="G323" s="50">
        <f t="shared" si="26"/>
        <v>0</v>
      </c>
      <c r="H323" s="50">
        <f t="shared" si="27"/>
        <v>0</v>
      </c>
    </row>
    <row r="324" spans="1:374" x14ac:dyDescent="0.2">
      <c r="A324" s="37">
        <v>322</v>
      </c>
      <c r="C324" s="17">
        <f>+'Detalle Compras'!D324</f>
        <v>0</v>
      </c>
      <c r="D324" s="55" t="str">
        <f t="shared" ref="D324:D387" si="28">+IF(B324="","",EA324)</f>
        <v/>
      </c>
      <c r="E324" s="14" t="str">
        <f>+IF(B324="","",'Detalle Compras'!S324+0)</f>
        <v/>
      </c>
      <c r="F324" s="14" t="str">
        <f>+IF(B324="","",EOMONTH('Detalle Compras'!S324,G324)+10)</f>
        <v/>
      </c>
      <c r="G324" s="50">
        <f t="shared" ref="G324:G387" si="29">+COUNTIF(I324:ADF324,"&gt;1")</f>
        <v>0</v>
      </c>
      <c r="H324" s="50">
        <f t="shared" ref="H324:H387" si="30">+COUNT(AF324:ADF324)</f>
        <v>0</v>
      </c>
    </row>
    <row r="325" spans="1:374" x14ac:dyDescent="0.2">
      <c r="A325" s="37">
        <v>323</v>
      </c>
      <c r="C325" s="17">
        <f>+'Detalle Compras'!D325</f>
        <v>0</v>
      </c>
      <c r="D325" s="55" t="str">
        <f t="shared" si="28"/>
        <v/>
      </c>
      <c r="E325" s="14" t="str">
        <f>+IF(B325="","",'Detalle Compras'!S325+0)</f>
        <v/>
      </c>
      <c r="F325" s="14" t="str">
        <f>+IF(B325="","",EOMONTH('Detalle Compras'!S325,G325)+10)</f>
        <v/>
      </c>
      <c r="G325" s="50">
        <f t="shared" si="29"/>
        <v>0</v>
      </c>
      <c r="H325" s="50">
        <f t="shared" si="30"/>
        <v>0</v>
      </c>
    </row>
    <row r="326" spans="1:374" x14ac:dyDescent="0.2">
      <c r="A326" s="37">
        <v>324</v>
      </c>
      <c r="C326" s="17">
        <f>+'Detalle Compras'!D326</f>
        <v>0</v>
      </c>
      <c r="D326" s="55" t="str">
        <f t="shared" si="28"/>
        <v/>
      </c>
      <c r="E326" s="14" t="str">
        <f>+IF(B326="","",'Detalle Compras'!S326+0)</f>
        <v/>
      </c>
      <c r="F326" s="14" t="str">
        <f>+IF(B326="","",EOMONTH('Detalle Compras'!S326,G326)+10)</f>
        <v/>
      </c>
      <c r="G326" s="50">
        <f t="shared" si="29"/>
        <v>0</v>
      </c>
      <c r="H326" s="50">
        <f t="shared" si="30"/>
        <v>0</v>
      </c>
    </row>
    <row r="327" spans="1:374" x14ac:dyDescent="0.2">
      <c r="A327" s="37">
        <v>325</v>
      </c>
      <c r="C327" s="17">
        <f>+'Detalle Compras'!D327</f>
        <v>0</v>
      </c>
      <c r="D327" s="55" t="str">
        <f t="shared" si="28"/>
        <v/>
      </c>
      <c r="E327" s="14" t="str">
        <f>+IF(B327="","",'Detalle Compras'!S327+0)</f>
        <v/>
      </c>
      <c r="F327" s="14" t="str">
        <f>+IF(B327="","",EOMONTH('Detalle Compras'!S327,G327)+10)</f>
        <v/>
      </c>
      <c r="G327" s="50">
        <f t="shared" si="29"/>
        <v>0</v>
      </c>
      <c r="H327" s="50">
        <f t="shared" si="30"/>
        <v>0</v>
      </c>
    </row>
    <row r="328" spans="1:374" x14ac:dyDescent="0.2">
      <c r="A328" s="37">
        <v>326</v>
      </c>
      <c r="C328" s="17">
        <f>+'Detalle Compras'!D328</f>
        <v>0</v>
      </c>
      <c r="D328" s="55" t="str">
        <f t="shared" si="28"/>
        <v/>
      </c>
      <c r="E328" s="14" t="str">
        <f>+IF(B328="","",'Detalle Compras'!S328+0)</f>
        <v/>
      </c>
      <c r="F328" s="14" t="str">
        <f>+IF(B328="","",EOMONTH('Detalle Compras'!S328,G328)+10)</f>
        <v/>
      </c>
      <c r="G328" s="50">
        <f t="shared" si="29"/>
        <v>0</v>
      </c>
      <c r="H328" s="50">
        <f t="shared" si="30"/>
        <v>0</v>
      </c>
    </row>
    <row r="329" spans="1:374" x14ac:dyDescent="0.2">
      <c r="A329" s="37">
        <v>327</v>
      </c>
      <c r="C329" s="17">
        <f>+'Detalle Compras'!D329</f>
        <v>0</v>
      </c>
      <c r="D329" s="55" t="str">
        <f t="shared" si="28"/>
        <v/>
      </c>
      <c r="E329" s="14" t="str">
        <f>+IF(B329="","",'Detalle Compras'!S329+0)</f>
        <v/>
      </c>
      <c r="F329" s="14" t="str">
        <f>+IF(B329="","",EOMONTH('Detalle Compras'!S329,G329)+10)</f>
        <v/>
      </c>
      <c r="G329" s="50">
        <f t="shared" si="29"/>
        <v>0</v>
      </c>
      <c r="H329" s="50">
        <f t="shared" si="30"/>
        <v>0</v>
      </c>
    </row>
    <row r="330" spans="1:374" x14ac:dyDescent="0.2">
      <c r="A330" s="37">
        <v>328</v>
      </c>
      <c r="C330" s="17">
        <f>+'Detalle Compras'!D330</f>
        <v>0</v>
      </c>
      <c r="D330" s="55" t="str">
        <f t="shared" si="28"/>
        <v/>
      </c>
      <c r="E330" s="14" t="str">
        <f>+IF(B330="","",'Detalle Compras'!S330+0)</f>
        <v/>
      </c>
      <c r="F330" s="14" t="str">
        <f>+IF(B330="","",EOMONTH('Detalle Compras'!S330,G330)+10)</f>
        <v/>
      </c>
      <c r="G330" s="50">
        <f t="shared" si="29"/>
        <v>0</v>
      </c>
      <c r="H330" s="50">
        <f t="shared" si="30"/>
        <v>0</v>
      </c>
    </row>
    <row r="331" spans="1:374" x14ac:dyDescent="0.2">
      <c r="A331" s="37">
        <v>329</v>
      </c>
      <c r="C331" s="17">
        <f>+'Detalle Compras'!D331</f>
        <v>0</v>
      </c>
      <c r="D331" s="55" t="str">
        <f t="shared" si="28"/>
        <v/>
      </c>
      <c r="E331" s="14" t="str">
        <f>+IF(B331="","",'Detalle Compras'!S331+0)</f>
        <v/>
      </c>
      <c r="F331" s="14" t="str">
        <f>+IF(B331="","",EOMONTH('Detalle Compras'!S331,G331)+10)</f>
        <v/>
      </c>
      <c r="G331" s="50">
        <f t="shared" si="29"/>
        <v>0</v>
      </c>
      <c r="H331" s="50">
        <f t="shared" si="30"/>
        <v>0</v>
      </c>
    </row>
    <row r="332" spans="1:374" x14ac:dyDescent="0.2">
      <c r="A332" s="37">
        <v>330</v>
      </c>
      <c r="C332" s="17">
        <f>+'Detalle Compras'!D332</f>
        <v>0</v>
      </c>
      <c r="D332" s="55" t="str">
        <f t="shared" si="28"/>
        <v/>
      </c>
      <c r="E332" s="14" t="str">
        <f>+IF(B332="","",'Detalle Compras'!S332+0)</f>
        <v/>
      </c>
      <c r="F332" s="14" t="str">
        <f>+IF(B332="","",EOMONTH('Detalle Compras'!S332,G332)+10)</f>
        <v/>
      </c>
      <c r="G332" s="50">
        <f t="shared" si="29"/>
        <v>0</v>
      </c>
      <c r="H332" s="50">
        <f t="shared" si="30"/>
        <v>0</v>
      </c>
    </row>
    <row r="333" spans="1:374" x14ac:dyDescent="0.2">
      <c r="A333" s="37">
        <v>331</v>
      </c>
      <c r="C333" s="17">
        <f>+'Detalle Compras'!D333</f>
        <v>0</v>
      </c>
      <c r="D333" s="55" t="str">
        <f t="shared" si="28"/>
        <v/>
      </c>
      <c r="E333" s="14" t="str">
        <f>+IF(B333="","",'Detalle Compras'!S333+0)</f>
        <v/>
      </c>
      <c r="F333" s="14" t="str">
        <f>+IF(B333="","",EOMONTH('Detalle Compras'!S333,G333)+10)</f>
        <v/>
      </c>
      <c r="G333" s="50">
        <f t="shared" si="29"/>
        <v>0</v>
      </c>
      <c r="H333" s="50">
        <f t="shared" si="30"/>
        <v>0</v>
      </c>
    </row>
    <row r="334" spans="1:374" x14ac:dyDescent="0.2">
      <c r="A334" s="37">
        <v>332</v>
      </c>
      <c r="C334" s="17">
        <f>+'Detalle Compras'!D334</f>
        <v>0</v>
      </c>
      <c r="D334" s="55" t="str">
        <f t="shared" si="28"/>
        <v/>
      </c>
      <c r="E334" s="14" t="str">
        <f>+IF(B334="","",'Detalle Compras'!S334+0)</f>
        <v/>
      </c>
      <c r="F334" s="14" t="str">
        <f>+IF(B334="","",EOMONTH('Detalle Compras'!S334,G334)+10)</f>
        <v/>
      </c>
      <c r="G334" s="50">
        <f t="shared" si="29"/>
        <v>0</v>
      </c>
      <c r="H334" s="50">
        <f t="shared" si="30"/>
        <v>0</v>
      </c>
    </row>
    <row r="335" spans="1:374" x14ac:dyDescent="0.2">
      <c r="A335" s="37">
        <v>333</v>
      </c>
      <c r="C335" s="17">
        <f>+'Detalle Compras'!D335</f>
        <v>0</v>
      </c>
      <c r="D335" s="55" t="str">
        <f t="shared" si="28"/>
        <v/>
      </c>
      <c r="E335" s="14" t="str">
        <f>+IF(B335="","",'Detalle Compras'!S335+0)</f>
        <v/>
      </c>
      <c r="F335" s="14" t="str">
        <f>+IF(B335="","",EOMONTH('Detalle Compras'!S335,G335)+10)</f>
        <v/>
      </c>
      <c r="G335" s="50">
        <f t="shared" si="29"/>
        <v>0</v>
      </c>
      <c r="H335" s="50">
        <f t="shared" si="30"/>
        <v>0</v>
      </c>
    </row>
    <row r="336" spans="1:374" x14ac:dyDescent="0.2">
      <c r="A336" s="37">
        <v>334</v>
      </c>
      <c r="C336" s="17">
        <f>+'Detalle Compras'!D336</f>
        <v>0</v>
      </c>
      <c r="D336" s="55" t="str">
        <f t="shared" si="28"/>
        <v/>
      </c>
      <c r="E336" s="14" t="str">
        <f>+IF(B336="","",'Detalle Compras'!S336+0)</f>
        <v/>
      </c>
      <c r="F336" s="14" t="str">
        <f>+IF(B336="","",EOMONTH('Detalle Compras'!S336,G336)+10)</f>
        <v/>
      </c>
      <c r="G336" s="50">
        <f t="shared" si="29"/>
        <v>0</v>
      </c>
      <c r="H336" s="50">
        <f t="shared" si="30"/>
        <v>0</v>
      </c>
    </row>
    <row r="337" spans="1:375" x14ac:dyDescent="0.2">
      <c r="A337" s="37">
        <v>335</v>
      </c>
      <c r="C337" s="17">
        <f>+'Detalle Compras'!D337</f>
        <v>0</v>
      </c>
      <c r="D337" s="55" t="str">
        <f t="shared" si="28"/>
        <v/>
      </c>
      <c r="E337" s="14" t="str">
        <f>+IF(B337="","",'Detalle Compras'!S337+0)</f>
        <v/>
      </c>
      <c r="F337" s="14" t="str">
        <f>+IF(B337="","",EOMONTH('Detalle Compras'!S337,G337)+10)</f>
        <v/>
      </c>
      <c r="G337" s="50">
        <f t="shared" si="29"/>
        <v>0</v>
      </c>
      <c r="H337" s="50">
        <f t="shared" si="30"/>
        <v>0</v>
      </c>
    </row>
    <row r="338" spans="1:375" x14ac:dyDescent="0.2">
      <c r="A338" s="37">
        <v>336</v>
      </c>
      <c r="C338" s="17">
        <f>+'Detalle Compras'!D338</f>
        <v>0</v>
      </c>
      <c r="D338" s="55" t="str">
        <f t="shared" si="28"/>
        <v/>
      </c>
      <c r="E338" s="14" t="str">
        <f>+IF(B338="","",'Detalle Compras'!S338+0)</f>
        <v/>
      </c>
      <c r="F338" s="14" t="str">
        <f>+IF(B338="","",EOMONTH('Detalle Compras'!S338,G338)+10)</f>
        <v/>
      </c>
      <c r="G338" s="50">
        <f t="shared" si="29"/>
        <v>0</v>
      </c>
      <c r="H338" s="50">
        <f t="shared" si="30"/>
        <v>0</v>
      </c>
    </row>
    <row r="339" spans="1:375" x14ac:dyDescent="0.2">
      <c r="A339" s="37">
        <v>337</v>
      </c>
      <c r="C339" s="17">
        <f>+'Detalle Compras'!D339</f>
        <v>0</v>
      </c>
      <c r="D339" s="55" t="str">
        <f t="shared" si="28"/>
        <v/>
      </c>
      <c r="E339" s="14" t="str">
        <f>+IF(B339="","",'Detalle Compras'!S339+0)</f>
        <v/>
      </c>
      <c r="F339" s="14" t="str">
        <f>+IF(B339="","",EOMONTH('Detalle Compras'!S339,G339)+10)</f>
        <v/>
      </c>
      <c r="G339" s="50">
        <f t="shared" si="29"/>
        <v>0</v>
      </c>
      <c r="H339" s="50">
        <f t="shared" si="30"/>
        <v>0</v>
      </c>
    </row>
    <row r="340" spans="1:375" x14ac:dyDescent="0.2">
      <c r="A340" s="37">
        <v>338</v>
      </c>
      <c r="C340" s="17">
        <f>+'Detalle Compras'!D340</f>
        <v>0</v>
      </c>
      <c r="D340" s="55" t="str">
        <f t="shared" si="28"/>
        <v/>
      </c>
      <c r="E340" s="14" t="str">
        <f>+IF(B340="","",'Detalle Compras'!S340+0)</f>
        <v/>
      </c>
      <c r="F340" s="14" t="str">
        <f>+IF(B340="","",EOMONTH('Detalle Compras'!S340,G340)+10)</f>
        <v/>
      </c>
      <c r="G340" s="50">
        <f t="shared" si="29"/>
        <v>0</v>
      </c>
      <c r="H340" s="50">
        <f t="shared" si="30"/>
        <v>0</v>
      </c>
    </row>
    <row r="341" spans="1:375" x14ac:dyDescent="0.2">
      <c r="A341" s="37">
        <v>339</v>
      </c>
      <c r="C341" s="17">
        <f>+'Detalle Compras'!D341</f>
        <v>0</v>
      </c>
      <c r="D341" s="55" t="str">
        <f t="shared" si="28"/>
        <v/>
      </c>
      <c r="E341" s="14" t="str">
        <f>+IF(B341="","",'Detalle Compras'!S341+0)</f>
        <v/>
      </c>
      <c r="F341" s="14" t="str">
        <f>+IF(B341="","",EOMONTH('Detalle Compras'!S341,G341)+10)</f>
        <v/>
      </c>
      <c r="G341" s="50">
        <f t="shared" si="29"/>
        <v>0</v>
      </c>
      <c r="H341" s="50">
        <f t="shared" si="30"/>
        <v>0</v>
      </c>
    </row>
    <row r="342" spans="1:375" x14ac:dyDescent="0.2">
      <c r="A342" s="37">
        <v>340</v>
      </c>
      <c r="C342" s="17">
        <f>+'Detalle Compras'!D342</f>
        <v>0</v>
      </c>
      <c r="D342" s="55" t="str">
        <f t="shared" si="28"/>
        <v/>
      </c>
      <c r="E342" s="14" t="str">
        <f>+IF(B342="","",'Detalle Compras'!S342+0)</f>
        <v/>
      </c>
      <c r="F342" s="14" t="str">
        <f>+IF(B342="","",EOMONTH('Detalle Compras'!S342,G342)+10)</f>
        <v/>
      </c>
      <c r="G342" s="50">
        <f t="shared" si="29"/>
        <v>0</v>
      </c>
      <c r="H342" s="50">
        <f t="shared" si="30"/>
        <v>0</v>
      </c>
    </row>
    <row r="343" spans="1:375" x14ac:dyDescent="0.2">
      <c r="A343" s="37">
        <v>341</v>
      </c>
      <c r="C343" s="17">
        <f>+'Detalle Compras'!D343</f>
        <v>0</v>
      </c>
      <c r="D343" s="55" t="str">
        <f t="shared" si="28"/>
        <v/>
      </c>
      <c r="E343" s="14" t="str">
        <f>+IF(B343="","",'Detalle Compras'!S343+0)</f>
        <v/>
      </c>
      <c r="F343" s="14" t="str">
        <f>+IF(B343="","",EOMONTH('Detalle Compras'!S343,G343)+10)</f>
        <v/>
      </c>
      <c r="G343" s="50">
        <f t="shared" si="29"/>
        <v>0</v>
      </c>
      <c r="H343" s="50">
        <f t="shared" si="30"/>
        <v>0</v>
      </c>
    </row>
    <row r="344" spans="1:375" x14ac:dyDescent="0.2">
      <c r="A344" s="37">
        <v>342</v>
      </c>
      <c r="C344" s="17">
        <f>+'Detalle Compras'!D344</f>
        <v>0</v>
      </c>
      <c r="D344" s="55" t="str">
        <f t="shared" si="28"/>
        <v/>
      </c>
      <c r="E344" s="14" t="str">
        <f>+IF(B344="","",'Detalle Compras'!S344+0)</f>
        <v/>
      </c>
      <c r="F344" s="14" t="str">
        <f>+IF(B344="","",EOMONTH('Detalle Compras'!S344,G344)+10)</f>
        <v/>
      </c>
      <c r="G344" s="50">
        <f t="shared" si="29"/>
        <v>0</v>
      </c>
      <c r="H344" s="50">
        <f t="shared" si="30"/>
        <v>0</v>
      </c>
      <c r="GJ344" s="53"/>
      <c r="GK344" s="53"/>
      <c r="GL344" s="53"/>
      <c r="GM344" s="53"/>
      <c r="GN344" s="53"/>
      <c r="GO344" s="53"/>
      <c r="GP344" s="53"/>
      <c r="GQ344" s="53"/>
      <c r="GR344" s="53"/>
      <c r="GS344" s="53"/>
      <c r="GT344" s="53"/>
      <c r="GU344" s="53"/>
      <c r="GV344" s="53"/>
      <c r="GW344" s="53"/>
      <c r="GX344" s="53"/>
      <c r="GY344" s="53"/>
      <c r="GZ344" s="53"/>
      <c r="HA344" s="53"/>
      <c r="HB344" s="53"/>
      <c r="HC344" s="53"/>
      <c r="HD344" s="53"/>
      <c r="HE344" s="53"/>
      <c r="HF344" s="53"/>
      <c r="HG344" s="53"/>
      <c r="HH344" s="53"/>
      <c r="HI344" s="53"/>
      <c r="HJ344" s="53"/>
      <c r="HK344" s="53"/>
      <c r="HL344" s="53"/>
      <c r="HM344" s="53"/>
      <c r="HN344" s="53"/>
      <c r="HO344" s="53"/>
      <c r="HP344" s="53"/>
      <c r="HQ344" s="53"/>
      <c r="HR344" s="53"/>
      <c r="HS344" s="53"/>
      <c r="HT344" s="53"/>
      <c r="HU344" s="53"/>
      <c r="HV344" s="53"/>
      <c r="HW344" s="53"/>
      <c r="HX344" s="53"/>
      <c r="HY344" s="53"/>
      <c r="HZ344" s="53"/>
      <c r="IA344" s="53"/>
      <c r="IB344" s="53"/>
      <c r="IC344" s="53"/>
      <c r="ID344" s="53"/>
      <c r="IE344" s="53"/>
      <c r="IF344" s="53"/>
      <c r="IG344" s="53"/>
      <c r="IH344" s="53"/>
      <c r="II344" s="53"/>
      <c r="IJ344" s="53"/>
      <c r="IK344" s="53"/>
      <c r="IL344" s="53"/>
      <c r="IM344" s="53"/>
      <c r="IN344" s="53"/>
      <c r="IO344" s="53"/>
      <c r="IP344" s="53"/>
      <c r="IQ344" s="53"/>
      <c r="IR344" s="53"/>
      <c r="IS344" s="53"/>
      <c r="IT344" s="53"/>
      <c r="IU344" s="53"/>
      <c r="IV344" s="53"/>
      <c r="IW344" s="53"/>
      <c r="IX344" s="53"/>
      <c r="IY344" s="53"/>
      <c r="IZ344" s="53"/>
      <c r="JA344" s="53"/>
      <c r="JB344" s="53"/>
      <c r="JC344" s="53"/>
      <c r="JD344" s="53"/>
      <c r="JE344" s="53"/>
      <c r="JF344" s="53"/>
      <c r="JG344" s="53"/>
      <c r="JH344" s="53"/>
      <c r="JI344" s="53"/>
      <c r="JJ344" s="53"/>
      <c r="JK344" s="53"/>
      <c r="JL344" s="53"/>
      <c r="JM344" s="53"/>
      <c r="JN344" s="53"/>
      <c r="JO344" s="53"/>
      <c r="JP344" s="53"/>
      <c r="JQ344" s="53"/>
      <c r="JR344" s="53"/>
      <c r="JS344" s="53"/>
      <c r="JT344" s="53"/>
      <c r="JU344" s="53"/>
      <c r="JV344" s="53"/>
      <c r="JW344" s="53"/>
      <c r="JX344" s="53"/>
      <c r="JY344" s="53"/>
      <c r="JZ344" s="53"/>
      <c r="KA344" s="53"/>
      <c r="KB344" s="53"/>
      <c r="KC344" s="53"/>
      <c r="KD344" s="53"/>
      <c r="KE344" s="53"/>
      <c r="KF344" s="53"/>
      <c r="KG344" s="53"/>
      <c r="KH344" s="53"/>
      <c r="KI344" s="53"/>
      <c r="KJ344" s="53"/>
      <c r="KK344" s="53"/>
      <c r="KL344" s="53"/>
      <c r="KM344" s="53"/>
      <c r="KN344" s="53"/>
      <c r="KO344" s="53"/>
      <c r="KP344" s="53"/>
      <c r="KQ344" s="53"/>
      <c r="KR344" s="53"/>
      <c r="KS344" s="53"/>
      <c r="KT344" s="53"/>
      <c r="KU344" s="53"/>
      <c r="KV344" s="53"/>
      <c r="KW344" s="53"/>
      <c r="KX344" s="53"/>
      <c r="KY344" s="53"/>
      <c r="KZ344" s="53"/>
      <c r="LA344" s="53"/>
      <c r="LB344" s="53"/>
      <c r="LC344" s="53"/>
      <c r="LD344" s="53"/>
      <c r="LE344" s="53"/>
      <c r="LF344" s="53"/>
      <c r="LG344" s="53"/>
      <c r="LH344" s="53"/>
      <c r="LI344" s="53"/>
      <c r="LJ344" s="53"/>
      <c r="LK344" s="53"/>
      <c r="LL344" s="53"/>
      <c r="LM344" s="53"/>
      <c r="LN344" s="53"/>
      <c r="LO344" s="53"/>
      <c r="LP344" s="53"/>
      <c r="LQ344" s="53"/>
      <c r="LR344" s="53"/>
      <c r="LS344" s="53"/>
      <c r="LT344" s="53"/>
      <c r="LU344" s="53"/>
      <c r="LV344" s="53"/>
      <c r="LW344" s="53"/>
      <c r="LX344" s="53"/>
      <c r="LY344" s="53"/>
      <c r="LZ344" s="53"/>
      <c r="MA344" s="53"/>
      <c r="MB344" s="53"/>
      <c r="MC344" s="53"/>
      <c r="MD344" s="53"/>
      <c r="ME344" s="53"/>
      <c r="MF344" s="53"/>
      <c r="MG344" s="53"/>
      <c r="MH344" s="53"/>
      <c r="MI344" s="53"/>
      <c r="MJ344" s="53"/>
      <c r="MK344" s="53"/>
      <c r="ML344" s="53"/>
      <c r="MM344" s="53"/>
      <c r="MN344" s="53"/>
      <c r="MO344" s="53"/>
      <c r="MP344" s="53"/>
      <c r="MQ344" s="53"/>
      <c r="MR344" s="53"/>
      <c r="MS344" s="53"/>
      <c r="MT344" s="53"/>
      <c r="MU344" s="53"/>
      <c r="MV344" s="53"/>
      <c r="MW344" s="53"/>
      <c r="MX344" s="53"/>
      <c r="MY344" s="53"/>
      <c r="MZ344" s="53"/>
      <c r="NA344" s="53"/>
      <c r="NB344" s="53"/>
      <c r="NC344" s="53"/>
      <c r="ND344" s="53"/>
      <c r="NE344" s="53"/>
      <c r="NF344" s="53"/>
      <c r="NG344" s="53"/>
      <c r="NH344" s="53"/>
      <c r="NI344" s="53"/>
      <c r="NJ344" s="53"/>
      <c r="NK344" s="53"/>
    </row>
    <row r="345" spans="1:375" x14ac:dyDescent="0.2">
      <c r="A345" s="37">
        <v>343</v>
      </c>
      <c r="C345" s="17">
        <f>+'Detalle Compras'!D345</f>
        <v>0</v>
      </c>
      <c r="D345" s="55" t="str">
        <f t="shared" si="28"/>
        <v/>
      </c>
      <c r="E345" s="14" t="str">
        <f>+IF(B345="","",'Detalle Compras'!S345+0)</f>
        <v/>
      </c>
      <c r="F345" s="14" t="str">
        <f>+IF(B345="","",EOMONTH('Detalle Compras'!S345,G345)+10)</f>
        <v/>
      </c>
      <c r="G345" s="50">
        <f t="shared" si="29"/>
        <v>0</v>
      </c>
      <c r="H345" s="50">
        <f t="shared" si="30"/>
        <v>0</v>
      </c>
      <c r="BG345" s="53"/>
      <c r="BH345" s="53"/>
      <c r="BI345" s="53"/>
      <c r="BJ345" s="53"/>
      <c r="BK345" s="53"/>
      <c r="BL345" s="53"/>
      <c r="BM345" s="53"/>
      <c r="BN345" s="53"/>
      <c r="BO345" s="53"/>
      <c r="BP345" s="53"/>
      <c r="BQ345" s="53"/>
      <c r="BR345" s="53"/>
      <c r="BS345" s="53"/>
      <c r="BT345" s="53"/>
      <c r="BU345" s="53"/>
      <c r="BV345" s="53"/>
      <c r="BW345" s="53"/>
      <c r="BX345" s="53"/>
      <c r="BY345" s="53"/>
      <c r="BZ345" s="53"/>
      <c r="CA345" s="53"/>
      <c r="CB345" s="53"/>
      <c r="CC345" s="53"/>
      <c r="CD345" s="53"/>
      <c r="CE345" s="53"/>
      <c r="CF345" s="53"/>
      <c r="CG345" s="53"/>
      <c r="CH345" s="53"/>
      <c r="CI345" s="53"/>
      <c r="CJ345" s="53"/>
      <c r="CK345" s="53"/>
      <c r="CL345" s="53"/>
      <c r="CM345" s="53"/>
      <c r="CN345" s="53"/>
      <c r="CO345" s="53"/>
      <c r="CP345" s="53"/>
      <c r="CQ345" s="53"/>
      <c r="CR345" s="53"/>
      <c r="CS345" s="53"/>
      <c r="CT345" s="53"/>
      <c r="CU345" s="53"/>
      <c r="CV345" s="53"/>
      <c r="CW345" s="53"/>
      <c r="CX345" s="53"/>
      <c r="CY345" s="53"/>
      <c r="CZ345" s="53"/>
      <c r="DA345" s="53"/>
      <c r="DB345" s="53"/>
      <c r="DC345" s="53"/>
      <c r="DD345" s="53"/>
      <c r="DE345" s="53"/>
      <c r="DF345" s="53"/>
      <c r="DG345" s="53"/>
      <c r="DH345" s="53"/>
      <c r="DI345" s="53"/>
      <c r="DJ345" s="53"/>
      <c r="DK345" s="53"/>
      <c r="DL345" s="53"/>
      <c r="DM345" s="53"/>
      <c r="DN345" s="53"/>
      <c r="DO345" s="53"/>
      <c r="DP345" s="53"/>
      <c r="DQ345" s="53"/>
      <c r="DR345" s="53"/>
      <c r="DS345" s="53"/>
      <c r="DT345" s="53"/>
      <c r="DU345" s="53"/>
      <c r="DV345" s="53"/>
      <c r="DW345" s="53"/>
      <c r="DX345" s="53"/>
      <c r="DY345" s="53"/>
      <c r="DZ345" s="53"/>
      <c r="EA345" s="53"/>
      <c r="EB345" s="53"/>
      <c r="EC345" s="53"/>
      <c r="ED345" s="53"/>
      <c r="EE345" s="53"/>
      <c r="EF345" s="53"/>
      <c r="EG345" s="53"/>
      <c r="EH345" s="53"/>
      <c r="EI345" s="53"/>
      <c r="EJ345" s="53"/>
      <c r="EK345" s="53"/>
      <c r="EL345" s="53"/>
      <c r="EM345" s="53"/>
      <c r="EN345" s="53"/>
      <c r="EO345" s="53"/>
      <c r="EP345" s="53"/>
      <c r="EQ345" s="53"/>
      <c r="ER345" s="53"/>
      <c r="ES345" s="53"/>
      <c r="ET345" s="53"/>
      <c r="EU345" s="53"/>
      <c r="EV345" s="53"/>
      <c r="EW345" s="53"/>
      <c r="EX345" s="53"/>
      <c r="EY345" s="53"/>
      <c r="EZ345" s="53"/>
      <c r="FA345" s="53"/>
      <c r="FB345" s="53"/>
      <c r="FC345" s="53"/>
      <c r="FD345" s="53"/>
      <c r="FE345" s="53"/>
      <c r="FF345" s="53"/>
      <c r="FG345" s="53"/>
      <c r="FH345" s="53"/>
      <c r="FI345" s="53"/>
      <c r="FJ345" s="53"/>
      <c r="FK345" s="53"/>
      <c r="FL345" s="53"/>
      <c r="FM345" s="53"/>
      <c r="FN345" s="53"/>
      <c r="FO345" s="53"/>
      <c r="FP345" s="53"/>
      <c r="FQ345" s="53"/>
      <c r="FR345" s="53"/>
      <c r="FS345" s="53"/>
      <c r="FT345" s="53"/>
      <c r="FU345" s="53"/>
      <c r="FV345" s="53"/>
      <c r="FW345" s="53"/>
      <c r="FX345" s="53"/>
      <c r="FY345" s="53"/>
      <c r="FZ345" s="53"/>
      <c r="GA345" s="53"/>
      <c r="GB345" s="53"/>
      <c r="GC345" s="53"/>
      <c r="GD345" s="53"/>
      <c r="GE345" s="53"/>
      <c r="GF345" s="53"/>
      <c r="GG345" s="53"/>
      <c r="GH345" s="53"/>
      <c r="GI345" s="53"/>
      <c r="GJ345" s="53"/>
      <c r="GK345" s="53"/>
      <c r="GL345" s="53"/>
      <c r="GM345" s="53"/>
      <c r="GN345" s="53"/>
      <c r="GO345" s="53"/>
      <c r="GP345" s="53"/>
      <c r="GQ345" s="53"/>
      <c r="GR345" s="53"/>
      <c r="GS345" s="53"/>
      <c r="GT345" s="53"/>
      <c r="GU345" s="53"/>
      <c r="GV345" s="53"/>
      <c r="GW345" s="53"/>
      <c r="GX345" s="53"/>
      <c r="GY345" s="53"/>
      <c r="GZ345" s="53"/>
      <c r="HA345" s="53"/>
      <c r="HB345" s="53"/>
      <c r="HC345" s="53"/>
      <c r="HD345" s="53"/>
      <c r="HE345" s="53"/>
      <c r="HF345" s="53"/>
      <c r="HG345" s="53"/>
      <c r="HH345" s="53"/>
      <c r="HI345" s="53"/>
      <c r="HJ345" s="53"/>
      <c r="HK345" s="53"/>
      <c r="HL345" s="53"/>
      <c r="HM345" s="53"/>
      <c r="HN345" s="53"/>
      <c r="HO345" s="53"/>
      <c r="HP345" s="53"/>
      <c r="HQ345" s="53"/>
      <c r="HR345" s="53"/>
      <c r="HS345" s="53"/>
      <c r="HT345" s="53"/>
      <c r="HU345" s="53"/>
      <c r="HV345" s="53"/>
      <c r="HW345" s="53"/>
    </row>
    <row r="346" spans="1:375" x14ac:dyDescent="0.2">
      <c r="A346" s="37">
        <v>344</v>
      </c>
      <c r="C346" s="17">
        <f>+'Detalle Compras'!D346</f>
        <v>0</v>
      </c>
      <c r="D346" s="55" t="str">
        <f t="shared" si="28"/>
        <v/>
      </c>
      <c r="E346" s="14" t="str">
        <f>+IF(B346="","",'Detalle Compras'!S346+0)</f>
        <v/>
      </c>
      <c r="F346" s="14" t="str">
        <f>+IF(B346="","",EOMONTH('Detalle Compras'!S346,G346)+10)</f>
        <v/>
      </c>
      <c r="G346" s="50">
        <f t="shared" si="29"/>
        <v>0</v>
      </c>
      <c r="H346" s="50">
        <f t="shared" si="30"/>
        <v>0</v>
      </c>
    </row>
    <row r="347" spans="1:375" x14ac:dyDescent="0.2">
      <c r="A347" s="37">
        <v>345</v>
      </c>
      <c r="C347" s="17">
        <f>+'Detalle Compras'!D347</f>
        <v>0</v>
      </c>
      <c r="D347" s="55" t="str">
        <f t="shared" si="28"/>
        <v/>
      </c>
      <c r="E347" s="14" t="str">
        <f>+IF(B347="","",'Detalle Compras'!S347+0)</f>
        <v/>
      </c>
      <c r="F347" s="14" t="str">
        <f>+IF(B347="","",EOMONTH('Detalle Compras'!S347,G347)+10)</f>
        <v/>
      </c>
      <c r="G347" s="50">
        <f t="shared" si="29"/>
        <v>0</v>
      </c>
      <c r="H347" s="50">
        <f t="shared" si="30"/>
        <v>0</v>
      </c>
    </row>
    <row r="348" spans="1:375" x14ac:dyDescent="0.2">
      <c r="A348" s="37">
        <v>346</v>
      </c>
      <c r="C348" s="17">
        <f>+'Detalle Compras'!D348</f>
        <v>0</v>
      </c>
      <c r="D348" s="55" t="str">
        <f t="shared" si="28"/>
        <v/>
      </c>
      <c r="E348" s="14" t="str">
        <f>+IF(B348="","",'Detalle Compras'!S348+0)</f>
        <v/>
      </c>
      <c r="F348" s="14" t="str">
        <f>+IF(B348="","",EOMONTH('Detalle Compras'!S348,G348)+10)</f>
        <v/>
      </c>
      <c r="G348" s="50">
        <f t="shared" si="29"/>
        <v>0</v>
      </c>
      <c r="H348" s="50">
        <f t="shared" si="30"/>
        <v>0</v>
      </c>
    </row>
    <row r="349" spans="1:375" x14ac:dyDescent="0.2">
      <c r="A349" s="37">
        <v>347</v>
      </c>
      <c r="C349" s="17">
        <f>+'Detalle Compras'!D349</f>
        <v>0</v>
      </c>
      <c r="D349" s="55" t="str">
        <f t="shared" si="28"/>
        <v/>
      </c>
      <c r="E349" s="14" t="str">
        <f>+IF(B349="","",'Detalle Compras'!S349+0)</f>
        <v/>
      </c>
      <c r="F349" s="14" t="str">
        <f>+IF(B349="","",EOMONTH('Detalle Compras'!S349,G349)+10)</f>
        <v/>
      </c>
      <c r="G349" s="50">
        <f t="shared" si="29"/>
        <v>0</v>
      </c>
      <c r="H349" s="50">
        <f t="shared" si="30"/>
        <v>0</v>
      </c>
    </row>
    <row r="350" spans="1:375" x14ac:dyDescent="0.2">
      <c r="A350" s="37">
        <v>348</v>
      </c>
      <c r="C350" s="17">
        <f>+'Detalle Compras'!D350</f>
        <v>0</v>
      </c>
      <c r="D350" s="55" t="str">
        <f t="shared" si="28"/>
        <v/>
      </c>
      <c r="E350" s="14" t="str">
        <f>+IF(B350="","",'Detalle Compras'!S350+0)</f>
        <v/>
      </c>
      <c r="F350" s="14" t="str">
        <f>+IF(B350="","",EOMONTH('Detalle Compras'!S350,G350)+10)</f>
        <v/>
      </c>
      <c r="G350" s="50">
        <f t="shared" si="29"/>
        <v>0</v>
      </c>
      <c r="H350" s="50">
        <f t="shared" si="30"/>
        <v>0</v>
      </c>
    </row>
    <row r="351" spans="1:375" x14ac:dyDescent="0.2">
      <c r="A351" s="37">
        <v>349</v>
      </c>
      <c r="C351" s="17">
        <f>+'Detalle Compras'!D351</f>
        <v>0</v>
      </c>
      <c r="D351" s="55" t="str">
        <f t="shared" si="28"/>
        <v/>
      </c>
      <c r="E351" s="14" t="str">
        <f>+IF(B351="","",'Detalle Compras'!S351+0)</f>
        <v/>
      </c>
      <c r="F351" s="14" t="str">
        <f>+IF(B351="","",EOMONTH('Detalle Compras'!S351,G351)+10)</f>
        <v/>
      </c>
      <c r="G351" s="50">
        <f t="shared" si="29"/>
        <v>0</v>
      </c>
      <c r="H351" s="50">
        <f t="shared" si="30"/>
        <v>0</v>
      </c>
    </row>
    <row r="352" spans="1:375" x14ac:dyDescent="0.2">
      <c r="A352" s="37">
        <v>350</v>
      </c>
      <c r="C352" s="17">
        <f>+'Detalle Compras'!D352</f>
        <v>0</v>
      </c>
      <c r="D352" s="55" t="str">
        <f t="shared" si="28"/>
        <v/>
      </c>
      <c r="E352" s="14" t="str">
        <f>+IF(B352="","",'Detalle Compras'!S352+0)</f>
        <v/>
      </c>
      <c r="F352" s="14" t="str">
        <f>+IF(B352="","",EOMONTH('Detalle Compras'!S352,G352)+10)</f>
        <v/>
      </c>
      <c r="G352" s="50">
        <f t="shared" si="29"/>
        <v>0</v>
      </c>
      <c r="H352" s="50">
        <f t="shared" si="30"/>
        <v>0</v>
      </c>
    </row>
    <row r="353" spans="1:8" x14ac:dyDescent="0.2">
      <c r="A353" s="37">
        <v>351</v>
      </c>
      <c r="C353" s="17">
        <f>+'Detalle Compras'!D353</f>
        <v>0</v>
      </c>
      <c r="D353" s="55" t="str">
        <f t="shared" si="28"/>
        <v/>
      </c>
      <c r="E353" s="14" t="str">
        <f>+IF(B353="","",'Detalle Compras'!S353+0)</f>
        <v/>
      </c>
      <c r="F353" s="14" t="str">
        <f>+IF(B353="","",EOMONTH('Detalle Compras'!S353,G353)+10)</f>
        <v/>
      </c>
      <c r="G353" s="50">
        <f t="shared" si="29"/>
        <v>0</v>
      </c>
      <c r="H353" s="50">
        <f t="shared" si="30"/>
        <v>0</v>
      </c>
    </row>
    <row r="354" spans="1:8" x14ac:dyDescent="0.2">
      <c r="A354" s="37">
        <v>352</v>
      </c>
      <c r="C354" s="17">
        <f>+'Detalle Compras'!D354</f>
        <v>0</v>
      </c>
      <c r="D354" s="55" t="str">
        <f t="shared" si="28"/>
        <v/>
      </c>
      <c r="E354" s="14" t="str">
        <f>+IF(B354="","",'Detalle Compras'!S354+0)</f>
        <v/>
      </c>
      <c r="F354" s="14" t="str">
        <f>+IF(B354="","",EOMONTH('Detalle Compras'!S354,G354)+10)</f>
        <v/>
      </c>
      <c r="G354" s="50">
        <f t="shared" si="29"/>
        <v>0</v>
      </c>
      <c r="H354" s="50">
        <f t="shared" si="30"/>
        <v>0</v>
      </c>
    </row>
    <row r="355" spans="1:8" x14ac:dyDescent="0.2">
      <c r="A355" s="37">
        <v>353</v>
      </c>
      <c r="C355" s="17">
        <f>+'Detalle Compras'!D355</f>
        <v>0</v>
      </c>
      <c r="D355" s="55" t="str">
        <f t="shared" si="28"/>
        <v/>
      </c>
      <c r="E355" s="14" t="str">
        <f>+IF(B355="","",'Detalle Compras'!S355+0)</f>
        <v/>
      </c>
      <c r="F355" s="14" t="str">
        <f>+IF(B355="","",EOMONTH('Detalle Compras'!S355,G355)+10)</f>
        <v/>
      </c>
      <c r="G355" s="50">
        <f t="shared" si="29"/>
        <v>0</v>
      </c>
      <c r="H355" s="50">
        <f t="shared" si="30"/>
        <v>0</v>
      </c>
    </row>
    <row r="356" spans="1:8" x14ac:dyDescent="0.2">
      <c r="A356" s="37">
        <v>354</v>
      </c>
      <c r="C356" s="17">
        <f>+'Detalle Compras'!D356</f>
        <v>0</v>
      </c>
      <c r="D356" s="55" t="str">
        <f t="shared" si="28"/>
        <v/>
      </c>
      <c r="E356" s="14" t="str">
        <f>+IF(B356="","",'Detalle Compras'!S356+0)</f>
        <v/>
      </c>
      <c r="F356" s="14" t="str">
        <f>+IF(B356="","",EOMONTH('Detalle Compras'!S356,G356)+10)</f>
        <v/>
      </c>
      <c r="G356" s="50">
        <f t="shared" si="29"/>
        <v>0</v>
      </c>
      <c r="H356" s="50">
        <f t="shared" si="30"/>
        <v>0</v>
      </c>
    </row>
    <row r="357" spans="1:8" x14ac:dyDescent="0.2">
      <c r="A357" s="37">
        <v>355</v>
      </c>
      <c r="C357" s="17">
        <f>+'Detalle Compras'!D357</f>
        <v>0</v>
      </c>
      <c r="D357" s="55" t="str">
        <f t="shared" si="28"/>
        <v/>
      </c>
      <c r="E357" s="14" t="str">
        <f>+IF(B357="","",'Detalle Compras'!S357+0)</f>
        <v/>
      </c>
      <c r="F357" s="14" t="str">
        <f>+IF(B357="","",EOMONTH('Detalle Compras'!S357,G357)+10)</f>
        <v/>
      </c>
      <c r="G357" s="50">
        <f t="shared" si="29"/>
        <v>0</v>
      </c>
      <c r="H357" s="50">
        <f t="shared" si="30"/>
        <v>0</v>
      </c>
    </row>
    <row r="358" spans="1:8" x14ac:dyDescent="0.2">
      <c r="A358" s="37">
        <v>356</v>
      </c>
      <c r="C358" s="17">
        <f>+'Detalle Compras'!D358</f>
        <v>0</v>
      </c>
      <c r="D358" s="55" t="str">
        <f t="shared" si="28"/>
        <v/>
      </c>
      <c r="E358" s="14" t="str">
        <f>+IF(B358="","",'Detalle Compras'!S358+0)</f>
        <v/>
      </c>
      <c r="F358" s="14" t="str">
        <f>+IF(B358="","",EOMONTH('Detalle Compras'!S358,G358)+10)</f>
        <v/>
      </c>
      <c r="G358" s="50">
        <f t="shared" si="29"/>
        <v>0</v>
      </c>
      <c r="H358" s="50">
        <f t="shared" si="30"/>
        <v>0</v>
      </c>
    </row>
    <row r="359" spans="1:8" x14ac:dyDescent="0.2">
      <c r="A359" s="37">
        <v>357</v>
      </c>
      <c r="C359" s="17">
        <f>+'Detalle Compras'!D359</f>
        <v>0</v>
      </c>
      <c r="D359" s="55" t="str">
        <f t="shared" si="28"/>
        <v/>
      </c>
      <c r="E359" s="14" t="str">
        <f>+IF(B359="","",'Detalle Compras'!S359+0)</f>
        <v/>
      </c>
      <c r="F359" s="14" t="str">
        <f>+IF(B359="","",EOMONTH('Detalle Compras'!S359,G359)+10)</f>
        <v/>
      </c>
      <c r="G359" s="50">
        <f t="shared" si="29"/>
        <v>0</v>
      </c>
      <c r="H359" s="50">
        <f t="shared" si="30"/>
        <v>0</v>
      </c>
    </row>
    <row r="360" spans="1:8" x14ac:dyDescent="0.2">
      <c r="A360" s="37">
        <v>358</v>
      </c>
      <c r="C360" s="17">
        <f>+'Detalle Compras'!D360</f>
        <v>0</v>
      </c>
      <c r="D360" s="55" t="str">
        <f t="shared" si="28"/>
        <v/>
      </c>
      <c r="E360" s="14" t="str">
        <f>+IF(B360="","",'Detalle Compras'!S360+0)</f>
        <v/>
      </c>
      <c r="F360" s="14" t="str">
        <f>+IF(B360="","",EOMONTH('Detalle Compras'!S360,G360)+10)</f>
        <v/>
      </c>
      <c r="G360" s="50">
        <f t="shared" si="29"/>
        <v>0</v>
      </c>
      <c r="H360" s="50">
        <f t="shared" si="30"/>
        <v>0</v>
      </c>
    </row>
    <row r="361" spans="1:8" x14ac:dyDescent="0.2">
      <c r="A361" s="37">
        <v>359</v>
      </c>
      <c r="C361" s="17">
        <f>+'Detalle Compras'!D361</f>
        <v>0</v>
      </c>
      <c r="D361" s="55" t="str">
        <f t="shared" si="28"/>
        <v/>
      </c>
      <c r="E361" s="14" t="str">
        <f>+IF(B361="","",'Detalle Compras'!S361+0)</f>
        <v/>
      </c>
      <c r="F361" s="14" t="str">
        <f>+IF(B361="","",EOMONTH('Detalle Compras'!S361,G361)+10)</f>
        <v/>
      </c>
      <c r="G361" s="50">
        <f t="shared" si="29"/>
        <v>0</v>
      </c>
      <c r="H361" s="50">
        <f t="shared" si="30"/>
        <v>0</v>
      </c>
    </row>
    <row r="362" spans="1:8" x14ac:dyDescent="0.2">
      <c r="A362" s="37">
        <v>360</v>
      </c>
      <c r="C362" s="17">
        <f>+'Detalle Compras'!D362</f>
        <v>0</v>
      </c>
      <c r="D362" s="55" t="str">
        <f t="shared" si="28"/>
        <v/>
      </c>
      <c r="E362" s="14" t="str">
        <f>+IF(B362="","",'Detalle Compras'!S362+0)</f>
        <v/>
      </c>
      <c r="F362" s="14" t="str">
        <f>+IF(B362="","",EOMONTH('Detalle Compras'!S362,G362)+10)</f>
        <v/>
      </c>
      <c r="G362" s="50">
        <f t="shared" si="29"/>
        <v>0</v>
      </c>
      <c r="H362" s="50">
        <f t="shared" si="30"/>
        <v>0</v>
      </c>
    </row>
    <row r="363" spans="1:8" x14ac:dyDescent="0.2">
      <c r="A363" s="37">
        <v>361</v>
      </c>
      <c r="C363" s="17">
        <f>+'Detalle Compras'!D363</f>
        <v>0</v>
      </c>
      <c r="D363" s="55" t="str">
        <f t="shared" si="28"/>
        <v/>
      </c>
      <c r="E363" s="14" t="str">
        <f>+IF(B363="","",'Detalle Compras'!S363+0)</f>
        <v/>
      </c>
      <c r="F363" s="14" t="str">
        <f>+IF(B363="","",EOMONTH('Detalle Compras'!S363,G363)+10)</f>
        <v/>
      </c>
      <c r="G363" s="50">
        <f t="shared" si="29"/>
        <v>0</v>
      </c>
      <c r="H363" s="50">
        <f t="shared" si="30"/>
        <v>0</v>
      </c>
    </row>
    <row r="364" spans="1:8" x14ac:dyDescent="0.2">
      <c r="A364" s="37">
        <v>362</v>
      </c>
      <c r="C364" s="17">
        <f>+'Detalle Compras'!D364</f>
        <v>0</v>
      </c>
      <c r="D364" s="55" t="str">
        <f t="shared" si="28"/>
        <v/>
      </c>
      <c r="E364" s="14" t="str">
        <f>+IF(B364="","",'Detalle Compras'!S364+0)</f>
        <v/>
      </c>
      <c r="F364" s="14" t="str">
        <f>+IF(B364="","",EOMONTH('Detalle Compras'!S364,G364)+10)</f>
        <v/>
      </c>
      <c r="G364" s="50">
        <f t="shared" si="29"/>
        <v>0</v>
      </c>
      <c r="H364" s="50">
        <f t="shared" si="30"/>
        <v>0</v>
      </c>
    </row>
    <row r="365" spans="1:8" x14ac:dyDescent="0.2">
      <c r="A365" s="37">
        <v>363</v>
      </c>
      <c r="C365" s="17">
        <f>+'Detalle Compras'!D365</f>
        <v>0</v>
      </c>
      <c r="D365" s="55" t="str">
        <f t="shared" si="28"/>
        <v/>
      </c>
      <c r="E365" s="14" t="str">
        <f>+IF(B365="","",'Detalle Compras'!S365+0)</f>
        <v/>
      </c>
      <c r="F365" s="14" t="str">
        <f>+IF(B365="","",EOMONTH('Detalle Compras'!S365,G365)+10)</f>
        <v/>
      </c>
      <c r="G365" s="50">
        <f t="shared" si="29"/>
        <v>0</v>
      </c>
      <c r="H365" s="50">
        <f t="shared" si="30"/>
        <v>0</v>
      </c>
    </row>
    <row r="366" spans="1:8" x14ac:dyDescent="0.2">
      <c r="A366" s="37">
        <v>364</v>
      </c>
      <c r="C366" s="17">
        <f>+'Detalle Compras'!D366</f>
        <v>0</v>
      </c>
      <c r="D366" s="55" t="str">
        <f t="shared" si="28"/>
        <v/>
      </c>
      <c r="E366" s="14" t="str">
        <f>+IF(B366="","",'Detalle Compras'!S366+0)</f>
        <v/>
      </c>
      <c r="F366" s="14" t="str">
        <f>+IF(B366="","",EOMONTH('Detalle Compras'!S366,G366)+10)</f>
        <v/>
      </c>
      <c r="G366" s="50">
        <f t="shared" si="29"/>
        <v>0</v>
      </c>
      <c r="H366" s="50">
        <f t="shared" si="30"/>
        <v>0</v>
      </c>
    </row>
    <row r="367" spans="1:8" x14ac:dyDescent="0.2">
      <c r="A367" s="37">
        <v>365</v>
      </c>
      <c r="C367" s="17">
        <f>+'Detalle Compras'!D367</f>
        <v>0</v>
      </c>
      <c r="D367" s="55" t="str">
        <f t="shared" si="28"/>
        <v/>
      </c>
      <c r="E367" s="14" t="str">
        <f>+IF(B367="","",'Detalle Compras'!S367+0)</f>
        <v/>
      </c>
      <c r="F367" s="14" t="str">
        <f>+IF(B367="","",EOMONTH('Detalle Compras'!S367,G367)+10)</f>
        <v/>
      </c>
      <c r="G367" s="50">
        <f t="shared" si="29"/>
        <v>0</v>
      </c>
      <c r="H367" s="50">
        <f t="shared" si="30"/>
        <v>0</v>
      </c>
    </row>
    <row r="368" spans="1:8" x14ac:dyDescent="0.2">
      <c r="A368" s="37">
        <v>366</v>
      </c>
      <c r="C368" s="17">
        <f>+'Detalle Compras'!D368</f>
        <v>0</v>
      </c>
      <c r="D368" s="55" t="str">
        <f t="shared" si="28"/>
        <v/>
      </c>
      <c r="E368" s="14" t="str">
        <f>+IF(B368="","",'Detalle Compras'!S368+0)</f>
        <v/>
      </c>
      <c r="F368" s="14" t="str">
        <f>+IF(B368="","",EOMONTH('Detalle Compras'!S368,G368)+10)</f>
        <v/>
      </c>
      <c r="G368" s="50">
        <f t="shared" si="29"/>
        <v>0</v>
      </c>
      <c r="H368" s="50">
        <f t="shared" si="30"/>
        <v>0</v>
      </c>
    </row>
    <row r="369" spans="1:8" x14ac:dyDescent="0.2">
      <c r="A369" s="37">
        <v>367</v>
      </c>
      <c r="C369" s="17">
        <f>+'Detalle Compras'!D369</f>
        <v>0</v>
      </c>
      <c r="D369" s="55" t="str">
        <f t="shared" si="28"/>
        <v/>
      </c>
      <c r="E369" s="14" t="str">
        <f>+IF(B369="","",'Detalle Compras'!S369+0)</f>
        <v/>
      </c>
      <c r="F369" s="14" t="str">
        <f>+IF(B369="","",EOMONTH('Detalle Compras'!S369,G369)+10)</f>
        <v/>
      </c>
      <c r="G369" s="50">
        <f t="shared" si="29"/>
        <v>0</v>
      </c>
      <c r="H369" s="50">
        <f t="shared" si="30"/>
        <v>0</v>
      </c>
    </row>
    <row r="370" spans="1:8" x14ac:dyDescent="0.2">
      <c r="A370" s="37">
        <v>368</v>
      </c>
      <c r="C370" s="17">
        <f>+'Detalle Compras'!D370</f>
        <v>0</v>
      </c>
      <c r="D370" s="55" t="str">
        <f t="shared" si="28"/>
        <v/>
      </c>
      <c r="E370" s="14" t="str">
        <f>+IF(B370="","",'Detalle Compras'!S370+0)</f>
        <v/>
      </c>
      <c r="F370" s="14" t="str">
        <f>+IF(B370="","",EOMONTH('Detalle Compras'!S370,G370)+10)</f>
        <v/>
      </c>
      <c r="G370" s="50">
        <f t="shared" si="29"/>
        <v>0</v>
      </c>
      <c r="H370" s="50">
        <f t="shared" si="30"/>
        <v>0</v>
      </c>
    </row>
    <row r="371" spans="1:8" x14ac:dyDescent="0.2">
      <c r="A371" s="37">
        <v>369</v>
      </c>
      <c r="C371" s="17">
        <f>+'Detalle Compras'!D371</f>
        <v>0</v>
      </c>
      <c r="D371" s="55" t="str">
        <f t="shared" si="28"/>
        <v/>
      </c>
      <c r="E371" s="14" t="str">
        <f>+IF(B371="","",'Detalle Compras'!S371+0)</f>
        <v/>
      </c>
      <c r="F371" s="14" t="str">
        <f>+IF(B371="","",EOMONTH('Detalle Compras'!S371,G371)+10)</f>
        <v/>
      </c>
      <c r="G371" s="50">
        <f t="shared" si="29"/>
        <v>0</v>
      </c>
      <c r="H371" s="50">
        <f t="shared" si="30"/>
        <v>0</v>
      </c>
    </row>
    <row r="372" spans="1:8" x14ac:dyDescent="0.2">
      <c r="A372" s="37">
        <v>370</v>
      </c>
      <c r="C372" s="17">
        <f>+'Detalle Compras'!D372</f>
        <v>0</v>
      </c>
      <c r="D372" s="55" t="str">
        <f t="shared" si="28"/>
        <v/>
      </c>
      <c r="E372" s="14" t="str">
        <f>+IF(B372="","",'Detalle Compras'!S372+0)</f>
        <v/>
      </c>
      <c r="F372" s="14" t="str">
        <f>+IF(B372="","",EOMONTH('Detalle Compras'!S372,G372)+10)</f>
        <v/>
      </c>
      <c r="G372" s="50">
        <f t="shared" si="29"/>
        <v>0</v>
      </c>
      <c r="H372" s="50">
        <f t="shared" si="30"/>
        <v>0</v>
      </c>
    </row>
    <row r="373" spans="1:8" x14ac:dyDescent="0.2">
      <c r="A373" s="37">
        <v>371</v>
      </c>
      <c r="C373" s="17">
        <f>+'Detalle Compras'!D373</f>
        <v>0</v>
      </c>
      <c r="D373" s="55" t="str">
        <f t="shared" si="28"/>
        <v/>
      </c>
      <c r="E373" s="14" t="str">
        <f>+IF(B373="","",'Detalle Compras'!S373+0)</f>
        <v/>
      </c>
      <c r="F373" s="14" t="str">
        <f>+IF(B373="","",EOMONTH('Detalle Compras'!S373,G373)+10)</f>
        <v/>
      </c>
      <c r="G373" s="50">
        <f t="shared" si="29"/>
        <v>0</v>
      </c>
      <c r="H373" s="50">
        <f t="shared" si="30"/>
        <v>0</v>
      </c>
    </row>
    <row r="374" spans="1:8" x14ac:dyDescent="0.2">
      <c r="A374" s="37">
        <v>372</v>
      </c>
      <c r="C374" s="17">
        <f>+'Detalle Compras'!D374</f>
        <v>0</v>
      </c>
      <c r="D374" s="55" t="str">
        <f t="shared" si="28"/>
        <v/>
      </c>
      <c r="E374" s="14" t="str">
        <f>+IF(B374="","",'Detalle Compras'!S374+0)</f>
        <v/>
      </c>
      <c r="F374" s="14" t="str">
        <f>+IF(B374="","",EOMONTH('Detalle Compras'!S374,G374)+10)</f>
        <v/>
      </c>
      <c r="G374" s="50">
        <f t="shared" si="29"/>
        <v>0</v>
      </c>
      <c r="H374" s="50">
        <f t="shared" si="30"/>
        <v>0</v>
      </c>
    </row>
    <row r="375" spans="1:8" x14ac:dyDescent="0.2">
      <c r="A375" s="37">
        <v>373</v>
      </c>
      <c r="C375" s="17">
        <f>+'Detalle Compras'!D375</f>
        <v>0</v>
      </c>
      <c r="D375" s="55" t="str">
        <f t="shared" si="28"/>
        <v/>
      </c>
      <c r="E375" s="14" t="str">
        <f>+IF(B375="","",'Detalle Compras'!S375+0)</f>
        <v/>
      </c>
      <c r="F375" s="14" t="str">
        <f>+IF(B375="","",EOMONTH('Detalle Compras'!S375,G375)+10)</f>
        <v/>
      </c>
      <c r="G375" s="50">
        <f t="shared" si="29"/>
        <v>0</v>
      </c>
      <c r="H375" s="50">
        <f t="shared" si="30"/>
        <v>0</v>
      </c>
    </row>
    <row r="376" spans="1:8" x14ac:dyDescent="0.2">
      <c r="A376" s="37">
        <v>374</v>
      </c>
      <c r="C376" s="17">
        <f>+'Detalle Compras'!D376</f>
        <v>0</v>
      </c>
      <c r="D376" s="55" t="str">
        <f t="shared" si="28"/>
        <v/>
      </c>
      <c r="E376" s="14" t="str">
        <f>+IF(B376="","",'Detalle Compras'!S376+0)</f>
        <v/>
      </c>
      <c r="F376" s="14" t="str">
        <f>+IF(B376="","",EOMONTH('Detalle Compras'!S376,G376)+10)</f>
        <v/>
      </c>
      <c r="G376" s="50">
        <f t="shared" si="29"/>
        <v>0</v>
      </c>
      <c r="H376" s="50">
        <f t="shared" si="30"/>
        <v>0</v>
      </c>
    </row>
    <row r="377" spans="1:8" x14ac:dyDescent="0.2">
      <c r="A377" s="37">
        <v>375</v>
      </c>
      <c r="C377" s="17">
        <f>+'Detalle Compras'!D377</f>
        <v>0</v>
      </c>
      <c r="D377" s="55" t="str">
        <f t="shared" si="28"/>
        <v/>
      </c>
      <c r="E377" s="14" t="str">
        <f>+IF(B377="","",'Detalle Compras'!S377+0)</f>
        <v/>
      </c>
      <c r="F377" s="14" t="str">
        <f>+IF(B377="","",EOMONTH('Detalle Compras'!S377,G377)+10)</f>
        <v/>
      </c>
      <c r="G377" s="50">
        <f t="shared" si="29"/>
        <v>0</v>
      </c>
      <c r="H377" s="50">
        <f t="shared" si="30"/>
        <v>0</v>
      </c>
    </row>
    <row r="378" spans="1:8" x14ac:dyDescent="0.2">
      <c r="A378" s="37">
        <v>376</v>
      </c>
      <c r="C378" s="17">
        <f>+'Detalle Compras'!D378</f>
        <v>0</v>
      </c>
      <c r="D378" s="55" t="str">
        <f t="shared" si="28"/>
        <v/>
      </c>
      <c r="E378" s="14" t="str">
        <f>+IF(B378="","",'Detalle Compras'!S378+0)</f>
        <v/>
      </c>
      <c r="F378" s="14" t="str">
        <f>+IF(B378="","",EOMONTH('Detalle Compras'!S378,G378)+10)</f>
        <v/>
      </c>
      <c r="G378" s="50">
        <f t="shared" si="29"/>
        <v>0</v>
      </c>
      <c r="H378" s="50">
        <f t="shared" si="30"/>
        <v>0</v>
      </c>
    </row>
    <row r="379" spans="1:8" x14ac:dyDescent="0.2">
      <c r="A379" s="37">
        <v>377</v>
      </c>
      <c r="C379" s="17">
        <f>+'Detalle Compras'!D379</f>
        <v>0</v>
      </c>
      <c r="D379" s="55" t="str">
        <f t="shared" si="28"/>
        <v/>
      </c>
      <c r="E379" s="14" t="str">
        <f>+IF(B379="","",'Detalle Compras'!S379+0)</f>
        <v/>
      </c>
      <c r="F379" s="14" t="str">
        <f>+IF(B379="","",EOMONTH('Detalle Compras'!S379,G379)+10)</f>
        <v/>
      </c>
      <c r="G379" s="50">
        <f t="shared" si="29"/>
        <v>0</v>
      </c>
      <c r="H379" s="50">
        <f t="shared" si="30"/>
        <v>0</v>
      </c>
    </row>
    <row r="380" spans="1:8" x14ac:dyDescent="0.2">
      <c r="A380" s="37">
        <v>378</v>
      </c>
      <c r="C380" s="17">
        <f>+'Detalle Compras'!D380</f>
        <v>0</v>
      </c>
      <c r="D380" s="55" t="str">
        <f t="shared" si="28"/>
        <v/>
      </c>
      <c r="E380" s="14" t="str">
        <f>+IF(B380="","",'Detalle Compras'!S380+0)</f>
        <v/>
      </c>
      <c r="F380" s="14" t="str">
        <f>+IF(B380="","",EOMONTH('Detalle Compras'!S380,G380)+10)</f>
        <v/>
      </c>
      <c r="G380" s="50">
        <f t="shared" si="29"/>
        <v>0</v>
      </c>
      <c r="H380" s="50">
        <f t="shared" si="30"/>
        <v>0</v>
      </c>
    </row>
    <row r="381" spans="1:8" x14ac:dyDescent="0.2">
      <c r="A381" s="37">
        <v>379</v>
      </c>
      <c r="C381" s="17">
        <f>+'Detalle Compras'!D381</f>
        <v>0</v>
      </c>
      <c r="D381" s="55" t="str">
        <f t="shared" si="28"/>
        <v/>
      </c>
      <c r="E381" s="14" t="str">
        <f>+IF(B381="","",'Detalle Compras'!S381+0)</f>
        <v/>
      </c>
      <c r="F381" s="14" t="str">
        <f>+IF(B381="","",EOMONTH('Detalle Compras'!S381,G381)+10)</f>
        <v/>
      </c>
      <c r="G381" s="50">
        <f t="shared" si="29"/>
        <v>0</v>
      </c>
      <c r="H381" s="50">
        <f t="shared" si="30"/>
        <v>0</v>
      </c>
    </row>
    <row r="382" spans="1:8" x14ac:dyDescent="0.2">
      <c r="A382" s="37">
        <v>380</v>
      </c>
      <c r="C382" s="17">
        <f>+'Detalle Compras'!D382</f>
        <v>0</v>
      </c>
      <c r="D382" s="55" t="str">
        <f t="shared" si="28"/>
        <v/>
      </c>
      <c r="E382" s="14" t="str">
        <f>+IF(B382="","",'Detalle Compras'!S382+0)</f>
        <v/>
      </c>
      <c r="F382" s="14" t="str">
        <f>+IF(B382="","",EOMONTH('Detalle Compras'!S382,G382)+10)</f>
        <v/>
      </c>
      <c r="G382" s="50">
        <f t="shared" si="29"/>
        <v>0</v>
      </c>
      <c r="H382" s="50">
        <f t="shared" si="30"/>
        <v>0</v>
      </c>
    </row>
    <row r="383" spans="1:8" x14ac:dyDescent="0.2">
      <c r="A383" s="37">
        <v>381</v>
      </c>
      <c r="C383" s="17">
        <f>+'Detalle Compras'!D383</f>
        <v>0</v>
      </c>
      <c r="D383" s="55" t="str">
        <f t="shared" si="28"/>
        <v/>
      </c>
      <c r="E383" s="14" t="str">
        <f>+IF(B383="","",'Detalle Compras'!S383+0)</f>
        <v/>
      </c>
      <c r="F383" s="14" t="str">
        <f>+IF(B383="","",EOMONTH('Detalle Compras'!S383,G383)+10)</f>
        <v/>
      </c>
      <c r="G383" s="50">
        <f t="shared" si="29"/>
        <v>0</v>
      </c>
      <c r="H383" s="50">
        <f t="shared" si="30"/>
        <v>0</v>
      </c>
    </row>
    <row r="384" spans="1:8" x14ac:dyDescent="0.2">
      <c r="A384" s="37">
        <v>382</v>
      </c>
      <c r="C384" s="17">
        <f>+'Detalle Compras'!D384</f>
        <v>0</v>
      </c>
      <c r="D384" s="55" t="str">
        <f t="shared" si="28"/>
        <v/>
      </c>
      <c r="E384" s="14" t="str">
        <f>+IF(B384="","",'Detalle Compras'!S384+0)</f>
        <v/>
      </c>
      <c r="F384" s="14" t="str">
        <f>+IF(B384="","",EOMONTH('Detalle Compras'!S384,G384)+10)</f>
        <v/>
      </c>
      <c r="G384" s="50">
        <f t="shared" si="29"/>
        <v>0</v>
      </c>
      <c r="H384" s="50">
        <f t="shared" si="30"/>
        <v>0</v>
      </c>
    </row>
    <row r="385" spans="1:8" x14ac:dyDescent="0.2">
      <c r="A385" s="37">
        <v>383</v>
      </c>
      <c r="C385" s="17">
        <f>+'Detalle Compras'!D385</f>
        <v>0</v>
      </c>
      <c r="D385" s="55" t="str">
        <f t="shared" si="28"/>
        <v/>
      </c>
      <c r="E385" s="14" t="str">
        <f>+IF(B385="","",'Detalle Compras'!S385+0)</f>
        <v/>
      </c>
      <c r="F385" s="14" t="str">
        <f>+IF(B385="","",EOMONTH('Detalle Compras'!S385,G385)+10)</f>
        <v/>
      </c>
      <c r="G385" s="50">
        <f t="shared" si="29"/>
        <v>0</v>
      </c>
      <c r="H385" s="50">
        <f t="shared" si="30"/>
        <v>0</v>
      </c>
    </row>
    <row r="386" spans="1:8" x14ac:dyDescent="0.2">
      <c r="A386" s="37">
        <v>384</v>
      </c>
      <c r="C386" s="17">
        <f>+'Detalle Compras'!D386</f>
        <v>0</v>
      </c>
      <c r="D386" s="55" t="str">
        <f t="shared" si="28"/>
        <v/>
      </c>
      <c r="E386" s="14" t="str">
        <f>+IF(B386="","",'Detalle Compras'!S386+0)</f>
        <v/>
      </c>
      <c r="F386" s="14" t="str">
        <f>+IF(B386="","",EOMONTH('Detalle Compras'!S386,G386)+10)</f>
        <v/>
      </c>
      <c r="G386" s="50">
        <f t="shared" si="29"/>
        <v>0</v>
      </c>
      <c r="H386" s="50">
        <f t="shared" si="30"/>
        <v>0</v>
      </c>
    </row>
    <row r="387" spans="1:8" x14ac:dyDescent="0.2">
      <c r="A387" s="37">
        <v>385</v>
      </c>
      <c r="C387" s="17">
        <f>+'Detalle Compras'!D387</f>
        <v>0</v>
      </c>
      <c r="D387" s="55" t="str">
        <f t="shared" si="28"/>
        <v/>
      </c>
      <c r="E387" s="14" t="str">
        <f>+IF(B387="","",'Detalle Compras'!S387+0)</f>
        <v/>
      </c>
      <c r="F387" s="14" t="str">
        <f>+IF(B387="","",EOMONTH('Detalle Compras'!S387,G387)+10)</f>
        <v/>
      </c>
      <c r="G387" s="50">
        <f t="shared" si="29"/>
        <v>0</v>
      </c>
      <c r="H387" s="50">
        <f t="shared" si="30"/>
        <v>0</v>
      </c>
    </row>
    <row r="388" spans="1:8" x14ac:dyDescent="0.2">
      <c r="A388" s="37">
        <v>386</v>
      </c>
      <c r="C388" s="17">
        <f>+'Detalle Compras'!D388</f>
        <v>0</v>
      </c>
      <c r="D388" s="55" t="str">
        <f t="shared" ref="D388:D451" si="31">+IF(B388="","",EA388)</f>
        <v/>
      </c>
      <c r="E388" s="14" t="str">
        <f>+IF(B388="","",'Detalle Compras'!S388+0)</f>
        <v/>
      </c>
      <c r="F388" s="14" t="str">
        <f>+IF(B388="","",EOMONTH('Detalle Compras'!S388,G388)+10)</f>
        <v/>
      </c>
      <c r="G388" s="50">
        <f t="shared" ref="G388:G451" si="32">+COUNTIF(I388:ADF388,"&gt;1")</f>
        <v>0</v>
      </c>
      <c r="H388" s="50">
        <f t="shared" ref="H388:H451" si="33">+COUNT(AF388:ADF388)</f>
        <v>0</v>
      </c>
    </row>
    <row r="389" spans="1:8" x14ac:dyDescent="0.2">
      <c r="A389" s="37">
        <v>387</v>
      </c>
      <c r="C389" s="17">
        <f>+'Detalle Compras'!D389</f>
        <v>0</v>
      </c>
      <c r="D389" s="55" t="str">
        <f t="shared" si="31"/>
        <v/>
      </c>
      <c r="E389" s="14" t="str">
        <f>+IF(B389="","",'Detalle Compras'!S389+0)</f>
        <v/>
      </c>
      <c r="F389" s="14" t="str">
        <f>+IF(B389="","",EOMONTH('Detalle Compras'!S389,G389)+10)</f>
        <v/>
      </c>
      <c r="G389" s="50">
        <f t="shared" si="32"/>
        <v>0</v>
      </c>
      <c r="H389" s="50">
        <f t="shared" si="33"/>
        <v>0</v>
      </c>
    </row>
    <row r="390" spans="1:8" x14ac:dyDescent="0.2">
      <c r="A390" s="37">
        <v>388</v>
      </c>
      <c r="C390" s="17">
        <f>+'Detalle Compras'!D390</f>
        <v>0</v>
      </c>
      <c r="D390" s="55" t="str">
        <f t="shared" si="31"/>
        <v/>
      </c>
      <c r="E390" s="14" t="str">
        <f>+IF(B390="","",'Detalle Compras'!S390+0)</f>
        <v/>
      </c>
      <c r="F390" s="14" t="str">
        <f>+IF(B390="","",EOMONTH('Detalle Compras'!S390,G390)+10)</f>
        <v/>
      </c>
      <c r="G390" s="50">
        <f t="shared" si="32"/>
        <v>0</v>
      </c>
      <c r="H390" s="50">
        <f t="shared" si="33"/>
        <v>0</v>
      </c>
    </row>
    <row r="391" spans="1:8" x14ac:dyDescent="0.2">
      <c r="A391" s="37">
        <v>389</v>
      </c>
      <c r="C391" s="17">
        <f>+'Detalle Compras'!D391</f>
        <v>0</v>
      </c>
      <c r="D391" s="55" t="str">
        <f t="shared" si="31"/>
        <v/>
      </c>
      <c r="E391" s="14" t="str">
        <f>+IF(B391="","",'Detalle Compras'!S391+0)</f>
        <v/>
      </c>
      <c r="F391" s="14" t="str">
        <f>+IF(B391="","",EOMONTH('Detalle Compras'!S391,G391)+10)</f>
        <v/>
      </c>
      <c r="G391" s="50">
        <f t="shared" si="32"/>
        <v>0</v>
      </c>
      <c r="H391" s="50">
        <f t="shared" si="33"/>
        <v>0</v>
      </c>
    </row>
    <row r="392" spans="1:8" x14ac:dyDescent="0.2">
      <c r="A392" s="37">
        <v>390</v>
      </c>
      <c r="C392" s="17">
        <f>+'Detalle Compras'!D392</f>
        <v>0</v>
      </c>
      <c r="D392" s="55" t="str">
        <f t="shared" si="31"/>
        <v/>
      </c>
      <c r="E392" s="14" t="str">
        <f>+IF(B392="","",'Detalle Compras'!S392+0)</f>
        <v/>
      </c>
      <c r="F392" s="14" t="str">
        <f>+IF(B392="","",EOMONTH('Detalle Compras'!S392,G392)+10)</f>
        <v/>
      </c>
      <c r="G392" s="50">
        <f t="shared" si="32"/>
        <v>0</v>
      </c>
      <c r="H392" s="50">
        <f t="shared" si="33"/>
        <v>0</v>
      </c>
    </row>
    <row r="393" spans="1:8" x14ac:dyDescent="0.2">
      <c r="A393" s="37">
        <v>391</v>
      </c>
      <c r="C393" s="17">
        <f>+'Detalle Compras'!D393</f>
        <v>0</v>
      </c>
      <c r="D393" s="55" t="str">
        <f t="shared" si="31"/>
        <v/>
      </c>
      <c r="E393" s="14" t="str">
        <f>+IF(B393="","",'Detalle Compras'!S393+0)</f>
        <v/>
      </c>
      <c r="F393" s="14" t="str">
        <f>+IF(B393="","",EOMONTH('Detalle Compras'!S393,G393)+10)</f>
        <v/>
      </c>
      <c r="G393" s="50">
        <f t="shared" si="32"/>
        <v>0</v>
      </c>
      <c r="H393" s="50">
        <f t="shared" si="33"/>
        <v>0</v>
      </c>
    </row>
    <row r="394" spans="1:8" x14ac:dyDescent="0.2">
      <c r="A394" s="37">
        <v>392</v>
      </c>
      <c r="C394" s="17">
        <f>+'Detalle Compras'!D394</f>
        <v>0</v>
      </c>
      <c r="D394" s="55" t="str">
        <f t="shared" si="31"/>
        <v/>
      </c>
      <c r="E394" s="14" t="str">
        <f>+IF(B394="","",'Detalle Compras'!S394+0)</f>
        <v/>
      </c>
      <c r="F394" s="14" t="str">
        <f>+IF(B394="","",EOMONTH('Detalle Compras'!S394,G394)+10)</f>
        <v/>
      </c>
      <c r="G394" s="50">
        <f t="shared" si="32"/>
        <v>0</v>
      </c>
      <c r="H394" s="50">
        <f t="shared" si="33"/>
        <v>0</v>
      </c>
    </row>
    <row r="395" spans="1:8" x14ac:dyDescent="0.2">
      <c r="A395" s="37">
        <v>393</v>
      </c>
      <c r="C395" s="17">
        <f>+'Detalle Compras'!D395</f>
        <v>0</v>
      </c>
      <c r="D395" s="55" t="str">
        <f t="shared" si="31"/>
        <v/>
      </c>
      <c r="E395" s="14" t="str">
        <f>+IF(B395="","",'Detalle Compras'!S395+0)</f>
        <v/>
      </c>
      <c r="F395" s="14" t="str">
        <f>+IF(B395="","",EOMONTH('Detalle Compras'!S395,G395)+10)</f>
        <v/>
      </c>
      <c r="G395" s="50">
        <f t="shared" si="32"/>
        <v>0</v>
      </c>
      <c r="H395" s="50">
        <f t="shared" si="33"/>
        <v>0</v>
      </c>
    </row>
    <row r="396" spans="1:8" x14ac:dyDescent="0.2">
      <c r="A396" s="37">
        <v>394</v>
      </c>
      <c r="C396" s="17">
        <f>+'Detalle Compras'!D396</f>
        <v>0</v>
      </c>
      <c r="D396" s="55" t="str">
        <f t="shared" si="31"/>
        <v/>
      </c>
      <c r="E396" s="14" t="str">
        <f>+IF(B396="","",'Detalle Compras'!S396+0)</f>
        <v/>
      </c>
      <c r="F396" s="14" t="str">
        <f>+IF(B396="","",EOMONTH('Detalle Compras'!S396,G396)+10)</f>
        <v/>
      </c>
      <c r="G396" s="50">
        <f t="shared" si="32"/>
        <v>0</v>
      </c>
      <c r="H396" s="50">
        <f t="shared" si="33"/>
        <v>0</v>
      </c>
    </row>
    <row r="397" spans="1:8" x14ac:dyDescent="0.2">
      <c r="A397" s="37">
        <v>395</v>
      </c>
      <c r="C397" s="17">
        <f>+'Detalle Compras'!D397</f>
        <v>0</v>
      </c>
      <c r="D397" s="55" t="str">
        <f t="shared" si="31"/>
        <v/>
      </c>
      <c r="E397" s="14" t="str">
        <f>+IF(B397="","",'Detalle Compras'!S397+0)</f>
        <v/>
      </c>
      <c r="F397" s="14" t="str">
        <f>+IF(B397="","",EOMONTH('Detalle Compras'!S397,G397)+10)</f>
        <v/>
      </c>
      <c r="G397" s="50">
        <f t="shared" si="32"/>
        <v>0</v>
      </c>
      <c r="H397" s="50">
        <f t="shared" si="33"/>
        <v>0</v>
      </c>
    </row>
    <row r="398" spans="1:8" x14ac:dyDescent="0.2">
      <c r="A398" s="37">
        <v>396</v>
      </c>
      <c r="C398" s="17">
        <f>+'Detalle Compras'!D398</f>
        <v>0</v>
      </c>
      <c r="D398" s="55" t="str">
        <f t="shared" si="31"/>
        <v/>
      </c>
      <c r="E398" s="14" t="str">
        <f>+IF(B398="","",'Detalle Compras'!S398+0)</f>
        <v/>
      </c>
      <c r="F398" s="14" t="str">
        <f>+IF(B398="","",EOMONTH('Detalle Compras'!S398,G398)+10)</f>
        <v/>
      </c>
      <c r="G398" s="50">
        <f t="shared" si="32"/>
        <v>0</v>
      </c>
      <c r="H398" s="50">
        <f t="shared" si="33"/>
        <v>0</v>
      </c>
    </row>
    <row r="399" spans="1:8" x14ac:dyDescent="0.2">
      <c r="A399" s="37">
        <v>397</v>
      </c>
      <c r="C399" s="17">
        <f>+'Detalle Compras'!D399</f>
        <v>0</v>
      </c>
      <c r="D399" s="55" t="str">
        <f t="shared" si="31"/>
        <v/>
      </c>
      <c r="E399" s="14" t="str">
        <f>+IF(B399="","",'Detalle Compras'!S399+0)</f>
        <v/>
      </c>
      <c r="F399" s="14" t="str">
        <f>+IF(B399="","",EOMONTH('Detalle Compras'!S399,G399)+10)</f>
        <v/>
      </c>
      <c r="G399" s="50">
        <f t="shared" si="32"/>
        <v>0</v>
      </c>
      <c r="H399" s="50">
        <f t="shared" si="33"/>
        <v>0</v>
      </c>
    </row>
    <row r="400" spans="1:8" x14ac:dyDescent="0.2">
      <c r="A400" s="37">
        <v>398</v>
      </c>
      <c r="C400" s="17">
        <f>+'Detalle Compras'!D400</f>
        <v>0</v>
      </c>
      <c r="D400" s="55" t="str">
        <f t="shared" si="31"/>
        <v/>
      </c>
      <c r="E400" s="14" t="str">
        <f>+IF(B400="","",'Detalle Compras'!S400+0)</f>
        <v/>
      </c>
      <c r="F400" s="14" t="str">
        <f>+IF(B400="","",EOMONTH('Detalle Compras'!S400,G400)+10)</f>
        <v/>
      </c>
      <c r="G400" s="50">
        <f t="shared" si="32"/>
        <v>0</v>
      </c>
      <c r="H400" s="50">
        <f t="shared" si="33"/>
        <v>0</v>
      </c>
    </row>
    <row r="401" spans="1:8" x14ac:dyDescent="0.2">
      <c r="A401" s="37">
        <v>399</v>
      </c>
      <c r="C401" s="17">
        <f>+'Detalle Compras'!D401</f>
        <v>0</v>
      </c>
      <c r="D401" s="55" t="str">
        <f t="shared" si="31"/>
        <v/>
      </c>
      <c r="E401" s="14" t="str">
        <f>+IF(B401="","",'Detalle Compras'!S401+0)</f>
        <v/>
      </c>
      <c r="F401" s="14" t="str">
        <f>+IF(B401="","",EOMONTH('Detalle Compras'!S401,G401)+10)</f>
        <v/>
      </c>
      <c r="G401" s="50">
        <f t="shared" si="32"/>
        <v>0</v>
      </c>
      <c r="H401" s="50">
        <f t="shared" si="33"/>
        <v>0</v>
      </c>
    </row>
    <row r="402" spans="1:8" x14ac:dyDescent="0.2">
      <c r="A402" s="37">
        <v>400</v>
      </c>
      <c r="C402" s="17">
        <f>+'Detalle Compras'!D402</f>
        <v>0</v>
      </c>
      <c r="D402" s="55" t="str">
        <f t="shared" si="31"/>
        <v/>
      </c>
      <c r="E402" s="14" t="str">
        <f>+IF(B402="","",'Detalle Compras'!S402+0)</f>
        <v/>
      </c>
      <c r="F402" s="14" t="str">
        <f>+IF(B402="","",EOMONTH('Detalle Compras'!S402,G402)+10)</f>
        <v/>
      </c>
      <c r="G402" s="50">
        <f t="shared" si="32"/>
        <v>0</v>
      </c>
      <c r="H402" s="50">
        <f t="shared" si="33"/>
        <v>0</v>
      </c>
    </row>
    <row r="403" spans="1:8" x14ac:dyDescent="0.2">
      <c r="A403" s="37">
        <v>401</v>
      </c>
      <c r="C403" s="17">
        <f>+'Detalle Compras'!D403</f>
        <v>0</v>
      </c>
      <c r="D403" s="55" t="str">
        <f t="shared" si="31"/>
        <v/>
      </c>
      <c r="E403" s="14" t="str">
        <f>+IF(B403="","",'Detalle Compras'!S403+0)</f>
        <v/>
      </c>
      <c r="F403" s="14" t="str">
        <f>+IF(B403="","",EOMONTH('Detalle Compras'!S403,G403)+10)</f>
        <v/>
      </c>
      <c r="G403" s="50">
        <f t="shared" si="32"/>
        <v>0</v>
      </c>
      <c r="H403" s="50">
        <f t="shared" si="33"/>
        <v>0</v>
      </c>
    </row>
    <row r="404" spans="1:8" x14ac:dyDescent="0.2">
      <c r="A404" s="37">
        <v>402</v>
      </c>
      <c r="C404" s="17">
        <f>+'Detalle Compras'!D404</f>
        <v>0</v>
      </c>
      <c r="D404" s="55" t="str">
        <f t="shared" si="31"/>
        <v/>
      </c>
      <c r="E404" s="14" t="str">
        <f>+IF(B404="","",'Detalle Compras'!S404+0)</f>
        <v/>
      </c>
      <c r="F404" s="14" t="str">
        <f>+IF(B404="","",EOMONTH('Detalle Compras'!S404,G404)+10)</f>
        <v/>
      </c>
      <c r="G404" s="50">
        <f t="shared" si="32"/>
        <v>0</v>
      </c>
      <c r="H404" s="50">
        <f t="shared" si="33"/>
        <v>0</v>
      </c>
    </row>
    <row r="405" spans="1:8" x14ac:dyDescent="0.2">
      <c r="A405" s="37">
        <v>403</v>
      </c>
      <c r="C405" s="17">
        <f>+'Detalle Compras'!D405</f>
        <v>0</v>
      </c>
      <c r="D405" s="55" t="str">
        <f t="shared" si="31"/>
        <v/>
      </c>
      <c r="E405" s="14" t="str">
        <f>+IF(B405="","",'Detalle Compras'!S405+0)</f>
        <v/>
      </c>
      <c r="F405" s="14" t="str">
        <f>+IF(B405="","",EOMONTH('Detalle Compras'!S405,G405)+10)</f>
        <v/>
      </c>
      <c r="G405" s="50">
        <f t="shared" si="32"/>
        <v>0</v>
      </c>
      <c r="H405" s="50">
        <f t="shared" si="33"/>
        <v>0</v>
      </c>
    </row>
    <row r="406" spans="1:8" x14ac:dyDescent="0.2">
      <c r="A406" s="37">
        <v>404</v>
      </c>
      <c r="C406" s="17">
        <f>+'Detalle Compras'!D406</f>
        <v>0</v>
      </c>
      <c r="D406" s="55" t="str">
        <f t="shared" si="31"/>
        <v/>
      </c>
      <c r="E406" s="14" t="str">
        <f>+IF(B406="","",'Detalle Compras'!S406+0)</f>
        <v/>
      </c>
      <c r="F406" s="14" t="str">
        <f>+IF(B406="","",EOMONTH('Detalle Compras'!S406,G406)+10)</f>
        <v/>
      </c>
      <c r="G406" s="50">
        <f t="shared" si="32"/>
        <v>0</v>
      </c>
      <c r="H406" s="50">
        <f t="shared" si="33"/>
        <v>0</v>
      </c>
    </row>
    <row r="407" spans="1:8" x14ac:dyDescent="0.2">
      <c r="A407" s="37">
        <v>405</v>
      </c>
      <c r="C407" s="17">
        <f>+'Detalle Compras'!D407</f>
        <v>0</v>
      </c>
      <c r="D407" s="55" t="str">
        <f t="shared" si="31"/>
        <v/>
      </c>
      <c r="E407" s="14" t="str">
        <f>+IF(B407="","",'Detalle Compras'!S407+0)</f>
        <v/>
      </c>
      <c r="F407" s="14" t="str">
        <f>+IF(B407="","",EOMONTH('Detalle Compras'!S407,G407)+10)</f>
        <v/>
      </c>
      <c r="G407" s="50">
        <f t="shared" si="32"/>
        <v>0</v>
      </c>
      <c r="H407" s="50">
        <f t="shared" si="33"/>
        <v>0</v>
      </c>
    </row>
    <row r="408" spans="1:8" x14ac:dyDescent="0.2">
      <c r="A408" s="37">
        <v>406</v>
      </c>
      <c r="C408" s="17">
        <f>+'Detalle Compras'!D408</f>
        <v>0</v>
      </c>
      <c r="D408" s="55" t="str">
        <f t="shared" si="31"/>
        <v/>
      </c>
      <c r="E408" s="14" t="str">
        <f>+IF(B408="","",'Detalle Compras'!S408+0)</f>
        <v/>
      </c>
      <c r="F408" s="14" t="str">
        <f>+IF(B408="","",EOMONTH('Detalle Compras'!S408,G408)+10)</f>
        <v/>
      </c>
      <c r="G408" s="50">
        <f t="shared" si="32"/>
        <v>0</v>
      </c>
      <c r="H408" s="50">
        <f t="shared" si="33"/>
        <v>0</v>
      </c>
    </row>
    <row r="409" spans="1:8" x14ac:dyDescent="0.2">
      <c r="A409" s="37">
        <v>407</v>
      </c>
      <c r="C409" s="17">
        <f>+'Detalle Compras'!D409</f>
        <v>0</v>
      </c>
      <c r="D409" s="55" t="str">
        <f t="shared" si="31"/>
        <v/>
      </c>
      <c r="E409" s="14" t="str">
        <f>+IF(B409="","",'Detalle Compras'!S409+0)</f>
        <v/>
      </c>
      <c r="F409" s="14" t="str">
        <f>+IF(B409="","",EOMONTH('Detalle Compras'!S409,G409)+10)</f>
        <v/>
      </c>
      <c r="G409" s="50">
        <f t="shared" si="32"/>
        <v>0</v>
      </c>
      <c r="H409" s="50">
        <f t="shared" si="33"/>
        <v>0</v>
      </c>
    </row>
    <row r="410" spans="1:8" x14ac:dyDescent="0.2">
      <c r="A410" s="37">
        <v>408</v>
      </c>
      <c r="C410" s="17">
        <f>+'Detalle Compras'!D410</f>
        <v>0</v>
      </c>
      <c r="D410" s="55" t="str">
        <f t="shared" si="31"/>
        <v/>
      </c>
      <c r="E410" s="14" t="str">
        <f>+IF(B410="","",'Detalle Compras'!S410+0)</f>
        <v/>
      </c>
      <c r="F410" s="14" t="str">
        <f>+IF(B410="","",EOMONTH('Detalle Compras'!S410,G410)+10)</f>
        <v/>
      </c>
      <c r="G410" s="50">
        <f t="shared" si="32"/>
        <v>0</v>
      </c>
      <c r="H410" s="50">
        <f t="shared" si="33"/>
        <v>0</v>
      </c>
    </row>
    <row r="411" spans="1:8" x14ac:dyDescent="0.2">
      <c r="A411" s="37">
        <v>409</v>
      </c>
      <c r="C411" s="17">
        <f>+'Detalle Compras'!D411</f>
        <v>0</v>
      </c>
      <c r="D411" s="55" t="str">
        <f t="shared" si="31"/>
        <v/>
      </c>
      <c r="E411" s="14" t="str">
        <f>+IF(B411="","",'Detalle Compras'!S411+0)</f>
        <v/>
      </c>
      <c r="F411" s="14" t="str">
        <f>+IF(B411="","",EOMONTH('Detalle Compras'!S411,G411)+10)</f>
        <v/>
      </c>
      <c r="G411" s="50">
        <f t="shared" si="32"/>
        <v>0</v>
      </c>
      <c r="H411" s="50">
        <f t="shared" si="33"/>
        <v>0</v>
      </c>
    </row>
    <row r="412" spans="1:8" x14ac:dyDescent="0.2">
      <c r="A412" s="37">
        <v>410</v>
      </c>
      <c r="C412" s="17">
        <f>+'Detalle Compras'!D412</f>
        <v>0</v>
      </c>
      <c r="D412" s="55" t="str">
        <f t="shared" si="31"/>
        <v/>
      </c>
      <c r="E412" s="14" t="str">
        <f>+IF(B412="","",'Detalle Compras'!S412+0)</f>
        <v/>
      </c>
      <c r="F412" s="14" t="str">
        <f>+IF(B412="","",EOMONTH('Detalle Compras'!S412,G412)+10)</f>
        <v/>
      </c>
      <c r="G412" s="50">
        <f t="shared" si="32"/>
        <v>0</v>
      </c>
      <c r="H412" s="50">
        <f t="shared" si="33"/>
        <v>0</v>
      </c>
    </row>
    <row r="413" spans="1:8" x14ac:dyDescent="0.2">
      <c r="A413" s="37">
        <v>411</v>
      </c>
      <c r="C413" s="17">
        <f>+'Detalle Compras'!D413</f>
        <v>0</v>
      </c>
      <c r="D413" s="55" t="str">
        <f t="shared" si="31"/>
        <v/>
      </c>
      <c r="E413" s="14" t="str">
        <f>+IF(B413="","",'Detalle Compras'!S413+0)</f>
        <v/>
      </c>
      <c r="F413" s="14" t="str">
        <f>+IF(B413="","",EOMONTH('Detalle Compras'!S413,G413)+10)</f>
        <v/>
      </c>
      <c r="G413" s="50">
        <f t="shared" si="32"/>
        <v>0</v>
      </c>
      <c r="H413" s="50">
        <f t="shared" si="33"/>
        <v>0</v>
      </c>
    </row>
    <row r="414" spans="1:8" x14ac:dyDescent="0.2">
      <c r="A414" s="37">
        <v>412</v>
      </c>
      <c r="C414" s="17">
        <f>+'Detalle Compras'!D414</f>
        <v>0</v>
      </c>
      <c r="D414" s="55" t="str">
        <f t="shared" si="31"/>
        <v/>
      </c>
      <c r="E414" s="14" t="str">
        <f>+IF(B414="","",'Detalle Compras'!S414+0)</f>
        <v/>
      </c>
      <c r="F414" s="14" t="str">
        <f>+IF(B414="","",EOMONTH('Detalle Compras'!S414,G414)+10)</f>
        <v/>
      </c>
      <c r="G414" s="50">
        <f t="shared" si="32"/>
        <v>0</v>
      </c>
      <c r="H414" s="50">
        <f t="shared" si="33"/>
        <v>0</v>
      </c>
    </row>
    <row r="415" spans="1:8" x14ac:dyDescent="0.2">
      <c r="A415" s="37">
        <v>413</v>
      </c>
      <c r="C415" s="17">
        <f>+'Detalle Compras'!D415</f>
        <v>0</v>
      </c>
      <c r="D415" s="55" t="str">
        <f t="shared" si="31"/>
        <v/>
      </c>
      <c r="E415" s="14" t="str">
        <f>+IF(B415="","",'Detalle Compras'!S415+0)</f>
        <v/>
      </c>
      <c r="F415" s="14" t="str">
        <f>+IF(B415="","",EOMONTH('Detalle Compras'!S415,G415)+10)</f>
        <v/>
      </c>
      <c r="G415" s="50">
        <f t="shared" si="32"/>
        <v>0</v>
      </c>
      <c r="H415" s="50">
        <f t="shared" si="33"/>
        <v>0</v>
      </c>
    </row>
    <row r="416" spans="1:8" x14ac:dyDescent="0.2">
      <c r="A416" s="37">
        <v>414</v>
      </c>
      <c r="C416" s="17">
        <f>+'Detalle Compras'!D416</f>
        <v>0</v>
      </c>
      <c r="D416" s="55" t="str">
        <f t="shared" si="31"/>
        <v/>
      </c>
      <c r="E416" s="14" t="str">
        <f>+IF(B416="","",'Detalle Compras'!S416+0)</f>
        <v/>
      </c>
      <c r="F416" s="14" t="str">
        <f>+IF(B416="","",EOMONTH('Detalle Compras'!S416,G416)+10)</f>
        <v/>
      </c>
      <c r="G416" s="50">
        <f t="shared" si="32"/>
        <v>0</v>
      </c>
      <c r="H416" s="50">
        <f t="shared" si="33"/>
        <v>0</v>
      </c>
    </row>
    <row r="417" spans="1:8" x14ac:dyDescent="0.2">
      <c r="A417" s="37">
        <v>415</v>
      </c>
      <c r="C417" s="17">
        <f>+'Detalle Compras'!D417</f>
        <v>0</v>
      </c>
      <c r="D417" s="55" t="str">
        <f t="shared" si="31"/>
        <v/>
      </c>
      <c r="E417" s="14" t="str">
        <f>+IF(B417="","",'Detalle Compras'!S417+0)</f>
        <v/>
      </c>
      <c r="F417" s="14" t="str">
        <f>+IF(B417="","",EOMONTH('Detalle Compras'!S417,G417)+10)</f>
        <v/>
      </c>
      <c r="G417" s="50">
        <f t="shared" si="32"/>
        <v>0</v>
      </c>
      <c r="H417" s="50">
        <f t="shared" si="33"/>
        <v>0</v>
      </c>
    </row>
    <row r="418" spans="1:8" x14ac:dyDescent="0.2">
      <c r="A418" s="37">
        <v>416</v>
      </c>
      <c r="C418" s="17">
        <f>+'Detalle Compras'!D418</f>
        <v>0</v>
      </c>
      <c r="D418" s="55" t="str">
        <f t="shared" si="31"/>
        <v/>
      </c>
      <c r="E418" s="14" t="str">
        <f>+IF(B418="","",'Detalle Compras'!S418+0)</f>
        <v/>
      </c>
      <c r="F418" s="14" t="str">
        <f>+IF(B418="","",EOMONTH('Detalle Compras'!S418,G418)+10)</f>
        <v/>
      </c>
      <c r="G418" s="50">
        <f t="shared" si="32"/>
        <v>0</v>
      </c>
      <c r="H418" s="50">
        <f t="shared" si="33"/>
        <v>0</v>
      </c>
    </row>
    <row r="419" spans="1:8" x14ac:dyDescent="0.2">
      <c r="A419" s="37">
        <v>417</v>
      </c>
      <c r="C419" s="17">
        <f>+'Detalle Compras'!D419</f>
        <v>0</v>
      </c>
      <c r="D419" s="55" t="str">
        <f t="shared" si="31"/>
        <v/>
      </c>
      <c r="E419" s="14" t="str">
        <f>+IF(B419="","",'Detalle Compras'!S419+0)</f>
        <v/>
      </c>
      <c r="F419" s="14" t="str">
        <f>+IF(B419="","",EOMONTH('Detalle Compras'!S419,G419)+10)</f>
        <v/>
      </c>
      <c r="G419" s="50">
        <f t="shared" si="32"/>
        <v>0</v>
      </c>
      <c r="H419" s="50">
        <f t="shared" si="33"/>
        <v>0</v>
      </c>
    </row>
    <row r="420" spans="1:8" x14ac:dyDescent="0.2">
      <c r="A420" s="37">
        <v>418</v>
      </c>
      <c r="C420" s="17">
        <f>+'Detalle Compras'!D420</f>
        <v>0</v>
      </c>
      <c r="D420" s="55" t="str">
        <f t="shared" si="31"/>
        <v/>
      </c>
      <c r="E420" s="14" t="str">
        <f>+IF(B420="","",'Detalle Compras'!S420+0)</f>
        <v/>
      </c>
      <c r="F420" s="14" t="str">
        <f>+IF(B420="","",EOMONTH('Detalle Compras'!S420,G420)+10)</f>
        <v/>
      </c>
      <c r="G420" s="50">
        <f t="shared" si="32"/>
        <v>0</v>
      </c>
      <c r="H420" s="50">
        <f t="shared" si="33"/>
        <v>0</v>
      </c>
    </row>
    <row r="421" spans="1:8" x14ac:dyDescent="0.2">
      <c r="A421" s="37">
        <v>419</v>
      </c>
      <c r="C421" s="17">
        <f>+'Detalle Compras'!D421</f>
        <v>0</v>
      </c>
      <c r="D421" s="55" t="str">
        <f t="shared" si="31"/>
        <v/>
      </c>
      <c r="E421" s="14" t="str">
        <f>+IF(B421="","",'Detalle Compras'!S421+0)</f>
        <v/>
      </c>
      <c r="F421" s="14" t="str">
        <f>+IF(B421="","",EOMONTH('Detalle Compras'!S421,G421)+10)</f>
        <v/>
      </c>
      <c r="G421" s="50">
        <f t="shared" si="32"/>
        <v>0</v>
      </c>
      <c r="H421" s="50">
        <f t="shared" si="33"/>
        <v>0</v>
      </c>
    </row>
    <row r="422" spans="1:8" x14ac:dyDescent="0.2">
      <c r="A422" s="37">
        <v>420</v>
      </c>
      <c r="C422" s="17">
        <f>+'Detalle Compras'!D422</f>
        <v>0</v>
      </c>
      <c r="D422" s="55" t="str">
        <f t="shared" si="31"/>
        <v/>
      </c>
      <c r="E422" s="14" t="str">
        <f>+IF(B422="","",'Detalle Compras'!S422+0)</f>
        <v/>
      </c>
      <c r="F422" s="14" t="str">
        <f>+IF(B422="","",EOMONTH('Detalle Compras'!S422,G422)+10)</f>
        <v/>
      </c>
      <c r="G422" s="50">
        <f t="shared" si="32"/>
        <v>0</v>
      </c>
      <c r="H422" s="50">
        <f t="shared" si="33"/>
        <v>0</v>
      </c>
    </row>
    <row r="423" spans="1:8" x14ac:dyDescent="0.2">
      <c r="A423" s="37">
        <v>421</v>
      </c>
      <c r="C423" s="17">
        <f>+'Detalle Compras'!D423</f>
        <v>0</v>
      </c>
      <c r="D423" s="55" t="str">
        <f t="shared" si="31"/>
        <v/>
      </c>
      <c r="E423" s="14" t="str">
        <f>+IF(B423="","",'Detalle Compras'!S423+0)</f>
        <v/>
      </c>
      <c r="F423" s="14" t="str">
        <f>+IF(B423="","",EOMONTH('Detalle Compras'!S423,G423)+10)</f>
        <v/>
      </c>
      <c r="G423" s="50">
        <f t="shared" si="32"/>
        <v>0</v>
      </c>
      <c r="H423" s="50">
        <f t="shared" si="33"/>
        <v>0</v>
      </c>
    </row>
    <row r="424" spans="1:8" x14ac:dyDescent="0.2">
      <c r="A424" s="37">
        <v>422</v>
      </c>
      <c r="C424" s="17">
        <f>+'Detalle Compras'!D424</f>
        <v>0</v>
      </c>
      <c r="D424" s="55" t="str">
        <f t="shared" si="31"/>
        <v/>
      </c>
      <c r="E424" s="14" t="str">
        <f>+IF(B424="","",'Detalle Compras'!S424+0)</f>
        <v/>
      </c>
      <c r="F424" s="14" t="str">
        <f>+IF(B424="","",EOMONTH('Detalle Compras'!S424,G424)+10)</f>
        <v/>
      </c>
      <c r="G424" s="50">
        <f t="shared" si="32"/>
        <v>0</v>
      </c>
      <c r="H424" s="50">
        <f t="shared" si="33"/>
        <v>0</v>
      </c>
    </row>
    <row r="425" spans="1:8" x14ac:dyDescent="0.2">
      <c r="A425" s="37">
        <v>423</v>
      </c>
      <c r="C425" s="17">
        <f>+'Detalle Compras'!D425</f>
        <v>0</v>
      </c>
      <c r="D425" s="55" t="str">
        <f t="shared" si="31"/>
        <v/>
      </c>
      <c r="E425" s="14" t="str">
        <f>+IF(B425="","",'Detalle Compras'!S425+0)</f>
        <v/>
      </c>
      <c r="F425" s="14" t="str">
        <f>+IF(B425="","",EOMONTH('Detalle Compras'!S425,G425)+10)</f>
        <v/>
      </c>
      <c r="G425" s="50">
        <f t="shared" si="32"/>
        <v>0</v>
      </c>
      <c r="H425" s="50">
        <f t="shared" si="33"/>
        <v>0</v>
      </c>
    </row>
    <row r="426" spans="1:8" x14ac:dyDescent="0.2">
      <c r="A426" s="37">
        <v>424</v>
      </c>
      <c r="C426" s="17">
        <f>+'Detalle Compras'!D426</f>
        <v>0</v>
      </c>
      <c r="D426" s="55" t="str">
        <f t="shared" si="31"/>
        <v/>
      </c>
      <c r="E426" s="14" t="str">
        <f>+IF(B426="","",'Detalle Compras'!S426+0)</f>
        <v/>
      </c>
      <c r="F426" s="14" t="str">
        <f>+IF(B426="","",EOMONTH('Detalle Compras'!S426,G426)+10)</f>
        <v/>
      </c>
      <c r="G426" s="50">
        <f t="shared" si="32"/>
        <v>0</v>
      </c>
      <c r="H426" s="50">
        <f t="shared" si="33"/>
        <v>0</v>
      </c>
    </row>
    <row r="427" spans="1:8" x14ac:dyDescent="0.2">
      <c r="A427" s="37">
        <v>425</v>
      </c>
      <c r="C427" s="17">
        <f>+'Detalle Compras'!D427</f>
        <v>0</v>
      </c>
      <c r="D427" s="55" t="str">
        <f t="shared" si="31"/>
        <v/>
      </c>
      <c r="E427" s="14" t="str">
        <f>+IF(B427="","",'Detalle Compras'!S427+0)</f>
        <v/>
      </c>
      <c r="F427" s="14" t="str">
        <f>+IF(B427="","",EOMONTH('Detalle Compras'!S427,G427)+10)</f>
        <v/>
      </c>
      <c r="G427" s="50">
        <f t="shared" si="32"/>
        <v>0</v>
      </c>
      <c r="H427" s="50">
        <f t="shared" si="33"/>
        <v>0</v>
      </c>
    </row>
    <row r="428" spans="1:8" x14ac:dyDescent="0.2">
      <c r="A428" s="37">
        <v>426</v>
      </c>
      <c r="C428" s="17">
        <f>+'Detalle Compras'!D428</f>
        <v>0</v>
      </c>
      <c r="D428" s="55" t="str">
        <f t="shared" si="31"/>
        <v/>
      </c>
      <c r="E428" s="14" t="str">
        <f>+IF(B428="","",'Detalle Compras'!S428+0)</f>
        <v/>
      </c>
      <c r="F428" s="14" t="str">
        <f>+IF(B428="","",EOMONTH('Detalle Compras'!S428,G428)+10)</f>
        <v/>
      </c>
      <c r="G428" s="50">
        <f t="shared" si="32"/>
        <v>0</v>
      </c>
      <c r="H428" s="50">
        <f t="shared" si="33"/>
        <v>0</v>
      </c>
    </row>
    <row r="429" spans="1:8" x14ac:dyDescent="0.2">
      <c r="A429" s="37">
        <v>427</v>
      </c>
      <c r="C429" s="17">
        <f>+'Detalle Compras'!D429</f>
        <v>0</v>
      </c>
      <c r="D429" s="55" t="str">
        <f t="shared" si="31"/>
        <v/>
      </c>
      <c r="E429" s="14" t="str">
        <f>+IF(B429="","",'Detalle Compras'!S429+0)</f>
        <v/>
      </c>
      <c r="F429" s="14" t="str">
        <f>+IF(B429="","",EOMONTH('Detalle Compras'!S429,G429)+10)</f>
        <v/>
      </c>
      <c r="G429" s="50">
        <f t="shared" si="32"/>
        <v>0</v>
      </c>
      <c r="H429" s="50">
        <f t="shared" si="33"/>
        <v>0</v>
      </c>
    </row>
    <row r="430" spans="1:8" x14ac:dyDescent="0.2">
      <c r="A430" s="37">
        <v>428</v>
      </c>
      <c r="C430" s="17">
        <f>+'Detalle Compras'!D430</f>
        <v>0</v>
      </c>
      <c r="D430" s="55" t="str">
        <f t="shared" si="31"/>
        <v/>
      </c>
      <c r="E430" s="14" t="str">
        <f>+IF(B430="","",'Detalle Compras'!S430+0)</f>
        <v/>
      </c>
      <c r="F430" s="14" t="str">
        <f>+IF(B430="","",EOMONTH('Detalle Compras'!S430,G430)+10)</f>
        <v/>
      </c>
      <c r="G430" s="50">
        <f t="shared" si="32"/>
        <v>0</v>
      </c>
      <c r="H430" s="50">
        <f t="shared" si="33"/>
        <v>0</v>
      </c>
    </row>
    <row r="431" spans="1:8" x14ac:dyDescent="0.2">
      <c r="A431" s="37">
        <v>429</v>
      </c>
      <c r="C431" s="17">
        <f>+'Detalle Compras'!D431</f>
        <v>0</v>
      </c>
      <c r="D431" s="55" t="str">
        <f t="shared" si="31"/>
        <v/>
      </c>
      <c r="E431" s="14" t="str">
        <f>+IF(B431="","",'Detalle Compras'!S431+0)</f>
        <v/>
      </c>
      <c r="F431" s="14" t="str">
        <f>+IF(B431="","",EOMONTH('Detalle Compras'!S431,G431)+10)</f>
        <v/>
      </c>
      <c r="G431" s="50">
        <f t="shared" si="32"/>
        <v>0</v>
      </c>
      <c r="H431" s="50">
        <f t="shared" si="33"/>
        <v>0</v>
      </c>
    </row>
    <row r="432" spans="1:8" x14ac:dyDescent="0.2">
      <c r="A432" s="37">
        <v>430</v>
      </c>
      <c r="C432" s="17">
        <f>+'Detalle Compras'!D432</f>
        <v>0</v>
      </c>
      <c r="D432" s="55" t="str">
        <f t="shared" si="31"/>
        <v/>
      </c>
      <c r="E432" s="14" t="str">
        <f>+IF(B432="","",'Detalle Compras'!S432+0)</f>
        <v/>
      </c>
      <c r="F432" s="14" t="str">
        <f>+IF(B432="","",EOMONTH('Detalle Compras'!S432,G432)+10)</f>
        <v/>
      </c>
      <c r="G432" s="50">
        <f t="shared" si="32"/>
        <v>0</v>
      </c>
      <c r="H432" s="50">
        <f t="shared" si="33"/>
        <v>0</v>
      </c>
    </row>
    <row r="433" spans="1:8" x14ac:dyDescent="0.2">
      <c r="A433" s="37">
        <v>431</v>
      </c>
      <c r="C433" s="17">
        <f>+'Detalle Compras'!D433</f>
        <v>0</v>
      </c>
      <c r="D433" s="55" t="str">
        <f t="shared" si="31"/>
        <v/>
      </c>
      <c r="E433" s="14" t="str">
        <f>+IF(B433="","",'Detalle Compras'!S433+0)</f>
        <v/>
      </c>
      <c r="F433" s="14" t="str">
        <f>+IF(B433="","",EOMONTH('Detalle Compras'!S433,G433)+10)</f>
        <v/>
      </c>
      <c r="G433" s="50">
        <f t="shared" si="32"/>
        <v>0</v>
      </c>
      <c r="H433" s="50">
        <f t="shared" si="33"/>
        <v>0</v>
      </c>
    </row>
    <row r="434" spans="1:8" x14ac:dyDescent="0.2">
      <c r="A434" s="37">
        <v>432</v>
      </c>
      <c r="C434" s="17">
        <f>+'Detalle Compras'!D434</f>
        <v>0</v>
      </c>
      <c r="D434" s="55" t="str">
        <f t="shared" si="31"/>
        <v/>
      </c>
      <c r="E434" s="14" t="str">
        <f>+IF(B434="","",'Detalle Compras'!S434+0)</f>
        <v/>
      </c>
      <c r="F434" s="14" t="str">
        <f>+IF(B434="","",EOMONTH('Detalle Compras'!S434,G434)+10)</f>
        <v/>
      </c>
      <c r="G434" s="50">
        <f t="shared" si="32"/>
        <v>0</v>
      </c>
      <c r="H434" s="50">
        <f t="shared" si="33"/>
        <v>0</v>
      </c>
    </row>
    <row r="435" spans="1:8" x14ac:dyDescent="0.2">
      <c r="A435" s="37">
        <v>433</v>
      </c>
      <c r="C435" s="17">
        <f>+'Detalle Compras'!D435</f>
        <v>0</v>
      </c>
      <c r="D435" s="55" t="str">
        <f t="shared" si="31"/>
        <v/>
      </c>
      <c r="E435" s="14" t="str">
        <f>+IF(B435="","",'Detalle Compras'!S435+0)</f>
        <v/>
      </c>
      <c r="F435" s="14" t="str">
        <f>+IF(B435="","",EOMONTH('Detalle Compras'!S435,G435)+10)</f>
        <v/>
      </c>
      <c r="G435" s="50">
        <f t="shared" si="32"/>
        <v>0</v>
      </c>
      <c r="H435" s="50">
        <f t="shared" si="33"/>
        <v>0</v>
      </c>
    </row>
    <row r="436" spans="1:8" x14ac:dyDescent="0.2">
      <c r="A436" s="37">
        <v>434</v>
      </c>
      <c r="C436" s="17">
        <f>+'Detalle Compras'!D436</f>
        <v>0</v>
      </c>
      <c r="D436" s="55" t="str">
        <f t="shared" si="31"/>
        <v/>
      </c>
      <c r="E436" s="14" t="str">
        <f>+IF(B436="","",'Detalle Compras'!S436+0)</f>
        <v/>
      </c>
      <c r="F436" s="14" t="str">
        <f>+IF(B436="","",EOMONTH('Detalle Compras'!S436,G436)+10)</f>
        <v/>
      </c>
      <c r="G436" s="50">
        <f t="shared" si="32"/>
        <v>0</v>
      </c>
      <c r="H436" s="50">
        <f t="shared" si="33"/>
        <v>0</v>
      </c>
    </row>
    <row r="437" spans="1:8" x14ac:dyDescent="0.2">
      <c r="A437" s="37">
        <v>435</v>
      </c>
      <c r="C437" s="17">
        <f>+'Detalle Compras'!D437</f>
        <v>0</v>
      </c>
      <c r="D437" s="55" t="str">
        <f t="shared" si="31"/>
        <v/>
      </c>
      <c r="E437" s="14" t="str">
        <f>+IF(B437="","",'Detalle Compras'!S437+0)</f>
        <v/>
      </c>
      <c r="F437" s="14" t="str">
        <f>+IF(B437="","",EOMONTH('Detalle Compras'!S437,G437)+10)</f>
        <v/>
      </c>
      <c r="G437" s="50">
        <f t="shared" si="32"/>
        <v>0</v>
      </c>
      <c r="H437" s="50">
        <f t="shared" si="33"/>
        <v>0</v>
      </c>
    </row>
    <row r="438" spans="1:8" x14ac:dyDescent="0.2">
      <c r="A438" s="37">
        <v>436</v>
      </c>
      <c r="C438" s="17">
        <f>+'Detalle Compras'!D438</f>
        <v>0</v>
      </c>
      <c r="D438" s="55" t="str">
        <f t="shared" si="31"/>
        <v/>
      </c>
      <c r="E438" s="14" t="str">
        <f>+IF(B438="","",'Detalle Compras'!S438+0)</f>
        <v/>
      </c>
      <c r="F438" s="14" t="str">
        <f>+IF(B438="","",EOMONTH('Detalle Compras'!S438,G438)+10)</f>
        <v/>
      </c>
      <c r="G438" s="50">
        <f t="shared" si="32"/>
        <v>0</v>
      </c>
      <c r="H438" s="50">
        <f t="shared" si="33"/>
        <v>0</v>
      </c>
    </row>
    <row r="439" spans="1:8" x14ac:dyDescent="0.2">
      <c r="A439" s="37">
        <v>437</v>
      </c>
      <c r="C439" s="17">
        <f>+'Detalle Compras'!D439</f>
        <v>0</v>
      </c>
      <c r="D439" s="55" t="str">
        <f t="shared" si="31"/>
        <v/>
      </c>
      <c r="E439" s="14" t="str">
        <f>+IF(B439="","",'Detalle Compras'!S439+0)</f>
        <v/>
      </c>
      <c r="F439" s="14" t="str">
        <f>+IF(B439="","",EOMONTH('Detalle Compras'!S439,G439)+10)</f>
        <v/>
      </c>
      <c r="G439" s="50">
        <f t="shared" si="32"/>
        <v>0</v>
      </c>
      <c r="H439" s="50">
        <f t="shared" si="33"/>
        <v>0</v>
      </c>
    </row>
    <row r="440" spans="1:8" x14ac:dyDescent="0.2">
      <c r="A440" s="37">
        <v>438</v>
      </c>
      <c r="C440" s="17">
        <f>+'Detalle Compras'!D440</f>
        <v>0</v>
      </c>
      <c r="D440" s="55" t="str">
        <f t="shared" si="31"/>
        <v/>
      </c>
      <c r="E440" s="14" t="str">
        <f>+IF(B440="","",'Detalle Compras'!S440+0)</f>
        <v/>
      </c>
      <c r="F440" s="14" t="str">
        <f>+IF(B440="","",EOMONTH('Detalle Compras'!S440,G440)+10)</f>
        <v/>
      </c>
      <c r="G440" s="50">
        <f t="shared" si="32"/>
        <v>0</v>
      </c>
      <c r="H440" s="50">
        <f t="shared" si="33"/>
        <v>0</v>
      </c>
    </row>
    <row r="441" spans="1:8" x14ac:dyDescent="0.2">
      <c r="A441" s="37">
        <v>439</v>
      </c>
      <c r="C441" s="17">
        <f>+'Detalle Compras'!D441</f>
        <v>0</v>
      </c>
      <c r="D441" s="55" t="str">
        <f t="shared" si="31"/>
        <v/>
      </c>
      <c r="E441" s="14" t="str">
        <f>+IF(B441="","",'Detalle Compras'!S441+0)</f>
        <v/>
      </c>
      <c r="F441" s="14" t="str">
        <f>+IF(B441="","",EOMONTH('Detalle Compras'!S441,G441)+10)</f>
        <v/>
      </c>
      <c r="G441" s="50">
        <f t="shared" si="32"/>
        <v>0</v>
      </c>
      <c r="H441" s="50">
        <f t="shared" si="33"/>
        <v>0</v>
      </c>
    </row>
    <row r="442" spans="1:8" x14ac:dyDescent="0.2">
      <c r="A442" s="37">
        <v>440</v>
      </c>
      <c r="C442" s="17">
        <f>+'Detalle Compras'!D442</f>
        <v>0</v>
      </c>
      <c r="D442" s="55" t="str">
        <f t="shared" si="31"/>
        <v/>
      </c>
      <c r="E442" s="14" t="str">
        <f>+IF(B442="","",'Detalle Compras'!S442+0)</f>
        <v/>
      </c>
      <c r="F442" s="14" t="str">
        <f>+IF(B442="","",EOMONTH('Detalle Compras'!S442,G442)+10)</f>
        <v/>
      </c>
      <c r="G442" s="50">
        <f t="shared" si="32"/>
        <v>0</v>
      </c>
      <c r="H442" s="50">
        <f t="shared" si="33"/>
        <v>0</v>
      </c>
    </row>
    <row r="443" spans="1:8" x14ac:dyDescent="0.2">
      <c r="A443" s="37">
        <v>441</v>
      </c>
      <c r="C443" s="17">
        <f>+'Detalle Compras'!D443</f>
        <v>0</v>
      </c>
      <c r="D443" s="55" t="str">
        <f t="shared" si="31"/>
        <v/>
      </c>
      <c r="E443" s="14" t="str">
        <f>+IF(B443="","",'Detalle Compras'!S443+0)</f>
        <v/>
      </c>
      <c r="F443" s="14" t="str">
        <f>+IF(B443="","",EOMONTH('Detalle Compras'!S443,G443)+10)</f>
        <v/>
      </c>
      <c r="G443" s="50">
        <f t="shared" si="32"/>
        <v>0</v>
      </c>
      <c r="H443" s="50">
        <f t="shared" si="33"/>
        <v>0</v>
      </c>
    </row>
    <row r="444" spans="1:8" x14ac:dyDescent="0.2">
      <c r="A444" s="37">
        <v>442</v>
      </c>
      <c r="C444" s="17">
        <f>+'Detalle Compras'!D444</f>
        <v>0</v>
      </c>
      <c r="D444" s="55" t="str">
        <f t="shared" si="31"/>
        <v/>
      </c>
      <c r="E444" s="14" t="str">
        <f>+IF(B444="","",'Detalle Compras'!S444+0)</f>
        <v/>
      </c>
      <c r="F444" s="14" t="str">
        <f>+IF(B444="","",EOMONTH('Detalle Compras'!S444,G444)+10)</f>
        <v/>
      </c>
      <c r="G444" s="50">
        <f t="shared" si="32"/>
        <v>0</v>
      </c>
      <c r="H444" s="50">
        <f t="shared" si="33"/>
        <v>0</v>
      </c>
    </row>
    <row r="445" spans="1:8" x14ac:dyDescent="0.2">
      <c r="A445" s="37">
        <v>443</v>
      </c>
      <c r="C445" s="17">
        <f>+'Detalle Compras'!D445</f>
        <v>0</v>
      </c>
      <c r="D445" s="55" t="str">
        <f t="shared" si="31"/>
        <v/>
      </c>
      <c r="E445" s="14" t="str">
        <f>+IF(B445="","",'Detalle Compras'!S445+0)</f>
        <v/>
      </c>
      <c r="F445" s="14" t="str">
        <f>+IF(B445="","",EOMONTH('Detalle Compras'!S445,G445)+10)</f>
        <v/>
      </c>
      <c r="G445" s="50">
        <f t="shared" si="32"/>
        <v>0</v>
      </c>
      <c r="H445" s="50">
        <f t="shared" si="33"/>
        <v>0</v>
      </c>
    </row>
    <row r="446" spans="1:8" x14ac:dyDescent="0.2">
      <c r="A446" s="37">
        <v>444</v>
      </c>
      <c r="C446" s="17">
        <f>+'Detalle Compras'!D446</f>
        <v>0</v>
      </c>
      <c r="D446" s="55" t="str">
        <f t="shared" si="31"/>
        <v/>
      </c>
      <c r="E446" s="14" t="str">
        <f>+IF(B446="","",'Detalle Compras'!S446+0)</f>
        <v/>
      </c>
      <c r="F446" s="14" t="str">
        <f>+IF(B446="","",EOMONTH('Detalle Compras'!S446,G446)+10)</f>
        <v/>
      </c>
      <c r="G446" s="50">
        <f t="shared" si="32"/>
        <v>0</v>
      </c>
      <c r="H446" s="50">
        <f t="shared" si="33"/>
        <v>0</v>
      </c>
    </row>
    <row r="447" spans="1:8" x14ac:dyDescent="0.2">
      <c r="A447" s="37">
        <v>445</v>
      </c>
      <c r="C447" s="17">
        <f>+'Detalle Compras'!D447</f>
        <v>0</v>
      </c>
      <c r="D447" s="55" t="str">
        <f t="shared" si="31"/>
        <v/>
      </c>
      <c r="E447" s="14" t="str">
        <f>+IF(B447="","",'Detalle Compras'!S447+0)</f>
        <v/>
      </c>
      <c r="F447" s="14" t="str">
        <f>+IF(B447="","",EOMONTH('Detalle Compras'!S447,G447)+10)</f>
        <v/>
      </c>
      <c r="G447" s="50">
        <f t="shared" si="32"/>
        <v>0</v>
      </c>
      <c r="H447" s="50">
        <f t="shared" si="33"/>
        <v>0</v>
      </c>
    </row>
    <row r="448" spans="1:8" x14ac:dyDescent="0.2">
      <c r="A448" s="37">
        <v>446</v>
      </c>
      <c r="C448" s="17">
        <f>+'Detalle Compras'!D448</f>
        <v>0</v>
      </c>
      <c r="D448" s="55" t="str">
        <f t="shared" si="31"/>
        <v/>
      </c>
      <c r="E448" s="14" t="str">
        <f>+IF(B448="","",'Detalle Compras'!S448+0)</f>
        <v/>
      </c>
      <c r="F448" s="14" t="str">
        <f>+IF(B448="","",EOMONTH('Detalle Compras'!S448,G448)+10)</f>
        <v/>
      </c>
      <c r="G448" s="50">
        <f t="shared" si="32"/>
        <v>0</v>
      </c>
      <c r="H448" s="50">
        <f t="shared" si="33"/>
        <v>0</v>
      </c>
    </row>
    <row r="449" spans="1:8" x14ac:dyDescent="0.2">
      <c r="A449" s="37">
        <v>447</v>
      </c>
      <c r="C449" s="17">
        <f>+'Detalle Compras'!D449</f>
        <v>0</v>
      </c>
      <c r="D449" s="55" t="str">
        <f t="shared" si="31"/>
        <v/>
      </c>
      <c r="E449" s="14" t="str">
        <f>+IF(B449="","",'Detalle Compras'!S449+0)</f>
        <v/>
      </c>
      <c r="F449" s="14" t="str">
        <f>+IF(B449="","",EOMONTH('Detalle Compras'!S449,G449)+10)</f>
        <v/>
      </c>
      <c r="G449" s="50">
        <f t="shared" si="32"/>
        <v>0</v>
      </c>
      <c r="H449" s="50">
        <f t="shared" si="33"/>
        <v>0</v>
      </c>
    </row>
    <row r="450" spans="1:8" x14ac:dyDescent="0.2">
      <c r="A450" s="37">
        <v>448</v>
      </c>
      <c r="C450" s="17">
        <f>+'Detalle Compras'!D450</f>
        <v>0</v>
      </c>
      <c r="D450" s="55" t="str">
        <f t="shared" si="31"/>
        <v/>
      </c>
      <c r="E450" s="14" t="str">
        <f>+IF(B450="","",'Detalle Compras'!S450+0)</f>
        <v/>
      </c>
      <c r="F450" s="14" t="str">
        <f>+IF(B450="","",EOMONTH('Detalle Compras'!S450,G450)+10)</f>
        <v/>
      </c>
      <c r="G450" s="50">
        <f t="shared" si="32"/>
        <v>0</v>
      </c>
      <c r="H450" s="50">
        <f t="shared" si="33"/>
        <v>0</v>
      </c>
    </row>
    <row r="451" spans="1:8" x14ac:dyDescent="0.2">
      <c r="A451" s="37">
        <v>449</v>
      </c>
      <c r="C451" s="17">
        <f>+'Detalle Compras'!D451</f>
        <v>0</v>
      </c>
      <c r="D451" s="55" t="str">
        <f t="shared" si="31"/>
        <v/>
      </c>
      <c r="E451" s="14" t="str">
        <f>+IF(B451="","",'Detalle Compras'!S451+0)</f>
        <v/>
      </c>
      <c r="F451" s="14" t="str">
        <f>+IF(B451="","",EOMONTH('Detalle Compras'!S451,G451)+10)</f>
        <v/>
      </c>
      <c r="G451" s="50">
        <f t="shared" si="32"/>
        <v>0</v>
      </c>
      <c r="H451" s="50">
        <f t="shared" si="33"/>
        <v>0</v>
      </c>
    </row>
    <row r="452" spans="1:8" x14ac:dyDescent="0.2">
      <c r="A452" s="37">
        <v>450</v>
      </c>
      <c r="C452" s="17">
        <f>+'Detalle Compras'!D452</f>
        <v>0</v>
      </c>
      <c r="D452" s="55" t="str">
        <f t="shared" ref="D452:D515" si="34">+IF(B452="","",EA452)</f>
        <v/>
      </c>
      <c r="E452" s="14" t="str">
        <f>+IF(B452="","",'Detalle Compras'!S452+0)</f>
        <v/>
      </c>
      <c r="F452" s="14" t="str">
        <f>+IF(B452="","",EOMONTH('Detalle Compras'!S452,G452)+10)</f>
        <v/>
      </c>
      <c r="G452" s="50">
        <f t="shared" ref="G452:G515" si="35">+COUNTIF(I452:ADF452,"&gt;1")</f>
        <v>0</v>
      </c>
      <c r="H452" s="50">
        <f t="shared" ref="H452:H515" si="36">+COUNT(AF452:ADF452)</f>
        <v>0</v>
      </c>
    </row>
    <row r="453" spans="1:8" x14ac:dyDescent="0.2">
      <c r="A453" s="37">
        <v>451</v>
      </c>
      <c r="C453" s="17">
        <f>+'Detalle Compras'!D453</f>
        <v>0</v>
      </c>
      <c r="D453" s="55" t="str">
        <f t="shared" si="34"/>
        <v/>
      </c>
      <c r="E453" s="14" t="str">
        <f>+IF(B453="","",'Detalle Compras'!S453+0)</f>
        <v/>
      </c>
      <c r="F453" s="14" t="str">
        <f>+IF(B453="","",EOMONTH('Detalle Compras'!S453,G453)+10)</f>
        <v/>
      </c>
      <c r="G453" s="50">
        <f t="shared" si="35"/>
        <v>0</v>
      </c>
      <c r="H453" s="50">
        <f t="shared" si="36"/>
        <v>0</v>
      </c>
    </row>
    <row r="454" spans="1:8" x14ac:dyDescent="0.2">
      <c r="A454" s="37">
        <v>452</v>
      </c>
      <c r="C454" s="17">
        <f>+'Detalle Compras'!D454</f>
        <v>0</v>
      </c>
      <c r="D454" s="55" t="str">
        <f t="shared" si="34"/>
        <v/>
      </c>
      <c r="E454" s="14" t="str">
        <f>+IF(B454="","",'Detalle Compras'!S454+0)</f>
        <v/>
      </c>
      <c r="F454" s="14" t="str">
        <f>+IF(B454="","",EOMONTH('Detalle Compras'!S454,G454)+10)</f>
        <v/>
      </c>
      <c r="G454" s="50">
        <f t="shared" si="35"/>
        <v>0</v>
      </c>
      <c r="H454" s="50">
        <f t="shared" si="36"/>
        <v>0</v>
      </c>
    </row>
    <row r="455" spans="1:8" x14ac:dyDescent="0.2">
      <c r="A455" s="37">
        <v>453</v>
      </c>
      <c r="C455" s="17">
        <f>+'Detalle Compras'!D455</f>
        <v>0</v>
      </c>
      <c r="D455" s="55" t="str">
        <f t="shared" si="34"/>
        <v/>
      </c>
      <c r="E455" s="14" t="str">
        <f>+IF(B455="","",'Detalle Compras'!S455+0)</f>
        <v/>
      </c>
      <c r="F455" s="14" t="str">
        <f>+IF(B455="","",EOMONTH('Detalle Compras'!S455,G455)+10)</f>
        <v/>
      </c>
      <c r="G455" s="50">
        <f t="shared" si="35"/>
        <v>0</v>
      </c>
      <c r="H455" s="50">
        <f t="shared" si="36"/>
        <v>0</v>
      </c>
    </row>
    <row r="456" spans="1:8" x14ac:dyDescent="0.2">
      <c r="A456" s="37">
        <v>454</v>
      </c>
      <c r="C456" s="17">
        <f>+'Detalle Compras'!D456</f>
        <v>0</v>
      </c>
      <c r="D456" s="55" t="str">
        <f t="shared" si="34"/>
        <v/>
      </c>
      <c r="E456" s="14" t="str">
        <f>+IF(B456="","",'Detalle Compras'!S456+0)</f>
        <v/>
      </c>
      <c r="F456" s="14" t="str">
        <f>+IF(B456="","",EOMONTH('Detalle Compras'!S456,G456)+10)</f>
        <v/>
      </c>
      <c r="G456" s="50">
        <f t="shared" si="35"/>
        <v>0</v>
      </c>
      <c r="H456" s="50">
        <f t="shared" si="36"/>
        <v>0</v>
      </c>
    </row>
    <row r="457" spans="1:8" x14ac:dyDescent="0.2">
      <c r="A457" s="37">
        <v>455</v>
      </c>
      <c r="C457" s="17">
        <f>+'Detalle Compras'!D457</f>
        <v>0</v>
      </c>
      <c r="D457" s="55" t="str">
        <f t="shared" si="34"/>
        <v/>
      </c>
      <c r="E457" s="14" t="str">
        <f>+IF(B457="","",'Detalle Compras'!S457+0)</f>
        <v/>
      </c>
      <c r="F457" s="14" t="str">
        <f>+IF(B457="","",EOMONTH('Detalle Compras'!S457,G457)+10)</f>
        <v/>
      </c>
      <c r="G457" s="50">
        <f t="shared" si="35"/>
        <v>0</v>
      </c>
      <c r="H457" s="50">
        <f t="shared" si="36"/>
        <v>0</v>
      </c>
    </row>
    <row r="458" spans="1:8" x14ac:dyDescent="0.2">
      <c r="A458" s="37">
        <v>456</v>
      </c>
      <c r="C458" s="17">
        <f>+'Detalle Compras'!D458</f>
        <v>0</v>
      </c>
      <c r="D458" s="55" t="str">
        <f t="shared" si="34"/>
        <v/>
      </c>
      <c r="E458" s="14" t="str">
        <f>+IF(B458="","",'Detalle Compras'!S458+0)</f>
        <v/>
      </c>
      <c r="F458" s="14" t="str">
        <f>+IF(B458="","",EOMONTH('Detalle Compras'!S458,G458)+10)</f>
        <v/>
      </c>
      <c r="G458" s="50">
        <f t="shared" si="35"/>
        <v>0</v>
      </c>
      <c r="H458" s="50">
        <f t="shared" si="36"/>
        <v>0</v>
      </c>
    </row>
    <row r="459" spans="1:8" x14ac:dyDescent="0.2">
      <c r="A459" s="37">
        <v>457</v>
      </c>
      <c r="C459" s="17">
        <f>+'Detalle Compras'!D459</f>
        <v>0</v>
      </c>
      <c r="D459" s="55" t="str">
        <f t="shared" si="34"/>
        <v/>
      </c>
      <c r="E459" s="14" t="str">
        <f>+IF(B459="","",'Detalle Compras'!S459+0)</f>
        <v/>
      </c>
      <c r="F459" s="14" t="str">
        <f>+IF(B459="","",EOMONTH('Detalle Compras'!S459,G459)+10)</f>
        <v/>
      </c>
      <c r="G459" s="50">
        <f t="shared" si="35"/>
        <v>0</v>
      </c>
      <c r="H459" s="50">
        <f t="shared" si="36"/>
        <v>0</v>
      </c>
    </row>
    <row r="460" spans="1:8" x14ac:dyDescent="0.2">
      <c r="A460" s="37">
        <v>458</v>
      </c>
      <c r="C460" s="17">
        <f>+'Detalle Compras'!D460</f>
        <v>0</v>
      </c>
      <c r="D460" s="55" t="str">
        <f t="shared" si="34"/>
        <v/>
      </c>
      <c r="E460" s="14" t="str">
        <f>+IF(B460="","",'Detalle Compras'!S460+0)</f>
        <v/>
      </c>
      <c r="F460" s="14" t="str">
        <f>+IF(B460="","",EOMONTH('Detalle Compras'!S460,G460)+10)</f>
        <v/>
      </c>
      <c r="G460" s="50">
        <f t="shared" si="35"/>
        <v>0</v>
      </c>
      <c r="H460" s="50">
        <f t="shared" si="36"/>
        <v>0</v>
      </c>
    </row>
    <row r="461" spans="1:8" x14ac:dyDescent="0.2">
      <c r="A461" s="37">
        <v>459</v>
      </c>
      <c r="C461" s="17">
        <f>+'Detalle Compras'!D461</f>
        <v>0</v>
      </c>
      <c r="D461" s="55" t="str">
        <f t="shared" si="34"/>
        <v/>
      </c>
      <c r="E461" s="14" t="str">
        <f>+IF(B461="","",'Detalle Compras'!S461+0)</f>
        <v/>
      </c>
      <c r="F461" s="14" t="str">
        <f>+IF(B461="","",EOMONTH('Detalle Compras'!S461,G461)+10)</f>
        <v/>
      </c>
      <c r="G461" s="50">
        <f t="shared" si="35"/>
        <v>0</v>
      </c>
      <c r="H461" s="50">
        <f t="shared" si="36"/>
        <v>0</v>
      </c>
    </row>
    <row r="462" spans="1:8" x14ac:dyDescent="0.2">
      <c r="A462" s="37">
        <v>460</v>
      </c>
      <c r="C462" s="17">
        <f>+'Detalle Compras'!D462</f>
        <v>0</v>
      </c>
      <c r="D462" s="55" t="str">
        <f t="shared" si="34"/>
        <v/>
      </c>
      <c r="E462" s="14" t="str">
        <f>+IF(B462="","",'Detalle Compras'!S462+0)</f>
        <v/>
      </c>
      <c r="F462" s="14" t="str">
        <f>+IF(B462="","",EOMONTH('Detalle Compras'!S462,G462)+10)</f>
        <v/>
      </c>
      <c r="G462" s="50">
        <f t="shared" si="35"/>
        <v>0</v>
      </c>
      <c r="H462" s="50">
        <f t="shared" si="36"/>
        <v>0</v>
      </c>
    </row>
    <row r="463" spans="1:8" x14ac:dyDescent="0.2">
      <c r="A463" s="37">
        <v>461</v>
      </c>
      <c r="C463" s="17">
        <f>+'Detalle Compras'!D463</f>
        <v>0</v>
      </c>
      <c r="D463" s="55" t="str">
        <f t="shared" si="34"/>
        <v/>
      </c>
      <c r="E463" s="14" t="str">
        <f>+IF(B463="","",'Detalle Compras'!S463+0)</f>
        <v/>
      </c>
      <c r="F463" s="14" t="str">
        <f>+IF(B463="","",EOMONTH('Detalle Compras'!S463,G463)+10)</f>
        <v/>
      </c>
      <c r="G463" s="50">
        <f t="shared" si="35"/>
        <v>0</v>
      </c>
      <c r="H463" s="50">
        <f t="shared" si="36"/>
        <v>0</v>
      </c>
    </row>
    <row r="464" spans="1:8" x14ac:dyDescent="0.2">
      <c r="A464" s="37">
        <v>462</v>
      </c>
      <c r="C464" s="17">
        <f>+'Detalle Compras'!D464</f>
        <v>0</v>
      </c>
      <c r="D464" s="55" t="str">
        <f t="shared" si="34"/>
        <v/>
      </c>
      <c r="E464" s="14" t="str">
        <f>+IF(B464="","",'Detalle Compras'!S464+0)</f>
        <v/>
      </c>
      <c r="F464" s="14" t="str">
        <f>+IF(B464="","",EOMONTH('Detalle Compras'!S464,G464)+10)</f>
        <v/>
      </c>
      <c r="G464" s="50">
        <f t="shared" si="35"/>
        <v>0</v>
      </c>
      <c r="H464" s="50">
        <f t="shared" si="36"/>
        <v>0</v>
      </c>
    </row>
    <row r="465" spans="1:8" x14ac:dyDescent="0.2">
      <c r="A465" s="37">
        <v>463</v>
      </c>
      <c r="C465" s="17">
        <f>+'Detalle Compras'!D465</f>
        <v>0</v>
      </c>
      <c r="D465" s="55" t="str">
        <f t="shared" si="34"/>
        <v/>
      </c>
      <c r="E465" s="14" t="str">
        <f>+IF(B465="","",'Detalle Compras'!S465+0)</f>
        <v/>
      </c>
      <c r="F465" s="14" t="str">
        <f>+IF(B465="","",EOMONTH('Detalle Compras'!S465,G465)+10)</f>
        <v/>
      </c>
      <c r="G465" s="50">
        <f t="shared" si="35"/>
        <v>0</v>
      </c>
      <c r="H465" s="50">
        <f t="shared" si="36"/>
        <v>0</v>
      </c>
    </row>
    <row r="466" spans="1:8" x14ac:dyDescent="0.2">
      <c r="A466" s="37">
        <v>464</v>
      </c>
      <c r="C466" s="17">
        <f>+'Detalle Compras'!D466</f>
        <v>0</v>
      </c>
      <c r="D466" s="55" t="str">
        <f t="shared" si="34"/>
        <v/>
      </c>
      <c r="E466" s="14" t="str">
        <f>+IF(B466="","",'Detalle Compras'!S466+0)</f>
        <v/>
      </c>
      <c r="F466" s="14" t="str">
        <f>+IF(B466="","",EOMONTH('Detalle Compras'!S466,G466)+10)</f>
        <v/>
      </c>
      <c r="G466" s="50">
        <f t="shared" si="35"/>
        <v>0</v>
      </c>
      <c r="H466" s="50">
        <f t="shared" si="36"/>
        <v>0</v>
      </c>
    </row>
    <row r="467" spans="1:8" x14ac:dyDescent="0.2">
      <c r="A467" s="37">
        <v>465</v>
      </c>
      <c r="C467" s="17">
        <f>+'Detalle Compras'!D467</f>
        <v>0</v>
      </c>
      <c r="D467" s="55" t="str">
        <f t="shared" si="34"/>
        <v/>
      </c>
      <c r="E467" s="14" t="str">
        <f>+IF(B467="","",'Detalle Compras'!S467+0)</f>
        <v/>
      </c>
      <c r="F467" s="14" t="str">
        <f>+IF(B467="","",EOMONTH('Detalle Compras'!S467,G467)+10)</f>
        <v/>
      </c>
      <c r="G467" s="50">
        <f t="shared" si="35"/>
        <v>0</v>
      </c>
      <c r="H467" s="50">
        <f t="shared" si="36"/>
        <v>0</v>
      </c>
    </row>
    <row r="468" spans="1:8" x14ac:dyDescent="0.2">
      <c r="A468" s="37">
        <v>466</v>
      </c>
      <c r="C468" s="17">
        <f>+'Detalle Compras'!D468</f>
        <v>0</v>
      </c>
      <c r="D468" s="55" t="str">
        <f t="shared" si="34"/>
        <v/>
      </c>
      <c r="E468" s="14" t="str">
        <f>+IF(B468="","",'Detalle Compras'!S468+0)</f>
        <v/>
      </c>
      <c r="F468" s="14" t="str">
        <f>+IF(B468="","",EOMONTH('Detalle Compras'!S468,G468)+10)</f>
        <v/>
      </c>
      <c r="G468" s="50">
        <f t="shared" si="35"/>
        <v>0</v>
      </c>
      <c r="H468" s="50">
        <f t="shared" si="36"/>
        <v>0</v>
      </c>
    </row>
    <row r="469" spans="1:8" x14ac:dyDescent="0.2">
      <c r="A469" s="37">
        <v>467</v>
      </c>
      <c r="C469" s="17">
        <f>+'Detalle Compras'!D469</f>
        <v>0</v>
      </c>
      <c r="D469" s="55" t="str">
        <f t="shared" si="34"/>
        <v/>
      </c>
      <c r="E469" s="14" t="str">
        <f>+IF(B469="","",'Detalle Compras'!S469+0)</f>
        <v/>
      </c>
      <c r="F469" s="14" t="str">
        <f>+IF(B469="","",EOMONTH('Detalle Compras'!S469,G469)+10)</f>
        <v/>
      </c>
      <c r="G469" s="50">
        <f t="shared" si="35"/>
        <v>0</v>
      </c>
      <c r="H469" s="50">
        <f t="shared" si="36"/>
        <v>0</v>
      </c>
    </row>
    <row r="470" spans="1:8" x14ac:dyDescent="0.2">
      <c r="A470" s="37">
        <v>468</v>
      </c>
      <c r="C470" s="17">
        <f>+'Detalle Compras'!D470</f>
        <v>0</v>
      </c>
      <c r="D470" s="55" t="str">
        <f t="shared" si="34"/>
        <v/>
      </c>
      <c r="E470" s="14" t="str">
        <f>+IF(B470="","",'Detalle Compras'!S470+0)</f>
        <v/>
      </c>
      <c r="F470" s="14" t="str">
        <f>+IF(B470="","",EOMONTH('Detalle Compras'!S470,G470)+10)</f>
        <v/>
      </c>
      <c r="G470" s="50">
        <f t="shared" si="35"/>
        <v>0</v>
      </c>
      <c r="H470" s="50">
        <f t="shared" si="36"/>
        <v>0</v>
      </c>
    </row>
    <row r="471" spans="1:8" x14ac:dyDescent="0.2">
      <c r="A471" s="37">
        <v>469</v>
      </c>
      <c r="C471" s="17">
        <f>+'Detalle Compras'!D471</f>
        <v>0</v>
      </c>
      <c r="D471" s="55" t="str">
        <f t="shared" si="34"/>
        <v/>
      </c>
      <c r="E471" s="14" t="str">
        <f>+IF(B471="","",'Detalle Compras'!S471+0)</f>
        <v/>
      </c>
      <c r="F471" s="14" t="str">
        <f>+IF(B471="","",EOMONTH('Detalle Compras'!S471,G471)+10)</f>
        <v/>
      </c>
      <c r="G471" s="50">
        <f t="shared" si="35"/>
        <v>0</v>
      </c>
      <c r="H471" s="50">
        <f t="shared" si="36"/>
        <v>0</v>
      </c>
    </row>
    <row r="472" spans="1:8" x14ac:dyDescent="0.2">
      <c r="A472" s="37">
        <v>470</v>
      </c>
      <c r="C472" s="17">
        <f>+'Detalle Compras'!D472</f>
        <v>0</v>
      </c>
      <c r="D472" s="55" t="str">
        <f t="shared" si="34"/>
        <v/>
      </c>
      <c r="E472" s="14" t="str">
        <f>+IF(B472="","",'Detalle Compras'!S472+0)</f>
        <v/>
      </c>
      <c r="F472" s="14" t="str">
        <f>+IF(B472="","",EOMONTH('Detalle Compras'!S472,G472)+10)</f>
        <v/>
      </c>
      <c r="G472" s="50">
        <f t="shared" si="35"/>
        <v>0</v>
      </c>
      <c r="H472" s="50">
        <f t="shared" si="36"/>
        <v>0</v>
      </c>
    </row>
    <row r="473" spans="1:8" x14ac:dyDescent="0.2">
      <c r="A473" s="37">
        <v>471</v>
      </c>
      <c r="C473" s="17">
        <f>+'Detalle Compras'!D473</f>
        <v>0</v>
      </c>
      <c r="D473" s="55" t="str">
        <f t="shared" si="34"/>
        <v/>
      </c>
      <c r="E473" s="14" t="str">
        <f>+IF(B473="","",'Detalle Compras'!S473+0)</f>
        <v/>
      </c>
      <c r="F473" s="14" t="str">
        <f>+IF(B473="","",EOMONTH('Detalle Compras'!S473,G473)+10)</f>
        <v/>
      </c>
      <c r="G473" s="50">
        <f t="shared" si="35"/>
        <v>0</v>
      </c>
      <c r="H473" s="50">
        <f t="shared" si="36"/>
        <v>0</v>
      </c>
    </row>
    <row r="474" spans="1:8" x14ac:dyDescent="0.2">
      <c r="A474" s="37">
        <v>472</v>
      </c>
      <c r="C474" s="17">
        <f>+'Detalle Compras'!D474</f>
        <v>0</v>
      </c>
      <c r="D474" s="55" t="str">
        <f t="shared" si="34"/>
        <v/>
      </c>
      <c r="E474" s="14" t="str">
        <f>+IF(B474="","",'Detalle Compras'!S474+0)</f>
        <v/>
      </c>
      <c r="F474" s="14" t="str">
        <f>+IF(B474="","",EOMONTH('Detalle Compras'!S474,G474)+10)</f>
        <v/>
      </c>
      <c r="G474" s="50">
        <f t="shared" si="35"/>
        <v>0</v>
      </c>
      <c r="H474" s="50">
        <f t="shared" si="36"/>
        <v>0</v>
      </c>
    </row>
    <row r="475" spans="1:8" x14ac:dyDescent="0.2">
      <c r="A475" s="37">
        <v>473</v>
      </c>
      <c r="C475" s="17">
        <f>+'Detalle Compras'!D475</f>
        <v>0</v>
      </c>
      <c r="D475" s="55" t="str">
        <f t="shared" si="34"/>
        <v/>
      </c>
      <c r="E475" s="14" t="str">
        <f>+IF(B475="","",'Detalle Compras'!S475+0)</f>
        <v/>
      </c>
      <c r="F475" s="14" t="str">
        <f>+IF(B475="","",EOMONTH('Detalle Compras'!S475,G475)+10)</f>
        <v/>
      </c>
      <c r="G475" s="50">
        <f t="shared" si="35"/>
        <v>0</v>
      </c>
      <c r="H475" s="50">
        <f t="shared" si="36"/>
        <v>0</v>
      </c>
    </row>
    <row r="476" spans="1:8" x14ac:dyDescent="0.2">
      <c r="A476" s="37">
        <v>474</v>
      </c>
      <c r="C476" s="17">
        <f>+'Detalle Compras'!D476</f>
        <v>0</v>
      </c>
      <c r="D476" s="55" t="str">
        <f t="shared" si="34"/>
        <v/>
      </c>
      <c r="E476" s="14" t="str">
        <f>+IF(B476="","",'Detalle Compras'!S476+0)</f>
        <v/>
      </c>
      <c r="F476" s="14" t="str">
        <f>+IF(B476="","",EOMONTH('Detalle Compras'!S476,G476)+10)</f>
        <v/>
      </c>
      <c r="G476" s="50">
        <f t="shared" si="35"/>
        <v>0</v>
      </c>
      <c r="H476" s="50">
        <f t="shared" si="36"/>
        <v>0</v>
      </c>
    </row>
    <row r="477" spans="1:8" x14ac:dyDescent="0.2">
      <c r="A477" s="37">
        <v>475</v>
      </c>
      <c r="C477" s="17">
        <f>+'Detalle Compras'!D477</f>
        <v>0</v>
      </c>
      <c r="D477" s="55" t="str">
        <f t="shared" si="34"/>
        <v/>
      </c>
      <c r="E477" s="14" t="str">
        <f>+IF(B477="","",'Detalle Compras'!S477+0)</f>
        <v/>
      </c>
      <c r="F477" s="14" t="str">
        <f>+IF(B477="","",EOMONTH('Detalle Compras'!S477,G477)+10)</f>
        <v/>
      </c>
      <c r="G477" s="50">
        <f t="shared" si="35"/>
        <v>0</v>
      </c>
      <c r="H477" s="50">
        <f t="shared" si="36"/>
        <v>0</v>
      </c>
    </row>
    <row r="478" spans="1:8" x14ac:dyDescent="0.2">
      <c r="A478" s="37">
        <v>476</v>
      </c>
      <c r="C478" s="17">
        <f>+'Detalle Compras'!D478</f>
        <v>0</v>
      </c>
      <c r="D478" s="55" t="str">
        <f t="shared" si="34"/>
        <v/>
      </c>
      <c r="E478" s="14" t="str">
        <f>+IF(B478="","",'Detalle Compras'!S478+0)</f>
        <v/>
      </c>
      <c r="F478" s="14" t="str">
        <f>+IF(B478="","",EOMONTH('Detalle Compras'!S478,G478)+10)</f>
        <v/>
      </c>
      <c r="G478" s="50">
        <f t="shared" si="35"/>
        <v>0</v>
      </c>
      <c r="H478" s="50">
        <f t="shared" si="36"/>
        <v>0</v>
      </c>
    </row>
    <row r="479" spans="1:8" x14ac:dyDescent="0.2">
      <c r="A479" s="37">
        <v>477</v>
      </c>
      <c r="C479" s="17">
        <f>+'Detalle Compras'!D479</f>
        <v>0</v>
      </c>
      <c r="D479" s="55" t="str">
        <f t="shared" si="34"/>
        <v/>
      </c>
      <c r="E479" s="14" t="str">
        <f>+IF(B479="","",'Detalle Compras'!S479+0)</f>
        <v/>
      </c>
      <c r="F479" s="14" t="str">
        <f>+IF(B479="","",EOMONTH('Detalle Compras'!S479,G479)+10)</f>
        <v/>
      </c>
      <c r="G479" s="50">
        <f t="shared" si="35"/>
        <v>0</v>
      </c>
      <c r="H479" s="50">
        <f t="shared" si="36"/>
        <v>0</v>
      </c>
    </row>
    <row r="480" spans="1:8" x14ac:dyDescent="0.2">
      <c r="A480" s="37">
        <v>478</v>
      </c>
      <c r="C480" s="17">
        <f>+'Detalle Compras'!D480</f>
        <v>0</v>
      </c>
      <c r="D480" s="55" t="str">
        <f t="shared" si="34"/>
        <v/>
      </c>
      <c r="E480" s="14" t="str">
        <f>+IF(B480="","",'Detalle Compras'!S480+0)</f>
        <v/>
      </c>
      <c r="F480" s="14" t="str">
        <f>+IF(B480="","",EOMONTH('Detalle Compras'!S480,G480)+10)</f>
        <v/>
      </c>
      <c r="G480" s="50">
        <f t="shared" si="35"/>
        <v>0</v>
      </c>
      <c r="H480" s="50">
        <f t="shared" si="36"/>
        <v>0</v>
      </c>
    </row>
    <row r="481" spans="1:8" x14ac:dyDescent="0.2">
      <c r="A481" s="37">
        <v>479</v>
      </c>
      <c r="C481" s="17">
        <f>+'Detalle Compras'!D481</f>
        <v>0</v>
      </c>
      <c r="D481" s="55" t="str">
        <f t="shared" si="34"/>
        <v/>
      </c>
      <c r="E481" s="14" t="str">
        <f>+IF(B481="","",'Detalle Compras'!S481+0)</f>
        <v/>
      </c>
      <c r="F481" s="14" t="str">
        <f>+IF(B481="","",EOMONTH('Detalle Compras'!S481,G481)+10)</f>
        <v/>
      </c>
      <c r="G481" s="50">
        <f t="shared" si="35"/>
        <v>0</v>
      </c>
      <c r="H481" s="50">
        <f t="shared" si="36"/>
        <v>0</v>
      </c>
    </row>
    <row r="482" spans="1:8" x14ac:dyDescent="0.2">
      <c r="A482" s="37">
        <v>480</v>
      </c>
      <c r="C482" s="17">
        <f>+'Detalle Compras'!D482</f>
        <v>0</v>
      </c>
      <c r="D482" s="55" t="str">
        <f t="shared" si="34"/>
        <v/>
      </c>
      <c r="E482" s="14" t="str">
        <f>+IF(B482="","",'Detalle Compras'!S482+0)</f>
        <v/>
      </c>
      <c r="F482" s="14" t="str">
        <f>+IF(B482="","",EOMONTH('Detalle Compras'!S482,G482)+10)</f>
        <v/>
      </c>
      <c r="G482" s="50">
        <f t="shared" si="35"/>
        <v>0</v>
      </c>
      <c r="H482" s="50">
        <f t="shared" si="36"/>
        <v>0</v>
      </c>
    </row>
    <row r="483" spans="1:8" x14ac:dyDescent="0.2">
      <c r="A483" s="37">
        <v>481</v>
      </c>
      <c r="C483" s="17">
        <f>+'Detalle Compras'!D483</f>
        <v>0</v>
      </c>
      <c r="D483" s="55" t="str">
        <f t="shared" si="34"/>
        <v/>
      </c>
      <c r="E483" s="14" t="str">
        <f>+IF(B483="","",'Detalle Compras'!S483+0)</f>
        <v/>
      </c>
      <c r="F483" s="14" t="str">
        <f>+IF(B483="","",EOMONTH('Detalle Compras'!S483,G483)+10)</f>
        <v/>
      </c>
      <c r="G483" s="50">
        <f t="shared" si="35"/>
        <v>0</v>
      </c>
      <c r="H483" s="50">
        <f t="shared" si="36"/>
        <v>0</v>
      </c>
    </row>
    <row r="484" spans="1:8" x14ac:dyDescent="0.2">
      <c r="A484" s="37">
        <v>482</v>
      </c>
      <c r="C484" s="17">
        <f>+'Detalle Compras'!D484</f>
        <v>0</v>
      </c>
      <c r="D484" s="55" t="str">
        <f t="shared" si="34"/>
        <v/>
      </c>
      <c r="E484" s="14" t="str">
        <f>+IF(B484="","",'Detalle Compras'!S484+0)</f>
        <v/>
      </c>
      <c r="F484" s="14" t="str">
        <f>+IF(B484="","",EOMONTH('Detalle Compras'!S484,G484)+10)</f>
        <v/>
      </c>
      <c r="G484" s="50">
        <f t="shared" si="35"/>
        <v>0</v>
      </c>
      <c r="H484" s="50">
        <f t="shared" si="36"/>
        <v>0</v>
      </c>
    </row>
    <row r="485" spans="1:8" x14ac:dyDescent="0.2">
      <c r="A485" s="37">
        <v>483</v>
      </c>
      <c r="C485" s="17">
        <f>+'Detalle Compras'!D485</f>
        <v>0</v>
      </c>
      <c r="D485" s="55" t="str">
        <f t="shared" si="34"/>
        <v/>
      </c>
      <c r="E485" s="14" t="str">
        <f>+IF(B485="","",'Detalle Compras'!S485+0)</f>
        <v/>
      </c>
      <c r="F485" s="14" t="str">
        <f>+IF(B485="","",EOMONTH('Detalle Compras'!S485,G485)+10)</f>
        <v/>
      </c>
      <c r="G485" s="50">
        <f t="shared" si="35"/>
        <v>0</v>
      </c>
      <c r="H485" s="50">
        <f t="shared" si="36"/>
        <v>0</v>
      </c>
    </row>
    <row r="486" spans="1:8" x14ac:dyDescent="0.2">
      <c r="A486" s="37">
        <v>484</v>
      </c>
      <c r="C486" s="17">
        <f>+'Detalle Compras'!D486</f>
        <v>0</v>
      </c>
      <c r="D486" s="55" t="str">
        <f t="shared" si="34"/>
        <v/>
      </c>
      <c r="E486" s="14" t="str">
        <f>+IF(B486="","",'Detalle Compras'!S486+0)</f>
        <v/>
      </c>
      <c r="F486" s="14" t="str">
        <f>+IF(B486="","",EOMONTH('Detalle Compras'!S486,G486)+10)</f>
        <v/>
      </c>
      <c r="G486" s="50">
        <f t="shared" si="35"/>
        <v>0</v>
      </c>
      <c r="H486" s="50">
        <f t="shared" si="36"/>
        <v>0</v>
      </c>
    </row>
    <row r="487" spans="1:8" x14ac:dyDescent="0.2">
      <c r="A487" s="37">
        <v>485</v>
      </c>
      <c r="C487" s="17">
        <f>+'Detalle Compras'!D487</f>
        <v>0</v>
      </c>
      <c r="D487" s="55" t="str">
        <f t="shared" si="34"/>
        <v/>
      </c>
      <c r="E487" s="14" t="str">
        <f>+IF(B487="","",'Detalle Compras'!S487+0)</f>
        <v/>
      </c>
      <c r="F487" s="14" t="str">
        <f>+IF(B487="","",EOMONTH('Detalle Compras'!S487,G487)+10)</f>
        <v/>
      </c>
      <c r="G487" s="50">
        <f t="shared" si="35"/>
        <v>0</v>
      </c>
      <c r="H487" s="50">
        <f t="shared" si="36"/>
        <v>0</v>
      </c>
    </row>
    <row r="488" spans="1:8" x14ac:dyDescent="0.2">
      <c r="A488" s="37">
        <v>486</v>
      </c>
      <c r="C488" s="17">
        <f>+'Detalle Compras'!D488</f>
        <v>0</v>
      </c>
      <c r="D488" s="55" t="str">
        <f t="shared" si="34"/>
        <v/>
      </c>
      <c r="E488" s="14" t="str">
        <f>+IF(B488="","",'Detalle Compras'!S488+0)</f>
        <v/>
      </c>
      <c r="F488" s="14" t="str">
        <f>+IF(B488="","",EOMONTH('Detalle Compras'!S488,G488)+10)</f>
        <v/>
      </c>
      <c r="G488" s="50">
        <f t="shared" si="35"/>
        <v>0</v>
      </c>
      <c r="H488" s="50">
        <f t="shared" si="36"/>
        <v>0</v>
      </c>
    </row>
    <row r="489" spans="1:8" x14ac:dyDescent="0.2">
      <c r="A489" s="37">
        <v>487</v>
      </c>
      <c r="C489" s="17">
        <f>+'Detalle Compras'!D489</f>
        <v>0</v>
      </c>
      <c r="D489" s="55" t="str">
        <f t="shared" si="34"/>
        <v/>
      </c>
      <c r="E489" s="14" t="str">
        <f>+IF(B489="","",'Detalle Compras'!S489+0)</f>
        <v/>
      </c>
      <c r="F489" s="14" t="str">
        <f>+IF(B489="","",EOMONTH('Detalle Compras'!S489,G489)+10)</f>
        <v/>
      </c>
      <c r="G489" s="50">
        <f t="shared" si="35"/>
        <v>0</v>
      </c>
      <c r="H489" s="50">
        <f t="shared" si="36"/>
        <v>0</v>
      </c>
    </row>
    <row r="490" spans="1:8" x14ac:dyDescent="0.2">
      <c r="A490" s="37">
        <v>488</v>
      </c>
      <c r="C490" s="17">
        <f>+'Detalle Compras'!D490</f>
        <v>0</v>
      </c>
      <c r="D490" s="55" t="str">
        <f t="shared" si="34"/>
        <v/>
      </c>
      <c r="E490" s="14" t="str">
        <f>+IF(B490="","",'Detalle Compras'!S490+0)</f>
        <v/>
      </c>
      <c r="F490" s="14" t="str">
        <f>+IF(B490="","",EOMONTH('Detalle Compras'!S490,G490)+10)</f>
        <v/>
      </c>
      <c r="G490" s="50">
        <f t="shared" si="35"/>
        <v>0</v>
      </c>
      <c r="H490" s="50">
        <f t="shared" si="36"/>
        <v>0</v>
      </c>
    </row>
    <row r="491" spans="1:8" x14ac:dyDescent="0.2">
      <c r="A491" s="37">
        <v>489</v>
      </c>
      <c r="C491" s="17">
        <f>+'Detalle Compras'!D491</f>
        <v>0</v>
      </c>
      <c r="D491" s="55" t="str">
        <f t="shared" si="34"/>
        <v/>
      </c>
      <c r="E491" s="14" t="str">
        <f>+IF(B491="","",'Detalle Compras'!S491+0)</f>
        <v/>
      </c>
      <c r="F491" s="14" t="str">
        <f>+IF(B491="","",EOMONTH('Detalle Compras'!S491,G491)+10)</f>
        <v/>
      </c>
      <c r="G491" s="50">
        <f t="shared" si="35"/>
        <v>0</v>
      </c>
      <c r="H491" s="50">
        <f t="shared" si="36"/>
        <v>0</v>
      </c>
    </row>
    <row r="492" spans="1:8" x14ac:dyDescent="0.2">
      <c r="A492" s="37">
        <v>490</v>
      </c>
      <c r="C492" s="17">
        <f>+'Detalle Compras'!D492</f>
        <v>0</v>
      </c>
      <c r="D492" s="55" t="str">
        <f t="shared" si="34"/>
        <v/>
      </c>
      <c r="E492" s="14" t="str">
        <f>+IF(B492="","",'Detalle Compras'!S492+0)</f>
        <v/>
      </c>
      <c r="F492" s="14" t="str">
        <f>+IF(B492="","",EOMONTH('Detalle Compras'!S492,G492)+10)</f>
        <v/>
      </c>
      <c r="G492" s="50">
        <f t="shared" si="35"/>
        <v>0</v>
      </c>
      <c r="H492" s="50">
        <f t="shared" si="36"/>
        <v>0</v>
      </c>
    </row>
    <row r="493" spans="1:8" x14ac:dyDescent="0.2">
      <c r="A493" s="37">
        <v>491</v>
      </c>
      <c r="C493" s="17">
        <f>+'Detalle Compras'!D493</f>
        <v>0</v>
      </c>
      <c r="D493" s="55" t="str">
        <f t="shared" si="34"/>
        <v/>
      </c>
      <c r="E493" s="14" t="str">
        <f>+IF(B493="","",'Detalle Compras'!S493+0)</f>
        <v/>
      </c>
      <c r="F493" s="14" t="str">
        <f>+IF(B493="","",EOMONTH('Detalle Compras'!S493,G493)+10)</f>
        <v/>
      </c>
      <c r="G493" s="50">
        <f t="shared" si="35"/>
        <v>0</v>
      </c>
      <c r="H493" s="50">
        <f t="shared" si="36"/>
        <v>0</v>
      </c>
    </row>
    <row r="494" spans="1:8" x14ac:dyDescent="0.2">
      <c r="A494" s="37">
        <v>492</v>
      </c>
      <c r="C494" s="17">
        <f>+'Detalle Compras'!D494</f>
        <v>0</v>
      </c>
      <c r="D494" s="55" t="str">
        <f t="shared" si="34"/>
        <v/>
      </c>
      <c r="E494" s="14" t="str">
        <f>+IF(B494="","",'Detalle Compras'!S494+0)</f>
        <v/>
      </c>
      <c r="F494" s="14" t="str">
        <f>+IF(B494="","",EOMONTH('Detalle Compras'!S494,G494)+10)</f>
        <v/>
      </c>
      <c r="G494" s="50">
        <f t="shared" si="35"/>
        <v>0</v>
      </c>
      <c r="H494" s="50">
        <f t="shared" si="36"/>
        <v>0</v>
      </c>
    </row>
    <row r="495" spans="1:8" x14ac:dyDescent="0.2">
      <c r="A495" s="37">
        <v>493</v>
      </c>
      <c r="C495" s="17">
        <f>+'Detalle Compras'!D495</f>
        <v>0</v>
      </c>
      <c r="D495" s="55" t="str">
        <f t="shared" si="34"/>
        <v/>
      </c>
      <c r="E495" s="14" t="str">
        <f>+IF(B495="","",'Detalle Compras'!S495+0)</f>
        <v/>
      </c>
      <c r="F495" s="14" t="str">
        <f>+IF(B495="","",EOMONTH('Detalle Compras'!S495,G495)+10)</f>
        <v/>
      </c>
      <c r="G495" s="50">
        <f t="shared" si="35"/>
        <v>0</v>
      </c>
      <c r="H495" s="50">
        <f t="shared" si="36"/>
        <v>0</v>
      </c>
    </row>
    <row r="496" spans="1:8" x14ac:dyDescent="0.2">
      <c r="A496" s="37">
        <v>494</v>
      </c>
      <c r="C496" s="17">
        <f>+'Detalle Compras'!D496</f>
        <v>0</v>
      </c>
      <c r="D496" s="55" t="str">
        <f t="shared" si="34"/>
        <v/>
      </c>
      <c r="E496" s="14" t="str">
        <f>+IF(B496="","",'Detalle Compras'!S496+0)</f>
        <v/>
      </c>
      <c r="F496" s="14" t="str">
        <f>+IF(B496="","",EOMONTH('Detalle Compras'!S496,G496)+10)</f>
        <v/>
      </c>
      <c r="G496" s="50">
        <f t="shared" si="35"/>
        <v>0</v>
      </c>
      <c r="H496" s="50">
        <f t="shared" si="36"/>
        <v>0</v>
      </c>
    </row>
    <row r="497" spans="1:8" x14ac:dyDescent="0.2">
      <c r="A497" s="37">
        <v>495</v>
      </c>
      <c r="C497" s="17">
        <f>+'Detalle Compras'!D497</f>
        <v>0</v>
      </c>
      <c r="D497" s="55" t="str">
        <f t="shared" si="34"/>
        <v/>
      </c>
      <c r="E497" s="14" t="str">
        <f>+IF(B497="","",'Detalle Compras'!S497+0)</f>
        <v/>
      </c>
      <c r="F497" s="14" t="str">
        <f>+IF(B497="","",EOMONTH('Detalle Compras'!S497,G497)+10)</f>
        <v/>
      </c>
      <c r="G497" s="50">
        <f t="shared" si="35"/>
        <v>0</v>
      </c>
      <c r="H497" s="50">
        <f t="shared" si="36"/>
        <v>0</v>
      </c>
    </row>
    <row r="498" spans="1:8" x14ac:dyDescent="0.2">
      <c r="A498" s="37">
        <v>496</v>
      </c>
      <c r="C498" s="17">
        <f>+'Detalle Compras'!D498</f>
        <v>0</v>
      </c>
      <c r="D498" s="55" t="str">
        <f t="shared" si="34"/>
        <v/>
      </c>
      <c r="E498" s="14" t="str">
        <f>+IF(B498="","",'Detalle Compras'!S498+0)</f>
        <v/>
      </c>
      <c r="F498" s="14" t="str">
        <f>+IF(B498="","",EOMONTH('Detalle Compras'!S498,G498)+10)</f>
        <v/>
      </c>
      <c r="G498" s="50">
        <f t="shared" si="35"/>
        <v>0</v>
      </c>
      <c r="H498" s="50">
        <f t="shared" si="36"/>
        <v>0</v>
      </c>
    </row>
    <row r="499" spans="1:8" x14ac:dyDescent="0.2">
      <c r="A499" s="37">
        <v>497</v>
      </c>
      <c r="C499" s="17">
        <f>+'Detalle Compras'!D499</f>
        <v>0</v>
      </c>
      <c r="D499" s="55" t="str">
        <f t="shared" si="34"/>
        <v/>
      </c>
      <c r="E499" s="14" t="str">
        <f>+IF(B499="","",'Detalle Compras'!S499+0)</f>
        <v/>
      </c>
      <c r="F499" s="14" t="str">
        <f>+IF(B499="","",EOMONTH('Detalle Compras'!S499,G499)+10)</f>
        <v/>
      </c>
      <c r="G499" s="50">
        <f t="shared" si="35"/>
        <v>0</v>
      </c>
      <c r="H499" s="50">
        <f t="shared" si="36"/>
        <v>0</v>
      </c>
    </row>
    <row r="500" spans="1:8" x14ac:dyDescent="0.2">
      <c r="A500" s="37">
        <v>498</v>
      </c>
      <c r="C500" s="17">
        <f>+'Detalle Compras'!D500</f>
        <v>0</v>
      </c>
      <c r="D500" s="55" t="str">
        <f t="shared" si="34"/>
        <v/>
      </c>
      <c r="E500" s="14" t="str">
        <f>+IF(B500="","",'Detalle Compras'!S500+0)</f>
        <v/>
      </c>
      <c r="F500" s="14" t="str">
        <f>+IF(B500="","",EOMONTH('Detalle Compras'!S500,G500)+10)</f>
        <v/>
      </c>
      <c r="G500" s="50">
        <f t="shared" si="35"/>
        <v>0</v>
      </c>
      <c r="H500" s="50">
        <f t="shared" si="36"/>
        <v>0</v>
      </c>
    </row>
    <row r="501" spans="1:8" x14ac:dyDescent="0.2">
      <c r="A501" s="37">
        <v>499</v>
      </c>
      <c r="C501" s="17">
        <f>+'Detalle Compras'!D501</f>
        <v>0</v>
      </c>
      <c r="D501" s="55" t="str">
        <f t="shared" si="34"/>
        <v/>
      </c>
      <c r="E501" s="14" t="str">
        <f>+IF(B501="","",'Detalle Compras'!S501+0)</f>
        <v/>
      </c>
      <c r="F501" s="14" t="str">
        <f>+IF(B501="","",EOMONTH('Detalle Compras'!S501,G501)+10)</f>
        <v/>
      </c>
      <c r="G501" s="50">
        <f t="shared" si="35"/>
        <v>0</v>
      </c>
      <c r="H501" s="50">
        <f t="shared" si="36"/>
        <v>0</v>
      </c>
    </row>
    <row r="502" spans="1:8" x14ac:dyDescent="0.2">
      <c r="A502" s="37">
        <v>500</v>
      </c>
      <c r="C502" s="17">
        <f>+'Detalle Compras'!D502</f>
        <v>0</v>
      </c>
      <c r="D502" s="55" t="str">
        <f t="shared" si="34"/>
        <v/>
      </c>
      <c r="E502" s="14" t="str">
        <f>+IF(B502="","",'Detalle Compras'!S502+0)</f>
        <v/>
      </c>
      <c r="F502" s="14" t="str">
        <f>+IF(B502="","",EOMONTH('Detalle Compras'!S502,G502)+10)</f>
        <v/>
      </c>
      <c r="G502" s="50">
        <f t="shared" si="35"/>
        <v>0</v>
      </c>
      <c r="H502" s="50">
        <f t="shared" si="36"/>
        <v>0</v>
      </c>
    </row>
    <row r="503" spans="1:8" x14ac:dyDescent="0.2">
      <c r="A503" s="37">
        <v>501</v>
      </c>
      <c r="C503" s="17">
        <f>+'Detalle Compras'!D503</f>
        <v>0</v>
      </c>
      <c r="D503" s="55" t="str">
        <f t="shared" si="34"/>
        <v/>
      </c>
      <c r="E503" s="14" t="str">
        <f>+IF(B503="","",'Detalle Compras'!S503+0)</f>
        <v/>
      </c>
      <c r="F503" s="14" t="str">
        <f>+IF(B503="","",EOMONTH('Detalle Compras'!S503,G503)+10)</f>
        <v/>
      </c>
      <c r="G503" s="50">
        <f t="shared" si="35"/>
        <v>0</v>
      </c>
      <c r="H503" s="50">
        <f t="shared" si="36"/>
        <v>0</v>
      </c>
    </row>
    <row r="504" spans="1:8" x14ac:dyDescent="0.2">
      <c r="A504" s="37">
        <v>502</v>
      </c>
      <c r="C504" s="17">
        <f>+'Detalle Compras'!D504</f>
        <v>0</v>
      </c>
      <c r="D504" s="55" t="str">
        <f t="shared" si="34"/>
        <v/>
      </c>
      <c r="E504" s="14" t="str">
        <f>+IF(B504="","",'Detalle Compras'!S504+0)</f>
        <v/>
      </c>
      <c r="F504" s="14" t="str">
        <f>+IF(B504="","",EOMONTH('Detalle Compras'!S504,G504)+10)</f>
        <v/>
      </c>
      <c r="G504" s="50">
        <f t="shared" si="35"/>
        <v>0</v>
      </c>
      <c r="H504" s="50">
        <f t="shared" si="36"/>
        <v>0</v>
      </c>
    </row>
    <row r="505" spans="1:8" x14ac:dyDescent="0.2">
      <c r="A505" s="37">
        <v>503</v>
      </c>
      <c r="C505" s="17">
        <f>+'Detalle Compras'!D505</f>
        <v>0</v>
      </c>
      <c r="D505" s="55" t="str">
        <f t="shared" si="34"/>
        <v/>
      </c>
      <c r="E505" s="14" t="str">
        <f>+IF(B505="","",'Detalle Compras'!S505+0)</f>
        <v/>
      </c>
      <c r="F505" s="14" t="str">
        <f>+IF(B505="","",EOMONTH('Detalle Compras'!S505,G505)+10)</f>
        <v/>
      </c>
      <c r="G505" s="50">
        <f t="shared" si="35"/>
        <v>0</v>
      </c>
      <c r="H505" s="50">
        <f t="shared" si="36"/>
        <v>0</v>
      </c>
    </row>
    <row r="506" spans="1:8" x14ac:dyDescent="0.2">
      <c r="A506" s="37">
        <v>504</v>
      </c>
      <c r="C506" s="17">
        <f>+'Detalle Compras'!D506</f>
        <v>0</v>
      </c>
      <c r="D506" s="55" t="str">
        <f t="shared" si="34"/>
        <v/>
      </c>
      <c r="E506" s="14" t="str">
        <f>+IF(B506="","",'Detalle Compras'!S506+0)</f>
        <v/>
      </c>
      <c r="F506" s="14" t="str">
        <f>+IF(B506="","",EOMONTH('Detalle Compras'!S506,G506)+10)</f>
        <v/>
      </c>
      <c r="G506" s="50">
        <f t="shared" si="35"/>
        <v>0</v>
      </c>
      <c r="H506" s="50">
        <f t="shared" si="36"/>
        <v>0</v>
      </c>
    </row>
    <row r="507" spans="1:8" x14ac:dyDescent="0.2">
      <c r="A507" s="37">
        <v>505</v>
      </c>
      <c r="C507" s="17">
        <f>+'Detalle Compras'!D507</f>
        <v>0</v>
      </c>
      <c r="D507" s="55" t="str">
        <f t="shared" si="34"/>
        <v/>
      </c>
      <c r="E507" s="14" t="str">
        <f>+IF(B507="","",'Detalle Compras'!S507+0)</f>
        <v/>
      </c>
      <c r="F507" s="14" t="str">
        <f>+IF(B507="","",EOMONTH('Detalle Compras'!S507,G507)+10)</f>
        <v/>
      </c>
      <c r="G507" s="50">
        <f t="shared" si="35"/>
        <v>0</v>
      </c>
      <c r="H507" s="50">
        <f t="shared" si="36"/>
        <v>0</v>
      </c>
    </row>
    <row r="508" spans="1:8" x14ac:dyDescent="0.2">
      <c r="A508" s="37">
        <v>506</v>
      </c>
      <c r="C508" s="17">
        <f>+'Detalle Compras'!D508</f>
        <v>0</v>
      </c>
      <c r="D508" s="55" t="str">
        <f t="shared" si="34"/>
        <v/>
      </c>
      <c r="E508" s="14" t="str">
        <f>+IF(B508="","",'Detalle Compras'!S508+0)</f>
        <v/>
      </c>
      <c r="F508" s="14" t="str">
        <f>+IF(B508="","",EOMONTH('Detalle Compras'!S508,G508)+10)</f>
        <v/>
      </c>
      <c r="G508" s="50">
        <f t="shared" si="35"/>
        <v>0</v>
      </c>
      <c r="H508" s="50">
        <f t="shared" si="36"/>
        <v>0</v>
      </c>
    </row>
    <row r="509" spans="1:8" x14ac:dyDescent="0.2">
      <c r="A509" s="37">
        <v>507</v>
      </c>
      <c r="C509" s="17">
        <f>+'Detalle Compras'!D509</f>
        <v>0</v>
      </c>
      <c r="D509" s="55" t="str">
        <f t="shared" si="34"/>
        <v/>
      </c>
      <c r="E509" s="14" t="str">
        <f>+IF(B509="","",'Detalle Compras'!S509+0)</f>
        <v/>
      </c>
      <c r="F509" s="14" t="str">
        <f>+IF(B509="","",EOMONTH('Detalle Compras'!S509,G509)+10)</f>
        <v/>
      </c>
      <c r="G509" s="50">
        <f t="shared" si="35"/>
        <v>0</v>
      </c>
      <c r="H509" s="50">
        <f t="shared" si="36"/>
        <v>0</v>
      </c>
    </row>
    <row r="510" spans="1:8" x14ac:dyDescent="0.2">
      <c r="A510" s="37">
        <v>508</v>
      </c>
      <c r="C510" s="17">
        <f>+'Detalle Compras'!D510</f>
        <v>0</v>
      </c>
      <c r="D510" s="55" t="str">
        <f t="shared" si="34"/>
        <v/>
      </c>
      <c r="E510" s="14" t="str">
        <f>+IF(B510="","",'Detalle Compras'!S510+0)</f>
        <v/>
      </c>
      <c r="F510" s="14" t="str">
        <f>+IF(B510="","",EOMONTH('Detalle Compras'!S510,G510)+10)</f>
        <v/>
      </c>
      <c r="G510" s="50">
        <f t="shared" si="35"/>
        <v>0</v>
      </c>
      <c r="H510" s="50">
        <f t="shared" si="36"/>
        <v>0</v>
      </c>
    </row>
    <row r="511" spans="1:8" x14ac:dyDescent="0.2">
      <c r="A511" s="37">
        <v>509</v>
      </c>
      <c r="C511" s="17">
        <f>+'Detalle Compras'!D511</f>
        <v>0</v>
      </c>
      <c r="D511" s="55" t="str">
        <f t="shared" si="34"/>
        <v/>
      </c>
      <c r="E511" s="14" t="str">
        <f>+IF(B511="","",'Detalle Compras'!S511+0)</f>
        <v/>
      </c>
      <c r="F511" s="14" t="str">
        <f>+IF(B511="","",EOMONTH('Detalle Compras'!S511,G511)+10)</f>
        <v/>
      </c>
      <c r="G511" s="50">
        <f t="shared" si="35"/>
        <v>0</v>
      </c>
      <c r="H511" s="50">
        <f t="shared" si="36"/>
        <v>0</v>
      </c>
    </row>
    <row r="512" spans="1:8" x14ac:dyDescent="0.2">
      <c r="A512" s="37">
        <v>510</v>
      </c>
      <c r="C512" s="17">
        <f>+'Detalle Compras'!D512</f>
        <v>0</v>
      </c>
      <c r="D512" s="55" t="str">
        <f t="shared" si="34"/>
        <v/>
      </c>
      <c r="E512" s="14" t="str">
        <f>+IF(B512="","",'Detalle Compras'!S512+0)</f>
        <v/>
      </c>
      <c r="F512" s="14" t="str">
        <f>+IF(B512="","",EOMONTH('Detalle Compras'!S512,G512)+10)</f>
        <v/>
      </c>
      <c r="G512" s="50">
        <f t="shared" si="35"/>
        <v>0</v>
      </c>
      <c r="H512" s="50">
        <f t="shared" si="36"/>
        <v>0</v>
      </c>
    </row>
    <row r="513" spans="1:8" x14ac:dyDescent="0.2">
      <c r="A513" s="37">
        <v>511</v>
      </c>
      <c r="C513" s="17">
        <f>+'Detalle Compras'!D513</f>
        <v>0</v>
      </c>
      <c r="D513" s="55" t="str">
        <f t="shared" si="34"/>
        <v/>
      </c>
      <c r="E513" s="14" t="str">
        <f>+IF(B513="","",'Detalle Compras'!S513+0)</f>
        <v/>
      </c>
      <c r="F513" s="14" t="str">
        <f>+IF(B513="","",EOMONTH('Detalle Compras'!S513,G513)+10)</f>
        <v/>
      </c>
      <c r="G513" s="50">
        <f t="shared" si="35"/>
        <v>0</v>
      </c>
      <c r="H513" s="50">
        <f t="shared" si="36"/>
        <v>0</v>
      </c>
    </row>
    <row r="514" spans="1:8" x14ac:dyDescent="0.2">
      <c r="A514" s="37">
        <v>512</v>
      </c>
      <c r="C514" s="17">
        <f>+'Detalle Compras'!D514</f>
        <v>0</v>
      </c>
      <c r="D514" s="55" t="str">
        <f t="shared" si="34"/>
        <v/>
      </c>
      <c r="E514" s="14" t="str">
        <f>+IF(B514="","",'Detalle Compras'!S514+0)</f>
        <v/>
      </c>
      <c r="F514" s="14" t="str">
        <f>+IF(B514="","",EOMONTH('Detalle Compras'!S514,G514)+10)</f>
        <v/>
      </c>
      <c r="G514" s="50">
        <f t="shared" si="35"/>
        <v>0</v>
      </c>
      <c r="H514" s="50">
        <f t="shared" si="36"/>
        <v>0</v>
      </c>
    </row>
    <row r="515" spans="1:8" x14ac:dyDescent="0.2">
      <c r="A515" s="37">
        <v>513</v>
      </c>
      <c r="C515" s="17">
        <f>+'Detalle Compras'!D515</f>
        <v>0</v>
      </c>
      <c r="D515" s="55" t="str">
        <f t="shared" si="34"/>
        <v/>
      </c>
      <c r="E515" s="14" t="str">
        <f>+IF(B515="","",'Detalle Compras'!S515+0)</f>
        <v/>
      </c>
      <c r="F515" s="14" t="str">
        <f>+IF(B515="","",EOMONTH('Detalle Compras'!S515,G515)+10)</f>
        <v/>
      </c>
      <c r="G515" s="50">
        <f t="shared" si="35"/>
        <v>0</v>
      </c>
      <c r="H515" s="50">
        <f t="shared" si="36"/>
        <v>0</v>
      </c>
    </row>
    <row r="516" spans="1:8" x14ac:dyDescent="0.2">
      <c r="A516" s="37">
        <v>514</v>
      </c>
      <c r="C516" s="17">
        <f>+'Detalle Compras'!D516</f>
        <v>0</v>
      </c>
      <c r="D516" s="55" t="str">
        <f t="shared" ref="D516:D579" si="37">+IF(B516="","",EA516)</f>
        <v/>
      </c>
      <c r="E516" s="14" t="str">
        <f>+IF(B516="","",'Detalle Compras'!S516+0)</f>
        <v/>
      </c>
      <c r="F516" s="14" t="str">
        <f>+IF(B516="","",EOMONTH('Detalle Compras'!S516,G516)+10)</f>
        <v/>
      </c>
      <c r="G516" s="50">
        <f t="shared" ref="G516:G579" si="38">+COUNTIF(I516:ADF516,"&gt;1")</f>
        <v>0</v>
      </c>
      <c r="H516" s="50">
        <f t="shared" ref="H516:H579" si="39">+COUNT(AF516:ADF516)</f>
        <v>0</v>
      </c>
    </row>
    <row r="517" spans="1:8" x14ac:dyDescent="0.2">
      <c r="A517" s="37">
        <v>515</v>
      </c>
      <c r="C517" s="17">
        <f>+'Detalle Compras'!D517</f>
        <v>0</v>
      </c>
      <c r="D517" s="55" t="str">
        <f t="shared" si="37"/>
        <v/>
      </c>
      <c r="E517" s="14" t="str">
        <f>+IF(B517="","",'Detalle Compras'!S517+0)</f>
        <v/>
      </c>
      <c r="F517" s="14" t="str">
        <f>+IF(B517="","",EOMONTH('Detalle Compras'!S517,G517)+10)</f>
        <v/>
      </c>
      <c r="G517" s="50">
        <f t="shared" si="38"/>
        <v>0</v>
      </c>
      <c r="H517" s="50">
        <f t="shared" si="39"/>
        <v>0</v>
      </c>
    </row>
    <row r="518" spans="1:8" x14ac:dyDescent="0.2">
      <c r="A518" s="37">
        <v>516</v>
      </c>
      <c r="C518" s="17">
        <f>+'Detalle Compras'!D518</f>
        <v>0</v>
      </c>
      <c r="D518" s="55" t="str">
        <f t="shared" si="37"/>
        <v/>
      </c>
      <c r="E518" s="14" t="str">
        <f>+IF(B518="","",'Detalle Compras'!S518+0)</f>
        <v/>
      </c>
      <c r="F518" s="14" t="str">
        <f>+IF(B518="","",EOMONTH('Detalle Compras'!S518,G518)+10)</f>
        <v/>
      </c>
      <c r="G518" s="50">
        <f t="shared" si="38"/>
        <v>0</v>
      </c>
      <c r="H518" s="50">
        <f t="shared" si="39"/>
        <v>0</v>
      </c>
    </row>
    <row r="519" spans="1:8" x14ac:dyDescent="0.2">
      <c r="A519" s="37">
        <v>517</v>
      </c>
      <c r="C519" s="17">
        <f>+'Detalle Compras'!D519</f>
        <v>0</v>
      </c>
      <c r="D519" s="55" t="str">
        <f t="shared" si="37"/>
        <v/>
      </c>
      <c r="E519" s="14" t="str">
        <f>+IF(B519="","",'Detalle Compras'!S519+0)</f>
        <v/>
      </c>
      <c r="F519" s="14" t="str">
        <f>+IF(B519="","",EOMONTH('Detalle Compras'!S519,G519)+10)</f>
        <v/>
      </c>
      <c r="G519" s="50">
        <f t="shared" si="38"/>
        <v>0</v>
      </c>
      <c r="H519" s="50">
        <f t="shared" si="39"/>
        <v>0</v>
      </c>
    </row>
    <row r="520" spans="1:8" x14ac:dyDescent="0.2">
      <c r="A520" s="37">
        <v>518</v>
      </c>
      <c r="C520" s="17">
        <f>+'Detalle Compras'!D520</f>
        <v>0</v>
      </c>
      <c r="D520" s="55" t="str">
        <f t="shared" si="37"/>
        <v/>
      </c>
      <c r="E520" s="14" t="str">
        <f>+IF(B520="","",'Detalle Compras'!S520+0)</f>
        <v/>
      </c>
      <c r="F520" s="14" t="str">
        <f>+IF(B520="","",EOMONTH('Detalle Compras'!S520,G520)+10)</f>
        <v/>
      </c>
      <c r="G520" s="50">
        <f t="shared" si="38"/>
        <v>0</v>
      </c>
      <c r="H520" s="50">
        <f t="shared" si="39"/>
        <v>0</v>
      </c>
    </row>
    <row r="521" spans="1:8" x14ac:dyDescent="0.2">
      <c r="A521" s="37">
        <v>519</v>
      </c>
      <c r="C521" s="17">
        <f>+'Detalle Compras'!D521</f>
        <v>0</v>
      </c>
      <c r="D521" s="55" t="str">
        <f t="shared" si="37"/>
        <v/>
      </c>
      <c r="E521" s="14" t="str">
        <f>+IF(B521="","",'Detalle Compras'!S521+0)</f>
        <v/>
      </c>
      <c r="F521" s="14" t="str">
        <f>+IF(B521="","",EOMONTH('Detalle Compras'!S521,G521)+10)</f>
        <v/>
      </c>
      <c r="G521" s="50">
        <f t="shared" si="38"/>
        <v>0</v>
      </c>
      <c r="H521" s="50">
        <f t="shared" si="39"/>
        <v>0</v>
      </c>
    </row>
    <row r="522" spans="1:8" x14ac:dyDescent="0.2">
      <c r="A522" s="37">
        <v>520</v>
      </c>
      <c r="C522" s="17">
        <f>+'Detalle Compras'!D522</f>
        <v>0</v>
      </c>
      <c r="D522" s="55" t="str">
        <f t="shared" si="37"/>
        <v/>
      </c>
      <c r="E522" s="14" t="str">
        <f>+IF(B522="","",'Detalle Compras'!S522+0)</f>
        <v/>
      </c>
      <c r="F522" s="14" t="str">
        <f>+IF(B522="","",EOMONTH('Detalle Compras'!S522,G522)+10)</f>
        <v/>
      </c>
      <c r="G522" s="50">
        <f t="shared" si="38"/>
        <v>0</v>
      </c>
      <c r="H522" s="50">
        <f t="shared" si="39"/>
        <v>0</v>
      </c>
    </row>
    <row r="523" spans="1:8" x14ac:dyDescent="0.2">
      <c r="A523" s="37">
        <v>521</v>
      </c>
      <c r="C523" s="17">
        <f>+'Detalle Compras'!D523</f>
        <v>0</v>
      </c>
      <c r="D523" s="55" t="str">
        <f t="shared" si="37"/>
        <v/>
      </c>
      <c r="E523" s="14" t="str">
        <f>+IF(B523="","",'Detalle Compras'!S523+0)</f>
        <v/>
      </c>
      <c r="F523" s="14" t="str">
        <f>+IF(B523="","",EOMONTH('Detalle Compras'!S523,G523)+10)</f>
        <v/>
      </c>
      <c r="G523" s="50">
        <f t="shared" si="38"/>
        <v>0</v>
      </c>
      <c r="H523" s="50">
        <f t="shared" si="39"/>
        <v>0</v>
      </c>
    </row>
    <row r="524" spans="1:8" x14ac:dyDescent="0.2">
      <c r="A524" s="37">
        <v>522</v>
      </c>
      <c r="C524" s="17">
        <f>+'Detalle Compras'!D524</f>
        <v>0</v>
      </c>
      <c r="D524" s="55" t="str">
        <f t="shared" si="37"/>
        <v/>
      </c>
      <c r="E524" s="14" t="str">
        <f>+IF(B524="","",'Detalle Compras'!S524+0)</f>
        <v/>
      </c>
      <c r="F524" s="14" t="str">
        <f>+IF(B524="","",EOMONTH('Detalle Compras'!S524,G524)+10)</f>
        <v/>
      </c>
      <c r="G524" s="50">
        <f t="shared" si="38"/>
        <v>0</v>
      </c>
      <c r="H524" s="50">
        <f t="shared" si="39"/>
        <v>0</v>
      </c>
    </row>
    <row r="525" spans="1:8" x14ac:dyDescent="0.2">
      <c r="A525" s="37">
        <v>523</v>
      </c>
      <c r="C525" s="17">
        <f>+'Detalle Compras'!D525</f>
        <v>0</v>
      </c>
      <c r="D525" s="55" t="str">
        <f t="shared" si="37"/>
        <v/>
      </c>
      <c r="E525" s="14" t="str">
        <f>+IF(B525="","",'Detalle Compras'!S525+0)</f>
        <v/>
      </c>
      <c r="F525" s="14" t="str">
        <f>+IF(B525="","",EOMONTH('Detalle Compras'!S525,G525)+10)</f>
        <v/>
      </c>
      <c r="G525" s="50">
        <f t="shared" si="38"/>
        <v>0</v>
      </c>
      <c r="H525" s="50">
        <f t="shared" si="39"/>
        <v>0</v>
      </c>
    </row>
    <row r="526" spans="1:8" x14ac:dyDescent="0.2">
      <c r="A526" s="37">
        <v>524</v>
      </c>
      <c r="C526" s="17">
        <f>+'Detalle Compras'!D526</f>
        <v>0</v>
      </c>
      <c r="D526" s="55" t="str">
        <f t="shared" si="37"/>
        <v/>
      </c>
      <c r="E526" s="14" t="str">
        <f>+IF(B526="","",'Detalle Compras'!S526+0)</f>
        <v/>
      </c>
      <c r="F526" s="14" t="str">
        <f>+IF(B526="","",EOMONTH('Detalle Compras'!S526,G526)+10)</f>
        <v/>
      </c>
      <c r="G526" s="50">
        <f t="shared" si="38"/>
        <v>0</v>
      </c>
      <c r="H526" s="50">
        <f t="shared" si="39"/>
        <v>0</v>
      </c>
    </row>
    <row r="527" spans="1:8" x14ac:dyDescent="0.2">
      <c r="A527" s="37">
        <v>525</v>
      </c>
      <c r="C527" s="17">
        <f>+'Detalle Compras'!D527</f>
        <v>0</v>
      </c>
      <c r="D527" s="55" t="str">
        <f t="shared" si="37"/>
        <v/>
      </c>
      <c r="E527" s="14" t="str">
        <f>+IF(B527="","",'Detalle Compras'!S527+0)</f>
        <v/>
      </c>
      <c r="F527" s="14" t="str">
        <f>+IF(B527="","",EOMONTH('Detalle Compras'!S527,G527)+10)</f>
        <v/>
      </c>
      <c r="G527" s="50">
        <f t="shared" si="38"/>
        <v>0</v>
      </c>
      <c r="H527" s="50">
        <f t="shared" si="39"/>
        <v>0</v>
      </c>
    </row>
    <row r="528" spans="1:8" x14ac:dyDescent="0.2">
      <c r="A528" s="37">
        <v>526</v>
      </c>
      <c r="C528" s="17">
        <f>+'Detalle Compras'!D528</f>
        <v>0</v>
      </c>
      <c r="D528" s="55" t="str">
        <f t="shared" si="37"/>
        <v/>
      </c>
      <c r="E528" s="14" t="str">
        <f>+IF(B528="","",'Detalle Compras'!S528+0)</f>
        <v/>
      </c>
      <c r="F528" s="14" t="str">
        <f>+IF(B528="","",EOMONTH('Detalle Compras'!S528,G528)+10)</f>
        <v/>
      </c>
      <c r="G528" s="50">
        <f t="shared" si="38"/>
        <v>0</v>
      </c>
      <c r="H528" s="50">
        <f t="shared" si="39"/>
        <v>0</v>
      </c>
    </row>
    <row r="529" spans="1:8" x14ac:dyDescent="0.2">
      <c r="A529" s="37">
        <v>527</v>
      </c>
      <c r="C529" s="17">
        <f>+'Detalle Compras'!D529</f>
        <v>0</v>
      </c>
      <c r="D529" s="55" t="str">
        <f t="shared" si="37"/>
        <v/>
      </c>
      <c r="E529" s="14" t="str">
        <f>+IF(B529="","",'Detalle Compras'!S529+0)</f>
        <v/>
      </c>
      <c r="F529" s="14" t="str">
        <f>+IF(B529="","",EOMONTH('Detalle Compras'!S529,G529)+10)</f>
        <v/>
      </c>
      <c r="G529" s="50">
        <f t="shared" si="38"/>
        <v>0</v>
      </c>
      <c r="H529" s="50">
        <f t="shared" si="39"/>
        <v>0</v>
      </c>
    </row>
    <row r="530" spans="1:8" x14ac:dyDescent="0.2">
      <c r="A530" s="37">
        <v>528</v>
      </c>
      <c r="C530" s="17">
        <f>+'Detalle Compras'!D530</f>
        <v>0</v>
      </c>
      <c r="D530" s="55" t="str">
        <f t="shared" si="37"/>
        <v/>
      </c>
      <c r="E530" s="14" t="str">
        <f>+IF(B530="","",'Detalle Compras'!S530+0)</f>
        <v/>
      </c>
      <c r="F530" s="14" t="str">
        <f>+IF(B530="","",EOMONTH('Detalle Compras'!S530,G530)+10)</f>
        <v/>
      </c>
      <c r="G530" s="50">
        <f t="shared" si="38"/>
        <v>0</v>
      </c>
      <c r="H530" s="50">
        <f t="shared" si="39"/>
        <v>0</v>
      </c>
    </row>
    <row r="531" spans="1:8" x14ac:dyDescent="0.2">
      <c r="A531" s="37">
        <v>529</v>
      </c>
      <c r="C531" s="17">
        <f>+'Detalle Compras'!D531</f>
        <v>0</v>
      </c>
      <c r="D531" s="55" t="str">
        <f t="shared" si="37"/>
        <v/>
      </c>
      <c r="E531" s="14" t="str">
        <f>+IF(B531="","",'Detalle Compras'!S531+0)</f>
        <v/>
      </c>
      <c r="F531" s="14" t="str">
        <f>+IF(B531="","",EOMONTH('Detalle Compras'!S531,G531)+10)</f>
        <v/>
      </c>
      <c r="G531" s="50">
        <f t="shared" si="38"/>
        <v>0</v>
      </c>
      <c r="H531" s="50">
        <f t="shared" si="39"/>
        <v>0</v>
      </c>
    </row>
    <row r="532" spans="1:8" x14ac:dyDescent="0.2">
      <c r="A532" s="37">
        <v>530</v>
      </c>
      <c r="C532" s="17">
        <f>+'Detalle Compras'!D532</f>
        <v>0</v>
      </c>
      <c r="D532" s="55" t="str">
        <f t="shared" si="37"/>
        <v/>
      </c>
      <c r="E532" s="14" t="str">
        <f>+IF(B532="","",'Detalle Compras'!S532+0)</f>
        <v/>
      </c>
      <c r="F532" s="14" t="str">
        <f>+IF(B532="","",EOMONTH('Detalle Compras'!S532,G532)+10)</f>
        <v/>
      </c>
      <c r="G532" s="50">
        <f t="shared" si="38"/>
        <v>0</v>
      </c>
      <c r="H532" s="50">
        <f t="shared" si="39"/>
        <v>0</v>
      </c>
    </row>
    <row r="533" spans="1:8" x14ac:dyDescent="0.2">
      <c r="A533" s="37">
        <v>531</v>
      </c>
      <c r="C533" s="17">
        <f>+'Detalle Compras'!D533</f>
        <v>0</v>
      </c>
      <c r="D533" s="55" t="str">
        <f t="shared" si="37"/>
        <v/>
      </c>
      <c r="E533" s="14" t="str">
        <f>+IF(B533="","",'Detalle Compras'!S533+0)</f>
        <v/>
      </c>
      <c r="F533" s="14" t="str">
        <f>+IF(B533="","",EOMONTH('Detalle Compras'!S533,G533)+10)</f>
        <v/>
      </c>
      <c r="G533" s="50">
        <f t="shared" si="38"/>
        <v>0</v>
      </c>
      <c r="H533" s="50">
        <f t="shared" si="39"/>
        <v>0</v>
      </c>
    </row>
    <row r="534" spans="1:8" x14ac:dyDescent="0.2">
      <c r="A534" s="37">
        <v>532</v>
      </c>
      <c r="C534" s="17">
        <f>+'Detalle Compras'!D534</f>
        <v>0</v>
      </c>
      <c r="D534" s="55" t="str">
        <f t="shared" si="37"/>
        <v/>
      </c>
      <c r="E534" s="14" t="str">
        <f>+IF(B534="","",'Detalle Compras'!S534+0)</f>
        <v/>
      </c>
      <c r="F534" s="14" t="str">
        <f>+IF(B534="","",EOMONTH('Detalle Compras'!S534,G534)+10)</f>
        <v/>
      </c>
      <c r="G534" s="50">
        <f t="shared" si="38"/>
        <v>0</v>
      </c>
      <c r="H534" s="50">
        <f t="shared" si="39"/>
        <v>0</v>
      </c>
    </row>
    <row r="535" spans="1:8" x14ac:dyDescent="0.2">
      <c r="A535" s="37">
        <v>533</v>
      </c>
      <c r="C535" s="17">
        <f>+'Detalle Compras'!D535</f>
        <v>0</v>
      </c>
      <c r="D535" s="55" t="str">
        <f t="shared" si="37"/>
        <v/>
      </c>
      <c r="E535" s="14" t="str">
        <f>+IF(B535="","",'Detalle Compras'!S535+0)</f>
        <v/>
      </c>
      <c r="F535" s="14" t="str">
        <f>+IF(B535="","",EOMONTH('Detalle Compras'!S535,G535)+10)</f>
        <v/>
      </c>
      <c r="G535" s="50">
        <f t="shared" si="38"/>
        <v>0</v>
      </c>
      <c r="H535" s="50">
        <f t="shared" si="39"/>
        <v>0</v>
      </c>
    </row>
    <row r="536" spans="1:8" x14ac:dyDescent="0.2">
      <c r="A536" s="37">
        <v>534</v>
      </c>
      <c r="C536" s="17">
        <f>+'Detalle Compras'!D536</f>
        <v>0</v>
      </c>
      <c r="D536" s="55" t="str">
        <f t="shared" si="37"/>
        <v/>
      </c>
      <c r="E536" s="14" t="str">
        <f>+IF(B536="","",'Detalle Compras'!S536+0)</f>
        <v/>
      </c>
      <c r="F536" s="14" t="str">
        <f>+IF(B536="","",EOMONTH('Detalle Compras'!S536,G536)+10)</f>
        <v/>
      </c>
      <c r="G536" s="50">
        <f t="shared" si="38"/>
        <v>0</v>
      </c>
      <c r="H536" s="50">
        <f t="shared" si="39"/>
        <v>0</v>
      </c>
    </row>
    <row r="537" spans="1:8" x14ac:dyDescent="0.2">
      <c r="A537" s="37">
        <v>535</v>
      </c>
      <c r="C537" s="17">
        <f>+'Detalle Compras'!D537</f>
        <v>0</v>
      </c>
      <c r="D537" s="55" t="str">
        <f t="shared" si="37"/>
        <v/>
      </c>
      <c r="E537" s="14" t="str">
        <f>+IF(B537="","",'Detalle Compras'!S537+0)</f>
        <v/>
      </c>
      <c r="F537" s="14" t="str">
        <f>+IF(B537="","",EOMONTH('Detalle Compras'!S537,G537)+10)</f>
        <v/>
      </c>
      <c r="G537" s="50">
        <f t="shared" si="38"/>
        <v>0</v>
      </c>
      <c r="H537" s="50">
        <f t="shared" si="39"/>
        <v>0</v>
      </c>
    </row>
    <row r="538" spans="1:8" x14ac:dyDescent="0.2">
      <c r="A538" s="37">
        <v>536</v>
      </c>
      <c r="C538" s="17">
        <f>+'Detalle Compras'!D538</f>
        <v>0</v>
      </c>
      <c r="D538" s="55" t="str">
        <f t="shared" si="37"/>
        <v/>
      </c>
      <c r="E538" s="14" t="str">
        <f>+IF(B538="","",'Detalle Compras'!S538+0)</f>
        <v/>
      </c>
      <c r="F538" s="14" t="str">
        <f>+IF(B538="","",EOMONTH('Detalle Compras'!S538,G538)+10)</f>
        <v/>
      </c>
      <c r="G538" s="50">
        <f t="shared" si="38"/>
        <v>0</v>
      </c>
      <c r="H538" s="50">
        <f t="shared" si="39"/>
        <v>0</v>
      </c>
    </row>
    <row r="539" spans="1:8" x14ac:dyDescent="0.2">
      <c r="A539" s="37">
        <v>537</v>
      </c>
      <c r="C539" s="17">
        <f>+'Detalle Compras'!D539</f>
        <v>0</v>
      </c>
      <c r="D539" s="55" t="str">
        <f t="shared" si="37"/>
        <v/>
      </c>
      <c r="E539" s="14" t="str">
        <f>+IF(B539="","",'Detalle Compras'!S539+0)</f>
        <v/>
      </c>
      <c r="F539" s="14" t="str">
        <f>+IF(B539="","",EOMONTH('Detalle Compras'!S539,G539)+10)</f>
        <v/>
      </c>
      <c r="G539" s="50">
        <f t="shared" si="38"/>
        <v>0</v>
      </c>
      <c r="H539" s="50">
        <f t="shared" si="39"/>
        <v>0</v>
      </c>
    </row>
    <row r="540" spans="1:8" x14ac:dyDescent="0.2">
      <c r="A540" s="37">
        <v>538</v>
      </c>
      <c r="C540" s="17">
        <f>+'Detalle Compras'!D540</f>
        <v>0</v>
      </c>
      <c r="D540" s="55" t="str">
        <f t="shared" si="37"/>
        <v/>
      </c>
      <c r="E540" s="14" t="str">
        <f>+IF(B540="","",'Detalle Compras'!S540+0)</f>
        <v/>
      </c>
      <c r="F540" s="14" t="str">
        <f>+IF(B540="","",EOMONTH('Detalle Compras'!S540,G540)+10)</f>
        <v/>
      </c>
      <c r="G540" s="50">
        <f t="shared" si="38"/>
        <v>0</v>
      </c>
      <c r="H540" s="50">
        <f t="shared" si="39"/>
        <v>0</v>
      </c>
    </row>
    <row r="541" spans="1:8" x14ac:dyDescent="0.2">
      <c r="A541" s="37">
        <v>539</v>
      </c>
      <c r="C541" s="17">
        <f>+'Detalle Compras'!D541</f>
        <v>0</v>
      </c>
      <c r="D541" s="55" t="str">
        <f t="shared" si="37"/>
        <v/>
      </c>
      <c r="E541" s="14" t="str">
        <f>+IF(B541="","",'Detalle Compras'!S541+0)</f>
        <v/>
      </c>
      <c r="F541" s="14" t="str">
        <f>+IF(B541="","",EOMONTH('Detalle Compras'!S541,G541)+10)</f>
        <v/>
      </c>
      <c r="G541" s="50">
        <f t="shared" si="38"/>
        <v>0</v>
      </c>
      <c r="H541" s="50">
        <f t="shared" si="39"/>
        <v>0</v>
      </c>
    </row>
    <row r="542" spans="1:8" x14ac:dyDescent="0.2">
      <c r="A542" s="37">
        <v>540</v>
      </c>
      <c r="C542" s="17">
        <f>+'Detalle Compras'!D542</f>
        <v>0</v>
      </c>
      <c r="D542" s="55" t="str">
        <f t="shared" si="37"/>
        <v/>
      </c>
      <c r="E542" s="14" t="str">
        <f>+IF(B542="","",'Detalle Compras'!S542+0)</f>
        <v/>
      </c>
      <c r="F542" s="14" t="str">
        <f>+IF(B542="","",EOMONTH('Detalle Compras'!S542,G542)+10)</f>
        <v/>
      </c>
      <c r="G542" s="50">
        <f t="shared" si="38"/>
        <v>0</v>
      </c>
      <c r="H542" s="50">
        <f t="shared" si="39"/>
        <v>0</v>
      </c>
    </row>
    <row r="543" spans="1:8" x14ac:dyDescent="0.2">
      <c r="A543" s="37">
        <v>541</v>
      </c>
      <c r="C543" s="17">
        <f>+'Detalle Compras'!D543</f>
        <v>0</v>
      </c>
      <c r="D543" s="55" t="str">
        <f t="shared" si="37"/>
        <v/>
      </c>
      <c r="E543" s="14" t="str">
        <f>+IF(B543="","",'Detalle Compras'!S543+0)</f>
        <v/>
      </c>
      <c r="F543" s="14" t="str">
        <f>+IF(B543="","",EOMONTH('Detalle Compras'!S543,G543)+10)</f>
        <v/>
      </c>
      <c r="G543" s="50">
        <f t="shared" si="38"/>
        <v>0</v>
      </c>
      <c r="H543" s="50">
        <f t="shared" si="39"/>
        <v>0</v>
      </c>
    </row>
    <row r="544" spans="1:8" x14ac:dyDescent="0.2">
      <c r="A544" s="37">
        <v>542</v>
      </c>
      <c r="C544" s="17">
        <f>+'Detalle Compras'!D544</f>
        <v>0</v>
      </c>
      <c r="D544" s="55" t="str">
        <f t="shared" si="37"/>
        <v/>
      </c>
      <c r="E544" s="14" t="str">
        <f>+IF(B544="","",'Detalle Compras'!S544+0)</f>
        <v/>
      </c>
      <c r="F544" s="14" t="str">
        <f>+IF(B544="","",EOMONTH('Detalle Compras'!S544,G544)+10)</f>
        <v/>
      </c>
      <c r="G544" s="50">
        <f t="shared" si="38"/>
        <v>0</v>
      </c>
      <c r="H544" s="50">
        <f t="shared" si="39"/>
        <v>0</v>
      </c>
    </row>
    <row r="545" spans="1:8" x14ac:dyDescent="0.2">
      <c r="A545" s="37">
        <v>543</v>
      </c>
      <c r="C545" s="17">
        <f>+'Detalle Compras'!D545</f>
        <v>0</v>
      </c>
      <c r="D545" s="55" t="str">
        <f t="shared" si="37"/>
        <v/>
      </c>
      <c r="E545" s="14" t="str">
        <f>+IF(B545="","",'Detalle Compras'!S545+0)</f>
        <v/>
      </c>
      <c r="F545" s="14" t="str">
        <f>+IF(B545="","",EOMONTH('Detalle Compras'!S545,G545)+10)</f>
        <v/>
      </c>
      <c r="G545" s="50">
        <f t="shared" si="38"/>
        <v>0</v>
      </c>
      <c r="H545" s="50">
        <f t="shared" si="39"/>
        <v>0</v>
      </c>
    </row>
    <row r="546" spans="1:8" x14ac:dyDescent="0.2">
      <c r="A546" s="37">
        <v>544</v>
      </c>
      <c r="C546" s="17">
        <f>+'Detalle Compras'!D546</f>
        <v>0</v>
      </c>
      <c r="D546" s="55" t="str">
        <f t="shared" si="37"/>
        <v/>
      </c>
      <c r="E546" s="14" t="str">
        <f>+IF(B546="","",'Detalle Compras'!S546+0)</f>
        <v/>
      </c>
      <c r="F546" s="14" t="str">
        <f>+IF(B546="","",EOMONTH('Detalle Compras'!S546,G546)+10)</f>
        <v/>
      </c>
      <c r="G546" s="50">
        <f t="shared" si="38"/>
        <v>0</v>
      </c>
      <c r="H546" s="50">
        <f t="shared" si="39"/>
        <v>0</v>
      </c>
    </row>
    <row r="547" spans="1:8" x14ac:dyDescent="0.2">
      <c r="A547" s="37">
        <v>545</v>
      </c>
      <c r="C547" s="17">
        <f>+'Detalle Compras'!D547</f>
        <v>0</v>
      </c>
      <c r="D547" s="55" t="str">
        <f t="shared" si="37"/>
        <v/>
      </c>
      <c r="E547" s="14" t="str">
        <f>+IF(B547="","",'Detalle Compras'!S547+0)</f>
        <v/>
      </c>
      <c r="F547" s="14" t="str">
        <f>+IF(B547="","",EOMONTH('Detalle Compras'!S547,G547)+10)</f>
        <v/>
      </c>
      <c r="G547" s="50">
        <f t="shared" si="38"/>
        <v>0</v>
      </c>
      <c r="H547" s="50">
        <f t="shared" si="39"/>
        <v>0</v>
      </c>
    </row>
    <row r="548" spans="1:8" x14ac:dyDescent="0.2">
      <c r="A548" s="37">
        <v>546</v>
      </c>
      <c r="C548" s="17">
        <f>+'Detalle Compras'!D548</f>
        <v>0</v>
      </c>
      <c r="D548" s="55" t="str">
        <f t="shared" si="37"/>
        <v/>
      </c>
      <c r="E548" s="14" t="str">
        <f>+IF(B548="","",'Detalle Compras'!S548+0)</f>
        <v/>
      </c>
      <c r="F548" s="14" t="str">
        <f>+IF(B548="","",EOMONTH('Detalle Compras'!S548,G548)+10)</f>
        <v/>
      </c>
      <c r="G548" s="50">
        <f t="shared" si="38"/>
        <v>0</v>
      </c>
      <c r="H548" s="50">
        <f t="shared" si="39"/>
        <v>0</v>
      </c>
    </row>
    <row r="549" spans="1:8" x14ac:dyDescent="0.2">
      <c r="A549" s="37">
        <v>547</v>
      </c>
      <c r="C549" s="17">
        <f>+'Detalle Compras'!D549</f>
        <v>0</v>
      </c>
      <c r="D549" s="55" t="str">
        <f t="shared" si="37"/>
        <v/>
      </c>
      <c r="E549" s="14" t="str">
        <f>+IF(B549="","",'Detalle Compras'!S549+0)</f>
        <v/>
      </c>
      <c r="F549" s="14" t="str">
        <f>+IF(B549="","",EOMONTH('Detalle Compras'!S549,G549)+10)</f>
        <v/>
      </c>
      <c r="G549" s="50">
        <f t="shared" si="38"/>
        <v>0</v>
      </c>
      <c r="H549" s="50">
        <f t="shared" si="39"/>
        <v>0</v>
      </c>
    </row>
    <row r="550" spans="1:8" x14ac:dyDescent="0.2">
      <c r="A550" s="37">
        <v>548</v>
      </c>
      <c r="C550" s="17">
        <f>+'Detalle Compras'!D550</f>
        <v>0</v>
      </c>
      <c r="D550" s="55" t="str">
        <f t="shared" si="37"/>
        <v/>
      </c>
      <c r="E550" s="14" t="str">
        <f>+IF(B550="","",'Detalle Compras'!S550+0)</f>
        <v/>
      </c>
      <c r="F550" s="14" t="str">
        <f>+IF(B550="","",EOMONTH('Detalle Compras'!S550,G550)+10)</f>
        <v/>
      </c>
      <c r="G550" s="50">
        <f t="shared" si="38"/>
        <v>0</v>
      </c>
      <c r="H550" s="50">
        <f t="shared" si="39"/>
        <v>0</v>
      </c>
    </row>
    <row r="551" spans="1:8" x14ac:dyDescent="0.2">
      <c r="A551" s="37">
        <v>549</v>
      </c>
      <c r="C551" s="17">
        <f>+'Detalle Compras'!D551</f>
        <v>0</v>
      </c>
      <c r="D551" s="55" t="str">
        <f t="shared" si="37"/>
        <v/>
      </c>
      <c r="E551" s="14" t="str">
        <f>+IF(B551="","",'Detalle Compras'!S551+0)</f>
        <v/>
      </c>
      <c r="F551" s="14" t="str">
        <f>+IF(B551="","",EOMONTH('Detalle Compras'!S551,G551)+10)</f>
        <v/>
      </c>
      <c r="G551" s="50">
        <f t="shared" si="38"/>
        <v>0</v>
      </c>
      <c r="H551" s="50">
        <f t="shared" si="39"/>
        <v>0</v>
      </c>
    </row>
    <row r="552" spans="1:8" x14ac:dyDescent="0.2">
      <c r="A552" s="37">
        <v>550</v>
      </c>
      <c r="C552" s="17">
        <f>+'Detalle Compras'!D552</f>
        <v>0</v>
      </c>
      <c r="D552" s="55" t="str">
        <f t="shared" si="37"/>
        <v/>
      </c>
      <c r="E552" s="14" t="str">
        <f>+IF(B552="","",'Detalle Compras'!S552+0)</f>
        <v/>
      </c>
      <c r="F552" s="14" t="str">
        <f>+IF(B552="","",EOMONTH('Detalle Compras'!S552,G552)+10)</f>
        <v/>
      </c>
      <c r="G552" s="50">
        <f t="shared" si="38"/>
        <v>0</v>
      </c>
      <c r="H552" s="50">
        <f t="shared" si="39"/>
        <v>0</v>
      </c>
    </row>
    <row r="553" spans="1:8" x14ac:dyDescent="0.2">
      <c r="A553" s="37">
        <v>551</v>
      </c>
      <c r="C553" s="17">
        <f>+'Detalle Compras'!D553</f>
        <v>0</v>
      </c>
      <c r="D553" s="55" t="str">
        <f t="shared" si="37"/>
        <v/>
      </c>
      <c r="E553" s="14" t="str">
        <f>+IF(B553="","",'Detalle Compras'!S553+0)</f>
        <v/>
      </c>
      <c r="F553" s="14" t="str">
        <f>+IF(B553="","",EOMONTH('Detalle Compras'!S553,G553)+10)</f>
        <v/>
      </c>
      <c r="G553" s="50">
        <f t="shared" si="38"/>
        <v>0</v>
      </c>
      <c r="H553" s="50">
        <f t="shared" si="39"/>
        <v>0</v>
      </c>
    </row>
    <row r="554" spans="1:8" x14ac:dyDescent="0.2">
      <c r="A554" s="37">
        <v>552</v>
      </c>
      <c r="C554" s="17">
        <f>+'Detalle Compras'!D554</f>
        <v>0</v>
      </c>
      <c r="D554" s="55" t="str">
        <f t="shared" si="37"/>
        <v/>
      </c>
      <c r="E554" s="14" t="str">
        <f>+IF(B554="","",'Detalle Compras'!S554+0)</f>
        <v/>
      </c>
      <c r="F554" s="14" t="str">
        <f>+IF(B554="","",EOMONTH('Detalle Compras'!S554,G554)+10)</f>
        <v/>
      </c>
      <c r="G554" s="50">
        <f t="shared" si="38"/>
        <v>0</v>
      </c>
      <c r="H554" s="50">
        <f t="shared" si="39"/>
        <v>0</v>
      </c>
    </row>
    <row r="555" spans="1:8" x14ac:dyDescent="0.2">
      <c r="A555" s="37">
        <v>553</v>
      </c>
      <c r="C555" s="17">
        <f>+'Detalle Compras'!D555</f>
        <v>0</v>
      </c>
      <c r="D555" s="55" t="str">
        <f t="shared" si="37"/>
        <v/>
      </c>
      <c r="E555" s="14" t="str">
        <f>+IF(B555="","",'Detalle Compras'!S555+0)</f>
        <v/>
      </c>
      <c r="F555" s="14" t="str">
        <f>+IF(B555="","",EOMONTH('Detalle Compras'!S555,G555)+10)</f>
        <v/>
      </c>
      <c r="G555" s="50">
        <f t="shared" si="38"/>
        <v>0</v>
      </c>
      <c r="H555" s="50">
        <f t="shared" si="39"/>
        <v>0</v>
      </c>
    </row>
    <row r="556" spans="1:8" x14ac:dyDescent="0.2">
      <c r="A556" s="37">
        <v>554</v>
      </c>
      <c r="C556" s="17">
        <f>+'Detalle Compras'!D556</f>
        <v>0</v>
      </c>
      <c r="D556" s="55" t="str">
        <f t="shared" si="37"/>
        <v/>
      </c>
      <c r="E556" s="14" t="str">
        <f>+IF(B556="","",'Detalle Compras'!S556+0)</f>
        <v/>
      </c>
      <c r="F556" s="14" t="str">
        <f>+IF(B556="","",EOMONTH('Detalle Compras'!S556,G556)+10)</f>
        <v/>
      </c>
      <c r="G556" s="50">
        <f t="shared" si="38"/>
        <v>0</v>
      </c>
      <c r="H556" s="50">
        <f t="shared" si="39"/>
        <v>0</v>
      </c>
    </row>
    <row r="557" spans="1:8" x14ac:dyDescent="0.2">
      <c r="A557" s="37">
        <v>555</v>
      </c>
      <c r="C557" s="17">
        <f>+'Detalle Compras'!D557</f>
        <v>0</v>
      </c>
      <c r="D557" s="55" t="str">
        <f t="shared" si="37"/>
        <v/>
      </c>
      <c r="E557" s="14" t="str">
        <f>+IF(B557="","",'Detalle Compras'!S557+0)</f>
        <v/>
      </c>
      <c r="F557" s="14" t="str">
        <f>+IF(B557="","",EOMONTH('Detalle Compras'!S557,G557)+10)</f>
        <v/>
      </c>
      <c r="G557" s="50">
        <f t="shared" si="38"/>
        <v>0</v>
      </c>
      <c r="H557" s="50">
        <f t="shared" si="39"/>
        <v>0</v>
      </c>
    </row>
    <row r="558" spans="1:8" x14ac:dyDescent="0.2">
      <c r="A558" s="37">
        <v>556</v>
      </c>
      <c r="C558" s="17">
        <f>+'Detalle Compras'!D558</f>
        <v>0</v>
      </c>
      <c r="D558" s="55" t="str">
        <f t="shared" si="37"/>
        <v/>
      </c>
      <c r="E558" s="14" t="str">
        <f>+IF(B558="","",'Detalle Compras'!S558+0)</f>
        <v/>
      </c>
      <c r="F558" s="14" t="str">
        <f>+IF(B558="","",EOMONTH('Detalle Compras'!S558,G558)+10)</f>
        <v/>
      </c>
      <c r="G558" s="50">
        <f t="shared" si="38"/>
        <v>0</v>
      </c>
      <c r="H558" s="50">
        <f t="shared" si="39"/>
        <v>0</v>
      </c>
    </row>
    <row r="559" spans="1:8" x14ac:dyDescent="0.2">
      <c r="A559" s="37">
        <v>557</v>
      </c>
      <c r="C559" s="17">
        <f>+'Detalle Compras'!D559</f>
        <v>0</v>
      </c>
      <c r="D559" s="55" t="str">
        <f t="shared" si="37"/>
        <v/>
      </c>
      <c r="E559" s="14" t="str">
        <f>+IF(B559="","",'Detalle Compras'!S559+0)</f>
        <v/>
      </c>
      <c r="F559" s="14" t="str">
        <f>+IF(B559="","",EOMONTH('Detalle Compras'!S559,G559)+10)</f>
        <v/>
      </c>
      <c r="G559" s="50">
        <f t="shared" si="38"/>
        <v>0</v>
      </c>
      <c r="H559" s="50">
        <f t="shared" si="39"/>
        <v>0</v>
      </c>
    </row>
    <row r="560" spans="1:8" x14ac:dyDescent="0.2">
      <c r="A560" s="37">
        <v>558</v>
      </c>
      <c r="C560" s="17">
        <f>+'Detalle Compras'!D560</f>
        <v>0</v>
      </c>
      <c r="D560" s="55" t="str">
        <f t="shared" si="37"/>
        <v/>
      </c>
      <c r="E560" s="14" t="str">
        <f>+IF(B560="","",'Detalle Compras'!S560+0)</f>
        <v/>
      </c>
      <c r="F560" s="14" t="str">
        <f>+IF(B560="","",EOMONTH('Detalle Compras'!S560,G560)+10)</f>
        <v/>
      </c>
      <c r="G560" s="50">
        <f t="shared" si="38"/>
        <v>0</v>
      </c>
      <c r="H560" s="50">
        <f t="shared" si="39"/>
        <v>0</v>
      </c>
    </row>
    <row r="561" spans="1:8" x14ac:dyDescent="0.2">
      <c r="A561" s="37">
        <v>559</v>
      </c>
      <c r="C561" s="17">
        <f>+'Detalle Compras'!D561</f>
        <v>0</v>
      </c>
      <c r="D561" s="55" t="str">
        <f t="shared" si="37"/>
        <v/>
      </c>
      <c r="E561" s="14" t="str">
        <f>+IF(B561="","",'Detalle Compras'!S561+0)</f>
        <v/>
      </c>
      <c r="F561" s="14" t="str">
        <f>+IF(B561="","",EOMONTH('Detalle Compras'!S561,G561)+10)</f>
        <v/>
      </c>
      <c r="G561" s="50">
        <f t="shared" si="38"/>
        <v>0</v>
      </c>
      <c r="H561" s="50">
        <f t="shared" si="39"/>
        <v>0</v>
      </c>
    </row>
    <row r="562" spans="1:8" x14ac:dyDescent="0.2">
      <c r="A562" s="37">
        <v>560</v>
      </c>
      <c r="C562" s="17">
        <f>+'Detalle Compras'!D562</f>
        <v>0</v>
      </c>
      <c r="D562" s="55" t="str">
        <f t="shared" si="37"/>
        <v/>
      </c>
      <c r="E562" s="14" t="str">
        <f>+IF(B562="","",'Detalle Compras'!S562+0)</f>
        <v/>
      </c>
      <c r="F562" s="14" t="str">
        <f>+IF(B562="","",EOMONTH('Detalle Compras'!S562,G562)+10)</f>
        <v/>
      </c>
      <c r="G562" s="50">
        <f t="shared" si="38"/>
        <v>0</v>
      </c>
      <c r="H562" s="50">
        <f t="shared" si="39"/>
        <v>0</v>
      </c>
    </row>
    <row r="563" spans="1:8" x14ac:dyDescent="0.2">
      <c r="A563" s="37">
        <v>561</v>
      </c>
      <c r="C563" s="17">
        <f>+'Detalle Compras'!D563</f>
        <v>0</v>
      </c>
      <c r="D563" s="55" t="str">
        <f t="shared" si="37"/>
        <v/>
      </c>
      <c r="E563" s="14" t="str">
        <f>+IF(B563="","",'Detalle Compras'!S563+0)</f>
        <v/>
      </c>
      <c r="F563" s="14" t="str">
        <f>+IF(B563="","",EOMONTH('Detalle Compras'!S563,G563)+10)</f>
        <v/>
      </c>
      <c r="G563" s="50">
        <f t="shared" si="38"/>
        <v>0</v>
      </c>
      <c r="H563" s="50">
        <f t="shared" si="39"/>
        <v>0</v>
      </c>
    </row>
    <row r="564" spans="1:8" x14ac:dyDescent="0.2">
      <c r="A564" s="37">
        <v>562</v>
      </c>
      <c r="C564" s="17">
        <f>+'Detalle Compras'!D564</f>
        <v>0</v>
      </c>
      <c r="D564" s="55" t="str">
        <f t="shared" si="37"/>
        <v/>
      </c>
      <c r="E564" s="14" t="str">
        <f>+IF(B564="","",'Detalle Compras'!S564+0)</f>
        <v/>
      </c>
      <c r="F564" s="14" t="str">
        <f>+IF(B564="","",EOMONTH('Detalle Compras'!S564,G564)+10)</f>
        <v/>
      </c>
      <c r="G564" s="50">
        <f t="shared" si="38"/>
        <v>0</v>
      </c>
      <c r="H564" s="50">
        <f t="shared" si="39"/>
        <v>0</v>
      </c>
    </row>
    <row r="565" spans="1:8" x14ac:dyDescent="0.2">
      <c r="A565" s="37">
        <v>563</v>
      </c>
      <c r="C565" s="17">
        <f>+'Detalle Compras'!D565</f>
        <v>0</v>
      </c>
      <c r="D565" s="55" t="str">
        <f t="shared" si="37"/>
        <v/>
      </c>
      <c r="E565" s="14" t="str">
        <f>+IF(B565="","",'Detalle Compras'!S565+0)</f>
        <v/>
      </c>
      <c r="F565" s="14" t="str">
        <f>+IF(B565="","",EOMONTH('Detalle Compras'!S565,G565)+10)</f>
        <v/>
      </c>
      <c r="G565" s="50">
        <f t="shared" si="38"/>
        <v>0</v>
      </c>
      <c r="H565" s="50">
        <f t="shared" si="39"/>
        <v>0</v>
      </c>
    </row>
    <row r="566" spans="1:8" x14ac:dyDescent="0.2">
      <c r="A566" s="37">
        <v>564</v>
      </c>
      <c r="C566" s="17">
        <f>+'Detalle Compras'!D566</f>
        <v>0</v>
      </c>
      <c r="D566" s="55" t="str">
        <f t="shared" si="37"/>
        <v/>
      </c>
      <c r="E566" s="14" t="str">
        <f>+IF(B566="","",'Detalle Compras'!S566+0)</f>
        <v/>
      </c>
      <c r="F566" s="14" t="str">
        <f>+IF(B566="","",EOMONTH('Detalle Compras'!S566,G566)+10)</f>
        <v/>
      </c>
      <c r="G566" s="50">
        <f t="shared" si="38"/>
        <v>0</v>
      </c>
      <c r="H566" s="50">
        <f t="shared" si="39"/>
        <v>0</v>
      </c>
    </row>
    <row r="567" spans="1:8" x14ac:dyDescent="0.2">
      <c r="A567" s="37">
        <v>565</v>
      </c>
      <c r="C567" s="17">
        <f>+'Detalle Compras'!D567</f>
        <v>0</v>
      </c>
      <c r="D567" s="55" t="str">
        <f t="shared" si="37"/>
        <v/>
      </c>
      <c r="E567" s="14" t="str">
        <f>+IF(B567="","",'Detalle Compras'!S567+0)</f>
        <v/>
      </c>
      <c r="F567" s="14" t="str">
        <f>+IF(B567="","",EOMONTH('Detalle Compras'!S567,G567)+10)</f>
        <v/>
      </c>
      <c r="G567" s="50">
        <f t="shared" si="38"/>
        <v>0</v>
      </c>
      <c r="H567" s="50">
        <f t="shared" si="39"/>
        <v>0</v>
      </c>
    </row>
    <row r="568" spans="1:8" x14ac:dyDescent="0.2">
      <c r="A568" s="37">
        <v>566</v>
      </c>
      <c r="C568" s="17">
        <f>+'Detalle Compras'!D568</f>
        <v>0</v>
      </c>
      <c r="D568" s="55" t="str">
        <f t="shared" si="37"/>
        <v/>
      </c>
      <c r="E568" s="14" t="str">
        <f>+IF(B568="","",'Detalle Compras'!S568+0)</f>
        <v/>
      </c>
      <c r="F568" s="14" t="str">
        <f>+IF(B568="","",EOMONTH('Detalle Compras'!S568,G568)+10)</f>
        <v/>
      </c>
      <c r="G568" s="50">
        <f t="shared" si="38"/>
        <v>0</v>
      </c>
      <c r="H568" s="50">
        <f t="shared" si="39"/>
        <v>0</v>
      </c>
    </row>
    <row r="569" spans="1:8" x14ac:dyDescent="0.2">
      <c r="A569" s="37">
        <v>567</v>
      </c>
      <c r="C569" s="17">
        <f>+'Detalle Compras'!D569</f>
        <v>0</v>
      </c>
      <c r="D569" s="55" t="str">
        <f t="shared" si="37"/>
        <v/>
      </c>
      <c r="E569" s="14" t="str">
        <f>+IF(B569="","",'Detalle Compras'!S569+0)</f>
        <v/>
      </c>
      <c r="F569" s="14" t="str">
        <f>+IF(B569="","",EOMONTH('Detalle Compras'!S569,G569)+10)</f>
        <v/>
      </c>
      <c r="G569" s="50">
        <f t="shared" si="38"/>
        <v>0</v>
      </c>
      <c r="H569" s="50">
        <f t="shared" si="39"/>
        <v>0</v>
      </c>
    </row>
    <row r="570" spans="1:8" x14ac:dyDescent="0.2">
      <c r="A570" s="37">
        <v>568</v>
      </c>
      <c r="C570" s="17">
        <f>+'Detalle Compras'!D570</f>
        <v>0</v>
      </c>
      <c r="D570" s="55" t="str">
        <f t="shared" si="37"/>
        <v/>
      </c>
      <c r="E570" s="14" t="str">
        <f>+IF(B570="","",'Detalle Compras'!S570+0)</f>
        <v/>
      </c>
      <c r="F570" s="14" t="str">
        <f>+IF(B570="","",EOMONTH('Detalle Compras'!S570,G570)+10)</f>
        <v/>
      </c>
      <c r="G570" s="50">
        <f t="shared" si="38"/>
        <v>0</v>
      </c>
      <c r="H570" s="50">
        <f t="shared" si="39"/>
        <v>0</v>
      </c>
    </row>
    <row r="571" spans="1:8" x14ac:dyDescent="0.2">
      <c r="A571" s="37">
        <v>569</v>
      </c>
      <c r="C571" s="17">
        <f>+'Detalle Compras'!D571</f>
        <v>0</v>
      </c>
      <c r="D571" s="55" t="str">
        <f t="shared" si="37"/>
        <v/>
      </c>
      <c r="E571" s="14" t="str">
        <f>+IF(B571="","",'Detalle Compras'!S571+0)</f>
        <v/>
      </c>
      <c r="F571" s="14" t="str">
        <f>+IF(B571="","",EOMONTH('Detalle Compras'!S571,G571)+10)</f>
        <v/>
      </c>
      <c r="G571" s="50">
        <f t="shared" si="38"/>
        <v>0</v>
      </c>
      <c r="H571" s="50">
        <f t="shared" si="39"/>
        <v>0</v>
      </c>
    </row>
    <row r="572" spans="1:8" x14ac:dyDescent="0.2">
      <c r="A572" s="37">
        <v>570</v>
      </c>
      <c r="C572" s="17">
        <f>+'Detalle Compras'!D572</f>
        <v>0</v>
      </c>
      <c r="D572" s="55" t="str">
        <f t="shared" si="37"/>
        <v/>
      </c>
      <c r="E572" s="14" t="str">
        <f>+IF(B572="","",'Detalle Compras'!S572+0)</f>
        <v/>
      </c>
      <c r="F572" s="14" t="str">
        <f>+IF(B572="","",EOMONTH('Detalle Compras'!S572,G572)+10)</f>
        <v/>
      </c>
      <c r="G572" s="50">
        <f t="shared" si="38"/>
        <v>0</v>
      </c>
      <c r="H572" s="50">
        <f t="shared" si="39"/>
        <v>0</v>
      </c>
    </row>
    <row r="573" spans="1:8" x14ac:dyDescent="0.2">
      <c r="A573" s="37">
        <v>571</v>
      </c>
      <c r="C573" s="17">
        <f>+'Detalle Compras'!D573</f>
        <v>0</v>
      </c>
      <c r="D573" s="55" t="str">
        <f t="shared" si="37"/>
        <v/>
      </c>
      <c r="E573" s="14" t="str">
        <f>+IF(B573="","",'Detalle Compras'!S573+0)</f>
        <v/>
      </c>
      <c r="F573" s="14" t="str">
        <f>+IF(B573="","",EOMONTH('Detalle Compras'!S573,G573)+10)</f>
        <v/>
      </c>
      <c r="G573" s="50">
        <f t="shared" si="38"/>
        <v>0</v>
      </c>
      <c r="H573" s="50">
        <f t="shared" si="39"/>
        <v>0</v>
      </c>
    </row>
    <row r="574" spans="1:8" x14ac:dyDescent="0.2">
      <c r="A574" s="37">
        <v>572</v>
      </c>
      <c r="C574" s="17">
        <f>+'Detalle Compras'!D574</f>
        <v>0</v>
      </c>
      <c r="D574" s="55" t="str">
        <f t="shared" si="37"/>
        <v/>
      </c>
      <c r="E574" s="14" t="str">
        <f>+IF(B574="","",'Detalle Compras'!S574+0)</f>
        <v/>
      </c>
      <c r="F574" s="14" t="str">
        <f>+IF(B574="","",EOMONTH('Detalle Compras'!S574,G574)+10)</f>
        <v/>
      </c>
      <c r="G574" s="50">
        <f t="shared" si="38"/>
        <v>0</v>
      </c>
      <c r="H574" s="50">
        <f t="shared" si="39"/>
        <v>0</v>
      </c>
    </row>
    <row r="575" spans="1:8" x14ac:dyDescent="0.2">
      <c r="A575" s="37">
        <v>573</v>
      </c>
      <c r="C575" s="17">
        <f>+'Detalle Compras'!D575</f>
        <v>0</v>
      </c>
      <c r="D575" s="55" t="str">
        <f t="shared" si="37"/>
        <v/>
      </c>
      <c r="E575" s="14" t="str">
        <f>+IF(B575="","",'Detalle Compras'!S575+0)</f>
        <v/>
      </c>
      <c r="F575" s="14" t="str">
        <f>+IF(B575="","",EOMONTH('Detalle Compras'!S575,G575)+10)</f>
        <v/>
      </c>
      <c r="G575" s="50">
        <f t="shared" si="38"/>
        <v>0</v>
      </c>
      <c r="H575" s="50">
        <f t="shared" si="39"/>
        <v>0</v>
      </c>
    </row>
    <row r="576" spans="1:8" x14ac:dyDescent="0.2">
      <c r="A576" s="37">
        <v>574</v>
      </c>
      <c r="C576" s="17">
        <f>+'Detalle Compras'!D576</f>
        <v>0</v>
      </c>
      <c r="D576" s="55" t="str">
        <f t="shared" si="37"/>
        <v/>
      </c>
      <c r="E576" s="14" t="str">
        <f>+IF(B576="","",'Detalle Compras'!S576+0)</f>
        <v/>
      </c>
      <c r="F576" s="14" t="str">
        <f>+IF(B576="","",EOMONTH('Detalle Compras'!S576,G576)+10)</f>
        <v/>
      </c>
      <c r="G576" s="50">
        <f t="shared" si="38"/>
        <v>0</v>
      </c>
      <c r="H576" s="50">
        <f t="shared" si="39"/>
        <v>0</v>
      </c>
    </row>
    <row r="577" spans="1:8" x14ac:dyDescent="0.2">
      <c r="A577" s="37">
        <v>575</v>
      </c>
      <c r="C577" s="17">
        <f>+'Detalle Compras'!D577</f>
        <v>0</v>
      </c>
      <c r="D577" s="55" t="str">
        <f t="shared" si="37"/>
        <v/>
      </c>
      <c r="E577" s="14" t="str">
        <f>+IF(B577="","",'Detalle Compras'!S577+0)</f>
        <v/>
      </c>
      <c r="F577" s="14" t="str">
        <f>+IF(B577="","",EOMONTH('Detalle Compras'!S577,G577)+10)</f>
        <v/>
      </c>
      <c r="G577" s="50">
        <f t="shared" si="38"/>
        <v>0</v>
      </c>
      <c r="H577" s="50">
        <f t="shared" si="39"/>
        <v>0</v>
      </c>
    </row>
    <row r="578" spans="1:8" x14ac:dyDescent="0.2">
      <c r="A578" s="37">
        <v>576</v>
      </c>
      <c r="C578" s="17">
        <f>+'Detalle Compras'!D578</f>
        <v>0</v>
      </c>
      <c r="D578" s="55" t="str">
        <f t="shared" si="37"/>
        <v/>
      </c>
      <c r="E578" s="14" t="str">
        <f>+IF(B578="","",'Detalle Compras'!S578+0)</f>
        <v/>
      </c>
      <c r="F578" s="14" t="str">
        <f>+IF(B578="","",EOMONTH('Detalle Compras'!S578,G578)+10)</f>
        <v/>
      </c>
      <c r="G578" s="50">
        <f t="shared" si="38"/>
        <v>0</v>
      </c>
      <c r="H578" s="50">
        <f t="shared" si="39"/>
        <v>0</v>
      </c>
    </row>
    <row r="579" spans="1:8" x14ac:dyDescent="0.2">
      <c r="A579" s="37">
        <v>577</v>
      </c>
      <c r="C579" s="17">
        <f>+'Detalle Compras'!D579</f>
        <v>0</v>
      </c>
      <c r="D579" s="55" t="str">
        <f t="shared" si="37"/>
        <v/>
      </c>
      <c r="E579" s="14" t="str">
        <f>+IF(B579="","",'Detalle Compras'!S579+0)</f>
        <v/>
      </c>
      <c r="F579" s="14" t="str">
        <f>+IF(B579="","",EOMONTH('Detalle Compras'!S579,G579)+10)</f>
        <v/>
      </c>
      <c r="G579" s="50">
        <f t="shared" si="38"/>
        <v>0</v>
      </c>
      <c r="H579" s="50">
        <f t="shared" si="39"/>
        <v>0</v>
      </c>
    </row>
    <row r="580" spans="1:8" x14ac:dyDescent="0.2">
      <c r="A580" s="37">
        <v>578</v>
      </c>
      <c r="C580" s="17">
        <f>+'Detalle Compras'!D580</f>
        <v>0</v>
      </c>
      <c r="D580" s="55" t="str">
        <f t="shared" ref="D580:D643" si="40">+IF(B580="","",EA580)</f>
        <v/>
      </c>
      <c r="E580" s="14" t="str">
        <f>+IF(B580="","",'Detalle Compras'!S580+0)</f>
        <v/>
      </c>
      <c r="F580" s="14" t="str">
        <f>+IF(B580="","",EOMONTH('Detalle Compras'!S580,G580)+10)</f>
        <v/>
      </c>
      <c r="G580" s="50">
        <f t="shared" ref="G580:G643" si="41">+COUNTIF(I580:ADF580,"&gt;1")</f>
        <v>0</v>
      </c>
      <c r="H580" s="50">
        <f t="shared" ref="H580:H643" si="42">+COUNT(AF580:ADF580)</f>
        <v>0</v>
      </c>
    </row>
    <row r="581" spans="1:8" x14ac:dyDescent="0.2">
      <c r="A581" s="37">
        <v>579</v>
      </c>
      <c r="C581" s="17">
        <f>+'Detalle Compras'!D581</f>
        <v>0</v>
      </c>
      <c r="D581" s="55" t="str">
        <f t="shared" si="40"/>
        <v/>
      </c>
      <c r="E581" s="14" t="str">
        <f>+IF(B581="","",'Detalle Compras'!S581+0)</f>
        <v/>
      </c>
      <c r="F581" s="14" t="str">
        <f>+IF(B581="","",EOMONTH('Detalle Compras'!S581,G581)+10)</f>
        <v/>
      </c>
      <c r="G581" s="50">
        <f t="shared" si="41"/>
        <v>0</v>
      </c>
      <c r="H581" s="50">
        <f t="shared" si="42"/>
        <v>0</v>
      </c>
    </row>
    <row r="582" spans="1:8" x14ac:dyDescent="0.2">
      <c r="A582" s="37">
        <v>580</v>
      </c>
      <c r="C582" s="17">
        <f>+'Detalle Compras'!D582</f>
        <v>0</v>
      </c>
      <c r="D582" s="55" t="str">
        <f t="shared" si="40"/>
        <v/>
      </c>
      <c r="E582" s="14" t="str">
        <f>+IF(B582="","",'Detalle Compras'!S582+0)</f>
        <v/>
      </c>
      <c r="F582" s="14" t="str">
        <f>+IF(B582="","",EOMONTH('Detalle Compras'!S582,G582)+10)</f>
        <v/>
      </c>
      <c r="G582" s="50">
        <f t="shared" si="41"/>
        <v>0</v>
      </c>
      <c r="H582" s="50">
        <f t="shared" si="42"/>
        <v>0</v>
      </c>
    </row>
    <row r="583" spans="1:8" x14ac:dyDescent="0.2">
      <c r="A583" s="37">
        <v>581</v>
      </c>
      <c r="C583" s="17">
        <f>+'Detalle Compras'!D583</f>
        <v>0</v>
      </c>
      <c r="D583" s="55" t="str">
        <f t="shared" si="40"/>
        <v/>
      </c>
      <c r="E583" s="14" t="str">
        <f>+IF(B583="","",'Detalle Compras'!S583+0)</f>
        <v/>
      </c>
      <c r="F583" s="14" t="str">
        <f>+IF(B583="","",EOMONTH('Detalle Compras'!S583,G583)+10)</f>
        <v/>
      </c>
      <c r="G583" s="50">
        <f t="shared" si="41"/>
        <v>0</v>
      </c>
      <c r="H583" s="50">
        <f t="shared" si="42"/>
        <v>0</v>
      </c>
    </row>
    <row r="584" spans="1:8" x14ac:dyDescent="0.2">
      <c r="A584" s="37">
        <v>582</v>
      </c>
      <c r="C584" s="17">
        <f>+'Detalle Compras'!D584</f>
        <v>0</v>
      </c>
      <c r="D584" s="55" t="str">
        <f t="shared" si="40"/>
        <v/>
      </c>
      <c r="E584" s="14" t="str">
        <f>+IF(B584="","",'Detalle Compras'!S584+0)</f>
        <v/>
      </c>
      <c r="F584" s="14" t="str">
        <f>+IF(B584="","",EOMONTH('Detalle Compras'!S584,G584)+10)</f>
        <v/>
      </c>
      <c r="G584" s="50">
        <f t="shared" si="41"/>
        <v>0</v>
      </c>
      <c r="H584" s="50">
        <f t="shared" si="42"/>
        <v>0</v>
      </c>
    </row>
    <row r="585" spans="1:8" x14ac:dyDescent="0.2">
      <c r="A585" s="37">
        <v>583</v>
      </c>
      <c r="C585" s="17">
        <f>+'Detalle Compras'!D585</f>
        <v>0</v>
      </c>
      <c r="D585" s="55" t="str">
        <f t="shared" si="40"/>
        <v/>
      </c>
      <c r="E585" s="14" t="str">
        <f>+IF(B585="","",'Detalle Compras'!S585+0)</f>
        <v/>
      </c>
      <c r="F585" s="14" t="str">
        <f>+IF(B585="","",EOMONTH('Detalle Compras'!S585,G585)+10)</f>
        <v/>
      </c>
      <c r="G585" s="50">
        <f t="shared" si="41"/>
        <v>0</v>
      </c>
      <c r="H585" s="50">
        <f t="shared" si="42"/>
        <v>0</v>
      </c>
    </row>
    <row r="586" spans="1:8" x14ac:dyDescent="0.2">
      <c r="A586" s="37">
        <v>584</v>
      </c>
      <c r="C586" s="17">
        <f>+'Detalle Compras'!D586</f>
        <v>0</v>
      </c>
      <c r="D586" s="55" t="str">
        <f t="shared" si="40"/>
        <v/>
      </c>
      <c r="E586" s="14" t="str">
        <f>+IF(B586="","",'Detalle Compras'!S586+0)</f>
        <v/>
      </c>
      <c r="F586" s="14" t="str">
        <f>+IF(B586="","",EOMONTH('Detalle Compras'!S586,G586)+10)</f>
        <v/>
      </c>
      <c r="G586" s="50">
        <f t="shared" si="41"/>
        <v>0</v>
      </c>
      <c r="H586" s="50">
        <f t="shared" si="42"/>
        <v>0</v>
      </c>
    </row>
    <row r="587" spans="1:8" x14ac:dyDescent="0.2">
      <c r="A587" s="37">
        <v>585</v>
      </c>
      <c r="C587" s="17">
        <f>+'Detalle Compras'!D587</f>
        <v>0</v>
      </c>
      <c r="D587" s="55" t="str">
        <f t="shared" si="40"/>
        <v/>
      </c>
      <c r="E587" s="14" t="str">
        <f>+IF(B587="","",'Detalle Compras'!S587+0)</f>
        <v/>
      </c>
      <c r="F587" s="14" t="str">
        <f>+IF(B587="","",EOMONTH('Detalle Compras'!S587,G587)+10)</f>
        <v/>
      </c>
      <c r="G587" s="50">
        <f t="shared" si="41"/>
        <v>0</v>
      </c>
      <c r="H587" s="50">
        <f t="shared" si="42"/>
        <v>0</v>
      </c>
    </row>
    <row r="588" spans="1:8" x14ac:dyDescent="0.2">
      <c r="A588" s="37">
        <v>586</v>
      </c>
      <c r="C588" s="17">
        <f>+'Detalle Compras'!D588</f>
        <v>0</v>
      </c>
      <c r="D588" s="55" t="str">
        <f t="shared" si="40"/>
        <v/>
      </c>
      <c r="E588" s="14" t="str">
        <f>+IF(B588="","",'Detalle Compras'!S588+0)</f>
        <v/>
      </c>
      <c r="F588" s="14" t="str">
        <f>+IF(B588="","",EOMONTH('Detalle Compras'!S588,G588)+10)</f>
        <v/>
      </c>
      <c r="G588" s="50">
        <f t="shared" si="41"/>
        <v>0</v>
      </c>
      <c r="H588" s="50">
        <f t="shared" si="42"/>
        <v>0</v>
      </c>
    </row>
    <row r="589" spans="1:8" x14ac:dyDescent="0.2">
      <c r="A589" s="37">
        <v>587</v>
      </c>
      <c r="C589" s="17">
        <f>+'Detalle Compras'!D589</f>
        <v>0</v>
      </c>
      <c r="D589" s="55" t="str">
        <f t="shared" si="40"/>
        <v/>
      </c>
      <c r="E589" s="14" t="str">
        <f>+IF(B589="","",'Detalle Compras'!S589+0)</f>
        <v/>
      </c>
      <c r="F589" s="14" t="str">
        <f>+IF(B589="","",EOMONTH('Detalle Compras'!S589,G589)+10)</f>
        <v/>
      </c>
      <c r="G589" s="50">
        <f t="shared" si="41"/>
        <v>0</v>
      </c>
      <c r="H589" s="50">
        <f t="shared" si="42"/>
        <v>0</v>
      </c>
    </row>
    <row r="590" spans="1:8" x14ac:dyDescent="0.2">
      <c r="A590" s="37">
        <v>588</v>
      </c>
      <c r="C590" s="17">
        <f>+'Detalle Compras'!D590</f>
        <v>0</v>
      </c>
      <c r="D590" s="55" t="str">
        <f t="shared" si="40"/>
        <v/>
      </c>
      <c r="E590" s="14" t="str">
        <f>+IF(B590="","",'Detalle Compras'!S590+0)</f>
        <v/>
      </c>
      <c r="F590" s="14" t="str">
        <f>+IF(B590="","",EOMONTH('Detalle Compras'!S590,G590)+10)</f>
        <v/>
      </c>
      <c r="G590" s="50">
        <f t="shared" si="41"/>
        <v>0</v>
      </c>
      <c r="H590" s="50">
        <f t="shared" si="42"/>
        <v>0</v>
      </c>
    </row>
    <row r="591" spans="1:8" x14ac:dyDescent="0.2">
      <c r="A591" s="37">
        <v>589</v>
      </c>
      <c r="C591" s="17">
        <f>+'Detalle Compras'!D591</f>
        <v>0</v>
      </c>
      <c r="D591" s="55" t="str">
        <f t="shared" si="40"/>
        <v/>
      </c>
      <c r="E591" s="14" t="str">
        <f>+IF(B591="","",'Detalle Compras'!S591+0)</f>
        <v/>
      </c>
      <c r="F591" s="14" t="str">
        <f>+IF(B591="","",EOMONTH('Detalle Compras'!S591,G591)+10)</f>
        <v/>
      </c>
      <c r="G591" s="50">
        <f t="shared" si="41"/>
        <v>0</v>
      </c>
      <c r="H591" s="50">
        <f t="shared" si="42"/>
        <v>0</v>
      </c>
    </row>
    <row r="592" spans="1:8" x14ac:dyDescent="0.2">
      <c r="A592" s="37">
        <v>590</v>
      </c>
      <c r="C592" s="17">
        <f>+'Detalle Compras'!D592</f>
        <v>0</v>
      </c>
      <c r="D592" s="55" t="str">
        <f t="shared" si="40"/>
        <v/>
      </c>
      <c r="E592" s="14" t="str">
        <f>+IF(B592="","",'Detalle Compras'!S592+0)</f>
        <v/>
      </c>
      <c r="F592" s="14" t="str">
        <f>+IF(B592="","",EOMONTH('Detalle Compras'!S592,G592)+10)</f>
        <v/>
      </c>
      <c r="G592" s="50">
        <f t="shared" si="41"/>
        <v>0</v>
      </c>
      <c r="H592" s="50">
        <f t="shared" si="42"/>
        <v>0</v>
      </c>
    </row>
    <row r="593" spans="1:8" x14ac:dyDescent="0.2">
      <c r="A593" s="37">
        <v>591</v>
      </c>
      <c r="C593" s="17">
        <f>+'Detalle Compras'!D593</f>
        <v>0</v>
      </c>
      <c r="D593" s="55" t="str">
        <f t="shared" si="40"/>
        <v/>
      </c>
      <c r="E593" s="14" t="str">
        <f>+IF(B593="","",'Detalle Compras'!S593+0)</f>
        <v/>
      </c>
      <c r="F593" s="14" t="str">
        <f>+IF(B593="","",EOMONTH('Detalle Compras'!S593,G593)+10)</f>
        <v/>
      </c>
      <c r="G593" s="50">
        <f t="shared" si="41"/>
        <v>0</v>
      </c>
      <c r="H593" s="50">
        <f t="shared" si="42"/>
        <v>0</v>
      </c>
    </row>
    <row r="594" spans="1:8" x14ac:dyDescent="0.2">
      <c r="A594" s="37">
        <v>592</v>
      </c>
      <c r="C594" s="17">
        <f>+'Detalle Compras'!D594</f>
        <v>0</v>
      </c>
      <c r="D594" s="55" t="str">
        <f t="shared" si="40"/>
        <v/>
      </c>
      <c r="E594" s="14" t="str">
        <f>+IF(B594="","",'Detalle Compras'!S594+0)</f>
        <v/>
      </c>
      <c r="F594" s="14" t="str">
        <f>+IF(B594="","",EOMONTH('Detalle Compras'!S594,G594)+10)</f>
        <v/>
      </c>
      <c r="G594" s="50">
        <f t="shared" si="41"/>
        <v>0</v>
      </c>
      <c r="H594" s="50">
        <f t="shared" si="42"/>
        <v>0</v>
      </c>
    </row>
    <row r="595" spans="1:8" x14ac:dyDescent="0.2">
      <c r="A595" s="37">
        <v>593</v>
      </c>
      <c r="C595" s="17">
        <f>+'Detalle Compras'!D595</f>
        <v>0</v>
      </c>
      <c r="D595" s="55" t="str">
        <f t="shared" si="40"/>
        <v/>
      </c>
      <c r="E595" s="14" t="str">
        <f>+IF(B595="","",'Detalle Compras'!S595+0)</f>
        <v/>
      </c>
      <c r="F595" s="14" t="str">
        <f>+IF(B595="","",EOMONTH('Detalle Compras'!S595,G595)+10)</f>
        <v/>
      </c>
      <c r="G595" s="50">
        <f t="shared" si="41"/>
        <v>0</v>
      </c>
      <c r="H595" s="50">
        <f t="shared" si="42"/>
        <v>0</v>
      </c>
    </row>
    <row r="596" spans="1:8" x14ac:dyDescent="0.2">
      <c r="A596" s="37">
        <v>594</v>
      </c>
      <c r="C596" s="17">
        <f>+'Detalle Compras'!D596</f>
        <v>0</v>
      </c>
      <c r="D596" s="55" t="str">
        <f t="shared" si="40"/>
        <v/>
      </c>
      <c r="E596" s="14" t="str">
        <f>+IF(B596="","",'Detalle Compras'!S596+0)</f>
        <v/>
      </c>
      <c r="F596" s="14" t="str">
        <f>+IF(B596="","",EOMONTH('Detalle Compras'!S596,G596)+10)</f>
        <v/>
      </c>
      <c r="G596" s="50">
        <f t="shared" si="41"/>
        <v>0</v>
      </c>
      <c r="H596" s="50">
        <f t="shared" si="42"/>
        <v>0</v>
      </c>
    </row>
    <row r="597" spans="1:8" x14ac:dyDescent="0.2">
      <c r="A597" s="37">
        <v>595</v>
      </c>
      <c r="C597" s="17">
        <f>+'Detalle Compras'!D597</f>
        <v>0</v>
      </c>
      <c r="D597" s="55" t="str">
        <f t="shared" si="40"/>
        <v/>
      </c>
      <c r="E597" s="14" t="str">
        <f>+IF(B597="","",'Detalle Compras'!S597+0)</f>
        <v/>
      </c>
      <c r="F597" s="14" t="str">
        <f>+IF(B597="","",EOMONTH('Detalle Compras'!S597,G597)+10)</f>
        <v/>
      </c>
      <c r="G597" s="50">
        <f t="shared" si="41"/>
        <v>0</v>
      </c>
      <c r="H597" s="50">
        <f t="shared" si="42"/>
        <v>0</v>
      </c>
    </row>
    <row r="598" spans="1:8" x14ac:dyDescent="0.2">
      <c r="A598" s="37">
        <v>596</v>
      </c>
      <c r="C598" s="17">
        <f>+'Detalle Compras'!D598</f>
        <v>0</v>
      </c>
      <c r="D598" s="55" t="str">
        <f t="shared" si="40"/>
        <v/>
      </c>
      <c r="E598" s="14" t="str">
        <f>+IF(B598="","",'Detalle Compras'!S598+0)</f>
        <v/>
      </c>
      <c r="F598" s="14" t="str">
        <f>+IF(B598="","",EOMONTH('Detalle Compras'!S598,G598)+10)</f>
        <v/>
      </c>
      <c r="G598" s="50">
        <f t="shared" si="41"/>
        <v>0</v>
      </c>
      <c r="H598" s="50">
        <f t="shared" si="42"/>
        <v>0</v>
      </c>
    </row>
    <row r="599" spans="1:8" x14ac:dyDescent="0.2">
      <c r="A599" s="37">
        <v>597</v>
      </c>
      <c r="C599" s="17">
        <f>+'Detalle Compras'!D599</f>
        <v>0</v>
      </c>
      <c r="D599" s="55" t="str">
        <f t="shared" si="40"/>
        <v/>
      </c>
      <c r="E599" s="14" t="str">
        <f>+IF(B599="","",'Detalle Compras'!S599+0)</f>
        <v/>
      </c>
      <c r="F599" s="14" t="str">
        <f>+IF(B599="","",EOMONTH('Detalle Compras'!S599,G599)+10)</f>
        <v/>
      </c>
      <c r="G599" s="50">
        <f t="shared" si="41"/>
        <v>0</v>
      </c>
      <c r="H599" s="50">
        <f t="shared" si="42"/>
        <v>0</v>
      </c>
    </row>
    <row r="600" spans="1:8" x14ac:dyDescent="0.2">
      <c r="A600" s="37">
        <v>598</v>
      </c>
      <c r="C600" s="17">
        <f>+'Detalle Compras'!D600</f>
        <v>0</v>
      </c>
      <c r="D600" s="55" t="str">
        <f t="shared" si="40"/>
        <v/>
      </c>
      <c r="E600" s="14" t="str">
        <f>+IF(B600="","",'Detalle Compras'!S600+0)</f>
        <v/>
      </c>
      <c r="F600" s="14" t="str">
        <f>+IF(B600="","",EOMONTH('Detalle Compras'!S600,G600)+10)</f>
        <v/>
      </c>
      <c r="G600" s="50">
        <f t="shared" si="41"/>
        <v>0</v>
      </c>
      <c r="H600" s="50">
        <f t="shared" si="42"/>
        <v>0</v>
      </c>
    </row>
    <row r="601" spans="1:8" x14ac:dyDescent="0.2">
      <c r="A601" s="37">
        <v>599</v>
      </c>
      <c r="C601" s="17">
        <f>+'Detalle Compras'!D601</f>
        <v>0</v>
      </c>
      <c r="D601" s="55" t="str">
        <f t="shared" si="40"/>
        <v/>
      </c>
      <c r="E601" s="14" t="str">
        <f>+IF(B601="","",'Detalle Compras'!S601+0)</f>
        <v/>
      </c>
      <c r="F601" s="14" t="str">
        <f>+IF(B601="","",EOMONTH('Detalle Compras'!S601,G601)+10)</f>
        <v/>
      </c>
      <c r="G601" s="50">
        <f t="shared" si="41"/>
        <v>0</v>
      </c>
      <c r="H601" s="50">
        <f t="shared" si="42"/>
        <v>0</v>
      </c>
    </row>
    <row r="602" spans="1:8" x14ac:dyDescent="0.2">
      <c r="A602" s="37">
        <v>600</v>
      </c>
      <c r="C602" s="17">
        <f>+'Detalle Compras'!D602</f>
        <v>0</v>
      </c>
      <c r="D602" s="55" t="str">
        <f t="shared" si="40"/>
        <v/>
      </c>
      <c r="E602" s="14" t="str">
        <f>+IF(B602="","",'Detalle Compras'!S602+0)</f>
        <v/>
      </c>
      <c r="F602" s="14" t="str">
        <f>+IF(B602="","",EOMONTH('Detalle Compras'!S602,G602)+10)</f>
        <v/>
      </c>
      <c r="G602" s="50">
        <f t="shared" si="41"/>
        <v>0</v>
      </c>
      <c r="H602" s="50">
        <f t="shared" si="42"/>
        <v>0</v>
      </c>
    </row>
    <row r="603" spans="1:8" x14ac:dyDescent="0.2">
      <c r="A603" s="37">
        <v>601</v>
      </c>
      <c r="C603" s="17">
        <f>+'Detalle Compras'!D603</f>
        <v>0</v>
      </c>
      <c r="D603" s="55" t="str">
        <f t="shared" si="40"/>
        <v/>
      </c>
      <c r="E603" s="14" t="str">
        <f>+IF(B603="","",'Detalle Compras'!S603+0)</f>
        <v/>
      </c>
      <c r="F603" s="14" t="str">
        <f>+IF(B603="","",EOMONTH('Detalle Compras'!S603,G603)+10)</f>
        <v/>
      </c>
      <c r="G603" s="50">
        <f t="shared" si="41"/>
        <v>0</v>
      </c>
      <c r="H603" s="50">
        <f t="shared" si="42"/>
        <v>0</v>
      </c>
    </row>
    <row r="604" spans="1:8" x14ac:dyDescent="0.2">
      <c r="A604" s="37">
        <v>602</v>
      </c>
      <c r="C604" s="17">
        <f>+'Detalle Compras'!D604</f>
        <v>0</v>
      </c>
      <c r="D604" s="55" t="str">
        <f t="shared" si="40"/>
        <v/>
      </c>
      <c r="E604" s="14" t="str">
        <f>+IF(B604="","",'Detalle Compras'!S604+0)</f>
        <v/>
      </c>
      <c r="F604" s="14" t="str">
        <f>+IF(B604="","",EOMONTH('Detalle Compras'!S604,G604)+10)</f>
        <v/>
      </c>
      <c r="G604" s="50">
        <f t="shared" si="41"/>
        <v>0</v>
      </c>
      <c r="H604" s="50">
        <f t="shared" si="42"/>
        <v>0</v>
      </c>
    </row>
    <row r="605" spans="1:8" x14ac:dyDescent="0.2">
      <c r="A605" s="37">
        <v>603</v>
      </c>
      <c r="C605" s="17">
        <f>+'Detalle Compras'!D605</f>
        <v>0</v>
      </c>
      <c r="D605" s="55" t="str">
        <f t="shared" si="40"/>
        <v/>
      </c>
      <c r="E605" s="14" t="str">
        <f>+IF(B605="","",'Detalle Compras'!S605+0)</f>
        <v/>
      </c>
      <c r="F605" s="14" t="str">
        <f>+IF(B605="","",EOMONTH('Detalle Compras'!S605,G605)+10)</f>
        <v/>
      </c>
      <c r="G605" s="50">
        <f t="shared" si="41"/>
        <v>0</v>
      </c>
      <c r="H605" s="50">
        <f t="shared" si="42"/>
        <v>0</v>
      </c>
    </row>
    <row r="606" spans="1:8" x14ac:dyDescent="0.2">
      <c r="A606" s="37">
        <v>604</v>
      </c>
      <c r="C606" s="17">
        <f>+'Detalle Compras'!D606</f>
        <v>0</v>
      </c>
      <c r="D606" s="55" t="str">
        <f t="shared" si="40"/>
        <v/>
      </c>
      <c r="E606" s="14" t="str">
        <f>+IF(B606="","",'Detalle Compras'!S606+0)</f>
        <v/>
      </c>
      <c r="F606" s="14" t="str">
        <f>+IF(B606="","",EOMONTH('Detalle Compras'!S606,G606)+10)</f>
        <v/>
      </c>
      <c r="G606" s="50">
        <f t="shared" si="41"/>
        <v>0</v>
      </c>
      <c r="H606" s="50">
        <f t="shared" si="42"/>
        <v>0</v>
      </c>
    </row>
    <row r="607" spans="1:8" x14ac:dyDescent="0.2">
      <c r="A607" s="37">
        <v>605</v>
      </c>
      <c r="C607" s="17">
        <f>+'Detalle Compras'!D607</f>
        <v>0</v>
      </c>
      <c r="D607" s="55" t="str">
        <f t="shared" si="40"/>
        <v/>
      </c>
      <c r="E607" s="14" t="str">
        <f>+IF(B607="","",'Detalle Compras'!S607+0)</f>
        <v/>
      </c>
      <c r="F607" s="14" t="str">
        <f>+IF(B607="","",EOMONTH('Detalle Compras'!S607,G607)+10)</f>
        <v/>
      </c>
      <c r="G607" s="50">
        <f t="shared" si="41"/>
        <v>0</v>
      </c>
      <c r="H607" s="50">
        <f t="shared" si="42"/>
        <v>0</v>
      </c>
    </row>
    <row r="608" spans="1:8" x14ac:dyDescent="0.2">
      <c r="A608" s="37">
        <v>606</v>
      </c>
      <c r="C608" s="17">
        <f>+'Detalle Compras'!D608</f>
        <v>0</v>
      </c>
      <c r="D608" s="55" t="str">
        <f t="shared" si="40"/>
        <v/>
      </c>
      <c r="E608" s="14" t="str">
        <f>+IF(B608="","",'Detalle Compras'!S608+0)</f>
        <v/>
      </c>
      <c r="F608" s="14" t="str">
        <f>+IF(B608="","",EOMONTH('Detalle Compras'!S608,G608)+10)</f>
        <v/>
      </c>
      <c r="G608" s="50">
        <f t="shared" si="41"/>
        <v>0</v>
      </c>
      <c r="H608" s="50">
        <f t="shared" si="42"/>
        <v>0</v>
      </c>
    </row>
    <row r="609" spans="1:8" x14ac:dyDescent="0.2">
      <c r="A609" s="37">
        <v>607</v>
      </c>
      <c r="C609" s="17">
        <f>+'Detalle Compras'!D609</f>
        <v>0</v>
      </c>
      <c r="D609" s="55" t="str">
        <f t="shared" si="40"/>
        <v/>
      </c>
      <c r="E609" s="14" t="str">
        <f>+IF(B609="","",'Detalle Compras'!S609+0)</f>
        <v/>
      </c>
      <c r="F609" s="14" t="str">
        <f>+IF(B609="","",EOMONTH('Detalle Compras'!S609,G609)+10)</f>
        <v/>
      </c>
      <c r="G609" s="50">
        <f t="shared" si="41"/>
        <v>0</v>
      </c>
      <c r="H609" s="50">
        <f t="shared" si="42"/>
        <v>0</v>
      </c>
    </row>
    <row r="610" spans="1:8" x14ac:dyDescent="0.2">
      <c r="A610" s="37">
        <v>608</v>
      </c>
      <c r="C610" s="17">
        <f>+'Detalle Compras'!D610</f>
        <v>0</v>
      </c>
      <c r="D610" s="55" t="str">
        <f t="shared" si="40"/>
        <v/>
      </c>
      <c r="E610" s="14" t="str">
        <f>+IF(B610="","",'Detalle Compras'!S610+0)</f>
        <v/>
      </c>
      <c r="F610" s="14" t="str">
        <f>+IF(B610="","",EOMONTH('Detalle Compras'!S610,G610)+10)</f>
        <v/>
      </c>
      <c r="G610" s="50">
        <f t="shared" si="41"/>
        <v>0</v>
      </c>
      <c r="H610" s="50">
        <f t="shared" si="42"/>
        <v>0</v>
      </c>
    </row>
    <row r="611" spans="1:8" x14ac:dyDescent="0.2">
      <c r="A611" s="37">
        <v>609</v>
      </c>
      <c r="C611" s="17">
        <f>+'Detalle Compras'!D611</f>
        <v>0</v>
      </c>
      <c r="D611" s="55" t="str">
        <f t="shared" si="40"/>
        <v/>
      </c>
      <c r="E611" s="14" t="str">
        <f>+IF(B611="","",'Detalle Compras'!S611+0)</f>
        <v/>
      </c>
      <c r="F611" s="14" t="str">
        <f>+IF(B611="","",EOMONTH('Detalle Compras'!S611,G611)+10)</f>
        <v/>
      </c>
      <c r="G611" s="50">
        <f t="shared" si="41"/>
        <v>0</v>
      </c>
      <c r="H611" s="50">
        <f t="shared" si="42"/>
        <v>0</v>
      </c>
    </row>
    <row r="612" spans="1:8" x14ac:dyDescent="0.2">
      <c r="A612" s="37">
        <v>610</v>
      </c>
      <c r="C612" s="17">
        <f>+'Detalle Compras'!D612</f>
        <v>0</v>
      </c>
      <c r="D612" s="55" t="str">
        <f t="shared" si="40"/>
        <v/>
      </c>
      <c r="E612" s="14" t="str">
        <f>+IF(B612="","",'Detalle Compras'!S612+0)</f>
        <v/>
      </c>
      <c r="F612" s="14" t="str">
        <f>+IF(B612="","",EOMONTH('Detalle Compras'!S612,G612)+10)</f>
        <v/>
      </c>
      <c r="G612" s="50">
        <f t="shared" si="41"/>
        <v>0</v>
      </c>
      <c r="H612" s="50">
        <f t="shared" si="42"/>
        <v>0</v>
      </c>
    </row>
    <row r="613" spans="1:8" x14ac:dyDescent="0.2">
      <c r="A613" s="37">
        <v>611</v>
      </c>
      <c r="C613" s="17">
        <f>+'Detalle Compras'!D613</f>
        <v>0</v>
      </c>
      <c r="D613" s="55" t="str">
        <f t="shared" si="40"/>
        <v/>
      </c>
      <c r="E613" s="14" t="str">
        <f>+IF(B613="","",'Detalle Compras'!S613+0)</f>
        <v/>
      </c>
      <c r="F613" s="14" t="str">
        <f>+IF(B613="","",EOMONTH('Detalle Compras'!S613,G613)+10)</f>
        <v/>
      </c>
      <c r="G613" s="50">
        <f t="shared" si="41"/>
        <v>0</v>
      </c>
      <c r="H613" s="50">
        <f t="shared" si="42"/>
        <v>0</v>
      </c>
    </row>
    <row r="614" spans="1:8" x14ac:dyDescent="0.2">
      <c r="A614" s="37">
        <v>612</v>
      </c>
      <c r="C614" s="17">
        <f>+'Detalle Compras'!D614</f>
        <v>0</v>
      </c>
      <c r="D614" s="55" t="str">
        <f t="shared" si="40"/>
        <v/>
      </c>
      <c r="E614" s="14" t="str">
        <f>+IF(B614="","",'Detalle Compras'!S614+0)</f>
        <v/>
      </c>
      <c r="F614" s="14" t="str">
        <f>+IF(B614="","",EOMONTH('Detalle Compras'!S614,G614)+10)</f>
        <v/>
      </c>
      <c r="G614" s="50">
        <f t="shared" si="41"/>
        <v>0</v>
      </c>
      <c r="H614" s="50">
        <f t="shared" si="42"/>
        <v>0</v>
      </c>
    </row>
    <row r="615" spans="1:8" x14ac:dyDescent="0.2">
      <c r="A615" s="37">
        <v>613</v>
      </c>
      <c r="C615" s="17">
        <f>+'Detalle Compras'!D615</f>
        <v>0</v>
      </c>
      <c r="D615" s="55" t="str">
        <f t="shared" si="40"/>
        <v/>
      </c>
      <c r="E615" s="14" t="str">
        <f>+IF(B615="","",'Detalle Compras'!S615+0)</f>
        <v/>
      </c>
      <c r="F615" s="14" t="str">
        <f>+IF(B615="","",EOMONTH('Detalle Compras'!S615,G615)+10)</f>
        <v/>
      </c>
      <c r="G615" s="50">
        <f t="shared" si="41"/>
        <v>0</v>
      </c>
      <c r="H615" s="50">
        <f t="shared" si="42"/>
        <v>0</v>
      </c>
    </row>
    <row r="616" spans="1:8" x14ac:dyDescent="0.2">
      <c r="A616" s="37">
        <v>614</v>
      </c>
      <c r="C616" s="17">
        <f>+'Detalle Compras'!D616</f>
        <v>0</v>
      </c>
      <c r="D616" s="55" t="str">
        <f t="shared" si="40"/>
        <v/>
      </c>
      <c r="E616" s="14" t="str">
        <f>+IF(B616="","",'Detalle Compras'!S616+0)</f>
        <v/>
      </c>
      <c r="F616" s="14" t="str">
        <f>+IF(B616="","",EOMONTH('Detalle Compras'!S616,G616)+10)</f>
        <v/>
      </c>
      <c r="G616" s="50">
        <f t="shared" si="41"/>
        <v>0</v>
      </c>
      <c r="H616" s="50">
        <f t="shared" si="42"/>
        <v>0</v>
      </c>
    </row>
    <row r="617" spans="1:8" x14ac:dyDescent="0.2">
      <c r="A617" s="37">
        <v>615</v>
      </c>
      <c r="C617" s="17">
        <f>+'Detalle Compras'!D617</f>
        <v>0</v>
      </c>
      <c r="D617" s="55" t="str">
        <f t="shared" si="40"/>
        <v/>
      </c>
      <c r="E617" s="14" t="str">
        <f>+IF(B617="","",'Detalle Compras'!S617+0)</f>
        <v/>
      </c>
      <c r="F617" s="14" t="str">
        <f>+IF(B617="","",EOMONTH('Detalle Compras'!S617,G617)+10)</f>
        <v/>
      </c>
      <c r="G617" s="50">
        <f t="shared" si="41"/>
        <v>0</v>
      </c>
      <c r="H617" s="50">
        <f t="shared" si="42"/>
        <v>0</v>
      </c>
    </row>
    <row r="618" spans="1:8" x14ac:dyDescent="0.2">
      <c r="A618" s="37">
        <v>616</v>
      </c>
      <c r="C618" s="17">
        <f>+'Detalle Compras'!D618</f>
        <v>0</v>
      </c>
      <c r="D618" s="55" t="str">
        <f t="shared" si="40"/>
        <v/>
      </c>
      <c r="E618" s="14" t="str">
        <f>+IF(B618="","",'Detalle Compras'!S618+0)</f>
        <v/>
      </c>
      <c r="F618" s="14" t="str">
        <f>+IF(B618="","",EOMONTH('Detalle Compras'!S618,G618)+10)</f>
        <v/>
      </c>
      <c r="G618" s="50">
        <f t="shared" si="41"/>
        <v>0</v>
      </c>
      <c r="H618" s="50">
        <f t="shared" si="42"/>
        <v>0</v>
      </c>
    </row>
    <row r="619" spans="1:8" x14ac:dyDescent="0.2">
      <c r="A619" s="37">
        <v>617</v>
      </c>
      <c r="C619" s="17">
        <f>+'Detalle Compras'!D619</f>
        <v>0</v>
      </c>
      <c r="D619" s="55" t="str">
        <f t="shared" si="40"/>
        <v/>
      </c>
      <c r="E619" s="14" t="str">
        <f>+IF(B619="","",'Detalle Compras'!S619+0)</f>
        <v/>
      </c>
      <c r="F619" s="14" t="str">
        <f>+IF(B619="","",EOMONTH('Detalle Compras'!S619,G619)+10)</f>
        <v/>
      </c>
      <c r="G619" s="50">
        <f t="shared" si="41"/>
        <v>0</v>
      </c>
      <c r="H619" s="50">
        <f t="shared" si="42"/>
        <v>0</v>
      </c>
    </row>
    <row r="620" spans="1:8" x14ac:dyDescent="0.2">
      <c r="A620" s="37">
        <v>618</v>
      </c>
      <c r="C620" s="17">
        <f>+'Detalle Compras'!D620</f>
        <v>0</v>
      </c>
      <c r="D620" s="55" t="str">
        <f t="shared" si="40"/>
        <v/>
      </c>
      <c r="E620" s="14" t="str">
        <f>+IF(B620="","",'Detalle Compras'!S620+0)</f>
        <v/>
      </c>
      <c r="F620" s="14" t="str">
        <f>+IF(B620="","",EOMONTH('Detalle Compras'!S620,G620)+10)</f>
        <v/>
      </c>
      <c r="G620" s="50">
        <f t="shared" si="41"/>
        <v>0</v>
      </c>
      <c r="H620" s="50">
        <f t="shared" si="42"/>
        <v>0</v>
      </c>
    </row>
    <row r="621" spans="1:8" x14ac:dyDescent="0.2">
      <c r="A621" s="37">
        <v>619</v>
      </c>
      <c r="C621" s="17">
        <f>+'Detalle Compras'!D621</f>
        <v>0</v>
      </c>
      <c r="D621" s="55" t="str">
        <f t="shared" si="40"/>
        <v/>
      </c>
      <c r="E621" s="14" t="str">
        <f>+IF(B621="","",'Detalle Compras'!S621+0)</f>
        <v/>
      </c>
      <c r="F621" s="14" t="str">
        <f>+IF(B621="","",EOMONTH('Detalle Compras'!S621,G621)+10)</f>
        <v/>
      </c>
      <c r="G621" s="50">
        <f t="shared" si="41"/>
        <v>0</v>
      </c>
      <c r="H621" s="50">
        <f t="shared" si="42"/>
        <v>0</v>
      </c>
    </row>
    <row r="622" spans="1:8" x14ac:dyDescent="0.2">
      <c r="A622" s="37">
        <v>620</v>
      </c>
      <c r="C622" s="17">
        <f>+'Detalle Compras'!D622</f>
        <v>0</v>
      </c>
      <c r="D622" s="55" t="str">
        <f t="shared" si="40"/>
        <v/>
      </c>
      <c r="E622" s="14" t="str">
        <f>+IF(B622="","",'Detalle Compras'!S622+0)</f>
        <v/>
      </c>
      <c r="F622" s="14" t="str">
        <f>+IF(B622="","",EOMONTH('Detalle Compras'!S622,G622)+10)</f>
        <v/>
      </c>
      <c r="G622" s="50">
        <f t="shared" si="41"/>
        <v>0</v>
      </c>
      <c r="H622" s="50">
        <f t="shared" si="42"/>
        <v>0</v>
      </c>
    </row>
    <row r="623" spans="1:8" x14ac:dyDescent="0.2">
      <c r="A623" s="37">
        <v>621</v>
      </c>
      <c r="C623" s="17">
        <f>+'Detalle Compras'!D623</f>
        <v>0</v>
      </c>
      <c r="D623" s="55" t="str">
        <f t="shared" si="40"/>
        <v/>
      </c>
      <c r="E623" s="14" t="str">
        <f>+IF(B623="","",'Detalle Compras'!S623+0)</f>
        <v/>
      </c>
      <c r="F623" s="14" t="str">
        <f>+IF(B623="","",EOMONTH('Detalle Compras'!S623,G623)+10)</f>
        <v/>
      </c>
      <c r="G623" s="50">
        <f t="shared" si="41"/>
        <v>0</v>
      </c>
      <c r="H623" s="50">
        <f t="shared" si="42"/>
        <v>0</v>
      </c>
    </row>
    <row r="624" spans="1:8" x14ac:dyDescent="0.2">
      <c r="A624" s="37">
        <v>622</v>
      </c>
      <c r="C624" s="17">
        <f>+'Detalle Compras'!D624</f>
        <v>0</v>
      </c>
      <c r="D624" s="55" t="str">
        <f t="shared" si="40"/>
        <v/>
      </c>
      <c r="E624" s="14" t="str">
        <f>+IF(B624="","",'Detalle Compras'!S624+0)</f>
        <v/>
      </c>
      <c r="F624" s="14" t="str">
        <f>+IF(B624="","",EOMONTH('Detalle Compras'!S624,G624)+10)</f>
        <v/>
      </c>
      <c r="G624" s="50">
        <f t="shared" si="41"/>
        <v>0</v>
      </c>
      <c r="H624" s="50">
        <f t="shared" si="42"/>
        <v>0</v>
      </c>
    </row>
    <row r="625" spans="1:8" x14ac:dyDescent="0.2">
      <c r="A625" s="37">
        <v>623</v>
      </c>
      <c r="C625" s="17">
        <f>+'Detalle Compras'!D625</f>
        <v>0</v>
      </c>
      <c r="D625" s="55" t="str">
        <f t="shared" si="40"/>
        <v/>
      </c>
      <c r="E625" s="14" t="str">
        <f>+IF(B625="","",'Detalle Compras'!S625+0)</f>
        <v/>
      </c>
      <c r="F625" s="14" t="str">
        <f>+IF(B625="","",EOMONTH('Detalle Compras'!S625,G625)+10)</f>
        <v/>
      </c>
      <c r="G625" s="50">
        <f t="shared" si="41"/>
        <v>0</v>
      </c>
      <c r="H625" s="50">
        <f t="shared" si="42"/>
        <v>0</v>
      </c>
    </row>
    <row r="626" spans="1:8" x14ac:dyDescent="0.2">
      <c r="A626" s="37">
        <v>624</v>
      </c>
      <c r="C626" s="17">
        <f>+'Detalle Compras'!D626</f>
        <v>0</v>
      </c>
      <c r="D626" s="55" t="str">
        <f t="shared" si="40"/>
        <v/>
      </c>
      <c r="E626" s="14" t="str">
        <f>+IF(B626="","",'Detalle Compras'!S626+0)</f>
        <v/>
      </c>
      <c r="F626" s="14" t="str">
        <f>+IF(B626="","",EOMONTH('Detalle Compras'!S626,G626)+10)</f>
        <v/>
      </c>
      <c r="G626" s="50">
        <f t="shared" si="41"/>
        <v>0</v>
      </c>
      <c r="H626" s="50">
        <f t="shared" si="42"/>
        <v>0</v>
      </c>
    </row>
    <row r="627" spans="1:8" x14ac:dyDescent="0.2">
      <c r="A627" s="37">
        <v>625</v>
      </c>
      <c r="C627" s="17">
        <f>+'Detalle Compras'!D627</f>
        <v>0</v>
      </c>
      <c r="D627" s="55" t="str">
        <f t="shared" si="40"/>
        <v/>
      </c>
      <c r="E627" s="14" t="str">
        <f>+IF(B627="","",'Detalle Compras'!S627+0)</f>
        <v/>
      </c>
      <c r="F627" s="14" t="str">
        <f>+IF(B627="","",EOMONTH('Detalle Compras'!S627,G627)+10)</f>
        <v/>
      </c>
      <c r="G627" s="50">
        <f t="shared" si="41"/>
        <v>0</v>
      </c>
      <c r="H627" s="50">
        <f t="shared" si="42"/>
        <v>0</v>
      </c>
    </row>
    <row r="628" spans="1:8" x14ac:dyDescent="0.2">
      <c r="A628" s="37">
        <v>626</v>
      </c>
      <c r="C628" s="17">
        <f>+'Detalle Compras'!D628</f>
        <v>0</v>
      </c>
      <c r="D628" s="55" t="str">
        <f t="shared" si="40"/>
        <v/>
      </c>
      <c r="E628" s="14" t="str">
        <f>+IF(B628="","",'Detalle Compras'!S628+0)</f>
        <v/>
      </c>
      <c r="F628" s="14" t="str">
        <f>+IF(B628="","",EOMONTH('Detalle Compras'!S628,G628)+10)</f>
        <v/>
      </c>
      <c r="G628" s="50">
        <f t="shared" si="41"/>
        <v>0</v>
      </c>
      <c r="H628" s="50">
        <f t="shared" si="42"/>
        <v>0</v>
      </c>
    </row>
    <row r="629" spans="1:8" x14ac:dyDescent="0.2">
      <c r="A629" s="37">
        <v>627</v>
      </c>
      <c r="C629" s="17">
        <f>+'Detalle Compras'!D629</f>
        <v>0</v>
      </c>
      <c r="D629" s="55" t="str">
        <f t="shared" si="40"/>
        <v/>
      </c>
      <c r="E629" s="14" t="str">
        <f>+IF(B629="","",'Detalle Compras'!S629+0)</f>
        <v/>
      </c>
      <c r="F629" s="14" t="str">
        <f>+IF(B629="","",EOMONTH('Detalle Compras'!S629,G629)+10)</f>
        <v/>
      </c>
      <c r="G629" s="50">
        <f t="shared" si="41"/>
        <v>0</v>
      </c>
      <c r="H629" s="50">
        <f t="shared" si="42"/>
        <v>0</v>
      </c>
    </row>
    <row r="630" spans="1:8" x14ac:dyDescent="0.2">
      <c r="A630" s="37">
        <v>628</v>
      </c>
      <c r="C630" s="17">
        <f>+'Detalle Compras'!D630</f>
        <v>0</v>
      </c>
      <c r="D630" s="55" t="str">
        <f t="shared" si="40"/>
        <v/>
      </c>
      <c r="E630" s="14" t="str">
        <f>+IF(B630="","",'Detalle Compras'!S630+0)</f>
        <v/>
      </c>
      <c r="F630" s="14" t="str">
        <f>+IF(B630="","",EOMONTH('Detalle Compras'!S630,G630)+10)</f>
        <v/>
      </c>
      <c r="G630" s="50">
        <f t="shared" si="41"/>
        <v>0</v>
      </c>
      <c r="H630" s="50">
        <f t="shared" si="42"/>
        <v>0</v>
      </c>
    </row>
    <row r="631" spans="1:8" x14ac:dyDescent="0.2">
      <c r="A631" s="37">
        <v>629</v>
      </c>
      <c r="C631" s="17">
        <f>+'Detalle Compras'!D631</f>
        <v>0</v>
      </c>
      <c r="D631" s="55" t="str">
        <f t="shared" si="40"/>
        <v/>
      </c>
      <c r="E631" s="14" t="str">
        <f>+IF(B631="","",'Detalle Compras'!S631+0)</f>
        <v/>
      </c>
      <c r="F631" s="14" t="str">
        <f>+IF(B631="","",EOMONTH('Detalle Compras'!S631,G631)+10)</f>
        <v/>
      </c>
      <c r="G631" s="50">
        <f t="shared" si="41"/>
        <v>0</v>
      </c>
      <c r="H631" s="50">
        <f t="shared" si="42"/>
        <v>0</v>
      </c>
    </row>
    <row r="632" spans="1:8" x14ac:dyDescent="0.2">
      <c r="A632" s="37">
        <v>630</v>
      </c>
      <c r="C632" s="17">
        <f>+'Detalle Compras'!D632</f>
        <v>0</v>
      </c>
      <c r="D632" s="55" t="str">
        <f t="shared" si="40"/>
        <v/>
      </c>
      <c r="E632" s="14" t="str">
        <f>+IF(B632="","",'Detalle Compras'!S632+0)</f>
        <v/>
      </c>
      <c r="F632" s="14" t="str">
        <f>+IF(B632="","",EOMONTH('Detalle Compras'!S632,G632)+10)</f>
        <v/>
      </c>
      <c r="G632" s="50">
        <f t="shared" si="41"/>
        <v>0</v>
      </c>
      <c r="H632" s="50">
        <f t="shared" si="42"/>
        <v>0</v>
      </c>
    </row>
    <row r="633" spans="1:8" x14ac:dyDescent="0.2">
      <c r="A633" s="37">
        <v>631</v>
      </c>
      <c r="C633" s="17">
        <f>+'Detalle Compras'!D633</f>
        <v>0</v>
      </c>
      <c r="D633" s="55" t="str">
        <f t="shared" si="40"/>
        <v/>
      </c>
      <c r="E633" s="14" t="str">
        <f>+IF(B633="","",'Detalle Compras'!S633+0)</f>
        <v/>
      </c>
      <c r="F633" s="14" t="str">
        <f>+IF(B633="","",EOMONTH('Detalle Compras'!S633,G633)+10)</f>
        <v/>
      </c>
      <c r="G633" s="50">
        <f t="shared" si="41"/>
        <v>0</v>
      </c>
      <c r="H633" s="50">
        <f t="shared" si="42"/>
        <v>0</v>
      </c>
    </row>
    <row r="634" spans="1:8" x14ac:dyDescent="0.2">
      <c r="A634" s="37">
        <v>632</v>
      </c>
      <c r="C634" s="17">
        <f>+'Detalle Compras'!D634</f>
        <v>0</v>
      </c>
      <c r="D634" s="55" t="str">
        <f t="shared" si="40"/>
        <v/>
      </c>
      <c r="E634" s="14" t="str">
        <f>+IF(B634="","",'Detalle Compras'!S634+0)</f>
        <v/>
      </c>
      <c r="F634" s="14" t="str">
        <f>+IF(B634="","",EOMONTH('Detalle Compras'!S634,G634)+10)</f>
        <v/>
      </c>
      <c r="G634" s="50">
        <f t="shared" si="41"/>
        <v>0</v>
      </c>
      <c r="H634" s="50">
        <f t="shared" si="42"/>
        <v>0</v>
      </c>
    </row>
    <row r="635" spans="1:8" x14ac:dyDescent="0.2">
      <c r="A635" s="37">
        <v>633</v>
      </c>
      <c r="C635" s="17">
        <f>+'Detalle Compras'!D635</f>
        <v>0</v>
      </c>
      <c r="D635" s="55" t="str">
        <f t="shared" si="40"/>
        <v/>
      </c>
      <c r="E635" s="14" t="str">
        <f>+IF(B635="","",'Detalle Compras'!S635+0)</f>
        <v/>
      </c>
      <c r="F635" s="14" t="str">
        <f>+IF(B635="","",EOMONTH('Detalle Compras'!S635,G635)+10)</f>
        <v/>
      </c>
      <c r="G635" s="50">
        <f t="shared" si="41"/>
        <v>0</v>
      </c>
      <c r="H635" s="50">
        <f t="shared" si="42"/>
        <v>0</v>
      </c>
    </row>
    <row r="636" spans="1:8" x14ac:dyDescent="0.2">
      <c r="A636" s="37">
        <v>634</v>
      </c>
      <c r="C636" s="17">
        <f>+'Detalle Compras'!D636</f>
        <v>0</v>
      </c>
      <c r="D636" s="55" t="str">
        <f t="shared" si="40"/>
        <v/>
      </c>
      <c r="E636" s="14" t="str">
        <f>+IF(B636="","",'Detalle Compras'!S636+0)</f>
        <v/>
      </c>
      <c r="F636" s="14" t="str">
        <f>+IF(B636="","",EOMONTH('Detalle Compras'!S636,G636)+10)</f>
        <v/>
      </c>
      <c r="G636" s="50">
        <f t="shared" si="41"/>
        <v>0</v>
      </c>
      <c r="H636" s="50">
        <f t="shared" si="42"/>
        <v>0</v>
      </c>
    </row>
    <row r="637" spans="1:8" x14ac:dyDescent="0.2">
      <c r="A637" s="37">
        <v>635</v>
      </c>
      <c r="C637" s="17">
        <f>+'Detalle Compras'!D637</f>
        <v>0</v>
      </c>
      <c r="D637" s="55" t="str">
        <f t="shared" si="40"/>
        <v/>
      </c>
      <c r="E637" s="14" t="str">
        <f>+IF(B637="","",'Detalle Compras'!S637+0)</f>
        <v/>
      </c>
      <c r="F637" s="14" t="str">
        <f>+IF(B637="","",EOMONTH('Detalle Compras'!S637,G637)+10)</f>
        <v/>
      </c>
      <c r="G637" s="50">
        <f t="shared" si="41"/>
        <v>0</v>
      </c>
      <c r="H637" s="50">
        <f t="shared" si="42"/>
        <v>0</v>
      </c>
    </row>
    <row r="638" spans="1:8" x14ac:dyDescent="0.2">
      <c r="A638" s="37">
        <v>636</v>
      </c>
      <c r="C638" s="17">
        <f>+'Detalle Compras'!D638</f>
        <v>0</v>
      </c>
      <c r="D638" s="55" t="str">
        <f t="shared" si="40"/>
        <v/>
      </c>
      <c r="E638" s="14" t="str">
        <f>+IF(B638="","",'Detalle Compras'!S638+0)</f>
        <v/>
      </c>
      <c r="F638" s="14" t="str">
        <f>+IF(B638="","",EOMONTH('Detalle Compras'!S638,G638)+10)</f>
        <v/>
      </c>
      <c r="G638" s="50">
        <f t="shared" si="41"/>
        <v>0</v>
      </c>
      <c r="H638" s="50">
        <f t="shared" si="42"/>
        <v>0</v>
      </c>
    </row>
    <row r="639" spans="1:8" x14ac:dyDescent="0.2">
      <c r="A639" s="37">
        <v>637</v>
      </c>
      <c r="C639" s="17">
        <f>+'Detalle Compras'!D639</f>
        <v>0</v>
      </c>
      <c r="D639" s="55" t="str">
        <f t="shared" si="40"/>
        <v/>
      </c>
      <c r="E639" s="14" t="str">
        <f>+IF(B639="","",'Detalle Compras'!S639+0)</f>
        <v/>
      </c>
      <c r="F639" s="14" t="str">
        <f>+IF(B639="","",EOMONTH('Detalle Compras'!S639,G639)+10)</f>
        <v/>
      </c>
      <c r="G639" s="50">
        <f t="shared" si="41"/>
        <v>0</v>
      </c>
      <c r="H639" s="50">
        <f t="shared" si="42"/>
        <v>0</v>
      </c>
    </row>
    <row r="640" spans="1:8" x14ac:dyDescent="0.2">
      <c r="A640" s="37">
        <v>638</v>
      </c>
      <c r="C640" s="17">
        <f>+'Detalle Compras'!D640</f>
        <v>0</v>
      </c>
      <c r="D640" s="55" t="str">
        <f t="shared" si="40"/>
        <v/>
      </c>
      <c r="E640" s="14" t="str">
        <f>+IF(B640="","",'Detalle Compras'!S640+0)</f>
        <v/>
      </c>
      <c r="F640" s="14" t="str">
        <f>+IF(B640="","",EOMONTH('Detalle Compras'!S640,G640)+10)</f>
        <v/>
      </c>
      <c r="G640" s="50">
        <f t="shared" si="41"/>
        <v>0</v>
      </c>
      <c r="H640" s="50">
        <f t="shared" si="42"/>
        <v>0</v>
      </c>
    </row>
    <row r="641" spans="1:8" x14ac:dyDescent="0.2">
      <c r="A641" s="37">
        <v>639</v>
      </c>
      <c r="C641" s="17">
        <f>+'Detalle Compras'!D641</f>
        <v>0</v>
      </c>
      <c r="D641" s="55" t="str">
        <f t="shared" si="40"/>
        <v/>
      </c>
      <c r="E641" s="14" t="str">
        <f>+IF(B641="","",'Detalle Compras'!S641+0)</f>
        <v/>
      </c>
      <c r="F641" s="14" t="str">
        <f>+IF(B641="","",EOMONTH('Detalle Compras'!S641,G641)+10)</f>
        <v/>
      </c>
      <c r="G641" s="50">
        <f t="shared" si="41"/>
        <v>0</v>
      </c>
      <c r="H641" s="50">
        <f t="shared" si="42"/>
        <v>0</v>
      </c>
    </row>
    <row r="642" spans="1:8" x14ac:dyDescent="0.2">
      <c r="A642" s="37">
        <v>640</v>
      </c>
      <c r="C642" s="17">
        <f>+'Detalle Compras'!D642</f>
        <v>0</v>
      </c>
      <c r="D642" s="55" t="str">
        <f t="shared" si="40"/>
        <v/>
      </c>
      <c r="E642" s="14" t="str">
        <f>+IF(B642="","",'Detalle Compras'!S642+0)</f>
        <v/>
      </c>
      <c r="F642" s="14" t="str">
        <f>+IF(B642="","",EOMONTH('Detalle Compras'!S642,G642)+10)</f>
        <v/>
      </c>
      <c r="G642" s="50">
        <f t="shared" si="41"/>
        <v>0</v>
      </c>
      <c r="H642" s="50">
        <f t="shared" si="42"/>
        <v>0</v>
      </c>
    </row>
    <row r="643" spans="1:8" x14ac:dyDescent="0.2">
      <c r="A643" s="37">
        <v>641</v>
      </c>
      <c r="C643" s="17">
        <f>+'Detalle Compras'!D643</f>
        <v>0</v>
      </c>
      <c r="D643" s="55" t="str">
        <f t="shared" si="40"/>
        <v/>
      </c>
      <c r="E643" s="14" t="str">
        <f>+IF(B643="","",'Detalle Compras'!S643+0)</f>
        <v/>
      </c>
      <c r="F643" s="14" t="str">
        <f>+IF(B643="","",EOMONTH('Detalle Compras'!S643,G643)+10)</f>
        <v/>
      </c>
      <c r="G643" s="50">
        <f t="shared" si="41"/>
        <v>0</v>
      </c>
      <c r="H643" s="50">
        <f t="shared" si="42"/>
        <v>0</v>
      </c>
    </row>
    <row r="644" spans="1:8" x14ac:dyDescent="0.2">
      <c r="A644" s="37">
        <v>642</v>
      </c>
      <c r="C644" s="17">
        <f>+'Detalle Compras'!D644</f>
        <v>0</v>
      </c>
      <c r="D644" s="55" t="str">
        <f t="shared" ref="D644:D707" si="43">+IF(B644="","",EA644)</f>
        <v/>
      </c>
      <c r="E644" s="14" t="str">
        <f>+IF(B644="","",'Detalle Compras'!S644+0)</f>
        <v/>
      </c>
      <c r="F644" s="14" t="str">
        <f>+IF(B644="","",EOMONTH('Detalle Compras'!S644,G644)+10)</f>
        <v/>
      </c>
      <c r="G644" s="50">
        <f t="shared" ref="G644:G707" si="44">+COUNTIF(I644:ADF644,"&gt;1")</f>
        <v>0</v>
      </c>
      <c r="H644" s="50">
        <f t="shared" ref="H644:H707" si="45">+COUNT(AF644:ADF644)</f>
        <v>0</v>
      </c>
    </row>
    <row r="645" spans="1:8" x14ac:dyDescent="0.2">
      <c r="A645" s="37">
        <v>643</v>
      </c>
      <c r="C645" s="17">
        <f>+'Detalle Compras'!D645</f>
        <v>0</v>
      </c>
      <c r="D645" s="55" t="str">
        <f t="shared" si="43"/>
        <v/>
      </c>
      <c r="E645" s="14" t="str">
        <f>+IF(B645="","",'Detalle Compras'!S645+0)</f>
        <v/>
      </c>
      <c r="F645" s="14" t="str">
        <f>+IF(B645="","",EOMONTH('Detalle Compras'!S645,G645)+10)</f>
        <v/>
      </c>
      <c r="G645" s="50">
        <f t="shared" si="44"/>
        <v>0</v>
      </c>
      <c r="H645" s="50">
        <f t="shared" si="45"/>
        <v>0</v>
      </c>
    </row>
    <row r="646" spans="1:8" x14ac:dyDescent="0.2">
      <c r="A646" s="37">
        <v>644</v>
      </c>
      <c r="C646" s="17">
        <f>+'Detalle Compras'!D646</f>
        <v>0</v>
      </c>
      <c r="D646" s="55" t="str">
        <f t="shared" si="43"/>
        <v/>
      </c>
      <c r="E646" s="14" t="str">
        <f>+IF(B646="","",'Detalle Compras'!S646+0)</f>
        <v/>
      </c>
      <c r="F646" s="14" t="str">
        <f>+IF(B646="","",EOMONTH('Detalle Compras'!S646,G646)+10)</f>
        <v/>
      </c>
      <c r="G646" s="50">
        <f t="shared" si="44"/>
        <v>0</v>
      </c>
      <c r="H646" s="50">
        <f t="shared" si="45"/>
        <v>0</v>
      </c>
    </row>
    <row r="647" spans="1:8" x14ac:dyDescent="0.2">
      <c r="A647" s="37">
        <v>645</v>
      </c>
      <c r="C647" s="17">
        <f>+'Detalle Compras'!D647</f>
        <v>0</v>
      </c>
      <c r="D647" s="55" t="str">
        <f t="shared" si="43"/>
        <v/>
      </c>
      <c r="E647" s="14" t="str">
        <f>+IF(B647="","",'Detalle Compras'!S647+0)</f>
        <v/>
      </c>
      <c r="F647" s="14" t="str">
        <f>+IF(B647="","",EOMONTH('Detalle Compras'!S647,G647)+10)</f>
        <v/>
      </c>
      <c r="G647" s="50">
        <f t="shared" si="44"/>
        <v>0</v>
      </c>
      <c r="H647" s="50">
        <f t="shared" si="45"/>
        <v>0</v>
      </c>
    </row>
    <row r="648" spans="1:8" x14ac:dyDescent="0.2">
      <c r="A648" s="37">
        <v>646</v>
      </c>
      <c r="C648" s="17">
        <f>+'Detalle Compras'!D648</f>
        <v>0</v>
      </c>
      <c r="D648" s="55" t="str">
        <f t="shared" si="43"/>
        <v/>
      </c>
      <c r="E648" s="14" t="str">
        <f>+IF(B648="","",'Detalle Compras'!S648+0)</f>
        <v/>
      </c>
      <c r="F648" s="14" t="str">
        <f>+IF(B648="","",EOMONTH('Detalle Compras'!S648,G648)+10)</f>
        <v/>
      </c>
      <c r="G648" s="50">
        <f t="shared" si="44"/>
        <v>0</v>
      </c>
      <c r="H648" s="50">
        <f t="shared" si="45"/>
        <v>0</v>
      </c>
    </row>
    <row r="649" spans="1:8" x14ac:dyDescent="0.2">
      <c r="A649" s="37">
        <v>647</v>
      </c>
      <c r="C649" s="17">
        <f>+'Detalle Compras'!D649</f>
        <v>0</v>
      </c>
      <c r="D649" s="55" t="str">
        <f t="shared" si="43"/>
        <v/>
      </c>
      <c r="E649" s="14" t="str">
        <f>+IF(B649="","",'Detalle Compras'!S649+0)</f>
        <v/>
      </c>
      <c r="F649" s="14" t="str">
        <f>+IF(B649="","",EOMONTH('Detalle Compras'!S649,G649)+10)</f>
        <v/>
      </c>
      <c r="G649" s="50">
        <f t="shared" si="44"/>
        <v>0</v>
      </c>
      <c r="H649" s="50">
        <f t="shared" si="45"/>
        <v>0</v>
      </c>
    </row>
    <row r="650" spans="1:8" x14ac:dyDescent="0.2">
      <c r="A650" s="37">
        <v>648</v>
      </c>
      <c r="C650" s="17">
        <f>+'Detalle Compras'!D650</f>
        <v>0</v>
      </c>
      <c r="D650" s="55" t="str">
        <f t="shared" si="43"/>
        <v/>
      </c>
      <c r="E650" s="14" t="str">
        <f>+IF(B650="","",'Detalle Compras'!S650+0)</f>
        <v/>
      </c>
      <c r="F650" s="14" t="str">
        <f>+IF(B650="","",EOMONTH('Detalle Compras'!S650,G650)+10)</f>
        <v/>
      </c>
      <c r="G650" s="50">
        <f t="shared" si="44"/>
        <v>0</v>
      </c>
      <c r="H650" s="50">
        <f t="shared" si="45"/>
        <v>0</v>
      </c>
    </row>
    <row r="651" spans="1:8" x14ac:dyDescent="0.2">
      <c r="A651" s="37">
        <v>649</v>
      </c>
      <c r="C651" s="17">
        <f>+'Detalle Compras'!D651</f>
        <v>0</v>
      </c>
      <c r="D651" s="55" t="str">
        <f t="shared" si="43"/>
        <v/>
      </c>
      <c r="E651" s="14" t="str">
        <f>+IF(B651="","",'Detalle Compras'!S651+0)</f>
        <v/>
      </c>
      <c r="F651" s="14" t="str">
        <f>+IF(B651="","",EOMONTH('Detalle Compras'!S651,G651)+10)</f>
        <v/>
      </c>
      <c r="G651" s="50">
        <f t="shared" si="44"/>
        <v>0</v>
      </c>
      <c r="H651" s="50">
        <f t="shared" si="45"/>
        <v>0</v>
      </c>
    </row>
    <row r="652" spans="1:8" x14ac:dyDescent="0.2">
      <c r="A652" s="37">
        <v>650</v>
      </c>
      <c r="C652" s="17">
        <f>+'Detalle Compras'!D652</f>
        <v>0</v>
      </c>
      <c r="D652" s="55" t="str">
        <f t="shared" si="43"/>
        <v/>
      </c>
      <c r="E652" s="14" t="str">
        <f>+IF(B652="","",'Detalle Compras'!S652+0)</f>
        <v/>
      </c>
      <c r="F652" s="14" t="str">
        <f>+IF(B652="","",EOMONTH('Detalle Compras'!S652,G652)+10)</f>
        <v/>
      </c>
      <c r="G652" s="50">
        <f t="shared" si="44"/>
        <v>0</v>
      </c>
      <c r="H652" s="50">
        <f t="shared" si="45"/>
        <v>0</v>
      </c>
    </row>
    <row r="653" spans="1:8" x14ac:dyDescent="0.2">
      <c r="A653" s="37">
        <v>651</v>
      </c>
      <c r="C653" s="17">
        <f>+'Detalle Compras'!D653</f>
        <v>0</v>
      </c>
      <c r="D653" s="55" t="str">
        <f t="shared" si="43"/>
        <v/>
      </c>
      <c r="E653" s="14" t="str">
        <f>+IF(B653="","",'Detalle Compras'!S653+0)</f>
        <v/>
      </c>
      <c r="F653" s="14" t="str">
        <f>+IF(B653="","",EOMONTH('Detalle Compras'!S653,G653)+10)</f>
        <v/>
      </c>
      <c r="G653" s="50">
        <f t="shared" si="44"/>
        <v>0</v>
      </c>
      <c r="H653" s="50">
        <f t="shared" si="45"/>
        <v>0</v>
      </c>
    </row>
    <row r="654" spans="1:8" x14ac:dyDescent="0.2">
      <c r="A654" s="37">
        <v>652</v>
      </c>
      <c r="C654" s="17">
        <f>+'Detalle Compras'!D654</f>
        <v>0</v>
      </c>
      <c r="D654" s="55" t="str">
        <f t="shared" si="43"/>
        <v/>
      </c>
      <c r="E654" s="14" t="str">
        <f>+IF(B654="","",'Detalle Compras'!S654+0)</f>
        <v/>
      </c>
      <c r="F654" s="14" t="str">
        <f>+IF(B654="","",EOMONTH('Detalle Compras'!S654,G654)+10)</f>
        <v/>
      </c>
      <c r="G654" s="50">
        <f t="shared" si="44"/>
        <v>0</v>
      </c>
      <c r="H654" s="50">
        <f t="shared" si="45"/>
        <v>0</v>
      </c>
    </row>
    <row r="655" spans="1:8" x14ac:dyDescent="0.2">
      <c r="A655" s="37">
        <v>653</v>
      </c>
      <c r="C655" s="17">
        <f>+'Detalle Compras'!D655</f>
        <v>0</v>
      </c>
      <c r="D655" s="55" t="str">
        <f t="shared" si="43"/>
        <v/>
      </c>
      <c r="E655" s="14" t="str">
        <f>+IF(B655="","",'Detalle Compras'!S655+0)</f>
        <v/>
      </c>
      <c r="F655" s="14" t="str">
        <f>+IF(B655="","",EOMONTH('Detalle Compras'!S655,G655)+10)</f>
        <v/>
      </c>
      <c r="G655" s="50">
        <f t="shared" si="44"/>
        <v>0</v>
      </c>
      <c r="H655" s="50">
        <f t="shared" si="45"/>
        <v>0</v>
      </c>
    </row>
    <row r="656" spans="1:8" x14ac:dyDescent="0.2">
      <c r="A656" s="37">
        <v>654</v>
      </c>
      <c r="C656" s="17">
        <f>+'Detalle Compras'!D656</f>
        <v>0</v>
      </c>
      <c r="D656" s="55" t="str">
        <f t="shared" si="43"/>
        <v/>
      </c>
      <c r="E656" s="14" t="str">
        <f>+IF(B656="","",'Detalle Compras'!S656+0)</f>
        <v/>
      </c>
      <c r="F656" s="14" t="str">
        <f>+IF(B656="","",EOMONTH('Detalle Compras'!S656,G656)+10)</f>
        <v/>
      </c>
      <c r="G656" s="50">
        <f t="shared" si="44"/>
        <v>0</v>
      </c>
      <c r="H656" s="50">
        <f t="shared" si="45"/>
        <v>0</v>
      </c>
    </row>
    <row r="657" spans="1:8" x14ac:dyDescent="0.2">
      <c r="A657" s="37">
        <v>655</v>
      </c>
      <c r="C657" s="17">
        <f>+'Detalle Compras'!D657</f>
        <v>0</v>
      </c>
      <c r="D657" s="55" t="str">
        <f t="shared" si="43"/>
        <v/>
      </c>
      <c r="E657" s="14" t="str">
        <f>+IF(B657="","",'Detalle Compras'!S657+0)</f>
        <v/>
      </c>
      <c r="F657" s="14" t="str">
        <f>+IF(B657="","",EOMONTH('Detalle Compras'!S657,G657)+10)</f>
        <v/>
      </c>
      <c r="G657" s="50">
        <f t="shared" si="44"/>
        <v>0</v>
      </c>
      <c r="H657" s="50">
        <f t="shared" si="45"/>
        <v>0</v>
      </c>
    </row>
    <row r="658" spans="1:8" x14ac:dyDescent="0.2">
      <c r="A658" s="37">
        <v>656</v>
      </c>
      <c r="C658" s="17">
        <f>+'Detalle Compras'!D658</f>
        <v>0</v>
      </c>
      <c r="D658" s="55" t="str">
        <f t="shared" si="43"/>
        <v/>
      </c>
      <c r="E658" s="14" t="str">
        <f>+IF(B658="","",'Detalle Compras'!S658+0)</f>
        <v/>
      </c>
      <c r="F658" s="14" t="str">
        <f>+IF(B658="","",EOMONTH('Detalle Compras'!S658,G658)+10)</f>
        <v/>
      </c>
      <c r="G658" s="50">
        <f t="shared" si="44"/>
        <v>0</v>
      </c>
      <c r="H658" s="50">
        <f t="shared" si="45"/>
        <v>0</v>
      </c>
    </row>
    <row r="659" spans="1:8" x14ac:dyDescent="0.2">
      <c r="A659" s="37">
        <v>657</v>
      </c>
      <c r="C659" s="17">
        <f>+'Detalle Compras'!D659</f>
        <v>0</v>
      </c>
      <c r="D659" s="55" t="str">
        <f t="shared" si="43"/>
        <v/>
      </c>
      <c r="E659" s="14" t="str">
        <f>+IF(B659="","",'Detalle Compras'!S659+0)</f>
        <v/>
      </c>
      <c r="F659" s="14" t="str">
        <f>+IF(B659="","",EOMONTH('Detalle Compras'!S659,G659)+10)</f>
        <v/>
      </c>
      <c r="G659" s="50">
        <f t="shared" si="44"/>
        <v>0</v>
      </c>
      <c r="H659" s="50">
        <f t="shared" si="45"/>
        <v>0</v>
      </c>
    </row>
    <row r="660" spans="1:8" x14ac:dyDescent="0.2">
      <c r="A660" s="37">
        <v>658</v>
      </c>
      <c r="C660" s="17">
        <f>+'Detalle Compras'!D660</f>
        <v>0</v>
      </c>
      <c r="D660" s="55" t="str">
        <f t="shared" si="43"/>
        <v/>
      </c>
      <c r="E660" s="14" t="str">
        <f>+IF(B660="","",'Detalle Compras'!S660+0)</f>
        <v/>
      </c>
      <c r="F660" s="14" t="str">
        <f>+IF(B660="","",EOMONTH('Detalle Compras'!S660,G660)+10)</f>
        <v/>
      </c>
      <c r="G660" s="50">
        <f t="shared" si="44"/>
        <v>0</v>
      </c>
      <c r="H660" s="50">
        <f t="shared" si="45"/>
        <v>0</v>
      </c>
    </row>
    <row r="661" spans="1:8" x14ac:dyDescent="0.2">
      <c r="A661" s="37">
        <v>659</v>
      </c>
      <c r="C661" s="17">
        <f>+'Detalle Compras'!D661</f>
        <v>0</v>
      </c>
      <c r="D661" s="55" t="str">
        <f t="shared" si="43"/>
        <v/>
      </c>
      <c r="E661" s="14" t="str">
        <f>+IF(B661="","",'Detalle Compras'!S661+0)</f>
        <v/>
      </c>
      <c r="F661" s="14" t="str">
        <f>+IF(B661="","",EOMONTH('Detalle Compras'!S661,G661)+10)</f>
        <v/>
      </c>
      <c r="G661" s="50">
        <f t="shared" si="44"/>
        <v>0</v>
      </c>
      <c r="H661" s="50">
        <f t="shared" si="45"/>
        <v>0</v>
      </c>
    </row>
    <row r="662" spans="1:8" x14ac:dyDescent="0.2">
      <c r="A662" s="37">
        <v>660</v>
      </c>
      <c r="C662" s="17">
        <f>+'Detalle Compras'!D662</f>
        <v>0</v>
      </c>
      <c r="D662" s="55" t="str">
        <f t="shared" si="43"/>
        <v/>
      </c>
      <c r="E662" s="14" t="str">
        <f>+IF(B662="","",'Detalle Compras'!S662+0)</f>
        <v/>
      </c>
      <c r="F662" s="14" t="str">
        <f>+IF(B662="","",EOMONTH('Detalle Compras'!S662,G662)+10)</f>
        <v/>
      </c>
      <c r="G662" s="50">
        <f t="shared" si="44"/>
        <v>0</v>
      </c>
      <c r="H662" s="50">
        <f t="shared" si="45"/>
        <v>0</v>
      </c>
    </row>
    <row r="663" spans="1:8" x14ac:dyDescent="0.2">
      <c r="A663" s="37">
        <v>661</v>
      </c>
      <c r="C663" s="17">
        <f>+'Detalle Compras'!D663</f>
        <v>0</v>
      </c>
      <c r="D663" s="55" t="str">
        <f t="shared" si="43"/>
        <v/>
      </c>
      <c r="E663" s="14" t="str">
        <f>+IF(B663="","",'Detalle Compras'!S663+0)</f>
        <v/>
      </c>
      <c r="F663" s="14" t="str">
        <f>+IF(B663="","",EOMONTH('Detalle Compras'!S663,G663)+10)</f>
        <v/>
      </c>
      <c r="G663" s="50">
        <f t="shared" si="44"/>
        <v>0</v>
      </c>
      <c r="H663" s="50">
        <f t="shared" si="45"/>
        <v>0</v>
      </c>
    </row>
    <row r="664" spans="1:8" x14ac:dyDescent="0.2">
      <c r="A664" s="37">
        <v>662</v>
      </c>
      <c r="C664" s="17">
        <f>+'Detalle Compras'!D664</f>
        <v>0</v>
      </c>
      <c r="D664" s="55" t="str">
        <f t="shared" si="43"/>
        <v/>
      </c>
      <c r="E664" s="14" t="str">
        <f>+IF(B664="","",'Detalle Compras'!S664+0)</f>
        <v/>
      </c>
      <c r="F664" s="14" t="str">
        <f>+IF(B664="","",EOMONTH('Detalle Compras'!S664,G664)+10)</f>
        <v/>
      </c>
      <c r="G664" s="50">
        <f t="shared" si="44"/>
        <v>0</v>
      </c>
      <c r="H664" s="50">
        <f t="shared" si="45"/>
        <v>0</v>
      </c>
    </row>
    <row r="665" spans="1:8" x14ac:dyDescent="0.2">
      <c r="A665" s="37">
        <v>663</v>
      </c>
      <c r="C665" s="17">
        <f>+'Detalle Compras'!D665</f>
        <v>0</v>
      </c>
      <c r="D665" s="55" t="str">
        <f t="shared" si="43"/>
        <v/>
      </c>
      <c r="E665" s="14" t="str">
        <f>+IF(B665="","",'Detalle Compras'!S665+0)</f>
        <v/>
      </c>
      <c r="F665" s="14" t="str">
        <f>+IF(B665="","",EOMONTH('Detalle Compras'!S665,G665)+10)</f>
        <v/>
      </c>
      <c r="G665" s="50">
        <f t="shared" si="44"/>
        <v>0</v>
      </c>
      <c r="H665" s="50">
        <f t="shared" si="45"/>
        <v>0</v>
      </c>
    </row>
    <row r="666" spans="1:8" x14ac:dyDescent="0.2">
      <c r="A666" s="37">
        <v>664</v>
      </c>
      <c r="C666" s="17">
        <f>+'Detalle Compras'!D666</f>
        <v>0</v>
      </c>
      <c r="D666" s="55" t="str">
        <f t="shared" si="43"/>
        <v/>
      </c>
      <c r="E666" s="14" t="str">
        <f>+IF(B666="","",'Detalle Compras'!S666+0)</f>
        <v/>
      </c>
      <c r="F666" s="14" t="str">
        <f>+IF(B666="","",EOMONTH('Detalle Compras'!S666,G666)+10)</f>
        <v/>
      </c>
      <c r="G666" s="50">
        <f t="shared" si="44"/>
        <v>0</v>
      </c>
      <c r="H666" s="50">
        <f t="shared" si="45"/>
        <v>0</v>
      </c>
    </row>
    <row r="667" spans="1:8" x14ac:dyDescent="0.2">
      <c r="A667" s="37">
        <v>665</v>
      </c>
      <c r="C667" s="17">
        <f>+'Detalle Compras'!D667</f>
        <v>0</v>
      </c>
      <c r="D667" s="55" t="str">
        <f t="shared" si="43"/>
        <v/>
      </c>
      <c r="E667" s="14" t="str">
        <f>+IF(B667="","",'Detalle Compras'!S667+0)</f>
        <v/>
      </c>
      <c r="F667" s="14" t="str">
        <f>+IF(B667="","",EOMONTH('Detalle Compras'!S667,G667)+10)</f>
        <v/>
      </c>
      <c r="G667" s="50">
        <f t="shared" si="44"/>
        <v>0</v>
      </c>
      <c r="H667" s="50">
        <f t="shared" si="45"/>
        <v>0</v>
      </c>
    </row>
    <row r="668" spans="1:8" x14ac:dyDescent="0.2">
      <c r="A668" s="37">
        <v>666</v>
      </c>
      <c r="C668" s="17">
        <f>+'Detalle Compras'!D668</f>
        <v>0</v>
      </c>
      <c r="D668" s="55" t="str">
        <f t="shared" si="43"/>
        <v/>
      </c>
      <c r="E668" s="14" t="str">
        <f>+IF(B668="","",'Detalle Compras'!S668+0)</f>
        <v/>
      </c>
      <c r="F668" s="14" t="str">
        <f>+IF(B668="","",EOMONTH('Detalle Compras'!S668,G668)+10)</f>
        <v/>
      </c>
      <c r="G668" s="50">
        <f t="shared" si="44"/>
        <v>0</v>
      </c>
      <c r="H668" s="50">
        <f t="shared" si="45"/>
        <v>0</v>
      </c>
    </row>
    <row r="669" spans="1:8" x14ac:dyDescent="0.2">
      <c r="A669" s="37">
        <v>667</v>
      </c>
      <c r="C669" s="17">
        <f>+'Detalle Compras'!D669</f>
        <v>0</v>
      </c>
      <c r="D669" s="55" t="str">
        <f t="shared" si="43"/>
        <v/>
      </c>
      <c r="E669" s="14" t="str">
        <f>+IF(B669="","",'Detalle Compras'!S669+0)</f>
        <v/>
      </c>
      <c r="F669" s="14" t="str">
        <f>+IF(B669="","",EOMONTH('Detalle Compras'!S669,G669)+10)</f>
        <v/>
      </c>
      <c r="G669" s="50">
        <f t="shared" si="44"/>
        <v>0</v>
      </c>
      <c r="H669" s="50">
        <f t="shared" si="45"/>
        <v>0</v>
      </c>
    </row>
    <row r="670" spans="1:8" x14ac:dyDescent="0.2">
      <c r="A670" s="37">
        <v>668</v>
      </c>
      <c r="C670" s="17">
        <f>+'Detalle Compras'!D670</f>
        <v>0</v>
      </c>
      <c r="D670" s="55" t="str">
        <f t="shared" si="43"/>
        <v/>
      </c>
      <c r="E670" s="14" t="str">
        <f>+IF(B670="","",'Detalle Compras'!S670+0)</f>
        <v/>
      </c>
      <c r="F670" s="14" t="str">
        <f>+IF(B670="","",EOMONTH('Detalle Compras'!S670,G670)+10)</f>
        <v/>
      </c>
      <c r="G670" s="50">
        <f t="shared" si="44"/>
        <v>0</v>
      </c>
      <c r="H670" s="50">
        <f t="shared" si="45"/>
        <v>0</v>
      </c>
    </row>
    <row r="671" spans="1:8" x14ac:dyDescent="0.2">
      <c r="A671" s="37">
        <v>669</v>
      </c>
      <c r="C671" s="17">
        <f>+'Detalle Compras'!D671</f>
        <v>0</v>
      </c>
      <c r="D671" s="55" t="str">
        <f t="shared" si="43"/>
        <v/>
      </c>
      <c r="E671" s="14" t="str">
        <f>+IF(B671="","",'Detalle Compras'!S671+0)</f>
        <v/>
      </c>
      <c r="F671" s="14" t="str">
        <f>+IF(B671="","",EOMONTH('Detalle Compras'!S671,G671)+10)</f>
        <v/>
      </c>
      <c r="G671" s="50">
        <f t="shared" si="44"/>
        <v>0</v>
      </c>
      <c r="H671" s="50">
        <f t="shared" si="45"/>
        <v>0</v>
      </c>
    </row>
    <row r="672" spans="1:8" x14ac:dyDescent="0.2">
      <c r="A672" s="37">
        <v>670</v>
      </c>
      <c r="C672" s="17">
        <f>+'Detalle Compras'!D672</f>
        <v>0</v>
      </c>
      <c r="D672" s="55" t="str">
        <f t="shared" si="43"/>
        <v/>
      </c>
      <c r="E672" s="14" t="str">
        <f>+IF(B672="","",'Detalle Compras'!S672+0)</f>
        <v/>
      </c>
      <c r="F672" s="14" t="str">
        <f>+IF(B672="","",EOMONTH('Detalle Compras'!S672,G672)+10)</f>
        <v/>
      </c>
      <c r="G672" s="50">
        <f t="shared" si="44"/>
        <v>0</v>
      </c>
      <c r="H672" s="50">
        <f t="shared" si="45"/>
        <v>0</v>
      </c>
    </row>
    <row r="673" spans="1:8" x14ac:dyDescent="0.2">
      <c r="A673" s="37">
        <v>671</v>
      </c>
      <c r="C673" s="17">
        <f>+'Detalle Compras'!D673</f>
        <v>0</v>
      </c>
      <c r="D673" s="55" t="str">
        <f t="shared" si="43"/>
        <v/>
      </c>
      <c r="E673" s="14" t="str">
        <f>+IF(B673="","",'Detalle Compras'!S673+0)</f>
        <v/>
      </c>
      <c r="F673" s="14" t="str">
        <f>+IF(B673="","",EOMONTH('Detalle Compras'!S673,G673)+10)</f>
        <v/>
      </c>
      <c r="G673" s="50">
        <f t="shared" si="44"/>
        <v>0</v>
      </c>
      <c r="H673" s="50">
        <f t="shared" si="45"/>
        <v>0</v>
      </c>
    </row>
    <row r="674" spans="1:8" x14ac:dyDescent="0.2">
      <c r="A674" s="37">
        <v>672</v>
      </c>
      <c r="C674" s="17">
        <f>+'Detalle Compras'!D674</f>
        <v>0</v>
      </c>
      <c r="D674" s="55" t="str">
        <f t="shared" si="43"/>
        <v/>
      </c>
      <c r="E674" s="14" t="str">
        <f>+IF(B674="","",'Detalle Compras'!S674+0)</f>
        <v/>
      </c>
      <c r="F674" s="14" t="str">
        <f>+IF(B674="","",EOMONTH('Detalle Compras'!S674,G674)+10)</f>
        <v/>
      </c>
      <c r="G674" s="50">
        <f t="shared" si="44"/>
        <v>0</v>
      </c>
      <c r="H674" s="50">
        <f t="shared" si="45"/>
        <v>0</v>
      </c>
    </row>
    <row r="675" spans="1:8" x14ac:dyDescent="0.2">
      <c r="A675" s="37">
        <v>673</v>
      </c>
      <c r="C675" s="17">
        <f>+'Detalle Compras'!D675</f>
        <v>0</v>
      </c>
      <c r="D675" s="55" t="str">
        <f t="shared" si="43"/>
        <v/>
      </c>
      <c r="E675" s="14" t="str">
        <f>+IF(B675="","",'Detalle Compras'!S675+0)</f>
        <v/>
      </c>
      <c r="F675" s="14" t="str">
        <f>+IF(B675="","",EOMONTH('Detalle Compras'!S675,G675)+10)</f>
        <v/>
      </c>
      <c r="G675" s="50">
        <f t="shared" si="44"/>
        <v>0</v>
      </c>
      <c r="H675" s="50">
        <f t="shared" si="45"/>
        <v>0</v>
      </c>
    </row>
    <row r="676" spans="1:8" x14ac:dyDescent="0.2">
      <c r="A676" s="37">
        <v>674</v>
      </c>
      <c r="C676" s="17">
        <f>+'Detalle Compras'!D676</f>
        <v>0</v>
      </c>
      <c r="D676" s="55" t="str">
        <f t="shared" si="43"/>
        <v/>
      </c>
      <c r="E676" s="14" t="str">
        <f>+IF(B676="","",'Detalle Compras'!S676+0)</f>
        <v/>
      </c>
      <c r="F676" s="14" t="str">
        <f>+IF(B676="","",EOMONTH('Detalle Compras'!S676,G676)+10)</f>
        <v/>
      </c>
      <c r="G676" s="50">
        <f t="shared" si="44"/>
        <v>0</v>
      </c>
      <c r="H676" s="50">
        <f t="shared" si="45"/>
        <v>0</v>
      </c>
    </row>
    <row r="677" spans="1:8" x14ac:dyDescent="0.2">
      <c r="A677" s="37">
        <v>675</v>
      </c>
      <c r="C677" s="17">
        <f>+'Detalle Compras'!D677</f>
        <v>0</v>
      </c>
      <c r="D677" s="55" t="str">
        <f t="shared" si="43"/>
        <v/>
      </c>
      <c r="E677" s="14" t="str">
        <f>+IF(B677="","",'Detalle Compras'!S677+0)</f>
        <v/>
      </c>
      <c r="F677" s="14" t="str">
        <f>+IF(B677="","",EOMONTH('Detalle Compras'!S677,G677)+10)</f>
        <v/>
      </c>
      <c r="G677" s="50">
        <f t="shared" si="44"/>
        <v>0</v>
      </c>
      <c r="H677" s="50">
        <f t="shared" si="45"/>
        <v>0</v>
      </c>
    </row>
    <row r="678" spans="1:8" x14ac:dyDescent="0.2">
      <c r="A678" s="37">
        <v>676</v>
      </c>
      <c r="C678" s="17">
        <f>+'Detalle Compras'!D678</f>
        <v>0</v>
      </c>
      <c r="D678" s="55" t="str">
        <f t="shared" si="43"/>
        <v/>
      </c>
      <c r="E678" s="14" t="str">
        <f>+IF(B678="","",'Detalle Compras'!S678+0)</f>
        <v/>
      </c>
      <c r="F678" s="14" t="str">
        <f>+IF(B678="","",EOMONTH('Detalle Compras'!S678,G678)+10)</f>
        <v/>
      </c>
      <c r="G678" s="50">
        <f t="shared" si="44"/>
        <v>0</v>
      </c>
      <c r="H678" s="50">
        <f t="shared" si="45"/>
        <v>0</v>
      </c>
    </row>
    <row r="679" spans="1:8" x14ac:dyDescent="0.2">
      <c r="A679" s="37">
        <v>677</v>
      </c>
      <c r="C679" s="17">
        <f>+'Detalle Compras'!D679</f>
        <v>0</v>
      </c>
      <c r="D679" s="55" t="str">
        <f t="shared" si="43"/>
        <v/>
      </c>
      <c r="E679" s="14" t="str">
        <f>+IF(B679="","",'Detalle Compras'!S679+0)</f>
        <v/>
      </c>
      <c r="F679" s="14" t="str">
        <f>+IF(B679="","",EOMONTH('Detalle Compras'!S679,G679)+10)</f>
        <v/>
      </c>
      <c r="G679" s="50">
        <f t="shared" si="44"/>
        <v>0</v>
      </c>
      <c r="H679" s="50">
        <f t="shared" si="45"/>
        <v>0</v>
      </c>
    </row>
    <row r="680" spans="1:8" x14ac:dyDescent="0.2">
      <c r="A680" s="37">
        <v>678</v>
      </c>
      <c r="C680" s="17">
        <f>+'Detalle Compras'!D680</f>
        <v>0</v>
      </c>
      <c r="D680" s="55" t="str">
        <f t="shared" si="43"/>
        <v/>
      </c>
      <c r="E680" s="14" t="str">
        <f>+IF(B680="","",'Detalle Compras'!S680+0)</f>
        <v/>
      </c>
      <c r="F680" s="14" t="str">
        <f>+IF(B680="","",EOMONTH('Detalle Compras'!S680,G680)+10)</f>
        <v/>
      </c>
      <c r="G680" s="50">
        <f t="shared" si="44"/>
        <v>0</v>
      </c>
      <c r="H680" s="50">
        <f t="shared" si="45"/>
        <v>0</v>
      </c>
    </row>
    <row r="681" spans="1:8" x14ac:dyDescent="0.2">
      <c r="A681" s="37">
        <v>679</v>
      </c>
      <c r="C681" s="17">
        <f>+'Detalle Compras'!D681</f>
        <v>0</v>
      </c>
      <c r="D681" s="55" t="str">
        <f t="shared" si="43"/>
        <v/>
      </c>
      <c r="E681" s="14" t="str">
        <f>+IF(B681="","",'Detalle Compras'!S681+0)</f>
        <v/>
      </c>
      <c r="F681" s="14" t="str">
        <f>+IF(B681="","",EOMONTH('Detalle Compras'!S681,G681)+10)</f>
        <v/>
      </c>
      <c r="G681" s="50">
        <f t="shared" si="44"/>
        <v>0</v>
      </c>
      <c r="H681" s="50">
        <f t="shared" si="45"/>
        <v>0</v>
      </c>
    </row>
    <row r="682" spans="1:8" x14ac:dyDescent="0.2">
      <c r="A682" s="37">
        <v>680</v>
      </c>
      <c r="C682" s="17">
        <f>+'Detalle Compras'!D682</f>
        <v>0</v>
      </c>
      <c r="D682" s="55" t="str">
        <f t="shared" si="43"/>
        <v/>
      </c>
      <c r="E682" s="14" t="str">
        <f>+IF(B682="","",'Detalle Compras'!S682+0)</f>
        <v/>
      </c>
      <c r="F682" s="14" t="str">
        <f>+IF(B682="","",EOMONTH('Detalle Compras'!S682,G682)+10)</f>
        <v/>
      </c>
      <c r="G682" s="50">
        <f t="shared" si="44"/>
        <v>0</v>
      </c>
      <c r="H682" s="50">
        <f t="shared" si="45"/>
        <v>0</v>
      </c>
    </row>
    <row r="683" spans="1:8" x14ac:dyDescent="0.2">
      <c r="A683" s="37">
        <v>681</v>
      </c>
      <c r="C683" s="17">
        <f>+'Detalle Compras'!D683</f>
        <v>0</v>
      </c>
      <c r="D683" s="55" t="str">
        <f t="shared" si="43"/>
        <v/>
      </c>
      <c r="E683" s="14" t="str">
        <f>+IF(B683="","",'Detalle Compras'!S683+0)</f>
        <v/>
      </c>
      <c r="F683" s="14" t="str">
        <f>+IF(B683="","",EOMONTH('Detalle Compras'!S683,G683)+10)</f>
        <v/>
      </c>
      <c r="G683" s="50">
        <f t="shared" si="44"/>
        <v>0</v>
      </c>
      <c r="H683" s="50">
        <f t="shared" si="45"/>
        <v>0</v>
      </c>
    </row>
    <row r="684" spans="1:8" x14ac:dyDescent="0.2">
      <c r="A684" s="37">
        <v>682</v>
      </c>
      <c r="C684" s="17">
        <f>+'Detalle Compras'!D684</f>
        <v>0</v>
      </c>
      <c r="D684" s="55" t="str">
        <f t="shared" si="43"/>
        <v/>
      </c>
      <c r="E684" s="14" t="str">
        <f>+IF(B684="","",'Detalle Compras'!S684+0)</f>
        <v/>
      </c>
      <c r="F684" s="14" t="str">
        <f>+IF(B684="","",EOMONTH('Detalle Compras'!S684,G684)+10)</f>
        <v/>
      </c>
      <c r="G684" s="50">
        <f t="shared" si="44"/>
        <v>0</v>
      </c>
      <c r="H684" s="50">
        <f t="shared" si="45"/>
        <v>0</v>
      </c>
    </row>
    <row r="685" spans="1:8" x14ac:dyDescent="0.2">
      <c r="A685" s="37">
        <v>683</v>
      </c>
      <c r="C685" s="17">
        <f>+'Detalle Compras'!D685</f>
        <v>0</v>
      </c>
      <c r="D685" s="55" t="str">
        <f t="shared" si="43"/>
        <v/>
      </c>
      <c r="E685" s="14" t="str">
        <f>+IF(B685="","",'Detalle Compras'!S685+0)</f>
        <v/>
      </c>
      <c r="F685" s="14" t="str">
        <f>+IF(B685="","",EOMONTH('Detalle Compras'!S685,G685)+10)</f>
        <v/>
      </c>
      <c r="G685" s="50">
        <f t="shared" si="44"/>
        <v>0</v>
      </c>
      <c r="H685" s="50">
        <f t="shared" si="45"/>
        <v>0</v>
      </c>
    </row>
    <row r="686" spans="1:8" x14ac:dyDescent="0.2">
      <c r="A686" s="37">
        <v>684</v>
      </c>
      <c r="C686" s="17">
        <f>+'Detalle Compras'!D686</f>
        <v>0</v>
      </c>
      <c r="D686" s="55" t="str">
        <f t="shared" si="43"/>
        <v/>
      </c>
      <c r="E686" s="14" t="str">
        <f>+IF(B686="","",'Detalle Compras'!S686+0)</f>
        <v/>
      </c>
      <c r="F686" s="14" t="str">
        <f>+IF(B686="","",EOMONTH('Detalle Compras'!S686,G686)+10)</f>
        <v/>
      </c>
      <c r="G686" s="50">
        <f t="shared" si="44"/>
        <v>0</v>
      </c>
      <c r="H686" s="50">
        <f t="shared" si="45"/>
        <v>0</v>
      </c>
    </row>
    <row r="687" spans="1:8" x14ac:dyDescent="0.2">
      <c r="A687" s="37">
        <v>685</v>
      </c>
      <c r="C687" s="17">
        <f>+'Detalle Compras'!D687</f>
        <v>0</v>
      </c>
      <c r="D687" s="55" t="str">
        <f t="shared" si="43"/>
        <v/>
      </c>
      <c r="E687" s="14" t="str">
        <f>+IF(B687="","",'Detalle Compras'!S687+0)</f>
        <v/>
      </c>
      <c r="F687" s="14" t="str">
        <f>+IF(B687="","",EOMONTH('Detalle Compras'!S687,G687)+10)</f>
        <v/>
      </c>
      <c r="G687" s="50">
        <f t="shared" si="44"/>
        <v>0</v>
      </c>
      <c r="H687" s="50">
        <f t="shared" si="45"/>
        <v>0</v>
      </c>
    </row>
    <row r="688" spans="1:8" x14ac:dyDescent="0.2">
      <c r="A688" s="37">
        <v>686</v>
      </c>
      <c r="C688" s="17">
        <f>+'Detalle Compras'!D688</f>
        <v>0</v>
      </c>
      <c r="D688" s="55" t="str">
        <f t="shared" si="43"/>
        <v/>
      </c>
      <c r="E688" s="14" t="str">
        <f>+IF(B688="","",'Detalle Compras'!S688+0)</f>
        <v/>
      </c>
      <c r="F688" s="14" t="str">
        <f>+IF(B688="","",EOMONTH('Detalle Compras'!S688,G688)+10)</f>
        <v/>
      </c>
      <c r="G688" s="50">
        <f t="shared" si="44"/>
        <v>0</v>
      </c>
      <c r="H688" s="50">
        <f t="shared" si="45"/>
        <v>0</v>
      </c>
    </row>
    <row r="689" spans="1:8" x14ac:dyDescent="0.2">
      <c r="A689" s="37">
        <v>687</v>
      </c>
      <c r="C689" s="17">
        <f>+'Detalle Compras'!D689</f>
        <v>0</v>
      </c>
      <c r="D689" s="55" t="str">
        <f t="shared" si="43"/>
        <v/>
      </c>
      <c r="E689" s="14" t="str">
        <f>+IF(B689="","",'Detalle Compras'!S689+0)</f>
        <v/>
      </c>
      <c r="F689" s="14" t="str">
        <f>+IF(B689="","",EOMONTH('Detalle Compras'!S689,G689)+10)</f>
        <v/>
      </c>
      <c r="G689" s="50">
        <f t="shared" si="44"/>
        <v>0</v>
      </c>
      <c r="H689" s="50">
        <f t="shared" si="45"/>
        <v>0</v>
      </c>
    </row>
    <row r="690" spans="1:8" x14ac:dyDescent="0.2">
      <c r="A690" s="37">
        <v>688</v>
      </c>
      <c r="C690" s="17">
        <f>+'Detalle Compras'!D690</f>
        <v>0</v>
      </c>
      <c r="D690" s="55" t="str">
        <f t="shared" si="43"/>
        <v/>
      </c>
      <c r="E690" s="14" t="str">
        <f>+IF(B690="","",'Detalle Compras'!S690+0)</f>
        <v/>
      </c>
      <c r="F690" s="14" t="str">
        <f>+IF(B690="","",EOMONTH('Detalle Compras'!S690,G690)+10)</f>
        <v/>
      </c>
      <c r="G690" s="50">
        <f t="shared" si="44"/>
        <v>0</v>
      </c>
      <c r="H690" s="50">
        <f t="shared" si="45"/>
        <v>0</v>
      </c>
    </row>
    <row r="691" spans="1:8" x14ac:dyDescent="0.2">
      <c r="A691" s="37">
        <v>689</v>
      </c>
      <c r="C691" s="17">
        <f>+'Detalle Compras'!D691</f>
        <v>0</v>
      </c>
      <c r="D691" s="55" t="str">
        <f t="shared" si="43"/>
        <v/>
      </c>
      <c r="E691" s="14" t="str">
        <f>+IF(B691="","",'Detalle Compras'!S691+0)</f>
        <v/>
      </c>
      <c r="F691" s="14" t="str">
        <f>+IF(B691="","",EOMONTH('Detalle Compras'!S691,G691)+10)</f>
        <v/>
      </c>
      <c r="G691" s="50">
        <f t="shared" si="44"/>
        <v>0</v>
      </c>
      <c r="H691" s="50">
        <f t="shared" si="45"/>
        <v>0</v>
      </c>
    </row>
    <row r="692" spans="1:8" x14ac:dyDescent="0.2">
      <c r="A692" s="37">
        <v>690</v>
      </c>
      <c r="C692" s="17">
        <f>+'Detalle Compras'!D692</f>
        <v>0</v>
      </c>
      <c r="D692" s="55" t="str">
        <f t="shared" si="43"/>
        <v/>
      </c>
      <c r="E692" s="14" t="str">
        <f>+IF(B692="","",'Detalle Compras'!S692+0)</f>
        <v/>
      </c>
      <c r="F692" s="14" t="str">
        <f>+IF(B692="","",EOMONTH('Detalle Compras'!S692,G692)+10)</f>
        <v/>
      </c>
      <c r="G692" s="50">
        <f t="shared" si="44"/>
        <v>0</v>
      </c>
      <c r="H692" s="50">
        <f t="shared" si="45"/>
        <v>0</v>
      </c>
    </row>
    <row r="693" spans="1:8" x14ac:dyDescent="0.2">
      <c r="A693" s="37">
        <v>691</v>
      </c>
      <c r="C693" s="17">
        <f>+'Detalle Compras'!D693</f>
        <v>0</v>
      </c>
      <c r="D693" s="55" t="str">
        <f t="shared" si="43"/>
        <v/>
      </c>
      <c r="E693" s="14" t="str">
        <f>+IF(B693="","",'Detalle Compras'!S693+0)</f>
        <v/>
      </c>
      <c r="F693" s="14" t="str">
        <f>+IF(B693="","",EOMONTH('Detalle Compras'!S693,G693)+10)</f>
        <v/>
      </c>
      <c r="G693" s="50">
        <f t="shared" si="44"/>
        <v>0</v>
      </c>
      <c r="H693" s="50">
        <f t="shared" si="45"/>
        <v>0</v>
      </c>
    </row>
    <row r="694" spans="1:8" x14ac:dyDescent="0.2">
      <c r="A694" s="37">
        <v>692</v>
      </c>
      <c r="C694" s="17">
        <f>+'Detalle Compras'!D694</f>
        <v>0</v>
      </c>
      <c r="D694" s="55" t="str">
        <f t="shared" si="43"/>
        <v/>
      </c>
      <c r="E694" s="14" t="str">
        <f>+IF(B694="","",'Detalle Compras'!S694+0)</f>
        <v/>
      </c>
      <c r="F694" s="14" t="str">
        <f>+IF(B694="","",EOMONTH('Detalle Compras'!S694,G694)+10)</f>
        <v/>
      </c>
      <c r="G694" s="50">
        <f t="shared" si="44"/>
        <v>0</v>
      </c>
      <c r="H694" s="50">
        <f t="shared" si="45"/>
        <v>0</v>
      </c>
    </row>
    <row r="695" spans="1:8" x14ac:dyDescent="0.2">
      <c r="A695" s="37">
        <v>693</v>
      </c>
      <c r="C695" s="17">
        <f>+'Detalle Compras'!D695</f>
        <v>0</v>
      </c>
      <c r="D695" s="55" t="str">
        <f t="shared" si="43"/>
        <v/>
      </c>
      <c r="E695" s="14" t="str">
        <f>+IF(B695="","",'Detalle Compras'!S695+0)</f>
        <v/>
      </c>
      <c r="F695" s="14" t="str">
        <f>+IF(B695="","",EOMONTH('Detalle Compras'!S695,G695)+10)</f>
        <v/>
      </c>
      <c r="G695" s="50">
        <f t="shared" si="44"/>
        <v>0</v>
      </c>
      <c r="H695" s="50">
        <f t="shared" si="45"/>
        <v>0</v>
      </c>
    </row>
    <row r="696" spans="1:8" x14ac:dyDescent="0.2">
      <c r="A696" s="37">
        <v>694</v>
      </c>
      <c r="C696" s="17">
        <f>+'Detalle Compras'!D696</f>
        <v>0</v>
      </c>
      <c r="D696" s="55" t="str">
        <f t="shared" si="43"/>
        <v/>
      </c>
      <c r="E696" s="14" t="str">
        <f>+IF(B696="","",'Detalle Compras'!S696+0)</f>
        <v/>
      </c>
      <c r="F696" s="14" t="str">
        <f>+IF(B696="","",EOMONTH('Detalle Compras'!S696,G696)+10)</f>
        <v/>
      </c>
      <c r="G696" s="50">
        <f t="shared" si="44"/>
        <v>0</v>
      </c>
      <c r="H696" s="50">
        <f t="shared" si="45"/>
        <v>0</v>
      </c>
    </row>
    <row r="697" spans="1:8" x14ac:dyDescent="0.2">
      <c r="A697" s="37">
        <v>695</v>
      </c>
      <c r="C697" s="17">
        <f>+'Detalle Compras'!D697</f>
        <v>0</v>
      </c>
      <c r="D697" s="55" t="str">
        <f t="shared" si="43"/>
        <v/>
      </c>
      <c r="E697" s="14" t="str">
        <f>+IF(B697="","",'Detalle Compras'!S697+0)</f>
        <v/>
      </c>
      <c r="F697" s="14" t="str">
        <f>+IF(B697="","",EOMONTH('Detalle Compras'!S697,G697)+10)</f>
        <v/>
      </c>
      <c r="G697" s="50">
        <f t="shared" si="44"/>
        <v>0</v>
      </c>
      <c r="H697" s="50">
        <f t="shared" si="45"/>
        <v>0</v>
      </c>
    </row>
    <row r="698" spans="1:8" x14ac:dyDescent="0.2">
      <c r="A698" s="37">
        <v>696</v>
      </c>
      <c r="C698" s="17">
        <f>+'Detalle Compras'!D698</f>
        <v>0</v>
      </c>
      <c r="D698" s="55" t="str">
        <f t="shared" si="43"/>
        <v/>
      </c>
      <c r="E698" s="14" t="str">
        <f>+IF(B698="","",'Detalle Compras'!S698+0)</f>
        <v/>
      </c>
      <c r="F698" s="14" t="str">
        <f>+IF(B698="","",EOMONTH('Detalle Compras'!S698,G698)+10)</f>
        <v/>
      </c>
      <c r="G698" s="50">
        <f t="shared" si="44"/>
        <v>0</v>
      </c>
      <c r="H698" s="50">
        <f t="shared" si="45"/>
        <v>0</v>
      </c>
    </row>
    <row r="699" spans="1:8" x14ac:dyDescent="0.2">
      <c r="A699" s="37">
        <v>697</v>
      </c>
      <c r="C699" s="17">
        <f>+'Detalle Compras'!D699</f>
        <v>0</v>
      </c>
      <c r="D699" s="55" t="str">
        <f t="shared" si="43"/>
        <v/>
      </c>
      <c r="E699" s="14" t="str">
        <f>+IF(B699="","",'Detalle Compras'!S699+0)</f>
        <v/>
      </c>
      <c r="F699" s="14" t="str">
        <f>+IF(B699="","",EOMONTH('Detalle Compras'!S699,G699)+10)</f>
        <v/>
      </c>
      <c r="G699" s="50">
        <f t="shared" si="44"/>
        <v>0</v>
      </c>
      <c r="H699" s="50">
        <f t="shared" si="45"/>
        <v>0</v>
      </c>
    </row>
    <row r="700" spans="1:8" x14ac:dyDescent="0.2">
      <c r="A700" s="37">
        <v>698</v>
      </c>
      <c r="C700" s="17">
        <f>+'Detalle Compras'!D700</f>
        <v>0</v>
      </c>
      <c r="D700" s="55" t="str">
        <f t="shared" si="43"/>
        <v/>
      </c>
      <c r="E700" s="14" t="str">
        <f>+IF(B700="","",'Detalle Compras'!S700+0)</f>
        <v/>
      </c>
      <c r="F700" s="14" t="str">
        <f>+IF(B700="","",EOMONTH('Detalle Compras'!S700,G700)+10)</f>
        <v/>
      </c>
      <c r="G700" s="50">
        <f t="shared" si="44"/>
        <v>0</v>
      </c>
      <c r="H700" s="50">
        <f t="shared" si="45"/>
        <v>0</v>
      </c>
    </row>
    <row r="701" spans="1:8" x14ac:dyDescent="0.2">
      <c r="A701" s="37">
        <v>699</v>
      </c>
      <c r="C701" s="17">
        <f>+'Detalle Compras'!D701</f>
        <v>0</v>
      </c>
      <c r="D701" s="55" t="str">
        <f t="shared" si="43"/>
        <v/>
      </c>
      <c r="E701" s="14" t="str">
        <f>+IF(B701="","",'Detalle Compras'!S701+0)</f>
        <v/>
      </c>
      <c r="F701" s="14" t="str">
        <f>+IF(B701="","",EOMONTH('Detalle Compras'!S701,G701)+10)</f>
        <v/>
      </c>
      <c r="G701" s="50">
        <f t="shared" si="44"/>
        <v>0</v>
      </c>
      <c r="H701" s="50">
        <f t="shared" si="45"/>
        <v>0</v>
      </c>
    </row>
    <row r="702" spans="1:8" x14ac:dyDescent="0.2">
      <c r="A702" s="37">
        <v>700</v>
      </c>
      <c r="C702" s="17">
        <f>+'Detalle Compras'!D702</f>
        <v>0</v>
      </c>
      <c r="D702" s="55" t="str">
        <f t="shared" si="43"/>
        <v/>
      </c>
      <c r="E702" s="14" t="str">
        <f>+IF(B702="","",'Detalle Compras'!S702+0)</f>
        <v/>
      </c>
      <c r="F702" s="14" t="str">
        <f>+IF(B702="","",EOMONTH('Detalle Compras'!S702,G702)+10)</f>
        <v/>
      </c>
      <c r="G702" s="50">
        <f t="shared" si="44"/>
        <v>0</v>
      </c>
      <c r="H702" s="50">
        <f t="shared" si="45"/>
        <v>0</v>
      </c>
    </row>
    <row r="703" spans="1:8" x14ac:dyDescent="0.2">
      <c r="A703" s="37">
        <v>701</v>
      </c>
      <c r="C703" s="17">
        <f>+'Detalle Compras'!D703</f>
        <v>0</v>
      </c>
      <c r="D703" s="55" t="str">
        <f t="shared" si="43"/>
        <v/>
      </c>
      <c r="E703" s="14" t="str">
        <f>+IF(B703="","",'Detalle Compras'!S703+0)</f>
        <v/>
      </c>
      <c r="F703" s="14" t="str">
        <f>+IF(B703="","",EOMONTH('Detalle Compras'!S703,G703)+10)</f>
        <v/>
      </c>
      <c r="G703" s="50">
        <f t="shared" si="44"/>
        <v>0</v>
      </c>
      <c r="H703" s="50">
        <f t="shared" si="45"/>
        <v>0</v>
      </c>
    </row>
    <row r="704" spans="1:8" x14ac:dyDescent="0.2">
      <c r="A704" s="37">
        <v>702</v>
      </c>
      <c r="C704" s="17">
        <f>+'Detalle Compras'!D704</f>
        <v>0</v>
      </c>
      <c r="D704" s="55" t="str">
        <f t="shared" si="43"/>
        <v/>
      </c>
      <c r="E704" s="14" t="str">
        <f>+IF(B704="","",'Detalle Compras'!S704+0)</f>
        <v/>
      </c>
      <c r="F704" s="14" t="str">
        <f>+IF(B704="","",EOMONTH('Detalle Compras'!S704,G704)+10)</f>
        <v/>
      </c>
      <c r="G704" s="50">
        <f t="shared" si="44"/>
        <v>0</v>
      </c>
      <c r="H704" s="50">
        <f t="shared" si="45"/>
        <v>0</v>
      </c>
    </row>
    <row r="705" spans="1:8" x14ac:dyDescent="0.2">
      <c r="A705" s="37">
        <v>703</v>
      </c>
      <c r="C705" s="17">
        <f>+'Detalle Compras'!D705</f>
        <v>0</v>
      </c>
      <c r="D705" s="55" t="str">
        <f t="shared" si="43"/>
        <v/>
      </c>
      <c r="E705" s="14" t="str">
        <f>+IF(B705="","",'Detalle Compras'!S705+0)</f>
        <v/>
      </c>
      <c r="F705" s="14" t="str">
        <f>+IF(B705="","",EOMONTH('Detalle Compras'!S705,G705)+10)</f>
        <v/>
      </c>
      <c r="G705" s="50">
        <f t="shared" si="44"/>
        <v>0</v>
      </c>
      <c r="H705" s="50">
        <f t="shared" si="45"/>
        <v>0</v>
      </c>
    </row>
    <row r="706" spans="1:8" x14ac:dyDescent="0.2">
      <c r="A706" s="37">
        <v>704</v>
      </c>
      <c r="C706" s="17">
        <f>+'Detalle Compras'!D706</f>
        <v>0</v>
      </c>
      <c r="D706" s="55" t="str">
        <f t="shared" si="43"/>
        <v/>
      </c>
      <c r="E706" s="14" t="str">
        <f>+IF(B706="","",'Detalle Compras'!S706+0)</f>
        <v/>
      </c>
      <c r="F706" s="14" t="str">
        <f>+IF(B706="","",EOMONTH('Detalle Compras'!S706,G706)+10)</f>
        <v/>
      </c>
      <c r="G706" s="50">
        <f t="shared" si="44"/>
        <v>0</v>
      </c>
      <c r="H706" s="50">
        <f t="shared" si="45"/>
        <v>0</v>
      </c>
    </row>
    <row r="707" spans="1:8" x14ac:dyDescent="0.2">
      <c r="A707" s="37">
        <v>705</v>
      </c>
      <c r="C707" s="17">
        <f>+'Detalle Compras'!D707</f>
        <v>0</v>
      </c>
      <c r="D707" s="55" t="str">
        <f t="shared" si="43"/>
        <v/>
      </c>
      <c r="E707" s="14" t="str">
        <f>+IF(B707="","",'Detalle Compras'!S707+0)</f>
        <v/>
      </c>
      <c r="F707" s="14" t="str">
        <f>+IF(B707="","",EOMONTH('Detalle Compras'!S707,G707)+10)</f>
        <v/>
      </c>
      <c r="G707" s="50">
        <f t="shared" si="44"/>
        <v>0</v>
      </c>
      <c r="H707" s="50">
        <f t="shared" si="45"/>
        <v>0</v>
      </c>
    </row>
    <row r="708" spans="1:8" x14ac:dyDescent="0.2">
      <c r="A708" s="37">
        <v>706</v>
      </c>
      <c r="C708" s="17">
        <f>+'Detalle Compras'!D708</f>
        <v>0</v>
      </c>
      <c r="D708" s="55" t="str">
        <f t="shared" ref="D708:D771" si="46">+IF(B708="","",EA708)</f>
        <v/>
      </c>
      <c r="E708" s="14" t="str">
        <f>+IF(B708="","",'Detalle Compras'!S708+0)</f>
        <v/>
      </c>
      <c r="F708" s="14" t="str">
        <f>+IF(B708="","",EOMONTH('Detalle Compras'!S708,G708)+10)</f>
        <v/>
      </c>
      <c r="G708" s="50">
        <f t="shared" ref="G708:G771" si="47">+COUNTIF(I708:ADF708,"&gt;1")</f>
        <v>0</v>
      </c>
      <c r="H708" s="50">
        <f t="shared" ref="H708:H771" si="48">+COUNT(AF708:ADF708)</f>
        <v>0</v>
      </c>
    </row>
    <row r="709" spans="1:8" x14ac:dyDescent="0.2">
      <c r="A709" s="37">
        <v>707</v>
      </c>
      <c r="C709" s="17">
        <f>+'Detalle Compras'!D709</f>
        <v>0</v>
      </c>
      <c r="D709" s="55" t="str">
        <f t="shared" si="46"/>
        <v/>
      </c>
      <c r="E709" s="14" t="str">
        <f>+IF(B709="","",'Detalle Compras'!S709+0)</f>
        <v/>
      </c>
      <c r="F709" s="14" t="str">
        <f>+IF(B709="","",EOMONTH('Detalle Compras'!S709,G709)+10)</f>
        <v/>
      </c>
      <c r="G709" s="50">
        <f t="shared" si="47"/>
        <v>0</v>
      </c>
      <c r="H709" s="50">
        <f t="shared" si="48"/>
        <v>0</v>
      </c>
    </row>
    <row r="710" spans="1:8" x14ac:dyDescent="0.2">
      <c r="A710" s="37">
        <v>708</v>
      </c>
      <c r="C710" s="17">
        <f>+'Detalle Compras'!D710</f>
        <v>0</v>
      </c>
      <c r="D710" s="55" t="str">
        <f t="shared" si="46"/>
        <v/>
      </c>
      <c r="E710" s="14" t="str">
        <f>+IF(B710="","",'Detalle Compras'!S710+0)</f>
        <v/>
      </c>
      <c r="F710" s="14" t="str">
        <f>+IF(B710="","",EOMONTH('Detalle Compras'!S710,G710)+10)</f>
        <v/>
      </c>
      <c r="G710" s="50">
        <f t="shared" si="47"/>
        <v>0</v>
      </c>
      <c r="H710" s="50">
        <f t="shared" si="48"/>
        <v>0</v>
      </c>
    </row>
    <row r="711" spans="1:8" x14ac:dyDescent="0.2">
      <c r="A711" s="37">
        <v>709</v>
      </c>
      <c r="C711" s="17">
        <f>+'Detalle Compras'!D711</f>
        <v>0</v>
      </c>
      <c r="D711" s="55" t="str">
        <f t="shared" si="46"/>
        <v/>
      </c>
      <c r="E711" s="14" t="str">
        <f>+IF(B711="","",'Detalle Compras'!S711+0)</f>
        <v/>
      </c>
      <c r="F711" s="14" t="str">
        <f>+IF(B711="","",EOMONTH('Detalle Compras'!S711,G711)+10)</f>
        <v/>
      </c>
      <c r="G711" s="50">
        <f t="shared" si="47"/>
        <v>0</v>
      </c>
      <c r="H711" s="50">
        <f t="shared" si="48"/>
        <v>0</v>
      </c>
    </row>
    <row r="712" spans="1:8" x14ac:dyDescent="0.2">
      <c r="A712" s="37">
        <v>710</v>
      </c>
      <c r="C712" s="17">
        <f>+'Detalle Compras'!D712</f>
        <v>0</v>
      </c>
      <c r="D712" s="55" t="str">
        <f t="shared" si="46"/>
        <v/>
      </c>
      <c r="E712" s="14" t="str">
        <f>+IF(B712="","",'Detalle Compras'!S712+0)</f>
        <v/>
      </c>
      <c r="F712" s="14" t="str">
        <f>+IF(B712="","",EOMONTH('Detalle Compras'!S712,G712)+10)</f>
        <v/>
      </c>
      <c r="G712" s="50">
        <f t="shared" si="47"/>
        <v>0</v>
      </c>
      <c r="H712" s="50">
        <f t="shared" si="48"/>
        <v>0</v>
      </c>
    </row>
    <row r="713" spans="1:8" x14ac:dyDescent="0.2">
      <c r="A713" s="37">
        <v>711</v>
      </c>
      <c r="C713" s="17">
        <f>+'Detalle Compras'!D713</f>
        <v>0</v>
      </c>
      <c r="D713" s="55" t="str">
        <f t="shared" si="46"/>
        <v/>
      </c>
      <c r="E713" s="14" t="str">
        <f>+IF(B713="","",'Detalle Compras'!S713+0)</f>
        <v/>
      </c>
      <c r="F713" s="14" t="str">
        <f>+IF(B713="","",EOMONTH('Detalle Compras'!S713,G713)+10)</f>
        <v/>
      </c>
      <c r="G713" s="50">
        <f t="shared" si="47"/>
        <v>0</v>
      </c>
      <c r="H713" s="50">
        <f t="shared" si="48"/>
        <v>0</v>
      </c>
    </row>
    <row r="714" spans="1:8" x14ac:dyDescent="0.2">
      <c r="A714" s="37">
        <v>712</v>
      </c>
      <c r="C714" s="17">
        <f>+'Detalle Compras'!D714</f>
        <v>0</v>
      </c>
      <c r="D714" s="55" t="str">
        <f t="shared" si="46"/>
        <v/>
      </c>
      <c r="E714" s="14" t="str">
        <f>+IF(B714="","",'Detalle Compras'!S714+0)</f>
        <v/>
      </c>
      <c r="F714" s="14" t="str">
        <f>+IF(B714="","",EOMONTH('Detalle Compras'!S714,G714)+10)</f>
        <v/>
      </c>
      <c r="G714" s="50">
        <f t="shared" si="47"/>
        <v>0</v>
      </c>
      <c r="H714" s="50">
        <f t="shared" si="48"/>
        <v>0</v>
      </c>
    </row>
    <row r="715" spans="1:8" x14ac:dyDescent="0.2">
      <c r="A715" s="37">
        <v>713</v>
      </c>
      <c r="C715" s="17">
        <f>+'Detalle Compras'!D715</f>
        <v>0</v>
      </c>
      <c r="D715" s="55" t="str">
        <f t="shared" si="46"/>
        <v/>
      </c>
      <c r="E715" s="14" t="str">
        <f>+IF(B715="","",'Detalle Compras'!S715+0)</f>
        <v/>
      </c>
      <c r="F715" s="14" t="str">
        <f>+IF(B715="","",EOMONTH('Detalle Compras'!S715,G715)+10)</f>
        <v/>
      </c>
      <c r="G715" s="50">
        <f t="shared" si="47"/>
        <v>0</v>
      </c>
      <c r="H715" s="50">
        <f t="shared" si="48"/>
        <v>0</v>
      </c>
    </row>
    <row r="716" spans="1:8" x14ac:dyDescent="0.2">
      <c r="A716" s="37">
        <v>714</v>
      </c>
      <c r="C716" s="17">
        <f>+'Detalle Compras'!D716</f>
        <v>0</v>
      </c>
      <c r="D716" s="55" t="str">
        <f t="shared" si="46"/>
        <v/>
      </c>
      <c r="E716" s="14" t="str">
        <f>+IF(B716="","",'Detalle Compras'!S716+0)</f>
        <v/>
      </c>
      <c r="F716" s="14" t="str">
        <f>+IF(B716="","",EOMONTH('Detalle Compras'!S716,G716)+10)</f>
        <v/>
      </c>
      <c r="G716" s="50">
        <f t="shared" si="47"/>
        <v>0</v>
      </c>
      <c r="H716" s="50">
        <f t="shared" si="48"/>
        <v>0</v>
      </c>
    </row>
    <row r="717" spans="1:8" x14ac:dyDescent="0.2">
      <c r="A717" s="37">
        <v>715</v>
      </c>
      <c r="C717" s="17">
        <f>+'Detalle Compras'!D717</f>
        <v>0</v>
      </c>
      <c r="D717" s="55" t="str">
        <f t="shared" si="46"/>
        <v/>
      </c>
      <c r="E717" s="14" t="str">
        <f>+IF(B717="","",'Detalle Compras'!S717+0)</f>
        <v/>
      </c>
      <c r="F717" s="14" t="str">
        <f>+IF(B717="","",EOMONTH('Detalle Compras'!S717,G717)+10)</f>
        <v/>
      </c>
      <c r="G717" s="50">
        <f t="shared" si="47"/>
        <v>0</v>
      </c>
      <c r="H717" s="50">
        <f t="shared" si="48"/>
        <v>0</v>
      </c>
    </row>
    <row r="718" spans="1:8" x14ac:dyDescent="0.2">
      <c r="A718" s="37">
        <v>716</v>
      </c>
      <c r="C718" s="17">
        <f>+'Detalle Compras'!D718</f>
        <v>0</v>
      </c>
      <c r="D718" s="55" t="str">
        <f t="shared" si="46"/>
        <v/>
      </c>
      <c r="E718" s="14" t="str">
        <f>+IF(B718="","",'Detalle Compras'!S718+0)</f>
        <v/>
      </c>
      <c r="F718" s="14" t="str">
        <f>+IF(B718="","",EOMONTH('Detalle Compras'!S718,G718)+10)</f>
        <v/>
      </c>
      <c r="G718" s="50">
        <f t="shared" si="47"/>
        <v>0</v>
      </c>
      <c r="H718" s="50">
        <f t="shared" si="48"/>
        <v>0</v>
      </c>
    </row>
    <row r="719" spans="1:8" x14ac:dyDescent="0.2">
      <c r="A719" s="37">
        <v>717</v>
      </c>
      <c r="C719" s="17">
        <f>+'Detalle Compras'!D719</f>
        <v>0</v>
      </c>
      <c r="D719" s="55" t="str">
        <f t="shared" si="46"/>
        <v/>
      </c>
      <c r="E719" s="14" t="str">
        <f>+IF(B719="","",'Detalle Compras'!S719+0)</f>
        <v/>
      </c>
      <c r="F719" s="14" t="str">
        <f>+IF(B719="","",EOMONTH('Detalle Compras'!S719,G719)+10)</f>
        <v/>
      </c>
      <c r="G719" s="50">
        <f t="shared" si="47"/>
        <v>0</v>
      </c>
      <c r="H719" s="50">
        <f t="shared" si="48"/>
        <v>0</v>
      </c>
    </row>
    <row r="720" spans="1:8" x14ac:dyDescent="0.2">
      <c r="A720" s="37">
        <v>718</v>
      </c>
      <c r="C720" s="17">
        <f>+'Detalle Compras'!D720</f>
        <v>0</v>
      </c>
      <c r="D720" s="55" t="str">
        <f t="shared" si="46"/>
        <v/>
      </c>
      <c r="E720" s="14" t="str">
        <f>+IF(B720="","",'Detalle Compras'!S720+0)</f>
        <v/>
      </c>
      <c r="F720" s="14" t="str">
        <f>+IF(B720="","",EOMONTH('Detalle Compras'!S720,G720)+10)</f>
        <v/>
      </c>
      <c r="G720" s="50">
        <f t="shared" si="47"/>
        <v>0</v>
      </c>
      <c r="H720" s="50">
        <f t="shared" si="48"/>
        <v>0</v>
      </c>
    </row>
    <row r="721" spans="1:8" x14ac:dyDescent="0.2">
      <c r="A721" s="37">
        <v>719</v>
      </c>
      <c r="C721" s="17">
        <f>+'Detalle Compras'!D721</f>
        <v>0</v>
      </c>
      <c r="D721" s="55" t="str">
        <f t="shared" si="46"/>
        <v/>
      </c>
      <c r="E721" s="14" t="str">
        <f>+IF(B721="","",'Detalle Compras'!S721+0)</f>
        <v/>
      </c>
      <c r="F721" s="14" t="str">
        <f>+IF(B721="","",EOMONTH('Detalle Compras'!S721,G721)+10)</f>
        <v/>
      </c>
      <c r="G721" s="50">
        <f t="shared" si="47"/>
        <v>0</v>
      </c>
      <c r="H721" s="50">
        <f t="shared" si="48"/>
        <v>0</v>
      </c>
    </row>
    <row r="722" spans="1:8" x14ac:dyDescent="0.2">
      <c r="A722" s="37">
        <v>720</v>
      </c>
      <c r="C722" s="17">
        <f>+'Detalle Compras'!D722</f>
        <v>0</v>
      </c>
      <c r="D722" s="55" t="str">
        <f t="shared" si="46"/>
        <v/>
      </c>
      <c r="E722" s="14" t="str">
        <f>+IF(B722="","",'Detalle Compras'!S722+0)</f>
        <v/>
      </c>
      <c r="F722" s="14" t="str">
        <f>+IF(B722="","",EOMONTH('Detalle Compras'!S722,G722)+10)</f>
        <v/>
      </c>
      <c r="G722" s="50">
        <f t="shared" si="47"/>
        <v>0</v>
      </c>
      <c r="H722" s="50">
        <f t="shared" si="48"/>
        <v>0</v>
      </c>
    </row>
    <row r="723" spans="1:8" x14ac:dyDescent="0.2">
      <c r="A723" s="37">
        <v>721</v>
      </c>
      <c r="C723" s="17">
        <f>+'Detalle Compras'!D723</f>
        <v>0</v>
      </c>
      <c r="D723" s="55" t="str">
        <f t="shared" si="46"/>
        <v/>
      </c>
      <c r="E723" s="14" t="str">
        <f>+IF(B723="","",'Detalle Compras'!S723+0)</f>
        <v/>
      </c>
      <c r="F723" s="14" t="str">
        <f>+IF(B723="","",EOMONTH('Detalle Compras'!S723,G723)+10)</f>
        <v/>
      </c>
      <c r="G723" s="50">
        <f t="shared" si="47"/>
        <v>0</v>
      </c>
      <c r="H723" s="50">
        <f t="shared" si="48"/>
        <v>0</v>
      </c>
    </row>
    <row r="724" spans="1:8" x14ac:dyDescent="0.2">
      <c r="A724" s="37">
        <v>722</v>
      </c>
      <c r="C724" s="17">
        <f>+'Detalle Compras'!D724</f>
        <v>0</v>
      </c>
      <c r="D724" s="55" t="str">
        <f t="shared" si="46"/>
        <v/>
      </c>
      <c r="E724" s="14" t="str">
        <f>+IF(B724="","",'Detalle Compras'!S724+0)</f>
        <v/>
      </c>
      <c r="F724" s="14" t="str">
        <f>+IF(B724="","",EOMONTH('Detalle Compras'!S724,G724)+10)</f>
        <v/>
      </c>
      <c r="G724" s="50">
        <f t="shared" si="47"/>
        <v>0</v>
      </c>
      <c r="H724" s="50">
        <f t="shared" si="48"/>
        <v>0</v>
      </c>
    </row>
    <row r="725" spans="1:8" x14ac:dyDescent="0.2">
      <c r="A725" s="37">
        <v>723</v>
      </c>
      <c r="C725" s="17">
        <f>+'Detalle Compras'!D725</f>
        <v>0</v>
      </c>
      <c r="D725" s="55" t="str">
        <f t="shared" si="46"/>
        <v/>
      </c>
      <c r="E725" s="14" t="str">
        <f>+IF(B725="","",'Detalle Compras'!S725+0)</f>
        <v/>
      </c>
      <c r="F725" s="14" t="str">
        <f>+IF(B725="","",EOMONTH('Detalle Compras'!S725,G725)+10)</f>
        <v/>
      </c>
      <c r="G725" s="50">
        <f t="shared" si="47"/>
        <v>0</v>
      </c>
      <c r="H725" s="50">
        <f t="shared" si="48"/>
        <v>0</v>
      </c>
    </row>
    <row r="726" spans="1:8" x14ac:dyDescent="0.2">
      <c r="A726" s="37">
        <v>724</v>
      </c>
      <c r="C726" s="17">
        <f>+'Detalle Compras'!D726</f>
        <v>0</v>
      </c>
      <c r="D726" s="55" t="str">
        <f t="shared" si="46"/>
        <v/>
      </c>
      <c r="E726" s="14" t="str">
        <f>+IF(B726="","",'Detalle Compras'!S726+0)</f>
        <v/>
      </c>
      <c r="F726" s="14" t="str">
        <f>+IF(B726="","",EOMONTH('Detalle Compras'!S726,G726)+10)</f>
        <v/>
      </c>
      <c r="G726" s="50">
        <f t="shared" si="47"/>
        <v>0</v>
      </c>
      <c r="H726" s="50">
        <f t="shared" si="48"/>
        <v>0</v>
      </c>
    </row>
    <row r="727" spans="1:8" x14ac:dyDescent="0.2">
      <c r="A727" s="37">
        <v>725</v>
      </c>
      <c r="C727" s="17">
        <f>+'Detalle Compras'!D727</f>
        <v>0</v>
      </c>
      <c r="D727" s="55" t="str">
        <f t="shared" si="46"/>
        <v/>
      </c>
      <c r="E727" s="14" t="str">
        <f>+IF(B727="","",'Detalle Compras'!S727+0)</f>
        <v/>
      </c>
      <c r="F727" s="14" t="str">
        <f>+IF(B727="","",EOMONTH('Detalle Compras'!S727,G727)+10)</f>
        <v/>
      </c>
      <c r="G727" s="50">
        <f t="shared" si="47"/>
        <v>0</v>
      </c>
      <c r="H727" s="50">
        <f t="shared" si="48"/>
        <v>0</v>
      </c>
    </row>
    <row r="728" spans="1:8" x14ac:dyDescent="0.2">
      <c r="A728" s="37">
        <v>726</v>
      </c>
      <c r="C728" s="17">
        <f>+'Detalle Compras'!D728</f>
        <v>0</v>
      </c>
      <c r="D728" s="55" t="str">
        <f t="shared" si="46"/>
        <v/>
      </c>
      <c r="E728" s="14" t="str">
        <f>+IF(B728="","",'Detalle Compras'!S728+0)</f>
        <v/>
      </c>
      <c r="F728" s="14" t="str">
        <f>+IF(B728="","",EOMONTH('Detalle Compras'!S728,G728)+10)</f>
        <v/>
      </c>
      <c r="G728" s="50">
        <f t="shared" si="47"/>
        <v>0</v>
      </c>
      <c r="H728" s="50">
        <f t="shared" si="48"/>
        <v>0</v>
      </c>
    </row>
    <row r="729" spans="1:8" x14ac:dyDescent="0.2">
      <c r="A729" s="37">
        <v>727</v>
      </c>
      <c r="C729" s="17">
        <f>+'Detalle Compras'!D729</f>
        <v>0</v>
      </c>
      <c r="D729" s="55" t="str">
        <f t="shared" si="46"/>
        <v/>
      </c>
      <c r="E729" s="14" t="str">
        <f>+IF(B729="","",'Detalle Compras'!S729+0)</f>
        <v/>
      </c>
      <c r="F729" s="14" t="str">
        <f>+IF(B729="","",EOMONTH('Detalle Compras'!S729,G729)+10)</f>
        <v/>
      </c>
      <c r="G729" s="50">
        <f t="shared" si="47"/>
        <v>0</v>
      </c>
      <c r="H729" s="50">
        <f t="shared" si="48"/>
        <v>0</v>
      </c>
    </row>
    <row r="730" spans="1:8" x14ac:dyDescent="0.2">
      <c r="A730" s="37">
        <v>728</v>
      </c>
      <c r="C730" s="17">
        <f>+'Detalle Compras'!D730</f>
        <v>0</v>
      </c>
      <c r="D730" s="55" t="str">
        <f t="shared" si="46"/>
        <v/>
      </c>
      <c r="E730" s="14" t="str">
        <f>+IF(B730="","",'Detalle Compras'!S730+0)</f>
        <v/>
      </c>
      <c r="F730" s="14" t="str">
        <f>+IF(B730="","",EOMONTH('Detalle Compras'!S730,G730)+10)</f>
        <v/>
      </c>
      <c r="G730" s="50">
        <f t="shared" si="47"/>
        <v>0</v>
      </c>
      <c r="H730" s="50">
        <f t="shared" si="48"/>
        <v>0</v>
      </c>
    </row>
    <row r="731" spans="1:8" x14ac:dyDescent="0.2">
      <c r="A731" s="37">
        <v>729</v>
      </c>
      <c r="C731" s="17">
        <f>+'Detalle Compras'!D731</f>
        <v>0</v>
      </c>
      <c r="D731" s="55" t="str">
        <f t="shared" si="46"/>
        <v/>
      </c>
      <c r="E731" s="14" t="str">
        <f>+IF(B731="","",'Detalle Compras'!S731+0)</f>
        <v/>
      </c>
      <c r="F731" s="14" t="str">
        <f>+IF(B731="","",EOMONTH('Detalle Compras'!S731,G731)+10)</f>
        <v/>
      </c>
      <c r="G731" s="50">
        <f t="shared" si="47"/>
        <v>0</v>
      </c>
      <c r="H731" s="50">
        <f t="shared" si="48"/>
        <v>0</v>
      </c>
    </row>
    <row r="732" spans="1:8" x14ac:dyDescent="0.2">
      <c r="A732" s="37">
        <v>730</v>
      </c>
      <c r="C732" s="17">
        <f>+'Detalle Compras'!D732</f>
        <v>0</v>
      </c>
      <c r="D732" s="55" t="str">
        <f t="shared" si="46"/>
        <v/>
      </c>
      <c r="E732" s="14" t="str">
        <f>+IF(B732="","",'Detalle Compras'!S732+0)</f>
        <v/>
      </c>
      <c r="F732" s="14" t="str">
        <f>+IF(B732="","",EOMONTH('Detalle Compras'!S732,G732)+10)</f>
        <v/>
      </c>
      <c r="G732" s="50">
        <f t="shared" si="47"/>
        <v>0</v>
      </c>
      <c r="H732" s="50">
        <f t="shared" si="48"/>
        <v>0</v>
      </c>
    </row>
    <row r="733" spans="1:8" x14ac:dyDescent="0.2">
      <c r="A733" s="37">
        <v>731</v>
      </c>
      <c r="C733" s="17">
        <f>+'Detalle Compras'!D733</f>
        <v>0</v>
      </c>
      <c r="D733" s="55" t="str">
        <f t="shared" si="46"/>
        <v/>
      </c>
      <c r="E733" s="14" t="str">
        <f>+IF(B733="","",'Detalle Compras'!S733+0)</f>
        <v/>
      </c>
      <c r="F733" s="14" t="str">
        <f>+IF(B733="","",EOMONTH('Detalle Compras'!S733,G733)+10)</f>
        <v/>
      </c>
      <c r="G733" s="50">
        <f t="shared" si="47"/>
        <v>0</v>
      </c>
      <c r="H733" s="50">
        <f t="shared" si="48"/>
        <v>0</v>
      </c>
    </row>
    <row r="734" spans="1:8" x14ac:dyDescent="0.2">
      <c r="A734" s="37">
        <v>732</v>
      </c>
      <c r="C734" s="17">
        <f>+'Detalle Compras'!D734</f>
        <v>0</v>
      </c>
      <c r="D734" s="55" t="str">
        <f t="shared" si="46"/>
        <v/>
      </c>
      <c r="E734" s="14" t="str">
        <f>+IF(B734="","",'Detalle Compras'!S734+0)</f>
        <v/>
      </c>
      <c r="F734" s="14" t="str">
        <f>+IF(B734="","",EOMONTH('Detalle Compras'!S734,G734)+10)</f>
        <v/>
      </c>
      <c r="G734" s="50">
        <f t="shared" si="47"/>
        <v>0</v>
      </c>
      <c r="H734" s="50">
        <f t="shared" si="48"/>
        <v>0</v>
      </c>
    </row>
    <row r="735" spans="1:8" x14ac:dyDescent="0.2">
      <c r="A735" s="37">
        <v>733</v>
      </c>
      <c r="C735" s="17">
        <f>+'Detalle Compras'!D735</f>
        <v>0</v>
      </c>
      <c r="D735" s="55" t="str">
        <f t="shared" si="46"/>
        <v/>
      </c>
      <c r="E735" s="14" t="str">
        <f>+IF(B735="","",'Detalle Compras'!S735+0)</f>
        <v/>
      </c>
      <c r="F735" s="14" t="str">
        <f>+IF(B735="","",EOMONTH('Detalle Compras'!S735,G735)+10)</f>
        <v/>
      </c>
      <c r="G735" s="50">
        <f t="shared" si="47"/>
        <v>0</v>
      </c>
      <c r="H735" s="50">
        <f t="shared" si="48"/>
        <v>0</v>
      </c>
    </row>
    <row r="736" spans="1:8" x14ac:dyDescent="0.2">
      <c r="A736" s="37">
        <v>734</v>
      </c>
      <c r="C736" s="17">
        <f>+'Detalle Compras'!D736</f>
        <v>0</v>
      </c>
      <c r="D736" s="55" t="str">
        <f t="shared" si="46"/>
        <v/>
      </c>
      <c r="E736" s="14" t="str">
        <f>+IF(B736="","",'Detalle Compras'!S736+0)</f>
        <v/>
      </c>
      <c r="F736" s="14" t="str">
        <f>+IF(B736="","",EOMONTH('Detalle Compras'!S736,G736)+10)</f>
        <v/>
      </c>
      <c r="G736" s="50">
        <f t="shared" si="47"/>
        <v>0</v>
      </c>
      <c r="H736" s="50">
        <f t="shared" si="48"/>
        <v>0</v>
      </c>
    </row>
    <row r="737" spans="1:8" x14ac:dyDescent="0.2">
      <c r="A737" s="37">
        <v>735</v>
      </c>
      <c r="C737" s="17">
        <f>+'Detalle Compras'!D737</f>
        <v>0</v>
      </c>
      <c r="D737" s="55" t="str">
        <f t="shared" si="46"/>
        <v/>
      </c>
      <c r="E737" s="14" t="str">
        <f>+IF(B737="","",'Detalle Compras'!S737+0)</f>
        <v/>
      </c>
      <c r="F737" s="14" t="str">
        <f>+IF(B737="","",EOMONTH('Detalle Compras'!S737,G737)+10)</f>
        <v/>
      </c>
      <c r="G737" s="50">
        <f t="shared" si="47"/>
        <v>0</v>
      </c>
      <c r="H737" s="50">
        <f t="shared" si="48"/>
        <v>0</v>
      </c>
    </row>
    <row r="738" spans="1:8" x14ac:dyDescent="0.2">
      <c r="A738" s="37">
        <v>736</v>
      </c>
      <c r="C738" s="17">
        <f>+'Detalle Compras'!D738</f>
        <v>0</v>
      </c>
      <c r="D738" s="55" t="str">
        <f t="shared" si="46"/>
        <v/>
      </c>
      <c r="E738" s="14" t="str">
        <f>+IF(B738="","",'Detalle Compras'!S738+0)</f>
        <v/>
      </c>
      <c r="F738" s="14" t="str">
        <f>+IF(B738="","",EOMONTH('Detalle Compras'!S738,G738)+10)</f>
        <v/>
      </c>
      <c r="G738" s="50">
        <f t="shared" si="47"/>
        <v>0</v>
      </c>
      <c r="H738" s="50">
        <f t="shared" si="48"/>
        <v>0</v>
      </c>
    </row>
    <row r="739" spans="1:8" x14ac:dyDescent="0.2">
      <c r="A739" s="37">
        <v>737</v>
      </c>
      <c r="C739" s="17">
        <f>+'Detalle Compras'!D739</f>
        <v>0</v>
      </c>
      <c r="D739" s="55" t="str">
        <f t="shared" si="46"/>
        <v/>
      </c>
      <c r="E739" s="14" t="str">
        <f>+IF(B739="","",'Detalle Compras'!S739+0)</f>
        <v/>
      </c>
      <c r="F739" s="14" t="str">
        <f>+IF(B739="","",EOMONTH('Detalle Compras'!S739,G739)+10)</f>
        <v/>
      </c>
      <c r="G739" s="50">
        <f t="shared" si="47"/>
        <v>0</v>
      </c>
      <c r="H739" s="50">
        <f t="shared" si="48"/>
        <v>0</v>
      </c>
    </row>
    <row r="740" spans="1:8" x14ac:dyDescent="0.2">
      <c r="A740" s="37">
        <v>738</v>
      </c>
      <c r="C740" s="17">
        <f>+'Detalle Compras'!D740</f>
        <v>0</v>
      </c>
      <c r="D740" s="55" t="str">
        <f t="shared" si="46"/>
        <v/>
      </c>
      <c r="E740" s="14" t="str">
        <f>+IF(B740="","",'Detalle Compras'!S740+0)</f>
        <v/>
      </c>
      <c r="F740" s="14" t="str">
        <f>+IF(B740="","",EOMONTH('Detalle Compras'!S740,G740)+10)</f>
        <v/>
      </c>
      <c r="G740" s="50">
        <f t="shared" si="47"/>
        <v>0</v>
      </c>
      <c r="H740" s="50">
        <f t="shared" si="48"/>
        <v>0</v>
      </c>
    </row>
    <row r="741" spans="1:8" x14ac:dyDescent="0.2">
      <c r="A741" s="37">
        <v>739</v>
      </c>
      <c r="C741" s="17">
        <f>+'Detalle Compras'!D741</f>
        <v>0</v>
      </c>
      <c r="D741" s="55" t="str">
        <f t="shared" si="46"/>
        <v/>
      </c>
      <c r="E741" s="14" t="str">
        <f>+IF(B741="","",'Detalle Compras'!S741+0)</f>
        <v/>
      </c>
      <c r="F741" s="14" t="str">
        <f>+IF(B741="","",EOMONTH('Detalle Compras'!S741,G741)+10)</f>
        <v/>
      </c>
      <c r="G741" s="50">
        <f t="shared" si="47"/>
        <v>0</v>
      </c>
      <c r="H741" s="50">
        <f t="shared" si="48"/>
        <v>0</v>
      </c>
    </row>
    <row r="742" spans="1:8" x14ac:dyDescent="0.2">
      <c r="A742" s="37">
        <v>740</v>
      </c>
      <c r="C742" s="17">
        <f>+'Detalle Compras'!D742</f>
        <v>0</v>
      </c>
      <c r="D742" s="55" t="str">
        <f t="shared" si="46"/>
        <v/>
      </c>
      <c r="E742" s="14" t="str">
        <f>+IF(B742="","",'Detalle Compras'!S742+0)</f>
        <v/>
      </c>
      <c r="F742" s="14" t="str">
        <f>+IF(B742="","",EOMONTH('Detalle Compras'!S742,G742)+10)</f>
        <v/>
      </c>
      <c r="G742" s="50">
        <f t="shared" si="47"/>
        <v>0</v>
      </c>
      <c r="H742" s="50">
        <f t="shared" si="48"/>
        <v>0</v>
      </c>
    </row>
    <row r="743" spans="1:8" x14ac:dyDescent="0.2">
      <c r="A743" s="37">
        <v>741</v>
      </c>
      <c r="C743" s="17">
        <f>+'Detalle Compras'!D743</f>
        <v>0</v>
      </c>
      <c r="D743" s="55" t="str">
        <f t="shared" si="46"/>
        <v/>
      </c>
      <c r="E743" s="14" t="str">
        <f>+IF(B743="","",'Detalle Compras'!S743+0)</f>
        <v/>
      </c>
      <c r="F743" s="14" t="str">
        <f>+IF(B743="","",EOMONTH('Detalle Compras'!S743,G743)+10)</f>
        <v/>
      </c>
      <c r="G743" s="50">
        <f t="shared" si="47"/>
        <v>0</v>
      </c>
      <c r="H743" s="50">
        <f t="shared" si="48"/>
        <v>0</v>
      </c>
    </row>
    <row r="744" spans="1:8" x14ac:dyDescent="0.2">
      <c r="A744" s="37">
        <v>742</v>
      </c>
      <c r="C744" s="17">
        <f>+'Detalle Compras'!D744</f>
        <v>0</v>
      </c>
      <c r="D744" s="55" t="str">
        <f t="shared" si="46"/>
        <v/>
      </c>
      <c r="E744" s="14" t="str">
        <f>+IF(B744="","",'Detalle Compras'!S744+0)</f>
        <v/>
      </c>
      <c r="F744" s="14" t="str">
        <f>+IF(B744="","",EOMONTH('Detalle Compras'!S744,G744)+10)</f>
        <v/>
      </c>
      <c r="G744" s="50">
        <f t="shared" si="47"/>
        <v>0</v>
      </c>
      <c r="H744" s="50">
        <f t="shared" si="48"/>
        <v>0</v>
      </c>
    </row>
    <row r="745" spans="1:8" x14ac:dyDescent="0.2">
      <c r="A745" s="37">
        <v>743</v>
      </c>
      <c r="C745" s="17">
        <f>+'Detalle Compras'!D745</f>
        <v>0</v>
      </c>
      <c r="D745" s="55" t="str">
        <f t="shared" si="46"/>
        <v/>
      </c>
      <c r="E745" s="14" t="str">
        <f>+IF(B745="","",'Detalle Compras'!S745+0)</f>
        <v/>
      </c>
      <c r="F745" s="14" t="str">
        <f>+IF(B745="","",EOMONTH('Detalle Compras'!S745,G745)+10)</f>
        <v/>
      </c>
      <c r="G745" s="50">
        <f t="shared" si="47"/>
        <v>0</v>
      </c>
      <c r="H745" s="50">
        <f t="shared" si="48"/>
        <v>0</v>
      </c>
    </row>
    <row r="746" spans="1:8" x14ac:dyDescent="0.2">
      <c r="A746" s="37">
        <v>744</v>
      </c>
      <c r="C746" s="17">
        <f>+'Detalle Compras'!D746</f>
        <v>0</v>
      </c>
      <c r="D746" s="55" t="str">
        <f t="shared" si="46"/>
        <v/>
      </c>
      <c r="E746" s="14" t="str">
        <f>+IF(B746="","",'Detalle Compras'!S746+0)</f>
        <v/>
      </c>
      <c r="F746" s="14" t="str">
        <f>+IF(B746="","",EOMONTH('Detalle Compras'!S746,G746)+10)</f>
        <v/>
      </c>
      <c r="G746" s="50">
        <f t="shared" si="47"/>
        <v>0</v>
      </c>
      <c r="H746" s="50">
        <f t="shared" si="48"/>
        <v>0</v>
      </c>
    </row>
    <row r="747" spans="1:8" x14ac:dyDescent="0.2">
      <c r="A747" s="37">
        <v>745</v>
      </c>
      <c r="C747" s="17">
        <f>+'Detalle Compras'!D747</f>
        <v>0</v>
      </c>
      <c r="D747" s="55" t="str">
        <f t="shared" si="46"/>
        <v/>
      </c>
      <c r="E747" s="14" t="str">
        <f>+IF(B747="","",'Detalle Compras'!S747+0)</f>
        <v/>
      </c>
      <c r="F747" s="14" t="str">
        <f>+IF(B747="","",EOMONTH('Detalle Compras'!S747,G747)+10)</f>
        <v/>
      </c>
      <c r="G747" s="50">
        <f t="shared" si="47"/>
        <v>0</v>
      </c>
      <c r="H747" s="50">
        <f t="shared" si="48"/>
        <v>0</v>
      </c>
    </row>
    <row r="748" spans="1:8" x14ac:dyDescent="0.2">
      <c r="A748" s="37">
        <v>746</v>
      </c>
      <c r="C748" s="17">
        <f>+'Detalle Compras'!D748</f>
        <v>0</v>
      </c>
      <c r="D748" s="55" t="str">
        <f t="shared" si="46"/>
        <v/>
      </c>
      <c r="E748" s="14" t="str">
        <f>+IF(B748="","",'Detalle Compras'!S748+0)</f>
        <v/>
      </c>
      <c r="F748" s="14" t="str">
        <f>+IF(B748="","",EOMONTH('Detalle Compras'!S748,G748)+10)</f>
        <v/>
      </c>
      <c r="G748" s="50">
        <f t="shared" si="47"/>
        <v>0</v>
      </c>
      <c r="H748" s="50">
        <f t="shared" si="48"/>
        <v>0</v>
      </c>
    </row>
    <row r="749" spans="1:8" x14ac:dyDescent="0.2">
      <c r="A749" s="37">
        <v>747</v>
      </c>
      <c r="C749" s="17">
        <f>+'Detalle Compras'!D749</f>
        <v>0</v>
      </c>
      <c r="D749" s="55" t="str">
        <f t="shared" si="46"/>
        <v/>
      </c>
      <c r="E749" s="14" t="str">
        <f>+IF(B749="","",'Detalle Compras'!S749+0)</f>
        <v/>
      </c>
      <c r="F749" s="14" t="str">
        <f>+IF(B749="","",EOMONTH('Detalle Compras'!S749,G749)+10)</f>
        <v/>
      </c>
      <c r="G749" s="50">
        <f t="shared" si="47"/>
        <v>0</v>
      </c>
      <c r="H749" s="50">
        <f t="shared" si="48"/>
        <v>0</v>
      </c>
    </row>
    <row r="750" spans="1:8" x14ac:dyDescent="0.2">
      <c r="A750" s="37">
        <v>748</v>
      </c>
      <c r="C750" s="17">
        <f>+'Detalle Compras'!D750</f>
        <v>0</v>
      </c>
      <c r="D750" s="55" t="str">
        <f t="shared" si="46"/>
        <v/>
      </c>
      <c r="E750" s="14" t="str">
        <f>+IF(B750="","",'Detalle Compras'!S750+0)</f>
        <v/>
      </c>
      <c r="F750" s="14" t="str">
        <f>+IF(B750="","",EOMONTH('Detalle Compras'!S750,G750)+10)</f>
        <v/>
      </c>
      <c r="G750" s="50">
        <f t="shared" si="47"/>
        <v>0</v>
      </c>
      <c r="H750" s="50">
        <f t="shared" si="48"/>
        <v>0</v>
      </c>
    </row>
    <row r="751" spans="1:8" x14ac:dyDescent="0.2">
      <c r="A751" s="37">
        <v>749</v>
      </c>
      <c r="C751" s="17">
        <f>+'Detalle Compras'!D751</f>
        <v>0</v>
      </c>
      <c r="D751" s="55" t="str">
        <f t="shared" si="46"/>
        <v/>
      </c>
      <c r="E751" s="14" t="str">
        <f>+IF(B751="","",'Detalle Compras'!S751+0)</f>
        <v/>
      </c>
      <c r="F751" s="14" t="str">
        <f>+IF(B751="","",EOMONTH('Detalle Compras'!S751,G751)+10)</f>
        <v/>
      </c>
      <c r="G751" s="50">
        <f t="shared" si="47"/>
        <v>0</v>
      </c>
      <c r="H751" s="50">
        <f t="shared" si="48"/>
        <v>0</v>
      </c>
    </row>
    <row r="752" spans="1:8" x14ac:dyDescent="0.2">
      <c r="A752" s="37">
        <v>750</v>
      </c>
      <c r="C752" s="17">
        <f>+'Detalle Compras'!D752</f>
        <v>0</v>
      </c>
      <c r="D752" s="55" t="str">
        <f t="shared" si="46"/>
        <v/>
      </c>
      <c r="E752" s="14" t="str">
        <f>+IF(B752="","",'Detalle Compras'!S752+0)</f>
        <v/>
      </c>
      <c r="F752" s="14" t="str">
        <f>+IF(B752="","",EOMONTH('Detalle Compras'!S752,G752)+10)</f>
        <v/>
      </c>
      <c r="G752" s="50">
        <f t="shared" si="47"/>
        <v>0</v>
      </c>
      <c r="H752" s="50">
        <f t="shared" si="48"/>
        <v>0</v>
      </c>
    </row>
    <row r="753" spans="1:8" x14ac:dyDescent="0.2">
      <c r="A753" s="37">
        <v>751</v>
      </c>
      <c r="C753" s="17">
        <f>+'Detalle Compras'!D753</f>
        <v>0</v>
      </c>
      <c r="D753" s="55" t="str">
        <f t="shared" si="46"/>
        <v/>
      </c>
      <c r="E753" s="14" t="str">
        <f>+IF(B753="","",'Detalle Compras'!S753+0)</f>
        <v/>
      </c>
      <c r="F753" s="14" t="str">
        <f>+IF(B753="","",EOMONTH('Detalle Compras'!S753,G753)+10)</f>
        <v/>
      </c>
      <c r="G753" s="50">
        <f t="shared" si="47"/>
        <v>0</v>
      </c>
      <c r="H753" s="50">
        <f t="shared" si="48"/>
        <v>0</v>
      </c>
    </row>
    <row r="754" spans="1:8" x14ac:dyDescent="0.2">
      <c r="A754" s="37">
        <v>752</v>
      </c>
      <c r="C754" s="17">
        <f>+'Detalle Compras'!D754</f>
        <v>0</v>
      </c>
      <c r="D754" s="55" t="str">
        <f t="shared" si="46"/>
        <v/>
      </c>
      <c r="E754" s="14" t="str">
        <f>+IF(B754="","",'Detalle Compras'!S754+0)</f>
        <v/>
      </c>
      <c r="F754" s="14" t="str">
        <f>+IF(B754="","",EOMONTH('Detalle Compras'!S754,G754)+10)</f>
        <v/>
      </c>
      <c r="G754" s="50">
        <f t="shared" si="47"/>
        <v>0</v>
      </c>
      <c r="H754" s="50">
        <f t="shared" si="48"/>
        <v>0</v>
      </c>
    </row>
    <row r="755" spans="1:8" x14ac:dyDescent="0.2">
      <c r="A755" s="37">
        <v>753</v>
      </c>
      <c r="C755" s="17">
        <f>+'Detalle Compras'!D755</f>
        <v>0</v>
      </c>
      <c r="D755" s="55" t="str">
        <f t="shared" si="46"/>
        <v/>
      </c>
      <c r="E755" s="14" t="str">
        <f>+IF(B755="","",'Detalle Compras'!S755+0)</f>
        <v/>
      </c>
      <c r="F755" s="14" t="str">
        <f>+IF(B755="","",EOMONTH('Detalle Compras'!S755,G755)+10)</f>
        <v/>
      </c>
      <c r="G755" s="50">
        <f t="shared" si="47"/>
        <v>0</v>
      </c>
      <c r="H755" s="50">
        <f t="shared" si="48"/>
        <v>0</v>
      </c>
    </row>
    <row r="756" spans="1:8" x14ac:dyDescent="0.2">
      <c r="A756" s="37">
        <v>754</v>
      </c>
      <c r="C756" s="17">
        <f>+'Detalle Compras'!D756</f>
        <v>0</v>
      </c>
      <c r="D756" s="55" t="str">
        <f t="shared" si="46"/>
        <v/>
      </c>
      <c r="E756" s="14" t="str">
        <f>+IF(B756="","",'Detalle Compras'!S756+0)</f>
        <v/>
      </c>
      <c r="F756" s="14" t="str">
        <f>+IF(B756="","",EOMONTH('Detalle Compras'!S756,G756)+10)</f>
        <v/>
      </c>
      <c r="G756" s="50">
        <f t="shared" si="47"/>
        <v>0</v>
      </c>
      <c r="H756" s="50">
        <f t="shared" si="48"/>
        <v>0</v>
      </c>
    </row>
    <row r="757" spans="1:8" x14ac:dyDescent="0.2">
      <c r="A757" s="37">
        <v>755</v>
      </c>
      <c r="C757" s="17">
        <f>+'Detalle Compras'!D757</f>
        <v>0</v>
      </c>
      <c r="D757" s="55" t="str">
        <f t="shared" si="46"/>
        <v/>
      </c>
      <c r="E757" s="14" t="str">
        <f>+IF(B757="","",'Detalle Compras'!S757+0)</f>
        <v/>
      </c>
      <c r="F757" s="14" t="str">
        <f>+IF(B757="","",EOMONTH('Detalle Compras'!S757,G757)+10)</f>
        <v/>
      </c>
      <c r="G757" s="50">
        <f t="shared" si="47"/>
        <v>0</v>
      </c>
      <c r="H757" s="50">
        <f t="shared" si="48"/>
        <v>0</v>
      </c>
    </row>
    <row r="758" spans="1:8" x14ac:dyDescent="0.2">
      <c r="A758" s="37">
        <v>756</v>
      </c>
      <c r="C758" s="17">
        <f>+'Detalle Compras'!D758</f>
        <v>0</v>
      </c>
      <c r="D758" s="55" t="str">
        <f t="shared" si="46"/>
        <v/>
      </c>
      <c r="E758" s="14" t="str">
        <f>+IF(B758="","",'Detalle Compras'!S758+0)</f>
        <v/>
      </c>
      <c r="F758" s="14" t="str">
        <f>+IF(B758="","",EOMONTH('Detalle Compras'!S758,G758)+10)</f>
        <v/>
      </c>
      <c r="G758" s="50">
        <f t="shared" si="47"/>
        <v>0</v>
      </c>
      <c r="H758" s="50">
        <f t="shared" si="48"/>
        <v>0</v>
      </c>
    </row>
    <row r="759" spans="1:8" x14ac:dyDescent="0.2">
      <c r="A759" s="37">
        <v>757</v>
      </c>
      <c r="C759" s="17">
        <f>+'Detalle Compras'!D759</f>
        <v>0</v>
      </c>
      <c r="D759" s="55" t="str">
        <f t="shared" si="46"/>
        <v/>
      </c>
      <c r="E759" s="14" t="str">
        <f>+IF(B759="","",'Detalle Compras'!S759+0)</f>
        <v/>
      </c>
      <c r="F759" s="14" t="str">
        <f>+IF(B759="","",EOMONTH('Detalle Compras'!S759,G759)+10)</f>
        <v/>
      </c>
      <c r="G759" s="50">
        <f t="shared" si="47"/>
        <v>0</v>
      </c>
      <c r="H759" s="50">
        <f t="shared" si="48"/>
        <v>0</v>
      </c>
    </row>
    <row r="760" spans="1:8" x14ac:dyDescent="0.2">
      <c r="A760" s="37">
        <v>758</v>
      </c>
      <c r="C760" s="17">
        <f>+'Detalle Compras'!D760</f>
        <v>0</v>
      </c>
      <c r="D760" s="55" t="str">
        <f t="shared" si="46"/>
        <v/>
      </c>
      <c r="E760" s="14" t="str">
        <f>+IF(B760="","",'Detalle Compras'!S760+0)</f>
        <v/>
      </c>
      <c r="F760" s="14" t="str">
        <f>+IF(B760="","",EOMONTH('Detalle Compras'!S760,G760)+10)</f>
        <v/>
      </c>
      <c r="G760" s="50">
        <f t="shared" si="47"/>
        <v>0</v>
      </c>
      <c r="H760" s="50">
        <f t="shared" si="48"/>
        <v>0</v>
      </c>
    </row>
    <row r="761" spans="1:8" x14ac:dyDescent="0.2">
      <c r="A761" s="37">
        <v>759</v>
      </c>
      <c r="C761" s="17">
        <f>+'Detalle Compras'!D761</f>
        <v>0</v>
      </c>
      <c r="D761" s="55" t="str">
        <f t="shared" si="46"/>
        <v/>
      </c>
      <c r="E761" s="14" t="str">
        <f>+IF(B761="","",'Detalle Compras'!S761+0)</f>
        <v/>
      </c>
      <c r="F761" s="14" t="str">
        <f>+IF(B761="","",EOMONTH('Detalle Compras'!S761,G761)+10)</f>
        <v/>
      </c>
      <c r="G761" s="50">
        <f t="shared" si="47"/>
        <v>0</v>
      </c>
      <c r="H761" s="50">
        <f t="shared" si="48"/>
        <v>0</v>
      </c>
    </row>
    <row r="762" spans="1:8" x14ac:dyDescent="0.2">
      <c r="A762" s="37">
        <v>760</v>
      </c>
      <c r="C762" s="17">
        <f>+'Detalle Compras'!D762</f>
        <v>0</v>
      </c>
      <c r="D762" s="55" t="str">
        <f t="shared" si="46"/>
        <v/>
      </c>
      <c r="E762" s="14" t="str">
        <f>+IF(B762="","",'Detalle Compras'!S762+0)</f>
        <v/>
      </c>
      <c r="F762" s="14" t="str">
        <f>+IF(B762="","",EOMONTH('Detalle Compras'!S762,G762)+10)</f>
        <v/>
      </c>
      <c r="G762" s="50">
        <f t="shared" si="47"/>
        <v>0</v>
      </c>
      <c r="H762" s="50">
        <f t="shared" si="48"/>
        <v>0</v>
      </c>
    </row>
    <row r="763" spans="1:8" x14ac:dyDescent="0.2">
      <c r="A763" s="37">
        <v>761</v>
      </c>
      <c r="C763" s="17">
        <f>+'Detalle Compras'!D763</f>
        <v>0</v>
      </c>
      <c r="D763" s="55" t="str">
        <f t="shared" si="46"/>
        <v/>
      </c>
      <c r="E763" s="14" t="str">
        <f>+IF(B763="","",'Detalle Compras'!S763+0)</f>
        <v/>
      </c>
      <c r="F763" s="14" t="str">
        <f>+IF(B763="","",EOMONTH('Detalle Compras'!S763,G763)+10)</f>
        <v/>
      </c>
      <c r="G763" s="50">
        <f t="shared" si="47"/>
        <v>0</v>
      </c>
      <c r="H763" s="50">
        <f t="shared" si="48"/>
        <v>0</v>
      </c>
    </row>
    <row r="764" spans="1:8" x14ac:dyDescent="0.2">
      <c r="A764" s="37">
        <v>762</v>
      </c>
      <c r="C764" s="17">
        <f>+'Detalle Compras'!D764</f>
        <v>0</v>
      </c>
      <c r="D764" s="55" t="str">
        <f t="shared" si="46"/>
        <v/>
      </c>
      <c r="E764" s="14" t="str">
        <f>+IF(B764="","",'Detalle Compras'!S764+0)</f>
        <v/>
      </c>
      <c r="F764" s="14" t="str">
        <f>+IF(B764="","",EOMONTH('Detalle Compras'!S764,G764)+10)</f>
        <v/>
      </c>
      <c r="G764" s="50">
        <f t="shared" si="47"/>
        <v>0</v>
      </c>
      <c r="H764" s="50">
        <f t="shared" si="48"/>
        <v>0</v>
      </c>
    </row>
    <row r="765" spans="1:8" x14ac:dyDescent="0.2">
      <c r="A765" s="37">
        <v>763</v>
      </c>
      <c r="C765" s="17">
        <f>+'Detalle Compras'!D765</f>
        <v>0</v>
      </c>
      <c r="D765" s="55" t="str">
        <f t="shared" si="46"/>
        <v/>
      </c>
      <c r="E765" s="14" t="str">
        <f>+IF(B765="","",'Detalle Compras'!S765+0)</f>
        <v/>
      </c>
      <c r="F765" s="14" t="str">
        <f>+IF(B765="","",EOMONTH('Detalle Compras'!S765,G765)+10)</f>
        <v/>
      </c>
      <c r="G765" s="50">
        <f t="shared" si="47"/>
        <v>0</v>
      </c>
      <c r="H765" s="50">
        <f t="shared" si="48"/>
        <v>0</v>
      </c>
    </row>
    <row r="766" spans="1:8" x14ac:dyDescent="0.2">
      <c r="A766" s="37">
        <v>764</v>
      </c>
      <c r="C766" s="17">
        <f>+'Detalle Compras'!D766</f>
        <v>0</v>
      </c>
      <c r="D766" s="55" t="str">
        <f t="shared" si="46"/>
        <v/>
      </c>
      <c r="E766" s="14" t="str">
        <f>+IF(B766="","",'Detalle Compras'!S766+0)</f>
        <v/>
      </c>
      <c r="F766" s="14" t="str">
        <f>+IF(B766="","",EOMONTH('Detalle Compras'!S766,G766)+10)</f>
        <v/>
      </c>
      <c r="G766" s="50">
        <f t="shared" si="47"/>
        <v>0</v>
      </c>
      <c r="H766" s="50">
        <f t="shared" si="48"/>
        <v>0</v>
      </c>
    </row>
    <row r="767" spans="1:8" x14ac:dyDescent="0.2">
      <c r="A767" s="37">
        <v>765</v>
      </c>
      <c r="C767" s="17">
        <f>+'Detalle Compras'!D767</f>
        <v>0</v>
      </c>
      <c r="D767" s="55" t="str">
        <f t="shared" si="46"/>
        <v/>
      </c>
      <c r="E767" s="14" t="str">
        <f>+IF(B767="","",'Detalle Compras'!S767+0)</f>
        <v/>
      </c>
      <c r="F767" s="14" t="str">
        <f>+IF(B767="","",EOMONTH('Detalle Compras'!S767,G767)+10)</f>
        <v/>
      </c>
      <c r="G767" s="50">
        <f t="shared" si="47"/>
        <v>0</v>
      </c>
      <c r="H767" s="50">
        <f t="shared" si="48"/>
        <v>0</v>
      </c>
    </row>
    <row r="768" spans="1:8" x14ac:dyDescent="0.2">
      <c r="A768" s="37">
        <v>766</v>
      </c>
      <c r="C768" s="17">
        <f>+'Detalle Compras'!D768</f>
        <v>0</v>
      </c>
      <c r="D768" s="55" t="str">
        <f t="shared" si="46"/>
        <v/>
      </c>
      <c r="E768" s="14" t="str">
        <f>+IF(B768="","",'Detalle Compras'!S768+0)</f>
        <v/>
      </c>
      <c r="F768" s="14" t="str">
        <f>+IF(B768="","",EOMONTH('Detalle Compras'!S768,G768)+10)</f>
        <v/>
      </c>
      <c r="G768" s="50">
        <f t="shared" si="47"/>
        <v>0</v>
      </c>
      <c r="H768" s="50">
        <f t="shared" si="48"/>
        <v>0</v>
      </c>
    </row>
    <row r="769" spans="1:8" x14ac:dyDescent="0.2">
      <c r="A769" s="37">
        <v>767</v>
      </c>
      <c r="C769" s="17">
        <f>+'Detalle Compras'!D769</f>
        <v>0</v>
      </c>
      <c r="D769" s="55" t="str">
        <f t="shared" si="46"/>
        <v/>
      </c>
      <c r="E769" s="14" t="str">
        <f>+IF(B769="","",'Detalle Compras'!S769+0)</f>
        <v/>
      </c>
      <c r="F769" s="14" t="str">
        <f>+IF(B769="","",EOMONTH('Detalle Compras'!S769,G769)+10)</f>
        <v/>
      </c>
      <c r="G769" s="50">
        <f t="shared" si="47"/>
        <v>0</v>
      </c>
      <c r="H769" s="50">
        <f t="shared" si="48"/>
        <v>0</v>
      </c>
    </row>
    <row r="770" spans="1:8" x14ac:dyDescent="0.2">
      <c r="A770" s="37">
        <v>768</v>
      </c>
      <c r="C770" s="17">
        <f>+'Detalle Compras'!D770</f>
        <v>0</v>
      </c>
      <c r="D770" s="55" t="str">
        <f t="shared" si="46"/>
        <v/>
      </c>
      <c r="E770" s="14" t="str">
        <f>+IF(B770="","",'Detalle Compras'!S770+0)</f>
        <v/>
      </c>
      <c r="F770" s="14" t="str">
        <f>+IF(B770="","",EOMONTH('Detalle Compras'!S770,G770)+10)</f>
        <v/>
      </c>
      <c r="G770" s="50">
        <f t="shared" si="47"/>
        <v>0</v>
      </c>
      <c r="H770" s="50">
        <f t="shared" si="48"/>
        <v>0</v>
      </c>
    </row>
    <row r="771" spans="1:8" x14ac:dyDescent="0.2">
      <c r="A771" s="37">
        <v>769</v>
      </c>
      <c r="C771" s="17">
        <f>+'Detalle Compras'!D771</f>
        <v>0</v>
      </c>
      <c r="D771" s="55" t="str">
        <f t="shared" si="46"/>
        <v/>
      </c>
      <c r="E771" s="14" t="str">
        <f>+IF(B771="","",'Detalle Compras'!S771+0)</f>
        <v/>
      </c>
      <c r="F771" s="14" t="str">
        <f>+IF(B771="","",EOMONTH('Detalle Compras'!S771,G771)+10)</f>
        <v/>
      </c>
      <c r="G771" s="50">
        <f t="shared" si="47"/>
        <v>0</v>
      </c>
      <c r="H771" s="50">
        <f t="shared" si="48"/>
        <v>0</v>
      </c>
    </row>
    <row r="772" spans="1:8" x14ac:dyDescent="0.2">
      <c r="A772" s="37">
        <v>770</v>
      </c>
      <c r="C772" s="17">
        <f>+'Detalle Compras'!D772</f>
        <v>0</v>
      </c>
      <c r="D772" s="55" t="str">
        <f t="shared" ref="D772:D835" si="49">+IF(B772="","",EA772)</f>
        <v/>
      </c>
      <c r="E772" s="14" t="str">
        <f>+IF(B772="","",'Detalle Compras'!S772+0)</f>
        <v/>
      </c>
      <c r="F772" s="14" t="str">
        <f>+IF(B772="","",EOMONTH('Detalle Compras'!S772,G772)+10)</f>
        <v/>
      </c>
      <c r="G772" s="50">
        <f t="shared" ref="G772:G835" si="50">+COUNTIF(I772:ADF772,"&gt;1")</f>
        <v>0</v>
      </c>
      <c r="H772" s="50">
        <f t="shared" ref="H772:H835" si="51">+COUNT(AF772:ADF772)</f>
        <v>0</v>
      </c>
    </row>
    <row r="773" spans="1:8" x14ac:dyDescent="0.2">
      <c r="A773" s="37">
        <v>771</v>
      </c>
      <c r="C773" s="17">
        <f>+'Detalle Compras'!D773</f>
        <v>0</v>
      </c>
      <c r="D773" s="55" t="str">
        <f t="shared" si="49"/>
        <v/>
      </c>
      <c r="E773" s="14" t="str">
        <f>+IF(B773="","",'Detalle Compras'!S773+0)</f>
        <v/>
      </c>
      <c r="F773" s="14" t="str">
        <f>+IF(B773="","",EOMONTH('Detalle Compras'!S773,G773)+10)</f>
        <v/>
      </c>
      <c r="G773" s="50">
        <f t="shared" si="50"/>
        <v>0</v>
      </c>
      <c r="H773" s="50">
        <f t="shared" si="51"/>
        <v>0</v>
      </c>
    </row>
    <row r="774" spans="1:8" x14ac:dyDescent="0.2">
      <c r="A774" s="37">
        <v>772</v>
      </c>
      <c r="C774" s="17">
        <f>+'Detalle Compras'!D774</f>
        <v>0</v>
      </c>
      <c r="D774" s="55" t="str">
        <f t="shared" si="49"/>
        <v/>
      </c>
      <c r="E774" s="14" t="str">
        <f>+IF(B774="","",'Detalle Compras'!S774+0)</f>
        <v/>
      </c>
      <c r="F774" s="14" t="str">
        <f>+IF(B774="","",EOMONTH('Detalle Compras'!S774,G774)+10)</f>
        <v/>
      </c>
      <c r="G774" s="50">
        <f t="shared" si="50"/>
        <v>0</v>
      </c>
      <c r="H774" s="50">
        <f t="shared" si="51"/>
        <v>0</v>
      </c>
    </row>
    <row r="775" spans="1:8" x14ac:dyDescent="0.2">
      <c r="A775" s="37">
        <v>773</v>
      </c>
      <c r="C775" s="17">
        <f>+'Detalle Compras'!D775</f>
        <v>0</v>
      </c>
      <c r="D775" s="55" t="str">
        <f t="shared" si="49"/>
        <v/>
      </c>
      <c r="E775" s="14" t="str">
        <f>+IF(B775="","",'Detalle Compras'!S775+0)</f>
        <v/>
      </c>
      <c r="F775" s="14" t="str">
        <f>+IF(B775="","",EOMONTH('Detalle Compras'!S775,G775)+10)</f>
        <v/>
      </c>
      <c r="G775" s="50">
        <f t="shared" si="50"/>
        <v>0</v>
      </c>
      <c r="H775" s="50">
        <f t="shared" si="51"/>
        <v>0</v>
      </c>
    </row>
    <row r="776" spans="1:8" x14ac:dyDescent="0.2">
      <c r="A776" s="37">
        <v>774</v>
      </c>
      <c r="C776" s="17">
        <f>+'Detalle Compras'!D776</f>
        <v>0</v>
      </c>
      <c r="D776" s="55" t="str">
        <f t="shared" si="49"/>
        <v/>
      </c>
      <c r="E776" s="14" t="str">
        <f>+IF(B776="","",'Detalle Compras'!S776+0)</f>
        <v/>
      </c>
      <c r="F776" s="14" t="str">
        <f>+IF(B776="","",EOMONTH('Detalle Compras'!S776,G776)+10)</f>
        <v/>
      </c>
      <c r="G776" s="50">
        <f t="shared" si="50"/>
        <v>0</v>
      </c>
      <c r="H776" s="50">
        <f t="shared" si="51"/>
        <v>0</v>
      </c>
    </row>
    <row r="777" spans="1:8" x14ac:dyDescent="0.2">
      <c r="A777" s="37">
        <v>775</v>
      </c>
      <c r="C777" s="17">
        <f>+'Detalle Compras'!D777</f>
        <v>0</v>
      </c>
      <c r="D777" s="55" t="str">
        <f t="shared" si="49"/>
        <v/>
      </c>
      <c r="E777" s="14" t="str">
        <f>+IF(B777="","",'Detalle Compras'!S777+0)</f>
        <v/>
      </c>
      <c r="F777" s="14" t="str">
        <f>+IF(B777="","",EOMONTH('Detalle Compras'!S777,G777)+10)</f>
        <v/>
      </c>
      <c r="G777" s="50">
        <f t="shared" si="50"/>
        <v>0</v>
      </c>
      <c r="H777" s="50">
        <f t="shared" si="51"/>
        <v>0</v>
      </c>
    </row>
    <row r="778" spans="1:8" x14ac:dyDescent="0.2">
      <c r="A778" s="37">
        <v>776</v>
      </c>
      <c r="C778" s="17">
        <f>+'Detalle Compras'!D778</f>
        <v>0</v>
      </c>
      <c r="D778" s="55" t="str">
        <f t="shared" si="49"/>
        <v/>
      </c>
      <c r="E778" s="14" t="str">
        <f>+IF(B778="","",'Detalle Compras'!S778+0)</f>
        <v/>
      </c>
      <c r="F778" s="14" t="str">
        <f>+IF(B778="","",EOMONTH('Detalle Compras'!S778,G778)+10)</f>
        <v/>
      </c>
      <c r="G778" s="50">
        <f t="shared" si="50"/>
        <v>0</v>
      </c>
      <c r="H778" s="50">
        <f t="shared" si="51"/>
        <v>0</v>
      </c>
    </row>
    <row r="779" spans="1:8" x14ac:dyDescent="0.2">
      <c r="A779" s="37">
        <v>777</v>
      </c>
      <c r="C779" s="17">
        <f>+'Detalle Compras'!D779</f>
        <v>0</v>
      </c>
      <c r="D779" s="55" t="str">
        <f t="shared" si="49"/>
        <v/>
      </c>
      <c r="E779" s="14" t="str">
        <f>+IF(B779="","",'Detalle Compras'!S779+0)</f>
        <v/>
      </c>
      <c r="F779" s="14" t="str">
        <f>+IF(B779="","",EOMONTH('Detalle Compras'!S779,G779)+10)</f>
        <v/>
      </c>
      <c r="G779" s="50">
        <f t="shared" si="50"/>
        <v>0</v>
      </c>
      <c r="H779" s="50">
        <f t="shared" si="51"/>
        <v>0</v>
      </c>
    </row>
    <row r="780" spans="1:8" x14ac:dyDescent="0.2">
      <c r="A780" s="37">
        <v>778</v>
      </c>
      <c r="C780" s="17">
        <f>+'Detalle Compras'!D780</f>
        <v>0</v>
      </c>
      <c r="D780" s="55" t="str">
        <f t="shared" si="49"/>
        <v/>
      </c>
      <c r="E780" s="14" t="str">
        <f>+IF(B780="","",'Detalle Compras'!S780+0)</f>
        <v/>
      </c>
      <c r="F780" s="14" t="str">
        <f>+IF(B780="","",EOMONTH('Detalle Compras'!S780,G780)+10)</f>
        <v/>
      </c>
      <c r="G780" s="50">
        <f t="shared" si="50"/>
        <v>0</v>
      </c>
      <c r="H780" s="50">
        <f t="shared" si="51"/>
        <v>0</v>
      </c>
    </row>
    <row r="781" spans="1:8" x14ac:dyDescent="0.2">
      <c r="A781" s="37">
        <v>779</v>
      </c>
      <c r="C781" s="17">
        <f>+'Detalle Compras'!D781</f>
        <v>0</v>
      </c>
      <c r="D781" s="55" t="str">
        <f t="shared" si="49"/>
        <v/>
      </c>
      <c r="E781" s="14" t="str">
        <f>+IF(B781="","",'Detalle Compras'!S781+0)</f>
        <v/>
      </c>
      <c r="F781" s="14" t="str">
        <f>+IF(B781="","",EOMONTH('Detalle Compras'!S781,G781)+10)</f>
        <v/>
      </c>
      <c r="G781" s="50">
        <f t="shared" si="50"/>
        <v>0</v>
      </c>
      <c r="H781" s="50">
        <f t="shared" si="51"/>
        <v>0</v>
      </c>
    </row>
    <row r="782" spans="1:8" x14ac:dyDescent="0.2">
      <c r="A782" s="37">
        <v>780</v>
      </c>
      <c r="C782" s="17">
        <f>+'Detalle Compras'!D782</f>
        <v>0</v>
      </c>
      <c r="D782" s="55" t="str">
        <f t="shared" si="49"/>
        <v/>
      </c>
      <c r="E782" s="14" t="str">
        <f>+IF(B782="","",'Detalle Compras'!S782+0)</f>
        <v/>
      </c>
      <c r="F782" s="14" t="str">
        <f>+IF(B782="","",EOMONTH('Detalle Compras'!S782,G782)+10)</f>
        <v/>
      </c>
      <c r="G782" s="50">
        <f t="shared" si="50"/>
        <v>0</v>
      </c>
      <c r="H782" s="50">
        <f t="shared" si="51"/>
        <v>0</v>
      </c>
    </row>
    <row r="783" spans="1:8" x14ac:dyDescent="0.2">
      <c r="A783" s="37">
        <v>781</v>
      </c>
      <c r="C783" s="17">
        <f>+'Detalle Compras'!D783</f>
        <v>0</v>
      </c>
      <c r="D783" s="55" t="str">
        <f t="shared" si="49"/>
        <v/>
      </c>
      <c r="E783" s="14" t="str">
        <f>+IF(B783="","",'Detalle Compras'!S783+0)</f>
        <v/>
      </c>
      <c r="F783" s="14" t="str">
        <f>+IF(B783="","",EOMONTH('Detalle Compras'!S783,G783)+10)</f>
        <v/>
      </c>
      <c r="G783" s="50">
        <f t="shared" si="50"/>
        <v>0</v>
      </c>
      <c r="H783" s="50">
        <f t="shared" si="51"/>
        <v>0</v>
      </c>
    </row>
    <row r="784" spans="1:8" x14ac:dyDescent="0.2">
      <c r="A784" s="37">
        <v>782</v>
      </c>
      <c r="C784" s="17">
        <f>+'Detalle Compras'!D784</f>
        <v>0</v>
      </c>
      <c r="D784" s="55" t="str">
        <f t="shared" si="49"/>
        <v/>
      </c>
      <c r="E784" s="14" t="str">
        <f>+IF(B784="","",'Detalle Compras'!S784+0)</f>
        <v/>
      </c>
      <c r="F784" s="14" t="str">
        <f>+IF(B784="","",EOMONTH('Detalle Compras'!S784,G784)+10)</f>
        <v/>
      </c>
      <c r="G784" s="50">
        <f t="shared" si="50"/>
        <v>0</v>
      </c>
      <c r="H784" s="50">
        <f t="shared" si="51"/>
        <v>0</v>
      </c>
    </row>
    <row r="785" spans="1:8" x14ac:dyDescent="0.2">
      <c r="A785" s="37">
        <v>783</v>
      </c>
      <c r="C785" s="17">
        <f>+'Detalle Compras'!D785</f>
        <v>0</v>
      </c>
      <c r="D785" s="55" t="str">
        <f t="shared" si="49"/>
        <v/>
      </c>
      <c r="E785" s="14" t="str">
        <f>+IF(B785="","",'Detalle Compras'!S785+0)</f>
        <v/>
      </c>
      <c r="F785" s="14" t="str">
        <f>+IF(B785="","",EOMONTH('Detalle Compras'!S785,G785)+10)</f>
        <v/>
      </c>
      <c r="G785" s="50">
        <f t="shared" si="50"/>
        <v>0</v>
      </c>
      <c r="H785" s="50">
        <f t="shared" si="51"/>
        <v>0</v>
      </c>
    </row>
    <row r="786" spans="1:8" x14ac:dyDescent="0.2">
      <c r="A786" s="37">
        <v>784</v>
      </c>
      <c r="C786" s="17">
        <f>+'Detalle Compras'!D786</f>
        <v>0</v>
      </c>
      <c r="D786" s="55" t="str">
        <f t="shared" si="49"/>
        <v/>
      </c>
      <c r="E786" s="14" t="str">
        <f>+IF(B786="","",'Detalle Compras'!S786+0)</f>
        <v/>
      </c>
      <c r="F786" s="14" t="str">
        <f>+IF(B786="","",EOMONTH('Detalle Compras'!S786,G786)+10)</f>
        <v/>
      </c>
      <c r="G786" s="50">
        <f t="shared" si="50"/>
        <v>0</v>
      </c>
      <c r="H786" s="50">
        <f t="shared" si="51"/>
        <v>0</v>
      </c>
    </row>
    <row r="787" spans="1:8" x14ac:dyDescent="0.2">
      <c r="A787" s="37">
        <v>785</v>
      </c>
      <c r="C787" s="17">
        <f>+'Detalle Compras'!D787</f>
        <v>0</v>
      </c>
      <c r="D787" s="55" t="str">
        <f t="shared" si="49"/>
        <v/>
      </c>
      <c r="E787" s="14" t="str">
        <f>+IF(B787="","",'Detalle Compras'!S787+0)</f>
        <v/>
      </c>
      <c r="F787" s="14" t="str">
        <f>+IF(B787="","",EOMONTH('Detalle Compras'!S787,G787)+10)</f>
        <v/>
      </c>
      <c r="G787" s="50">
        <f t="shared" si="50"/>
        <v>0</v>
      </c>
      <c r="H787" s="50">
        <f t="shared" si="51"/>
        <v>0</v>
      </c>
    </row>
    <row r="788" spans="1:8" x14ac:dyDescent="0.2">
      <c r="A788" s="37">
        <v>786</v>
      </c>
      <c r="C788" s="17">
        <f>+'Detalle Compras'!D788</f>
        <v>0</v>
      </c>
      <c r="D788" s="55" t="str">
        <f t="shared" si="49"/>
        <v/>
      </c>
      <c r="E788" s="14" t="str">
        <f>+IF(B788="","",'Detalle Compras'!S788+0)</f>
        <v/>
      </c>
      <c r="F788" s="14" t="str">
        <f>+IF(B788="","",EOMONTH('Detalle Compras'!S788,G788)+10)</f>
        <v/>
      </c>
      <c r="G788" s="50">
        <f t="shared" si="50"/>
        <v>0</v>
      </c>
      <c r="H788" s="50">
        <f t="shared" si="51"/>
        <v>0</v>
      </c>
    </row>
    <row r="789" spans="1:8" x14ac:dyDescent="0.2">
      <c r="A789" s="37">
        <v>787</v>
      </c>
      <c r="C789" s="17">
        <f>+'Detalle Compras'!D789</f>
        <v>0</v>
      </c>
      <c r="D789" s="55" t="str">
        <f t="shared" si="49"/>
        <v/>
      </c>
      <c r="E789" s="14" t="str">
        <f>+IF(B789="","",'Detalle Compras'!S789+0)</f>
        <v/>
      </c>
      <c r="F789" s="14" t="str">
        <f>+IF(B789="","",EOMONTH('Detalle Compras'!S789,G789)+10)</f>
        <v/>
      </c>
      <c r="G789" s="50">
        <f t="shared" si="50"/>
        <v>0</v>
      </c>
      <c r="H789" s="50">
        <f t="shared" si="51"/>
        <v>0</v>
      </c>
    </row>
    <row r="790" spans="1:8" x14ac:dyDescent="0.2">
      <c r="A790" s="37">
        <v>788</v>
      </c>
      <c r="C790" s="17">
        <f>+'Detalle Compras'!D790</f>
        <v>0</v>
      </c>
      <c r="D790" s="55" t="str">
        <f t="shared" si="49"/>
        <v/>
      </c>
      <c r="E790" s="14" t="str">
        <f>+IF(B790="","",'Detalle Compras'!S790+0)</f>
        <v/>
      </c>
      <c r="F790" s="14" t="str">
        <f>+IF(B790="","",EOMONTH('Detalle Compras'!S790,G790)+10)</f>
        <v/>
      </c>
      <c r="G790" s="50">
        <f t="shared" si="50"/>
        <v>0</v>
      </c>
      <c r="H790" s="50">
        <f t="shared" si="51"/>
        <v>0</v>
      </c>
    </row>
    <row r="791" spans="1:8" x14ac:dyDescent="0.2">
      <c r="A791" s="37">
        <v>789</v>
      </c>
      <c r="C791" s="17">
        <f>+'Detalle Compras'!D791</f>
        <v>0</v>
      </c>
      <c r="D791" s="55" t="str">
        <f t="shared" si="49"/>
        <v/>
      </c>
      <c r="E791" s="14" t="str">
        <f>+IF(B791="","",'Detalle Compras'!S791+0)</f>
        <v/>
      </c>
      <c r="F791" s="14" t="str">
        <f>+IF(B791="","",EOMONTH('Detalle Compras'!S791,G791)+10)</f>
        <v/>
      </c>
      <c r="G791" s="50">
        <f t="shared" si="50"/>
        <v>0</v>
      </c>
      <c r="H791" s="50">
        <f t="shared" si="51"/>
        <v>0</v>
      </c>
    </row>
    <row r="792" spans="1:8" x14ac:dyDescent="0.2">
      <c r="A792" s="37">
        <v>790</v>
      </c>
      <c r="C792" s="17">
        <f>+'Detalle Compras'!D792</f>
        <v>0</v>
      </c>
      <c r="D792" s="55" t="str">
        <f t="shared" si="49"/>
        <v/>
      </c>
      <c r="E792" s="14" t="str">
        <f>+IF(B792="","",'Detalle Compras'!S792+0)</f>
        <v/>
      </c>
      <c r="F792" s="14" t="str">
        <f>+IF(B792="","",EOMONTH('Detalle Compras'!S792,G792)+10)</f>
        <v/>
      </c>
      <c r="G792" s="50">
        <f t="shared" si="50"/>
        <v>0</v>
      </c>
      <c r="H792" s="50">
        <f t="shared" si="51"/>
        <v>0</v>
      </c>
    </row>
    <row r="793" spans="1:8" x14ac:dyDescent="0.2">
      <c r="A793" s="37">
        <v>791</v>
      </c>
      <c r="C793" s="17">
        <f>+'Detalle Compras'!D793</f>
        <v>0</v>
      </c>
      <c r="D793" s="55" t="str">
        <f t="shared" si="49"/>
        <v/>
      </c>
      <c r="E793" s="14" t="str">
        <f>+IF(B793="","",'Detalle Compras'!S793+0)</f>
        <v/>
      </c>
      <c r="F793" s="14" t="str">
        <f>+IF(B793="","",EOMONTH('Detalle Compras'!S793,G793)+10)</f>
        <v/>
      </c>
      <c r="G793" s="50">
        <f t="shared" si="50"/>
        <v>0</v>
      </c>
      <c r="H793" s="50">
        <f t="shared" si="51"/>
        <v>0</v>
      </c>
    </row>
    <row r="794" spans="1:8" x14ac:dyDescent="0.2">
      <c r="A794" s="37">
        <v>792</v>
      </c>
      <c r="C794" s="17">
        <f>+'Detalle Compras'!D794</f>
        <v>0</v>
      </c>
      <c r="D794" s="55" t="str">
        <f t="shared" si="49"/>
        <v/>
      </c>
      <c r="E794" s="14" t="str">
        <f>+IF(B794="","",'Detalle Compras'!S794+0)</f>
        <v/>
      </c>
      <c r="F794" s="14" t="str">
        <f>+IF(B794="","",EOMONTH('Detalle Compras'!S794,G794)+10)</f>
        <v/>
      </c>
      <c r="G794" s="50">
        <f t="shared" si="50"/>
        <v>0</v>
      </c>
      <c r="H794" s="50">
        <f t="shared" si="51"/>
        <v>0</v>
      </c>
    </row>
    <row r="795" spans="1:8" x14ac:dyDescent="0.2">
      <c r="A795" s="37">
        <v>793</v>
      </c>
      <c r="C795" s="17">
        <f>+'Detalle Compras'!D795</f>
        <v>0</v>
      </c>
      <c r="D795" s="55" t="str">
        <f t="shared" si="49"/>
        <v/>
      </c>
      <c r="E795" s="14" t="str">
        <f>+IF(B795="","",'Detalle Compras'!S795+0)</f>
        <v/>
      </c>
      <c r="F795" s="14" t="str">
        <f>+IF(B795="","",EOMONTH('Detalle Compras'!S795,G795)+10)</f>
        <v/>
      </c>
      <c r="G795" s="50">
        <f t="shared" si="50"/>
        <v>0</v>
      </c>
      <c r="H795" s="50">
        <f t="shared" si="51"/>
        <v>0</v>
      </c>
    </row>
    <row r="796" spans="1:8" x14ac:dyDescent="0.2">
      <c r="A796" s="37">
        <v>794</v>
      </c>
      <c r="C796" s="17">
        <f>+'Detalle Compras'!D796</f>
        <v>0</v>
      </c>
      <c r="D796" s="55" t="str">
        <f t="shared" si="49"/>
        <v/>
      </c>
      <c r="E796" s="14" t="str">
        <f>+IF(B796="","",'Detalle Compras'!S796+0)</f>
        <v/>
      </c>
      <c r="F796" s="14" t="str">
        <f>+IF(B796="","",EOMONTH('Detalle Compras'!S796,G796)+10)</f>
        <v/>
      </c>
      <c r="G796" s="50">
        <f t="shared" si="50"/>
        <v>0</v>
      </c>
      <c r="H796" s="50">
        <f t="shared" si="51"/>
        <v>0</v>
      </c>
    </row>
    <row r="797" spans="1:8" x14ac:dyDescent="0.2">
      <c r="A797" s="37">
        <v>795</v>
      </c>
      <c r="C797" s="17">
        <f>+'Detalle Compras'!D797</f>
        <v>0</v>
      </c>
      <c r="D797" s="55" t="str">
        <f t="shared" si="49"/>
        <v/>
      </c>
      <c r="E797" s="14" t="str">
        <f>+IF(B797="","",'Detalle Compras'!S797+0)</f>
        <v/>
      </c>
      <c r="F797" s="14" t="str">
        <f>+IF(B797="","",EOMONTH('Detalle Compras'!S797,G797)+10)</f>
        <v/>
      </c>
      <c r="G797" s="50">
        <f t="shared" si="50"/>
        <v>0</v>
      </c>
      <c r="H797" s="50">
        <f t="shared" si="51"/>
        <v>0</v>
      </c>
    </row>
    <row r="798" spans="1:8" x14ac:dyDescent="0.2">
      <c r="A798" s="37">
        <v>796</v>
      </c>
      <c r="C798" s="17">
        <f>+'Detalle Compras'!D798</f>
        <v>0</v>
      </c>
      <c r="D798" s="55" t="str">
        <f t="shared" si="49"/>
        <v/>
      </c>
      <c r="E798" s="14" t="str">
        <f>+IF(B798="","",'Detalle Compras'!S798+0)</f>
        <v/>
      </c>
      <c r="F798" s="14" t="str">
        <f>+IF(B798="","",EOMONTH('Detalle Compras'!S798,G798)+10)</f>
        <v/>
      </c>
      <c r="G798" s="50">
        <f t="shared" si="50"/>
        <v>0</v>
      </c>
      <c r="H798" s="50">
        <f t="shared" si="51"/>
        <v>0</v>
      </c>
    </row>
    <row r="799" spans="1:8" x14ac:dyDescent="0.2">
      <c r="A799" s="37">
        <v>797</v>
      </c>
      <c r="C799" s="17">
        <f>+'Detalle Compras'!D799</f>
        <v>0</v>
      </c>
      <c r="D799" s="55" t="str">
        <f t="shared" si="49"/>
        <v/>
      </c>
      <c r="E799" s="14" t="str">
        <f>+IF(B799="","",'Detalle Compras'!S799+0)</f>
        <v/>
      </c>
      <c r="F799" s="14" t="str">
        <f>+IF(B799="","",EOMONTH('Detalle Compras'!S799,G799)+10)</f>
        <v/>
      </c>
      <c r="G799" s="50">
        <f t="shared" si="50"/>
        <v>0</v>
      </c>
      <c r="H799" s="50">
        <f t="shared" si="51"/>
        <v>0</v>
      </c>
    </row>
    <row r="800" spans="1:8" x14ac:dyDescent="0.2">
      <c r="A800" s="37">
        <v>798</v>
      </c>
      <c r="C800" s="17">
        <f>+'Detalle Compras'!D800</f>
        <v>0</v>
      </c>
      <c r="D800" s="55" t="str">
        <f t="shared" si="49"/>
        <v/>
      </c>
      <c r="E800" s="14" t="str">
        <f>+IF(B800="","",'Detalle Compras'!S800+0)</f>
        <v/>
      </c>
      <c r="F800" s="14" t="str">
        <f>+IF(B800="","",EOMONTH('Detalle Compras'!S800,G800)+10)</f>
        <v/>
      </c>
      <c r="G800" s="50">
        <f t="shared" si="50"/>
        <v>0</v>
      </c>
      <c r="H800" s="50">
        <f t="shared" si="51"/>
        <v>0</v>
      </c>
    </row>
    <row r="801" spans="1:8" x14ac:dyDescent="0.2">
      <c r="A801" s="37">
        <v>799</v>
      </c>
      <c r="C801" s="17">
        <f>+'Detalle Compras'!D801</f>
        <v>0</v>
      </c>
      <c r="D801" s="55" t="str">
        <f t="shared" si="49"/>
        <v/>
      </c>
      <c r="E801" s="14" t="str">
        <f>+IF(B801="","",'Detalle Compras'!S801+0)</f>
        <v/>
      </c>
      <c r="F801" s="14" t="str">
        <f>+IF(B801="","",EOMONTH('Detalle Compras'!S801,G801)+10)</f>
        <v/>
      </c>
      <c r="G801" s="50">
        <f t="shared" si="50"/>
        <v>0</v>
      </c>
      <c r="H801" s="50">
        <f t="shared" si="51"/>
        <v>0</v>
      </c>
    </row>
    <row r="802" spans="1:8" x14ac:dyDescent="0.2">
      <c r="A802" s="37">
        <v>800</v>
      </c>
      <c r="C802" s="17">
        <f>+'Detalle Compras'!D802</f>
        <v>0</v>
      </c>
      <c r="D802" s="55" t="str">
        <f t="shared" si="49"/>
        <v/>
      </c>
      <c r="E802" s="14" t="str">
        <f>+IF(B802="","",'Detalle Compras'!S802+0)</f>
        <v/>
      </c>
      <c r="F802" s="14" t="str">
        <f>+IF(B802="","",EOMONTH('Detalle Compras'!S802,G802)+10)</f>
        <v/>
      </c>
      <c r="G802" s="50">
        <f t="shared" si="50"/>
        <v>0</v>
      </c>
      <c r="H802" s="50">
        <f t="shared" si="51"/>
        <v>0</v>
      </c>
    </row>
    <row r="803" spans="1:8" x14ac:dyDescent="0.2">
      <c r="A803" s="37">
        <v>801</v>
      </c>
      <c r="C803" s="17">
        <f>+'Detalle Compras'!D803</f>
        <v>0</v>
      </c>
      <c r="D803" s="55" t="str">
        <f t="shared" si="49"/>
        <v/>
      </c>
      <c r="E803" s="14" t="str">
        <f>+IF(B803="","",'Detalle Compras'!S803+0)</f>
        <v/>
      </c>
      <c r="F803" s="14" t="str">
        <f>+IF(B803="","",EOMONTH('Detalle Compras'!S803,G803)+10)</f>
        <v/>
      </c>
      <c r="G803" s="50">
        <f t="shared" si="50"/>
        <v>0</v>
      </c>
      <c r="H803" s="50">
        <f t="shared" si="51"/>
        <v>0</v>
      </c>
    </row>
    <row r="804" spans="1:8" x14ac:dyDescent="0.2">
      <c r="A804" s="37">
        <v>802</v>
      </c>
      <c r="C804" s="17">
        <f>+'Detalle Compras'!D804</f>
        <v>0</v>
      </c>
      <c r="D804" s="55" t="str">
        <f t="shared" si="49"/>
        <v/>
      </c>
      <c r="E804" s="14" t="str">
        <f>+IF(B804="","",'Detalle Compras'!S804+0)</f>
        <v/>
      </c>
      <c r="F804" s="14" t="str">
        <f>+IF(B804="","",EOMONTH('Detalle Compras'!S804,G804)+10)</f>
        <v/>
      </c>
      <c r="G804" s="50">
        <f t="shared" si="50"/>
        <v>0</v>
      </c>
      <c r="H804" s="50">
        <f t="shared" si="51"/>
        <v>0</v>
      </c>
    </row>
    <row r="805" spans="1:8" x14ac:dyDescent="0.2">
      <c r="A805" s="37">
        <v>803</v>
      </c>
      <c r="C805" s="17">
        <f>+'Detalle Compras'!D805</f>
        <v>0</v>
      </c>
      <c r="D805" s="55" t="str">
        <f t="shared" si="49"/>
        <v/>
      </c>
      <c r="E805" s="14" t="str">
        <f>+IF(B805="","",'Detalle Compras'!S805+0)</f>
        <v/>
      </c>
      <c r="F805" s="14" t="str">
        <f>+IF(B805="","",EOMONTH('Detalle Compras'!S805,G805)+10)</f>
        <v/>
      </c>
      <c r="G805" s="50">
        <f t="shared" si="50"/>
        <v>0</v>
      </c>
      <c r="H805" s="50">
        <f t="shared" si="51"/>
        <v>0</v>
      </c>
    </row>
    <row r="806" spans="1:8" x14ac:dyDescent="0.2">
      <c r="A806" s="37">
        <v>804</v>
      </c>
      <c r="C806" s="17">
        <f>+'Detalle Compras'!D806</f>
        <v>0</v>
      </c>
      <c r="D806" s="55" t="str">
        <f t="shared" si="49"/>
        <v/>
      </c>
      <c r="E806" s="14" t="str">
        <f>+IF(B806="","",'Detalle Compras'!S806+0)</f>
        <v/>
      </c>
      <c r="F806" s="14" t="str">
        <f>+IF(B806="","",EOMONTH('Detalle Compras'!S806,G806)+10)</f>
        <v/>
      </c>
      <c r="G806" s="50">
        <f t="shared" si="50"/>
        <v>0</v>
      </c>
      <c r="H806" s="50">
        <f t="shared" si="51"/>
        <v>0</v>
      </c>
    </row>
    <row r="807" spans="1:8" x14ac:dyDescent="0.2">
      <c r="A807" s="37">
        <v>805</v>
      </c>
      <c r="C807" s="17">
        <f>+'Detalle Compras'!D807</f>
        <v>0</v>
      </c>
      <c r="D807" s="55" t="str">
        <f t="shared" si="49"/>
        <v/>
      </c>
      <c r="E807" s="14" t="str">
        <f>+IF(B807="","",'Detalle Compras'!S807+0)</f>
        <v/>
      </c>
      <c r="F807" s="14" t="str">
        <f>+IF(B807="","",EOMONTH('Detalle Compras'!S807,G807)+10)</f>
        <v/>
      </c>
      <c r="G807" s="50">
        <f t="shared" si="50"/>
        <v>0</v>
      </c>
      <c r="H807" s="50">
        <f t="shared" si="51"/>
        <v>0</v>
      </c>
    </row>
    <row r="808" spans="1:8" x14ac:dyDescent="0.2">
      <c r="A808" s="37">
        <v>806</v>
      </c>
      <c r="C808" s="17">
        <f>+'Detalle Compras'!D808</f>
        <v>0</v>
      </c>
      <c r="D808" s="55" t="str">
        <f t="shared" si="49"/>
        <v/>
      </c>
      <c r="E808" s="14" t="str">
        <f>+IF(B808="","",'Detalle Compras'!S808+0)</f>
        <v/>
      </c>
      <c r="F808" s="14" t="str">
        <f>+IF(B808="","",EOMONTH('Detalle Compras'!S808,G808)+10)</f>
        <v/>
      </c>
      <c r="G808" s="50">
        <f t="shared" si="50"/>
        <v>0</v>
      </c>
      <c r="H808" s="50">
        <f t="shared" si="51"/>
        <v>0</v>
      </c>
    </row>
    <row r="809" spans="1:8" x14ac:dyDescent="0.2">
      <c r="A809" s="37">
        <v>807</v>
      </c>
      <c r="C809" s="17">
        <f>+'Detalle Compras'!D809</f>
        <v>0</v>
      </c>
      <c r="D809" s="55" t="str">
        <f t="shared" si="49"/>
        <v/>
      </c>
      <c r="E809" s="14" t="str">
        <f>+IF(B809="","",'Detalle Compras'!S809+0)</f>
        <v/>
      </c>
      <c r="F809" s="14" t="str">
        <f>+IF(B809="","",EOMONTH('Detalle Compras'!S809,G809)+10)</f>
        <v/>
      </c>
      <c r="G809" s="50">
        <f t="shared" si="50"/>
        <v>0</v>
      </c>
      <c r="H809" s="50">
        <f t="shared" si="51"/>
        <v>0</v>
      </c>
    </row>
    <row r="810" spans="1:8" x14ac:dyDescent="0.2">
      <c r="A810" s="37">
        <v>808</v>
      </c>
      <c r="C810" s="17">
        <f>+'Detalle Compras'!D810</f>
        <v>0</v>
      </c>
      <c r="D810" s="55" t="str">
        <f t="shared" si="49"/>
        <v/>
      </c>
      <c r="E810" s="14" t="str">
        <f>+IF(B810="","",'Detalle Compras'!S810+0)</f>
        <v/>
      </c>
      <c r="F810" s="14" t="str">
        <f>+IF(B810="","",EOMONTH('Detalle Compras'!S810,G810)+10)</f>
        <v/>
      </c>
      <c r="G810" s="50">
        <f t="shared" si="50"/>
        <v>0</v>
      </c>
      <c r="H810" s="50">
        <f t="shared" si="51"/>
        <v>0</v>
      </c>
    </row>
    <row r="811" spans="1:8" x14ac:dyDescent="0.2">
      <c r="A811" s="37">
        <v>809</v>
      </c>
      <c r="C811" s="17">
        <f>+'Detalle Compras'!D811</f>
        <v>0</v>
      </c>
      <c r="D811" s="55" t="str">
        <f t="shared" si="49"/>
        <v/>
      </c>
      <c r="E811" s="14" t="str">
        <f>+IF(B811="","",'Detalle Compras'!S811+0)</f>
        <v/>
      </c>
      <c r="F811" s="14" t="str">
        <f>+IF(B811="","",EOMONTH('Detalle Compras'!S811,G811)+10)</f>
        <v/>
      </c>
      <c r="G811" s="50">
        <f t="shared" si="50"/>
        <v>0</v>
      </c>
      <c r="H811" s="50">
        <f t="shared" si="51"/>
        <v>0</v>
      </c>
    </row>
    <row r="812" spans="1:8" x14ac:dyDescent="0.2">
      <c r="A812" s="37">
        <v>810</v>
      </c>
      <c r="C812" s="17">
        <f>+'Detalle Compras'!D812</f>
        <v>0</v>
      </c>
      <c r="D812" s="55" t="str">
        <f t="shared" si="49"/>
        <v/>
      </c>
      <c r="E812" s="14" t="str">
        <f>+IF(B812="","",'Detalle Compras'!S812+0)</f>
        <v/>
      </c>
      <c r="F812" s="14" t="str">
        <f>+IF(B812="","",EOMONTH('Detalle Compras'!S812,G812)+10)</f>
        <v/>
      </c>
      <c r="G812" s="50">
        <f t="shared" si="50"/>
        <v>0</v>
      </c>
      <c r="H812" s="50">
        <f t="shared" si="51"/>
        <v>0</v>
      </c>
    </row>
    <row r="813" spans="1:8" x14ac:dyDescent="0.2">
      <c r="A813" s="37">
        <v>811</v>
      </c>
      <c r="C813" s="17">
        <f>+'Detalle Compras'!D813</f>
        <v>0</v>
      </c>
      <c r="D813" s="55" t="str">
        <f t="shared" si="49"/>
        <v/>
      </c>
      <c r="E813" s="14" t="str">
        <f>+IF(B813="","",'Detalle Compras'!S813+0)</f>
        <v/>
      </c>
      <c r="F813" s="14" t="str">
        <f>+IF(B813="","",EOMONTH('Detalle Compras'!S813,G813)+10)</f>
        <v/>
      </c>
      <c r="G813" s="50">
        <f t="shared" si="50"/>
        <v>0</v>
      </c>
      <c r="H813" s="50">
        <f t="shared" si="51"/>
        <v>0</v>
      </c>
    </row>
    <row r="814" spans="1:8" x14ac:dyDescent="0.2">
      <c r="A814" s="37">
        <v>812</v>
      </c>
      <c r="C814" s="17">
        <f>+'Detalle Compras'!D814</f>
        <v>0</v>
      </c>
      <c r="D814" s="55" t="str">
        <f t="shared" si="49"/>
        <v/>
      </c>
      <c r="E814" s="14" t="str">
        <f>+IF(B814="","",'Detalle Compras'!S814+0)</f>
        <v/>
      </c>
      <c r="F814" s="14" t="str">
        <f>+IF(B814="","",EOMONTH('Detalle Compras'!S814,G814)+10)</f>
        <v/>
      </c>
      <c r="G814" s="50">
        <f t="shared" si="50"/>
        <v>0</v>
      </c>
      <c r="H814" s="50">
        <f t="shared" si="51"/>
        <v>0</v>
      </c>
    </row>
    <row r="815" spans="1:8" x14ac:dyDescent="0.2">
      <c r="A815" s="37">
        <v>813</v>
      </c>
      <c r="C815" s="17">
        <f>+'Detalle Compras'!D815</f>
        <v>0</v>
      </c>
      <c r="D815" s="55" t="str">
        <f t="shared" si="49"/>
        <v/>
      </c>
      <c r="E815" s="14" t="str">
        <f>+IF(B815="","",'Detalle Compras'!S815+0)</f>
        <v/>
      </c>
      <c r="F815" s="14" t="str">
        <f>+IF(B815="","",EOMONTH('Detalle Compras'!S815,G815)+10)</f>
        <v/>
      </c>
      <c r="G815" s="50">
        <f t="shared" si="50"/>
        <v>0</v>
      </c>
      <c r="H815" s="50">
        <f t="shared" si="51"/>
        <v>0</v>
      </c>
    </row>
    <row r="816" spans="1:8" x14ac:dyDescent="0.2">
      <c r="A816" s="37">
        <v>814</v>
      </c>
      <c r="C816" s="17">
        <f>+'Detalle Compras'!D816</f>
        <v>0</v>
      </c>
      <c r="D816" s="55" t="str">
        <f t="shared" si="49"/>
        <v/>
      </c>
      <c r="E816" s="14" t="str">
        <f>+IF(B816="","",'Detalle Compras'!S816+0)</f>
        <v/>
      </c>
      <c r="F816" s="14" t="str">
        <f>+IF(B816="","",EOMONTH('Detalle Compras'!S816,G816)+10)</f>
        <v/>
      </c>
      <c r="G816" s="50">
        <f t="shared" si="50"/>
        <v>0</v>
      </c>
      <c r="H816" s="50">
        <f t="shared" si="51"/>
        <v>0</v>
      </c>
    </row>
    <row r="817" spans="1:8" x14ac:dyDescent="0.2">
      <c r="A817" s="37">
        <v>815</v>
      </c>
      <c r="C817" s="17">
        <f>+'Detalle Compras'!D817</f>
        <v>0</v>
      </c>
      <c r="D817" s="55" t="str">
        <f t="shared" si="49"/>
        <v/>
      </c>
      <c r="E817" s="14" t="str">
        <f>+IF(B817="","",'Detalle Compras'!S817+0)</f>
        <v/>
      </c>
      <c r="F817" s="14" t="str">
        <f>+IF(B817="","",EOMONTH('Detalle Compras'!S817,G817)+10)</f>
        <v/>
      </c>
      <c r="G817" s="50">
        <f t="shared" si="50"/>
        <v>0</v>
      </c>
      <c r="H817" s="50">
        <f t="shared" si="51"/>
        <v>0</v>
      </c>
    </row>
    <row r="818" spans="1:8" x14ac:dyDescent="0.2">
      <c r="A818" s="37">
        <v>816</v>
      </c>
      <c r="C818" s="17">
        <f>+'Detalle Compras'!D818</f>
        <v>0</v>
      </c>
      <c r="D818" s="55" t="str">
        <f t="shared" si="49"/>
        <v/>
      </c>
      <c r="E818" s="14" t="str">
        <f>+IF(B818="","",'Detalle Compras'!S818+0)</f>
        <v/>
      </c>
      <c r="F818" s="14" t="str">
        <f>+IF(B818="","",EOMONTH('Detalle Compras'!S818,G818)+10)</f>
        <v/>
      </c>
      <c r="G818" s="50">
        <f t="shared" si="50"/>
        <v>0</v>
      </c>
      <c r="H818" s="50">
        <f t="shared" si="51"/>
        <v>0</v>
      </c>
    </row>
    <row r="819" spans="1:8" x14ac:dyDescent="0.2">
      <c r="A819" s="37">
        <v>817</v>
      </c>
      <c r="C819" s="17">
        <f>+'Detalle Compras'!D819</f>
        <v>0</v>
      </c>
      <c r="D819" s="55" t="str">
        <f t="shared" si="49"/>
        <v/>
      </c>
      <c r="E819" s="14" t="str">
        <f>+IF(B819="","",'Detalle Compras'!S819+0)</f>
        <v/>
      </c>
      <c r="F819" s="14" t="str">
        <f>+IF(B819="","",EOMONTH('Detalle Compras'!S819,G819)+10)</f>
        <v/>
      </c>
      <c r="G819" s="50">
        <f t="shared" si="50"/>
        <v>0</v>
      </c>
      <c r="H819" s="50">
        <f t="shared" si="51"/>
        <v>0</v>
      </c>
    </row>
    <row r="820" spans="1:8" x14ac:dyDescent="0.2">
      <c r="A820" s="37">
        <v>818</v>
      </c>
      <c r="C820" s="17">
        <f>+'Detalle Compras'!D820</f>
        <v>0</v>
      </c>
      <c r="D820" s="55" t="str">
        <f t="shared" si="49"/>
        <v/>
      </c>
      <c r="E820" s="14" t="str">
        <f>+IF(B820="","",'Detalle Compras'!S820+0)</f>
        <v/>
      </c>
      <c r="F820" s="14" t="str">
        <f>+IF(B820="","",EOMONTH('Detalle Compras'!S820,G820)+10)</f>
        <v/>
      </c>
      <c r="G820" s="50">
        <f t="shared" si="50"/>
        <v>0</v>
      </c>
      <c r="H820" s="50">
        <f t="shared" si="51"/>
        <v>0</v>
      </c>
    </row>
    <row r="821" spans="1:8" x14ac:dyDescent="0.2">
      <c r="A821" s="37">
        <v>819</v>
      </c>
      <c r="C821" s="17">
        <f>+'Detalle Compras'!D821</f>
        <v>0</v>
      </c>
      <c r="D821" s="55" t="str">
        <f t="shared" si="49"/>
        <v/>
      </c>
      <c r="E821" s="14" t="str">
        <f>+IF(B821="","",'Detalle Compras'!S821+0)</f>
        <v/>
      </c>
      <c r="F821" s="14" t="str">
        <f>+IF(B821="","",EOMONTH('Detalle Compras'!S821,G821)+10)</f>
        <v/>
      </c>
      <c r="G821" s="50">
        <f t="shared" si="50"/>
        <v>0</v>
      </c>
      <c r="H821" s="50">
        <f t="shared" si="51"/>
        <v>0</v>
      </c>
    </row>
    <row r="822" spans="1:8" x14ac:dyDescent="0.2">
      <c r="A822" s="37">
        <v>820</v>
      </c>
      <c r="C822" s="17">
        <f>+'Detalle Compras'!D822</f>
        <v>0</v>
      </c>
      <c r="D822" s="55" t="str">
        <f t="shared" si="49"/>
        <v/>
      </c>
      <c r="E822" s="14" t="str">
        <f>+IF(B822="","",'Detalle Compras'!S822+0)</f>
        <v/>
      </c>
      <c r="F822" s="14" t="str">
        <f>+IF(B822="","",EOMONTH('Detalle Compras'!S822,G822)+10)</f>
        <v/>
      </c>
      <c r="G822" s="50">
        <f t="shared" si="50"/>
        <v>0</v>
      </c>
      <c r="H822" s="50">
        <f t="shared" si="51"/>
        <v>0</v>
      </c>
    </row>
    <row r="823" spans="1:8" x14ac:dyDescent="0.2">
      <c r="A823" s="37">
        <v>821</v>
      </c>
      <c r="C823" s="17">
        <f>+'Detalle Compras'!D823</f>
        <v>0</v>
      </c>
      <c r="D823" s="55" t="str">
        <f t="shared" si="49"/>
        <v/>
      </c>
      <c r="E823" s="14" t="str">
        <f>+IF(B823="","",'Detalle Compras'!S823+0)</f>
        <v/>
      </c>
      <c r="F823" s="14" t="str">
        <f>+IF(B823="","",EOMONTH('Detalle Compras'!S823,G823)+10)</f>
        <v/>
      </c>
      <c r="G823" s="50">
        <f t="shared" si="50"/>
        <v>0</v>
      </c>
      <c r="H823" s="50">
        <f t="shared" si="51"/>
        <v>0</v>
      </c>
    </row>
    <row r="824" spans="1:8" x14ac:dyDescent="0.2">
      <c r="A824" s="37">
        <v>822</v>
      </c>
      <c r="C824" s="17">
        <f>+'Detalle Compras'!D824</f>
        <v>0</v>
      </c>
      <c r="D824" s="55" t="str">
        <f t="shared" si="49"/>
        <v/>
      </c>
      <c r="E824" s="14" t="str">
        <f>+IF(B824="","",'Detalle Compras'!S824+0)</f>
        <v/>
      </c>
      <c r="F824" s="14" t="str">
        <f>+IF(B824="","",EOMONTH('Detalle Compras'!S824,G824)+10)</f>
        <v/>
      </c>
      <c r="G824" s="50">
        <f t="shared" si="50"/>
        <v>0</v>
      </c>
      <c r="H824" s="50">
        <f t="shared" si="51"/>
        <v>0</v>
      </c>
    </row>
    <row r="825" spans="1:8" x14ac:dyDescent="0.2">
      <c r="A825" s="37">
        <v>823</v>
      </c>
      <c r="C825" s="17">
        <f>+'Detalle Compras'!D825</f>
        <v>0</v>
      </c>
      <c r="D825" s="55" t="str">
        <f t="shared" si="49"/>
        <v/>
      </c>
      <c r="E825" s="14" t="str">
        <f>+IF(B825="","",'Detalle Compras'!S825+0)</f>
        <v/>
      </c>
      <c r="F825" s="14" t="str">
        <f>+IF(B825="","",EOMONTH('Detalle Compras'!S825,G825)+10)</f>
        <v/>
      </c>
      <c r="G825" s="50">
        <f t="shared" si="50"/>
        <v>0</v>
      </c>
      <c r="H825" s="50">
        <f t="shared" si="51"/>
        <v>0</v>
      </c>
    </row>
    <row r="826" spans="1:8" x14ac:dyDescent="0.2">
      <c r="A826" s="37">
        <v>824</v>
      </c>
      <c r="C826" s="17">
        <f>+'Detalle Compras'!D826</f>
        <v>0</v>
      </c>
      <c r="D826" s="55" t="str">
        <f t="shared" si="49"/>
        <v/>
      </c>
      <c r="E826" s="14" t="str">
        <f>+IF(B826="","",'Detalle Compras'!S826+0)</f>
        <v/>
      </c>
      <c r="F826" s="14" t="str">
        <f>+IF(B826="","",EOMONTH('Detalle Compras'!S826,G826)+10)</f>
        <v/>
      </c>
      <c r="G826" s="50">
        <f t="shared" si="50"/>
        <v>0</v>
      </c>
      <c r="H826" s="50">
        <f t="shared" si="51"/>
        <v>0</v>
      </c>
    </row>
    <row r="827" spans="1:8" x14ac:dyDescent="0.2">
      <c r="A827" s="37">
        <v>825</v>
      </c>
      <c r="C827" s="17">
        <f>+'Detalle Compras'!D827</f>
        <v>0</v>
      </c>
      <c r="D827" s="55" t="str">
        <f t="shared" si="49"/>
        <v/>
      </c>
      <c r="E827" s="14" t="str">
        <f>+IF(B827="","",'Detalle Compras'!S827+0)</f>
        <v/>
      </c>
      <c r="F827" s="14" t="str">
        <f>+IF(B827="","",EOMONTH('Detalle Compras'!S827,G827)+10)</f>
        <v/>
      </c>
      <c r="G827" s="50">
        <f t="shared" si="50"/>
        <v>0</v>
      </c>
      <c r="H827" s="50">
        <f t="shared" si="51"/>
        <v>0</v>
      </c>
    </row>
    <row r="828" spans="1:8" x14ac:dyDescent="0.2">
      <c r="A828" s="37">
        <v>826</v>
      </c>
      <c r="C828" s="17">
        <f>+'Detalle Compras'!D828</f>
        <v>0</v>
      </c>
      <c r="D828" s="55" t="str">
        <f t="shared" si="49"/>
        <v/>
      </c>
      <c r="E828" s="14" t="str">
        <f>+IF(B828="","",'Detalle Compras'!S828+0)</f>
        <v/>
      </c>
      <c r="F828" s="14" t="str">
        <f>+IF(B828="","",EOMONTH('Detalle Compras'!S828,G828)+10)</f>
        <v/>
      </c>
      <c r="G828" s="50">
        <f t="shared" si="50"/>
        <v>0</v>
      </c>
      <c r="H828" s="50">
        <f t="shared" si="51"/>
        <v>0</v>
      </c>
    </row>
    <row r="829" spans="1:8" x14ac:dyDescent="0.2">
      <c r="A829" s="37">
        <v>827</v>
      </c>
      <c r="C829" s="17">
        <f>+'Detalle Compras'!D829</f>
        <v>0</v>
      </c>
      <c r="D829" s="55" t="str">
        <f t="shared" si="49"/>
        <v/>
      </c>
      <c r="E829" s="14" t="str">
        <f>+IF(B829="","",'Detalle Compras'!S829+0)</f>
        <v/>
      </c>
      <c r="F829" s="14" t="str">
        <f>+IF(B829="","",EOMONTH('Detalle Compras'!S829,G829)+10)</f>
        <v/>
      </c>
      <c r="G829" s="50">
        <f t="shared" si="50"/>
        <v>0</v>
      </c>
      <c r="H829" s="50">
        <f t="shared" si="51"/>
        <v>0</v>
      </c>
    </row>
    <row r="830" spans="1:8" x14ac:dyDescent="0.2">
      <c r="A830" s="37">
        <v>828</v>
      </c>
      <c r="C830" s="17">
        <f>+'Detalle Compras'!D830</f>
        <v>0</v>
      </c>
      <c r="D830" s="55" t="str">
        <f t="shared" si="49"/>
        <v/>
      </c>
      <c r="E830" s="14" t="str">
        <f>+IF(B830="","",'Detalle Compras'!S830+0)</f>
        <v/>
      </c>
      <c r="F830" s="14" t="str">
        <f>+IF(B830="","",EOMONTH('Detalle Compras'!S830,G830)+10)</f>
        <v/>
      </c>
      <c r="G830" s="50">
        <f t="shared" si="50"/>
        <v>0</v>
      </c>
      <c r="H830" s="50">
        <f t="shared" si="51"/>
        <v>0</v>
      </c>
    </row>
    <row r="831" spans="1:8" x14ac:dyDescent="0.2">
      <c r="A831" s="37">
        <v>829</v>
      </c>
      <c r="C831" s="17">
        <f>+'Detalle Compras'!D831</f>
        <v>0</v>
      </c>
      <c r="D831" s="55" t="str">
        <f t="shared" si="49"/>
        <v/>
      </c>
      <c r="E831" s="14" t="str">
        <f>+IF(B831="","",'Detalle Compras'!S831+0)</f>
        <v/>
      </c>
      <c r="F831" s="14" t="str">
        <f>+IF(B831="","",EOMONTH('Detalle Compras'!S831,G831)+10)</f>
        <v/>
      </c>
      <c r="G831" s="50">
        <f t="shared" si="50"/>
        <v>0</v>
      </c>
      <c r="H831" s="50">
        <f t="shared" si="51"/>
        <v>0</v>
      </c>
    </row>
    <row r="832" spans="1:8" x14ac:dyDescent="0.2">
      <c r="A832" s="37">
        <v>830</v>
      </c>
      <c r="C832" s="17">
        <f>+'Detalle Compras'!D832</f>
        <v>0</v>
      </c>
      <c r="D832" s="55" t="str">
        <f t="shared" si="49"/>
        <v/>
      </c>
      <c r="E832" s="14" t="str">
        <f>+IF(B832="","",'Detalle Compras'!S832+0)</f>
        <v/>
      </c>
      <c r="F832" s="14" t="str">
        <f>+IF(B832="","",EOMONTH('Detalle Compras'!S832,G832)+10)</f>
        <v/>
      </c>
      <c r="G832" s="50">
        <f t="shared" si="50"/>
        <v>0</v>
      </c>
      <c r="H832" s="50">
        <f t="shared" si="51"/>
        <v>0</v>
      </c>
    </row>
    <row r="833" spans="1:8" x14ac:dyDescent="0.2">
      <c r="A833" s="37">
        <v>831</v>
      </c>
      <c r="C833" s="17">
        <f>+'Detalle Compras'!D833</f>
        <v>0</v>
      </c>
      <c r="D833" s="55" t="str">
        <f t="shared" si="49"/>
        <v/>
      </c>
      <c r="E833" s="14" t="str">
        <f>+IF(B833="","",'Detalle Compras'!S833+0)</f>
        <v/>
      </c>
      <c r="F833" s="14" t="str">
        <f>+IF(B833="","",EOMONTH('Detalle Compras'!S833,G833)+10)</f>
        <v/>
      </c>
      <c r="G833" s="50">
        <f t="shared" si="50"/>
        <v>0</v>
      </c>
      <c r="H833" s="50">
        <f t="shared" si="51"/>
        <v>0</v>
      </c>
    </row>
    <row r="834" spans="1:8" x14ac:dyDescent="0.2">
      <c r="A834" s="37">
        <v>832</v>
      </c>
      <c r="C834" s="17">
        <f>+'Detalle Compras'!D834</f>
        <v>0</v>
      </c>
      <c r="D834" s="55" t="str">
        <f t="shared" si="49"/>
        <v/>
      </c>
      <c r="E834" s="14" t="str">
        <f>+IF(B834="","",'Detalle Compras'!S834+0)</f>
        <v/>
      </c>
      <c r="F834" s="14" t="str">
        <f>+IF(B834="","",EOMONTH('Detalle Compras'!S834,G834)+10)</f>
        <v/>
      </c>
      <c r="G834" s="50">
        <f t="shared" si="50"/>
        <v>0</v>
      </c>
      <c r="H834" s="50">
        <f t="shared" si="51"/>
        <v>0</v>
      </c>
    </row>
    <row r="835" spans="1:8" x14ac:dyDescent="0.2">
      <c r="A835" s="37">
        <v>833</v>
      </c>
      <c r="C835" s="17">
        <f>+'Detalle Compras'!D835</f>
        <v>0</v>
      </c>
      <c r="D835" s="55" t="str">
        <f t="shared" si="49"/>
        <v/>
      </c>
      <c r="E835" s="14" t="str">
        <f>+IF(B835="","",'Detalle Compras'!S835+0)</f>
        <v/>
      </c>
      <c r="F835" s="14" t="str">
        <f>+IF(B835="","",EOMONTH('Detalle Compras'!S835,G835)+10)</f>
        <v/>
      </c>
      <c r="G835" s="50">
        <f t="shared" si="50"/>
        <v>0</v>
      </c>
      <c r="H835" s="50">
        <f t="shared" si="51"/>
        <v>0</v>
      </c>
    </row>
    <row r="836" spans="1:8" x14ac:dyDescent="0.2">
      <c r="A836" s="37">
        <v>834</v>
      </c>
      <c r="C836" s="17">
        <f>+'Detalle Compras'!D836</f>
        <v>0</v>
      </c>
      <c r="D836" s="55" t="str">
        <f t="shared" ref="D836:D899" si="52">+IF(B836="","",EA836)</f>
        <v/>
      </c>
      <c r="E836" s="14" t="str">
        <f>+IF(B836="","",'Detalle Compras'!S836+0)</f>
        <v/>
      </c>
      <c r="F836" s="14" t="str">
        <f>+IF(B836="","",EOMONTH('Detalle Compras'!S836,G836)+10)</f>
        <v/>
      </c>
      <c r="G836" s="50">
        <f t="shared" ref="G836:G899" si="53">+COUNTIF(I836:ADF836,"&gt;1")</f>
        <v>0</v>
      </c>
      <c r="H836" s="50">
        <f t="shared" ref="H836:H899" si="54">+COUNT(AF836:ADF836)</f>
        <v>0</v>
      </c>
    </row>
    <row r="837" spans="1:8" x14ac:dyDescent="0.2">
      <c r="A837" s="37">
        <v>835</v>
      </c>
      <c r="C837" s="17">
        <f>+'Detalle Compras'!D837</f>
        <v>0</v>
      </c>
      <c r="D837" s="55" t="str">
        <f t="shared" si="52"/>
        <v/>
      </c>
      <c r="E837" s="14" t="str">
        <f>+IF(B837="","",'Detalle Compras'!S837+0)</f>
        <v/>
      </c>
      <c r="F837" s="14" t="str">
        <f>+IF(B837="","",EOMONTH('Detalle Compras'!S837,G837)+10)</f>
        <v/>
      </c>
      <c r="G837" s="50">
        <f t="shared" si="53"/>
        <v>0</v>
      </c>
      <c r="H837" s="50">
        <f t="shared" si="54"/>
        <v>0</v>
      </c>
    </row>
    <row r="838" spans="1:8" x14ac:dyDescent="0.2">
      <c r="A838" s="37">
        <v>836</v>
      </c>
      <c r="C838" s="17">
        <f>+'Detalle Compras'!D838</f>
        <v>0</v>
      </c>
      <c r="D838" s="55" t="str">
        <f t="shared" si="52"/>
        <v/>
      </c>
      <c r="E838" s="14" t="str">
        <f>+IF(B838="","",'Detalle Compras'!S838+0)</f>
        <v/>
      </c>
      <c r="F838" s="14" t="str">
        <f>+IF(B838="","",EOMONTH('Detalle Compras'!S838,G838)+10)</f>
        <v/>
      </c>
      <c r="G838" s="50">
        <f t="shared" si="53"/>
        <v>0</v>
      </c>
      <c r="H838" s="50">
        <f t="shared" si="54"/>
        <v>0</v>
      </c>
    </row>
    <row r="839" spans="1:8" x14ac:dyDescent="0.2">
      <c r="A839" s="37">
        <v>837</v>
      </c>
      <c r="C839" s="17">
        <f>+'Detalle Compras'!D839</f>
        <v>0</v>
      </c>
      <c r="D839" s="55" t="str">
        <f t="shared" si="52"/>
        <v/>
      </c>
      <c r="E839" s="14" t="str">
        <f>+IF(B839="","",'Detalle Compras'!S839+0)</f>
        <v/>
      </c>
      <c r="F839" s="14" t="str">
        <f>+IF(B839="","",EOMONTH('Detalle Compras'!S839,G839)+10)</f>
        <v/>
      </c>
      <c r="G839" s="50">
        <f t="shared" si="53"/>
        <v>0</v>
      </c>
      <c r="H839" s="50">
        <f t="shared" si="54"/>
        <v>0</v>
      </c>
    </row>
    <row r="840" spans="1:8" x14ac:dyDescent="0.2">
      <c r="A840" s="37">
        <v>838</v>
      </c>
      <c r="C840" s="17">
        <f>+'Detalle Compras'!D840</f>
        <v>0</v>
      </c>
      <c r="D840" s="55" t="str">
        <f t="shared" si="52"/>
        <v/>
      </c>
      <c r="E840" s="14" t="str">
        <f>+IF(B840="","",'Detalle Compras'!S840+0)</f>
        <v/>
      </c>
      <c r="F840" s="14" t="str">
        <f>+IF(B840="","",EOMONTH('Detalle Compras'!S840,G840)+10)</f>
        <v/>
      </c>
      <c r="G840" s="50">
        <f t="shared" si="53"/>
        <v>0</v>
      </c>
      <c r="H840" s="50">
        <f t="shared" si="54"/>
        <v>0</v>
      </c>
    </row>
    <row r="841" spans="1:8" x14ac:dyDescent="0.2">
      <c r="A841" s="37">
        <v>839</v>
      </c>
      <c r="C841" s="17">
        <f>+'Detalle Compras'!D841</f>
        <v>0</v>
      </c>
      <c r="D841" s="55" t="str">
        <f t="shared" si="52"/>
        <v/>
      </c>
      <c r="E841" s="14" t="str">
        <f>+IF(B841="","",'Detalle Compras'!S841+0)</f>
        <v/>
      </c>
      <c r="F841" s="14" t="str">
        <f>+IF(B841="","",EOMONTH('Detalle Compras'!S841,G841)+10)</f>
        <v/>
      </c>
      <c r="G841" s="50">
        <f t="shared" si="53"/>
        <v>0</v>
      </c>
      <c r="H841" s="50">
        <f t="shared" si="54"/>
        <v>0</v>
      </c>
    </row>
    <row r="842" spans="1:8" x14ac:dyDescent="0.2">
      <c r="A842" s="37">
        <v>840</v>
      </c>
      <c r="C842" s="17">
        <f>+'Detalle Compras'!D842</f>
        <v>0</v>
      </c>
      <c r="D842" s="55" t="str">
        <f t="shared" si="52"/>
        <v/>
      </c>
      <c r="E842" s="14" t="str">
        <f>+IF(B842="","",'Detalle Compras'!S842+0)</f>
        <v/>
      </c>
      <c r="F842" s="14" t="str">
        <f>+IF(B842="","",EOMONTH('Detalle Compras'!S842,G842)+10)</f>
        <v/>
      </c>
      <c r="G842" s="50">
        <f t="shared" si="53"/>
        <v>0</v>
      </c>
      <c r="H842" s="50">
        <f t="shared" si="54"/>
        <v>0</v>
      </c>
    </row>
    <row r="843" spans="1:8" x14ac:dyDescent="0.2">
      <c r="A843" s="37">
        <v>841</v>
      </c>
      <c r="C843" s="17">
        <f>+'Detalle Compras'!D843</f>
        <v>0</v>
      </c>
      <c r="D843" s="55" t="str">
        <f t="shared" si="52"/>
        <v/>
      </c>
      <c r="E843" s="14" t="str">
        <f>+IF(B843="","",'Detalle Compras'!S843+0)</f>
        <v/>
      </c>
      <c r="F843" s="14" t="str">
        <f>+IF(B843="","",EOMONTH('Detalle Compras'!S843,G843)+10)</f>
        <v/>
      </c>
      <c r="G843" s="50">
        <f t="shared" si="53"/>
        <v>0</v>
      </c>
      <c r="H843" s="50">
        <f t="shared" si="54"/>
        <v>0</v>
      </c>
    </row>
    <row r="844" spans="1:8" x14ac:dyDescent="0.2">
      <c r="A844" s="37">
        <v>842</v>
      </c>
      <c r="C844" s="17">
        <f>+'Detalle Compras'!D844</f>
        <v>0</v>
      </c>
      <c r="D844" s="55" t="str">
        <f t="shared" si="52"/>
        <v/>
      </c>
      <c r="E844" s="14" t="str">
        <f>+IF(B844="","",'Detalle Compras'!S844+0)</f>
        <v/>
      </c>
      <c r="F844" s="14" t="str">
        <f>+IF(B844="","",EOMONTH('Detalle Compras'!S844,G844)+10)</f>
        <v/>
      </c>
      <c r="G844" s="50">
        <f t="shared" si="53"/>
        <v>0</v>
      </c>
      <c r="H844" s="50">
        <f t="shared" si="54"/>
        <v>0</v>
      </c>
    </row>
    <row r="845" spans="1:8" x14ac:dyDescent="0.2">
      <c r="A845" s="37">
        <v>843</v>
      </c>
      <c r="C845" s="17">
        <f>+'Detalle Compras'!D845</f>
        <v>0</v>
      </c>
      <c r="D845" s="55" t="str">
        <f t="shared" si="52"/>
        <v/>
      </c>
      <c r="E845" s="14" t="str">
        <f>+IF(B845="","",'Detalle Compras'!S845+0)</f>
        <v/>
      </c>
      <c r="F845" s="14" t="str">
        <f>+IF(B845="","",EOMONTH('Detalle Compras'!S845,G845)+10)</f>
        <v/>
      </c>
      <c r="G845" s="50">
        <f t="shared" si="53"/>
        <v>0</v>
      </c>
      <c r="H845" s="50">
        <f t="shared" si="54"/>
        <v>0</v>
      </c>
    </row>
    <row r="846" spans="1:8" x14ac:dyDescent="0.2">
      <c r="A846" s="37">
        <v>844</v>
      </c>
      <c r="C846" s="17">
        <f>+'Detalle Compras'!D846</f>
        <v>0</v>
      </c>
      <c r="D846" s="55" t="str">
        <f t="shared" si="52"/>
        <v/>
      </c>
      <c r="E846" s="14" t="str">
        <f>+IF(B846="","",'Detalle Compras'!S846+0)</f>
        <v/>
      </c>
      <c r="F846" s="14" t="str">
        <f>+IF(B846="","",EOMONTH('Detalle Compras'!S846,G846)+10)</f>
        <v/>
      </c>
      <c r="G846" s="50">
        <f t="shared" si="53"/>
        <v>0</v>
      </c>
      <c r="H846" s="50">
        <f t="shared" si="54"/>
        <v>0</v>
      </c>
    </row>
    <row r="847" spans="1:8" x14ac:dyDescent="0.2">
      <c r="A847" s="37">
        <v>845</v>
      </c>
      <c r="C847" s="17">
        <f>+'Detalle Compras'!D847</f>
        <v>0</v>
      </c>
      <c r="D847" s="55" t="str">
        <f t="shared" si="52"/>
        <v/>
      </c>
      <c r="E847" s="14" t="str">
        <f>+IF(B847="","",'Detalle Compras'!S847+0)</f>
        <v/>
      </c>
      <c r="F847" s="14" t="str">
        <f>+IF(B847="","",EOMONTH('Detalle Compras'!S847,G847)+10)</f>
        <v/>
      </c>
      <c r="G847" s="50">
        <f t="shared" si="53"/>
        <v>0</v>
      </c>
      <c r="H847" s="50">
        <f t="shared" si="54"/>
        <v>0</v>
      </c>
    </row>
    <row r="848" spans="1:8" x14ac:dyDescent="0.2">
      <c r="A848" s="37">
        <v>846</v>
      </c>
      <c r="C848" s="17">
        <f>+'Detalle Compras'!D848</f>
        <v>0</v>
      </c>
      <c r="D848" s="55" t="str">
        <f t="shared" si="52"/>
        <v/>
      </c>
      <c r="E848" s="14" t="str">
        <f>+IF(B848="","",'Detalle Compras'!S848+0)</f>
        <v/>
      </c>
      <c r="F848" s="14" t="str">
        <f>+IF(B848="","",EOMONTH('Detalle Compras'!S848,G848)+10)</f>
        <v/>
      </c>
      <c r="G848" s="50">
        <f t="shared" si="53"/>
        <v>0</v>
      </c>
      <c r="H848" s="50">
        <f t="shared" si="54"/>
        <v>0</v>
      </c>
    </row>
    <row r="849" spans="1:8" x14ac:dyDescent="0.2">
      <c r="A849" s="37">
        <v>847</v>
      </c>
      <c r="C849" s="17">
        <f>+'Detalle Compras'!D849</f>
        <v>0</v>
      </c>
      <c r="D849" s="55" t="str">
        <f t="shared" si="52"/>
        <v/>
      </c>
      <c r="E849" s="14" t="str">
        <f>+IF(B849="","",'Detalle Compras'!S849+0)</f>
        <v/>
      </c>
      <c r="F849" s="14" t="str">
        <f>+IF(B849="","",EOMONTH('Detalle Compras'!S849,G849)+10)</f>
        <v/>
      </c>
      <c r="G849" s="50">
        <f t="shared" si="53"/>
        <v>0</v>
      </c>
      <c r="H849" s="50">
        <f t="shared" si="54"/>
        <v>0</v>
      </c>
    </row>
    <row r="850" spans="1:8" x14ac:dyDescent="0.2">
      <c r="A850" s="37">
        <v>848</v>
      </c>
      <c r="C850" s="17">
        <f>+'Detalle Compras'!D850</f>
        <v>0</v>
      </c>
      <c r="D850" s="55" t="str">
        <f t="shared" si="52"/>
        <v/>
      </c>
      <c r="E850" s="14" t="str">
        <f>+IF(B850="","",'Detalle Compras'!S850+0)</f>
        <v/>
      </c>
      <c r="F850" s="14" t="str">
        <f>+IF(B850="","",EOMONTH('Detalle Compras'!S850,G850)+10)</f>
        <v/>
      </c>
      <c r="G850" s="50">
        <f t="shared" si="53"/>
        <v>0</v>
      </c>
      <c r="H850" s="50">
        <f t="shared" si="54"/>
        <v>0</v>
      </c>
    </row>
    <row r="851" spans="1:8" x14ac:dyDescent="0.2">
      <c r="A851" s="37">
        <v>849</v>
      </c>
      <c r="C851" s="17">
        <f>+'Detalle Compras'!D851</f>
        <v>0</v>
      </c>
      <c r="D851" s="55" t="str">
        <f t="shared" si="52"/>
        <v/>
      </c>
      <c r="E851" s="14" t="str">
        <f>+IF(B851="","",'Detalle Compras'!S851+0)</f>
        <v/>
      </c>
      <c r="F851" s="14" t="str">
        <f>+IF(B851="","",EOMONTH('Detalle Compras'!S851,G851)+10)</f>
        <v/>
      </c>
      <c r="G851" s="50">
        <f t="shared" si="53"/>
        <v>0</v>
      </c>
      <c r="H851" s="50">
        <f t="shared" si="54"/>
        <v>0</v>
      </c>
    </row>
    <row r="852" spans="1:8" x14ac:dyDescent="0.2">
      <c r="A852" s="37">
        <v>850</v>
      </c>
      <c r="C852" s="17">
        <f>+'Detalle Compras'!D852</f>
        <v>0</v>
      </c>
      <c r="D852" s="55" t="str">
        <f t="shared" si="52"/>
        <v/>
      </c>
      <c r="E852" s="14" t="str">
        <f>+IF(B852="","",'Detalle Compras'!S852+0)</f>
        <v/>
      </c>
      <c r="F852" s="14" t="str">
        <f>+IF(B852="","",EOMONTH('Detalle Compras'!S852,G852)+10)</f>
        <v/>
      </c>
      <c r="G852" s="50">
        <f t="shared" si="53"/>
        <v>0</v>
      </c>
      <c r="H852" s="50">
        <f t="shared" si="54"/>
        <v>0</v>
      </c>
    </row>
    <row r="853" spans="1:8" x14ac:dyDescent="0.2">
      <c r="A853" s="37">
        <v>851</v>
      </c>
      <c r="C853" s="17">
        <f>+'Detalle Compras'!D853</f>
        <v>0</v>
      </c>
      <c r="D853" s="55" t="str">
        <f t="shared" si="52"/>
        <v/>
      </c>
      <c r="E853" s="14" t="str">
        <f>+IF(B853="","",'Detalle Compras'!S853+0)</f>
        <v/>
      </c>
      <c r="F853" s="14" t="str">
        <f>+IF(B853="","",EOMONTH('Detalle Compras'!S853,G853)+10)</f>
        <v/>
      </c>
      <c r="G853" s="50">
        <f t="shared" si="53"/>
        <v>0</v>
      </c>
      <c r="H853" s="50">
        <f t="shared" si="54"/>
        <v>0</v>
      </c>
    </row>
    <row r="854" spans="1:8" x14ac:dyDescent="0.2">
      <c r="A854" s="37">
        <v>852</v>
      </c>
      <c r="C854" s="17">
        <f>+'Detalle Compras'!D854</f>
        <v>0</v>
      </c>
      <c r="D854" s="55" t="str">
        <f t="shared" si="52"/>
        <v/>
      </c>
      <c r="E854" s="14" t="str">
        <f>+IF(B854="","",'Detalle Compras'!S854+0)</f>
        <v/>
      </c>
      <c r="F854" s="14" t="str">
        <f>+IF(B854="","",EOMONTH('Detalle Compras'!S854,G854)+10)</f>
        <v/>
      </c>
      <c r="G854" s="50">
        <f t="shared" si="53"/>
        <v>0</v>
      </c>
      <c r="H854" s="50">
        <f t="shared" si="54"/>
        <v>0</v>
      </c>
    </row>
    <row r="855" spans="1:8" x14ac:dyDescent="0.2">
      <c r="A855" s="37">
        <v>853</v>
      </c>
      <c r="C855" s="17">
        <f>+'Detalle Compras'!D855</f>
        <v>0</v>
      </c>
      <c r="D855" s="55" t="str">
        <f t="shared" si="52"/>
        <v/>
      </c>
      <c r="E855" s="14" t="str">
        <f>+IF(B855="","",'Detalle Compras'!S855+0)</f>
        <v/>
      </c>
      <c r="F855" s="14" t="str">
        <f>+IF(B855="","",EOMONTH('Detalle Compras'!S855,G855)+10)</f>
        <v/>
      </c>
      <c r="G855" s="50">
        <f t="shared" si="53"/>
        <v>0</v>
      </c>
      <c r="H855" s="50">
        <f t="shared" si="54"/>
        <v>0</v>
      </c>
    </row>
    <row r="856" spans="1:8" x14ac:dyDescent="0.2">
      <c r="A856" s="37">
        <v>854</v>
      </c>
      <c r="C856" s="17">
        <f>+'Detalle Compras'!D856</f>
        <v>0</v>
      </c>
      <c r="D856" s="55" t="str">
        <f t="shared" si="52"/>
        <v/>
      </c>
      <c r="E856" s="14" t="str">
        <f>+IF(B856="","",'Detalle Compras'!S856+0)</f>
        <v/>
      </c>
      <c r="F856" s="14" t="str">
        <f>+IF(B856="","",EOMONTH('Detalle Compras'!S856,G856)+10)</f>
        <v/>
      </c>
      <c r="G856" s="50">
        <f t="shared" si="53"/>
        <v>0</v>
      </c>
      <c r="H856" s="50">
        <f t="shared" si="54"/>
        <v>0</v>
      </c>
    </row>
    <row r="857" spans="1:8" x14ac:dyDescent="0.2">
      <c r="A857" s="37">
        <v>855</v>
      </c>
      <c r="C857" s="17">
        <f>+'Detalle Compras'!D857</f>
        <v>0</v>
      </c>
      <c r="D857" s="55" t="str">
        <f t="shared" si="52"/>
        <v/>
      </c>
      <c r="E857" s="14" t="str">
        <f>+IF(B857="","",'Detalle Compras'!S857+0)</f>
        <v/>
      </c>
      <c r="F857" s="14" t="str">
        <f>+IF(B857="","",EOMONTH('Detalle Compras'!S857,G857)+10)</f>
        <v/>
      </c>
      <c r="G857" s="50">
        <f t="shared" si="53"/>
        <v>0</v>
      </c>
      <c r="H857" s="50">
        <f t="shared" si="54"/>
        <v>0</v>
      </c>
    </row>
    <row r="858" spans="1:8" x14ac:dyDescent="0.2">
      <c r="A858" s="37">
        <v>856</v>
      </c>
      <c r="C858" s="17">
        <f>+'Detalle Compras'!D858</f>
        <v>0</v>
      </c>
      <c r="D858" s="55" t="str">
        <f t="shared" si="52"/>
        <v/>
      </c>
      <c r="E858" s="14" t="str">
        <f>+IF(B858="","",'Detalle Compras'!S858+0)</f>
        <v/>
      </c>
      <c r="F858" s="14" t="str">
        <f>+IF(B858="","",EOMONTH('Detalle Compras'!S858,G858)+10)</f>
        <v/>
      </c>
      <c r="G858" s="50">
        <f t="shared" si="53"/>
        <v>0</v>
      </c>
      <c r="H858" s="50">
        <f t="shared" si="54"/>
        <v>0</v>
      </c>
    </row>
    <row r="859" spans="1:8" x14ac:dyDescent="0.2">
      <c r="A859" s="37">
        <v>857</v>
      </c>
      <c r="C859" s="17">
        <f>+'Detalle Compras'!D859</f>
        <v>0</v>
      </c>
      <c r="D859" s="55" t="str">
        <f t="shared" si="52"/>
        <v/>
      </c>
      <c r="E859" s="14" t="str">
        <f>+IF(B859="","",'Detalle Compras'!S859+0)</f>
        <v/>
      </c>
      <c r="F859" s="14" t="str">
        <f>+IF(B859="","",EOMONTH('Detalle Compras'!S859,G859)+10)</f>
        <v/>
      </c>
      <c r="G859" s="50">
        <f t="shared" si="53"/>
        <v>0</v>
      </c>
      <c r="H859" s="50">
        <f t="shared" si="54"/>
        <v>0</v>
      </c>
    </row>
    <row r="860" spans="1:8" x14ac:dyDescent="0.2">
      <c r="A860" s="37">
        <v>858</v>
      </c>
      <c r="C860" s="17">
        <f>+'Detalle Compras'!D860</f>
        <v>0</v>
      </c>
      <c r="D860" s="55" t="str">
        <f t="shared" si="52"/>
        <v/>
      </c>
      <c r="E860" s="14" t="str">
        <f>+IF(B860="","",'Detalle Compras'!S860+0)</f>
        <v/>
      </c>
      <c r="F860" s="14" t="str">
        <f>+IF(B860="","",EOMONTH('Detalle Compras'!S860,G860)+10)</f>
        <v/>
      </c>
      <c r="G860" s="50">
        <f t="shared" si="53"/>
        <v>0</v>
      </c>
      <c r="H860" s="50">
        <f t="shared" si="54"/>
        <v>0</v>
      </c>
    </row>
    <row r="861" spans="1:8" x14ac:dyDescent="0.2">
      <c r="A861" s="37">
        <v>859</v>
      </c>
      <c r="C861" s="17">
        <f>+'Detalle Compras'!D861</f>
        <v>0</v>
      </c>
      <c r="D861" s="55" t="str">
        <f t="shared" si="52"/>
        <v/>
      </c>
      <c r="E861" s="14" t="str">
        <f>+IF(B861="","",'Detalle Compras'!S861+0)</f>
        <v/>
      </c>
      <c r="F861" s="14" t="str">
        <f>+IF(B861="","",EOMONTH('Detalle Compras'!S861,G861)+10)</f>
        <v/>
      </c>
      <c r="G861" s="50">
        <f t="shared" si="53"/>
        <v>0</v>
      </c>
      <c r="H861" s="50">
        <f t="shared" si="54"/>
        <v>0</v>
      </c>
    </row>
    <row r="862" spans="1:8" x14ac:dyDescent="0.2">
      <c r="A862" s="37">
        <v>860</v>
      </c>
      <c r="C862" s="17">
        <f>+'Detalle Compras'!D862</f>
        <v>0</v>
      </c>
      <c r="D862" s="55" t="str">
        <f t="shared" si="52"/>
        <v/>
      </c>
      <c r="E862" s="14" t="str">
        <f>+IF(B862="","",'Detalle Compras'!S862+0)</f>
        <v/>
      </c>
      <c r="F862" s="14" t="str">
        <f>+IF(B862="","",EOMONTH('Detalle Compras'!S862,G862)+10)</f>
        <v/>
      </c>
      <c r="G862" s="50">
        <f t="shared" si="53"/>
        <v>0</v>
      </c>
      <c r="H862" s="50">
        <f t="shared" si="54"/>
        <v>0</v>
      </c>
    </row>
    <row r="863" spans="1:8" x14ac:dyDescent="0.2">
      <c r="A863" s="37">
        <v>861</v>
      </c>
      <c r="C863" s="17">
        <f>+'Detalle Compras'!D863</f>
        <v>0</v>
      </c>
      <c r="D863" s="55" t="str">
        <f t="shared" si="52"/>
        <v/>
      </c>
      <c r="E863" s="14" t="str">
        <f>+IF(B863="","",'Detalle Compras'!S863+0)</f>
        <v/>
      </c>
      <c r="F863" s="14" t="str">
        <f>+IF(B863="","",EOMONTH('Detalle Compras'!S863,G863)+10)</f>
        <v/>
      </c>
      <c r="G863" s="50">
        <f t="shared" si="53"/>
        <v>0</v>
      </c>
      <c r="H863" s="50">
        <f t="shared" si="54"/>
        <v>0</v>
      </c>
    </row>
    <row r="864" spans="1:8" x14ac:dyDescent="0.2">
      <c r="A864" s="37">
        <v>862</v>
      </c>
      <c r="C864" s="17">
        <f>+'Detalle Compras'!D864</f>
        <v>0</v>
      </c>
      <c r="D864" s="55" t="str">
        <f t="shared" si="52"/>
        <v/>
      </c>
      <c r="E864" s="14" t="str">
        <f>+IF(B864="","",'Detalle Compras'!S864+0)</f>
        <v/>
      </c>
      <c r="F864" s="14" t="str">
        <f>+IF(B864="","",EOMONTH('Detalle Compras'!S864,G864)+10)</f>
        <v/>
      </c>
      <c r="G864" s="50">
        <f t="shared" si="53"/>
        <v>0</v>
      </c>
      <c r="H864" s="50">
        <f t="shared" si="54"/>
        <v>0</v>
      </c>
    </row>
    <row r="865" spans="1:8" x14ac:dyDescent="0.2">
      <c r="A865" s="37">
        <v>863</v>
      </c>
      <c r="C865" s="17">
        <f>+'Detalle Compras'!D865</f>
        <v>0</v>
      </c>
      <c r="D865" s="55" t="str">
        <f t="shared" si="52"/>
        <v/>
      </c>
      <c r="E865" s="14" t="str">
        <f>+IF(B865="","",'Detalle Compras'!S865+0)</f>
        <v/>
      </c>
      <c r="F865" s="14" t="str">
        <f>+IF(B865="","",EOMONTH('Detalle Compras'!S865,G865)+10)</f>
        <v/>
      </c>
      <c r="G865" s="50">
        <f t="shared" si="53"/>
        <v>0</v>
      </c>
      <c r="H865" s="50">
        <f t="shared" si="54"/>
        <v>0</v>
      </c>
    </row>
    <row r="866" spans="1:8" x14ac:dyDescent="0.2">
      <c r="A866" s="37">
        <v>864</v>
      </c>
      <c r="C866" s="17">
        <f>+'Detalle Compras'!D866</f>
        <v>0</v>
      </c>
      <c r="D866" s="55" t="str">
        <f t="shared" si="52"/>
        <v/>
      </c>
      <c r="E866" s="14" t="str">
        <f>+IF(B866="","",'Detalle Compras'!S866+0)</f>
        <v/>
      </c>
      <c r="F866" s="14" t="str">
        <f>+IF(B866="","",EOMONTH('Detalle Compras'!S866,G866)+10)</f>
        <v/>
      </c>
      <c r="G866" s="50">
        <f t="shared" si="53"/>
        <v>0</v>
      </c>
      <c r="H866" s="50">
        <f t="shared" si="54"/>
        <v>0</v>
      </c>
    </row>
    <row r="867" spans="1:8" x14ac:dyDescent="0.2">
      <c r="A867" s="37">
        <v>865</v>
      </c>
      <c r="C867" s="17">
        <f>+'Detalle Compras'!D867</f>
        <v>0</v>
      </c>
      <c r="D867" s="55" t="str">
        <f t="shared" si="52"/>
        <v/>
      </c>
      <c r="E867" s="14" t="str">
        <f>+IF(B867="","",'Detalle Compras'!S867+0)</f>
        <v/>
      </c>
      <c r="F867" s="14" t="str">
        <f>+IF(B867="","",EOMONTH('Detalle Compras'!S867,G867)+10)</f>
        <v/>
      </c>
      <c r="G867" s="50">
        <f t="shared" si="53"/>
        <v>0</v>
      </c>
      <c r="H867" s="50">
        <f t="shared" si="54"/>
        <v>0</v>
      </c>
    </row>
    <row r="868" spans="1:8" x14ac:dyDescent="0.2">
      <c r="A868" s="37">
        <v>866</v>
      </c>
      <c r="C868" s="17">
        <f>+'Detalle Compras'!D868</f>
        <v>0</v>
      </c>
      <c r="D868" s="55" t="str">
        <f t="shared" si="52"/>
        <v/>
      </c>
      <c r="E868" s="14" t="str">
        <f>+IF(B868="","",'Detalle Compras'!S868+0)</f>
        <v/>
      </c>
      <c r="F868" s="14" t="str">
        <f>+IF(B868="","",EOMONTH('Detalle Compras'!S868,G868)+10)</f>
        <v/>
      </c>
      <c r="G868" s="50">
        <f t="shared" si="53"/>
        <v>0</v>
      </c>
      <c r="H868" s="50">
        <f t="shared" si="54"/>
        <v>0</v>
      </c>
    </row>
    <row r="869" spans="1:8" x14ac:dyDescent="0.2">
      <c r="A869" s="37">
        <v>867</v>
      </c>
      <c r="C869" s="17">
        <f>+'Detalle Compras'!D869</f>
        <v>0</v>
      </c>
      <c r="D869" s="55" t="str">
        <f t="shared" si="52"/>
        <v/>
      </c>
      <c r="E869" s="14" t="str">
        <f>+IF(B869="","",'Detalle Compras'!S869+0)</f>
        <v/>
      </c>
      <c r="F869" s="14" t="str">
        <f>+IF(B869="","",EOMONTH('Detalle Compras'!S869,G869)+10)</f>
        <v/>
      </c>
      <c r="G869" s="50">
        <f t="shared" si="53"/>
        <v>0</v>
      </c>
      <c r="H869" s="50">
        <f t="shared" si="54"/>
        <v>0</v>
      </c>
    </row>
    <row r="870" spans="1:8" x14ac:dyDescent="0.2">
      <c r="A870" s="37">
        <v>868</v>
      </c>
      <c r="C870" s="17">
        <f>+'Detalle Compras'!D870</f>
        <v>0</v>
      </c>
      <c r="D870" s="55" t="str">
        <f t="shared" si="52"/>
        <v/>
      </c>
      <c r="E870" s="14" t="str">
        <f>+IF(B870="","",'Detalle Compras'!S870+0)</f>
        <v/>
      </c>
      <c r="F870" s="14" t="str">
        <f>+IF(B870="","",EOMONTH('Detalle Compras'!S870,G870)+10)</f>
        <v/>
      </c>
      <c r="G870" s="50">
        <f t="shared" si="53"/>
        <v>0</v>
      </c>
      <c r="H870" s="50">
        <f t="shared" si="54"/>
        <v>0</v>
      </c>
    </row>
    <row r="871" spans="1:8" x14ac:dyDescent="0.2">
      <c r="A871" s="37">
        <v>869</v>
      </c>
      <c r="C871" s="17">
        <f>+'Detalle Compras'!D871</f>
        <v>0</v>
      </c>
      <c r="D871" s="55" t="str">
        <f t="shared" si="52"/>
        <v/>
      </c>
      <c r="E871" s="14" t="str">
        <f>+IF(B871="","",'Detalle Compras'!S871+0)</f>
        <v/>
      </c>
      <c r="F871" s="14" t="str">
        <f>+IF(B871="","",EOMONTH('Detalle Compras'!S871,G871)+10)</f>
        <v/>
      </c>
      <c r="G871" s="50">
        <f t="shared" si="53"/>
        <v>0</v>
      </c>
      <c r="H871" s="50">
        <f t="shared" si="54"/>
        <v>0</v>
      </c>
    </row>
    <row r="872" spans="1:8" x14ac:dyDescent="0.2">
      <c r="A872" s="37">
        <v>870</v>
      </c>
      <c r="C872" s="17">
        <f>+'Detalle Compras'!D872</f>
        <v>0</v>
      </c>
      <c r="D872" s="55" t="str">
        <f t="shared" si="52"/>
        <v/>
      </c>
      <c r="E872" s="14" t="str">
        <f>+IF(B872="","",'Detalle Compras'!S872+0)</f>
        <v/>
      </c>
      <c r="F872" s="14" t="str">
        <f>+IF(B872="","",EOMONTH('Detalle Compras'!S872,G872)+10)</f>
        <v/>
      </c>
      <c r="G872" s="50">
        <f t="shared" si="53"/>
        <v>0</v>
      </c>
      <c r="H872" s="50">
        <f t="shared" si="54"/>
        <v>0</v>
      </c>
    </row>
    <row r="873" spans="1:8" x14ac:dyDescent="0.2">
      <c r="A873" s="37">
        <v>871</v>
      </c>
      <c r="C873" s="17">
        <f>+'Detalle Compras'!D873</f>
        <v>0</v>
      </c>
      <c r="D873" s="55" t="str">
        <f t="shared" si="52"/>
        <v/>
      </c>
      <c r="E873" s="14" t="str">
        <f>+IF(B873="","",'Detalle Compras'!S873+0)</f>
        <v/>
      </c>
      <c r="F873" s="14" t="str">
        <f>+IF(B873="","",EOMONTH('Detalle Compras'!S873,G873)+10)</f>
        <v/>
      </c>
      <c r="G873" s="50">
        <f t="shared" si="53"/>
        <v>0</v>
      </c>
      <c r="H873" s="50">
        <f t="shared" si="54"/>
        <v>0</v>
      </c>
    </row>
    <row r="874" spans="1:8" x14ac:dyDescent="0.2">
      <c r="A874" s="37">
        <v>872</v>
      </c>
      <c r="C874" s="17">
        <f>+'Detalle Compras'!D874</f>
        <v>0</v>
      </c>
      <c r="D874" s="55" t="str">
        <f t="shared" si="52"/>
        <v/>
      </c>
      <c r="E874" s="14" t="str">
        <f>+IF(B874="","",'Detalle Compras'!S874+0)</f>
        <v/>
      </c>
      <c r="F874" s="14" t="str">
        <f>+IF(B874="","",EOMONTH('Detalle Compras'!S874,G874)+10)</f>
        <v/>
      </c>
      <c r="G874" s="50">
        <f t="shared" si="53"/>
        <v>0</v>
      </c>
      <c r="H874" s="50">
        <f t="shared" si="54"/>
        <v>0</v>
      </c>
    </row>
    <row r="875" spans="1:8" x14ac:dyDescent="0.2">
      <c r="A875" s="37">
        <v>873</v>
      </c>
      <c r="C875" s="17">
        <f>+'Detalle Compras'!D875</f>
        <v>0</v>
      </c>
      <c r="D875" s="55" t="str">
        <f t="shared" si="52"/>
        <v/>
      </c>
      <c r="E875" s="14" t="str">
        <f>+IF(B875="","",'Detalle Compras'!S875+0)</f>
        <v/>
      </c>
      <c r="F875" s="14" t="str">
        <f>+IF(B875="","",EOMONTH('Detalle Compras'!S875,G875)+10)</f>
        <v/>
      </c>
      <c r="G875" s="50">
        <f t="shared" si="53"/>
        <v>0</v>
      </c>
      <c r="H875" s="50">
        <f t="shared" si="54"/>
        <v>0</v>
      </c>
    </row>
    <row r="876" spans="1:8" x14ac:dyDescent="0.2">
      <c r="A876" s="37">
        <v>874</v>
      </c>
      <c r="C876" s="17">
        <f>+'Detalle Compras'!D876</f>
        <v>0</v>
      </c>
      <c r="D876" s="55" t="str">
        <f t="shared" si="52"/>
        <v/>
      </c>
      <c r="E876" s="14" t="str">
        <f>+IF(B876="","",'Detalle Compras'!S876+0)</f>
        <v/>
      </c>
      <c r="F876" s="14" t="str">
        <f>+IF(B876="","",EOMONTH('Detalle Compras'!S876,G876)+10)</f>
        <v/>
      </c>
      <c r="G876" s="50">
        <f t="shared" si="53"/>
        <v>0</v>
      </c>
      <c r="H876" s="50">
        <f t="shared" si="54"/>
        <v>0</v>
      </c>
    </row>
    <row r="877" spans="1:8" x14ac:dyDescent="0.2">
      <c r="A877" s="37">
        <v>875</v>
      </c>
      <c r="C877" s="17">
        <f>+'Detalle Compras'!D877</f>
        <v>0</v>
      </c>
      <c r="D877" s="55" t="str">
        <f t="shared" si="52"/>
        <v/>
      </c>
      <c r="E877" s="14" t="str">
        <f>+IF(B877="","",'Detalle Compras'!S877+0)</f>
        <v/>
      </c>
      <c r="F877" s="14" t="str">
        <f>+IF(B877="","",EOMONTH('Detalle Compras'!S877,G877)+10)</f>
        <v/>
      </c>
      <c r="G877" s="50">
        <f t="shared" si="53"/>
        <v>0</v>
      </c>
      <c r="H877" s="50">
        <f t="shared" si="54"/>
        <v>0</v>
      </c>
    </row>
    <row r="878" spans="1:8" x14ac:dyDescent="0.2">
      <c r="A878" s="37">
        <v>876</v>
      </c>
      <c r="C878" s="17">
        <f>+'Detalle Compras'!D878</f>
        <v>0</v>
      </c>
      <c r="D878" s="55" t="str">
        <f t="shared" si="52"/>
        <v/>
      </c>
      <c r="E878" s="14" t="str">
        <f>+IF(B878="","",'Detalle Compras'!S878+0)</f>
        <v/>
      </c>
      <c r="F878" s="14" t="str">
        <f>+IF(B878="","",EOMONTH('Detalle Compras'!S878,G878)+10)</f>
        <v/>
      </c>
      <c r="G878" s="50">
        <f t="shared" si="53"/>
        <v>0</v>
      </c>
      <c r="H878" s="50">
        <f t="shared" si="54"/>
        <v>0</v>
      </c>
    </row>
    <row r="879" spans="1:8" x14ac:dyDescent="0.2">
      <c r="A879" s="37">
        <v>877</v>
      </c>
      <c r="C879" s="17">
        <f>+'Detalle Compras'!D879</f>
        <v>0</v>
      </c>
      <c r="D879" s="55" t="str">
        <f t="shared" si="52"/>
        <v/>
      </c>
      <c r="E879" s="14" t="str">
        <f>+IF(B879="","",'Detalle Compras'!S879+0)</f>
        <v/>
      </c>
      <c r="F879" s="14" t="str">
        <f>+IF(B879="","",EOMONTH('Detalle Compras'!S879,G879)+10)</f>
        <v/>
      </c>
      <c r="G879" s="50">
        <f t="shared" si="53"/>
        <v>0</v>
      </c>
      <c r="H879" s="50">
        <f t="shared" si="54"/>
        <v>0</v>
      </c>
    </row>
    <row r="880" spans="1:8" x14ac:dyDescent="0.2">
      <c r="A880" s="37">
        <v>878</v>
      </c>
      <c r="C880" s="17">
        <f>+'Detalle Compras'!D880</f>
        <v>0</v>
      </c>
      <c r="D880" s="55" t="str">
        <f t="shared" si="52"/>
        <v/>
      </c>
      <c r="E880" s="14" t="str">
        <f>+IF(B880="","",'Detalle Compras'!S880+0)</f>
        <v/>
      </c>
      <c r="F880" s="14" t="str">
        <f>+IF(B880="","",EOMONTH('Detalle Compras'!S880,G880)+10)</f>
        <v/>
      </c>
      <c r="G880" s="50">
        <f t="shared" si="53"/>
        <v>0</v>
      </c>
      <c r="H880" s="50">
        <f t="shared" si="54"/>
        <v>0</v>
      </c>
    </row>
    <row r="881" spans="1:8" x14ac:dyDescent="0.2">
      <c r="A881" s="37">
        <v>879</v>
      </c>
      <c r="C881" s="17">
        <f>+'Detalle Compras'!D881</f>
        <v>0</v>
      </c>
      <c r="D881" s="55" t="str">
        <f t="shared" si="52"/>
        <v/>
      </c>
      <c r="E881" s="14" t="str">
        <f>+IF(B881="","",'Detalle Compras'!S881+0)</f>
        <v/>
      </c>
      <c r="F881" s="14" t="str">
        <f>+IF(B881="","",EOMONTH('Detalle Compras'!S881,G881)+10)</f>
        <v/>
      </c>
      <c r="G881" s="50">
        <f t="shared" si="53"/>
        <v>0</v>
      </c>
      <c r="H881" s="50">
        <f t="shared" si="54"/>
        <v>0</v>
      </c>
    </row>
    <row r="882" spans="1:8" x14ac:dyDescent="0.2">
      <c r="A882" s="37">
        <v>880</v>
      </c>
      <c r="C882" s="17">
        <f>+'Detalle Compras'!D882</f>
        <v>0</v>
      </c>
      <c r="D882" s="55" t="str">
        <f t="shared" si="52"/>
        <v/>
      </c>
      <c r="E882" s="14" t="str">
        <f>+IF(B882="","",'Detalle Compras'!S882+0)</f>
        <v/>
      </c>
      <c r="F882" s="14" t="str">
        <f>+IF(B882="","",EOMONTH('Detalle Compras'!S882,G882)+10)</f>
        <v/>
      </c>
      <c r="G882" s="50">
        <f t="shared" si="53"/>
        <v>0</v>
      </c>
      <c r="H882" s="50">
        <f t="shared" si="54"/>
        <v>0</v>
      </c>
    </row>
    <row r="883" spans="1:8" x14ac:dyDescent="0.2">
      <c r="A883" s="37">
        <v>881</v>
      </c>
      <c r="C883" s="17">
        <f>+'Detalle Compras'!D883</f>
        <v>0</v>
      </c>
      <c r="D883" s="55" t="str">
        <f t="shared" si="52"/>
        <v/>
      </c>
      <c r="E883" s="14" t="str">
        <f>+IF(B883="","",'Detalle Compras'!S883+0)</f>
        <v/>
      </c>
      <c r="F883" s="14" t="str">
        <f>+IF(B883="","",EOMONTH('Detalle Compras'!S883,G883)+10)</f>
        <v/>
      </c>
      <c r="G883" s="50">
        <f t="shared" si="53"/>
        <v>0</v>
      </c>
      <c r="H883" s="50">
        <f t="shared" si="54"/>
        <v>0</v>
      </c>
    </row>
    <row r="884" spans="1:8" x14ac:dyDescent="0.2">
      <c r="A884" s="37">
        <v>882</v>
      </c>
      <c r="C884" s="17">
        <f>+'Detalle Compras'!D884</f>
        <v>0</v>
      </c>
      <c r="D884" s="55" t="str">
        <f t="shared" si="52"/>
        <v/>
      </c>
      <c r="E884" s="14" t="str">
        <f>+IF(B884="","",'Detalle Compras'!S884+0)</f>
        <v/>
      </c>
      <c r="F884" s="14" t="str">
        <f>+IF(B884="","",EOMONTH('Detalle Compras'!S884,G884)+10)</f>
        <v/>
      </c>
      <c r="G884" s="50">
        <f t="shared" si="53"/>
        <v>0</v>
      </c>
      <c r="H884" s="50">
        <f t="shared" si="54"/>
        <v>0</v>
      </c>
    </row>
    <row r="885" spans="1:8" x14ac:dyDescent="0.2">
      <c r="A885" s="37">
        <v>883</v>
      </c>
      <c r="C885" s="17">
        <f>+'Detalle Compras'!D885</f>
        <v>0</v>
      </c>
      <c r="D885" s="55" t="str">
        <f t="shared" si="52"/>
        <v/>
      </c>
      <c r="E885" s="14" t="str">
        <f>+IF(B885="","",'Detalle Compras'!S885+0)</f>
        <v/>
      </c>
      <c r="F885" s="14" t="str">
        <f>+IF(B885="","",EOMONTH('Detalle Compras'!S885,G885)+10)</f>
        <v/>
      </c>
      <c r="G885" s="50">
        <f t="shared" si="53"/>
        <v>0</v>
      </c>
      <c r="H885" s="50">
        <f t="shared" si="54"/>
        <v>0</v>
      </c>
    </row>
    <row r="886" spans="1:8" x14ac:dyDescent="0.2">
      <c r="A886" s="37">
        <v>884</v>
      </c>
      <c r="C886" s="17">
        <f>+'Detalle Compras'!D886</f>
        <v>0</v>
      </c>
      <c r="D886" s="55" t="str">
        <f t="shared" si="52"/>
        <v/>
      </c>
      <c r="E886" s="14" t="str">
        <f>+IF(B886="","",'Detalle Compras'!S886+0)</f>
        <v/>
      </c>
      <c r="F886" s="14" t="str">
        <f>+IF(B886="","",EOMONTH('Detalle Compras'!S886,G886)+10)</f>
        <v/>
      </c>
      <c r="G886" s="50">
        <f t="shared" si="53"/>
        <v>0</v>
      </c>
      <c r="H886" s="50">
        <f t="shared" si="54"/>
        <v>0</v>
      </c>
    </row>
    <row r="887" spans="1:8" x14ac:dyDescent="0.2">
      <c r="A887" s="37">
        <v>885</v>
      </c>
      <c r="C887" s="17">
        <f>+'Detalle Compras'!D887</f>
        <v>0</v>
      </c>
      <c r="D887" s="55" t="str">
        <f t="shared" si="52"/>
        <v/>
      </c>
      <c r="E887" s="14" t="str">
        <f>+IF(B887="","",'Detalle Compras'!S887+0)</f>
        <v/>
      </c>
      <c r="F887" s="14" t="str">
        <f>+IF(B887="","",EOMONTH('Detalle Compras'!S887,G887)+10)</f>
        <v/>
      </c>
      <c r="G887" s="50">
        <f t="shared" si="53"/>
        <v>0</v>
      </c>
      <c r="H887" s="50">
        <f t="shared" si="54"/>
        <v>0</v>
      </c>
    </row>
    <row r="888" spans="1:8" x14ac:dyDescent="0.2">
      <c r="A888" s="37">
        <v>886</v>
      </c>
      <c r="B888" s="37" t="s">
        <v>78</v>
      </c>
      <c r="C888" s="17">
        <f>+'Detalle Compras'!D888</f>
        <v>0</v>
      </c>
      <c r="D888" s="55">
        <f t="shared" si="52"/>
        <v>0</v>
      </c>
      <c r="E888" s="14">
        <f>+IF(B888="","",'Detalle Compras'!S888+0)</f>
        <v>0</v>
      </c>
      <c r="F888" s="14">
        <f>+IF(B888="","",EOMONTH('Detalle Compras'!S888,G888)+10)</f>
        <v>41</v>
      </c>
      <c r="G888" s="50">
        <f t="shared" si="53"/>
        <v>0</v>
      </c>
      <c r="H888" s="50">
        <f t="shared" si="54"/>
        <v>0</v>
      </c>
    </row>
    <row r="889" spans="1:8" x14ac:dyDescent="0.2">
      <c r="A889" s="37">
        <v>887</v>
      </c>
      <c r="B889" s="37" t="s">
        <v>79</v>
      </c>
      <c r="C889" s="17">
        <f>+'Detalle Compras'!D889</f>
        <v>0</v>
      </c>
      <c r="D889" s="55">
        <f t="shared" si="52"/>
        <v>0</v>
      </c>
      <c r="E889" s="14">
        <f>+IF(B889="","",'Detalle Compras'!S889+0)</f>
        <v>0</v>
      </c>
      <c r="F889" s="14">
        <f>+IF(B889="","",EOMONTH('Detalle Compras'!S889,G889)+10)</f>
        <v>41</v>
      </c>
      <c r="G889" s="50">
        <f t="shared" si="53"/>
        <v>0</v>
      </c>
      <c r="H889" s="50">
        <f t="shared" si="54"/>
        <v>0</v>
      </c>
    </row>
    <row r="890" spans="1:8" x14ac:dyDescent="0.2">
      <c r="A890" s="37">
        <v>888</v>
      </c>
      <c r="B890" s="37" t="s">
        <v>83</v>
      </c>
      <c r="C890" s="17">
        <f>+'Detalle Compras'!D890</f>
        <v>0</v>
      </c>
      <c r="D890" s="55">
        <f t="shared" si="52"/>
        <v>0</v>
      </c>
      <c r="E890" s="14">
        <f>+IF(B890="","",'Detalle Compras'!S890+0)</f>
        <v>0</v>
      </c>
      <c r="F890" s="14">
        <f>+IF(B890="","",EOMONTH('Detalle Compras'!S890,G890)+10)</f>
        <v>41</v>
      </c>
      <c r="G890" s="50">
        <f t="shared" si="53"/>
        <v>0</v>
      </c>
      <c r="H890" s="50">
        <f t="shared" si="54"/>
        <v>0</v>
      </c>
    </row>
    <row r="891" spans="1:8" x14ac:dyDescent="0.2">
      <c r="A891" s="37">
        <v>889</v>
      </c>
      <c r="B891" s="37" t="s">
        <v>84</v>
      </c>
      <c r="C891" s="17">
        <f>+'Detalle Compras'!D891</f>
        <v>0</v>
      </c>
      <c r="D891" s="55">
        <f t="shared" si="52"/>
        <v>0</v>
      </c>
      <c r="E891" s="14">
        <f>+IF(B891="","",'Detalle Compras'!S891+0)</f>
        <v>0</v>
      </c>
      <c r="F891" s="14">
        <f>+IF(B891="","",EOMONTH('Detalle Compras'!S891,G891)+10)</f>
        <v>41</v>
      </c>
      <c r="G891" s="50">
        <f t="shared" si="53"/>
        <v>0</v>
      </c>
      <c r="H891" s="50">
        <f t="shared" si="54"/>
        <v>0</v>
      </c>
    </row>
    <row r="892" spans="1:8" x14ac:dyDescent="0.2">
      <c r="A892" s="37">
        <v>890</v>
      </c>
      <c r="B892" s="37" t="s">
        <v>85</v>
      </c>
      <c r="C892" s="17">
        <f>+'Detalle Compras'!D892</f>
        <v>0</v>
      </c>
      <c r="D892" s="55">
        <f t="shared" si="52"/>
        <v>0</v>
      </c>
      <c r="E892" s="14">
        <f>+IF(B892="","",'Detalle Compras'!S892+0)</f>
        <v>0</v>
      </c>
      <c r="F892" s="14">
        <f>+IF(B892="","",EOMONTH('Detalle Compras'!S892,G892)+10)</f>
        <v>41</v>
      </c>
      <c r="G892" s="50">
        <f t="shared" si="53"/>
        <v>0</v>
      </c>
      <c r="H892" s="50">
        <f t="shared" si="54"/>
        <v>0</v>
      </c>
    </row>
    <row r="893" spans="1:8" x14ac:dyDescent="0.2">
      <c r="A893" s="37">
        <v>891</v>
      </c>
      <c r="B893" s="37" t="s">
        <v>86</v>
      </c>
      <c r="C893" s="17">
        <f>+'Detalle Compras'!D893</f>
        <v>0</v>
      </c>
      <c r="D893" s="55">
        <f t="shared" si="52"/>
        <v>0</v>
      </c>
      <c r="E893" s="14">
        <f>+IF(B893="","",'Detalle Compras'!S893+0)</f>
        <v>0</v>
      </c>
      <c r="F893" s="14">
        <f>+IF(B893="","",EOMONTH('Detalle Compras'!S893,G893)+10)</f>
        <v>41</v>
      </c>
      <c r="G893" s="50">
        <f t="shared" si="53"/>
        <v>0</v>
      </c>
      <c r="H893" s="50">
        <f t="shared" si="54"/>
        <v>0</v>
      </c>
    </row>
    <row r="894" spans="1:8" x14ac:dyDescent="0.2">
      <c r="A894" s="37">
        <v>892</v>
      </c>
      <c r="B894" s="37" t="s">
        <v>87</v>
      </c>
      <c r="C894" s="17">
        <f>+'Detalle Compras'!D894</f>
        <v>0</v>
      </c>
      <c r="D894" s="55">
        <f t="shared" si="52"/>
        <v>0</v>
      </c>
      <c r="E894" s="14">
        <f>+IF(B894="","",'Detalle Compras'!S894+0)</f>
        <v>0</v>
      </c>
      <c r="F894" s="14">
        <f>+IF(B894="","",EOMONTH('Detalle Compras'!S894,G894)+10)</f>
        <v>41</v>
      </c>
      <c r="G894" s="50">
        <f t="shared" si="53"/>
        <v>0</v>
      </c>
      <c r="H894" s="50">
        <f t="shared" si="54"/>
        <v>0</v>
      </c>
    </row>
    <row r="895" spans="1:8" x14ac:dyDescent="0.2">
      <c r="A895" s="37">
        <v>893</v>
      </c>
      <c r="B895" s="37" t="s">
        <v>88</v>
      </c>
      <c r="C895" s="17">
        <f>+'Detalle Compras'!D895</f>
        <v>0</v>
      </c>
      <c r="D895" s="55">
        <f t="shared" si="52"/>
        <v>0</v>
      </c>
      <c r="E895" s="14">
        <f>+IF(B895="","",'Detalle Compras'!S895+0)</f>
        <v>0</v>
      </c>
      <c r="F895" s="14">
        <f>+IF(B895="","",EOMONTH('Detalle Compras'!S895,G895)+10)</f>
        <v>41</v>
      </c>
      <c r="G895" s="50">
        <f t="shared" si="53"/>
        <v>0</v>
      </c>
      <c r="H895" s="50">
        <f t="shared" si="54"/>
        <v>0</v>
      </c>
    </row>
    <row r="896" spans="1:8" x14ac:dyDescent="0.2">
      <c r="A896" s="37">
        <v>894</v>
      </c>
      <c r="B896" s="37" t="s">
        <v>89</v>
      </c>
      <c r="C896" s="17">
        <f>+'Detalle Compras'!D896</f>
        <v>0</v>
      </c>
      <c r="D896" s="55">
        <f t="shared" si="52"/>
        <v>0</v>
      </c>
      <c r="E896" s="14">
        <f>+IF(B896="","",'Detalle Compras'!S896+0)</f>
        <v>0</v>
      </c>
      <c r="F896" s="14">
        <f>+IF(B896="","",EOMONTH('Detalle Compras'!S896,G896)+10)</f>
        <v>41</v>
      </c>
      <c r="G896" s="50">
        <f t="shared" si="53"/>
        <v>0</v>
      </c>
      <c r="H896" s="50">
        <f t="shared" si="54"/>
        <v>0</v>
      </c>
    </row>
    <row r="897" spans="1:8" x14ac:dyDescent="0.2">
      <c r="A897" s="37">
        <v>895</v>
      </c>
      <c r="B897" s="37" t="s">
        <v>90</v>
      </c>
      <c r="C897" s="17">
        <f>+'Detalle Compras'!D897</f>
        <v>0</v>
      </c>
      <c r="D897" s="55">
        <f t="shared" si="52"/>
        <v>0</v>
      </c>
      <c r="E897" s="14">
        <f>+IF(B897="","",'Detalle Compras'!S897+0)</f>
        <v>0</v>
      </c>
      <c r="F897" s="14">
        <f>+IF(B897="","",EOMONTH('Detalle Compras'!S897,G897)+10)</f>
        <v>41</v>
      </c>
      <c r="G897" s="50">
        <f t="shared" si="53"/>
        <v>0</v>
      </c>
      <c r="H897" s="50">
        <f t="shared" si="54"/>
        <v>0</v>
      </c>
    </row>
    <row r="898" spans="1:8" x14ac:dyDescent="0.2">
      <c r="A898" s="37">
        <v>896</v>
      </c>
      <c r="B898" s="37" t="s">
        <v>91</v>
      </c>
      <c r="C898" s="17">
        <f>+'Detalle Compras'!D898</f>
        <v>0</v>
      </c>
      <c r="D898" s="55">
        <f t="shared" si="52"/>
        <v>0</v>
      </c>
      <c r="E898" s="14">
        <f>+IF(B898="","",'Detalle Compras'!S898+0)</f>
        <v>0</v>
      </c>
      <c r="F898" s="14">
        <f>+IF(B898="","",EOMONTH('Detalle Compras'!S898,G898)+10)</f>
        <v>41</v>
      </c>
      <c r="G898" s="50">
        <f t="shared" si="53"/>
        <v>0</v>
      </c>
      <c r="H898" s="50">
        <f t="shared" si="54"/>
        <v>0</v>
      </c>
    </row>
    <row r="899" spans="1:8" x14ac:dyDescent="0.2">
      <c r="A899" s="37">
        <v>897</v>
      </c>
      <c r="B899" s="37" t="s">
        <v>92</v>
      </c>
      <c r="C899" s="17">
        <f>+'Detalle Compras'!D899</f>
        <v>0</v>
      </c>
      <c r="D899" s="55">
        <f t="shared" si="52"/>
        <v>0</v>
      </c>
      <c r="E899" s="14">
        <f>+IF(B899="","",'Detalle Compras'!S899+0)</f>
        <v>0</v>
      </c>
      <c r="F899" s="14">
        <f>+IF(B899="","",EOMONTH('Detalle Compras'!S899,G899)+10)</f>
        <v>41</v>
      </c>
      <c r="G899" s="50">
        <f t="shared" si="53"/>
        <v>0</v>
      </c>
      <c r="H899" s="50">
        <f t="shared" si="54"/>
        <v>0</v>
      </c>
    </row>
    <row r="900" spans="1:8" x14ac:dyDescent="0.2">
      <c r="A900" s="37">
        <v>898</v>
      </c>
      <c r="B900" s="37" t="s">
        <v>93</v>
      </c>
      <c r="C900" s="17">
        <f>+'Detalle Compras'!D900</f>
        <v>0</v>
      </c>
      <c r="D900" s="55">
        <f t="shared" ref="D900:D963" si="55">+IF(B900="","",EA900)</f>
        <v>0</v>
      </c>
      <c r="E900" s="14">
        <f>+IF(B900="","",'Detalle Compras'!S900+0)</f>
        <v>0</v>
      </c>
      <c r="F900" s="14">
        <f>+IF(B900="","",EOMONTH('Detalle Compras'!S900,G900)+10)</f>
        <v>41</v>
      </c>
      <c r="G900" s="50">
        <f t="shared" ref="G900:G963" si="56">+COUNTIF(I900:ADF900,"&gt;1")</f>
        <v>0</v>
      </c>
      <c r="H900" s="50">
        <f t="shared" ref="H900:H963" si="57">+COUNT(AF900:ADF900)</f>
        <v>0</v>
      </c>
    </row>
    <row r="901" spans="1:8" x14ac:dyDescent="0.2">
      <c r="A901" s="37">
        <v>899</v>
      </c>
      <c r="B901" s="37" t="s">
        <v>94</v>
      </c>
      <c r="C901" s="17">
        <f>+'Detalle Compras'!D901</f>
        <v>0</v>
      </c>
      <c r="D901" s="55">
        <f t="shared" si="55"/>
        <v>0</v>
      </c>
      <c r="E901" s="14">
        <f>+IF(B901="","",'Detalle Compras'!S901+0)</f>
        <v>0</v>
      </c>
      <c r="F901" s="14">
        <f>+IF(B901="","",EOMONTH('Detalle Compras'!S901,G901)+10)</f>
        <v>41</v>
      </c>
      <c r="G901" s="50">
        <f t="shared" si="56"/>
        <v>0</v>
      </c>
      <c r="H901" s="50">
        <f t="shared" si="57"/>
        <v>0</v>
      </c>
    </row>
    <row r="902" spans="1:8" x14ac:dyDescent="0.2">
      <c r="A902" s="37">
        <v>900</v>
      </c>
      <c r="C902" s="17">
        <f>+'Detalle Compras'!D902</f>
        <v>0</v>
      </c>
      <c r="D902" s="55" t="str">
        <f t="shared" si="55"/>
        <v/>
      </c>
      <c r="E902" s="14" t="str">
        <f>+IF(B902="","",'Detalle Compras'!S902+0)</f>
        <v/>
      </c>
      <c r="F902" s="14" t="str">
        <f>+IF(B902="","",EOMONTH('Detalle Compras'!S902,G902)+10)</f>
        <v/>
      </c>
      <c r="G902" s="50">
        <f t="shared" si="56"/>
        <v>0</v>
      </c>
      <c r="H902" s="50">
        <f t="shared" si="57"/>
        <v>0</v>
      </c>
    </row>
    <row r="903" spans="1:8" x14ac:dyDescent="0.2">
      <c r="A903" s="37">
        <v>901</v>
      </c>
      <c r="C903" s="17">
        <f>+'Detalle Compras'!D903</f>
        <v>0</v>
      </c>
      <c r="D903" s="55" t="str">
        <f t="shared" si="55"/>
        <v/>
      </c>
      <c r="E903" s="14" t="str">
        <f>+IF(B903="","",'Detalle Compras'!S903+0)</f>
        <v/>
      </c>
      <c r="F903" s="14" t="str">
        <f>+IF(B903="","",EOMONTH('Detalle Compras'!S903,G903)+10)</f>
        <v/>
      </c>
      <c r="G903" s="50">
        <f t="shared" si="56"/>
        <v>0</v>
      </c>
      <c r="H903" s="50">
        <f t="shared" si="57"/>
        <v>0</v>
      </c>
    </row>
    <row r="904" spans="1:8" x14ac:dyDescent="0.2">
      <c r="A904" s="37">
        <v>902</v>
      </c>
      <c r="C904" s="17">
        <f>+'Detalle Compras'!D904</f>
        <v>0</v>
      </c>
      <c r="D904" s="55" t="str">
        <f t="shared" si="55"/>
        <v/>
      </c>
      <c r="E904" s="14" t="str">
        <f>+IF(B904="","",'Detalle Compras'!S904+0)</f>
        <v/>
      </c>
      <c r="F904" s="14" t="str">
        <f>+IF(B904="","",EOMONTH('Detalle Compras'!S904,G904)+10)</f>
        <v/>
      </c>
      <c r="G904" s="50">
        <f t="shared" si="56"/>
        <v>0</v>
      </c>
      <c r="H904" s="50">
        <f t="shared" si="57"/>
        <v>0</v>
      </c>
    </row>
    <row r="905" spans="1:8" x14ac:dyDescent="0.2">
      <c r="A905" s="37">
        <v>903</v>
      </c>
      <c r="C905" s="17">
        <f>+'Detalle Compras'!D905</f>
        <v>0</v>
      </c>
      <c r="D905" s="55" t="str">
        <f t="shared" si="55"/>
        <v/>
      </c>
      <c r="E905" s="14" t="str">
        <f>+IF(B905="","",'Detalle Compras'!S905+0)</f>
        <v/>
      </c>
      <c r="F905" s="14" t="str">
        <f>+IF(B905="","",EOMONTH('Detalle Compras'!S905,G905)+10)</f>
        <v/>
      </c>
      <c r="G905" s="50">
        <f t="shared" si="56"/>
        <v>0</v>
      </c>
      <c r="H905" s="50">
        <f t="shared" si="57"/>
        <v>0</v>
      </c>
    </row>
    <row r="906" spans="1:8" x14ac:dyDescent="0.2">
      <c r="A906" s="37">
        <v>904</v>
      </c>
      <c r="C906" s="17">
        <f>+'Detalle Compras'!D906</f>
        <v>0</v>
      </c>
      <c r="D906" s="55" t="str">
        <f t="shared" si="55"/>
        <v/>
      </c>
      <c r="E906" s="14" t="str">
        <f>+IF(B906="","",'Detalle Compras'!S906+0)</f>
        <v/>
      </c>
      <c r="F906" s="14" t="str">
        <f>+IF(B906="","",EOMONTH('Detalle Compras'!S906,G906)+10)</f>
        <v/>
      </c>
      <c r="G906" s="50">
        <f t="shared" si="56"/>
        <v>0</v>
      </c>
      <c r="H906" s="50">
        <f t="shared" si="57"/>
        <v>0</v>
      </c>
    </row>
    <row r="907" spans="1:8" x14ac:dyDescent="0.2">
      <c r="A907" s="37">
        <v>905</v>
      </c>
      <c r="C907" s="17">
        <f>+'Detalle Compras'!D907</f>
        <v>0</v>
      </c>
      <c r="D907" s="55" t="str">
        <f t="shared" si="55"/>
        <v/>
      </c>
      <c r="E907" s="14" t="str">
        <f>+IF(B907="","",'Detalle Compras'!S907+0)</f>
        <v/>
      </c>
      <c r="F907" s="14" t="str">
        <f>+IF(B907="","",EOMONTH('Detalle Compras'!S907,G907)+10)</f>
        <v/>
      </c>
      <c r="G907" s="50">
        <f t="shared" si="56"/>
        <v>0</v>
      </c>
      <c r="H907" s="50">
        <f t="shared" si="57"/>
        <v>0</v>
      </c>
    </row>
    <row r="908" spans="1:8" x14ac:dyDescent="0.2">
      <c r="A908" s="37">
        <v>906</v>
      </c>
      <c r="C908" s="17">
        <f>+'Detalle Compras'!D908</f>
        <v>0</v>
      </c>
      <c r="D908" s="55" t="str">
        <f t="shared" si="55"/>
        <v/>
      </c>
      <c r="E908" s="14" t="str">
        <f>+IF(B908="","",'Detalle Compras'!S908+0)</f>
        <v/>
      </c>
      <c r="F908" s="14" t="str">
        <f>+IF(B908="","",EOMONTH('Detalle Compras'!S908,G908)+10)</f>
        <v/>
      </c>
      <c r="G908" s="50">
        <f t="shared" si="56"/>
        <v>0</v>
      </c>
      <c r="H908" s="50">
        <f t="shared" si="57"/>
        <v>0</v>
      </c>
    </row>
    <row r="909" spans="1:8" x14ac:dyDescent="0.2">
      <c r="A909" s="37">
        <v>907</v>
      </c>
      <c r="C909" s="17">
        <f>+'Detalle Compras'!D909</f>
        <v>0</v>
      </c>
      <c r="D909" s="55" t="str">
        <f t="shared" si="55"/>
        <v/>
      </c>
      <c r="E909" s="14" t="str">
        <f>+IF(B909="","",'Detalle Compras'!S909+0)</f>
        <v/>
      </c>
      <c r="F909" s="14" t="str">
        <f>+IF(B909="","",EOMONTH('Detalle Compras'!S909,G909)+10)</f>
        <v/>
      </c>
      <c r="G909" s="50">
        <f t="shared" si="56"/>
        <v>0</v>
      </c>
      <c r="H909" s="50">
        <f t="shared" si="57"/>
        <v>0</v>
      </c>
    </row>
    <row r="910" spans="1:8" x14ac:dyDescent="0.2">
      <c r="A910" s="37">
        <v>908</v>
      </c>
      <c r="C910" s="17">
        <f>+'Detalle Compras'!D910</f>
        <v>0</v>
      </c>
      <c r="D910" s="55" t="str">
        <f t="shared" si="55"/>
        <v/>
      </c>
      <c r="E910" s="14" t="str">
        <f>+IF(B910="","",'Detalle Compras'!S910+0)</f>
        <v/>
      </c>
      <c r="F910" s="14" t="str">
        <f>+IF(B910="","",EOMONTH('Detalle Compras'!S910,G910)+10)</f>
        <v/>
      </c>
      <c r="G910" s="50">
        <f t="shared" si="56"/>
        <v>0</v>
      </c>
      <c r="H910" s="50">
        <f t="shared" si="57"/>
        <v>0</v>
      </c>
    </row>
    <row r="911" spans="1:8" x14ac:dyDescent="0.2">
      <c r="A911" s="37">
        <v>909</v>
      </c>
      <c r="C911" s="17">
        <f>+'Detalle Compras'!D911</f>
        <v>0</v>
      </c>
      <c r="D911" s="55" t="str">
        <f t="shared" si="55"/>
        <v/>
      </c>
      <c r="E911" s="14" t="str">
        <f>+IF(B911="","",'Detalle Compras'!S911+0)</f>
        <v/>
      </c>
      <c r="F911" s="14" t="str">
        <f>+IF(B911="","",EOMONTH('Detalle Compras'!S911,G911)+10)</f>
        <v/>
      </c>
      <c r="G911" s="50">
        <f t="shared" si="56"/>
        <v>0</v>
      </c>
      <c r="H911" s="50">
        <f t="shared" si="57"/>
        <v>0</v>
      </c>
    </row>
    <row r="912" spans="1:8" x14ac:dyDescent="0.2">
      <c r="A912" s="37">
        <v>910</v>
      </c>
      <c r="C912" s="17">
        <f>+'Detalle Compras'!D912</f>
        <v>0</v>
      </c>
      <c r="D912" s="55" t="str">
        <f t="shared" si="55"/>
        <v/>
      </c>
      <c r="E912" s="14" t="str">
        <f>+IF(B912="","",'Detalle Compras'!S912+0)</f>
        <v/>
      </c>
      <c r="F912" s="14" t="str">
        <f>+IF(B912="","",EOMONTH('Detalle Compras'!S912,G912)+10)</f>
        <v/>
      </c>
      <c r="G912" s="50">
        <f t="shared" si="56"/>
        <v>0</v>
      </c>
      <c r="H912" s="50">
        <f t="shared" si="57"/>
        <v>0</v>
      </c>
    </row>
    <row r="913" spans="1:8" x14ac:dyDescent="0.2">
      <c r="A913" s="37">
        <v>911</v>
      </c>
      <c r="C913" s="17">
        <f>+'Detalle Compras'!D913</f>
        <v>0</v>
      </c>
      <c r="D913" s="55" t="str">
        <f t="shared" si="55"/>
        <v/>
      </c>
      <c r="E913" s="14" t="str">
        <f>+IF(B913="","",'Detalle Compras'!S913+0)</f>
        <v/>
      </c>
      <c r="F913" s="14" t="str">
        <f>+IF(B913="","",EOMONTH('Detalle Compras'!S913,G913)+10)</f>
        <v/>
      </c>
      <c r="G913" s="50">
        <f t="shared" si="56"/>
        <v>0</v>
      </c>
      <c r="H913" s="50">
        <f t="shared" si="57"/>
        <v>0</v>
      </c>
    </row>
    <row r="914" spans="1:8" x14ac:dyDescent="0.2">
      <c r="A914" s="37">
        <v>912</v>
      </c>
      <c r="C914" s="17">
        <f>+'Detalle Compras'!D914</f>
        <v>0</v>
      </c>
      <c r="D914" s="55" t="str">
        <f t="shared" si="55"/>
        <v/>
      </c>
      <c r="E914" s="14" t="str">
        <f>+IF(B914="","",'Detalle Compras'!S914+0)</f>
        <v/>
      </c>
      <c r="F914" s="14" t="str">
        <f>+IF(B914="","",EOMONTH('Detalle Compras'!S914,G914)+10)</f>
        <v/>
      </c>
      <c r="G914" s="50">
        <f t="shared" si="56"/>
        <v>0</v>
      </c>
      <c r="H914" s="50">
        <f t="shared" si="57"/>
        <v>0</v>
      </c>
    </row>
    <row r="915" spans="1:8" x14ac:dyDescent="0.2">
      <c r="A915" s="37">
        <v>913</v>
      </c>
      <c r="C915" s="17">
        <f>+'Detalle Compras'!D915</f>
        <v>0</v>
      </c>
      <c r="D915" s="55" t="str">
        <f t="shared" si="55"/>
        <v/>
      </c>
      <c r="E915" s="14" t="str">
        <f>+IF(B915="","",'Detalle Compras'!S915+0)</f>
        <v/>
      </c>
      <c r="F915" s="14" t="str">
        <f>+IF(B915="","",EOMONTH('Detalle Compras'!S915,G915)+10)</f>
        <v/>
      </c>
      <c r="G915" s="50">
        <f t="shared" si="56"/>
        <v>0</v>
      </c>
      <c r="H915" s="50">
        <f t="shared" si="57"/>
        <v>0</v>
      </c>
    </row>
    <row r="916" spans="1:8" x14ac:dyDescent="0.2">
      <c r="A916" s="37">
        <v>914</v>
      </c>
      <c r="C916" s="17">
        <f>+'Detalle Compras'!D916</f>
        <v>0</v>
      </c>
      <c r="D916" s="55" t="str">
        <f t="shared" si="55"/>
        <v/>
      </c>
      <c r="E916" s="14" t="str">
        <f>+IF(B916="","",'Detalle Compras'!S916+0)</f>
        <v/>
      </c>
      <c r="F916" s="14" t="str">
        <f>+IF(B916="","",EOMONTH('Detalle Compras'!S916,G916)+10)</f>
        <v/>
      </c>
      <c r="G916" s="50">
        <f t="shared" si="56"/>
        <v>0</v>
      </c>
      <c r="H916" s="50">
        <f t="shared" si="57"/>
        <v>0</v>
      </c>
    </row>
    <row r="917" spans="1:8" x14ac:dyDescent="0.2">
      <c r="A917" s="37">
        <v>915</v>
      </c>
      <c r="C917" s="17">
        <f>+'Detalle Compras'!D917</f>
        <v>0</v>
      </c>
      <c r="D917" s="55" t="str">
        <f t="shared" si="55"/>
        <v/>
      </c>
      <c r="E917" s="14" t="str">
        <f>+IF(B917="","",'Detalle Compras'!S917+0)</f>
        <v/>
      </c>
      <c r="F917" s="14" t="str">
        <f>+IF(B917="","",EOMONTH('Detalle Compras'!S917,G917)+10)</f>
        <v/>
      </c>
      <c r="G917" s="50">
        <f t="shared" si="56"/>
        <v>0</v>
      </c>
      <c r="H917" s="50">
        <f t="shared" si="57"/>
        <v>0</v>
      </c>
    </row>
    <row r="918" spans="1:8" x14ac:dyDescent="0.2">
      <c r="A918" s="37">
        <v>916</v>
      </c>
      <c r="C918" s="17">
        <f>+'Detalle Compras'!D918</f>
        <v>0</v>
      </c>
      <c r="D918" s="55" t="str">
        <f t="shared" si="55"/>
        <v/>
      </c>
      <c r="E918" s="14" t="str">
        <f>+IF(B918="","",'Detalle Compras'!S918+0)</f>
        <v/>
      </c>
      <c r="F918" s="14" t="str">
        <f>+IF(B918="","",EOMONTH('Detalle Compras'!S918,G918)+10)</f>
        <v/>
      </c>
      <c r="G918" s="50">
        <f t="shared" si="56"/>
        <v>0</v>
      </c>
      <c r="H918" s="50">
        <f t="shared" si="57"/>
        <v>0</v>
      </c>
    </row>
    <row r="919" spans="1:8" x14ac:dyDescent="0.2">
      <c r="A919" s="37">
        <v>917</v>
      </c>
      <c r="C919" s="17">
        <f>+'Detalle Compras'!D919</f>
        <v>0</v>
      </c>
      <c r="D919" s="55" t="str">
        <f t="shared" si="55"/>
        <v/>
      </c>
      <c r="E919" s="14" t="str">
        <f>+IF(B919="","",'Detalle Compras'!S919+0)</f>
        <v/>
      </c>
      <c r="F919" s="14" t="str">
        <f>+IF(B919="","",EOMONTH('Detalle Compras'!S919,G919)+10)</f>
        <v/>
      </c>
      <c r="G919" s="50">
        <f t="shared" si="56"/>
        <v>0</v>
      </c>
      <c r="H919" s="50">
        <f t="shared" si="57"/>
        <v>0</v>
      </c>
    </row>
    <row r="920" spans="1:8" x14ac:dyDescent="0.2">
      <c r="A920" s="37">
        <v>918</v>
      </c>
      <c r="C920" s="17">
        <f>+'Detalle Compras'!D920</f>
        <v>0</v>
      </c>
      <c r="D920" s="55" t="str">
        <f t="shared" si="55"/>
        <v/>
      </c>
      <c r="E920" s="14" t="str">
        <f>+IF(B920="","",'Detalle Compras'!S920+0)</f>
        <v/>
      </c>
      <c r="F920" s="14" t="str">
        <f>+IF(B920="","",EOMONTH('Detalle Compras'!S920,G920)+10)</f>
        <v/>
      </c>
      <c r="G920" s="50">
        <f t="shared" si="56"/>
        <v>0</v>
      </c>
      <c r="H920" s="50">
        <f t="shared" si="57"/>
        <v>0</v>
      </c>
    </row>
    <row r="921" spans="1:8" x14ac:dyDescent="0.2">
      <c r="A921" s="37">
        <v>919</v>
      </c>
      <c r="C921" s="17">
        <f>+'Detalle Compras'!D921</f>
        <v>0</v>
      </c>
      <c r="D921" s="55" t="str">
        <f t="shared" si="55"/>
        <v/>
      </c>
      <c r="E921" s="14" t="str">
        <f>+IF(B921="","",'Detalle Compras'!S921+0)</f>
        <v/>
      </c>
      <c r="F921" s="14" t="str">
        <f>+IF(B921="","",EOMONTH('Detalle Compras'!S921,G921)+10)</f>
        <v/>
      </c>
      <c r="G921" s="50">
        <f t="shared" si="56"/>
        <v>0</v>
      </c>
      <c r="H921" s="50">
        <f t="shared" si="57"/>
        <v>0</v>
      </c>
    </row>
    <row r="922" spans="1:8" x14ac:dyDescent="0.2">
      <c r="A922" s="37">
        <v>920</v>
      </c>
      <c r="C922" s="17">
        <f>+'Detalle Compras'!D922</f>
        <v>0</v>
      </c>
      <c r="D922" s="55" t="str">
        <f t="shared" si="55"/>
        <v/>
      </c>
      <c r="E922" s="14" t="str">
        <f>+IF(B922="","",'Detalle Compras'!S922+0)</f>
        <v/>
      </c>
      <c r="F922" s="14" t="str">
        <f>+IF(B922="","",EOMONTH('Detalle Compras'!S922,G922)+10)</f>
        <v/>
      </c>
      <c r="G922" s="50">
        <f t="shared" si="56"/>
        <v>0</v>
      </c>
      <c r="H922" s="50">
        <f t="shared" si="57"/>
        <v>0</v>
      </c>
    </row>
    <row r="923" spans="1:8" x14ac:dyDescent="0.2">
      <c r="A923" s="37">
        <v>921</v>
      </c>
      <c r="C923" s="17">
        <f>+'Detalle Compras'!D923</f>
        <v>0</v>
      </c>
      <c r="D923" s="55" t="str">
        <f t="shared" si="55"/>
        <v/>
      </c>
      <c r="E923" s="14" t="str">
        <f>+IF(B923="","",'Detalle Compras'!S923+0)</f>
        <v/>
      </c>
      <c r="F923" s="14" t="str">
        <f>+IF(B923="","",EOMONTH('Detalle Compras'!S923,G923)+10)</f>
        <v/>
      </c>
      <c r="G923" s="50">
        <f t="shared" si="56"/>
        <v>0</v>
      </c>
      <c r="H923" s="50">
        <f t="shared" si="57"/>
        <v>0</v>
      </c>
    </row>
    <row r="924" spans="1:8" x14ac:dyDescent="0.2">
      <c r="A924" s="37">
        <v>922</v>
      </c>
      <c r="C924" s="17">
        <f>+'Detalle Compras'!D924</f>
        <v>0</v>
      </c>
      <c r="D924" s="55" t="str">
        <f t="shared" si="55"/>
        <v/>
      </c>
      <c r="E924" s="14" t="str">
        <f>+IF(B924="","",'Detalle Compras'!S924+0)</f>
        <v/>
      </c>
      <c r="F924" s="14" t="str">
        <f>+IF(B924="","",EOMONTH('Detalle Compras'!S924,G924)+10)</f>
        <v/>
      </c>
      <c r="G924" s="50">
        <f t="shared" si="56"/>
        <v>0</v>
      </c>
      <c r="H924" s="50">
        <f t="shared" si="57"/>
        <v>0</v>
      </c>
    </row>
    <row r="925" spans="1:8" x14ac:dyDescent="0.2">
      <c r="A925" s="37">
        <v>923</v>
      </c>
      <c r="C925" s="17">
        <f>+'Detalle Compras'!D925</f>
        <v>0</v>
      </c>
      <c r="D925" s="55" t="str">
        <f t="shared" si="55"/>
        <v/>
      </c>
      <c r="E925" s="14" t="str">
        <f>+IF(B925="","",'Detalle Compras'!S925+0)</f>
        <v/>
      </c>
      <c r="F925" s="14" t="str">
        <f>+IF(B925="","",EOMONTH('Detalle Compras'!S925,G925)+10)</f>
        <v/>
      </c>
      <c r="G925" s="50">
        <f t="shared" si="56"/>
        <v>0</v>
      </c>
      <c r="H925" s="50">
        <f t="shared" si="57"/>
        <v>0</v>
      </c>
    </row>
    <row r="926" spans="1:8" x14ac:dyDescent="0.2">
      <c r="A926" s="37">
        <v>924</v>
      </c>
      <c r="C926" s="17">
        <f>+'Detalle Compras'!D926</f>
        <v>0</v>
      </c>
      <c r="D926" s="55" t="str">
        <f t="shared" si="55"/>
        <v/>
      </c>
      <c r="E926" s="14" t="str">
        <f>+IF(B926="","",'Detalle Compras'!S926+0)</f>
        <v/>
      </c>
      <c r="F926" s="14" t="str">
        <f>+IF(B926="","",EOMONTH('Detalle Compras'!S926,G926)+10)</f>
        <v/>
      </c>
      <c r="G926" s="50">
        <f t="shared" si="56"/>
        <v>0</v>
      </c>
      <c r="H926" s="50">
        <f t="shared" si="57"/>
        <v>0</v>
      </c>
    </row>
    <row r="927" spans="1:8" x14ac:dyDescent="0.2">
      <c r="A927" s="37">
        <v>925</v>
      </c>
      <c r="C927" s="17">
        <f>+'Detalle Compras'!D927</f>
        <v>0</v>
      </c>
      <c r="D927" s="55" t="str">
        <f t="shared" si="55"/>
        <v/>
      </c>
      <c r="E927" s="14" t="str">
        <f>+IF(B927="","",'Detalle Compras'!S927+0)</f>
        <v/>
      </c>
      <c r="F927" s="14" t="str">
        <f>+IF(B927="","",EOMONTH('Detalle Compras'!S927,G927)+10)</f>
        <v/>
      </c>
      <c r="G927" s="50">
        <f t="shared" si="56"/>
        <v>0</v>
      </c>
      <c r="H927" s="50">
        <f t="shared" si="57"/>
        <v>0</v>
      </c>
    </row>
    <row r="928" spans="1:8" x14ac:dyDescent="0.2">
      <c r="A928" s="37">
        <v>926</v>
      </c>
      <c r="C928" s="17">
        <f>+'Detalle Compras'!D928</f>
        <v>0</v>
      </c>
      <c r="D928" s="55" t="str">
        <f t="shared" si="55"/>
        <v/>
      </c>
      <c r="E928" s="14" t="str">
        <f>+IF(B928="","",'Detalle Compras'!S928+0)</f>
        <v/>
      </c>
      <c r="F928" s="14" t="str">
        <f>+IF(B928="","",EOMONTH('Detalle Compras'!S928,G928)+10)</f>
        <v/>
      </c>
      <c r="G928" s="50">
        <f t="shared" si="56"/>
        <v>0</v>
      </c>
      <c r="H928" s="50">
        <f t="shared" si="57"/>
        <v>0</v>
      </c>
    </row>
    <row r="929" spans="1:8" x14ac:dyDescent="0.2">
      <c r="A929" s="37">
        <v>927</v>
      </c>
      <c r="C929" s="17">
        <f>+'Detalle Compras'!D929</f>
        <v>0</v>
      </c>
      <c r="D929" s="55" t="str">
        <f t="shared" si="55"/>
        <v/>
      </c>
      <c r="E929" s="14" t="str">
        <f>+IF(B929="","",'Detalle Compras'!S929+0)</f>
        <v/>
      </c>
      <c r="F929" s="14" t="str">
        <f>+IF(B929="","",EOMONTH('Detalle Compras'!S929,G929)+10)</f>
        <v/>
      </c>
      <c r="G929" s="50">
        <f t="shared" si="56"/>
        <v>0</v>
      </c>
      <c r="H929" s="50">
        <f t="shared" si="57"/>
        <v>0</v>
      </c>
    </row>
    <row r="930" spans="1:8" x14ac:dyDescent="0.2">
      <c r="A930" s="37">
        <v>928</v>
      </c>
      <c r="C930" s="17">
        <f>+'Detalle Compras'!D930</f>
        <v>0</v>
      </c>
      <c r="D930" s="55" t="str">
        <f t="shared" si="55"/>
        <v/>
      </c>
      <c r="E930" s="14" t="str">
        <f>+IF(B930="","",'Detalle Compras'!S930+0)</f>
        <v/>
      </c>
      <c r="F930" s="14" t="str">
        <f>+IF(B930="","",EOMONTH('Detalle Compras'!S930,G930)+10)</f>
        <v/>
      </c>
      <c r="G930" s="50">
        <f t="shared" si="56"/>
        <v>0</v>
      </c>
      <c r="H930" s="50">
        <f t="shared" si="57"/>
        <v>0</v>
      </c>
    </row>
    <row r="931" spans="1:8" x14ac:dyDescent="0.2">
      <c r="A931" s="37">
        <v>929</v>
      </c>
      <c r="C931" s="17">
        <f>+'Detalle Compras'!D931</f>
        <v>0</v>
      </c>
      <c r="D931" s="55" t="str">
        <f t="shared" si="55"/>
        <v/>
      </c>
      <c r="E931" s="14" t="str">
        <f>+IF(B931="","",'Detalle Compras'!S931+0)</f>
        <v/>
      </c>
      <c r="F931" s="14" t="str">
        <f>+IF(B931="","",EOMONTH('Detalle Compras'!S931,G931)+10)</f>
        <v/>
      </c>
      <c r="G931" s="50">
        <f t="shared" si="56"/>
        <v>0</v>
      </c>
      <c r="H931" s="50">
        <f t="shared" si="57"/>
        <v>0</v>
      </c>
    </row>
    <row r="932" spans="1:8" x14ac:dyDescent="0.2">
      <c r="A932" s="37">
        <v>930</v>
      </c>
      <c r="C932" s="17">
        <f>+'Detalle Compras'!D932</f>
        <v>0</v>
      </c>
      <c r="D932" s="55" t="str">
        <f t="shared" si="55"/>
        <v/>
      </c>
      <c r="E932" s="14" t="str">
        <f>+IF(B932="","",'Detalle Compras'!S932+0)</f>
        <v/>
      </c>
      <c r="F932" s="14" t="str">
        <f>+IF(B932="","",EOMONTH('Detalle Compras'!S932,G932)+10)</f>
        <v/>
      </c>
      <c r="G932" s="50">
        <f t="shared" si="56"/>
        <v>0</v>
      </c>
      <c r="H932" s="50">
        <f t="shared" si="57"/>
        <v>0</v>
      </c>
    </row>
    <row r="933" spans="1:8" x14ac:dyDescent="0.2">
      <c r="A933" s="37">
        <v>931</v>
      </c>
      <c r="C933" s="17">
        <f>+'Detalle Compras'!D933</f>
        <v>0</v>
      </c>
      <c r="D933" s="55" t="str">
        <f t="shared" si="55"/>
        <v/>
      </c>
      <c r="E933" s="14" t="str">
        <f>+IF(B933="","",'Detalle Compras'!S933+0)</f>
        <v/>
      </c>
      <c r="F933" s="14" t="str">
        <f>+IF(B933="","",EOMONTH('Detalle Compras'!S933,G933)+10)</f>
        <v/>
      </c>
      <c r="G933" s="50">
        <f t="shared" si="56"/>
        <v>0</v>
      </c>
      <c r="H933" s="50">
        <f t="shared" si="57"/>
        <v>0</v>
      </c>
    </row>
    <row r="934" spans="1:8" x14ac:dyDescent="0.2">
      <c r="A934" s="37">
        <v>932</v>
      </c>
      <c r="C934" s="17">
        <f>+'Detalle Compras'!D934</f>
        <v>0</v>
      </c>
      <c r="D934" s="55" t="str">
        <f t="shared" si="55"/>
        <v/>
      </c>
      <c r="E934" s="14" t="str">
        <f>+IF(B934="","",'Detalle Compras'!S934+0)</f>
        <v/>
      </c>
      <c r="F934" s="14" t="str">
        <f>+IF(B934="","",EOMONTH('Detalle Compras'!S934,G934)+10)</f>
        <v/>
      </c>
      <c r="G934" s="50">
        <f t="shared" si="56"/>
        <v>0</v>
      </c>
      <c r="H934" s="50">
        <f t="shared" si="57"/>
        <v>0</v>
      </c>
    </row>
    <row r="935" spans="1:8" x14ac:dyDescent="0.2">
      <c r="A935" s="37">
        <v>933</v>
      </c>
      <c r="C935" s="17">
        <f>+'Detalle Compras'!D935</f>
        <v>0</v>
      </c>
      <c r="D935" s="55" t="str">
        <f t="shared" si="55"/>
        <v/>
      </c>
      <c r="E935" s="14" t="str">
        <f>+IF(B935="","",'Detalle Compras'!S935+0)</f>
        <v/>
      </c>
      <c r="F935" s="14" t="str">
        <f>+IF(B935="","",EOMONTH('Detalle Compras'!S935,G935)+10)</f>
        <v/>
      </c>
      <c r="G935" s="50">
        <f t="shared" si="56"/>
        <v>0</v>
      </c>
      <c r="H935" s="50">
        <f t="shared" si="57"/>
        <v>0</v>
      </c>
    </row>
    <row r="936" spans="1:8" x14ac:dyDescent="0.2">
      <c r="A936" s="37">
        <v>934</v>
      </c>
      <c r="C936" s="17">
        <f>+'Detalle Compras'!D936</f>
        <v>0</v>
      </c>
      <c r="D936" s="55" t="str">
        <f t="shared" si="55"/>
        <v/>
      </c>
      <c r="E936" s="14" t="str">
        <f>+IF(B936="","",'Detalle Compras'!S936+0)</f>
        <v/>
      </c>
      <c r="F936" s="14" t="str">
        <f>+IF(B936="","",EOMONTH('Detalle Compras'!S936,G936)+10)</f>
        <v/>
      </c>
      <c r="G936" s="50">
        <f t="shared" si="56"/>
        <v>0</v>
      </c>
      <c r="H936" s="50">
        <f t="shared" si="57"/>
        <v>0</v>
      </c>
    </row>
    <row r="937" spans="1:8" x14ac:dyDescent="0.2">
      <c r="A937" s="37">
        <v>935</v>
      </c>
      <c r="C937" s="17">
        <f>+'Detalle Compras'!D937</f>
        <v>0</v>
      </c>
      <c r="D937" s="55" t="str">
        <f t="shared" si="55"/>
        <v/>
      </c>
      <c r="E937" s="14" t="str">
        <f>+IF(B937="","",'Detalle Compras'!S937+0)</f>
        <v/>
      </c>
      <c r="F937" s="14" t="str">
        <f>+IF(B937="","",EOMONTH('Detalle Compras'!S937,G937)+10)</f>
        <v/>
      </c>
      <c r="G937" s="50">
        <f t="shared" si="56"/>
        <v>0</v>
      </c>
      <c r="H937" s="50">
        <f t="shared" si="57"/>
        <v>0</v>
      </c>
    </row>
    <row r="938" spans="1:8" x14ac:dyDescent="0.2">
      <c r="A938" s="37">
        <v>936</v>
      </c>
      <c r="C938" s="17">
        <f>+'Detalle Compras'!D938</f>
        <v>0</v>
      </c>
      <c r="D938" s="55" t="str">
        <f t="shared" si="55"/>
        <v/>
      </c>
      <c r="E938" s="14" t="str">
        <f>+IF(B938="","",'Detalle Compras'!S938+0)</f>
        <v/>
      </c>
      <c r="F938" s="14" t="str">
        <f>+IF(B938="","",EOMONTH('Detalle Compras'!S938,G938)+10)</f>
        <v/>
      </c>
      <c r="G938" s="50">
        <f t="shared" si="56"/>
        <v>0</v>
      </c>
      <c r="H938" s="50">
        <f t="shared" si="57"/>
        <v>0</v>
      </c>
    </row>
    <row r="939" spans="1:8" x14ac:dyDescent="0.2">
      <c r="A939" s="37">
        <v>937</v>
      </c>
      <c r="C939" s="17">
        <f>+'Detalle Compras'!D939</f>
        <v>0</v>
      </c>
      <c r="D939" s="55" t="str">
        <f t="shared" si="55"/>
        <v/>
      </c>
      <c r="E939" s="14" t="str">
        <f>+IF(B939="","",'Detalle Compras'!S939+0)</f>
        <v/>
      </c>
      <c r="F939" s="14" t="str">
        <f>+IF(B939="","",EOMONTH('Detalle Compras'!S939,G939)+10)</f>
        <v/>
      </c>
      <c r="G939" s="50">
        <f t="shared" si="56"/>
        <v>0</v>
      </c>
      <c r="H939" s="50">
        <f t="shared" si="57"/>
        <v>0</v>
      </c>
    </row>
    <row r="940" spans="1:8" x14ac:dyDescent="0.2">
      <c r="A940" s="37">
        <v>938</v>
      </c>
      <c r="C940" s="17">
        <f>+'Detalle Compras'!D940</f>
        <v>0</v>
      </c>
      <c r="D940" s="55" t="str">
        <f t="shared" si="55"/>
        <v/>
      </c>
      <c r="E940" s="14" t="str">
        <f>+IF(B940="","",'Detalle Compras'!S940+0)</f>
        <v/>
      </c>
      <c r="F940" s="14" t="str">
        <f>+IF(B940="","",EOMONTH('Detalle Compras'!S940,G940)+10)</f>
        <v/>
      </c>
      <c r="G940" s="50">
        <f t="shared" si="56"/>
        <v>0</v>
      </c>
      <c r="H940" s="50">
        <f t="shared" si="57"/>
        <v>0</v>
      </c>
    </row>
    <row r="941" spans="1:8" x14ac:dyDescent="0.2">
      <c r="A941" s="37">
        <v>939</v>
      </c>
      <c r="C941" s="17">
        <f>+'Detalle Compras'!D941</f>
        <v>0</v>
      </c>
      <c r="D941" s="55" t="str">
        <f t="shared" si="55"/>
        <v/>
      </c>
      <c r="E941" s="14" t="str">
        <f>+IF(B941="","",'Detalle Compras'!S941+0)</f>
        <v/>
      </c>
      <c r="F941" s="14" t="str">
        <f>+IF(B941="","",EOMONTH('Detalle Compras'!S941,G941)+10)</f>
        <v/>
      </c>
      <c r="G941" s="50">
        <f t="shared" si="56"/>
        <v>0</v>
      </c>
      <c r="H941" s="50">
        <f t="shared" si="57"/>
        <v>0</v>
      </c>
    </row>
    <row r="942" spans="1:8" x14ac:dyDescent="0.2">
      <c r="A942" s="37">
        <v>940</v>
      </c>
      <c r="C942" s="17">
        <f>+'Detalle Compras'!D942</f>
        <v>0</v>
      </c>
      <c r="D942" s="55" t="str">
        <f t="shared" si="55"/>
        <v/>
      </c>
      <c r="E942" s="14" t="str">
        <f>+IF(B942="","",'Detalle Compras'!S942+0)</f>
        <v/>
      </c>
      <c r="F942" s="14" t="str">
        <f>+IF(B942="","",EOMONTH('Detalle Compras'!S942,G942)+10)</f>
        <v/>
      </c>
      <c r="G942" s="50">
        <f t="shared" si="56"/>
        <v>0</v>
      </c>
      <c r="H942" s="50">
        <f t="shared" si="57"/>
        <v>0</v>
      </c>
    </row>
    <row r="943" spans="1:8" x14ac:dyDescent="0.2">
      <c r="A943" s="37">
        <v>941</v>
      </c>
      <c r="C943" s="17">
        <f>+'Detalle Compras'!D943</f>
        <v>0</v>
      </c>
      <c r="D943" s="55" t="str">
        <f t="shared" si="55"/>
        <v/>
      </c>
      <c r="E943" s="14" t="str">
        <f>+IF(B943="","",'Detalle Compras'!S943+0)</f>
        <v/>
      </c>
      <c r="F943" s="14" t="str">
        <f>+IF(B943="","",EOMONTH('Detalle Compras'!S943,G943)+10)</f>
        <v/>
      </c>
      <c r="G943" s="50">
        <f t="shared" si="56"/>
        <v>0</v>
      </c>
      <c r="H943" s="50">
        <f t="shared" si="57"/>
        <v>0</v>
      </c>
    </row>
    <row r="944" spans="1:8" x14ac:dyDescent="0.2">
      <c r="A944" s="37">
        <v>942</v>
      </c>
      <c r="C944" s="17">
        <f>+'Detalle Compras'!D944</f>
        <v>0</v>
      </c>
      <c r="D944" s="55" t="str">
        <f t="shared" si="55"/>
        <v/>
      </c>
      <c r="E944" s="14" t="str">
        <f>+IF(B944="","",'Detalle Compras'!S944+0)</f>
        <v/>
      </c>
      <c r="F944" s="14" t="str">
        <f>+IF(B944="","",EOMONTH('Detalle Compras'!S944,G944)+10)</f>
        <v/>
      </c>
      <c r="G944" s="50">
        <f t="shared" si="56"/>
        <v>0</v>
      </c>
      <c r="H944" s="50">
        <f t="shared" si="57"/>
        <v>0</v>
      </c>
    </row>
    <row r="945" spans="1:8" x14ac:dyDescent="0.2">
      <c r="A945" s="37">
        <v>943</v>
      </c>
      <c r="C945" s="17">
        <f>+'Detalle Compras'!D945</f>
        <v>0</v>
      </c>
      <c r="D945" s="55" t="str">
        <f t="shared" si="55"/>
        <v/>
      </c>
      <c r="E945" s="14" t="str">
        <f>+IF(B945="","",'Detalle Compras'!S945+0)</f>
        <v/>
      </c>
      <c r="F945" s="14" t="str">
        <f>+IF(B945="","",EOMONTH('Detalle Compras'!S945,G945)+10)</f>
        <v/>
      </c>
      <c r="G945" s="50">
        <f t="shared" si="56"/>
        <v>0</v>
      </c>
      <c r="H945" s="50">
        <f t="shared" si="57"/>
        <v>0</v>
      </c>
    </row>
    <row r="946" spans="1:8" x14ac:dyDescent="0.2">
      <c r="A946" s="37">
        <v>944</v>
      </c>
      <c r="C946" s="17">
        <f>+'Detalle Compras'!D946</f>
        <v>0</v>
      </c>
      <c r="D946" s="55" t="str">
        <f t="shared" si="55"/>
        <v/>
      </c>
      <c r="E946" s="14" t="str">
        <f>+IF(B946="","",'Detalle Compras'!S946+0)</f>
        <v/>
      </c>
      <c r="F946" s="14" t="str">
        <f>+IF(B946="","",EOMONTH('Detalle Compras'!S946,G946)+10)</f>
        <v/>
      </c>
      <c r="G946" s="50">
        <f t="shared" si="56"/>
        <v>0</v>
      </c>
      <c r="H946" s="50">
        <f t="shared" si="57"/>
        <v>0</v>
      </c>
    </row>
    <row r="947" spans="1:8" x14ac:dyDescent="0.2">
      <c r="A947" s="37">
        <v>945</v>
      </c>
      <c r="C947" s="17">
        <f>+'Detalle Compras'!D947</f>
        <v>0</v>
      </c>
      <c r="D947" s="55" t="str">
        <f t="shared" si="55"/>
        <v/>
      </c>
      <c r="E947" s="14" t="str">
        <f>+IF(B947="","",'Detalle Compras'!S947+0)</f>
        <v/>
      </c>
      <c r="F947" s="14" t="str">
        <f>+IF(B947="","",EOMONTH('Detalle Compras'!S947,G947)+10)</f>
        <v/>
      </c>
      <c r="G947" s="50">
        <f t="shared" si="56"/>
        <v>0</v>
      </c>
      <c r="H947" s="50">
        <f t="shared" si="57"/>
        <v>0</v>
      </c>
    </row>
    <row r="948" spans="1:8" x14ac:dyDescent="0.2">
      <c r="A948" s="37">
        <v>946</v>
      </c>
      <c r="C948" s="17">
        <f>+'Detalle Compras'!D948</f>
        <v>0</v>
      </c>
      <c r="D948" s="55" t="str">
        <f t="shared" si="55"/>
        <v/>
      </c>
      <c r="E948" s="14" t="str">
        <f>+IF(B948="","",'Detalle Compras'!S948+0)</f>
        <v/>
      </c>
      <c r="F948" s="14" t="str">
        <f>+IF(B948="","",EOMONTH('Detalle Compras'!S948,G948)+10)</f>
        <v/>
      </c>
      <c r="G948" s="50">
        <f t="shared" si="56"/>
        <v>0</v>
      </c>
      <c r="H948" s="50">
        <f t="shared" si="57"/>
        <v>0</v>
      </c>
    </row>
    <row r="949" spans="1:8" x14ac:dyDescent="0.2">
      <c r="A949" s="37">
        <v>947</v>
      </c>
      <c r="C949" s="17">
        <f>+'Detalle Compras'!D949</f>
        <v>0</v>
      </c>
      <c r="D949" s="55" t="str">
        <f t="shared" si="55"/>
        <v/>
      </c>
      <c r="E949" s="14" t="str">
        <f>+IF(B949="","",'Detalle Compras'!S949+0)</f>
        <v/>
      </c>
      <c r="F949" s="14" t="str">
        <f>+IF(B949="","",EOMONTH('Detalle Compras'!S949,G949)+10)</f>
        <v/>
      </c>
      <c r="G949" s="50">
        <f t="shared" si="56"/>
        <v>0</v>
      </c>
      <c r="H949" s="50">
        <f t="shared" si="57"/>
        <v>0</v>
      </c>
    </row>
    <row r="950" spans="1:8" x14ac:dyDescent="0.2">
      <c r="A950" s="37">
        <v>948</v>
      </c>
      <c r="C950" s="17">
        <f>+'Detalle Compras'!D950</f>
        <v>0</v>
      </c>
      <c r="D950" s="55" t="str">
        <f t="shared" si="55"/>
        <v/>
      </c>
      <c r="E950" s="14" t="str">
        <f>+IF(B950="","",'Detalle Compras'!S950+0)</f>
        <v/>
      </c>
      <c r="F950" s="14" t="str">
        <f>+IF(B950="","",EOMONTH('Detalle Compras'!S950,G950)+10)</f>
        <v/>
      </c>
      <c r="G950" s="50">
        <f t="shared" si="56"/>
        <v>0</v>
      </c>
      <c r="H950" s="50">
        <f t="shared" si="57"/>
        <v>0</v>
      </c>
    </row>
    <row r="951" spans="1:8" x14ac:dyDescent="0.2">
      <c r="A951" s="37">
        <v>949</v>
      </c>
      <c r="C951" s="17">
        <f>+'Detalle Compras'!D951</f>
        <v>0</v>
      </c>
      <c r="D951" s="55" t="str">
        <f t="shared" si="55"/>
        <v/>
      </c>
      <c r="E951" s="14" t="str">
        <f>+IF(B951="","",'Detalle Compras'!S951+0)</f>
        <v/>
      </c>
      <c r="F951" s="14" t="str">
        <f>+IF(B951="","",EOMONTH('Detalle Compras'!S951,G951)+10)</f>
        <v/>
      </c>
      <c r="G951" s="50">
        <f t="shared" si="56"/>
        <v>0</v>
      </c>
      <c r="H951" s="50">
        <f t="shared" si="57"/>
        <v>0</v>
      </c>
    </row>
    <row r="952" spans="1:8" x14ac:dyDescent="0.2">
      <c r="A952" s="37">
        <v>950</v>
      </c>
      <c r="C952" s="17">
        <f>+'Detalle Compras'!D952</f>
        <v>0</v>
      </c>
      <c r="D952" s="55" t="str">
        <f t="shared" si="55"/>
        <v/>
      </c>
      <c r="E952" s="14" t="str">
        <f>+IF(B952="","",'Detalle Compras'!S952+0)</f>
        <v/>
      </c>
      <c r="F952" s="14" t="str">
        <f>+IF(B952="","",EOMONTH('Detalle Compras'!S952,G952)+10)</f>
        <v/>
      </c>
      <c r="G952" s="50">
        <f t="shared" si="56"/>
        <v>0</v>
      </c>
      <c r="H952" s="50">
        <f t="shared" si="57"/>
        <v>0</v>
      </c>
    </row>
    <row r="953" spans="1:8" x14ac:dyDescent="0.2">
      <c r="A953" s="37">
        <v>951</v>
      </c>
      <c r="C953" s="17">
        <f>+'Detalle Compras'!D953</f>
        <v>0</v>
      </c>
      <c r="D953" s="55" t="str">
        <f t="shared" si="55"/>
        <v/>
      </c>
      <c r="E953" s="14" t="str">
        <f>+IF(B953="","",'Detalle Compras'!S953+0)</f>
        <v/>
      </c>
      <c r="F953" s="14" t="str">
        <f>+IF(B953="","",EOMONTH('Detalle Compras'!S953,G953)+10)</f>
        <v/>
      </c>
      <c r="G953" s="50">
        <f t="shared" si="56"/>
        <v>0</v>
      </c>
      <c r="H953" s="50">
        <f t="shared" si="57"/>
        <v>0</v>
      </c>
    </row>
    <row r="954" spans="1:8" x14ac:dyDescent="0.2">
      <c r="A954" s="37">
        <v>952</v>
      </c>
      <c r="C954" s="17">
        <f>+'Detalle Compras'!D954</f>
        <v>0</v>
      </c>
      <c r="D954" s="55" t="str">
        <f t="shared" si="55"/>
        <v/>
      </c>
      <c r="E954" s="14" t="str">
        <f>+IF(B954="","",'Detalle Compras'!S954+0)</f>
        <v/>
      </c>
      <c r="F954" s="14" t="str">
        <f>+IF(B954="","",EOMONTH('Detalle Compras'!S954,G954)+10)</f>
        <v/>
      </c>
      <c r="G954" s="50">
        <f t="shared" si="56"/>
        <v>0</v>
      </c>
      <c r="H954" s="50">
        <f t="shared" si="57"/>
        <v>0</v>
      </c>
    </row>
    <row r="955" spans="1:8" x14ac:dyDescent="0.2">
      <c r="A955" s="37">
        <v>953</v>
      </c>
      <c r="C955" s="17">
        <f>+'Detalle Compras'!D955</f>
        <v>0</v>
      </c>
      <c r="D955" s="55" t="str">
        <f t="shared" si="55"/>
        <v/>
      </c>
      <c r="E955" s="14" t="str">
        <f>+IF(B955="","",'Detalle Compras'!S955+0)</f>
        <v/>
      </c>
      <c r="F955" s="14" t="str">
        <f>+IF(B955="","",EOMONTH('Detalle Compras'!S955,G955)+10)</f>
        <v/>
      </c>
      <c r="G955" s="50">
        <f t="shared" si="56"/>
        <v>0</v>
      </c>
      <c r="H955" s="50">
        <f t="shared" si="57"/>
        <v>0</v>
      </c>
    </row>
    <row r="956" spans="1:8" x14ac:dyDescent="0.2">
      <c r="A956" s="37">
        <v>954</v>
      </c>
      <c r="C956" s="17">
        <f>+'Detalle Compras'!D956</f>
        <v>0</v>
      </c>
      <c r="D956" s="55" t="str">
        <f t="shared" si="55"/>
        <v/>
      </c>
      <c r="E956" s="14" t="str">
        <f>+IF(B956="","",'Detalle Compras'!S956+0)</f>
        <v/>
      </c>
      <c r="F956" s="14" t="str">
        <f>+IF(B956="","",EOMONTH('Detalle Compras'!S956,G956)+10)</f>
        <v/>
      </c>
      <c r="G956" s="50">
        <f t="shared" si="56"/>
        <v>0</v>
      </c>
      <c r="H956" s="50">
        <f t="shared" si="57"/>
        <v>0</v>
      </c>
    </row>
    <row r="957" spans="1:8" x14ac:dyDescent="0.2">
      <c r="A957" s="37">
        <v>955</v>
      </c>
      <c r="C957" s="17">
        <f>+'Detalle Compras'!D957</f>
        <v>0</v>
      </c>
      <c r="D957" s="55" t="str">
        <f t="shared" si="55"/>
        <v/>
      </c>
      <c r="E957" s="14" t="str">
        <f>+IF(B957="","",'Detalle Compras'!S957+0)</f>
        <v/>
      </c>
      <c r="F957" s="14" t="str">
        <f>+IF(B957="","",EOMONTH('Detalle Compras'!S957,G957)+10)</f>
        <v/>
      </c>
      <c r="G957" s="50">
        <f t="shared" si="56"/>
        <v>0</v>
      </c>
      <c r="H957" s="50">
        <f t="shared" si="57"/>
        <v>0</v>
      </c>
    </row>
    <row r="958" spans="1:8" x14ac:dyDescent="0.2">
      <c r="A958" s="37">
        <v>956</v>
      </c>
      <c r="C958" s="17">
        <f>+'Detalle Compras'!D958</f>
        <v>0</v>
      </c>
      <c r="D958" s="55" t="str">
        <f t="shared" si="55"/>
        <v/>
      </c>
      <c r="E958" s="14" t="str">
        <f>+IF(B958="","",'Detalle Compras'!S958+0)</f>
        <v/>
      </c>
      <c r="F958" s="14" t="str">
        <f>+IF(B958="","",EOMONTH('Detalle Compras'!S958,G958)+10)</f>
        <v/>
      </c>
      <c r="G958" s="50">
        <f t="shared" si="56"/>
        <v>0</v>
      </c>
      <c r="H958" s="50">
        <f t="shared" si="57"/>
        <v>0</v>
      </c>
    </row>
    <row r="959" spans="1:8" x14ac:dyDescent="0.2">
      <c r="A959" s="37">
        <v>957</v>
      </c>
      <c r="C959" s="17">
        <f>+'Detalle Compras'!D959</f>
        <v>0</v>
      </c>
      <c r="D959" s="55" t="str">
        <f t="shared" si="55"/>
        <v/>
      </c>
      <c r="E959" s="14" t="str">
        <f>+IF(B959="","",'Detalle Compras'!S959+0)</f>
        <v/>
      </c>
      <c r="F959" s="14" t="str">
        <f>+IF(B959="","",EOMONTH('Detalle Compras'!S959,G959)+10)</f>
        <v/>
      </c>
      <c r="G959" s="50">
        <f t="shared" si="56"/>
        <v>0</v>
      </c>
      <c r="H959" s="50">
        <f t="shared" si="57"/>
        <v>0</v>
      </c>
    </row>
    <row r="960" spans="1:8" x14ac:dyDescent="0.2">
      <c r="A960" s="37">
        <v>958</v>
      </c>
      <c r="C960" s="17">
        <f>+'Detalle Compras'!D960</f>
        <v>0</v>
      </c>
      <c r="D960" s="55" t="str">
        <f t="shared" si="55"/>
        <v/>
      </c>
      <c r="E960" s="14" t="str">
        <f>+IF(B960="","",'Detalle Compras'!S960+0)</f>
        <v/>
      </c>
      <c r="F960" s="14" t="str">
        <f>+IF(B960="","",EOMONTH('Detalle Compras'!S960,G960)+10)</f>
        <v/>
      </c>
      <c r="G960" s="50">
        <f t="shared" si="56"/>
        <v>0</v>
      </c>
      <c r="H960" s="50">
        <f t="shared" si="57"/>
        <v>0</v>
      </c>
    </row>
    <row r="961" spans="1:8" x14ac:dyDescent="0.2">
      <c r="A961" s="37">
        <v>959</v>
      </c>
      <c r="C961" s="17">
        <f>+'Detalle Compras'!D961</f>
        <v>0</v>
      </c>
      <c r="D961" s="55" t="str">
        <f t="shared" si="55"/>
        <v/>
      </c>
      <c r="E961" s="14" t="str">
        <f>+IF(B961="","",'Detalle Compras'!S961+0)</f>
        <v/>
      </c>
      <c r="F961" s="14" t="str">
        <f>+IF(B961="","",EOMONTH('Detalle Compras'!S961,G961)+10)</f>
        <v/>
      </c>
      <c r="G961" s="50">
        <f t="shared" si="56"/>
        <v>0</v>
      </c>
      <c r="H961" s="50">
        <f t="shared" si="57"/>
        <v>0</v>
      </c>
    </row>
    <row r="962" spans="1:8" x14ac:dyDescent="0.2">
      <c r="A962" s="37">
        <v>960</v>
      </c>
      <c r="C962" s="17">
        <f>+'Detalle Compras'!D962</f>
        <v>0</v>
      </c>
      <c r="D962" s="55" t="str">
        <f t="shared" si="55"/>
        <v/>
      </c>
      <c r="E962" s="14" t="str">
        <f>+IF(B962="","",'Detalle Compras'!S962+0)</f>
        <v/>
      </c>
      <c r="F962" s="14" t="str">
        <f>+IF(B962="","",EOMONTH('Detalle Compras'!S962,G962)+10)</f>
        <v/>
      </c>
      <c r="G962" s="50">
        <f t="shared" si="56"/>
        <v>0</v>
      </c>
      <c r="H962" s="50">
        <f t="shared" si="57"/>
        <v>0</v>
      </c>
    </row>
    <row r="963" spans="1:8" x14ac:dyDescent="0.2">
      <c r="A963" s="37">
        <v>961</v>
      </c>
      <c r="C963" s="17">
        <f>+'Detalle Compras'!D963</f>
        <v>0</v>
      </c>
      <c r="D963" s="55" t="str">
        <f t="shared" si="55"/>
        <v/>
      </c>
      <c r="E963" s="14" t="str">
        <f>+IF(B963="","",'Detalle Compras'!S963+0)</f>
        <v/>
      </c>
      <c r="F963" s="14" t="str">
        <f>+IF(B963="","",EOMONTH('Detalle Compras'!S963,G963)+10)</f>
        <v/>
      </c>
      <c r="G963" s="50">
        <f t="shared" si="56"/>
        <v>0</v>
      </c>
      <c r="H963" s="50">
        <f t="shared" si="57"/>
        <v>0</v>
      </c>
    </row>
    <row r="964" spans="1:8" x14ac:dyDescent="0.2">
      <c r="A964" s="37">
        <v>962</v>
      </c>
      <c r="C964" s="17">
        <f>+'Detalle Compras'!D964</f>
        <v>0</v>
      </c>
      <c r="D964" s="55" t="str">
        <f t="shared" ref="D964:D1027" si="58">+IF(B964="","",EA964)</f>
        <v/>
      </c>
      <c r="E964" s="14" t="str">
        <f>+IF(B964="","",'Detalle Compras'!S964+0)</f>
        <v/>
      </c>
      <c r="F964" s="14" t="str">
        <f>+IF(B964="","",EOMONTH('Detalle Compras'!S964,G964)+10)</f>
        <v/>
      </c>
      <c r="G964" s="50">
        <f t="shared" ref="G964:G1027" si="59">+COUNTIF(I964:ADF964,"&gt;1")</f>
        <v>0</v>
      </c>
      <c r="H964" s="50">
        <f t="shared" ref="H964:H1027" si="60">+COUNT(AF964:ADF964)</f>
        <v>0</v>
      </c>
    </row>
    <row r="965" spans="1:8" x14ac:dyDescent="0.2">
      <c r="A965" s="37">
        <v>963</v>
      </c>
      <c r="C965" s="17">
        <f>+'Detalle Compras'!D965</f>
        <v>0</v>
      </c>
      <c r="D965" s="55" t="str">
        <f t="shared" si="58"/>
        <v/>
      </c>
      <c r="E965" s="14" t="str">
        <f>+IF(B965="","",'Detalle Compras'!S965+0)</f>
        <v/>
      </c>
      <c r="F965" s="14" t="str">
        <f>+IF(B965="","",EOMONTH('Detalle Compras'!S965,G965)+10)</f>
        <v/>
      </c>
      <c r="G965" s="50">
        <f t="shared" si="59"/>
        <v>0</v>
      </c>
      <c r="H965" s="50">
        <f t="shared" si="60"/>
        <v>0</v>
      </c>
    </row>
    <row r="966" spans="1:8" x14ac:dyDescent="0.2">
      <c r="A966" s="37">
        <v>964</v>
      </c>
      <c r="C966" s="17">
        <f>+'Detalle Compras'!D966</f>
        <v>0</v>
      </c>
      <c r="D966" s="55" t="str">
        <f t="shared" si="58"/>
        <v/>
      </c>
      <c r="E966" s="14" t="str">
        <f>+IF(B966="","",'Detalle Compras'!S966+0)</f>
        <v/>
      </c>
      <c r="F966" s="14" t="str">
        <f>+IF(B966="","",EOMONTH('Detalle Compras'!S966,G966)+10)</f>
        <v/>
      </c>
      <c r="G966" s="50">
        <f t="shared" si="59"/>
        <v>0</v>
      </c>
      <c r="H966" s="50">
        <f t="shared" si="60"/>
        <v>0</v>
      </c>
    </row>
    <row r="967" spans="1:8" x14ac:dyDescent="0.2">
      <c r="A967" s="37">
        <v>965</v>
      </c>
      <c r="C967" s="17">
        <f>+'Detalle Compras'!D967</f>
        <v>0</v>
      </c>
      <c r="D967" s="55" t="str">
        <f t="shared" si="58"/>
        <v/>
      </c>
      <c r="E967" s="14" t="str">
        <f>+IF(B967="","",'Detalle Compras'!S967+0)</f>
        <v/>
      </c>
      <c r="F967" s="14" t="str">
        <f>+IF(B967="","",EOMONTH('Detalle Compras'!S967,G967)+10)</f>
        <v/>
      </c>
      <c r="G967" s="50">
        <f t="shared" si="59"/>
        <v>0</v>
      </c>
      <c r="H967" s="50">
        <f t="shared" si="60"/>
        <v>0</v>
      </c>
    </row>
    <row r="968" spans="1:8" x14ac:dyDescent="0.2">
      <c r="A968" s="37">
        <v>966</v>
      </c>
      <c r="C968" s="17">
        <f>+'Detalle Compras'!D968</f>
        <v>0</v>
      </c>
      <c r="D968" s="55" t="str">
        <f t="shared" si="58"/>
        <v/>
      </c>
      <c r="E968" s="14" t="str">
        <f>+IF(B968="","",'Detalle Compras'!S968+0)</f>
        <v/>
      </c>
      <c r="F968" s="14" t="str">
        <f>+IF(B968="","",EOMONTH('Detalle Compras'!S968,G968)+10)</f>
        <v/>
      </c>
      <c r="G968" s="50">
        <f t="shared" si="59"/>
        <v>0</v>
      </c>
      <c r="H968" s="50">
        <f t="shared" si="60"/>
        <v>0</v>
      </c>
    </row>
    <row r="969" spans="1:8" x14ac:dyDescent="0.2">
      <c r="A969" s="37">
        <v>967</v>
      </c>
      <c r="C969" s="17" t="e">
        <f>+'Detalle Compras'!#REF!</f>
        <v>#REF!</v>
      </c>
      <c r="D969" s="55" t="str">
        <f t="shared" si="58"/>
        <v/>
      </c>
      <c r="E969" s="14" t="str">
        <f>+IF(B969="","",'Detalle Compras'!S969+0)</f>
        <v/>
      </c>
      <c r="F969" s="14" t="str">
        <f>+IF(B969="","",EOMONTH('Detalle Compras'!S969,G969)+10)</f>
        <v/>
      </c>
      <c r="G969" s="50">
        <f t="shared" si="59"/>
        <v>0</v>
      </c>
      <c r="H969" s="50">
        <f t="shared" si="60"/>
        <v>0</v>
      </c>
    </row>
    <row r="970" spans="1:8" x14ac:dyDescent="0.2">
      <c r="A970" s="37">
        <v>968</v>
      </c>
      <c r="C970" s="17" t="e">
        <f>+'Detalle Compras'!#REF!</f>
        <v>#REF!</v>
      </c>
      <c r="D970" s="55" t="str">
        <f t="shared" si="58"/>
        <v/>
      </c>
      <c r="E970" s="14" t="str">
        <f>+IF(B970="","",'Detalle Compras'!S970+0)</f>
        <v/>
      </c>
      <c r="F970" s="14" t="str">
        <f>+IF(B970="","",EOMONTH('Detalle Compras'!S970,G970)+10)</f>
        <v/>
      </c>
      <c r="G970" s="50">
        <f t="shared" si="59"/>
        <v>0</v>
      </c>
      <c r="H970" s="50">
        <f t="shared" si="60"/>
        <v>0</v>
      </c>
    </row>
    <row r="971" spans="1:8" x14ac:dyDescent="0.2">
      <c r="A971" s="37">
        <v>969</v>
      </c>
      <c r="C971" s="17" t="e">
        <f>+'Detalle Compras'!#REF!</f>
        <v>#REF!</v>
      </c>
      <c r="D971" s="55" t="str">
        <f t="shared" si="58"/>
        <v/>
      </c>
      <c r="E971" s="14" t="str">
        <f>+IF(B971="","",'Detalle Compras'!S971+0)</f>
        <v/>
      </c>
      <c r="F971" s="14" t="str">
        <f>+IF(B971="","",EOMONTH('Detalle Compras'!S971,G971)+10)</f>
        <v/>
      </c>
      <c r="G971" s="50">
        <f t="shared" si="59"/>
        <v>0</v>
      </c>
      <c r="H971" s="50">
        <f t="shared" si="60"/>
        <v>0</v>
      </c>
    </row>
    <row r="972" spans="1:8" x14ac:dyDescent="0.2">
      <c r="A972" s="37">
        <v>970</v>
      </c>
      <c r="C972" s="17" t="e">
        <f>+'Detalle Compras'!#REF!</f>
        <v>#REF!</v>
      </c>
      <c r="D972" s="55" t="str">
        <f t="shared" si="58"/>
        <v/>
      </c>
      <c r="E972" s="14" t="str">
        <f>+IF(B972="","",'Detalle Compras'!S972+0)</f>
        <v/>
      </c>
      <c r="F972" s="14" t="str">
        <f>+IF(B972="","",EOMONTH('Detalle Compras'!S972,G972)+10)</f>
        <v/>
      </c>
      <c r="G972" s="50">
        <f t="shared" si="59"/>
        <v>0</v>
      </c>
      <c r="H972" s="50">
        <f t="shared" si="60"/>
        <v>0</v>
      </c>
    </row>
    <row r="973" spans="1:8" x14ac:dyDescent="0.2">
      <c r="A973" s="37">
        <v>971</v>
      </c>
      <c r="C973" s="17" t="e">
        <f>+'Detalle Compras'!#REF!</f>
        <v>#REF!</v>
      </c>
      <c r="D973" s="55" t="str">
        <f t="shared" si="58"/>
        <v/>
      </c>
      <c r="E973" s="14" t="str">
        <f>+IF(B973="","",'Detalle Compras'!S973+0)</f>
        <v/>
      </c>
      <c r="F973" s="14" t="str">
        <f>+IF(B973="","",EOMONTH('Detalle Compras'!S973,G973)+10)</f>
        <v/>
      </c>
      <c r="G973" s="50">
        <f t="shared" si="59"/>
        <v>0</v>
      </c>
      <c r="H973" s="50">
        <f t="shared" si="60"/>
        <v>0</v>
      </c>
    </row>
    <row r="974" spans="1:8" x14ac:dyDescent="0.2">
      <c r="A974" s="37">
        <v>972</v>
      </c>
      <c r="C974" s="17" t="e">
        <f>+'Detalle Compras'!#REF!</f>
        <v>#REF!</v>
      </c>
      <c r="D974" s="55" t="str">
        <f t="shared" si="58"/>
        <v/>
      </c>
      <c r="E974" s="14" t="str">
        <f>+IF(B974="","",'Detalle Compras'!S974+0)</f>
        <v/>
      </c>
      <c r="F974" s="14" t="str">
        <f>+IF(B974="","",EOMONTH('Detalle Compras'!S974,G974)+10)</f>
        <v/>
      </c>
      <c r="G974" s="50">
        <f t="shared" si="59"/>
        <v>0</v>
      </c>
      <c r="H974" s="50">
        <f t="shared" si="60"/>
        <v>0</v>
      </c>
    </row>
    <row r="975" spans="1:8" x14ac:dyDescent="0.2">
      <c r="A975" s="37">
        <v>973</v>
      </c>
      <c r="C975" s="17" t="e">
        <f>+'Detalle Compras'!#REF!</f>
        <v>#REF!</v>
      </c>
      <c r="D975" s="55" t="str">
        <f t="shared" si="58"/>
        <v/>
      </c>
      <c r="E975" s="14" t="str">
        <f>+IF(B975="","",'Detalle Compras'!S975+0)</f>
        <v/>
      </c>
      <c r="F975" s="14" t="str">
        <f>+IF(B975="","",EOMONTH('Detalle Compras'!S975,G975)+10)</f>
        <v/>
      </c>
      <c r="G975" s="50">
        <f t="shared" si="59"/>
        <v>0</v>
      </c>
      <c r="H975" s="50">
        <f t="shared" si="60"/>
        <v>0</v>
      </c>
    </row>
    <row r="976" spans="1:8" x14ac:dyDescent="0.2">
      <c r="A976" s="37">
        <v>974</v>
      </c>
      <c r="C976" s="17" t="e">
        <f>+'Detalle Compras'!#REF!</f>
        <v>#REF!</v>
      </c>
      <c r="D976" s="55" t="str">
        <f t="shared" si="58"/>
        <v/>
      </c>
      <c r="E976" s="14" t="str">
        <f>+IF(B976="","",'Detalle Compras'!S976+0)</f>
        <v/>
      </c>
      <c r="F976" s="14" t="str">
        <f>+IF(B976="","",EOMONTH('Detalle Compras'!S976,G976)+10)</f>
        <v/>
      </c>
      <c r="G976" s="50">
        <f t="shared" si="59"/>
        <v>0</v>
      </c>
      <c r="H976" s="50">
        <f t="shared" si="60"/>
        <v>0</v>
      </c>
    </row>
    <row r="977" spans="1:8" x14ac:dyDescent="0.2">
      <c r="A977" s="37">
        <v>975</v>
      </c>
      <c r="C977" s="17" t="e">
        <f>+'Detalle Compras'!#REF!</f>
        <v>#REF!</v>
      </c>
      <c r="D977" s="55" t="str">
        <f t="shared" si="58"/>
        <v/>
      </c>
      <c r="E977" s="14" t="str">
        <f>+IF(B977="","",'Detalle Compras'!S977+0)</f>
        <v/>
      </c>
      <c r="F977" s="14" t="str">
        <f>+IF(B977="","",EOMONTH('Detalle Compras'!S977,G977)+10)</f>
        <v/>
      </c>
      <c r="G977" s="50">
        <f t="shared" si="59"/>
        <v>0</v>
      </c>
      <c r="H977" s="50">
        <f t="shared" si="60"/>
        <v>0</v>
      </c>
    </row>
    <row r="978" spans="1:8" x14ac:dyDescent="0.2">
      <c r="A978" s="37">
        <v>976</v>
      </c>
      <c r="C978" s="17" t="e">
        <f>+'Detalle Compras'!#REF!</f>
        <v>#REF!</v>
      </c>
      <c r="D978" s="55" t="str">
        <f t="shared" si="58"/>
        <v/>
      </c>
      <c r="E978" s="14" t="str">
        <f>+IF(B978="","",'Detalle Compras'!S978+0)</f>
        <v/>
      </c>
      <c r="F978" s="14" t="str">
        <f>+IF(B978="","",EOMONTH('Detalle Compras'!S978,G978)+10)</f>
        <v/>
      </c>
      <c r="G978" s="50">
        <f t="shared" si="59"/>
        <v>0</v>
      </c>
      <c r="H978" s="50">
        <f t="shared" si="60"/>
        <v>0</v>
      </c>
    </row>
    <row r="979" spans="1:8" x14ac:dyDescent="0.2">
      <c r="A979" s="37">
        <v>977</v>
      </c>
      <c r="C979" s="17" t="e">
        <f>+'Detalle Compras'!#REF!</f>
        <v>#REF!</v>
      </c>
      <c r="D979" s="55" t="str">
        <f t="shared" si="58"/>
        <v/>
      </c>
      <c r="E979" s="14" t="str">
        <f>+IF(B979="","",'Detalle Compras'!S979+0)</f>
        <v/>
      </c>
      <c r="F979" s="14" t="str">
        <f>+IF(B979="","",EOMONTH('Detalle Compras'!S979,G979)+10)</f>
        <v/>
      </c>
      <c r="G979" s="50">
        <f t="shared" si="59"/>
        <v>0</v>
      </c>
      <c r="H979" s="50">
        <f t="shared" si="60"/>
        <v>0</v>
      </c>
    </row>
    <row r="980" spans="1:8" x14ac:dyDescent="0.2">
      <c r="A980" s="37">
        <v>978</v>
      </c>
      <c r="C980" s="17" t="e">
        <f>+'Detalle Compras'!#REF!</f>
        <v>#REF!</v>
      </c>
      <c r="D980" s="55" t="str">
        <f t="shared" si="58"/>
        <v/>
      </c>
      <c r="E980" s="14" t="str">
        <f>+IF(B980="","",'Detalle Compras'!S980+0)</f>
        <v/>
      </c>
      <c r="F980" s="14" t="str">
        <f>+IF(B980="","",EOMONTH('Detalle Compras'!S980,G980)+10)</f>
        <v/>
      </c>
      <c r="G980" s="50">
        <f t="shared" si="59"/>
        <v>0</v>
      </c>
      <c r="H980" s="50">
        <f t="shared" si="60"/>
        <v>0</v>
      </c>
    </row>
    <row r="981" spans="1:8" x14ac:dyDescent="0.2">
      <c r="A981" s="37">
        <v>979</v>
      </c>
      <c r="C981" s="17" t="e">
        <f>+'Detalle Compras'!#REF!</f>
        <v>#REF!</v>
      </c>
      <c r="D981" s="55" t="str">
        <f t="shared" si="58"/>
        <v/>
      </c>
      <c r="E981" s="14" t="str">
        <f>+IF(B981="","",'Detalle Compras'!S981+0)</f>
        <v/>
      </c>
      <c r="F981" s="14" t="str">
        <f>+IF(B981="","",EOMONTH('Detalle Compras'!S981,G981)+10)</f>
        <v/>
      </c>
      <c r="G981" s="50">
        <f t="shared" si="59"/>
        <v>0</v>
      </c>
      <c r="H981" s="50">
        <f t="shared" si="60"/>
        <v>0</v>
      </c>
    </row>
    <row r="982" spans="1:8" x14ac:dyDescent="0.2">
      <c r="A982" s="37">
        <v>980</v>
      </c>
      <c r="C982" s="17" t="e">
        <f>+'Detalle Compras'!#REF!</f>
        <v>#REF!</v>
      </c>
      <c r="D982" s="55" t="str">
        <f t="shared" si="58"/>
        <v/>
      </c>
      <c r="E982" s="14" t="str">
        <f>+IF(B982="","",'Detalle Compras'!S982+0)</f>
        <v/>
      </c>
      <c r="F982" s="14" t="str">
        <f>+IF(B982="","",EOMONTH('Detalle Compras'!S982,G982)+10)</f>
        <v/>
      </c>
      <c r="G982" s="50">
        <f t="shared" si="59"/>
        <v>0</v>
      </c>
      <c r="H982" s="50">
        <f t="shared" si="60"/>
        <v>0</v>
      </c>
    </row>
    <row r="983" spans="1:8" x14ac:dyDescent="0.2">
      <c r="A983" s="37">
        <v>981</v>
      </c>
      <c r="C983" s="17" t="e">
        <f>+'Detalle Compras'!#REF!</f>
        <v>#REF!</v>
      </c>
      <c r="D983" s="55" t="str">
        <f t="shared" si="58"/>
        <v/>
      </c>
      <c r="E983" s="14" t="str">
        <f>+IF(B983="","",'Detalle Compras'!S983+0)</f>
        <v/>
      </c>
      <c r="F983" s="14" t="str">
        <f>+IF(B983="","",EOMONTH('Detalle Compras'!S983,G983)+10)</f>
        <v/>
      </c>
      <c r="G983" s="50">
        <f t="shared" si="59"/>
        <v>0</v>
      </c>
      <c r="H983" s="50">
        <f t="shared" si="60"/>
        <v>0</v>
      </c>
    </row>
    <row r="984" spans="1:8" x14ac:dyDescent="0.2">
      <c r="A984" s="37">
        <v>982</v>
      </c>
      <c r="C984" s="17" t="e">
        <f>+'Detalle Compras'!#REF!</f>
        <v>#REF!</v>
      </c>
      <c r="D984" s="55" t="str">
        <f t="shared" si="58"/>
        <v/>
      </c>
      <c r="E984" s="14" t="str">
        <f>+IF(B984="","",'Detalle Compras'!S984+0)</f>
        <v/>
      </c>
      <c r="F984" s="14" t="str">
        <f>+IF(B984="","",EOMONTH('Detalle Compras'!S984,G984)+10)</f>
        <v/>
      </c>
      <c r="G984" s="50">
        <f t="shared" si="59"/>
        <v>0</v>
      </c>
      <c r="H984" s="50">
        <f t="shared" si="60"/>
        <v>0</v>
      </c>
    </row>
    <row r="985" spans="1:8" x14ac:dyDescent="0.2">
      <c r="A985" s="37">
        <v>983</v>
      </c>
      <c r="C985" s="17" t="e">
        <f>+'Detalle Compras'!#REF!</f>
        <v>#REF!</v>
      </c>
      <c r="D985" s="55" t="str">
        <f t="shared" si="58"/>
        <v/>
      </c>
      <c r="E985" s="14" t="str">
        <f>+IF(B985="","",'Detalle Compras'!S985+0)</f>
        <v/>
      </c>
      <c r="F985" s="14" t="str">
        <f>+IF(B985="","",EOMONTH('Detalle Compras'!S985,G985)+10)</f>
        <v/>
      </c>
      <c r="G985" s="50">
        <f t="shared" si="59"/>
        <v>0</v>
      </c>
      <c r="H985" s="50">
        <f t="shared" si="60"/>
        <v>0</v>
      </c>
    </row>
    <row r="986" spans="1:8" x14ac:dyDescent="0.2">
      <c r="A986" s="37">
        <v>984</v>
      </c>
      <c r="C986" s="17" t="e">
        <f>+'Detalle Compras'!#REF!</f>
        <v>#REF!</v>
      </c>
      <c r="D986" s="55" t="str">
        <f t="shared" si="58"/>
        <v/>
      </c>
      <c r="E986" s="14" t="str">
        <f>+IF(B986="","",'Detalle Compras'!S986+0)</f>
        <v/>
      </c>
      <c r="F986" s="14" t="str">
        <f>+IF(B986="","",EOMONTH('Detalle Compras'!S986,G986)+10)</f>
        <v/>
      </c>
      <c r="G986" s="50">
        <f t="shared" si="59"/>
        <v>0</v>
      </c>
      <c r="H986" s="50">
        <f t="shared" si="60"/>
        <v>0</v>
      </c>
    </row>
    <row r="987" spans="1:8" x14ac:dyDescent="0.2">
      <c r="A987" s="37">
        <v>985</v>
      </c>
      <c r="C987" s="17" t="e">
        <f>+'Detalle Compras'!#REF!</f>
        <v>#REF!</v>
      </c>
      <c r="D987" s="55" t="str">
        <f t="shared" si="58"/>
        <v/>
      </c>
      <c r="E987" s="14" t="str">
        <f>+IF(B987="","",'Detalle Compras'!S987+0)</f>
        <v/>
      </c>
      <c r="F987" s="14" t="str">
        <f>+IF(B987="","",EOMONTH('Detalle Compras'!S987,G987)+10)</f>
        <v/>
      </c>
      <c r="G987" s="50">
        <f t="shared" si="59"/>
        <v>0</v>
      </c>
      <c r="H987" s="50">
        <f t="shared" si="60"/>
        <v>0</v>
      </c>
    </row>
    <row r="988" spans="1:8" x14ac:dyDescent="0.2">
      <c r="A988" s="37">
        <v>986</v>
      </c>
      <c r="C988" s="17" t="e">
        <f>+'Detalle Compras'!#REF!</f>
        <v>#REF!</v>
      </c>
      <c r="D988" s="55" t="str">
        <f t="shared" si="58"/>
        <v/>
      </c>
      <c r="E988" s="14" t="str">
        <f>+IF(B988="","",'Detalle Compras'!S988+0)</f>
        <v/>
      </c>
      <c r="F988" s="14" t="str">
        <f>+IF(B988="","",EOMONTH('Detalle Compras'!S988,G988)+10)</f>
        <v/>
      </c>
      <c r="G988" s="50">
        <f t="shared" si="59"/>
        <v>0</v>
      </c>
      <c r="H988" s="50">
        <f t="shared" si="60"/>
        <v>0</v>
      </c>
    </row>
    <row r="989" spans="1:8" x14ac:dyDescent="0.2">
      <c r="A989" s="37">
        <v>987</v>
      </c>
      <c r="C989" s="17" t="e">
        <f>+'Detalle Compras'!#REF!</f>
        <v>#REF!</v>
      </c>
      <c r="D989" s="55" t="str">
        <f t="shared" si="58"/>
        <v/>
      </c>
      <c r="E989" s="14" t="str">
        <f>+IF(B989="","",'Detalle Compras'!S989+0)</f>
        <v/>
      </c>
      <c r="F989" s="14" t="str">
        <f>+IF(B989="","",EOMONTH('Detalle Compras'!S989,G989)+10)</f>
        <v/>
      </c>
      <c r="G989" s="50">
        <f t="shared" si="59"/>
        <v>0</v>
      </c>
      <c r="H989" s="50">
        <f t="shared" si="60"/>
        <v>0</v>
      </c>
    </row>
    <row r="990" spans="1:8" x14ac:dyDescent="0.2">
      <c r="A990" s="37">
        <v>988</v>
      </c>
      <c r="C990" s="17" t="e">
        <f>+'Detalle Compras'!#REF!</f>
        <v>#REF!</v>
      </c>
      <c r="D990" s="55" t="str">
        <f t="shared" si="58"/>
        <v/>
      </c>
      <c r="E990" s="14" t="str">
        <f>+IF(B990="","",'Detalle Compras'!S990+0)</f>
        <v/>
      </c>
      <c r="F990" s="14" t="str">
        <f>+IF(B990="","",EOMONTH('Detalle Compras'!S990,G990)+10)</f>
        <v/>
      </c>
      <c r="G990" s="50">
        <f t="shared" si="59"/>
        <v>0</v>
      </c>
      <c r="H990" s="50">
        <f t="shared" si="60"/>
        <v>0</v>
      </c>
    </row>
    <row r="991" spans="1:8" x14ac:dyDescent="0.2">
      <c r="A991" s="37">
        <v>989</v>
      </c>
      <c r="C991" s="17" t="e">
        <f>+'Detalle Compras'!#REF!</f>
        <v>#REF!</v>
      </c>
      <c r="D991" s="55" t="str">
        <f t="shared" si="58"/>
        <v/>
      </c>
      <c r="E991" s="14" t="str">
        <f>+IF(B991="","",'Detalle Compras'!S991+0)</f>
        <v/>
      </c>
      <c r="F991" s="14" t="str">
        <f>+IF(B991="","",EOMONTH('Detalle Compras'!S991,G991)+10)</f>
        <v/>
      </c>
      <c r="G991" s="50">
        <f t="shared" si="59"/>
        <v>0</v>
      </c>
      <c r="H991" s="50">
        <f t="shared" si="60"/>
        <v>0</v>
      </c>
    </row>
    <row r="992" spans="1:8" x14ac:dyDescent="0.2">
      <c r="A992" s="37">
        <v>990</v>
      </c>
      <c r="C992" s="17" t="e">
        <f>+'Detalle Compras'!#REF!</f>
        <v>#REF!</v>
      </c>
      <c r="D992" s="55" t="str">
        <f t="shared" si="58"/>
        <v/>
      </c>
      <c r="E992" s="14" t="str">
        <f>+IF(B992="","",'Detalle Compras'!S992+0)</f>
        <v/>
      </c>
      <c r="F992" s="14" t="str">
        <f>+IF(B992="","",EOMONTH('Detalle Compras'!S992,G992)+10)</f>
        <v/>
      </c>
      <c r="G992" s="50">
        <f t="shared" si="59"/>
        <v>0</v>
      </c>
      <c r="H992" s="50">
        <f t="shared" si="60"/>
        <v>0</v>
      </c>
    </row>
    <row r="993" spans="1:8" x14ac:dyDescent="0.2">
      <c r="A993" s="37">
        <v>991</v>
      </c>
      <c r="C993" s="17" t="e">
        <f>+'Detalle Compras'!#REF!</f>
        <v>#REF!</v>
      </c>
      <c r="D993" s="55" t="str">
        <f t="shared" si="58"/>
        <v/>
      </c>
      <c r="E993" s="14" t="str">
        <f>+IF(B993="","",'Detalle Compras'!S993+0)</f>
        <v/>
      </c>
      <c r="F993" s="14" t="str">
        <f>+IF(B993="","",EOMONTH('Detalle Compras'!S993,G993)+10)</f>
        <v/>
      </c>
      <c r="G993" s="50">
        <f t="shared" si="59"/>
        <v>0</v>
      </c>
      <c r="H993" s="50">
        <f t="shared" si="60"/>
        <v>0</v>
      </c>
    </row>
    <row r="994" spans="1:8" x14ac:dyDescent="0.2">
      <c r="A994" s="37">
        <v>992</v>
      </c>
      <c r="C994" s="17" t="e">
        <f>+'Detalle Compras'!#REF!</f>
        <v>#REF!</v>
      </c>
      <c r="D994" s="55" t="str">
        <f t="shared" si="58"/>
        <v/>
      </c>
      <c r="E994" s="14" t="str">
        <f>+IF(B994="","",'Detalle Compras'!S994+0)</f>
        <v/>
      </c>
      <c r="F994" s="14" t="str">
        <f>+IF(B994="","",EOMONTH('Detalle Compras'!S994,G994)+10)</f>
        <v/>
      </c>
      <c r="G994" s="50">
        <f t="shared" si="59"/>
        <v>0</v>
      </c>
      <c r="H994" s="50">
        <f t="shared" si="60"/>
        <v>0</v>
      </c>
    </row>
    <row r="995" spans="1:8" x14ac:dyDescent="0.2">
      <c r="A995" s="37">
        <v>993</v>
      </c>
      <c r="C995" s="17" t="e">
        <f>+'Detalle Compras'!#REF!</f>
        <v>#REF!</v>
      </c>
      <c r="D995" s="55" t="str">
        <f t="shared" si="58"/>
        <v/>
      </c>
      <c r="E995" s="14" t="str">
        <f>+IF(B995="","",'Detalle Compras'!S995+0)</f>
        <v/>
      </c>
      <c r="F995" s="14" t="str">
        <f>+IF(B995="","",EOMONTH('Detalle Compras'!S995,G995)+10)</f>
        <v/>
      </c>
      <c r="G995" s="50">
        <f t="shared" si="59"/>
        <v>0</v>
      </c>
      <c r="H995" s="50">
        <f t="shared" si="60"/>
        <v>0</v>
      </c>
    </row>
    <row r="996" spans="1:8" x14ac:dyDescent="0.2">
      <c r="A996" s="37">
        <v>994</v>
      </c>
      <c r="C996" s="17" t="e">
        <f>+'Detalle Compras'!#REF!</f>
        <v>#REF!</v>
      </c>
      <c r="D996" s="55" t="str">
        <f t="shared" si="58"/>
        <v/>
      </c>
      <c r="E996" s="14" t="str">
        <f>+IF(B996="","",'Detalle Compras'!S996+0)</f>
        <v/>
      </c>
      <c r="F996" s="14" t="str">
        <f>+IF(B996="","",EOMONTH('Detalle Compras'!S996,G996)+10)</f>
        <v/>
      </c>
      <c r="G996" s="50">
        <f t="shared" si="59"/>
        <v>0</v>
      </c>
      <c r="H996" s="50">
        <f t="shared" si="60"/>
        <v>0</v>
      </c>
    </row>
    <row r="997" spans="1:8" x14ac:dyDescent="0.2">
      <c r="A997" s="37">
        <v>995</v>
      </c>
      <c r="C997" s="17" t="e">
        <f>+'Detalle Compras'!#REF!</f>
        <v>#REF!</v>
      </c>
      <c r="D997" s="55" t="str">
        <f t="shared" si="58"/>
        <v/>
      </c>
      <c r="E997" s="14" t="str">
        <f>+IF(B997="","",'Detalle Compras'!S997+0)</f>
        <v/>
      </c>
      <c r="F997" s="14" t="str">
        <f>+IF(B997="","",EOMONTH('Detalle Compras'!S997,G997)+10)</f>
        <v/>
      </c>
      <c r="G997" s="50">
        <f t="shared" si="59"/>
        <v>0</v>
      </c>
      <c r="H997" s="50">
        <f t="shared" si="60"/>
        <v>0</v>
      </c>
    </row>
    <row r="998" spans="1:8" x14ac:dyDescent="0.2">
      <c r="A998" s="37">
        <v>996</v>
      </c>
      <c r="C998" s="17" t="e">
        <f>+'Detalle Compras'!#REF!</f>
        <v>#REF!</v>
      </c>
      <c r="D998" s="55" t="str">
        <f t="shared" si="58"/>
        <v/>
      </c>
      <c r="E998" s="14" t="str">
        <f>+IF(B998="","",'Detalle Compras'!S998+0)</f>
        <v/>
      </c>
      <c r="F998" s="14" t="str">
        <f>+IF(B998="","",EOMONTH('Detalle Compras'!S998,G998)+10)</f>
        <v/>
      </c>
      <c r="G998" s="50">
        <f t="shared" si="59"/>
        <v>0</v>
      </c>
      <c r="H998" s="50">
        <f t="shared" si="60"/>
        <v>0</v>
      </c>
    </row>
    <row r="999" spans="1:8" x14ac:dyDescent="0.2">
      <c r="A999" s="37">
        <v>997</v>
      </c>
      <c r="C999" s="17" t="e">
        <f>+'Detalle Compras'!#REF!</f>
        <v>#REF!</v>
      </c>
      <c r="D999" s="55" t="str">
        <f t="shared" si="58"/>
        <v/>
      </c>
      <c r="E999" s="14" t="str">
        <f>+IF(B999="","",'Detalle Compras'!S999+0)</f>
        <v/>
      </c>
      <c r="F999" s="14" t="str">
        <f>+IF(B999="","",EOMONTH('Detalle Compras'!S999,G999)+10)</f>
        <v/>
      </c>
      <c r="G999" s="50">
        <f t="shared" si="59"/>
        <v>0</v>
      </c>
      <c r="H999" s="50">
        <f t="shared" si="60"/>
        <v>0</v>
      </c>
    </row>
    <row r="1000" spans="1:8" x14ac:dyDescent="0.2">
      <c r="A1000" s="37">
        <v>998</v>
      </c>
      <c r="C1000" s="17" t="e">
        <f>+'Detalle Compras'!#REF!</f>
        <v>#REF!</v>
      </c>
      <c r="D1000" s="55" t="str">
        <f t="shared" si="58"/>
        <v/>
      </c>
      <c r="E1000" s="14" t="str">
        <f>+IF(B1000="","",'Detalle Compras'!S1000+0)</f>
        <v/>
      </c>
      <c r="F1000" s="14" t="str">
        <f>+IF(B1000="","",EOMONTH('Detalle Compras'!S1000,G1000)+10)</f>
        <v/>
      </c>
      <c r="G1000" s="50">
        <f t="shared" si="59"/>
        <v>0</v>
      </c>
      <c r="H1000" s="50">
        <f t="shared" si="60"/>
        <v>0</v>
      </c>
    </row>
    <row r="1001" spans="1:8" x14ac:dyDescent="0.2">
      <c r="A1001" s="37">
        <v>999</v>
      </c>
      <c r="C1001" s="17" t="e">
        <f>+'Detalle Compras'!#REF!</f>
        <v>#REF!</v>
      </c>
      <c r="D1001" s="55" t="str">
        <f t="shared" si="58"/>
        <v/>
      </c>
      <c r="E1001" s="14" t="str">
        <f>+IF(B1001="","",'Detalle Compras'!S1001+0)</f>
        <v/>
      </c>
      <c r="F1001" s="14" t="str">
        <f>+IF(B1001="","",EOMONTH('Detalle Compras'!S1001,G1001)+10)</f>
        <v/>
      </c>
      <c r="G1001" s="50">
        <f t="shared" si="59"/>
        <v>0</v>
      </c>
      <c r="H1001" s="50">
        <f t="shared" si="60"/>
        <v>0</v>
      </c>
    </row>
    <row r="1002" spans="1:8" x14ac:dyDescent="0.2">
      <c r="A1002" s="37">
        <v>1000</v>
      </c>
      <c r="C1002" s="17" t="e">
        <f>+'Detalle Compras'!#REF!</f>
        <v>#REF!</v>
      </c>
      <c r="D1002" s="55" t="str">
        <f t="shared" si="58"/>
        <v/>
      </c>
      <c r="E1002" s="14" t="str">
        <f>+IF(B1002="","",'Detalle Compras'!S1002+0)</f>
        <v/>
      </c>
      <c r="F1002" s="14" t="str">
        <f>+IF(B1002="","",EOMONTH('Detalle Compras'!S1002,G1002)+10)</f>
        <v/>
      </c>
      <c r="G1002" s="50">
        <f t="shared" si="59"/>
        <v>0</v>
      </c>
      <c r="H1002" s="50">
        <f t="shared" si="60"/>
        <v>0</v>
      </c>
    </row>
    <row r="1003" spans="1:8" x14ac:dyDescent="0.2">
      <c r="A1003" s="37">
        <v>1001</v>
      </c>
      <c r="C1003" s="17" t="e">
        <f>+'Detalle Compras'!#REF!</f>
        <v>#REF!</v>
      </c>
      <c r="D1003" s="55" t="str">
        <f t="shared" si="58"/>
        <v/>
      </c>
      <c r="E1003" s="14" t="str">
        <f>+IF(B1003="","",'Detalle Compras'!S1003+0)</f>
        <v/>
      </c>
      <c r="F1003" s="14" t="str">
        <f>+IF(B1003="","",EOMONTH('Detalle Compras'!S1003,G1003)+10)</f>
        <v/>
      </c>
      <c r="G1003" s="50">
        <f t="shared" si="59"/>
        <v>0</v>
      </c>
      <c r="H1003" s="50">
        <f t="shared" si="60"/>
        <v>0</v>
      </c>
    </row>
    <row r="1004" spans="1:8" x14ac:dyDescent="0.2">
      <c r="A1004" s="37">
        <v>1002</v>
      </c>
      <c r="C1004" s="17" t="e">
        <f>+'Detalle Compras'!#REF!</f>
        <v>#REF!</v>
      </c>
      <c r="D1004" s="55" t="str">
        <f t="shared" si="58"/>
        <v/>
      </c>
      <c r="E1004" s="14" t="str">
        <f>+IF(B1004="","",'Detalle Compras'!S1004+0)</f>
        <v/>
      </c>
      <c r="F1004" s="14" t="str">
        <f>+IF(B1004="","",EOMONTH('Detalle Compras'!S1004,G1004)+10)</f>
        <v/>
      </c>
      <c r="G1004" s="50">
        <f t="shared" si="59"/>
        <v>0</v>
      </c>
      <c r="H1004" s="50">
        <f t="shared" si="60"/>
        <v>0</v>
      </c>
    </row>
    <row r="1005" spans="1:8" x14ac:dyDescent="0.2">
      <c r="A1005" s="37">
        <v>1003</v>
      </c>
      <c r="C1005" s="17" t="e">
        <f>+'Detalle Compras'!#REF!</f>
        <v>#REF!</v>
      </c>
      <c r="D1005" s="55" t="str">
        <f t="shared" si="58"/>
        <v/>
      </c>
      <c r="E1005" s="14" t="str">
        <f>+IF(B1005="","",'Detalle Compras'!S1005+0)</f>
        <v/>
      </c>
      <c r="F1005" s="14" t="str">
        <f>+IF(B1005="","",EOMONTH('Detalle Compras'!S1005,G1005)+10)</f>
        <v/>
      </c>
      <c r="G1005" s="50">
        <f t="shared" si="59"/>
        <v>0</v>
      </c>
      <c r="H1005" s="50">
        <f t="shared" si="60"/>
        <v>0</v>
      </c>
    </row>
    <row r="1006" spans="1:8" x14ac:dyDescent="0.2">
      <c r="A1006" s="37">
        <v>1004</v>
      </c>
      <c r="C1006" s="17" t="e">
        <f>+'Detalle Compras'!#REF!</f>
        <v>#REF!</v>
      </c>
      <c r="D1006" s="55" t="str">
        <f t="shared" si="58"/>
        <v/>
      </c>
      <c r="E1006" s="14" t="str">
        <f>+IF(B1006="","",'Detalle Compras'!S1006+0)</f>
        <v/>
      </c>
      <c r="F1006" s="14" t="str">
        <f>+IF(B1006="","",EOMONTH('Detalle Compras'!S1006,G1006)+10)</f>
        <v/>
      </c>
      <c r="G1006" s="50">
        <f t="shared" si="59"/>
        <v>0</v>
      </c>
      <c r="H1006" s="50">
        <f t="shared" si="60"/>
        <v>0</v>
      </c>
    </row>
    <row r="1007" spans="1:8" x14ac:dyDescent="0.2">
      <c r="A1007" s="37">
        <v>1005</v>
      </c>
      <c r="C1007" s="17" t="e">
        <f>+'Detalle Compras'!#REF!</f>
        <v>#REF!</v>
      </c>
      <c r="D1007" s="55" t="str">
        <f t="shared" si="58"/>
        <v/>
      </c>
      <c r="E1007" s="14" t="str">
        <f>+IF(B1007="","",'Detalle Compras'!S1007+0)</f>
        <v/>
      </c>
      <c r="F1007" s="14" t="str">
        <f>+IF(B1007="","",EOMONTH('Detalle Compras'!S1007,G1007)+10)</f>
        <v/>
      </c>
      <c r="G1007" s="50">
        <f t="shared" si="59"/>
        <v>0</v>
      </c>
      <c r="H1007" s="50">
        <f t="shared" si="60"/>
        <v>0</v>
      </c>
    </row>
    <row r="1008" spans="1:8" x14ac:dyDescent="0.2">
      <c r="A1008" s="37">
        <v>1006</v>
      </c>
      <c r="C1008" s="17" t="e">
        <f>+'Detalle Compras'!#REF!</f>
        <v>#REF!</v>
      </c>
      <c r="D1008" s="55" t="str">
        <f t="shared" si="58"/>
        <v/>
      </c>
      <c r="E1008" s="14" t="str">
        <f>+IF(B1008="","",'Detalle Compras'!S1008+0)</f>
        <v/>
      </c>
      <c r="F1008" s="14" t="str">
        <f>+IF(B1008="","",EOMONTH('Detalle Compras'!S1008,G1008)+10)</f>
        <v/>
      </c>
      <c r="G1008" s="50">
        <f t="shared" si="59"/>
        <v>0</v>
      </c>
      <c r="H1008" s="50">
        <f t="shared" si="60"/>
        <v>0</v>
      </c>
    </row>
    <row r="1009" spans="1:8" x14ac:dyDescent="0.2">
      <c r="A1009" s="37">
        <v>1007</v>
      </c>
      <c r="C1009" s="17" t="e">
        <f>+'Detalle Compras'!#REF!</f>
        <v>#REF!</v>
      </c>
      <c r="D1009" s="55" t="str">
        <f t="shared" si="58"/>
        <v/>
      </c>
      <c r="E1009" s="14" t="str">
        <f>+IF(B1009="","",'Detalle Compras'!S1009+0)</f>
        <v/>
      </c>
      <c r="F1009" s="14" t="str">
        <f>+IF(B1009="","",EOMONTH('Detalle Compras'!S1009,G1009)+10)</f>
        <v/>
      </c>
      <c r="G1009" s="50">
        <f t="shared" si="59"/>
        <v>0</v>
      </c>
      <c r="H1009" s="50">
        <f t="shared" si="60"/>
        <v>0</v>
      </c>
    </row>
    <row r="1010" spans="1:8" x14ac:dyDescent="0.2">
      <c r="A1010" s="37">
        <v>1008</v>
      </c>
      <c r="C1010" s="17" t="e">
        <f>+'Detalle Compras'!#REF!</f>
        <v>#REF!</v>
      </c>
      <c r="D1010" s="55" t="str">
        <f t="shared" si="58"/>
        <v/>
      </c>
      <c r="E1010" s="14" t="str">
        <f>+IF(B1010="","",'Detalle Compras'!S1010+0)</f>
        <v/>
      </c>
      <c r="F1010" s="14" t="str">
        <f>+IF(B1010="","",EOMONTH('Detalle Compras'!S1010,G1010)+10)</f>
        <v/>
      </c>
      <c r="G1010" s="50">
        <f t="shared" si="59"/>
        <v>0</v>
      </c>
      <c r="H1010" s="50">
        <f t="shared" si="60"/>
        <v>0</v>
      </c>
    </row>
    <row r="1011" spans="1:8" x14ac:dyDescent="0.2">
      <c r="A1011" s="37">
        <v>1009</v>
      </c>
      <c r="C1011" s="17" t="e">
        <f>+'Detalle Compras'!#REF!</f>
        <v>#REF!</v>
      </c>
      <c r="D1011" s="55" t="str">
        <f t="shared" si="58"/>
        <v/>
      </c>
      <c r="E1011" s="14" t="str">
        <f>+IF(B1011="","",'Detalle Compras'!S1011+0)</f>
        <v/>
      </c>
      <c r="F1011" s="14" t="str">
        <f>+IF(B1011="","",EOMONTH('Detalle Compras'!S1011,G1011)+10)</f>
        <v/>
      </c>
      <c r="G1011" s="50">
        <f t="shared" si="59"/>
        <v>0</v>
      </c>
      <c r="H1011" s="50">
        <f t="shared" si="60"/>
        <v>0</v>
      </c>
    </row>
    <row r="1012" spans="1:8" x14ac:dyDescent="0.2">
      <c r="A1012" s="37">
        <v>1010</v>
      </c>
      <c r="C1012" s="17" t="e">
        <f>+'Detalle Compras'!#REF!</f>
        <v>#REF!</v>
      </c>
      <c r="D1012" s="55" t="str">
        <f t="shared" si="58"/>
        <v/>
      </c>
      <c r="E1012" s="14" t="str">
        <f>+IF(B1012="","",'Detalle Compras'!S1012+0)</f>
        <v/>
      </c>
      <c r="F1012" s="14" t="str">
        <f>+IF(B1012="","",EOMONTH('Detalle Compras'!S1012,G1012)+10)</f>
        <v/>
      </c>
      <c r="G1012" s="50">
        <f t="shared" si="59"/>
        <v>0</v>
      </c>
      <c r="H1012" s="50">
        <f t="shared" si="60"/>
        <v>0</v>
      </c>
    </row>
    <row r="1013" spans="1:8" x14ac:dyDescent="0.2">
      <c r="A1013" s="37">
        <v>1011</v>
      </c>
      <c r="C1013" s="17" t="e">
        <f>+'Detalle Compras'!#REF!</f>
        <v>#REF!</v>
      </c>
      <c r="D1013" s="55" t="str">
        <f t="shared" si="58"/>
        <v/>
      </c>
      <c r="E1013" s="14" t="str">
        <f>+IF(B1013="","",'Detalle Compras'!S1013+0)</f>
        <v/>
      </c>
      <c r="F1013" s="14" t="str">
        <f>+IF(B1013="","",EOMONTH('Detalle Compras'!S1013,G1013)+10)</f>
        <v/>
      </c>
      <c r="G1013" s="50">
        <f t="shared" si="59"/>
        <v>0</v>
      </c>
      <c r="H1013" s="50">
        <f t="shared" si="60"/>
        <v>0</v>
      </c>
    </row>
    <row r="1014" spans="1:8" x14ac:dyDescent="0.2">
      <c r="A1014" s="37">
        <v>1012</v>
      </c>
      <c r="C1014" s="17" t="e">
        <f>+'Detalle Compras'!#REF!</f>
        <v>#REF!</v>
      </c>
      <c r="D1014" s="55" t="str">
        <f t="shared" si="58"/>
        <v/>
      </c>
      <c r="E1014" s="14" t="str">
        <f>+IF(B1014="","",'Detalle Compras'!S1014+0)</f>
        <v/>
      </c>
      <c r="F1014" s="14" t="str">
        <f>+IF(B1014="","",EOMONTH('Detalle Compras'!S1014,G1014)+10)</f>
        <v/>
      </c>
      <c r="G1014" s="50">
        <f t="shared" si="59"/>
        <v>0</v>
      </c>
      <c r="H1014" s="50">
        <f t="shared" si="60"/>
        <v>0</v>
      </c>
    </row>
    <row r="1015" spans="1:8" x14ac:dyDescent="0.2">
      <c r="A1015" s="37">
        <v>1013</v>
      </c>
      <c r="C1015" s="17" t="e">
        <f>+'Detalle Compras'!#REF!</f>
        <v>#REF!</v>
      </c>
      <c r="D1015" s="55" t="str">
        <f t="shared" si="58"/>
        <v/>
      </c>
      <c r="E1015" s="14" t="str">
        <f>+IF(B1015="","",'Detalle Compras'!S1015+0)</f>
        <v/>
      </c>
      <c r="F1015" s="14" t="str">
        <f>+IF(B1015="","",EOMONTH('Detalle Compras'!S1015,G1015)+10)</f>
        <v/>
      </c>
      <c r="G1015" s="50">
        <f t="shared" si="59"/>
        <v>0</v>
      </c>
      <c r="H1015" s="50">
        <f t="shared" si="60"/>
        <v>0</v>
      </c>
    </row>
    <row r="1016" spans="1:8" x14ac:dyDescent="0.2">
      <c r="A1016" s="37">
        <v>1014</v>
      </c>
      <c r="C1016" s="17" t="e">
        <f>+'Detalle Compras'!#REF!</f>
        <v>#REF!</v>
      </c>
      <c r="D1016" s="55" t="str">
        <f t="shared" si="58"/>
        <v/>
      </c>
      <c r="E1016" s="14" t="str">
        <f>+IF(B1016="","",'Detalle Compras'!S1016+0)</f>
        <v/>
      </c>
      <c r="F1016" s="14" t="str">
        <f>+IF(B1016="","",EOMONTH('Detalle Compras'!S1016,G1016)+10)</f>
        <v/>
      </c>
      <c r="G1016" s="50">
        <f t="shared" si="59"/>
        <v>0</v>
      </c>
      <c r="H1016" s="50">
        <f t="shared" si="60"/>
        <v>0</v>
      </c>
    </row>
    <row r="1017" spans="1:8" x14ac:dyDescent="0.2">
      <c r="A1017" s="37">
        <v>1015</v>
      </c>
      <c r="C1017" s="17" t="e">
        <f>+'Detalle Compras'!#REF!</f>
        <v>#REF!</v>
      </c>
      <c r="D1017" s="55" t="str">
        <f t="shared" si="58"/>
        <v/>
      </c>
      <c r="E1017" s="14" t="str">
        <f>+IF(B1017="","",'Detalle Compras'!S1017+0)</f>
        <v/>
      </c>
      <c r="F1017" s="14" t="str">
        <f>+IF(B1017="","",EOMONTH('Detalle Compras'!S1017,G1017)+10)</f>
        <v/>
      </c>
      <c r="G1017" s="50">
        <f t="shared" si="59"/>
        <v>0</v>
      </c>
      <c r="H1017" s="50">
        <f t="shared" si="60"/>
        <v>0</v>
      </c>
    </row>
    <row r="1018" spans="1:8" x14ac:dyDescent="0.2">
      <c r="A1018" s="37">
        <v>1016</v>
      </c>
      <c r="C1018" s="17" t="e">
        <f>+'Detalle Compras'!#REF!</f>
        <v>#REF!</v>
      </c>
      <c r="D1018" s="55" t="str">
        <f t="shared" si="58"/>
        <v/>
      </c>
      <c r="E1018" s="14" t="str">
        <f>+IF(B1018="","",'Detalle Compras'!S1018+0)</f>
        <v/>
      </c>
      <c r="F1018" s="14" t="str">
        <f>+IF(B1018="","",EOMONTH('Detalle Compras'!S1018,G1018)+10)</f>
        <v/>
      </c>
      <c r="G1018" s="50">
        <f t="shared" si="59"/>
        <v>0</v>
      </c>
      <c r="H1018" s="50">
        <f t="shared" si="60"/>
        <v>0</v>
      </c>
    </row>
    <row r="1019" spans="1:8" x14ac:dyDescent="0.2">
      <c r="A1019" s="37">
        <v>1017</v>
      </c>
      <c r="C1019" s="17" t="e">
        <f>+'Detalle Compras'!#REF!</f>
        <v>#REF!</v>
      </c>
      <c r="D1019" s="55" t="str">
        <f t="shared" si="58"/>
        <v/>
      </c>
      <c r="E1019" s="14" t="str">
        <f>+IF(B1019="","",'Detalle Compras'!S1019+0)</f>
        <v/>
      </c>
      <c r="F1019" s="14" t="str">
        <f>+IF(B1019="","",EOMONTH('Detalle Compras'!S1019,G1019)+10)</f>
        <v/>
      </c>
      <c r="G1019" s="50">
        <f t="shared" si="59"/>
        <v>0</v>
      </c>
      <c r="H1019" s="50">
        <f t="shared" si="60"/>
        <v>0</v>
      </c>
    </row>
    <row r="1020" spans="1:8" x14ac:dyDescent="0.2">
      <c r="A1020" s="37">
        <v>1018</v>
      </c>
      <c r="C1020" s="17" t="e">
        <f>+'Detalle Compras'!#REF!</f>
        <v>#REF!</v>
      </c>
      <c r="D1020" s="55" t="str">
        <f t="shared" si="58"/>
        <v/>
      </c>
      <c r="E1020" s="14" t="str">
        <f>+IF(B1020="","",'Detalle Compras'!S1020+0)</f>
        <v/>
      </c>
      <c r="F1020" s="14" t="str">
        <f>+IF(B1020="","",EOMONTH('Detalle Compras'!S1020,G1020)+10)</f>
        <v/>
      </c>
      <c r="G1020" s="50">
        <f t="shared" si="59"/>
        <v>0</v>
      </c>
      <c r="H1020" s="50">
        <f t="shared" si="60"/>
        <v>0</v>
      </c>
    </row>
    <row r="1021" spans="1:8" x14ac:dyDescent="0.2">
      <c r="A1021" s="37">
        <v>1019</v>
      </c>
      <c r="C1021" s="17" t="e">
        <f>+'Detalle Compras'!#REF!</f>
        <v>#REF!</v>
      </c>
      <c r="D1021" s="55" t="str">
        <f t="shared" si="58"/>
        <v/>
      </c>
      <c r="E1021" s="14" t="str">
        <f>+IF(B1021="","",'Detalle Compras'!S1021+0)</f>
        <v/>
      </c>
      <c r="F1021" s="14" t="str">
        <f>+IF(B1021="","",EOMONTH('Detalle Compras'!S1021,G1021)+10)</f>
        <v/>
      </c>
      <c r="G1021" s="50">
        <f t="shared" si="59"/>
        <v>0</v>
      </c>
      <c r="H1021" s="50">
        <f t="shared" si="60"/>
        <v>0</v>
      </c>
    </row>
    <row r="1022" spans="1:8" x14ac:dyDescent="0.2">
      <c r="A1022" s="37">
        <v>1020</v>
      </c>
      <c r="C1022" s="17" t="e">
        <f>+'Detalle Compras'!#REF!</f>
        <v>#REF!</v>
      </c>
      <c r="D1022" s="55" t="str">
        <f t="shared" si="58"/>
        <v/>
      </c>
      <c r="E1022" s="14" t="str">
        <f>+IF(B1022="","",'Detalle Compras'!S1022+0)</f>
        <v/>
      </c>
      <c r="F1022" s="14" t="str">
        <f>+IF(B1022="","",EOMONTH('Detalle Compras'!S1022,G1022)+10)</f>
        <v/>
      </c>
      <c r="G1022" s="50">
        <f t="shared" si="59"/>
        <v>0</v>
      </c>
      <c r="H1022" s="50">
        <f t="shared" si="60"/>
        <v>0</v>
      </c>
    </row>
    <row r="1023" spans="1:8" x14ac:dyDescent="0.2">
      <c r="A1023" s="37">
        <v>1021</v>
      </c>
      <c r="C1023" s="17" t="e">
        <f>+'Detalle Compras'!#REF!</f>
        <v>#REF!</v>
      </c>
      <c r="D1023" s="55" t="str">
        <f t="shared" si="58"/>
        <v/>
      </c>
      <c r="E1023" s="14" t="str">
        <f>+IF(B1023="","",'Detalle Compras'!S1023+0)</f>
        <v/>
      </c>
      <c r="F1023" s="14" t="str">
        <f>+IF(B1023="","",EOMONTH('Detalle Compras'!S1023,G1023)+10)</f>
        <v/>
      </c>
      <c r="G1023" s="50">
        <f t="shared" si="59"/>
        <v>0</v>
      </c>
      <c r="H1023" s="50">
        <f t="shared" si="60"/>
        <v>0</v>
      </c>
    </row>
    <row r="1024" spans="1:8" x14ac:dyDescent="0.2">
      <c r="A1024" s="37">
        <v>1022</v>
      </c>
      <c r="C1024" s="17" t="e">
        <f>+'Detalle Compras'!#REF!</f>
        <v>#REF!</v>
      </c>
      <c r="D1024" s="55" t="str">
        <f t="shared" si="58"/>
        <v/>
      </c>
      <c r="E1024" s="14" t="str">
        <f>+IF(B1024="","",'Detalle Compras'!S1024+0)</f>
        <v/>
      </c>
      <c r="F1024" s="14" t="str">
        <f>+IF(B1024="","",EOMONTH('Detalle Compras'!S1024,G1024)+10)</f>
        <v/>
      </c>
      <c r="G1024" s="50">
        <f t="shared" si="59"/>
        <v>0</v>
      </c>
      <c r="H1024" s="50">
        <f t="shared" si="60"/>
        <v>0</v>
      </c>
    </row>
    <row r="1025" spans="1:8" x14ac:dyDescent="0.2">
      <c r="A1025" s="37">
        <v>1023</v>
      </c>
      <c r="C1025" s="17" t="e">
        <f>+'Detalle Compras'!#REF!</f>
        <v>#REF!</v>
      </c>
      <c r="D1025" s="55" t="str">
        <f t="shared" si="58"/>
        <v/>
      </c>
      <c r="E1025" s="14" t="str">
        <f>+IF(B1025="","",'Detalle Compras'!S1025+0)</f>
        <v/>
      </c>
      <c r="F1025" s="14" t="str">
        <f>+IF(B1025="","",EOMONTH('Detalle Compras'!S1025,G1025)+10)</f>
        <v/>
      </c>
      <c r="G1025" s="50">
        <f t="shared" si="59"/>
        <v>0</v>
      </c>
      <c r="H1025" s="50">
        <f t="shared" si="60"/>
        <v>0</v>
      </c>
    </row>
    <row r="1026" spans="1:8" x14ac:dyDescent="0.2">
      <c r="A1026" s="37">
        <v>1024</v>
      </c>
      <c r="C1026" s="17" t="e">
        <f>+'Detalle Compras'!#REF!</f>
        <v>#REF!</v>
      </c>
      <c r="D1026" s="55" t="str">
        <f t="shared" si="58"/>
        <v/>
      </c>
      <c r="E1026" s="14" t="str">
        <f>+IF(B1026="","",'Detalle Compras'!S1026+0)</f>
        <v/>
      </c>
      <c r="F1026" s="14" t="str">
        <f>+IF(B1026="","",EOMONTH('Detalle Compras'!S1026,G1026)+10)</f>
        <v/>
      </c>
      <c r="G1026" s="50">
        <f t="shared" si="59"/>
        <v>0</v>
      </c>
      <c r="H1026" s="50">
        <f t="shared" si="60"/>
        <v>0</v>
      </c>
    </row>
    <row r="1027" spans="1:8" x14ac:dyDescent="0.2">
      <c r="A1027" s="37">
        <v>1025</v>
      </c>
      <c r="C1027" s="17" t="e">
        <f>+'Detalle Compras'!#REF!</f>
        <v>#REF!</v>
      </c>
      <c r="D1027" s="55" t="str">
        <f t="shared" si="58"/>
        <v/>
      </c>
      <c r="E1027" s="14" t="str">
        <f>+IF(B1027="","",'Detalle Compras'!S1027+0)</f>
        <v/>
      </c>
      <c r="F1027" s="14" t="str">
        <f>+IF(B1027="","",EOMONTH('Detalle Compras'!S1027,G1027)+10)</f>
        <v/>
      </c>
      <c r="G1027" s="50">
        <f t="shared" si="59"/>
        <v>0</v>
      </c>
      <c r="H1027" s="50">
        <f t="shared" si="60"/>
        <v>0</v>
      </c>
    </row>
    <row r="1028" spans="1:8" x14ac:dyDescent="0.2">
      <c r="A1028" s="37">
        <v>1026</v>
      </c>
      <c r="C1028" s="17" t="e">
        <f>+'Detalle Compras'!#REF!</f>
        <v>#REF!</v>
      </c>
      <c r="D1028" s="55" t="str">
        <f t="shared" ref="D1028:D1091" si="61">+IF(B1028="","",EA1028)</f>
        <v/>
      </c>
      <c r="E1028" s="14" t="str">
        <f>+IF(B1028="","",'Detalle Compras'!S1028+0)</f>
        <v/>
      </c>
      <c r="F1028" s="14" t="str">
        <f>+IF(B1028="","",EOMONTH('Detalle Compras'!S1028,G1028)+10)</f>
        <v/>
      </c>
      <c r="G1028" s="50">
        <f t="shared" ref="G1028:G1091" si="62">+COUNTIF(I1028:ADF1028,"&gt;1")</f>
        <v>0</v>
      </c>
      <c r="H1028" s="50">
        <f t="shared" ref="H1028:H1091" si="63">+COUNT(AF1028:ADF1028)</f>
        <v>0</v>
      </c>
    </row>
    <row r="1029" spans="1:8" x14ac:dyDescent="0.2">
      <c r="A1029" s="37">
        <v>1027</v>
      </c>
      <c r="C1029" s="17" t="e">
        <f>+'Detalle Compras'!#REF!</f>
        <v>#REF!</v>
      </c>
      <c r="D1029" s="55" t="str">
        <f t="shared" si="61"/>
        <v/>
      </c>
      <c r="E1029" s="14" t="str">
        <f>+IF(B1029="","",'Detalle Compras'!S1029+0)</f>
        <v/>
      </c>
      <c r="F1029" s="14" t="str">
        <f>+IF(B1029="","",EOMONTH('Detalle Compras'!S1029,G1029)+10)</f>
        <v/>
      </c>
      <c r="G1029" s="50">
        <f t="shared" si="62"/>
        <v>0</v>
      </c>
      <c r="H1029" s="50">
        <f t="shared" si="63"/>
        <v>0</v>
      </c>
    </row>
    <row r="1030" spans="1:8" x14ac:dyDescent="0.2">
      <c r="A1030" s="37">
        <v>1028</v>
      </c>
      <c r="C1030" s="17" t="e">
        <f>+'Detalle Compras'!#REF!</f>
        <v>#REF!</v>
      </c>
      <c r="D1030" s="55" t="str">
        <f t="shared" si="61"/>
        <v/>
      </c>
      <c r="E1030" s="14" t="str">
        <f>+IF(B1030="","",'Detalle Compras'!S1030+0)</f>
        <v/>
      </c>
      <c r="F1030" s="14" t="str">
        <f>+IF(B1030="","",EOMONTH('Detalle Compras'!S1030,G1030)+10)</f>
        <v/>
      </c>
      <c r="G1030" s="50">
        <f t="shared" si="62"/>
        <v>0</v>
      </c>
      <c r="H1030" s="50">
        <f t="shared" si="63"/>
        <v>0</v>
      </c>
    </row>
    <row r="1031" spans="1:8" x14ac:dyDescent="0.2">
      <c r="A1031" s="37">
        <v>1029</v>
      </c>
      <c r="C1031" s="17" t="e">
        <f>+'Detalle Compras'!#REF!</f>
        <v>#REF!</v>
      </c>
      <c r="D1031" s="55" t="str">
        <f t="shared" si="61"/>
        <v/>
      </c>
      <c r="E1031" s="14" t="str">
        <f>+IF(B1031="","",'Detalle Compras'!S1031+0)</f>
        <v/>
      </c>
      <c r="F1031" s="14" t="str">
        <f>+IF(B1031="","",EOMONTH('Detalle Compras'!S1031,G1031)+10)</f>
        <v/>
      </c>
      <c r="G1031" s="50">
        <f t="shared" si="62"/>
        <v>0</v>
      </c>
      <c r="H1031" s="50">
        <f t="shared" si="63"/>
        <v>0</v>
      </c>
    </row>
    <row r="1032" spans="1:8" x14ac:dyDescent="0.2">
      <c r="A1032" s="37">
        <v>1030</v>
      </c>
      <c r="C1032" s="17" t="e">
        <f>+'Detalle Compras'!#REF!</f>
        <v>#REF!</v>
      </c>
      <c r="D1032" s="55" t="str">
        <f t="shared" si="61"/>
        <v/>
      </c>
      <c r="E1032" s="14" t="str">
        <f>+IF(B1032="","",'Detalle Compras'!S1032+0)</f>
        <v/>
      </c>
      <c r="F1032" s="14" t="str">
        <f>+IF(B1032="","",EOMONTH('Detalle Compras'!S1032,G1032)+10)</f>
        <v/>
      </c>
      <c r="G1032" s="50">
        <f t="shared" si="62"/>
        <v>0</v>
      </c>
      <c r="H1032" s="50">
        <f t="shared" si="63"/>
        <v>0</v>
      </c>
    </row>
    <row r="1033" spans="1:8" x14ac:dyDescent="0.2">
      <c r="A1033" s="37">
        <v>1031</v>
      </c>
      <c r="C1033" s="17" t="e">
        <f>+'Detalle Compras'!#REF!</f>
        <v>#REF!</v>
      </c>
      <c r="D1033" s="55" t="str">
        <f t="shared" si="61"/>
        <v/>
      </c>
      <c r="E1033" s="14" t="str">
        <f>+IF(B1033="","",'Detalle Compras'!S1033+0)</f>
        <v/>
      </c>
      <c r="F1033" s="14" t="str">
        <f>+IF(B1033="","",EOMONTH('Detalle Compras'!S1033,G1033)+10)</f>
        <v/>
      </c>
      <c r="G1033" s="50">
        <f t="shared" si="62"/>
        <v>0</v>
      </c>
      <c r="H1033" s="50">
        <f t="shared" si="63"/>
        <v>0</v>
      </c>
    </row>
    <row r="1034" spans="1:8" x14ac:dyDescent="0.2">
      <c r="A1034" s="37">
        <v>1032</v>
      </c>
      <c r="C1034" s="17" t="e">
        <f>+'Detalle Compras'!#REF!</f>
        <v>#REF!</v>
      </c>
      <c r="D1034" s="55" t="str">
        <f t="shared" si="61"/>
        <v/>
      </c>
      <c r="E1034" s="14" t="str">
        <f>+IF(B1034="","",'Detalle Compras'!S1034+0)</f>
        <v/>
      </c>
      <c r="F1034" s="14" t="str">
        <f>+IF(B1034="","",EOMONTH('Detalle Compras'!S1034,G1034)+10)</f>
        <v/>
      </c>
      <c r="G1034" s="50">
        <f t="shared" si="62"/>
        <v>0</v>
      </c>
      <c r="H1034" s="50">
        <f t="shared" si="63"/>
        <v>0</v>
      </c>
    </row>
    <row r="1035" spans="1:8" x14ac:dyDescent="0.2">
      <c r="A1035" s="37">
        <v>1033</v>
      </c>
      <c r="C1035" s="17" t="e">
        <f>+'Detalle Compras'!#REF!</f>
        <v>#REF!</v>
      </c>
      <c r="D1035" s="55" t="str">
        <f t="shared" si="61"/>
        <v/>
      </c>
      <c r="E1035" s="14" t="str">
        <f>+IF(B1035="","",'Detalle Compras'!S1035+0)</f>
        <v/>
      </c>
      <c r="F1035" s="14" t="str">
        <f>+IF(B1035="","",EOMONTH('Detalle Compras'!S1035,G1035)+10)</f>
        <v/>
      </c>
      <c r="G1035" s="50">
        <f t="shared" si="62"/>
        <v>0</v>
      </c>
      <c r="H1035" s="50">
        <f t="shared" si="63"/>
        <v>0</v>
      </c>
    </row>
    <row r="1036" spans="1:8" x14ac:dyDescent="0.2">
      <c r="A1036" s="37">
        <v>1034</v>
      </c>
      <c r="C1036" s="17" t="e">
        <f>+'Detalle Compras'!#REF!</f>
        <v>#REF!</v>
      </c>
      <c r="D1036" s="55" t="str">
        <f t="shared" si="61"/>
        <v/>
      </c>
      <c r="E1036" s="14" t="str">
        <f>+IF(B1036="","",'Detalle Compras'!S1036+0)</f>
        <v/>
      </c>
      <c r="F1036" s="14" t="str">
        <f>+IF(B1036="","",EOMONTH('Detalle Compras'!S1036,G1036)+10)</f>
        <v/>
      </c>
      <c r="G1036" s="50">
        <f t="shared" si="62"/>
        <v>0</v>
      </c>
      <c r="H1036" s="50">
        <f t="shared" si="63"/>
        <v>0</v>
      </c>
    </row>
    <row r="1037" spans="1:8" x14ac:dyDescent="0.2">
      <c r="A1037" s="37">
        <v>1035</v>
      </c>
      <c r="C1037" s="17" t="e">
        <f>+'Detalle Compras'!#REF!</f>
        <v>#REF!</v>
      </c>
      <c r="D1037" s="55" t="str">
        <f t="shared" si="61"/>
        <v/>
      </c>
      <c r="E1037" s="14" t="str">
        <f>+IF(B1037="","",'Detalle Compras'!S1037+0)</f>
        <v/>
      </c>
      <c r="F1037" s="14" t="str">
        <f>+IF(B1037="","",EOMONTH('Detalle Compras'!S1037,G1037)+10)</f>
        <v/>
      </c>
      <c r="G1037" s="50">
        <f t="shared" si="62"/>
        <v>0</v>
      </c>
      <c r="H1037" s="50">
        <f t="shared" si="63"/>
        <v>0</v>
      </c>
    </row>
    <row r="1038" spans="1:8" x14ac:dyDescent="0.2">
      <c r="A1038" s="37">
        <v>1036</v>
      </c>
      <c r="C1038" s="17" t="e">
        <f>+'Detalle Compras'!#REF!</f>
        <v>#REF!</v>
      </c>
      <c r="D1038" s="55" t="str">
        <f t="shared" si="61"/>
        <v/>
      </c>
      <c r="E1038" s="14" t="str">
        <f>+IF(B1038="","",'Detalle Compras'!S1038+0)</f>
        <v/>
      </c>
      <c r="F1038" s="14" t="str">
        <f>+IF(B1038="","",EOMONTH('Detalle Compras'!S1038,G1038)+10)</f>
        <v/>
      </c>
      <c r="G1038" s="50">
        <f t="shared" si="62"/>
        <v>0</v>
      </c>
      <c r="H1038" s="50">
        <f t="shared" si="63"/>
        <v>0</v>
      </c>
    </row>
    <row r="1039" spans="1:8" x14ac:dyDescent="0.2">
      <c r="A1039" s="37">
        <v>1037</v>
      </c>
      <c r="C1039" s="17" t="e">
        <f>+'Detalle Compras'!#REF!</f>
        <v>#REF!</v>
      </c>
      <c r="D1039" s="55" t="str">
        <f t="shared" si="61"/>
        <v/>
      </c>
      <c r="E1039" s="14" t="str">
        <f>+IF(B1039="","",'Detalle Compras'!S1039+0)</f>
        <v/>
      </c>
      <c r="F1039" s="14" t="str">
        <f>+IF(B1039="","",EOMONTH('Detalle Compras'!S1039,G1039)+10)</f>
        <v/>
      </c>
      <c r="G1039" s="50">
        <f t="shared" si="62"/>
        <v>0</v>
      </c>
      <c r="H1039" s="50">
        <f t="shared" si="63"/>
        <v>0</v>
      </c>
    </row>
    <row r="1040" spans="1:8" x14ac:dyDescent="0.2">
      <c r="A1040" s="37">
        <v>1038</v>
      </c>
      <c r="C1040" s="17" t="e">
        <f>+'Detalle Compras'!#REF!</f>
        <v>#REF!</v>
      </c>
      <c r="D1040" s="55" t="str">
        <f t="shared" si="61"/>
        <v/>
      </c>
      <c r="E1040" s="14" t="str">
        <f>+IF(B1040="","",'Detalle Compras'!S1040+0)</f>
        <v/>
      </c>
      <c r="F1040" s="14" t="str">
        <f>+IF(B1040="","",EOMONTH('Detalle Compras'!S1040,G1040)+10)</f>
        <v/>
      </c>
      <c r="G1040" s="50">
        <f t="shared" si="62"/>
        <v>0</v>
      </c>
      <c r="H1040" s="50">
        <f t="shared" si="63"/>
        <v>0</v>
      </c>
    </row>
    <row r="1041" spans="1:8" x14ac:dyDescent="0.2">
      <c r="A1041" s="37">
        <v>1039</v>
      </c>
      <c r="C1041" s="17" t="e">
        <f>+'Detalle Compras'!#REF!</f>
        <v>#REF!</v>
      </c>
      <c r="D1041" s="55" t="str">
        <f t="shared" si="61"/>
        <v/>
      </c>
      <c r="E1041" s="14" t="str">
        <f>+IF(B1041="","",'Detalle Compras'!S1041+0)</f>
        <v/>
      </c>
      <c r="F1041" s="14" t="str">
        <f>+IF(B1041="","",EOMONTH('Detalle Compras'!S1041,G1041)+10)</f>
        <v/>
      </c>
      <c r="G1041" s="50">
        <f t="shared" si="62"/>
        <v>0</v>
      </c>
      <c r="H1041" s="50">
        <f t="shared" si="63"/>
        <v>0</v>
      </c>
    </row>
    <row r="1042" spans="1:8" x14ac:dyDescent="0.2">
      <c r="A1042" s="37">
        <v>1040</v>
      </c>
      <c r="C1042" s="17" t="e">
        <f>+'Detalle Compras'!#REF!</f>
        <v>#REF!</v>
      </c>
      <c r="D1042" s="55" t="str">
        <f t="shared" si="61"/>
        <v/>
      </c>
      <c r="E1042" s="14" t="str">
        <f>+IF(B1042="","",'Detalle Compras'!S1042+0)</f>
        <v/>
      </c>
      <c r="F1042" s="14" t="str">
        <f>+IF(B1042="","",EOMONTH('Detalle Compras'!S1042,G1042)+10)</f>
        <v/>
      </c>
      <c r="G1042" s="50">
        <f t="shared" si="62"/>
        <v>0</v>
      </c>
      <c r="H1042" s="50">
        <f t="shared" si="63"/>
        <v>0</v>
      </c>
    </row>
    <row r="1043" spans="1:8" x14ac:dyDescent="0.2">
      <c r="A1043" s="37">
        <v>1041</v>
      </c>
      <c r="C1043" s="17" t="e">
        <f>+'Detalle Compras'!#REF!</f>
        <v>#REF!</v>
      </c>
      <c r="D1043" s="55" t="str">
        <f t="shared" si="61"/>
        <v/>
      </c>
      <c r="E1043" s="14" t="str">
        <f>+IF(B1043="","",'Detalle Compras'!S1043+0)</f>
        <v/>
      </c>
      <c r="F1043" s="14" t="str">
        <f>+IF(B1043="","",EOMONTH('Detalle Compras'!S1043,G1043)+10)</f>
        <v/>
      </c>
      <c r="G1043" s="50">
        <f t="shared" si="62"/>
        <v>0</v>
      </c>
      <c r="H1043" s="50">
        <f t="shared" si="63"/>
        <v>0</v>
      </c>
    </row>
    <row r="1044" spans="1:8" x14ac:dyDescent="0.2">
      <c r="A1044" s="37">
        <v>1042</v>
      </c>
      <c r="C1044" s="17" t="e">
        <f>+'Detalle Compras'!#REF!</f>
        <v>#REF!</v>
      </c>
      <c r="D1044" s="55" t="str">
        <f t="shared" si="61"/>
        <v/>
      </c>
      <c r="E1044" s="14" t="str">
        <f>+IF(B1044="","",'Detalle Compras'!S1044+0)</f>
        <v/>
      </c>
      <c r="F1044" s="14" t="str">
        <f>+IF(B1044="","",EOMONTH('Detalle Compras'!S1044,G1044)+10)</f>
        <v/>
      </c>
      <c r="G1044" s="50">
        <f t="shared" si="62"/>
        <v>0</v>
      </c>
      <c r="H1044" s="50">
        <f t="shared" si="63"/>
        <v>0</v>
      </c>
    </row>
    <row r="1045" spans="1:8" x14ac:dyDescent="0.2">
      <c r="A1045" s="37">
        <v>1043</v>
      </c>
      <c r="C1045" s="17" t="e">
        <f>+'Detalle Compras'!#REF!</f>
        <v>#REF!</v>
      </c>
      <c r="D1045" s="55" t="str">
        <f t="shared" si="61"/>
        <v/>
      </c>
      <c r="E1045" s="14" t="str">
        <f>+IF(B1045="","",'Detalle Compras'!S1045+0)</f>
        <v/>
      </c>
      <c r="F1045" s="14" t="str">
        <f>+IF(B1045="","",EOMONTH('Detalle Compras'!S1045,G1045)+10)</f>
        <v/>
      </c>
      <c r="G1045" s="50">
        <f t="shared" si="62"/>
        <v>0</v>
      </c>
      <c r="H1045" s="50">
        <f t="shared" si="63"/>
        <v>0</v>
      </c>
    </row>
    <row r="1046" spans="1:8" x14ac:dyDescent="0.2">
      <c r="A1046" s="37">
        <v>1044</v>
      </c>
      <c r="C1046" s="17" t="e">
        <f>+'Detalle Compras'!#REF!</f>
        <v>#REF!</v>
      </c>
      <c r="D1046" s="55" t="str">
        <f t="shared" si="61"/>
        <v/>
      </c>
      <c r="E1046" s="14" t="str">
        <f>+IF(B1046="","",'Detalle Compras'!S1046+0)</f>
        <v/>
      </c>
      <c r="F1046" s="14" t="str">
        <f>+IF(B1046="","",EOMONTH('Detalle Compras'!S1046,G1046)+10)</f>
        <v/>
      </c>
      <c r="G1046" s="50">
        <f t="shared" si="62"/>
        <v>0</v>
      </c>
      <c r="H1046" s="50">
        <f t="shared" si="63"/>
        <v>0</v>
      </c>
    </row>
    <row r="1047" spans="1:8" x14ac:dyDescent="0.2">
      <c r="A1047" s="37">
        <v>1045</v>
      </c>
      <c r="C1047" s="17" t="e">
        <f>+'Detalle Compras'!#REF!</f>
        <v>#REF!</v>
      </c>
      <c r="D1047" s="55" t="str">
        <f t="shared" si="61"/>
        <v/>
      </c>
      <c r="E1047" s="14" t="str">
        <f>+IF(B1047="","",'Detalle Compras'!S1047+0)</f>
        <v/>
      </c>
      <c r="F1047" s="14" t="str">
        <f>+IF(B1047="","",EOMONTH('Detalle Compras'!S1047,G1047)+10)</f>
        <v/>
      </c>
      <c r="G1047" s="50">
        <f t="shared" si="62"/>
        <v>0</v>
      </c>
      <c r="H1047" s="50">
        <f t="shared" si="63"/>
        <v>0</v>
      </c>
    </row>
    <row r="1048" spans="1:8" x14ac:dyDescent="0.2">
      <c r="A1048" s="37">
        <v>1046</v>
      </c>
      <c r="C1048" s="17" t="e">
        <f>+'Detalle Compras'!#REF!</f>
        <v>#REF!</v>
      </c>
      <c r="D1048" s="55" t="str">
        <f t="shared" si="61"/>
        <v/>
      </c>
      <c r="E1048" s="14" t="str">
        <f>+IF(B1048="","",'Detalle Compras'!S1048+0)</f>
        <v/>
      </c>
      <c r="F1048" s="14" t="str">
        <f>+IF(B1048="","",EOMONTH('Detalle Compras'!S1048,G1048)+10)</f>
        <v/>
      </c>
      <c r="G1048" s="50">
        <f t="shared" si="62"/>
        <v>0</v>
      </c>
      <c r="H1048" s="50">
        <f t="shared" si="63"/>
        <v>0</v>
      </c>
    </row>
    <row r="1049" spans="1:8" x14ac:dyDescent="0.2">
      <c r="A1049" s="37">
        <v>1047</v>
      </c>
      <c r="C1049" s="17" t="e">
        <f>+'Detalle Compras'!#REF!</f>
        <v>#REF!</v>
      </c>
      <c r="D1049" s="55" t="str">
        <f t="shared" si="61"/>
        <v/>
      </c>
      <c r="E1049" s="14" t="str">
        <f>+IF(B1049="","",'Detalle Compras'!S1049+0)</f>
        <v/>
      </c>
      <c r="F1049" s="14" t="str">
        <f>+IF(B1049="","",EOMONTH('Detalle Compras'!S1049,G1049)+10)</f>
        <v/>
      </c>
      <c r="G1049" s="50">
        <f t="shared" si="62"/>
        <v>0</v>
      </c>
      <c r="H1049" s="50">
        <f t="shared" si="63"/>
        <v>0</v>
      </c>
    </row>
    <row r="1050" spans="1:8" x14ac:dyDescent="0.2">
      <c r="A1050" s="37">
        <v>1048</v>
      </c>
      <c r="C1050" s="17" t="e">
        <f>+'Detalle Compras'!#REF!</f>
        <v>#REF!</v>
      </c>
      <c r="D1050" s="55" t="str">
        <f t="shared" si="61"/>
        <v/>
      </c>
      <c r="E1050" s="14" t="str">
        <f>+IF(B1050="","",'Detalle Compras'!S1050+0)</f>
        <v/>
      </c>
      <c r="F1050" s="14" t="str">
        <f>+IF(B1050="","",EOMONTH('Detalle Compras'!S1050,G1050)+10)</f>
        <v/>
      </c>
      <c r="G1050" s="50">
        <f t="shared" si="62"/>
        <v>0</v>
      </c>
      <c r="H1050" s="50">
        <f t="shared" si="63"/>
        <v>0</v>
      </c>
    </row>
    <row r="1051" spans="1:8" x14ac:dyDescent="0.2">
      <c r="A1051" s="37">
        <v>1049</v>
      </c>
      <c r="C1051" s="17" t="e">
        <f>+'Detalle Compras'!#REF!</f>
        <v>#REF!</v>
      </c>
      <c r="D1051" s="55" t="str">
        <f t="shared" si="61"/>
        <v/>
      </c>
      <c r="E1051" s="14" t="str">
        <f>+IF(B1051="","",'Detalle Compras'!S1051+0)</f>
        <v/>
      </c>
      <c r="F1051" s="14" t="str">
        <f>+IF(B1051="","",EOMONTH('Detalle Compras'!S1051,G1051)+10)</f>
        <v/>
      </c>
      <c r="G1051" s="50">
        <f t="shared" si="62"/>
        <v>0</v>
      </c>
      <c r="H1051" s="50">
        <f t="shared" si="63"/>
        <v>0</v>
      </c>
    </row>
    <row r="1052" spans="1:8" x14ac:dyDescent="0.2">
      <c r="A1052" s="37">
        <v>1050</v>
      </c>
      <c r="C1052" s="17" t="e">
        <f>+'Detalle Compras'!#REF!</f>
        <v>#REF!</v>
      </c>
      <c r="D1052" s="55" t="str">
        <f t="shared" si="61"/>
        <v/>
      </c>
      <c r="E1052" s="14" t="str">
        <f>+IF(B1052="","",'Detalle Compras'!S1052+0)</f>
        <v/>
      </c>
      <c r="F1052" s="14" t="str">
        <f>+IF(B1052="","",EOMONTH('Detalle Compras'!S1052,G1052)+10)</f>
        <v/>
      </c>
      <c r="G1052" s="50">
        <f t="shared" si="62"/>
        <v>0</v>
      </c>
      <c r="H1052" s="50">
        <f t="shared" si="63"/>
        <v>0</v>
      </c>
    </row>
    <row r="1053" spans="1:8" x14ac:dyDescent="0.2">
      <c r="A1053" s="37">
        <v>1051</v>
      </c>
      <c r="C1053" s="17" t="e">
        <f>+'Detalle Compras'!#REF!</f>
        <v>#REF!</v>
      </c>
      <c r="D1053" s="55" t="str">
        <f t="shared" si="61"/>
        <v/>
      </c>
      <c r="E1053" s="14" t="str">
        <f>+IF(B1053="","",'Detalle Compras'!S1053+0)</f>
        <v/>
      </c>
      <c r="F1053" s="14" t="str">
        <f>+IF(B1053="","",EOMONTH('Detalle Compras'!S1053,G1053)+10)</f>
        <v/>
      </c>
      <c r="G1053" s="50">
        <f t="shared" si="62"/>
        <v>0</v>
      </c>
      <c r="H1053" s="50">
        <f t="shared" si="63"/>
        <v>0</v>
      </c>
    </row>
    <row r="1054" spans="1:8" x14ac:dyDescent="0.2">
      <c r="A1054" s="37">
        <v>1052</v>
      </c>
      <c r="C1054" s="17" t="e">
        <f>+'Detalle Compras'!#REF!</f>
        <v>#REF!</v>
      </c>
      <c r="D1054" s="55" t="str">
        <f t="shared" si="61"/>
        <v/>
      </c>
      <c r="E1054" s="14" t="str">
        <f>+IF(B1054="","",'Detalle Compras'!S1054+0)</f>
        <v/>
      </c>
      <c r="F1054" s="14" t="str">
        <f>+IF(B1054="","",EOMONTH('Detalle Compras'!S1054,G1054)+10)</f>
        <v/>
      </c>
      <c r="G1054" s="50">
        <f t="shared" si="62"/>
        <v>0</v>
      </c>
      <c r="H1054" s="50">
        <f t="shared" si="63"/>
        <v>0</v>
      </c>
    </row>
    <row r="1055" spans="1:8" x14ac:dyDescent="0.2">
      <c r="A1055" s="37">
        <v>1053</v>
      </c>
      <c r="C1055" s="17" t="e">
        <f>+'Detalle Compras'!#REF!</f>
        <v>#REF!</v>
      </c>
      <c r="D1055" s="55" t="str">
        <f t="shared" si="61"/>
        <v/>
      </c>
      <c r="E1055" s="14" t="str">
        <f>+IF(B1055="","",'Detalle Compras'!S1055+0)</f>
        <v/>
      </c>
      <c r="F1055" s="14" t="str">
        <f>+IF(B1055="","",EOMONTH('Detalle Compras'!S1055,G1055)+10)</f>
        <v/>
      </c>
      <c r="G1055" s="50">
        <f t="shared" si="62"/>
        <v>0</v>
      </c>
      <c r="H1055" s="50">
        <f t="shared" si="63"/>
        <v>0</v>
      </c>
    </row>
    <row r="1056" spans="1:8" x14ac:dyDescent="0.2">
      <c r="A1056" s="37">
        <v>1054</v>
      </c>
      <c r="C1056" s="17" t="e">
        <f>+'Detalle Compras'!#REF!</f>
        <v>#REF!</v>
      </c>
      <c r="D1056" s="55" t="str">
        <f t="shared" si="61"/>
        <v/>
      </c>
      <c r="E1056" s="14" t="str">
        <f>+IF(B1056="","",'Detalle Compras'!S1056+0)</f>
        <v/>
      </c>
      <c r="F1056" s="14" t="str">
        <f>+IF(B1056="","",EOMONTH('Detalle Compras'!S1056,G1056)+10)</f>
        <v/>
      </c>
      <c r="G1056" s="50">
        <f t="shared" si="62"/>
        <v>0</v>
      </c>
      <c r="H1056" s="50">
        <f t="shared" si="63"/>
        <v>0</v>
      </c>
    </row>
    <row r="1057" spans="1:8" x14ac:dyDescent="0.2">
      <c r="A1057" s="37">
        <v>1055</v>
      </c>
      <c r="C1057" s="17" t="e">
        <f>+'Detalle Compras'!#REF!</f>
        <v>#REF!</v>
      </c>
      <c r="D1057" s="55" t="str">
        <f t="shared" si="61"/>
        <v/>
      </c>
      <c r="E1057" s="14" t="str">
        <f>+IF(B1057="","",'Detalle Compras'!S1057+0)</f>
        <v/>
      </c>
      <c r="F1057" s="14" t="str">
        <f>+IF(B1057="","",EOMONTH('Detalle Compras'!S1057,G1057)+10)</f>
        <v/>
      </c>
      <c r="G1057" s="50">
        <f t="shared" si="62"/>
        <v>0</v>
      </c>
      <c r="H1057" s="50">
        <f t="shared" si="63"/>
        <v>0</v>
      </c>
    </row>
    <row r="1058" spans="1:8" x14ac:dyDescent="0.2">
      <c r="A1058" s="37">
        <v>1056</v>
      </c>
      <c r="C1058" s="17" t="e">
        <f>+'Detalle Compras'!#REF!</f>
        <v>#REF!</v>
      </c>
      <c r="D1058" s="55" t="str">
        <f t="shared" si="61"/>
        <v/>
      </c>
      <c r="E1058" s="14" t="str">
        <f>+IF(B1058="","",'Detalle Compras'!S1058+0)</f>
        <v/>
      </c>
      <c r="F1058" s="14" t="str">
        <f>+IF(B1058="","",EOMONTH('Detalle Compras'!S1058,G1058)+10)</f>
        <v/>
      </c>
      <c r="G1058" s="50">
        <f t="shared" si="62"/>
        <v>0</v>
      </c>
      <c r="H1058" s="50">
        <f t="shared" si="63"/>
        <v>0</v>
      </c>
    </row>
    <row r="1059" spans="1:8" x14ac:dyDescent="0.2">
      <c r="A1059" s="37">
        <v>1057</v>
      </c>
      <c r="C1059" s="17" t="e">
        <f>+'Detalle Compras'!#REF!</f>
        <v>#REF!</v>
      </c>
      <c r="D1059" s="55" t="str">
        <f t="shared" si="61"/>
        <v/>
      </c>
      <c r="E1059" s="14" t="str">
        <f>+IF(B1059="","",'Detalle Compras'!S1059+0)</f>
        <v/>
      </c>
      <c r="F1059" s="14" t="str">
        <f>+IF(B1059="","",EOMONTH('Detalle Compras'!S1059,G1059)+10)</f>
        <v/>
      </c>
      <c r="G1059" s="50">
        <f t="shared" si="62"/>
        <v>0</v>
      </c>
      <c r="H1059" s="50">
        <f t="shared" si="63"/>
        <v>0</v>
      </c>
    </row>
    <row r="1060" spans="1:8" x14ac:dyDescent="0.2">
      <c r="A1060" s="37">
        <v>1058</v>
      </c>
      <c r="C1060" s="17" t="e">
        <f>+'Detalle Compras'!#REF!</f>
        <v>#REF!</v>
      </c>
      <c r="D1060" s="55" t="str">
        <f t="shared" si="61"/>
        <v/>
      </c>
      <c r="E1060" s="14" t="str">
        <f>+IF(B1060="","",'Detalle Compras'!S1060+0)</f>
        <v/>
      </c>
      <c r="F1060" s="14" t="str">
        <f>+IF(B1060="","",EOMONTH('Detalle Compras'!S1060,G1060)+10)</f>
        <v/>
      </c>
      <c r="G1060" s="50">
        <f t="shared" si="62"/>
        <v>0</v>
      </c>
      <c r="H1060" s="50">
        <f t="shared" si="63"/>
        <v>0</v>
      </c>
    </row>
    <row r="1061" spans="1:8" x14ac:dyDescent="0.2">
      <c r="A1061" s="37">
        <v>1059</v>
      </c>
      <c r="C1061" s="17" t="e">
        <f>+'Detalle Compras'!#REF!</f>
        <v>#REF!</v>
      </c>
      <c r="D1061" s="55" t="str">
        <f t="shared" si="61"/>
        <v/>
      </c>
      <c r="E1061" s="14" t="str">
        <f>+IF(B1061="","",'Detalle Compras'!S1061+0)</f>
        <v/>
      </c>
      <c r="F1061" s="14" t="str">
        <f>+IF(B1061="","",EOMONTH('Detalle Compras'!S1061,G1061)+10)</f>
        <v/>
      </c>
      <c r="G1061" s="50">
        <f t="shared" si="62"/>
        <v>0</v>
      </c>
      <c r="H1061" s="50">
        <f t="shared" si="63"/>
        <v>0</v>
      </c>
    </row>
    <row r="1062" spans="1:8" x14ac:dyDescent="0.2">
      <c r="A1062" s="37">
        <v>1060</v>
      </c>
      <c r="C1062" s="17" t="e">
        <f>+'Detalle Compras'!#REF!</f>
        <v>#REF!</v>
      </c>
      <c r="D1062" s="55" t="str">
        <f t="shared" si="61"/>
        <v/>
      </c>
      <c r="E1062" s="14" t="str">
        <f>+IF(B1062="","",'Detalle Compras'!S1062+0)</f>
        <v/>
      </c>
      <c r="F1062" s="14" t="str">
        <f>+IF(B1062="","",EOMONTH('Detalle Compras'!S1062,G1062)+10)</f>
        <v/>
      </c>
      <c r="G1062" s="50">
        <f t="shared" si="62"/>
        <v>0</v>
      </c>
      <c r="H1062" s="50">
        <f t="shared" si="63"/>
        <v>0</v>
      </c>
    </row>
    <row r="1063" spans="1:8" x14ac:dyDescent="0.2">
      <c r="A1063" s="37">
        <v>1061</v>
      </c>
      <c r="C1063" s="17" t="e">
        <f>+'Detalle Compras'!#REF!</f>
        <v>#REF!</v>
      </c>
      <c r="D1063" s="55" t="str">
        <f t="shared" si="61"/>
        <v/>
      </c>
      <c r="E1063" s="14" t="str">
        <f>+IF(B1063="","",'Detalle Compras'!S1063+0)</f>
        <v/>
      </c>
      <c r="F1063" s="14" t="str">
        <f>+IF(B1063="","",EOMONTH('Detalle Compras'!S1063,G1063)+10)</f>
        <v/>
      </c>
      <c r="G1063" s="50">
        <f t="shared" si="62"/>
        <v>0</v>
      </c>
      <c r="H1063" s="50">
        <f t="shared" si="63"/>
        <v>0</v>
      </c>
    </row>
    <row r="1064" spans="1:8" x14ac:dyDescent="0.2">
      <c r="A1064" s="37">
        <v>1062</v>
      </c>
      <c r="C1064" s="17" t="e">
        <f>+'Detalle Compras'!#REF!</f>
        <v>#REF!</v>
      </c>
      <c r="D1064" s="55" t="str">
        <f t="shared" si="61"/>
        <v/>
      </c>
      <c r="E1064" s="14" t="str">
        <f>+IF(B1064="","",'Detalle Compras'!S1064+0)</f>
        <v/>
      </c>
      <c r="F1064" s="14" t="str">
        <f>+IF(B1064="","",EOMONTH('Detalle Compras'!S1064,G1064)+10)</f>
        <v/>
      </c>
      <c r="G1064" s="50">
        <f t="shared" si="62"/>
        <v>0</v>
      </c>
      <c r="H1064" s="50">
        <f t="shared" si="63"/>
        <v>0</v>
      </c>
    </row>
    <row r="1065" spans="1:8" x14ac:dyDescent="0.2">
      <c r="A1065" s="37">
        <v>1063</v>
      </c>
      <c r="C1065" s="17" t="e">
        <f>+'Detalle Compras'!#REF!</f>
        <v>#REF!</v>
      </c>
      <c r="D1065" s="55" t="str">
        <f t="shared" si="61"/>
        <v/>
      </c>
      <c r="E1065" s="14" t="str">
        <f>+IF(B1065="","",'Detalle Compras'!S1065+0)</f>
        <v/>
      </c>
      <c r="F1065" s="14" t="str">
        <f>+IF(B1065="","",EOMONTH('Detalle Compras'!S1065,G1065)+10)</f>
        <v/>
      </c>
      <c r="G1065" s="50">
        <f t="shared" si="62"/>
        <v>0</v>
      </c>
      <c r="H1065" s="50">
        <f t="shared" si="63"/>
        <v>0</v>
      </c>
    </row>
    <row r="1066" spans="1:8" x14ac:dyDescent="0.2">
      <c r="A1066" s="37">
        <v>1064</v>
      </c>
      <c r="C1066" s="17" t="e">
        <f>+'Detalle Compras'!#REF!</f>
        <v>#REF!</v>
      </c>
      <c r="D1066" s="55" t="str">
        <f t="shared" si="61"/>
        <v/>
      </c>
      <c r="E1066" s="14" t="str">
        <f>+IF(B1066="","",'Detalle Compras'!S1066+0)</f>
        <v/>
      </c>
      <c r="F1066" s="14" t="str">
        <f>+IF(B1066="","",EOMONTH('Detalle Compras'!S1066,G1066)+10)</f>
        <v/>
      </c>
      <c r="G1066" s="50">
        <f t="shared" si="62"/>
        <v>0</v>
      </c>
      <c r="H1066" s="50">
        <f t="shared" si="63"/>
        <v>0</v>
      </c>
    </row>
    <row r="1067" spans="1:8" x14ac:dyDescent="0.2">
      <c r="A1067" s="37">
        <v>1065</v>
      </c>
      <c r="C1067" s="17" t="e">
        <f>+'Detalle Compras'!#REF!</f>
        <v>#REF!</v>
      </c>
      <c r="D1067" s="55" t="str">
        <f t="shared" si="61"/>
        <v/>
      </c>
      <c r="E1067" s="14" t="str">
        <f>+IF(B1067="","",'Detalle Compras'!S1067+0)</f>
        <v/>
      </c>
      <c r="F1067" s="14" t="str">
        <f>+IF(B1067="","",EOMONTH('Detalle Compras'!S1067,G1067)+10)</f>
        <v/>
      </c>
      <c r="G1067" s="50">
        <f t="shared" si="62"/>
        <v>0</v>
      </c>
      <c r="H1067" s="50">
        <f t="shared" si="63"/>
        <v>0</v>
      </c>
    </row>
    <row r="1068" spans="1:8" x14ac:dyDescent="0.2">
      <c r="A1068" s="37">
        <v>1066</v>
      </c>
      <c r="C1068" s="17" t="e">
        <f>+'Detalle Compras'!#REF!</f>
        <v>#REF!</v>
      </c>
      <c r="D1068" s="55" t="str">
        <f t="shared" si="61"/>
        <v/>
      </c>
      <c r="E1068" s="14" t="str">
        <f>+IF(B1068="","",'Detalle Compras'!S1068+0)</f>
        <v/>
      </c>
      <c r="F1068" s="14" t="str">
        <f>+IF(B1068="","",EOMONTH('Detalle Compras'!S1068,G1068)+10)</f>
        <v/>
      </c>
      <c r="G1068" s="50">
        <f t="shared" si="62"/>
        <v>0</v>
      </c>
      <c r="H1068" s="50">
        <f t="shared" si="63"/>
        <v>0</v>
      </c>
    </row>
    <row r="1069" spans="1:8" x14ac:dyDescent="0.2">
      <c r="A1069" s="37">
        <v>1067</v>
      </c>
      <c r="C1069" s="17" t="e">
        <f>+'Detalle Compras'!#REF!</f>
        <v>#REF!</v>
      </c>
      <c r="D1069" s="55" t="str">
        <f t="shared" si="61"/>
        <v/>
      </c>
      <c r="E1069" s="14" t="str">
        <f>+IF(B1069="","",'Detalle Compras'!S1069+0)</f>
        <v/>
      </c>
      <c r="F1069" s="14" t="str">
        <f>+IF(B1069="","",EOMONTH('Detalle Compras'!S1069,G1069)+10)</f>
        <v/>
      </c>
      <c r="G1069" s="50">
        <f t="shared" si="62"/>
        <v>0</v>
      </c>
      <c r="H1069" s="50">
        <f t="shared" si="63"/>
        <v>0</v>
      </c>
    </row>
    <row r="1070" spans="1:8" x14ac:dyDescent="0.2">
      <c r="A1070" s="37">
        <v>1068</v>
      </c>
      <c r="C1070" s="17" t="e">
        <f>+'Detalle Compras'!#REF!</f>
        <v>#REF!</v>
      </c>
      <c r="D1070" s="55" t="str">
        <f t="shared" si="61"/>
        <v/>
      </c>
      <c r="E1070" s="14" t="str">
        <f>+IF(B1070="","",'Detalle Compras'!S1070+0)</f>
        <v/>
      </c>
      <c r="F1070" s="14" t="str">
        <f>+IF(B1070="","",EOMONTH('Detalle Compras'!S1070,G1070)+10)</f>
        <v/>
      </c>
      <c r="G1070" s="50">
        <f t="shared" si="62"/>
        <v>0</v>
      </c>
      <c r="H1070" s="50">
        <f t="shared" si="63"/>
        <v>0</v>
      </c>
    </row>
    <row r="1071" spans="1:8" x14ac:dyDescent="0.2">
      <c r="A1071" s="37">
        <v>1069</v>
      </c>
      <c r="C1071" s="17" t="e">
        <f>+'Detalle Compras'!#REF!</f>
        <v>#REF!</v>
      </c>
      <c r="D1071" s="55" t="str">
        <f t="shared" si="61"/>
        <v/>
      </c>
      <c r="E1071" s="14" t="str">
        <f>+IF(B1071="","",'Detalle Compras'!S1071+0)</f>
        <v/>
      </c>
      <c r="F1071" s="14" t="str">
        <f>+IF(B1071="","",EOMONTH('Detalle Compras'!S1071,G1071)+10)</f>
        <v/>
      </c>
      <c r="G1071" s="50">
        <f t="shared" si="62"/>
        <v>0</v>
      </c>
      <c r="H1071" s="50">
        <f t="shared" si="63"/>
        <v>0</v>
      </c>
    </row>
    <row r="1072" spans="1:8" x14ac:dyDescent="0.2">
      <c r="A1072" s="37">
        <v>1070</v>
      </c>
      <c r="C1072" s="17" t="e">
        <f>+'Detalle Compras'!#REF!</f>
        <v>#REF!</v>
      </c>
      <c r="D1072" s="55" t="str">
        <f t="shared" si="61"/>
        <v/>
      </c>
      <c r="E1072" s="14" t="str">
        <f>+IF(B1072="","",'Detalle Compras'!S1072+0)</f>
        <v/>
      </c>
      <c r="F1072" s="14" t="str">
        <f>+IF(B1072="","",EOMONTH('Detalle Compras'!S1072,G1072)+10)</f>
        <v/>
      </c>
      <c r="G1072" s="50">
        <f t="shared" si="62"/>
        <v>0</v>
      </c>
      <c r="H1072" s="50">
        <f t="shared" si="63"/>
        <v>0</v>
      </c>
    </row>
    <row r="1073" spans="1:8" x14ac:dyDescent="0.2">
      <c r="A1073" s="37">
        <v>1071</v>
      </c>
      <c r="C1073" s="17" t="e">
        <f>+'Detalle Compras'!#REF!</f>
        <v>#REF!</v>
      </c>
      <c r="D1073" s="55" t="str">
        <f t="shared" si="61"/>
        <v/>
      </c>
      <c r="E1073" s="14" t="str">
        <f>+IF(B1073="","",'Detalle Compras'!S1073+0)</f>
        <v/>
      </c>
      <c r="F1073" s="14" t="str">
        <f>+IF(B1073="","",EOMONTH('Detalle Compras'!S1073,G1073)+10)</f>
        <v/>
      </c>
      <c r="G1073" s="50">
        <f t="shared" si="62"/>
        <v>0</v>
      </c>
      <c r="H1073" s="50">
        <f t="shared" si="63"/>
        <v>0</v>
      </c>
    </row>
    <row r="1074" spans="1:8" x14ac:dyDescent="0.2">
      <c r="A1074" s="37">
        <v>1072</v>
      </c>
      <c r="C1074" s="17" t="e">
        <f>+'Detalle Compras'!#REF!</f>
        <v>#REF!</v>
      </c>
      <c r="D1074" s="55" t="str">
        <f t="shared" si="61"/>
        <v/>
      </c>
      <c r="E1074" s="14" t="str">
        <f>+IF(B1074="","",'Detalle Compras'!S1074+0)</f>
        <v/>
      </c>
      <c r="F1074" s="14" t="str">
        <f>+IF(B1074="","",EOMONTH('Detalle Compras'!S1074,G1074)+10)</f>
        <v/>
      </c>
      <c r="G1074" s="50">
        <f t="shared" si="62"/>
        <v>0</v>
      </c>
      <c r="H1074" s="50">
        <f t="shared" si="63"/>
        <v>0</v>
      </c>
    </row>
    <row r="1075" spans="1:8" x14ac:dyDescent="0.2">
      <c r="A1075" s="37">
        <v>1073</v>
      </c>
      <c r="C1075" s="17" t="e">
        <f>+'Detalle Compras'!#REF!</f>
        <v>#REF!</v>
      </c>
      <c r="D1075" s="55" t="str">
        <f t="shared" si="61"/>
        <v/>
      </c>
      <c r="E1075" s="14" t="str">
        <f>+IF(B1075="","",'Detalle Compras'!S1075+0)</f>
        <v/>
      </c>
      <c r="F1075" s="14" t="str">
        <f>+IF(B1075="","",EOMONTH('Detalle Compras'!S1075,G1075)+10)</f>
        <v/>
      </c>
      <c r="G1075" s="50">
        <f t="shared" si="62"/>
        <v>0</v>
      </c>
      <c r="H1075" s="50">
        <f t="shared" si="63"/>
        <v>0</v>
      </c>
    </row>
    <row r="1076" spans="1:8" x14ac:dyDescent="0.2">
      <c r="A1076" s="37">
        <v>1074</v>
      </c>
      <c r="C1076" s="17" t="e">
        <f>+'Detalle Compras'!#REF!</f>
        <v>#REF!</v>
      </c>
      <c r="D1076" s="55" t="str">
        <f t="shared" si="61"/>
        <v/>
      </c>
      <c r="E1076" s="14" t="str">
        <f>+IF(B1076="","",'Detalle Compras'!S1076+0)</f>
        <v/>
      </c>
      <c r="F1076" s="14" t="str">
        <f>+IF(B1076="","",EOMONTH('Detalle Compras'!S1076,G1076)+10)</f>
        <v/>
      </c>
      <c r="G1076" s="50">
        <f t="shared" si="62"/>
        <v>0</v>
      </c>
      <c r="H1076" s="50">
        <f t="shared" si="63"/>
        <v>0</v>
      </c>
    </row>
    <row r="1077" spans="1:8" x14ac:dyDescent="0.2">
      <c r="A1077" s="37">
        <v>1075</v>
      </c>
      <c r="C1077" s="17" t="e">
        <f>+'Detalle Compras'!#REF!</f>
        <v>#REF!</v>
      </c>
      <c r="D1077" s="55" t="str">
        <f t="shared" si="61"/>
        <v/>
      </c>
      <c r="E1077" s="14" t="str">
        <f>+IF(B1077="","",'Detalle Compras'!S1077+0)</f>
        <v/>
      </c>
      <c r="F1077" s="14" t="str">
        <f>+IF(B1077="","",EOMONTH('Detalle Compras'!S1077,G1077)+10)</f>
        <v/>
      </c>
      <c r="G1077" s="50">
        <f t="shared" si="62"/>
        <v>0</v>
      </c>
      <c r="H1077" s="50">
        <f t="shared" si="63"/>
        <v>0</v>
      </c>
    </row>
    <row r="1078" spans="1:8" x14ac:dyDescent="0.2">
      <c r="A1078" s="37">
        <v>1076</v>
      </c>
      <c r="C1078" s="17" t="e">
        <f>+'Detalle Compras'!#REF!</f>
        <v>#REF!</v>
      </c>
      <c r="D1078" s="55" t="str">
        <f t="shared" si="61"/>
        <v/>
      </c>
      <c r="E1078" s="14" t="str">
        <f>+IF(B1078="","",'Detalle Compras'!S1078+0)</f>
        <v/>
      </c>
      <c r="F1078" s="14" t="str">
        <f>+IF(B1078="","",EOMONTH('Detalle Compras'!S1078,G1078)+10)</f>
        <v/>
      </c>
      <c r="G1078" s="50">
        <f t="shared" si="62"/>
        <v>0</v>
      </c>
      <c r="H1078" s="50">
        <f t="shared" si="63"/>
        <v>0</v>
      </c>
    </row>
    <row r="1079" spans="1:8" x14ac:dyDescent="0.2">
      <c r="A1079" s="37">
        <v>1077</v>
      </c>
      <c r="C1079" s="17" t="e">
        <f>+'Detalle Compras'!#REF!</f>
        <v>#REF!</v>
      </c>
      <c r="D1079" s="55" t="str">
        <f t="shared" si="61"/>
        <v/>
      </c>
      <c r="E1079" s="14" t="str">
        <f>+IF(B1079="","",'Detalle Compras'!S1079+0)</f>
        <v/>
      </c>
      <c r="F1079" s="14" t="str">
        <f>+IF(B1079="","",EOMONTH('Detalle Compras'!S1079,G1079)+10)</f>
        <v/>
      </c>
      <c r="G1079" s="50">
        <f t="shared" si="62"/>
        <v>0</v>
      </c>
      <c r="H1079" s="50">
        <f t="shared" si="63"/>
        <v>0</v>
      </c>
    </row>
    <row r="1080" spans="1:8" x14ac:dyDescent="0.2">
      <c r="A1080" s="37">
        <v>1078</v>
      </c>
      <c r="C1080" s="17" t="e">
        <f>+'Detalle Compras'!#REF!</f>
        <v>#REF!</v>
      </c>
      <c r="D1080" s="55" t="str">
        <f t="shared" si="61"/>
        <v/>
      </c>
      <c r="E1080" s="14" t="str">
        <f>+IF(B1080="","",'Detalle Compras'!S1080+0)</f>
        <v/>
      </c>
      <c r="F1080" s="14" t="str">
        <f>+IF(B1080="","",EOMONTH('Detalle Compras'!S1080,G1080)+10)</f>
        <v/>
      </c>
      <c r="G1080" s="50">
        <f t="shared" si="62"/>
        <v>0</v>
      </c>
      <c r="H1080" s="50">
        <f t="shared" si="63"/>
        <v>0</v>
      </c>
    </row>
    <row r="1081" spans="1:8" x14ac:dyDescent="0.2">
      <c r="A1081" s="37">
        <v>1079</v>
      </c>
      <c r="C1081" s="17" t="e">
        <f>+'Detalle Compras'!#REF!</f>
        <v>#REF!</v>
      </c>
      <c r="D1081" s="55" t="str">
        <f t="shared" si="61"/>
        <v/>
      </c>
      <c r="E1081" s="14" t="str">
        <f>+IF(B1081="","",'Detalle Compras'!S1081+0)</f>
        <v/>
      </c>
      <c r="F1081" s="14" t="str">
        <f>+IF(B1081="","",EOMONTH('Detalle Compras'!S1081,G1081)+10)</f>
        <v/>
      </c>
      <c r="G1081" s="50">
        <f t="shared" si="62"/>
        <v>0</v>
      </c>
      <c r="H1081" s="50">
        <f t="shared" si="63"/>
        <v>0</v>
      </c>
    </row>
    <row r="1082" spans="1:8" x14ac:dyDescent="0.2">
      <c r="A1082" s="37">
        <v>1080</v>
      </c>
      <c r="C1082" s="17" t="e">
        <f>+'Detalle Compras'!#REF!</f>
        <v>#REF!</v>
      </c>
      <c r="D1082" s="55" t="str">
        <f t="shared" si="61"/>
        <v/>
      </c>
      <c r="E1082" s="14" t="str">
        <f>+IF(B1082="","",'Detalle Compras'!S1082+0)</f>
        <v/>
      </c>
      <c r="F1082" s="14" t="str">
        <f>+IF(B1082="","",EOMONTH('Detalle Compras'!S1082,G1082)+10)</f>
        <v/>
      </c>
      <c r="G1082" s="50">
        <f t="shared" si="62"/>
        <v>0</v>
      </c>
      <c r="H1082" s="50">
        <f t="shared" si="63"/>
        <v>0</v>
      </c>
    </row>
    <row r="1083" spans="1:8" x14ac:dyDescent="0.2">
      <c r="A1083" s="37">
        <v>1081</v>
      </c>
      <c r="C1083" s="17" t="e">
        <f>+'Detalle Compras'!#REF!</f>
        <v>#REF!</v>
      </c>
      <c r="D1083" s="55" t="str">
        <f t="shared" si="61"/>
        <v/>
      </c>
      <c r="E1083" s="14" t="str">
        <f>+IF(B1083="","",'Detalle Compras'!S1083+0)</f>
        <v/>
      </c>
      <c r="F1083" s="14" t="str">
        <f>+IF(B1083="","",EOMONTH('Detalle Compras'!S1083,G1083)+10)</f>
        <v/>
      </c>
      <c r="G1083" s="50">
        <f t="shared" si="62"/>
        <v>0</v>
      </c>
      <c r="H1083" s="50">
        <f t="shared" si="63"/>
        <v>0</v>
      </c>
    </row>
    <row r="1084" spans="1:8" x14ac:dyDescent="0.2">
      <c r="A1084" s="37">
        <v>1082</v>
      </c>
      <c r="C1084" s="17" t="e">
        <f>+'Detalle Compras'!#REF!</f>
        <v>#REF!</v>
      </c>
      <c r="D1084" s="55" t="str">
        <f t="shared" si="61"/>
        <v/>
      </c>
      <c r="E1084" s="14" t="str">
        <f>+IF(B1084="","",'Detalle Compras'!S1084+0)</f>
        <v/>
      </c>
      <c r="F1084" s="14" t="str">
        <f>+IF(B1084="","",EOMONTH('Detalle Compras'!S1084,G1084)+10)</f>
        <v/>
      </c>
      <c r="G1084" s="50">
        <f t="shared" si="62"/>
        <v>0</v>
      </c>
      <c r="H1084" s="50">
        <f t="shared" si="63"/>
        <v>0</v>
      </c>
    </row>
    <row r="1085" spans="1:8" x14ac:dyDescent="0.2">
      <c r="A1085" s="37">
        <v>1083</v>
      </c>
      <c r="C1085" s="17" t="e">
        <f>+'Detalle Compras'!#REF!</f>
        <v>#REF!</v>
      </c>
      <c r="D1085" s="55" t="str">
        <f t="shared" si="61"/>
        <v/>
      </c>
      <c r="E1085" s="14" t="str">
        <f>+IF(B1085="","",'Detalle Compras'!S1085+0)</f>
        <v/>
      </c>
      <c r="F1085" s="14" t="str">
        <f>+IF(B1085="","",EOMONTH('Detalle Compras'!S1085,G1085)+10)</f>
        <v/>
      </c>
      <c r="G1085" s="50">
        <f t="shared" si="62"/>
        <v>0</v>
      </c>
      <c r="H1085" s="50">
        <f t="shared" si="63"/>
        <v>0</v>
      </c>
    </row>
    <row r="1086" spans="1:8" x14ac:dyDescent="0.2">
      <c r="A1086" s="37">
        <v>1084</v>
      </c>
      <c r="C1086" s="17" t="e">
        <f>+'Detalle Compras'!#REF!</f>
        <v>#REF!</v>
      </c>
      <c r="D1086" s="55" t="str">
        <f t="shared" si="61"/>
        <v/>
      </c>
      <c r="E1086" s="14" t="str">
        <f>+IF(B1086="","",'Detalle Compras'!S1086+0)</f>
        <v/>
      </c>
      <c r="F1086" s="14" t="str">
        <f>+IF(B1086="","",EOMONTH('Detalle Compras'!S1086,G1086)+10)</f>
        <v/>
      </c>
      <c r="G1086" s="50">
        <f t="shared" si="62"/>
        <v>0</v>
      </c>
      <c r="H1086" s="50">
        <f t="shared" si="63"/>
        <v>0</v>
      </c>
    </row>
    <row r="1087" spans="1:8" x14ac:dyDescent="0.2">
      <c r="A1087" s="37">
        <v>1085</v>
      </c>
      <c r="C1087" s="17" t="e">
        <f>+'Detalle Compras'!#REF!</f>
        <v>#REF!</v>
      </c>
      <c r="D1087" s="55" t="str">
        <f t="shared" si="61"/>
        <v/>
      </c>
      <c r="E1087" s="14" t="str">
        <f>+IF(B1087="","",'Detalle Compras'!S1087+0)</f>
        <v/>
      </c>
      <c r="F1087" s="14" t="str">
        <f>+IF(B1087="","",EOMONTH('Detalle Compras'!S1087,G1087)+10)</f>
        <v/>
      </c>
      <c r="G1087" s="50">
        <f t="shared" si="62"/>
        <v>0</v>
      </c>
      <c r="H1087" s="50">
        <f t="shared" si="63"/>
        <v>0</v>
      </c>
    </row>
    <row r="1088" spans="1:8" x14ac:dyDescent="0.2">
      <c r="A1088" s="37">
        <v>1086</v>
      </c>
      <c r="C1088" s="17" t="e">
        <f>+'Detalle Compras'!#REF!</f>
        <v>#REF!</v>
      </c>
      <c r="D1088" s="55" t="str">
        <f t="shared" si="61"/>
        <v/>
      </c>
      <c r="E1088" s="14" t="str">
        <f>+IF(B1088="","",'Detalle Compras'!S1088+0)</f>
        <v/>
      </c>
      <c r="F1088" s="14" t="str">
        <f>+IF(B1088="","",EOMONTH('Detalle Compras'!S1088,G1088)+10)</f>
        <v/>
      </c>
      <c r="G1088" s="50">
        <f t="shared" si="62"/>
        <v>0</v>
      </c>
      <c r="H1088" s="50">
        <f t="shared" si="63"/>
        <v>0</v>
      </c>
    </row>
    <row r="1089" spans="1:8" x14ac:dyDescent="0.2">
      <c r="A1089" s="37">
        <v>1087</v>
      </c>
      <c r="C1089" s="17" t="e">
        <f>+'Detalle Compras'!#REF!</f>
        <v>#REF!</v>
      </c>
      <c r="D1089" s="55" t="str">
        <f t="shared" si="61"/>
        <v/>
      </c>
      <c r="E1089" s="14" t="str">
        <f>+IF(B1089="","",'Detalle Compras'!S1089+0)</f>
        <v/>
      </c>
      <c r="F1089" s="14" t="str">
        <f>+IF(B1089="","",EOMONTH('Detalle Compras'!S1089,G1089)+10)</f>
        <v/>
      </c>
      <c r="G1089" s="50">
        <f t="shared" si="62"/>
        <v>0</v>
      </c>
      <c r="H1089" s="50">
        <f t="shared" si="63"/>
        <v>0</v>
      </c>
    </row>
    <row r="1090" spans="1:8" x14ac:dyDescent="0.2">
      <c r="A1090" s="37">
        <v>1088</v>
      </c>
      <c r="C1090" s="17" t="e">
        <f>+'Detalle Compras'!#REF!</f>
        <v>#REF!</v>
      </c>
      <c r="D1090" s="55" t="str">
        <f t="shared" si="61"/>
        <v/>
      </c>
      <c r="E1090" s="14" t="str">
        <f>+IF(B1090="","",'Detalle Compras'!S1090+0)</f>
        <v/>
      </c>
      <c r="F1090" s="14" t="str">
        <f>+IF(B1090="","",EOMONTH('Detalle Compras'!S1090,G1090)+10)</f>
        <v/>
      </c>
      <c r="G1090" s="50">
        <f t="shared" si="62"/>
        <v>0</v>
      </c>
      <c r="H1090" s="50">
        <f t="shared" si="63"/>
        <v>0</v>
      </c>
    </row>
    <row r="1091" spans="1:8" x14ac:dyDescent="0.2">
      <c r="A1091" s="37">
        <v>1089</v>
      </c>
      <c r="C1091" s="17" t="e">
        <f>+'Detalle Compras'!#REF!</f>
        <v>#REF!</v>
      </c>
      <c r="D1091" s="55" t="str">
        <f t="shared" si="61"/>
        <v/>
      </c>
      <c r="E1091" s="14" t="str">
        <f>+IF(B1091="","",'Detalle Compras'!S1091+0)</f>
        <v/>
      </c>
      <c r="F1091" s="14" t="str">
        <f>+IF(B1091="","",EOMONTH('Detalle Compras'!S1091,G1091)+10)</f>
        <v/>
      </c>
      <c r="G1091" s="50">
        <f t="shared" si="62"/>
        <v>0</v>
      </c>
      <c r="H1091" s="50">
        <f t="shared" si="63"/>
        <v>0</v>
      </c>
    </row>
    <row r="1092" spans="1:8" x14ac:dyDescent="0.2">
      <c r="A1092" s="37">
        <v>1090</v>
      </c>
      <c r="C1092" s="17" t="e">
        <f>+'Detalle Compras'!#REF!</f>
        <v>#REF!</v>
      </c>
      <c r="D1092" s="55" t="str">
        <f t="shared" ref="D1092:D1155" si="64">+IF(B1092="","",EA1092)</f>
        <v/>
      </c>
      <c r="E1092" s="14" t="str">
        <f>+IF(B1092="","",'Detalle Compras'!S1092+0)</f>
        <v/>
      </c>
      <c r="F1092" s="14" t="str">
        <f>+IF(B1092="","",EOMONTH('Detalle Compras'!S1092,G1092)+10)</f>
        <v/>
      </c>
      <c r="G1092" s="50">
        <f t="shared" ref="G1092:G1155" si="65">+COUNTIF(I1092:ADF1092,"&gt;1")</f>
        <v>0</v>
      </c>
      <c r="H1092" s="50">
        <f t="shared" ref="H1092:H1155" si="66">+COUNT(AF1092:ADF1092)</f>
        <v>0</v>
      </c>
    </row>
    <row r="1093" spans="1:8" x14ac:dyDescent="0.2">
      <c r="A1093" s="37">
        <v>1091</v>
      </c>
      <c r="C1093" s="17" t="e">
        <f>+'Detalle Compras'!#REF!</f>
        <v>#REF!</v>
      </c>
      <c r="D1093" s="55" t="str">
        <f t="shared" si="64"/>
        <v/>
      </c>
      <c r="E1093" s="14" t="str">
        <f>+IF(B1093="","",'Detalle Compras'!S1093+0)</f>
        <v/>
      </c>
      <c r="F1093" s="14" t="str">
        <f>+IF(B1093="","",EOMONTH('Detalle Compras'!S1093,G1093)+10)</f>
        <v/>
      </c>
      <c r="G1093" s="50">
        <f t="shared" si="65"/>
        <v>0</v>
      </c>
      <c r="H1093" s="50">
        <f t="shared" si="66"/>
        <v>0</v>
      </c>
    </row>
    <row r="1094" spans="1:8" x14ac:dyDescent="0.2">
      <c r="A1094" s="37">
        <v>1092</v>
      </c>
      <c r="C1094" s="17" t="e">
        <f>+'Detalle Compras'!#REF!</f>
        <v>#REF!</v>
      </c>
      <c r="D1094" s="55" t="str">
        <f t="shared" si="64"/>
        <v/>
      </c>
      <c r="E1094" s="14" t="str">
        <f>+IF(B1094="","",'Detalle Compras'!S1094+0)</f>
        <v/>
      </c>
      <c r="F1094" s="14" t="str">
        <f>+IF(B1094="","",EOMONTH('Detalle Compras'!S1094,G1094)+10)</f>
        <v/>
      </c>
      <c r="G1094" s="50">
        <f t="shared" si="65"/>
        <v>0</v>
      </c>
      <c r="H1094" s="50">
        <f t="shared" si="66"/>
        <v>0</v>
      </c>
    </row>
    <row r="1095" spans="1:8" x14ac:dyDescent="0.2">
      <c r="A1095" s="37">
        <v>1093</v>
      </c>
      <c r="C1095" s="17" t="e">
        <f>+'Detalle Compras'!#REF!</f>
        <v>#REF!</v>
      </c>
      <c r="D1095" s="55" t="str">
        <f t="shared" si="64"/>
        <v/>
      </c>
      <c r="E1095" s="14" t="str">
        <f>+IF(B1095="","",'Detalle Compras'!S1095+0)</f>
        <v/>
      </c>
      <c r="F1095" s="14" t="str">
        <f>+IF(B1095="","",EOMONTH('Detalle Compras'!S1095,G1095)+10)</f>
        <v/>
      </c>
      <c r="G1095" s="50">
        <f t="shared" si="65"/>
        <v>0</v>
      </c>
      <c r="H1095" s="50">
        <f t="shared" si="66"/>
        <v>0</v>
      </c>
    </row>
    <row r="1096" spans="1:8" x14ac:dyDescent="0.2">
      <c r="A1096" s="37">
        <v>1094</v>
      </c>
      <c r="C1096" s="17" t="e">
        <f>+'Detalle Compras'!#REF!</f>
        <v>#REF!</v>
      </c>
      <c r="D1096" s="55" t="str">
        <f t="shared" si="64"/>
        <v/>
      </c>
      <c r="E1096" s="14" t="str">
        <f>+IF(B1096="","",'Detalle Compras'!S1096+0)</f>
        <v/>
      </c>
      <c r="F1096" s="14" t="str">
        <f>+IF(B1096="","",EOMONTH('Detalle Compras'!S1096,G1096)+10)</f>
        <v/>
      </c>
      <c r="G1096" s="50">
        <f t="shared" si="65"/>
        <v>0</v>
      </c>
      <c r="H1096" s="50">
        <f t="shared" si="66"/>
        <v>0</v>
      </c>
    </row>
    <row r="1097" spans="1:8" x14ac:dyDescent="0.2">
      <c r="A1097" s="37">
        <v>1095</v>
      </c>
      <c r="C1097" s="17" t="e">
        <f>+'Detalle Compras'!#REF!</f>
        <v>#REF!</v>
      </c>
      <c r="D1097" s="55" t="str">
        <f t="shared" si="64"/>
        <v/>
      </c>
      <c r="E1097" s="14" t="str">
        <f>+IF(B1097="","",'Detalle Compras'!S1097+0)</f>
        <v/>
      </c>
      <c r="F1097" s="14" t="str">
        <f>+IF(B1097="","",EOMONTH('Detalle Compras'!S1097,G1097)+10)</f>
        <v/>
      </c>
      <c r="G1097" s="50">
        <f t="shared" si="65"/>
        <v>0</v>
      </c>
      <c r="H1097" s="50">
        <f t="shared" si="66"/>
        <v>0</v>
      </c>
    </row>
    <row r="1098" spans="1:8" x14ac:dyDescent="0.2">
      <c r="A1098" s="37">
        <v>1096</v>
      </c>
      <c r="C1098" s="17" t="e">
        <f>+'Detalle Compras'!#REF!</f>
        <v>#REF!</v>
      </c>
      <c r="D1098" s="55" t="str">
        <f t="shared" si="64"/>
        <v/>
      </c>
      <c r="E1098" s="14" t="str">
        <f>+IF(B1098="","",'Detalle Compras'!S1098+0)</f>
        <v/>
      </c>
      <c r="F1098" s="14" t="str">
        <f>+IF(B1098="","",EOMONTH('Detalle Compras'!S1098,G1098)+10)</f>
        <v/>
      </c>
      <c r="G1098" s="50">
        <f t="shared" si="65"/>
        <v>0</v>
      </c>
      <c r="H1098" s="50">
        <f t="shared" si="66"/>
        <v>0</v>
      </c>
    </row>
    <row r="1099" spans="1:8" x14ac:dyDescent="0.2">
      <c r="A1099" s="37">
        <v>1097</v>
      </c>
      <c r="C1099" s="17" t="e">
        <f>+'Detalle Compras'!#REF!</f>
        <v>#REF!</v>
      </c>
      <c r="D1099" s="55" t="str">
        <f t="shared" si="64"/>
        <v/>
      </c>
      <c r="E1099" s="14" t="str">
        <f>+IF(B1099="","",'Detalle Compras'!S1099+0)</f>
        <v/>
      </c>
      <c r="F1099" s="14" t="str">
        <f>+IF(B1099="","",EOMONTH('Detalle Compras'!S1099,G1099)+10)</f>
        <v/>
      </c>
      <c r="G1099" s="50">
        <f t="shared" si="65"/>
        <v>0</v>
      </c>
      <c r="H1099" s="50">
        <f t="shared" si="66"/>
        <v>0</v>
      </c>
    </row>
    <row r="1100" spans="1:8" x14ac:dyDescent="0.2">
      <c r="A1100" s="37">
        <v>1098</v>
      </c>
      <c r="C1100" s="17" t="e">
        <f>+'Detalle Compras'!#REF!</f>
        <v>#REF!</v>
      </c>
      <c r="D1100" s="55" t="str">
        <f t="shared" si="64"/>
        <v/>
      </c>
      <c r="E1100" s="14" t="str">
        <f>+IF(B1100="","",'Detalle Compras'!S1100+0)</f>
        <v/>
      </c>
      <c r="F1100" s="14" t="str">
        <f>+IF(B1100="","",EOMONTH('Detalle Compras'!S1100,G1100)+10)</f>
        <v/>
      </c>
      <c r="G1100" s="50">
        <f t="shared" si="65"/>
        <v>0</v>
      </c>
      <c r="H1100" s="50">
        <f t="shared" si="66"/>
        <v>0</v>
      </c>
    </row>
    <row r="1101" spans="1:8" x14ac:dyDescent="0.2">
      <c r="A1101" s="37">
        <v>1099</v>
      </c>
      <c r="C1101" s="17" t="e">
        <f>+'Detalle Compras'!#REF!</f>
        <v>#REF!</v>
      </c>
      <c r="D1101" s="55" t="str">
        <f t="shared" si="64"/>
        <v/>
      </c>
      <c r="E1101" s="14" t="str">
        <f>+IF(B1101="","",'Detalle Compras'!S1101+0)</f>
        <v/>
      </c>
      <c r="F1101" s="14" t="str">
        <f>+IF(B1101="","",EOMONTH('Detalle Compras'!S1101,G1101)+10)</f>
        <v/>
      </c>
      <c r="G1101" s="50">
        <f t="shared" si="65"/>
        <v>0</v>
      </c>
      <c r="H1101" s="50">
        <f t="shared" si="66"/>
        <v>0</v>
      </c>
    </row>
    <row r="1102" spans="1:8" x14ac:dyDescent="0.2">
      <c r="A1102" s="37">
        <v>1100</v>
      </c>
      <c r="C1102" s="17" t="e">
        <f>+'Detalle Compras'!#REF!</f>
        <v>#REF!</v>
      </c>
      <c r="D1102" s="55" t="str">
        <f t="shared" si="64"/>
        <v/>
      </c>
      <c r="E1102" s="14" t="str">
        <f>+IF(B1102="","",'Detalle Compras'!S1102+0)</f>
        <v/>
      </c>
      <c r="F1102" s="14" t="str">
        <f>+IF(B1102="","",EOMONTH('Detalle Compras'!S1102,G1102)+10)</f>
        <v/>
      </c>
      <c r="G1102" s="50">
        <f t="shared" si="65"/>
        <v>0</v>
      </c>
      <c r="H1102" s="50">
        <f t="shared" si="66"/>
        <v>0</v>
      </c>
    </row>
    <row r="1103" spans="1:8" x14ac:dyDescent="0.2">
      <c r="A1103" s="37">
        <v>1101</v>
      </c>
      <c r="C1103" s="17" t="e">
        <f>+'Detalle Compras'!#REF!</f>
        <v>#REF!</v>
      </c>
      <c r="D1103" s="55" t="str">
        <f t="shared" si="64"/>
        <v/>
      </c>
      <c r="E1103" s="14" t="str">
        <f>+IF(B1103="","",'Detalle Compras'!S1103+0)</f>
        <v/>
      </c>
      <c r="F1103" s="14" t="str">
        <f>+IF(B1103="","",EOMONTH('Detalle Compras'!S1103,G1103)+10)</f>
        <v/>
      </c>
      <c r="G1103" s="50">
        <f t="shared" si="65"/>
        <v>0</v>
      </c>
      <c r="H1103" s="50">
        <f t="shared" si="66"/>
        <v>0</v>
      </c>
    </row>
    <row r="1104" spans="1:8" x14ac:dyDescent="0.2">
      <c r="A1104" s="37">
        <v>1102</v>
      </c>
      <c r="C1104" s="17" t="e">
        <f>+'Detalle Compras'!#REF!</f>
        <v>#REF!</v>
      </c>
      <c r="D1104" s="55" t="str">
        <f t="shared" si="64"/>
        <v/>
      </c>
      <c r="E1104" s="14" t="str">
        <f>+IF(B1104="","",'Detalle Compras'!S1104+0)</f>
        <v/>
      </c>
      <c r="F1104" s="14" t="str">
        <f>+IF(B1104="","",EOMONTH('Detalle Compras'!S1104,G1104)+10)</f>
        <v/>
      </c>
      <c r="G1104" s="50">
        <f t="shared" si="65"/>
        <v>0</v>
      </c>
      <c r="H1104" s="50">
        <f t="shared" si="66"/>
        <v>0</v>
      </c>
    </row>
    <row r="1105" spans="1:8" x14ac:dyDescent="0.2">
      <c r="A1105" s="37">
        <v>1103</v>
      </c>
      <c r="C1105" s="17" t="e">
        <f>+'Detalle Compras'!#REF!</f>
        <v>#REF!</v>
      </c>
      <c r="D1105" s="55" t="str">
        <f t="shared" si="64"/>
        <v/>
      </c>
      <c r="E1105" s="14" t="str">
        <f>+IF(B1105="","",'Detalle Compras'!S1105+0)</f>
        <v/>
      </c>
      <c r="F1105" s="14" t="str">
        <f>+IF(B1105="","",EOMONTH('Detalle Compras'!S1105,G1105)+10)</f>
        <v/>
      </c>
      <c r="G1105" s="50">
        <f t="shared" si="65"/>
        <v>0</v>
      </c>
      <c r="H1105" s="50">
        <f t="shared" si="66"/>
        <v>0</v>
      </c>
    </row>
    <row r="1106" spans="1:8" x14ac:dyDescent="0.2">
      <c r="A1106" s="37">
        <v>1104</v>
      </c>
      <c r="C1106" s="17" t="e">
        <f>+'Detalle Compras'!#REF!</f>
        <v>#REF!</v>
      </c>
      <c r="D1106" s="55" t="str">
        <f t="shared" si="64"/>
        <v/>
      </c>
      <c r="E1106" s="14" t="str">
        <f>+IF(B1106="","",'Detalle Compras'!S1106+0)</f>
        <v/>
      </c>
      <c r="F1106" s="14" t="str">
        <f>+IF(B1106="","",EOMONTH('Detalle Compras'!S1106,G1106)+10)</f>
        <v/>
      </c>
      <c r="G1106" s="50">
        <f t="shared" si="65"/>
        <v>0</v>
      </c>
      <c r="H1106" s="50">
        <f t="shared" si="66"/>
        <v>0</v>
      </c>
    </row>
    <row r="1107" spans="1:8" x14ac:dyDescent="0.2">
      <c r="A1107" s="37">
        <v>1105</v>
      </c>
      <c r="C1107" s="17" t="e">
        <f>+'Detalle Compras'!#REF!</f>
        <v>#REF!</v>
      </c>
      <c r="D1107" s="55" t="str">
        <f t="shared" si="64"/>
        <v/>
      </c>
      <c r="E1107" s="14" t="str">
        <f>+IF(B1107="","",'Detalle Compras'!S1107+0)</f>
        <v/>
      </c>
      <c r="F1107" s="14" t="str">
        <f>+IF(B1107="","",EOMONTH('Detalle Compras'!S1107,G1107)+10)</f>
        <v/>
      </c>
      <c r="G1107" s="50">
        <f t="shared" si="65"/>
        <v>0</v>
      </c>
      <c r="H1107" s="50">
        <f t="shared" si="66"/>
        <v>0</v>
      </c>
    </row>
    <row r="1108" spans="1:8" x14ac:dyDescent="0.2">
      <c r="A1108" s="37">
        <v>1106</v>
      </c>
      <c r="C1108" s="17" t="e">
        <f>+'Detalle Compras'!#REF!</f>
        <v>#REF!</v>
      </c>
      <c r="D1108" s="55" t="str">
        <f t="shared" si="64"/>
        <v/>
      </c>
      <c r="E1108" s="14" t="str">
        <f>+IF(B1108="","",'Detalle Compras'!S1108+0)</f>
        <v/>
      </c>
      <c r="F1108" s="14" t="str">
        <f>+IF(B1108="","",EOMONTH('Detalle Compras'!S1108,G1108)+10)</f>
        <v/>
      </c>
      <c r="G1108" s="50">
        <f t="shared" si="65"/>
        <v>0</v>
      </c>
      <c r="H1108" s="50">
        <f t="shared" si="66"/>
        <v>0</v>
      </c>
    </row>
    <row r="1109" spans="1:8" x14ac:dyDescent="0.2">
      <c r="A1109" s="37">
        <v>1107</v>
      </c>
      <c r="C1109" s="17" t="e">
        <f>+'Detalle Compras'!#REF!</f>
        <v>#REF!</v>
      </c>
      <c r="D1109" s="55" t="str">
        <f t="shared" si="64"/>
        <v/>
      </c>
      <c r="E1109" s="14" t="str">
        <f>+IF(B1109="","",'Detalle Compras'!S1109+0)</f>
        <v/>
      </c>
      <c r="F1109" s="14" t="str">
        <f>+IF(B1109="","",EOMONTH('Detalle Compras'!S1109,G1109)+10)</f>
        <v/>
      </c>
      <c r="G1109" s="50">
        <f t="shared" si="65"/>
        <v>0</v>
      </c>
      <c r="H1109" s="50">
        <f t="shared" si="66"/>
        <v>0</v>
      </c>
    </row>
    <row r="1110" spans="1:8" x14ac:dyDescent="0.2">
      <c r="A1110" s="37">
        <v>1108</v>
      </c>
      <c r="C1110" s="17" t="e">
        <f>+'Detalle Compras'!#REF!</f>
        <v>#REF!</v>
      </c>
      <c r="D1110" s="55" t="str">
        <f t="shared" si="64"/>
        <v/>
      </c>
      <c r="E1110" s="14" t="str">
        <f>+IF(B1110="","",'Detalle Compras'!S1110+0)</f>
        <v/>
      </c>
      <c r="F1110" s="14" t="str">
        <f>+IF(B1110="","",EOMONTH('Detalle Compras'!S1110,G1110)+10)</f>
        <v/>
      </c>
      <c r="G1110" s="50">
        <f t="shared" si="65"/>
        <v>0</v>
      </c>
      <c r="H1110" s="50">
        <f t="shared" si="66"/>
        <v>0</v>
      </c>
    </row>
    <row r="1111" spans="1:8" x14ac:dyDescent="0.2">
      <c r="A1111" s="37">
        <v>1109</v>
      </c>
      <c r="C1111" s="17" t="e">
        <f>+'Detalle Compras'!#REF!</f>
        <v>#REF!</v>
      </c>
      <c r="D1111" s="55" t="str">
        <f t="shared" si="64"/>
        <v/>
      </c>
      <c r="E1111" s="14" t="str">
        <f>+IF(B1111="","",'Detalle Compras'!S1111+0)</f>
        <v/>
      </c>
      <c r="F1111" s="14" t="str">
        <f>+IF(B1111="","",EOMONTH('Detalle Compras'!S1111,G1111)+10)</f>
        <v/>
      </c>
      <c r="G1111" s="50">
        <f t="shared" si="65"/>
        <v>0</v>
      </c>
      <c r="H1111" s="50">
        <f t="shared" si="66"/>
        <v>0</v>
      </c>
    </row>
    <row r="1112" spans="1:8" x14ac:dyDescent="0.2">
      <c r="A1112" s="37">
        <v>1110</v>
      </c>
      <c r="C1112" s="17" t="e">
        <f>+'Detalle Compras'!#REF!</f>
        <v>#REF!</v>
      </c>
      <c r="D1112" s="55" t="str">
        <f t="shared" si="64"/>
        <v/>
      </c>
      <c r="E1112" s="14" t="str">
        <f>+IF(B1112="","",'Detalle Compras'!S1112+0)</f>
        <v/>
      </c>
      <c r="F1112" s="14" t="str">
        <f>+IF(B1112="","",EOMONTH('Detalle Compras'!S1112,G1112)+10)</f>
        <v/>
      </c>
      <c r="G1112" s="50">
        <f t="shared" si="65"/>
        <v>0</v>
      </c>
      <c r="H1112" s="50">
        <f t="shared" si="66"/>
        <v>0</v>
      </c>
    </row>
    <row r="1113" spans="1:8" x14ac:dyDescent="0.2">
      <c r="A1113" s="37">
        <v>1111</v>
      </c>
      <c r="C1113" s="17" t="e">
        <f>+'Detalle Compras'!#REF!</f>
        <v>#REF!</v>
      </c>
      <c r="D1113" s="55" t="str">
        <f t="shared" si="64"/>
        <v/>
      </c>
      <c r="E1113" s="14" t="str">
        <f>+IF(B1113="","",'Detalle Compras'!S1113+0)</f>
        <v/>
      </c>
      <c r="F1113" s="14" t="str">
        <f>+IF(B1113="","",EOMONTH('Detalle Compras'!S1113,G1113)+10)</f>
        <v/>
      </c>
      <c r="G1113" s="50">
        <f t="shared" si="65"/>
        <v>0</v>
      </c>
      <c r="H1113" s="50">
        <f t="shared" si="66"/>
        <v>0</v>
      </c>
    </row>
    <row r="1114" spans="1:8" x14ac:dyDescent="0.2">
      <c r="A1114" s="37">
        <v>1112</v>
      </c>
      <c r="C1114" s="17" t="e">
        <f>+'Detalle Compras'!#REF!</f>
        <v>#REF!</v>
      </c>
      <c r="D1114" s="55" t="str">
        <f t="shared" si="64"/>
        <v/>
      </c>
      <c r="E1114" s="14" t="str">
        <f>+IF(B1114="","",'Detalle Compras'!S1114+0)</f>
        <v/>
      </c>
      <c r="F1114" s="14" t="str">
        <f>+IF(B1114="","",EOMONTH('Detalle Compras'!S1114,G1114)+10)</f>
        <v/>
      </c>
      <c r="G1114" s="50">
        <f t="shared" si="65"/>
        <v>0</v>
      </c>
      <c r="H1114" s="50">
        <f t="shared" si="66"/>
        <v>0</v>
      </c>
    </row>
    <row r="1115" spans="1:8" x14ac:dyDescent="0.2">
      <c r="A1115" s="37">
        <v>1113</v>
      </c>
      <c r="C1115" s="17" t="e">
        <f>+'Detalle Compras'!#REF!</f>
        <v>#REF!</v>
      </c>
      <c r="D1115" s="55" t="str">
        <f t="shared" si="64"/>
        <v/>
      </c>
      <c r="E1115" s="14" t="str">
        <f>+IF(B1115="","",'Detalle Compras'!S1115+0)</f>
        <v/>
      </c>
      <c r="F1115" s="14" t="str">
        <f>+IF(B1115="","",EOMONTH('Detalle Compras'!S1115,G1115)+10)</f>
        <v/>
      </c>
      <c r="G1115" s="50">
        <f t="shared" si="65"/>
        <v>0</v>
      </c>
      <c r="H1115" s="50">
        <f t="shared" si="66"/>
        <v>0</v>
      </c>
    </row>
    <row r="1116" spans="1:8" x14ac:dyDescent="0.2">
      <c r="A1116" s="37">
        <v>1114</v>
      </c>
      <c r="C1116" s="17" t="e">
        <f>+'Detalle Compras'!#REF!</f>
        <v>#REF!</v>
      </c>
      <c r="D1116" s="55" t="str">
        <f t="shared" si="64"/>
        <v/>
      </c>
      <c r="E1116" s="14" t="str">
        <f>+IF(B1116="","",'Detalle Compras'!S1116+0)</f>
        <v/>
      </c>
      <c r="F1116" s="14" t="str">
        <f>+IF(B1116="","",EOMONTH('Detalle Compras'!S1116,G1116)+10)</f>
        <v/>
      </c>
      <c r="G1116" s="50">
        <f t="shared" si="65"/>
        <v>0</v>
      </c>
      <c r="H1116" s="50">
        <f t="shared" si="66"/>
        <v>0</v>
      </c>
    </row>
    <row r="1117" spans="1:8" x14ac:dyDescent="0.2">
      <c r="A1117" s="37">
        <v>1115</v>
      </c>
      <c r="C1117" s="17" t="e">
        <f>+'Detalle Compras'!#REF!</f>
        <v>#REF!</v>
      </c>
      <c r="D1117" s="55" t="str">
        <f t="shared" si="64"/>
        <v/>
      </c>
      <c r="E1117" s="14" t="str">
        <f>+IF(B1117="","",'Detalle Compras'!S1117+0)</f>
        <v/>
      </c>
      <c r="F1117" s="14" t="str">
        <f>+IF(B1117="","",EOMONTH('Detalle Compras'!S1117,G1117)+10)</f>
        <v/>
      </c>
      <c r="G1117" s="50">
        <f t="shared" si="65"/>
        <v>0</v>
      </c>
      <c r="H1117" s="50">
        <f t="shared" si="66"/>
        <v>0</v>
      </c>
    </row>
    <row r="1118" spans="1:8" x14ac:dyDescent="0.2">
      <c r="A1118" s="37">
        <v>1116</v>
      </c>
      <c r="C1118" s="17" t="e">
        <f>+'Detalle Compras'!#REF!</f>
        <v>#REF!</v>
      </c>
      <c r="D1118" s="55" t="str">
        <f t="shared" si="64"/>
        <v/>
      </c>
      <c r="E1118" s="14" t="str">
        <f>+IF(B1118="","",'Detalle Compras'!S1118+0)</f>
        <v/>
      </c>
      <c r="F1118" s="14" t="str">
        <f>+IF(B1118="","",EOMONTH('Detalle Compras'!S1118,G1118)+10)</f>
        <v/>
      </c>
      <c r="G1118" s="50">
        <f t="shared" si="65"/>
        <v>0</v>
      </c>
      <c r="H1118" s="50">
        <f t="shared" si="66"/>
        <v>0</v>
      </c>
    </row>
    <row r="1119" spans="1:8" x14ac:dyDescent="0.2">
      <c r="A1119" s="37">
        <v>1117</v>
      </c>
      <c r="C1119" s="17" t="e">
        <f>+'Detalle Compras'!#REF!</f>
        <v>#REF!</v>
      </c>
      <c r="D1119" s="55" t="str">
        <f t="shared" si="64"/>
        <v/>
      </c>
      <c r="E1119" s="14" t="str">
        <f>+IF(B1119="","",'Detalle Compras'!S1119+0)</f>
        <v/>
      </c>
      <c r="F1119" s="14" t="str">
        <f>+IF(B1119="","",EOMONTH('Detalle Compras'!S1119,G1119)+10)</f>
        <v/>
      </c>
      <c r="G1119" s="50">
        <f t="shared" si="65"/>
        <v>0</v>
      </c>
      <c r="H1119" s="50">
        <f t="shared" si="66"/>
        <v>0</v>
      </c>
    </row>
    <row r="1120" spans="1:8" x14ac:dyDescent="0.2">
      <c r="A1120" s="37">
        <v>1118</v>
      </c>
      <c r="C1120" s="17" t="e">
        <f>+'Detalle Compras'!#REF!</f>
        <v>#REF!</v>
      </c>
      <c r="D1120" s="55" t="str">
        <f t="shared" si="64"/>
        <v/>
      </c>
      <c r="E1120" s="14" t="str">
        <f>+IF(B1120="","",'Detalle Compras'!S1120+0)</f>
        <v/>
      </c>
      <c r="F1120" s="14" t="str">
        <f>+IF(B1120="","",EOMONTH('Detalle Compras'!S1120,G1120)+10)</f>
        <v/>
      </c>
      <c r="G1120" s="50">
        <f t="shared" si="65"/>
        <v>0</v>
      </c>
      <c r="H1120" s="50">
        <f t="shared" si="66"/>
        <v>0</v>
      </c>
    </row>
    <row r="1121" spans="1:8" x14ac:dyDescent="0.2">
      <c r="A1121" s="37">
        <v>1119</v>
      </c>
      <c r="C1121" s="17" t="e">
        <f>+'Detalle Compras'!#REF!</f>
        <v>#REF!</v>
      </c>
      <c r="D1121" s="55" t="str">
        <f t="shared" si="64"/>
        <v/>
      </c>
      <c r="E1121" s="14" t="str">
        <f>+IF(B1121="","",'Detalle Compras'!S1121+0)</f>
        <v/>
      </c>
      <c r="F1121" s="14" t="str">
        <f>+IF(B1121="","",EOMONTH('Detalle Compras'!S1121,G1121)+10)</f>
        <v/>
      </c>
      <c r="G1121" s="50">
        <f t="shared" si="65"/>
        <v>0</v>
      </c>
      <c r="H1121" s="50">
        <f t="shared" si="66"/>
        <v>0</v>
      </c>
    </row>
    <row r="1122" spans="1:8" x14ac:dyDescent="0.2">
      <c r="A1122" s="37">
        <v>1120</v>
      </c>
      <c r="C1122" s="17" t="e">
        <f>+'Detalle Compras'!#REF!</f>
        <v>#REF!</v>
      </c>
      <c r="D1122" s="55" t="str">
        <f t="shared" si="64"/>
        <v/>
      </c>
      <c r="E1122" s="14" t="str">
        <f>+IF(B1122="","",'Detalle Compras'!S1122+0)</f>
        <v/>
      </c>
      <c r="F1122" s="14" t="str">
        <f>+IF(B1122="","",EOMONTH('Detalle Compras'!S1122,G1122)+10)</f>
        <v/>
      </c>
      <c r="G1122" s="50">
        <f t="shared" si="65"/>
        <v>0</v>
      </c>
      <c r="H1122" s="50">
        <f t="shared" si="66"/>
        <v>0</v>
      </c>
    </row>
    <row r="1123" spans="1:8" x14ac:dyDescent="0.2">
      <c r="A1123" s="37">
        <v>1121</v>
      </c>
      <c r="C1123" s="17" t="e">
        <f>+'Detalle Compras'!#REF!</f>
        <v>#REF!</v>
      </c>
      <c r="D1123" s="55" t="str">
        <f t="shared" si="64"/>
        <v/>
      </c>
      <c r="E1123" s="14" t="str">
        <f>+IF(B1123="","",'Detalle Compras'!S1123+0)</f>
        <v/>
      </c>
      <c r="F1123" s="14" t="str">
        <f>+IF(B1123="","",EOMONTH('Detalle Compras'!S1123,G1123)+10)</f>
        <v/>
      </c>
      <c r="G1123" s="50">
        <f t="shared" si="65"/>
        <v>0</v>
      </c>
      <c r="H1123" s="50">
        <f t="shared" si="66"/>
        <v>0</v>
      </c>
    </row>
    <row r="1124" spans="1:8" x14ac:dyDescent="0.2">
      <c r="A1124" s="37">
        <v>1122</v>
      </c>
      <c r="C1124" s="17" t="e">
        <f>+'Detalle Compras'!#REF!</f>
        <v>#REF!</v>
      </c>
      <c r="D1124" s="55" t="str">
        <f t="shared" si="64"/>
        <v/>
      </c>
      <c r="E1124" s="14" t="str">
        <f>+IF(B1124="","",'Detalle Compras'!S1124+0)</f>
        <v/>
      </c>
      <c r="F1124" s="14" t="str">
        <f>+IF(B1124="","",EOMONTH('Detalle Compras'!S1124,G1124)+10)</f>
        <v/>
      </c>
      <c r="G1124" s="50">
        <f t="shared" si="65"/>
        <v>0</v>
      </c>
      <c r="H1124" s="50">
        <f t="shared" si="66"/>
        <v>0</v>
      </c>
    </row>
    <row r="1125" spans="1:8" x14ac:dyDescent="0.2">
      <c r="A1125" s="37">
        <v>1123</v>
      </c>
      <c r="C1125" s="17" t="e">
        <f>+'Detalle Compras'!#REF!</f>
        <v>#REF!</v>
      </c>
      <c r="D1125" s="55" t="str">
        <f t="shared" si="64"/>
        <v/>
      </c>
      <c r="E1125" s="14" t="str">
        <f>+IF(B1125="","",'Detalle Compras'!S1125+0)</f>
        <v/>
      </c>
      <c r="F1125" s="14" t="str">
        <f>+IF(B1125="","",EOMONTH('Detalle Compras'!S1125,G1125)+10)</f>
        <v/>
      </c>
      <c r="G1125" s="50">
        <f t="shared" si="65"/>
        <v>0</v>
      </c>
      <c r="H1125" s="50">
        <f t="shared" si="66"/>
        <v>0</v>
      </c>
    </row>
    <row r="1126" spans="1:8" x14ac:dyDescent="0.2">
      <c r="A1126" s="37">
        <v>1124</v>
      </c>
      <c r="C1126" s="17" t="e">
        <f>+'Detalle Compras'!#REF!</f>
        <v>#REF!</v>
      </c>
      <c r="D1126" s="55" t="str">
        <f t="shared" si="64"/>
        <v/>
      </c>
      <c r="E1126" s="14" t="str">
        <f>+IF(B1126="","",'Detalle Compras'!S1126+0)</f>
        <v/>
      </c>
      <c r="F1126" s="14" t="str">
        <f>+IF(B1126="","",EOMONTH('Detalle Compras'!S1126,G1126)+10)</f>
        <v/>
      </c>
      <c r="G1126" s="50">
        <f t="shared" si="65"/>
        <v>0</v>
      </c>
      <c r="H1126" s="50">
        <f t="shared" si="66"/>
        <v>0</v>
      </c>
    </row>
    <row r="1127" spans="1:8" x14ac:dyDescent="0.2">
      <c r="A1127" s="37">
        <v>1125</v>
      </c>
      <c r="C1127" s="17" t="e">
        <f>+'Detalle Compras'!#REF!</f>
        <v>#REF!</v>
      </c>
      <c r="D1127" s="55" t="str">
        <f t="shared" si="64"/>
        <v/>
      </c>
      <c r="E1127" s="14" t="str">
        <f>+IF(B1127="","",'Detalle Compras'!S1127+0)</f>
        <v/>
      </c>
      <c r="F1127" s="14" t="str">
        <f>+IF(B1127="","",EOMONTH('Detalle Compras'!S1127,G1127)+10)</f>
        <v/>
      </c>
      <c r="G1127" s="50">
        <f t="shared" si="65"/>
        <v>0</v>
      </c>
      <c r="H1127" s="50">
        <f t="shared" si="66"/>
        <v>0</v>
      </c>
    </row>
    <row r="1128" spans="1:8" x14ac:dyDescent="0.2">
      <c r="A1128" s="37">
        <v>1126</v>
      </c>
      <c r="C1128" s="17" t="e">
        <f>+'Detalle Compras'!#REF!</f>
        <v>#REF!</v>
      </c>
      <c r="D1128" s="55" t="str">
        <f t="shared" si="64"/>
        <v/>
      </c>
      <c r="E1128" s="14" t="str">
        <f>+IF(B1128="","",'Detalle Compras'!S1128+0)</f>
        <v/>
      </c>
      <c r="F1128" s="14" t="str">
        <f>+IF(B1128="","",EOMONTH('Detalle Compras'!S1128,G1128)+10)</f>
        <v/>
      </c>
      <c r="G1128" s="50">
        <f t="shared" si="65"/>
        <v>0</v>
      </c>
      <c r="H1128" s="50">
        <f t="shared" si="66"/>
        <v>0</v>
      </c>
    </row>
    <row r="1129" spans="1:8" x14ac:dyDescent="0.2">
      <c r="A1129" s="37">
        <v>1127</v>
      </c>
      <c r="C1129" s="17" t="e">
        <f>+'Detalle Compras'!#REF!</f>
        <v>#REF!</v>
      </c>
      <c r="D1129" s="55" t="str">
        <f t="shared" si="64"/>
        <v/>
      </c>
      <c r="E1129" s="14" t="str">
        <f>+IF(B1129="","",'Detalle Compras'!S1129+0)</f>
        <v/>
      </c>
      <c r="F1129" s="14" t="str">
        <f>+IF(B1129="","",EOMONTH('Detalle Compras'!S1129,G1129)+10)</f>
        <v/>
      </c>
      <c r="G1129" s="50">
        <f t="shared" si="65"/>
        <v>0</v>
      </c>
      <c r="H1129" s="50">
        <f t="shared" si="66"/>
        <v>0</v>
      </c>
    </row>
    <row r="1130" spans="1:8" x14ac:dyDescent="0.2">
      <c r="A1130" s="37">
        <v>1128</v>
      </c>
      <c r="C1130" s="17" t="e">
        <f>+'Detalle Compras'!#REF!</f>
        <v>#REF!</v>
      </c>
      <c r="D1130" s="55" t="str">
        <f t="shared" si="64"/>
        <v/>
      </c>
      <c r="E1130" s="14" t="str">
        <f>+IF(B1130="","",'Detalle Compras'!S1130+0)</f>
        <v/>
      </c>
      <c r="F1130" s="14" t="str">
        <f>+IF(B1130="","",EOMONTH('Detalle Compras'!S1130,G1130)+10)</f>
        <v/>
      </c>
      <c r="G1130" s="50">
        <f t="shared" si="65"/>
        <v>0</v>
      </c>
      <c r="H1130" s="50">
        <f t="shared" si="66"/>
        <v>0</v>
      </c>
    </row>
    <row r="1131" spans="1:8" x14ac:dyDescent="0.2">
      <c r="A1131" s="37">
        <v>1129</v>
      </c>
      <c r="C1131" s="17" t="e">
        <f>+'Detalle Compras'!#REF!</f>
        <v>#REF!</v>
      </c>
      <c r="D1131" s="55" t="str">
        <f t="shared" si="64"/>
        <v/>
      </c>
      <c r="E1131" s="14" t="str">
        <f>+IF(B1131="","",'Detalle Compras'!S1131+0)</f>
        <v/>
      </c>
      <c r="F1131" s="14" t="str">
        <f>+IF(B1131="","",EOMONTH('Detalle Compras'!S1131,G1131)+10)</f>
        <v/>
      </c>
      <c r="G1131" s="50">
        <f t="shared" si="65"/>
        <v>0</v>
      </c>
      <c r="H1131" s="50">
        <f t="shared" si="66"/>
        <v>0</v>
      </c>
    </row>
    <row r="1132" spans="1:8" x14ac:dyDescent="0.2">
      <c r="A1132" s="37">
        <v>1130</v>
      </c>
      <c r="C1132" s="17" t="e">
        <f>+'Detalle Compras'!#REF!</f>
        <v>#REF!</v>
      </c>
      <c r="D1132" s="55" t="str">
        <f t="shared" si="64"/>
        <v/>
      </c>
      <c r="E1132" s="14" t="str">
        <f>+IF(B1132="","",'Detalle Compras'!S1132+0)</f>
        <v/>
      </c>
      <c r="F1132" s="14" t="str">
        <f>+IF(B1132="","",EOMONTH('Detalle Compras'!S1132,G1132)+10)</f>
        <v/>
      </c>
      <c r="G1132" s="50">
        <f t="shared" si="65"/>
        <v>0</v>
      </c>
      <c r="H1132" s="50">
        <f t="shared" si="66"/>
        <v>0</v>
      </c>
    </row>
    <row r="1133" spans="1:8" x14ac:dyDescent="0.2">
      <c r="A1133" s="37">
        <v>1131</v>
      </c>
      <c r="C1133" s="17" t="e">
        <f>+'Detalle Compras'!#REF!</f>
        <v>#REF!</v>
      </c>
      <c r="D1133" s="55" t="str">
        <f t="shared" si="64"/>
        <v/>
      </c>
      <c r="E1133" s="14" t="str">
        <f>+IF(B1133="","",'Detalle Compras'!S1133+0)</f>
        <v/>
      </c>
      <c r="F1133" s="14" t="str">
        <f>+IF(B1133="","",EOMONTH('Detalle Compras'!S1133,G1133)+10)</f>
        <v/>
      </c>
      <c r="G1133" s="50">
        <f t="shared" si="65"/>
        <v>0</v>
      </c>
      <c r="H1133" s="50">
        <f t="shared" si="66"/>
        <v>0</v>
      </c>
    </row>
    <row r="1134" spans="1:8" x14ac:dyDescent="0.2">
      <c r="A1134" s="37">
        <v>1132</v>
      </c>
      <c r="C1134" s="17" t="e">
        <f>+'Detalle Compras'!#REF!</f>
        <v>#REF!</v>
      </c>
      <c r="D1134" s="55" t="str">
        <f t="shared" si="64"/>
        <v/>
      </c>
      <c r="E1134" s="14" t="str">
        <f>+IF(B1134="","",'Detalle Compras'!S1134+0)</f>
        <v/>
      </c>
      <c r="F1134" s="14" t="str">
        <f>+IF(B1134="","",EOMONTH('Detalle Compras'!S1134,G1134)+10)</f>
        <v/>
      </c>
      <c r="G1134" s="50">
        <f t="shared" si="65"/>
        <v>0</v>
      </c>
      <c r="H1134" s="50">
        <f t="shared" si="66"/>
        <v>0</v>
      </c>
    </row>
    <row r="1135" spans="1:8" x14ac:dyDescent="0.2">
      <c r="A1135" s="37">
        <v>1133</v>
      </c>
      <c r="C1135" s="17" t="e">
        <f>+'Detalle Compras'!#REF!</f>
        <v>#REF!</v>
      </c>
      <c r="D1135" s="55" t="str">
        <f t="shared" si="64"/>
        <v/>
      </c>
      <c r="E1135" s="14" t="str">
        <f>+IF(B1135="","",'Detalle Compras'!S1135+0)</f>
        <v/>
      </c>
      <c r="F1135" s="14" t="str">
        <f>+IF(B1135="","",EOMONTH('Detalle Compras'!S1135,G1135)+10)</f>
        <v/>
      </c>
      <c r="G1135" s="50">
        <f t="shared" si="65"/>
        <v>0</v>
      </c>
      <c r="H1135" s="50">
        <f t="shared" si="66"/>
        <v>0</v>
      </c>
    </row>
    <row r="1136" spans="1:8" x14ac:dyDescent="0.2">
      <c r="A1136" s="37">
        <v>1134</v>
      </c>
      <c r="C1136" s="17" t="e">
        <f>+'Detalle Compras'!#REF!</f>
        <v>#REF!</v>
      </c>
      <c r="D1136" s="55" t="str">
        <f t="shared" si="64"/>
        <v/>
      </c>
      <c r="E1136" s="14" t="str">
        <f>+IF(B1136="","",'Detalle Compras'!S1136+0)</f>
        <v/>
      </c>
      <c r="F1136" s="14" t="str">
        <f>+IF(B1136="","",EOMONTH('Detalle Compras'!S1136,G1136)+10)</f>
        <v/>
      </c>
      <c r="G1136" s="50">
        <f t="shared" si="65"/>
        <v>0</v>
      </c>
      <c r="H1136" s="50">
        <f t="shared" si="66"/>
        <v>0</v>
      </c>
    </row>
    <row r="1137" spans="1:8" x14ac:dyDescent="0.2">
      <c r="A1137" s="37">
        <v>1135</v>
      </c>
      <c r="C1137" s="17" t="e">
        <f>+'Detalle Compras'!#REF!</f>
        <v>#REF!</v>
      </c>
      <c r="D1137" s="55" t="str">
        <f t="shared" si="64"/>
        <v/>
      </c>
      <c r="E1137" s="14" t="str">
        <f>+IF(B1137="","",'Detalle Compras'!S1137+0)</f>
        <v/>
      </c>
      <c r="F1137" s="14" t="str">
        <f>+IF(B1137="","",EOMONTH('Detalle Compras'!S1137,G1137)+10)</f>
        <v/>
      </c>
      <c r="G1137" s="50">
        <f t="shared" si="65"/>
        <v>0</v>
      </c>
      <c r="H1137" s="50">
        <f t="shared" si="66"/>
        <v>0</v>
      </c>
    </row>
    <row r="1138" spans="1:8" x14ac:dyDescent="0.2">
      <c r="A1138" s="37">
        <v>1136</v>
      </c>
      <c r="C1138" s="17" t="e">
        <f>+'Detalle Compras'!#REF!</f>
        <v>#REF!</v>
      </c>
      <c r="D1138" s="55" t="str">
        <f t="shared" si="64"/>
        <v/>
      </c>
      <c r="E1138" s="14" t="str">
        <f>+IF(B1138="","",'Detalle Compras'!S1138+0)</f>
        <v/>
      </c>
      <c r="F1138" s="14" t="str">
        <f>+IF(B1138="","",EOMONTH('Detalle Compras'!S1138,G1138)+10)</f>
        <v/>
      </c>
      <c r="G1138" s="50">
        <f t="shared" si="65"/>
        <v>0</v>
      </c>
      <c r="H1138" s="50">
        <f t="shared" si="66"/>
        <v>0</v>
      </c>
    </row>
    <row r="1139" spans="1:8" x14ac:dyDescent="0.2">
      <c r="A1139" s="37">
        <v>1137</v>
      </c>
      <c r="C1139" s="17" t="e">
        <f>+'Detalle Compras'!#REF!</f>
        <v>#REF!</v>
      </c>
      <c r="D1139" s="55" t="str">
        <f t="shared" si="64"/>
        <v/>
      </c>
      <c r="E1139" s="14" t="str">
        <f>+IF(B1139="","",'Detalle Compras'!S1139+0)</f>
        <v/>
      </c>
      <c r="F1139" s="14" t="str">
        <f>+IF(B1139="","",EOMONTH('Detalle Compras'!S1139,G1139)+10)</f>
        <v/>
      </c>
      <c r="G1139" s="50">
        <f t="shared" si="65"/>
        <v>0</v>
      </c>
      <c r="H1139" s="50">
        <f t="shared" si="66"/>
        <v>0</v>
      </c>
    </row>
    <row r="1140" spans="1:8" x14ac:dyDescent="0.2">
      <c r="A1140" s="37">
        <v>1138</v>
      </c>
      <c r="C1140" s="17" t="e">
        <f>+'Detalle Compras'!#REF!</f>
        <v>#REF!</v>
      </c>
      <c r="D1140" s="55" t="str">
        <f t="shared" si="64"/>
        <v/>
      </c>
      <c r="E1140" s="14" t="str">
        <f>+IF(B1140="","",'Detalle Compras'!S1140+0)</f>
        <v/>
      </c>
      <c r="F1140" s="14" t="str">
        <f>+IF(B1140="","",EOMONTH('Detalle Compras'!S1140,G1140)+10)</f>
        <v/>
      </c>
      <c r="G1140" s="50">
        <f t="shared" si="65"/>
        <v>0</v>
      </c>
      <c r="H1140" s="50">
        <f t="shared" si="66"/>
        <v>0</v>
      </c>
    </row>
    <row r="1141" spans="1:8" x14ac:dyDescent="0.2">
      <c r="A1141" s="37">
        <v>1139</v>
      </c>
      <c r="C1141" s="17" t="e">
        <f>+'Detalle Compras'!#REF!</f>
        <v>#REF!</v>
      </c>
      <c r="D1141" s="55" t="str">
        <f t="shared" si="64"/>
        <v/>
      </c>
      <c r="E1141" s="14" t="str">
        <f>+IF(B1141="","",'Detalle Compras'!S1141+0)</f>
        <v/>
      </c>
      <c r="F1141" s="14" t="str">
        <f>+IF(B1141="","",EOMONTH('Detalle Compras'!S1141,G1141)+10)</f>
        <v/>
      </c>
      <c r="G1141" s="50">
        <f t="shared" si="65"/>
        <v>0</v>
      </c>
      <c r="H1141" s="50">
        <f t="shared" si="66"/>
        <v>0</v>
      </c>
    </row>
    <row r="1142" spans="1:8" x14ac:dyDescent="0.2">
      <c r="A1142" s="37">
        <v>1140</v>
      </c>
      <c r="C1142" s="17" t="e">
        <f>+'Detalle Compras'!#REF!</f>
        <v>#REF!</v>
      </c>
      <c r="D1142" s="55" t="str">
        <f t="shared" si="64"/>
        <v/>
      </c>
      <c r="E1142" s="14" t="str">
        <f>+IF(B1142="","",'Detalle Compras'!S1142+0)</f>
        <v/>
      </c>
      <c r="F1142" s="14" t="str">
        <f>+IF(B1142="","",EOMONTH('Detalle Compras'!S1142,G1142)+10)</f>
        <v/>
      </c>
      <c r="G1142" s="50">
        <f t="shared" si="65"/>
        <v>0</v>
      </c>
      <c r="H1142" s="50">
        <f t="shared" si="66"/>
        <v>0</v>
      </c>
    </row>
    <row r="1143" spans="1:8" x14ac:dyDescent="0.2">
      <c r="A1143" s="37">
        <v>1141</v>
      </c>
      <c r="C1143" s="17" t="e">
        <f>+'Detalle Compras'!#REF!</f>
        <v>#REF!</v>
      </c>
      <c r="D1143" s="55" t="str">
        <f t="shared" si="64"/>
        <v/>
      </c>
      <c r="E1143" s="14" t="str">
        <f>+IF(B1143="","",'Detalle Compras'!S1143+0)</f>
        <v/>
      </c>
      <c r="F1143" s="14" t="str">
        <f>+IF(B1143="","",EOMONTH('Detalle Compras'!S1143,G1143)+10)</f>
        <v/>
      </c>
      <c r="G1143" s="50">
        <f t="shared" si="65"/>
        <v>0</v>
      </c>
      <c r="H1143" s="50">
        <f t="shared" si="66"/>
        <v>0</v>
      </c>
    </row>
    <row r="1144" spans="1:8" x14ac:dyDescent="0.2">
      <c r="A1144" s="37">
        <v>1142</v>
      </c>
      <c r="C1144" s="17" t="e">
        <f>+'Detalle Compras'!#REF!</f>
        <v>#REF!</v>
      </c>
      <c r="D1144" s="55" t="str">
        <f t="shared" si="64"/>
        <v/>
      </c>
      <c r="E1144" s="14" t="str">
        <f>+IF(B1144="","",'Detalle Compras'!S1144+0)</f>
        <v/>
      </c>
      <c r="F1144" s="14" t="str">
        <f>+IF(B1144="","",EOMONTH('Detalle Compras'!S1144,G1144)+10)</f>
        <v/>
      </c>
      <c r="G1144" s="50">
        <f t="shared" si="65"/>
        <v>0</v>
      </c>
      <c r="H1144" s="50">
        <f t="shared" si="66"/>
        <v>0</v>
      </c>
    </row>
    <row r="1145" spans="1:8" x14ac:dyDescent="0.2">
      <c r="A1145" s="37">
        <v>1143</v>
      </c>
      <c r="C1145" s="17" t="e">
        <f>+'Detalle Compras'!#REF!</f>
        <v>#REF!</v>
      </c>
      <c r="D1145" s="55" t="str">
        <f t="shared" si="64"/>
        <v/>
      </c>
      <c r="E1145" s="14" t="str">
        <f>+IF(B1145="","",'Detalle Compras'!S1145+0)</f>
        <v/>
      </c>
      <c r="F1145" s="14" t="str">
        <f>+IF(B1145="","",EOMONTH('Detalle Compras'!S1145,G1145)+10)</f>
        <v/>
      </c>
      <c r="G1145" s="50">
        <f t="shared" si="65"/>
        <v>0</v>
      </c>
      <c r="H1145" s="50">
        <f t="shared" si="66"/>
        <v>0</v>
      </c>
    </row>
    <row r="1146" spans="1:8" x14ac:dyDescent="0.2">
      <c r="A1146" s="37">
        <v>1144</v>
      </c>
      <c r="C1146" s="17" t="e">
        <f>+'Detalle Compras'!#REF!</f>
        <v>#REF!</v>
      </c>
      <c r="D1146" s="55" t="str">
        <f t="shared" si="64"/>
        <v/>
      </c>
      <c r="E1146" s="14" t="str">
        <f>+IF(B1146="","",'Detalle Compras'!S1146+0)</f>
        <v/>
      </c>
      <c r="F1146" s="14" t="str">
        <f>+IF(B1146="","",EOMONTH('Detalle Compras'!S1146,G1146)+10)</f>
        <v/>
      </c>
      <c r="G1146" s="50">
        <f t="shared" si="65"/>
        <v>0</v>
      </c>
      <c r="H1146" s="50">
        <f t="shared" si="66"/>
        <v>0</v>
      </c>
    </row>
    <row r="1147" spans="1:8" x14ac:dyDescent="0.2">
      <c r="A1147" s="37">
        <v>1145</v>
      </c>
      <c r="C1147" s="17" t="e">
        <f>+'Detalle Compras'!#REF!</f>
        <v>#REF!</v>
      </c>
      <c r="D1147" s="55" t="str">
        <f t="shared" si="64"/>
        <v/>
      </c>
      <c r="E1147" s="14" t="str">
        <f>+IF(B1147="","",'Detalle Compras'!S1147+0)</f>
        <v/>
      </c>
      <c r="F1147" s="14" t="str">
        <f>+IF(B1147="","",EOMONTH('Detalle Compras'!S1147,G1147)+10)</f>
        <v/>
      </c>
      <c r="G1147" s="50">
        <f t="shared" si="65"/>
        <v>0</v>
      </c>
      <c r="H1147" s="50">
        <f t="shared" si="66"/>
        <v>0</v>
      </c>
    </row>
    <row r="1148" spans="1:8" x14ac:dyDescent="0.2">
      <c r="A1148" s="37">
        <v>1146</v>
      </c>
      <c r="C1148" s="17" t="e">
        <f>+'Detalle Compras'!#REF!</f>
        <v>#REF!</v>
      </c>
      <c r="D1148" s="55" t="str">
        <f t="shared" si="64"/>
        <v/>
      </c>
      <c r="E1148" s="14" t="str">
        <f>+IF(B1148="","",'Detalle Compras'!S1148+0)</f>
        <v/>
      </c>
      <c r="F1148" s="14" t="str">
        <f>+IF(B1148="","",EOMONTH('Detalle Compras'!S1148,G1148)+10)</f>
        <v/>
      </c>
      <c r="G1148" s="50">
        <f t="shared" si="65"/>
        <v>0</v>
      </c>
      <c r="H1148" s="50">
        <f t="shared" si="66"/>
        <v>0</v>
      </c>
    </row>
    <row r="1149" spans="1:8" x14ac:dyDescent="0.2">
      <c r="A1149" s="37">
        <v>1147</v>
      </c>
      <c r="C1149" s="17" t="e">
        <f>+'Detalle Compras'!#REF!</f>
        <v>#REF!</v>
      </c>
      <c r="D1149" s="55" t="str">
        <f t="shared" si="64"/>
        <v/>
      </c>
      <c r="E1149" s="14" t="str">
        <f>+IF(B1149="","",'Detalle Compras'!S1149+0)</f>
        <v/>
      </c>
      <c r="F1149" s="14" t="str">
        <f>+IF(B1149="","",EOMONTH('Detalle Compras'!S1149,G1149)+10)</f>
        <v/>
      </c>
      <c r="G1149" s="50">
        <f t="shared" si="65"/>
        <v>0</v>
      </c>
      <c r="H1149" s="50">
        <f t="shared" si="66"/>
        <v>0</v>
      </c>
    </row>
    <row r="1150" spans="1:8" x14ac:dyDescent="0.2">
      <c r="A1150" s="37">
        <v>1148</v>
      </c>
      <c r="C1150" s="17" t="e">
        <f>+'Detalle Compras'!#REF!</f>
        <v>#REF!</v>
      </c>
      <c r="D1150" s="55" t="str">
        <f t="shared" si="64"/>
        <v/>
      </c>
      <c r="E1150" s="14" t="str">
        <f>+IF(B1150="","",'Detalle Compras'!S1150+0)</f>
        <v/>
      </c>
      <c r="F1150" s="14" t="str">
        <f>+IF(B1150="","",EOMONTH('Detalle Compras'!S1150,G1150)+10)</f>
        <v/>
      </c>
      <c r="G1150" s="50">
        <f t="shared" si="65"/>
        <v>0</v>
      </c>
      <c r="H1150" s="50">
        <f t="shared" si="66"/>
        <v>0</v>
      </c>
    </row>
    <row r="1151" spans="1:8" x14ac:dyDescent="0.2">
      <c r="A1151" s="37">
        <v>1149</v>
      </c>
      <c r="C1151" s="17" t="e">
        <f>+'Detalle Compras'!#REF!</f>
        <v>#REF!</v>
      </c>
      <c r="D1151" s="55" t="str">
        <f t="shared" si="64"/>
        <v/>
      </c>
      <c r="E1151" s="14" t="str">
        <f>+IF(B1151="","",'Detalle Compras'!S1151+0)</f>
        <v/>
      </c>
      <c r="F1151" s="14" t="str">
        <f>+IF(B1151="","",EOMONTH('Detalle Compras'!S1151,G1151)+10)</f>
        <v/>
      </c>
      <c r="G1151" s="50">
        <f t="shared" si="65"/>
        <v>0</v>
      </c>
      <c r="H1151" s="50">
        <f t="shared" si="66"/>
        <v>0</v>
      </c>
    </row>
    <row r="1152" spans="1:8" x14ac:dyDescent="0.2">
      <c r="A1152" s="37">
        <v>1150</v>
      </c>
      <c r="C1152" s="17" t="e">
        <f>+'Detalle Compras'!#REF!</f>
        <v>#REF!</v>
      </c>
      <c r="D1152" s="55" t="str">
        <f t="shared" si="64"/>
        <v/>
      </c>
      <c r="E1152" s="14" t="str">
        <f>+IF(B1152="","",'Detalle Compras'!S1152+0)</f>
        <v/>
      </c>
      <c r="F1152" s="14" t="str">
        <f>+IF(B1152="","",EOMONTH('Detalle Compras'!S1152,G1152)+10)</f>
        <v/>
      </c>
      <c r="G1152" s="50">
        <f t="shared" si="65"/>
        <v>0</v>
      </c>
      <c r="H1152" s="50">
        <f t="shared" si="66"/>
        <v>0</v>
      </c>
    </row>
    <row r="1153" spans="1:8" x14ac:dyDescent="0.2">
      <c r="A1153" s="37">
        <v>1151</v>
      </c>
      <c r="C1153" s="17" t="e">
        <f>+'Detalle Compras'!#REF!</f>
        <v>#REF!</v>
      </c>
      <c r="D1153" s="55" t="str">
        <f t="shared" si="64"/>
        <v/>
      </c>
      <c r="E1153" s="14" t="str">
        <f>+IF(B1153="","",'Detalle Compras'!S1153+0)</f>
        <v/>
      </c>
      <c r="F1153" s="14" t="str">
        <f>+IF(B1153="","",EOMONTH('Detalle Compras'!S1153,G1153)+10)</f>
        <v/>
      </c>
      <c r="G1153" s="50">
        <f t="shared" si="65"/>
        <v>0</v>
      </c>
      <c r="H1153" s="50">
        <f t="shared" si="66"/>
        <v>0</v>
      </c>
    </row>
    <row r="1154" spans="1:8" x14ac:dyDescent="0.2">
      <c r="A1154" s="37">
        <v>1152</v>
      </c>
      <c r="C1154" s="17" t="e">
        <f>+'Detalle Compras'!#REF!</f>
        <v>#REF!</v>
      </c>
      <c r="D1154" s="55" t="str">
        <f t="shared" si="64"/>
        <v/>
      </c>
      <c r="E1154" s="14" t="str">
        <f>+IF(B1154="","",'Detalle Compras'!S1154+0)</f>
        <v/>
      </c>
      <c r="F1154" s="14" t="str">
        <f>+IF(B1154="","",EOMONTH('Detalle Compras'!S1154,G1154)+10)</f>
        <v/>
      </c>
      <c r="G1154" s="50">
        <f t="shared" si="65"/>
        <v>0</v>
      </c>
      <c r="H1154" s="50">
        <f t="shared" si="66"/>
        <v>0</v>
      </c>
    </row>
    <row r="1155" spans="1:8" x14ac:dyDescent="0.2">
      <c r="A1155" s="37">
        <v>1153</v>
      </c>
      <c r="C1155" s="17" t="e">
        <f>+'Detalle Compras'!#REF!</f>
        <v>#REF!</v>
      </c>
      <c r="D1155" s="55" t="str">
        <f t="shared" si="64"/>
        <v/>
      </c>
      <c r="E1155" s="14" t="str">
        <f>+IF(B1155="","",'Detalle Compras'!S1155+0)</f>
        <v/>
      </c>
      <c r="F1155" s="14" t="str">
        <f>+IF(B1155="","",EOMONTH('Detalle Compras'!S1155,G1155)+10)</f>
        <v/>
      </c>
      <c r="G1155" s="50">
        <f t="shared" si="65"/>
        <v>0</v>
      </c>
      <c r="H1155" s="50">
        <f t="shared" si="66"/>
        <v>0</v>
      </c>
    </row>
    <row r="1156" spans="1:8" x14ac:dyDescent="0.2">
      <c r="A1156" s="37">
        <v>1154</v>
      </c>
      <c r="C1156" s="17" t="e">
        <f>+'Detalle Compras'!#REF!</f>
        <v>#REF!</v>
      </c>
      <c r="D1156" s="55" t="str">
        <f t="shared" ref="D1156:D1219" si="67">+IF(B1156="","",EA1156)</f>
        <v/>
      </c>
      <c r="E1156" s="14" t="str">
        <f>+IF(B1156="","",'Detalle Compras'!S1156+0)</f>
        <v/>
      </c>
      <c r="F1156" s="14" t="str">
        <f>+IF(B1156="","",EOMONTH('Detalle Compras'!S1156,G1156)+10)</f>
        <v/>
      </c>
      <c r="G1156" s="50">
        <f t="shared" ref="G1156:G1219" si="68">+COUNTIF(I1156:ADF1156,"&gt;1")</f>
        <v>0</v>
      </c>
      <c r="H1156" s="50">
        <f t="shared" ref="H1156:H1219" si="69">+COUNT(AF1156:ADF1156)</f>
        <v>0</v>
      </c>
    </row>
    <row r="1157" spans="1:8" x14ac:dyDescent="0.2">
      <c r="A1157" s="37">
        <v>1155</v>
      </c>
      <c r="C1157" s="17" t="e">
        <f>+'Detalle Compras'!#REF!</f>
        <v>#REF!</v>
      </c>
      <c r="D1157" s="55" t="str">
        <f t="shared" si="67"/>
        <v/>
      </c>
      <c r="E1157" s="14" t="str">
        <f>+IF(B1157="","",'Detalle Compras'!S1157+0)</f>
        <v/>
      </c>
      <c r="F1157" s="14" t="str">
        <f>+IF(B1157="","",EOMONTH('Detalle Compras'!S1157,G1157)+10)</f>
        <v/>
      </c>
      <c r="G1157" s="50">
        <f t="shared" si="68"/>
        <v>0</v>
      </c>
      <c r="H1157" s="50">
        <f t="shared" si="69"/>
        <v>0</v>
      </c>
    </row>
    <row r="1158" spans="1:8" x14ac:dyDescent="0.2">
      <c r="A1158" s="37">
        <v>1156</v>
      </c>
      <c r="C1158" s="17" t="e">
        <f>+'Detalle Compras'!#REF!</f>
        <v>#REF!</v>
      </c>
      <c r="D1158" s="55" t="str">
        <f t="shared" si="67"/>
        <v/>
      </c>
      <c r="E1158" s="14" t="str">
        <f>+IF(B1158="","",'Detalle Compras'!S1158+0)</f>
        <v/>
      </c>
      <c r="F1158" s="14" t="str">
        <f>+IF(B1158="","",EOMONTH('Detalle Compras'!S1158,G1158)+10)</f>
        <v/>
      </c>
      <c r="G1158" s="50">
        <f t="shared" si="68"/>
        <v>0</v>
      </c>
      <c r="H1158" s="50">
        <f t="shared" si="69"/>
        <v>0</v>
      </c>
    </row>
    <row r="1159" spans="1:8" x14ac:dyDescent="0.2">
      <c r="A1159" s="37">
        <v>1157</v>
      </c>
      <c r="C1159" s="17" t="e">
        <f>+'Detalle Compras'!#REF!</f>
        <v>#REF!</v>
      </c>
      <c r="D1159" s="55" t="str">
        <f t="shared" si="67"/>
        <v/>
      </c>
      <c r="E1159" s="14" t="str">
        <f>+IF(B1159="","",'Detalle Compras'!S1159+0)</f>
        <v/>
      </c>
      <c r="F1159" s="14" t="str">
        <f>+IF(B1159="","",EOMONTH('Detalle Compras'!S1159,G1159)+10)</f>
        <v/>
      </c>
      <c r="G1159" s="50">
        <f t="shared" si="68"/>
        <v>0</v>
      </c>
      <c r="H1159" s="50">
        <f t="shared" si="69"/>
        <v>0</v>
      </c>
    </row>
    <row r="1160" spans="1:8" x14ac:dyDescent="0.2">
      <c r="A1160" s="37">
        <v>1158</v>
      </c>
      <c r="C1160" s="17" t="e">
        <f>+'Detalle Compras'!#REF!</f>
        <v>#REF!</v>
      </c>
      <c r="D1160" s="55" t="str">
        <f t="shared" si="67"/>
        <v/>
      </c>
      <c r="E1160" s="14" t="str">
        <f>+IF(B1160="","",'Detalle Compras'!S1160+0)</f>
        <v/>
      </c>
      <c r="F1160" s="14" t="str">
        <f>+IF(B1160="","",EOMONTH('Detalle Compras'!S1160,G1160)+10)</f>
        <v/>
      </c>
      <c r="G1160" s="50">
        <f t="shared" si="68"/>
        <v>0</v>
      </c>
      <c r="H1160" s="50">
        <f t="shared" si="69"/>
        <v>0</v>
      </c>
    </row>
    <row r="1161" spans="1:8" x14ac:dyDescent="0.2">
      <c r="A1161" s="37">
        <v>1159</v>
      </c>
      <c r="C1161" s="17" t="e">
        <f>+'Detalle Compras'!#REF!</f>
        <v>#REF!</v>
      </c>
      <c r="D1161" s="55" t="str">
        <f t="shared" si="67"/>
        <v/>
      </c>
      <c r="E1161" s="14" t="str">
        <f>+IF(B1161="","",'Detalle Compras'!S1161+0)</f>
        <v/>
      </c>
      <c r="F1161" s="14" t="str">
        <f>+IF(B1161="","",EOMONTH('Detalle Compras'!S1161,G1161)+10)</f>
        <v/>
      </c>
      <c r="G1161" s="50">
        <f t="shared" si="68"/>
        <v>0</v>
      </c>
      <c r="H1161" s="50">
        <f t="shared" si="69"/>
        <v>0</v>
      </c>
    </row>
    <row r="1162" spans="1:8" x14ac:dyDescent="0.2">
      <c r="A1162" s="37">
        <v>1160</v>
      </c>
      <c r="C1162" s="17" t="e">
        <f>+'Detalle Compras'!#REF!</f>
        <v>#REF!</v>
      </c>
      <c r="D1162" s="55" t="str">
        <f t="shared" si="67"/>
        <v/>
      </c>
      <c r="E1162" s="14" t="str">
        <f>+IF(B1162="","",'Detalle Compras'!S1162+0)</f>
        <v/>
      </c>
      <c r="F1162" s="14" t="str">
        <f>+IF(B1162="","",EOMONTH('Detalle Compras'!S1162,G1162)+10)</f>
        <v/>
      </c>
      <c r="G1162" s="50">
        <f t="shared" si="68"/>
        <v>0</v>
      </c>
      <c r="H1162" s="50">
        <f t="shared" si="69"/>
        <v>0</v>
      </c>
    </row>
    <row r="1163" spans="1:8" x14ac:dyDescent="0.2">
      <c r="A1163" s="37">
        <v>1161</v>
      </c>
      <c r="C1163" s="17" t="e">
        <f>+'Detalle Compras'!#REF!</f>
        <v>#REF!</v>
      </c>
      <c r="D1163" s="55" t="str">
        <f t="shared" si="67"/>
        <v/>
      </c>
      <c r="E1163" s="14" t="str">
        <f>+IF(B1163="","",'Detalle Compras'!S1163+0)</f>
        <v/>
      </c>
      <c r="F1163" s="14" t="str">
        <f>+IF(B1163="","",EOMONTH('Detalle Compras'!S1163,G1163)+10)</f>
        <v/>
      </c>
      <c r="G1163" s="50">
        <f t="shared" si="68"/>
        <v>0</v>
      </c>
      <c r="H1163" s="50">
        <f t="shared" si="69"/>
        <v>0</v>
      </c>
    </row>
    <row r="1164" spans="1:8" x14ac:dyDescent="0.2">
      <c r="A1164" s="37">
        <v>1162</v>
      </c>
      <c r="C1164" s="17" t="e">
        <f>+'Detalle Compras'!#REF!</f>
        <v>#REF!</v>
      </c>
      <c r="D1164" s="55" t="str">
        <f t="shared" si="67"/>
        <v/>
      </c>
      <c r="E1164" s="14" t="str">
        <f>+IF(B1164="","",'Detalle Compras'!S1164+0)</f>
        <v/>
      </c>
      <c r="F1164" s="14" t="str">
        <f>+IF(B1164="","",EOMONTH('Detalle Compras'!S1164,G1164)+10)</f>
        <v/>
      </c>
      <c r="G1164" s="50">
        <f t="shared" si="68"/>
        <v>0</v>
      </c>
      <c r="H1164" s="50">
        <f t="shared" si="69"/>
        <v>0</v>
      </c>
    </row>
    <row r="1165" spans="1:8" x14ac:dyDescent="0.2">
      <c r="A1165" s="37">
        <v>1163</v>
      </c>
      <c r="C1165" s="17" t="e">
        <f>+'Detalle Compras'!#REF!</f>
        <v>#REF!</v>
      </c>
      <c r="D1165" s="55" t="str">
        <f t="shared" si="67"/>
        <v/>
      </c>
      <c r="E1165" s="14" t="str">
        <f>+IF(B1165="","",'Detalle Compras'!S1165+0)</f>
        <v/>
      </c>
      <c r="F1165" s="14" t="str">
        <f>+IF(B1165="","",EOMONTH('Detalle Compras'!S1165,G1165)+10)</f>
        <v/>
      </c>
      <c r="G1165" s="50">
        <f t="shared" si="68"/>
        <v>0</v>
      </c>
      <c r="H1165" s="50">
        <f t="shared" si="69"/>
        <v>0</v>
      </c>
    </row>
    <row r="1166" spans="1:8" x14ac:dyDescent="0.2">
      <c r="A1166" s="37">
        <v>1164</v>
      </c>
      <c r="C1166" s="17" t="e">
        <f>+'Detalle Compras'!#REF!</f>
        <v>#REF!</v>
      </c>
      <c r="D1166" s="55" t="str">
        <f t="shared" si="67"/>
        <v/>
      </c>
      <c r="E1166" s="14" t="str">
        <f>+IF(B1166="","",'Detalle Compras'!S1166+0)</f>
        <v/>
      </c>
      <c r="F1166" s="14" t="str">
        <f>+IF(B1166="","",EOMONTH('Detalle Compras'!S1166,G1166)+10)</f>
        <v/>
      </c>
      <c r="G1166" s="50">
        <f t="shared" si="68"/>
        <v>0</v>
      </c>
      <c r="H1166" s="50">
        <f t="shared" si="69"/>
        <v>0</v>
      </c>
    </row>
    <row r="1167" spans="1:8" x14ac:dyDescent="0.2">
      <c r="A1167" s="37">
        <v>1165</v>
      </c>
      <c r="C1167" s="17" t="e">
        <f>+'Detalle Compras'!#REF!</f>
        <v>#REF!</v>
      </c>
      <c r="D1167" s="55" t="str">
        <f t="shared" si="67"/>
        <v/>
      </c>
      <c r="E1167" s="14" t="str">
        <f>+IF(B1167="","",'Detalle Compras'!S1167+0)</f>
        <v/>
      </c>
      <c r="F1167" s="14" t="str">
        <f>+IF(B1167="","",EOMONTH('Detalle Compras'!S1167,G1167)+10)</f>
        <v/>
      </c>
      <c r="G1167" s="50">
        <f t="shared" si="68"/>
        <v>0</v>
      </c>
      <c r="H1167" s="50">
        <f t="shared" si="69"/>
        <v>0</v>
      </c>
    </row>
    <row r="1168" spans="1:8" x14ac:dyDescent="0.2">
      <c r="A1168" s="37">
        <v>1166</v>
      </c>
      <c r="C1168" s="17" t="e">
        <f>+'Detalle Compras'!#REF!</f>
        <v>#REF!</v>
      </c>
      <c r="D1168" s="55" t="str">
        <f t="shared" si="67"/>
        <v/>
      </c>
      <c r="E1168" s="14" t="str">
        <f>+IF(B1168="","",'Detalle Compras'!S1168+0)</f>
        <v/>
      </c>
      <c r="F1168" s="14" t="str">
        <f>+IF(B1168="","",EOMONTH('Detalle Compras'!S1168,G1168)+10)</f>
        <v/>
      </c>
      <c r="G1168" s="50">
        <f t="shared" si="68"/>
        <v>0</v>
      </c>
      <c r="H1168" s="50">
        <f t="shared" si="69"/>
        <v>0</v>
      </c>
    </row>
    <row r="1169" spans="1:8" x14ac:dyDescent="0.2">
      <c r="A1169" s="37">
        <v>1167</v>
      </c>
      <c r="C1169" s="17" t="e">
        <f>+'Detalle Compras'!#REF!</f>
        <v>#REF!</v>
      </c>
      <c r="D1169" s="55" t="str">
        <f t="shared" si="67"/>
        <v/>
      </c>
      <c r="E1169" s="14" t="str">
        <f>+IF(B1169="","",'Detalle Compras'!S1169+0)</f>
        <v/>
      </c>
      <c r="F1169" s="14" t="str">
        <f>+IF(B1169="","",EOMONTH('Detalle Compras'!S1169,G1169)+10)</f>
        <v/>
      </c>
      <c r="G1169" s="50">
        <f t="shared" si="68"/>
        <v>0</v>
      </c>
      <c r="H1169" s="50">
        <f t="shared" si="69"/>
        <v>0</v>
      </c>
    </row>
    <row r="1170" spans="1:8" x14ac:dyDescent="0.2">
      <c r="A1170" s="37">
        <v>1168</v>
      </c>
      <c r="C1170" s="17" t="e">
        <f>+'Detalle Compras'!#REF!</f>
        <v>#REF!</v>
      </c>
      <c r="D1170" s="55" t="str">
        <f t="shared" si="67"/>
        <v/>
      </c>
      <c r="E1170" s="14" t="str">
        <f>+IF(B1170="","",'Detalle Compras'!S1170+0)</f>
        <v/>
      </c>
      <c r="F1170" s="14" t="str">
        <f>+IF(B1170="","",EOMONTH('Detalle Compras'!S1170,G1170)+10)</f>
        <v/>
      </c>
      <c r="G1170" s="50">
        <f t="shared" si="68"/>
        <v>0</v>
      </c>
      <c r="H1170" s="50">
        <f t="shared" si="69"/>
        <v>0</v>
      </c>
    </row>
    <row r="1171" spans="1:8" x14ac:dyDescent="0.2">
      <c r="A1171" s="37">
        <v>1169</v>
      </c>
      <c r="C1171" s="17" t="e">
        <f>+'Detalle Compras'!#REF!</f>
        <v>#REF!</v>
      </c>
      <c r="D1171" s="55" t="str">
        <f t="shared" si="67"/>
        <v/>
      </c>
      <c r="E1171" s="14" t="str">
        <f>+IF(B1171="","",'Detalle Compras'!S1171+0)</f>
        <v/>
      </c>
      <c r="F1171" s="14" t="str">
        <f>+IF(B1171="","",EOMONTH('Detalle Compras'!S1171,G1171)+10)</f>
        <v/>
      </c>
      <c r="G1171" s="50">
        <f t="shared" si="68"/>
        <v>0</v>
      </c>
      <c r="H1171" s="50">
        <f t="shared" si="69"/>
        <v>0</v>
      </c>
    </row>
    <row r="1172" spans="1:8" x14ac:dyDescent="0.2">
      <c r="A1172" s="37">
        <v>1170</v>
      </c>
      <c r="C1172" s="17" t="e">
        <f>+'Detalle Compras'!#REF!</f>
        <v>#REF!</v>
      </c>
      <c r="D1172" s="55" t="str">
        <f t="shared" si="67"/>
        <v/>
      </c>
      <c r="E1172" s="14" t="str">
        <f>+IF(B1172="","",'Detalle Compras'!S1172+0)</f>
        <v/>
      </c>
      <c r="F1172" s="14" t="str">
        <f>+IF(B1172="","",EOMONTH('Detalle Compras'!S1172,G1172)+10)</f>
        <v/>
      </c>
      <c r="G1172" s="50">
        <f t="shared" si="68"/>
        <v>0</v>
      </c>
      <c r="H1172" s="50">
        <f t="shared" si="69"/>
        <v>0</v>
      </c>
    </row>
    <row r="1173" spans="1:8" x14ac:dyDescent="0.2">
      <c r="A1173" s="37">
        <v>1171</v>
      </c>
      <c r="C1173" s="17" t="e">
        <f>+'Detalle Compras'!#REF!</f>
        <v>#REF!</v>
      </c>
      <c r="D1173" s="55" t="str">
        <f t="shared" si="67"/>
        <v/>
      </c>
      <c r="E1173" s="14" t="str">
        <f>+IF(B1173="","",'Detalle Compras'!S1173+0)</f>
        <v/>
      </c>
      <c r="F1173" s="14" t="str">
        <f>+IF(B1173="","",EOMONTH('Detalle Compras'!S1173,G1173)+10)</f>
        <v/>
      </c>
      <c r="G1173" s="50">
        <f t="shared" si="68"/>
        <v>0</v>
      </c>
      <c r="H1173" s="50">
        <f t="shared" si="69"/>
        <v>0</v>
      </c>
    </row>
    <row r="1174" spans="1:8" x14ac:dyDescent="0.2">
      <c r="A1174" s="37">
        <v>1172</v>
      </c>
      <c r="C1174" s="17" t="e">
        <f>+'Detalle Compras'!#REF!</f>
        <v>#REF!</v>
      </c>
      <c r="D1174" s="55" t="str">
        <f t="shared" si="67"/>
        <v/>
      </c>
      <c r="E1174" s="14" t="str">
        <f>+IF(B1174="","",'Detalle Compras'!S1174+0)</f>
        <v/>
      </c>
      <c r="F1174" s="14" t="str">
        <f>+IF(B1174="","",EOMONTH('Detalle Compras'!S1174,G1174)+10)</f>
        <v/>
      </c>
      <c r="G1174" s="50">
        <f t="shared" si="68"/>
        <v>0</v>
      </c>
      <c r="H1174" s="50">
        <f t="shared" si="69"/>
        <v>0</v>
      </c>
    </row>
    <row r="1175" spans="1:8" x14ac:dyDescent="0.2">
      <c r="A1175" s="37">
        <v>1173</v>
      </c>
      <c r="C1175" s="17" t="e">
        <f>+'Detalle Compras'!#REF!</f>
        <v>#REF!</v>
      </c>
      <c r="D1175" s="55" t="str">
        <f t="shared" si="67"/>
        <v/>
      </c>
      <c r="E1175" s="14" t="str">
        <f>+IF(B1175="","",'Detalle Compras'!S1175+0)</f>
        <v/>
      </c>
      <c r="F1175" s="14" t="str">
        <f>+IF(B1175="","",EOMONTH('Detalle Compras'!S1175,G1175)+10)</f>
        <v/>
      </c>
      <c r="G1175" s="50">
        <f t="shared" si="68"/>
        <v>0</v>
      </c>
      <c r="H1175" s="50">
        <f t="shared" si="69"/>
        <v>0</v>
      </c>
    </row>
    <row r="1176" spans="1:8" x14ac:dyDescent="0.2">
      <c r="A1176" s="37">
        <v>1174</v>
      </c>
      <c r="C1176" s="17" t="e">
        <f>+'Detalle Compras'!#REF!</f>
        <v>#REF!</v>
      </c>
      <c r="D1176" s="55" t="str">
        <f t="shared" si="67"/>
        <v/>
      </c>
      <c r="E1176" s="14" t="str">
        <f>+IF(B1176="","",'Detalle Compras'!S1176+0)</f>
        <v/>
      </c>
      <c r="F1176" s="14" t="str">
        <f>+IF(B1176="","",EOMONTH('Detalle Compras'!S1176,G1176)+10)</f>
        <v/>
      </c>
      <c r="G1176" s="50">
        <f t="shared" si="68"/>
        <v>0</v>
      </c>
      <c r="H1176" s="50">
        <f t="shared" si="69"/>
        <v>0</v>
      </c>
    </row>
    <row r="1177" spans="1:8" x14ac:dyDescent="0.2">
      <c r="A1177" s="37">
        <v>1175</v>
      </c>
      <c r="C1177" s="17" t="e">
        <f>+'Detalle Compras'!#REF!</f>
        <v>#REF!</v>
      </c>
      <c r="D1177" s="55" t="str">
        <f t="shared" si="67"/>
        <v/>
      </c>
      <c r="E1177" s="14" t="str">
        <f>+IF(B1177="","",'Detalle Compras'!S1177+0)</f>
        <v/>
      </c>
      <c r="F1177" s="14" t="str">
        <f>+IF(B1177="","",EOMONTH('Detalle Compras'!S1177,G1177)+10)</f>
        <v/>
      </c>
      <c r="G1177" s="50">
        <f t="shared" si="68"/>
        <v>0</v>
      </c>
      <c r="H1177" s="50">
        <f t="shared" si="69"/>
        <v>0</v>
      </c>
    </row>
    <row r="1178" spans="1:8" x14ac:dyDescent="0.2">
      <c r="A1178" s="37">
        <v>1176</v>
      </c>
      <c r="C1178" s="17" t="e">
        <f>+'Detalle Compras'!#REF!</f>
        <v>#REF!</v>
      </c>
      <c r="D1178" s="55" t="str">
        <f t="shared" si="67"/>
        <v/>
      </c>
      <c r="E1178" s="14" t="str">
        <f>+IF(B1178="","",'Detalle Compras'!S1178+0)</f>
        <v/>
      </c>
      <c r="F1178" s="14" t="str">
        <f>+IF(B1178="","",EOMONTH('Detalle Compras'!S1178,G1178)+10)</f>
        <v/>
      </c>
      <c r="G1178" s="50">
        <f t="shared" si="68"/>
        <v>0</v>
      </c>
      <c r="H1178" s="50">
        <f t="shared" si="69"/>
        <v>0</v>
      </c>
    </row>
    <row r="1179" spans="1:8" x14ac:dyDescent="0.2">
      <c r="A1179" s="37">
        <v>1177</v>
      </c>
      <c r="C1179" s="17" t="e">
        <f>+'Detalle Compras'!#REF!</f>
        <v>#REF!</v>
      </c>
      <c r="D1179" s="55" t="str">
        <f t="shared" si="67"/>
        <v/>
      </c>
      <c r="E1179" s="14" t="str">
        <f>+IF(B1179="","",'Detalle Compras'!S1179+0)</f>
        <v/>
      </c>
      <c r="F1179" s="14" t="str">
        <f>+IF(B1179="","",EOMONTH('Detalle Compras'!S1179,G1179)+10)</f>
        <v/>
      </c>
      <c r="G1179" s="50">
        <f t="shared" si="68"/>
        <v>0</v>
      </c>
      <c r="H1179" s="50">
        <f t="shared" si="69"/>
        <v>0</v>
      </c>
    </row>
    <row r="1180" spans="1:8" x14ac:dyDescent="0.2">
      <c r="A1180" s="37">
        <v>1178</v>
      </c>
      <c r="C1180" s="17" t="e">
        <f>+'Detalle Compras'!#REF!</f>
        <v>#REF!</v>
      </c>
      <c r="D1180" s="55" t="str">
        <f t="shared" si="67"/>
        <v/>
      </c>
      <c r="E1180" s="14" t="str">
        <f>+IF(B1180="","",'Detalle Compras'!S1180+0)</f>
        <v/>
      </c>
      <c r="F1180" s="14" t="str">
        <f>+IF(B1180="","",EOMONTH('Detalle Compras'!S1180,G1180)+10)</f>
        <v/>
      </c>
      <c r="G1180" s="50">
        <f t="shared" si="68"/>
        <v>0</v>
      </c>
      <c r="H1180" s="50">
        <f t="shared" si="69"/>
        <v>0</v>
      </c>
    </row>
    <row r="1181" spans="1:8" x14ac:dyDescent="0.2">
      <c r="A1181" s="37">
        <v>1179</v>
      </c>
      <c r="C1181" s="17" t="e">
        <f>+'Detalle Compras'!#REF!</f>
        <v>#REF!</v>
      </c>
      <c r="D1181" s="55" t="str">
        <f t="shared" si="67"/>
        <v/>
      </c>
      <c r="E1181" s="14" t="str">
        <f>+IF(B1181="","",'Detalle Compras'!S1181+0)</f>
        <v/>
      </c>
      <c r="F1181" s="14" t="str">
        <f>+IF(B1181="","",EOMONTH('Detalle Compras'!S1181,G1181)+10)</f>
        <v/>
      </c>
      <c r="G1181" s="50">
        <f t="shared" si="68"/>
        <v>0</v>
      </c>
      <c r="H1181" s="50">
        <f t="shared" si="69"/>
        <v>0</v>
      </c>
    </row>
    <row r="1182" spans="1:8" x14ac:dyDescent="0.2">
      <c r="A1182" s="37">
        <v>1180</v>
      </c>
      <c r="C1182" s="17" t="e">
        <f>+'Detalle Compras'!#REF!</f>
        <v>#REF!</v>
      </c>
      <c r="D1182" s="55" t="str">
        <f t="shared" si="67"/>
        <v/>
      </c>
      <c r="E1182" s="14" t="str">
        <f>+IF(B1182="","",'Detalle Compras'!S1182+0)</f>
        <v/>
      </c>
      <c r="F1182" s="14" t="str">
        <f>+IF(B1182="","",EOMONTH('Detalle Compras'!S1182,G1182)+10)</f>
        <v/>
      </c>
      <c r="G1182" s="50">
        <f t="shared" si="68"/>
        <v>0</v>
      </c>
      <c r="H1182" s="50">
        <f t="shared" si="69"/>
        <v>0</v>
      </c>
    </row>
    <row r="1183" spans="1:8" x14ac:dyDescent="0.2">
      <c r="A1183" s="37">
        <v>1181</v>
      </c>
      <c r="C1183" s="17" t="e">
        <f>+'Detalle Compras'!#REF!</f>
        <v>#REF!</v>
      </c>
      <c r="D1183" s="55" t="str">
        <f t="shared" si="67"/>
        <v/>
      </c>
      <c r="E1183" s="14" t="str">
        <f>+IF(B1183="","",'Detalle Compras'!S1183+0)</f>
        <v/>
      </c>
      <c r="F1183" s="14" t="str">
        <f>+IF(B1183="","",EOMONTH('Detalle Compras'!S1183,G1183)+10)</f>
        <v/>
      </c>
      <c r="G1183" s="50">
        <f t="shared" si="68"/>
        <v>0</v>
      </c>
      <c r="H1183" s="50">
        <f t="shared" si="69"/>
        <v>0</v>
      </c>
    </row>
    <row r="1184" spans="1:8" x14ac:dyDescent="0.2">
      <c r="A1184" s="37">
        <v>1182</v>
      </c>
      <c r="C1184" s="17" t="e">
        <f>+'Detalle Compras'!#REF!</f>
        <v>#REF!</v>
      </c>
      <c r="D1184" s="55" t="str">
        <f t="shared" si="67"/>
        <v/>
      </c>
      <c r="E1184" s="14" t="str">
        <f>+IF(B1184="","",'Detalle Compras'!S1184+0)</f>
        <v/>
      </c>
      <c r="F1184" s="14" t="str">
        <f>+IF(B1184="","",EOMONTH('Detalle Compras'!S1184,G1184)+10)</f>
        <v/>
      </c>
      <c r="G1184" s="50">
        <f t="shared" si="68"/>
        <v>0</v>
      </c>
      <c r="H1184" s="50">
        <f t="shared" si="69"/>
        <v>0</v>
      </c>
    </row>
    <row r="1185" spans="1:8" x14ac:dyDescent="0.2">
      <c r="A1185" s="37">
        <v>1183</v>
      </c>
      <c r="C1185" s="17" t="e">
        <f>+'Detalle Compras'!#REF!</f>
        <v>#REF!</v>
      </c>
      <c r="D1185" s="55" t="str">
        <f t="shared" si="67"/>
        <v/>
      </c>
      <c r="E1185" s="14" t="str">
        <f>+IF(B1185="","",'Detalle Compras'!S1185+0)</f>
        <v/>
      </c>
      <c r="F1185" s="14" t="str">
        <f>+IF(B1185="","",EOMONTH('Detalle Compras'!S1185,G1185)+10)</f>
        <v/>
      </c>
      <c r="G1185" s="50">
        <f t="shared" si="68"/>
        <v>0</v>
      </c>
      <c r="H1185" s="50">
        <f t="shared" si="69"/>
        <v>0</v>
      </c>
    </row>
    <row r="1186" spans="1:8" x14ac:dyDescent="0.2">
      <c r="A1186" s="37">
        <v>1184</v>
      </c>
      <c r="C1186" s="17" t="e">
        <f>+'Detalle Compras'!#REF!</f>
        <v>#REF!</v>
      </c>
      <c r="D1186" s="55" t="str">
        <f t="shared" si="67"/>
        <v/>
      </c>
      <c r="E1186" s="14" t="str">
        <f>+IF(B1186="","",'Detalle Compras'!S1186+0)</f>
        <v/>
      </c>
      <c r="F1186" s="14" t="str">
        <f>+IF(B1186="","",EOMONTH('Detalle Compras'!S1186,G1186)+10)</f>
        <v/>
      </c>
      <c r="G1186" s="50">
        <f t="shared" si="68"/>
        <v>0</v>
      </c>
      <c r="H1186" s="50">
        <f t="shared" si="69"/>
        <v>0</v>
      </c>
    </row>
    <row r="1187" spans="1:8" x14ac:dyDescent="0.2">
      <c r="A1187" s="37">
        <v>1185</v>
      </c>
      <c r="C1187" s="17" t="e">
        <f>+'Detalle Compras'!#REF!</f>
        <v>#REF!</v>
      </c>
      <c r="D1187" s="55" t="str">
        <f t="shared" si="67"/>
        <v/>
      </c>
      <c r="E1187" s="14" t="str">
        <f>+IF(B1187="","",'Detalle Compras'!S1187+0)</f>
        <v/>
      </c>
      <c r="F1187" s="14" t="str">
        <f>+IF(B1187="","",EOMONTH('Detalle Compras'!S1187,G1187)+10)</f>
        <v/>
      </c>
      <c r="G1187" s="50">
        <f t="shared" si="68"/>
        <v>0</v>
      </c>
      <c r="H1187" s="50">
        <f t="shared" si="69"/>
        <v>0</v>
      </c>
    </row>
    <row r="1188" spans="1:8" x14ac:dyDescent="0.2">
      <c r="A1188" s="37">
        <v>1186</v>
      </c>
      <c r="C1188" s="17" t="e">
        <f>+'Detalle Compras'!#REF!</f>
        <v>#REF!</v>
      </c>
      <c r="D1188" s="55" t="str">
        <f t="shared" si="67"/>
        <v/>
      </c>
      <c r="E1188" s="14" t="str">
        <f>+IF(B1188="","",'Detalle Compras'!S1188+0)</f>
        <v/>
      </c>
      <c r="F1188" s="14" t="str">
        <f>+IF(B1188="","",EOMONTH('Detalle Compras'!S1188,G1188)+10)</f>
        <v/>
      </c>
      <c r="G1188" s="50">
        <f t="shared" si="68"/>
        <v>0</v>
      </c>
      <c r="H1188" s="50">
        <f t="shared" si="69"/>
        <v>0</v>
      </c>
    </row>
    <row r="1189" spans="1:8" x14ac:dyDescent="0.2">
      <c r="A1189" s="37">
        <v>1187</v>
      </c>
      <c r="C1189" s="17" t="e">
        <f>+'Detalle Compras'!#REF!</f>
        <v>#REF!</v>
      </c>
      <c r="D1189" s="55" t="str">
        <f t="shared" si="67"/>
        <v/>
      </c>
      <c r="E1189" s="14" t="str">
        <f>+IF(B1189="","",'Detalle Compras'!S1189+0)</f>
        <v/>
      </c>
      <c r="F1189" s="14" t="str">
        <f>+IF(B1189="","",EOMONTH('Detalle Compras'!S1189,G1189)+10)</f>
        <v/>
      </c>
      <c r="G1189" s="50">
        <f t="shared" si="68"/>
        <v>0</v>
      </c>
      <c r="H1189" s="50">
        <f t="shared" si="69"/>
        <v>0</v>
      </c>
    </row>
    <row r="1190" spans="1:8" x14ac:dyDescent="0.2">
      <c r="A1190" s="37">
        <v>1188</v>
      </c>
      <c r="C1190" s="17" t="e">
        <f>+'Detalle Compras'!#REF!</f>
        <v>#REF!</v>
      </c>
      <c r="D1190" s="55" t="str">
        <f t="shared" si="67"/>
        <v/>
      </c>
      <c r="E1190" s="14" t="str">
        <f>+IF(B1190="","",'Detalle Compras'!S1190+0)</f>
        <v/>
      </c>
      <c r="F1190" s="14" t="str">
        <f>+IF(B1190="","",EOMONTH('Detalle Compras'!S1190,G1190)+10)</f>
        <v/>
      </c>
      <c r="G1190" s="50">
        <f t="shared" si="68"/>
        <v>0</v>
      </c>
      <c r="H1190" s="50">
        <f t="shared" si="69"/>
        <v>0</v>
      </c>
    </row>
    <row r="1191" spans="1:8" x14ac:dyDescent="0.2">
      <c r="A1191" s="37">
        <v>1189</v>
      </c>
      <c r="C1191" s="17" t="e">
        <f>+'Detalle Compras'!#REF!</f>
        <v>#REF!</v>
      </c>
      <c r="D1191" s="55" t="str">
        <f t="shared" si="67"/>
        <v/>
      </c>
      <c r="E1191" s="14" t="str">
        <f>+IF(B1191="","",'Detalle Compras'!S1191+0)</f>
        <v/>
      </c>
      <c r="F1191" s="14" t="str">
        <f>+IF(B1191="","",EOMONTH('Detalle Compras'!S1191,G1191)+10)</f>
        <v/>
      </c>
      <c r="G1191" s="50">
        <f t="shared" si="68"/>
        <v>0</v>
      </c>
      <c r="H1191" s="50">
        <f t="shared" si="69"/>
        <v>0</v>
      </c>
    </row>
    <row r="1192" spans="1:8" x14ac:dyDescent="0.2">
      <c r="A1192" s="37">
        <v>1190</v>
      </c>
      <c r="C1192" s="17" t="e">
        <f>+'Detalle Compras'!#REF!</f>
        <v>#REF!</v>
      </c>
      <c r="D1192" s="55" t="str">
        <f t="shared" si="67"/>
        <v/>
      </c>
      <c r="E1192" s="14" t="str">
        <f>+IF(B1192="","",'Detalle Compras'!S1192+0)</f>
        <v/>
      </c>
      <c r="F1192" s="14" t="str">
        <f>+IF(B1192="","",EOMONTH('Detalle Compras'!S1192,G1192)+10)</f>
        <v/>
      </c>
      <c r="G1192" s="50">
        <f t="shared" si="68"/>
        <v>0</v>
      </c>
      <c r="H1192" s="50">
        <f t="shared" si="69"/>
        <v>0</v>
      </c>
    </row>
    <row r="1193" spans="1:8" x14ac:dyDescent="0.2">
      <c r="A1193" s="37">
        <v>1191</v>
      </c>
      <c r="C1193" s="17" t="e">
        <f>+'Detalle Compras'!#REF!</f>
        <v>#REF!</v>
      </c>
      <c r="D1193" s="55" t="str">
        <f t="shared" si="67"/>
        <v/>
      </c>
      <c r="E1193" s="14" t="str">
        <f>+IF(B1193="","",'Detalle Compras'!S1193+0)</f>
        <v/>
      </c>
      <c r="F1193" s="14" t="str">
        <f>+IF(B1193="","",EOMONTH('Detalle Compras'!S1193,G1193)+10)</f>
        <v/>
      </c>
      <c r="G1193" s="50">
        <f t="shared" si="68"/>
        <v>0</v>
      </c>
      <c r="H1193" s="50">
        <f t="shared" si="69"/>
        <v>0</v>
      </c>
    </row>
    <row r="1194" spans="1:8" x14ac:dyDescent="0.2">
      <c r="A1194" s="37">
        <v>1192</v>
      </c>
      <c r="C1194" s="17" t="e">
        <f>+'Detalle Compras'!#REF!</f>
        <v>#REF!</v>
      </c>
      <c r="D1194" s="55" t="str">
        <f t="shared" si="67"/>
        <v/>
      </c>
      <c r="E1194" s="14" t="str">
        <f>+IF(B1194="","",'Detalle Compras'!S1194+0)</f>
        <v/>
      </c>
      <c r="F1194" s="14" t="str">
        <f>+IF(B1194="","",EOMONTH('Detalle Compras'!S1194,G1194)+10)</f>
        <v/>
      </c>
      <c r="G1194" s="50">
        <f t="shared" si="68"/>
        <v>0</v>
      </c>
      <c r="H1194" s="50">
        <f t="shared" si="69"/>
        <v>0</v>
      </c>
    </row>
    <row r="1195" spans="1:8" x14ac:dyDescent="0.2">
      <c r="A1195" s="37">
        <v>1193</v>
      </c>
      <c r="C1195" s="17" t="e">
        <f>+'Detalle Compras'!#REF!</f>
        <v>#REF!</v>
      </c>
      <c r="D1195" s="55" t="str">
        <f t="shared" si="67"/>
        <v/>
      </c>
      <c r="E1195" s="14" t="str">
        <f>+IF(B1195="","",'Detalle Compras'!S1195+0)</f>
        <v/>
      </c>
      <c r="F1195" s="14" t="str">
        <f>+IF(B1195="","",EOMONTH('Detalle Compras'!S1195,G1195)+10)</f>
        <v/>
      </c>
      <c r="G1195" s="50">
        <f t="shared" si="68"/>
        <v>0</v>
      </c>
      <c r="H1195" s="50">
        <f t="shared" si="69"/>
        <v>0</v>
      </c>
    </row>
    <row r="1196" spans="1:8" x14ac:dyDescent="0.2">
      <c r="A1196" s="37">
        <v>1194</v>
      </c>
      <c r="C1196" s="17" t="e">
        <f>+'Detalle Compras'!#REF!</f>
        <v>#REF!</v>
      </c>
      <c r="D1196" s="55" t="str">
        <f t="shared" si="67"/>
        <v/>
      </c>
      <c r="E1196" s="14" t="str">
        <f>+IF(B1196="","",'Detalle Compras'!S1196+0)</f>
        <v/>
      </c>
      <c r="F1196" s="14" t="str">
        <f>+IF(B1196="","",EOMONTH('Detalle Compras'!S1196,G1196)+10)</f>
        <v/>
      </c>
      <c r="G1196" s="50">
        <f t="shared" si="68"/>
        <v>0</v>
      </c>
      <c r="H1196" s="50">
        <f t="shared" si="69"/>
        <v>0</v>
      </c>
    </row>
    <row r="1197" spans="1:8" x14ac:dyDescent="0.2">
      <c r="A1197" s="37">
        <v>1195</v>
      </c>
      <c r="C1197" s="17" t="e">
        <f>+'Detalle Compras'!#REF!</f>
        <v>#REF!</v>
      </c>
      <c r="D1197" s="55" t="str">
        <f t="shared" si="67"/>
        <v/>
      </c>
      <c r="E1197" s="14" t="str">
        <f>+IF(B1197="","",'Detalle Compras'!S1197+0)</f>
        <v/>
      </c>
      <c r="F1197" s="14" t="str">
        <f>+IF(B1197="","",EOMONTH('Detalle Compras'!S1197,G1197)+10)</f>
        <v/>
      </c>
      <c r="G1197" s="50">
        <f t="shared" si="68"/>
        <v>0</v>
      </c>
      <c r="H1197" s="50">
        <f t="shared" si="69"/>
        <v>0</v>
      </c>
    </row>
    <row r="1198" spans="1:8" x14ac:dyDescent="0.2">
      <c r="A1198" s="37">
        <v>1196</v>
      </c>
      <c r="C1198" s="17" t="e">
        <f>+'Detalle Compras'!#REF!</f>
        <v>#REF!</v>
      </c>
      <c r="D1198" s="55" t="str">
        <f t="shared" si="67"/>
        <v/>
      </c>
      <c r="E1198" s="14" t="str">
        <f>+IF(B1198="","",'Detalle Compras'!S1198+0)</f>
        <v/>
      </c>
      <c r="F1198" s="14" t="str">
        <f>+IF(B1198="","",EOMONTH('Detalle Compras'!S1198,G1198)+10)</f>
        <v/>
      </c>
      <c r="G1198" s="50">
        <f t="shared" si="68"/>
        <v>0</v>
      </c>
      <c r="H1198" s="50">
        <f t="shared" si="69"/>
        <v>0</v>
      </c>
    </row>
    <row r="1199" spans="1:8" x14ac:dyDescent="0.2">
      <c r="A1199" s="37">
        <v>1197</v>
      </c>
      <c r="C1199" s="17" t="e">
        <f>+'Detalle Compras'!#REF!</f>
        <v>#REF!</v>
      </c>
      <c r="D1199" s="55" t="str">
        <f t="shared" si="67"/>
        <v/>
      </c>
      <c r="E1199" s="14" t="str">
        <f>+IF(B1199="","",'Detalle Compras'!S1199+0)</f>
        <v/>
      </c>
      <c r="F1199" s="14" t="str">
        <f>+IF(B1199="","",EOMONTH('Detalle Compras'!S1199,G1199)+10)</f>
        <v/>
      </c>
      <c r="G1199" s="50">
        <f t="shared" si="68"/>
        <v>0</v>
      </c>
      <c r="H1199" s="50">
        <f t="shared" si="69"/>
        <v>0</v>
      </c>
    </row>
    <row r="1200" spans="1:8" x14ac:dyDescent="0.2">
      <c r="A1200" s="37">
        <v>1198</v>
      </c>
      <c r="C1200" s="17" t="e">
        <f>+'Detalle Compras'!#REF!</f>
        <v>#REF!</v>
      </c>
      <c r="D1200" s="55" t="str">
        <f t="shared" si="67"/>
        <v/>
      </c>
      <c r="E1200" s="14" t="str">
        <f>+IF(B1200="","",'Detalle Compras'!S1200+0)</f>
        <v/>
      </c>
      <c r="F1200" s="14" t="str">
        <f>+IF(B1200="","",EOMONTH('Detalle Compras'!S1200,G1200)+10)</f>
        <v/>
      </c>
      <c r="G1200" s="50">
        <f t="shared" si="68"/>
        <v>0</v>
      </c>
      <c r="H1200" s="50">
        <f t="shared" si="69"/>
        <v>0</v>
      </c>
    </row>
    <row r="1201" spans="1:8" x14ac:dyDescent="0.2">
      <c r="A1201" s="37">
        <v>1199</v>
      </c>
      <c r="C1201" s="17" t="e">
        <f>+'Detalle Compras'!#REF!</f>
        <v>#REF!</v>
      </c>
      <c r="D1201" s="55" t="str">
        <f t="shared" si="67"/>
        <v/>
      </c>
      <c r="E1201" s="14" t="str">
        <f>+IF(B1201="","",'Detalle Compras'!S1201+0)</f>
        <v/>
      </c>
      <c r="F1201" s="14" t="str">
        <f>+IF(B1201="","",EOMONTH('Detalle Compras'!S1201,G1201)+10)</f>
        <v/>
      </c>
      <c r="G1201" s="50">
        <f t="shared" si="68"/>
        <v>0</v>
      </c>
      <c r="H1201" s="50">
        <f t="shared" si="69"/>
        <v>0</v>
      </c>
    </row>
    <row r="1202" spans="1:8" x14ac:dyDescent="0.2">
      <c r="A1202" s="37">
        <v>1200</v>
      </c>
      <c r="C1202" s="17" t="e">
        <f>+'Detalle Compras'!#REF!</f>
        <v>#REF!</v>
      </c>
      <c r="D1202" s="55" t="str">
        <f t="shared" si="67"/>
        <v/>
      </c>
      <c r="E1202" s="14" t="str">
        <f>+IF(B1202="","",'Detalle Compras'!S1202+0)</f>
        <v/>
      </c>
      <c r="F1202" s="14" t="str">
        <f>+IF(B1202="","",EOMONTH('Detalle Compras'!S1202,G1202)+10)</f>
        <v/>
      </c>
      <c r="G1202" s="50">
        <f t="shared" si="68"/>
        <v>0</v>
      </c>
      <c r="H1202" s="50">
        <f t="shared" si="69"/>
        <v>0</v>
      </c>
    </row>
    <row r="1203" spans="1:8" x14ac:dyDescent="0.2">
      <c r="A1203" s="37">
        <v>1201</v>
      </c>
      <c r="C1203" s="17" t="e">
        <f>+'Detalle Compras'!#REF!</f>
        <v>#REF!</v>
      </c>
      <c r="D1203" s="55" t="str">
        <f t="shared" si="67"/>
        <v/>
      </c>
      <c r="E1203" s="14" t="str">
        <f>+IF(B1203="","",'Detalle Compras'!S1203+0)</f>
        <v/>
      </c>
      <c r="F1203" s="14" t="str">
        <f>+IF(B1203="","",EOMONTH('Detalle Compras'!S1203,G1203)+10)</f>
        <v/>
      </c>
      <c r="G1203" s="50">
        <f t="shared" si="68"/>
        <v>0</v>
      </c>
      <c r="H1203" s="50">
        <f t="shared" si="69"/>
        <v>0</v>
      </c>
    </row>
    <row r="1204" spans="1:8" x14ac:dyDescent="0.2">
      <c r="A1204" s="37">
        <v>1202</v>
      </c>
      <c r="C1204" s="17" t="e">
        <f>+'Detalle Compras'!#REF!</f>
        <v>#REF!</v>
      </c>
      <c r="D1204" s="55" t="str">
        <f t="shared" si="67"/>
        <v/>
      </c>
      <c r="E1204" s="14" t="str">
        <f>+IF(B1204="","",'Detalle Compras'!S1204+0)</f>
        <v/>
      </c>
      <c r="F1204" s="14" t="str">
        <f>+IF(B1204="","",EOMONTH('Detalle Compras'!S1204,G1204)+10)</f>
        <v/>
      </c>
      <c r="G1204" s="50">
        <f t="shared" si="68"/>
        <v>0</v>
      </c>
      <c r="H1204" s="50">
        <f t="shared" si="69"/>
        <v>0</v>
      </c>
    </row>
    <row r="1205" spans="1:8" x14ac:dyDescent="0.2">
      <c r="A1205" s="37">
        <v>1203</v>
      </c>
      <c r="C1205" s="17" t="e">
        <f>+'Detalle Compras'!#REF!</f>
        <v>#REF!</v>
      </c>
      <c r="D1205" s="55" t="str">
        <f t="shared" si="67"/>
        <v/>
      </c>
      <c r="E1205" s="14" t="str">
        <f>+IF(B1205="","",'Detalle Compras'!S1205+0)</f>
        <v/>
      </c>
      <c r="F1205" s="14" t="str">
        <f>+IF(B1205="","",EOMONTH('Detalle Compras'!S1205,G1205)+10)</f>
        <v/>
      </c>
      <c r="G1205" s="50">
        <f t="shared" si="68"/>
        <v>0</v>
      </c>
      <c r="H1205" s="50">
        <f t="shared" si="69"/>
        <v>0</v>
      </c>
    </row>
    <row r="1206" spans="1:8" x14ac:dyDescent="0.2">
      <c r="A1206" s="37">
        <v>1204</v>
      </c>
      <c r="C1206" s="17" t="e">
        <f>+'Detalle Compras'!#REF!</f>
        <v>#REF!</v>
      </c>
      <c r="D1206" s="55" t="str">
        <f t="shared" si="67"/>
        <v/>
      </c>
      <c r="E1206" s="14" t="str">
        <f>+IF(B1206="","",'Detalle Compras'!S1206+0)</f>
        <v/>
      </c>
      <c r="F1206" s="14" t="str">
        <f>+IF(B1206="","",EOMONTH('Detalle Compras'!S1206,G1206)+10)</f>
        <v/>
      </c>
      <c r="G1206" s="50">
        <f t="shared" si="68"/>
        <v>0</v>
      </c>
      <c r="H1206" s="50">
        <f t="shared" si="69"/>
        <v>0</v>
      </c>
    </row>
    <row r="1207" spans="1:8" x14ac:dyDescent="0.2">
      <c r="A1207" s="37">
        <v>1205</v>
      </c>
      <c r="C1207" s="17" t="e">
        <f>+'Detalle Compras'!#REF!</f>
        <v>#REF!</v>
      </c>
      <c r="D1207" s="55" t="str">
        <f t="shared" si="67"/>
        <v/>
      </c>
      <c r="E1207" s="14" t="str">
        <f>+IF(B1207="","",'Detalle Compras'!S1207+0)</f>
        <v/>
      </c>
      <c r="F1207" s="14" t="str">
        <f>+IF(B1207="","",EOMONTH('Detalle Compras'!S1207,G1207)+10)</f>
        <v/>
      </c>
      <c r="G1207" s="50">
        <f t="shared" si="68"/>
        <v>0</v>
      </c>
      <c r="H1207" s="50">
        <f t="shared" si="69"/>
        <v>0</v>
      </c>
    </row>
    <row r="1208" spans="1:8" x14ac:dyDescent="0.2">
      <c r="A1208" s="37">
        <v>1206</v>
      </c>
      <c r="C1208" s="17" t="e">
        <f>+'Detalle Compras'!#REF!</f>
        <v>#REF!</v>
      </c>
      <c r="D1208" s="55" t="str">
        <f t="shared" si="67"/>
        <v/>
      </c>
      <c r="E1208" s="14" t="str">
        <f>+IF(B1208="","",'Detalle Compras'!S1208+0)</f>
        <v/>
      </c>
      <c r="F1208" s="14" t="str">
        <f>+IF(B1208="","",EOMONTH('Detalle Compras'!S1208,G1208)+10)</f>
        <v/>
      </c>
      <c r="G1208" s="50">
        <f t="shared" si="68"/>
        <v>0</v>
      </c>
      <c r="H1208" s="50">
        <f t="shared" si="69"/>
        <v>0</v>
      </c>
    </row>
    <row r="1209" spans="1:8" x14ac:dyDescent="0.2">
      <c r="A1209" s="37">
        <v>1207</v>
      </c>
      <c r="C1209" s="17" t="e">
        <f>+'Detalle Compras'!#REF!</f>
        <v>#REF!</v>
      </c>
      <c r="D1209" s="55" t="str">
        <f t="shared" si="67"/>
        <v/>
      </c>
      <c r="E1209" s="14" t="str">
        <f>+IF(B1209="","",'Detalle Compras'!S1209+0)</f>
        <v/>
      </c>
      <c r="F1209" s="14" t="str">
        <f>+IF(B1209="","",EOMONTH('Detalle Compras'!S1209,G1209)+10)</f>
        <v/>
      </c>
      <c r="G1209" s="50">
        <f t="shared" si="68"/>
        <v>0</v>
      </c>
      <c r="H1209" s="50">
        <f t="shared" si="69"/>
        <v>0</v>
      </c>
    </row>
    <row r="1210" spans="1:8" x14ac:dyDescent="0.2">
      <c r="A1210" s="37">
        <v>1208</v>
      </c>
      <c r="C1210" s="17" t="e">
        <f>+'Detalle Compras'!#REF!</f>
        <v>#REF!</v>
      </c>
      <c r="D1210" s="55" t="str">
        <f t="shared" si="67"/>
        <v/>
      </c>
      <c r="E1210" s="14" t="str">
        <f>+IF(B1210="","",'Detalle Compras'!S1210+0)</f>
        <v/>
      </c>
      <c r="F1210" s="14" t="str">
        <f>+IF(B1210="","",EOMONTH('Detalle Compras'!S1210,G1210)+10)</f>
        <v/>
      </c>
      <c r="G1210" s="50">
        <f t="shared" si="68"/>
        <v>0</v>
      </c>
      <c r="H1210" s="50">
        <f t="shared" si="69"/>
        <v>0</v>
      </c>
    </row>
    <row r="1211" spans="1:8" x14ac:dyDescent="0.2">
      <c r="A1211" s="37">
        <v>1209</v>
      </c>
      <c r="C1211" s="17" t="e">
        <f>+'Detalle Compras'!#REF!</f>
        <v>#REF!</v>
      </c>
      <c r="D1211" s="55" t="str">
        <f t="shared" si="67"/>
        <v/>
      </c>
      <c r="E1211" s="14" t="str">
        <f>+IF(B1211="","",'Detalle Compras'!S1211+0)</f>
        <v/>
      </c>
      <c r="F1211" s="14" t="str">
        <f>+IF(B1211="","",EOMONTH('Detalle Compras'!S1211,G1211)+10)</f>
        <v/>
      </c>
      <c r="G1211" s="50">
        <f t="shared" si="68"/>
        <v>0</v>
      </c>
      <c r="H1211" s="50">
        <f t="shared" si="69"/>
        <v>0</v>
      </c>
    </row>
    <row r="1212" spans="1:8" x14ac:dyDescent="0.2">
      <c r="A1212" s="37">
        <v>1210</v>
      </c>
      <c r="C1212" s="17" t="e">
        <f>+'Detalle Compras'!#REF!</f>
        <v>#REF!</v>
      </c>
      <c r="D1212" s="55" t="str">
        <f t="shared" si="67"/>
        <v/>
      </c>
      <c r="E1212" s="14" t="str">
        <f>+IF(B1212="","",'Detalle Compras'!S1212+0)</f>
        <v/>
      </c>
      <c r="F1212" s="14" t="str">
        <f>+IF(B1212="","",EOMONTH('Detalle Compras'!S1212,G1212)+10)</f>
        <v/>
      </c>
      <c r="G1212" s="50">
        <f t="shared" si="68"/>
        <v>0</v>
      </c>
      <c r="H1212" s="50">
        <f t="shared" si="69"/>
        <v>0</v>
      </c>
    </row>
    <row r="1213" spans="1:8" x14ac:dyDescent="0.2">
      <c r="A1213" s="37">
        <v>1211</v>
      </c>
      <c r="C1213" s="17" t="e">
        <f>+'Detalle Compras'!#REF!</f>
        <v>#REF!</v>
      </c>
      <c r="D1213" s="55" t="str">
        <f t="shared" si="67"/>
        <v/>
      </c>
      <c r="E1213" s="14" t="str">
        <f>+IF(B1213="","",'Detalle Compras'!S1213+0)</f>
        <v/>
      </c>
      <c r="F1213" s="14" t="str">
        <f>+IF(B1213="","",EOMONTH('Detalle Compras'!S1213,G1213)+10)</f>
        <v/>
      </c>
      <c r="G1213" s="50">
        <f t="shared" si="68"/>
        <v>0</v>
      </c>
      <c r="H1213" s="50">
        <f t="shared" si="69"/>
        <v>0</v>
      </c>
    </row>
    <row r="1214" spans="1:8" x14ac:dyDescent="0.2">
      <c r="A1214" s="37">
        <v>1212</v>
      </c>
      <c r="C1214" s="17" t="e">
        <f>+'Detalle Compras'!#REF!</f>
        <v>#REF!</v>
      </c>
      <c r="D1214" s="55" t="str">
        <f t="shared" si="67"/>
        <v/>
      </c>
      <c r="E1214" s="14" t="str">
        <f>+IF(B1214="","",'Detalle Compras'!S1214+0)</f>
        <v/>
      </c>
      <c r="F1214" s="14" t="str">
        <f>+IF(B1214="","",EOMONTH('Detalle Compras'!S1214,G1214)+10)</f>
        <v/>
      </c>
      <c r="G1214" s="50">
        <f t="shared" si="68"/>
        <v>0</v>
      </c>
      <c r="H1214" s="50">
        <f t="shared" si="69"/>
        <v>0</v>
      </c>
    </row>
    <row r="1215" spans="1:8" x14ac:dyDescent="0.2">
      <c r="A1215" s="37">
        <v>1213</v>
      </c>
      <c r="C1215" s="17" t="e">
        <f>+'Detalle Compras'!#REF!</f>
        <v>#REF!</v>
      </c>
      <c r="D1215" s="55" t="str">
        <f t="shared" si="67"/>
        <v/>
      </c>
      <c r="E1215" s="14" t="str">
        <f>+IF(B1215="","",'Detalle Compras'!S1215+0)</f>
        <v/>
      </c>
      <c r="F1215" s="14" t="str">
        <f>+IF(B1215="","",EOMONTH('Detalle Compras'!S1215,G1215)+10)</f>
        <v/>
      </c>
      <c r="G1215" s="50">
        <f t="shared" si="68"/>
        <v>0</v>
      </c>
      <c r="H1215" s="50">
        <f t="shared" si="69"/>
        <v>0</v>
      </c>
    </row>
    <row r="1216" spans="1:8" x14ac:dyDescent="0.2">
      <c r="A1216" s="37">
        <v>1214</v>
      </c>
      <c r="C1216" s="17" t="e">
        <f>+'Detalle Compras'!#REF!</f>
        <v>#REF!</v>
      </c>
      <c r="D1216" s="55" t="str">
        <f t="shared" si="67"/>
        <v/>
      </c>
      <c r="E1216" s="14" t="str">
        <f>+IF(B1216="","",'Detalle Compras'!S1216+0)</f>
        <v/>
      </c>
      <c r="F1216" s="14" t="str">
        <f>+IF(B1216="","",EOMONTH('Detalle Compras'!S1216,G1216)+10)</f>
        <v/>
      </c>
      <c r="G1216" s="50">
        <f t="shared" si="68"/>
        <v>0</v>
      </c>
      <c r="H1216" s="50">
        <f t="shared" si="69"/>
        <v>0</v>
      </c>
    </row>
    <row r="1217" spans="1:8" x14ac:dyDescent="0.2">
      <c r="A1217" s="37">
        <v>1215</v>
      </c>
      <c r="C1217" s="17" t="e">
        <f>+'Detalle Compras'!#REF!</f>
        <v>#REF!</v>
      </c>
      <c r="D1217" s="55" t="str">
        <f t="shared" si="67"/>
        <v/>
      </c>
      <c r="E1217" s="14" t="str">
        <f>+IF(B1217="","",'Detalle Compras'!S1217+0)</f>
        <v/>
      </c>
      <c r="F1217" s="14" t="str">
        <f>+IF(B1217="","",EOMONTH('Detalle Compras'!S1217,G1217)+10)</f>
        <v/>
      </c>
      <c r="G1217" s="50">
        <f t="shared" si="68"/>
        <v>0</v>
      </c>
      <c r="H1217" s="50">
        <f t="shared" si="69"/>
        <v>0</v>
      </c>
    </row>
    <row r="1218" spans="1:8" x14ac:dyDescent="0.2">
      <c r="A1218" s="37">
        <v>1216</v>
      </c>
      <c r="C1218" s="17" t="e">
        <f>+'Detalle Compras'!#REF!</f>
        <v>#REF!</v>
      </c>
      <c r="D1218" s="55" t="str">
        <f t="shared" si="67"/>
        <v/>
      </c>
      <c r="E1218" s="14" t="str">
        <f>+IF(B1218="","",'Detalle Compras'!S1218+0)</f>
        <v/>
      </c>
      <c r="F1218" s="14" t="str">
        <f>+IF(B1218="","",EOMONTH('Detalle Compras'!S1218,G1218)+10)</f>
        <v/>
      </c>
      <c r="G1218" s="50">
        <f t="shared" si="68"/>
        <v>0</v>
      </c>
      <c r="H1218" s="50">
        <f t="shared" si="69"/>
        <v>0</v>
      </c>
    </row>
    <row r="1219" spans="1:8" x14ac:dyDescent="0.2">
      <c r="A1219" s="37">
        <v>1217</v>
      </c>
      <c r="C1219" s="17" t="e">
        <f>+'Detalle Compras'!#REF!</f>
        <v>#REF!</v>
      </c>
      <c r="D1219" s="55" t="str">
        <f t="shared" si="67"/>
        <v/>
      </c>
      <c r="E1219" s="14" t="str">
        <f>+IF(B1219="","",'Detalle Compras'!S1219+0)</f>
        <v/>
      </c>
      <c r="F1219" s="14" t="str">
        <f>+IF(B1219="","",EOMONTH('Detalle Compras'!S1219,G1219)+10)</f>
        <v/>
      </c>
      <c r="G1219" s="50">
        <f t="shared" si="68"/>
        <v>0</v>
      </c>
      <c r="H1219" s="50">
        <f t="shared" si="69"/>
        <v>0</v>
      </c>
    </row>
    <row r="1220" spans="1:8" x14ac:dyDescent="0.2">
      <c r="A1220" s="37">
        <v>1218</v>
      </c>
      <c r="C1220" s="17" t="e">
        <f>+'Detalle Compras'!#REF!</f>
        <v>#REF!</v>
      </c>
      <c r="D1220" s="55" t="str">
        <f t="shared" ref="D1220:D1283" si="70">+IF(B1220="","",EA1220)</f>
        <v/>
      </c>
      <c r="E1220" s="14" t="str">
        <f>+IF(B1220="","",'Detalle Compras'!S1220+0)</f>
        <v/>
      </c>
      <c r="F1220" s="14" t="str">
        <f>+IF(B1220="","",EOMONTH('Detalle Compras'!S1220,G1220)+10)</f>
        <v/>
      </c>
      <c r="G1220" s="50">
        <f t="shared" ref="G1220:G1283" si="71">+COUNTIF(I1220:ADF1220,"&gt;1")</f>
        <v>0</v>
      </c>
      <c r="H1220" s="50">
        <f t="shared" ref="H1220:H1283" si="72">+COUNT(AF1220:ADF1220)</f>
        <v>0</v>
      </c>
    </row>
    <row r="1221" spans="1:8" x14ac:dyDescent="0.2">
      <c r="A1221" s="37">
        <v>1219</v>
      </c>
      <c r="C1221" s="17" t="e">
        <f>+'Detalle Compras'!#REF!</f>
        <v>#REF!</v>
      </c>
      <c r="D1221" s="55" t="str">
        <f t="shared" si="70"/>
        <v/>
      </c>
      <c r="E1221" s="14" t="str">
        <f>+IF(B1221="","",'Detalle Compras'!S1221+0)</f>
        <v/>
      </c>
      <c r="F1221" s="14" t="str">
        <f>+IF(B1221="","",EOMONTH('Detalle Compras'!S1221,G1221)+10)</f>
        <v/>
      </c>
      <c r="G1221" s="50">
        <f t="shared" si="71"/>
        <v>0</v>
      </c>
      <c r="H1221" s="50">
        <f t="shared" si="72"/>
        <v>0</v>
      </c>
    </row>
    <row r="1222" spans="1:8" x14ac:dyDescent="0.2">
      <c r="A1222" s="37">
        <v>1220</v>
      </c>
      <c r="C1222" s="17" t="e">
        <f>+'Detalle Compras'!#REF!</f>
        <v>#REF!</v>
      </c>
      <c r="D1222" s="55" t="str">
        <f t="shared" si="70"/>
        <v/>
      </c>
      <c r="E1222" s="14" t="str">
        <f>+IF(B1222="","",'Detalle Compras'!S1222+0)</f>
        <v/>
      </c>
      <c r="F1222" s="14" t="str">
        <f>+IF(B1222="","",EOMONTH('Detalle Compras'!S1222,G1222)+10)</f>
        <v/>
      </c>
      <c r="G1222" s="50">
        <f t="shared" si="71"/>
        <v>0</v>
      </c>
      <c r="H1222" s="50">
        <f t="shared" si="72"/>
        <v>0</v>
      </c>
    </row>
    <row r="1223" spans="1:8" x14ac:dyDescent="0.2">
      <c r="A1223" s="37">
        <v>1221</v>
      </c>
      <c r="C1223" s="17" t="e">
        <f>+'Detalle Compras'!#REF!</f>
        <v>#REF!</v>
      </c>
      <c r="D1223" s="55" t="str">
        <f t="shared" si="70"/>
        <v/>
      </c>
      <c r="E1223" s="14" t="str">
        <f>+IF(B1223="","",'Detalle Compras'!S1223+0)</f>
        <v/>
      </c>
      <c r="F1223" s="14" t="str">
        <f>+IF(B1223="","",EOMONTH('Detalle Compras'!S1223,G1223)+10)</f>
        <v/>
      </c>
      <c r="G1223" s="50">
        <f t="shared" si="71"/>
        <v>0</v>
      </c>
      <c r="H1223" s="50">
        <f t="shared" si="72"/>
        <v>0</v>
      </c>
    </row>
    <row r="1224" spans="1:8" x14ac:dyDescent="0.2">
      <c r="A1224" s="37">
        <v>1222</v>
      </c>
      <c r="C1224" s="17" t="e">
        <f>+'Detalle Compras'!#REF!</f>
        <v>#REF!</v>
      </c>
      <c r="D1224" s="55" t="str">
        <f t="shared" si="70"/>
        <v/>
      </c>
      <c r="E1224" s="14" t="str">
        <f>+IF(B1224="","",'Detalle Compras'!S1224+0)</f>
        <v/>
      </c>
      <c r="F1224" s="14" t="str">
        <f>+IF(B1224="","",EOMONTH('Detalle Compras'!S1224,G1224)+10)</f>
        <v/>
      </c>
      <c r="G1224" s="50">
        <f t="shared" si="71"/>
        <v>0</v>
      </c>
      <c r="H1224" s="50">
        <f t="shared" si="72"/>
        <v>0</v>
      </c>
    </row>
    <row r="1225" spans="1:8" x14ac:dyDescent="0.2">
      <c r="A1225" s="37">
        <v>1223</v>
      </c>
      <c r="C1225" s="17" t="e">
        <f>+'Detalle Compras'!#REF!</f>
        <v>#REF!</v>
      </c>
      <c r="D1225" s="55" t="str">
        <f t="shared" si="70"/>
        <v/>
      </c>
      <c r="E1225" s="14" t="str">
        <f>+IF(B1225="","",'Detalle Compras'!S1225+0)</f>
        <v/>
      </c>
      <c r="F1225" s="14" t="str">
        <f>+IF(B1225="","",EOMONTH('Detalle Compras'!S1225,G1225)+10)</f>
        <v/>
      </c>
      <c r="G1225" s="50">
        <f t="shared" si="71"/>
        <v>0</v>
      </c>
      <c r="H1225" s="50">
        <f t="shared" si="72"/>
        <v>0</v>
      </c>
    </row>
    <row r="1226" spans="1:8" x14ac:dyDescent="0.2">
      <c r="A1226" s="37">
        <v>1224</v>
      </c>
      <c r="C1226" s="17" t="e">
        <f>+'Detalle Compras'!#REF!</f>
        <v>#REF!</v>
      </c>
      <c r="D1226" s="55" t="str">
        <f t="shared" si="70"/>
        <v/>
      </c>
      <c r="E1226" s="14" t="str">
        <f>+IF(B1226="","",'Detalle Compras'!S1226+0)</f>
        <v/>
      </c>
      <c r="F1226" s="14" t="str">
        <f>+IF(B1226="","",EOMONTH('Detalle Compras'!S1226,G1226)+10)</f>
        <v/>
      </c>
      <c r="G1226" s="50">
        <f t="shared" si="71"/>
        <v>0</v>
      </c>
      <c r="H1226" s="50">
        <f t="shared" si="72"/>
        <v>0</v>
      </c>
    </row>
    <row r="1227" spans="1:8" x14ac:dyDescent="0.2">
      <c r="A1227" s="37">
        <v>1225</v>
      </c>
      <c r="C1227" s="17" t="e">
        <f>+'Detalle Compras'!#REF!</f>
        <v>#REF!</v>
      </c>
      <c r="D1227" s="55" t="str">
        <f t="shared" si="70"/>
        <v/>
      </c>
      <c r="E1227" s="14" t="str">
        <f>+IF(B1227="","",'Detalle Compras'!S1227+0)</f>
        <v/>
      </c>
      <c r="F1227" s="14" t="str">
        <f>+IF(B1227="","",EOMONTH('Detalle Compras'!S1227,G1227)+10)</f>
        <v/>
      </c>
      <c r="G1227" s="50">
        <f t="shared" si="71"/>
        <v>0</v>
      </c>
      <c r="H1227" s="50">
        <f t="shared" si="72"/>
        <v>0</v>
      </c>
    </row>
    <row r="1228" spans="1:8" x14ac:dyDescent="0.2">
      <c r="A1228" s="37">
        <v>1226</v>
      </c>
      <c r="C1228" s="17" t="e">
        <f>+'Detalle Compras'!#REF!</f>
        <v>#REF!</v>
      </c>
      <c r="D1228" s="55" t="str">
        <f t="shared" si="70"/>
        <v/>
      </c>
      <c r="E1228" s="14" t="str">
        <f>+IF(B1228="","",'Detalle Compras'!S1228+0)</f>
        <v/>
      </c>
      <c r="F1228" s="14" t="str">
        <f>+IF(B1228="","",EOMONTH('Detalle Compras'!S1228,G1228)+10)</f>
        <v/>
      </c>
      <c r="G1228" s="50">
        <f t="shared" si="71"/>
        <v>0</v>
      </c>
      <c r="H1228" s="50">
        <f t="shared" si="72"/>
        <v>0</v>
      </c>
    </row>
    <row r="1229" spans="1:8" x14ac:dyDescent="0.2">
      <c r="A1229" s="37">
        <v>1227</v>
      </c>
      <c r="C1229" s="17" t="e">
        <f>+'Detalle Compras'!#REF!</f>
        <v>#REF!</v>
      </c>
      <c r="D1229" s="55" t="str">
        <f t="shared" si="70"/>
        <v/>
      </c>
      <c r="E1229" s="14" t="str">
        <f>+IF(B1229="","",'Detalle Compras'!S1229+0)</f>
        <v/>
      </c>
      <c r="F1229" s="14" t="str">
        <f>+IF(B1229="","",EOMONTH('Detalle Compras'!S1229,G1229)+10)</f>
        <v/>
      </c>
      <c r="G1229" s="50">
        <f t="shared" si="71"/>
        <v>0</v>
      </c>
      <c r="H1229" s="50">
        <f t="shared" si="72"/>
        <v>0</v>
      </c>
    </row>
    <row r="1230" spans="1:8" x14ac:dyDescent="0.2">
      <c r="A1230" s="37">
        <v>1228</v>
      </c>
      <c r="C1230" s="17" t="e">
        <f>+'Detalle Compras'!#REF!</f>
        <v>#REF!</v>
      </c>
      <c r="D1230" s="55" t="str">
        <f t="shared" si="70"/>
        <v/>
      </c>
      <c r="E1230" s="14" t="str">
        <f>+IF(B1230="","",'Detalle Compras'!S1230+0)</f>
        <v/>
      </c>
      <c r="F1230" s="14" t="str">
        <f>+IF(B1230="","",EOMONTH('Detalle Compras'!S1230,G1230)+10)</f>
        <v/>
      </c>
      <c r="G1230" s="50">
        <f t="shared" si="71"/>
        <v>0</v>
      </c>
      <c r="H1230" s="50">
        <f t="shared" si="72"/>
        <v>0</v>
      </c>
    </row>
    <row r="1231" spans="1:8" x14ac:dyDescent="0.2">
      <c r="A1231" s="37">
        <v>1229</v>
      </c>
      <c r="C1231" s="17" t="e">
        <f>+'Detalle Compras'!#REF!</f>
        <v>#REF!</v>
      </c>
      <c r="D1231" s="55" t="str">
        <f t="shared" si="70"/>
        <v/>
      </c>
      <c r="E1231" s="14" t="str">
        <f>+IF(B1231="","",'Detalle Compras'!S1231+0)</f>
        <v/>
      </c>
      <c r="F1231" s="14" t="str">
        <f>+IF(B1231="","",EOMONTH('Detalle Compras'!S1231,G1231)+10)</f>
        <v/>
      </c>
      <c r="G1231" s="50">
        <f t="shared" si="71"/>
        <v>0</v>
      </c>
      <c r="H1231" s="50">
        <f t="shared" si="72"/>
        <v>0</v>
      </c>
    </row>
    <row r="1232" spans="1:8" x14ac:dyDescent="0.2">
      <c r="A1232" s="37">
        <v>1230</v>
      </c>
      <c r="C1232" s="17" t="e">
        <f>+'Detalle Compras'!#REF!</f>
        <v>#REF!</v>
      </c>
      <c r="D1232" s="55" t="str">
        <f t="shared" si="70"/>
        <v/>
      </c>
      <c r="E1232" s="14" t="str">
        <f>+IF(B1232="","",'Detalle Compras'!S1232+0)</f>
        <v/>
      </c>
      <c r="F1232" s="14" t="str">
        <f>+IF(B1232="","",EOMONTH('Detalle Compras'!S1232,G1232)+10)</f>
        <v/>
      </c>
      <c r="G1232" s="50">
        <f t="shared" si="71"/>
        <v>0</v>
      </c>
      <c r="H1232" s="50">
        <f t="shared" si="72"/>
        <v>0</v>
      </c>
    </row>
    <row r="1233" spans="1:8" x14ac:dyDescent="0.2">
      <c r="A1233" s="37">
        <v>1231</v>
      </c>
      <c r="C1233" s="17" t="e">
        <f>+'Detalle Compras'!#REF!</f>
        <v>#REF!</v>
      </c>
      <c r="D1233" s="55" t="str">
        <f t="shared" si="70"/>
        <v/>
      </c>
      <c r="E1233" s="14" t="str">
        <f>+IF(B1233="","",'Detalle Compras'!S1233+0)</f>
        <v/>
      </c>
      <c r="F1233" s="14" t="str">
        <f>+IF(B1233="","",EOMONTH('Detalle Compras'!S1233,G1233)+10)</f>
        <v/>
      </c>
      <c r="G1233" s="50">
        <f t="shared" si="71"/>
        <v>0</v>
      </c>
      <c r="H1233" s="50">
        <f t="shared" si="72"/>
        <v>0</v>
      </c>
    </row>
    <row r="1234" spans="1:8" x14ac:dyDescent="0.2">
      <c r="A1234" s="37">
        <v>1232</v>
      </c>
      <c r="C1234" s="17" t="e">
        <f>+'Detalle Compras'!#REF!</f>
        <v>#REF!</v>
      </c>
      <c r="D1234" s="55" t="str">
        <f t="shared" si="70"/>
        <v/>
      </c>
      <c r="E1234" s="14" t="str">
        <f>+IF(B1234="","",'Detalle Compras'!S1234+0)</f>
        <v/>
      </c>
      <c r="F1234" s="14" t="str">
        <f>+IF(B1234="","",EOMONTH('Detalle Compras'!S1234,G1234)+10)</f>
        <v/>
      </c>
      <c r="G1234" s="50">
        <f t="shared" si="71"/>
        <v>0</v>
      </c>
      <c r="H1234" s="50">
        <f t="shared" si="72"/>
        <v>0</v>
      </c>
    </row>
    <row r="1235" spans="1:8" x14ac:dyDescent="0.2">
      <c r="A1235" s="37">
        <v>1233</v>
      </c>
      <c r="C1235" s="17" t="e">
        <f>+'Detalle Compras'!#REF!</f>
        <v>#REF!</v>
      </c>
      <c r="D1235" s="55" t="str">
        <f t="shared" si="70"/>
        <v/>
      </c>
      <c r="E1235" s="14" t="str">
        <f>+IF(B1235="","",'Detalle Compras'!S1235+0)</f>
        <v/>
      </c>
      <c r="F1235" s="14" t="str">
        <f>+IF(B1235="","",EOMONTH('Detalle Compras'!S1235,G1235)+10)</f>
        <v/>
      </c>
      <c r="G1235" s="50">
        <f t="shared" si="71"/>
        <v>0</v>
      </c>
      <c r="H1235" s="50">
        <f t="shared" si="72"/>
        <v>0</v>
      </c>
    </row>
    <row r="1236" spans="1:8" x14ac:dyDescent="0.2">
      <c r="A1236" s="37">
        <v>1234</v>
      </c>
      <c r="C1236" s="17" t="e">
        <f>+'Detalle Compras'!#REF!</f>
        <v>#REF!</v>
      </c>
      <c r="D1236" s="55" t="str">
        <f t="shared" si="70"/>
        <v/>
      </c>
      <c r="E1236" s="14" t="str">
        <f>+IF(B1236="","",'Detalle Compras'!S1236+0)</f>
        <v/>
      </c>
      <c r="F1236" s="14" t="str">
        <f>+IF(B1236="","",EOMONTH('Detalle Compras'!S1236,G1236)+10)</f>
        <v/>
      </c>
      <c r="G1236" s="50">
        <f t="shared" si="71"/>
        <v>0</v>
      </c>
      <c r="H1236" s="50">
        <f t="shared" si="72"/>
        <v>0</v>
      </c>
    </row>
    <row r="1237" spans="1:8" x14ac:dyDescent="0.2">
      <c r="A1237" s="37">
        <v>1235</v>
      </c>
      <c r="C1237" s="17" t="e">
        <f>+'Detalle Compras'!#REF!</f>
        <v>#REF!</v>
      </c>
      <c r="D1237" s="55" t="str">
        <f t="shared" si="70"/>
        <v/>
      </c>
      <c r="E1237" s="14" t="str">
        <f>+IF(B1237="","",'Detalle Compras'!S1237+0)</f>
        <v/>
      </c>
      <c r="F1237" s="14" t="str">
        <f>+IF(B1237="","",EOMONTH('Detalle Compras'!S1237,G1237)+10)</f>
        <v/>
      </c>
      <c r="G1237" s="50">
        <f t="shared" si="71"/>
        <v>0</v>
      </c>
      <c r="H1237" s="50">
        <f t="shared" si="72"/>
        <v>0</v>
      </c>
    </row>
    <row r="1238" spans="1:8" x14ac:dyDescent="0.2">
      <c r="A1238" s="37">
        <v>1236</v>
      </c>
      <c r="C1238" s="17" t="e">
        <f>+'Detalle Compras'!#REF!</f>
        <v>#REF!</v>
      </c>
      <c r="D1238" s="55" t="str">
        <f t="shared" si="70"/>
        <v/>
      </c>
      <c r="E1238" s="14" t="str">
        <f>+IF(B1238="","",'Detalle Compras'!S1238+0)</f>
        <v/>
      </c>
      <c r="F1238" s="14" t="str">
        <f>+IF(B1238="","",EOMONTH('Detalle Compras'!S1238,G1238)+10)</f>
        <v/>
      </c>
      <c r="G1238" s="50">
        <f t="shared" si="71"/>
        <v>0</v>
      </c>
      <c r="H1238" s="50">
        <f t="shared" si="72"/>
        <v>0</v>
      </c>
    </row>
    <row r="1239" spans="1:8" x14ac:dyDescent="0.2">
      <c r="A1239" s="37">
        <v>1237</v>
      </c>
      <c r="C1239" s="17" t="e">
        <f>+'Detalle Compras'!#REF!</f>
        <v>#REF!</v>
      </c>
      <c r="D1239" s="55" t="str">
        <f t="shared" si="70"/>
        <v/>
      </c>
      <c r="E1239" s="14" t="str">
        <f>+IF(B1239="","",'Detalle Compras'!S1239+0)</f>
        <v/>
      </c>
      <c r="F1239" s="14" t="str">
        <f>+IF(B1239="","",EOMONTH('Detalle Compras'!S1239,G1239)+10)</f>
        <v/>
      </c>
      <c r="G1239" s="50">
        <f t="shared" si="71"/>
        <v>0</v>
      </c>
      <c r="H1239" s="50">
        <f t="shared" si="72"/>
        <v>0</v>
      </c>
    </row>
    <row r="1240" spans="1:8" x14ac:dyDescent="0.2">
      <c r="A1240" s="37">
        <v>1238</v>
      </c>
      <c r="C1240" s="17" t="e">
        <f>+'Detalle Compras'!#REF!</f>
        <v>#REF!</v>
      </c>
      <c r="D1240" s="55" t="str">
        <f t="shared" si="70"/>
        <v/>
      </c>
      <c r="E1240" s="14" t="str">
        <f>+IF(B1240="","",'Detalle Compras'!S1240+0)</f>
        <v/>
      </c>
      <c r="F1240" s="14" t="str">
        <f>+IF(B1240="","",EOMONTH('Detalle Compras'!S1240,G1240)+10)</f>
        <v/>
      </c>
      <c r="G1240" s="50">
        <f t="shared" si="71"/>
        <v>0</v>
      </c>
      <c r="H1240" s="50">
        <f t="shared" si="72"/>
        <v>0</v>
      </c>
    </row>
    <row r="1241" spans="1:8" x14ac:dyDescent="0.2">
      <c r="A1241" s="37">
        <v>1239</v>
      </c>
      <c r="C1241" s="17" t="e">
        <f>+'Detalle Compras'!#REF!</f>
        <v>#REF!</v>
      </c>
      <c r="D1241" s="55" t="str">
        <f t="shared" si="70"/>
        <v/>
      </c>
      <c r="E1241" s="14" t="str">
        <f>+IF(B1241="","",'Detalle Compras'!S1241+0)</f>
        <v/>
      </c>
      <c r="F1241" s="14" t="str">
        <f>+IF(B1241="","",EOMONTH('Detalle Compras'!S1241,G1241)+10)</f>
        <v/>
      </c>
      <c r="G1241" s="50">
        <f t="shared" si="71"/>
        <v>0</v>
      </c>
      <c r="H1241" s="50">
        <f t="shared" si="72"/>
        <v>0</v>
      </c>
    </row>
    <row r="1242" spans="1:8" x14ac:dyDescent="0.2">
      <c r="A1242" s="37">
        <v>1240</v>
      </c>
      <c r="C1242" s="17" t="e">
        <f>+'Detalle Compras'!#REF!</f>
        <v>#REF!</v>
      </c>
      <c r="D1242" s="55" t="str">
        <f t="shared" si="70"/>
        <v/>
      </c>
      <c r="E1242" s="14" t="str">
        <f>+IF(B1242="","",'Detalle Compras'!S1242+0)</f>
        <v/>
      </c>
      <c r="F1242" s="14" t="str">
        <f>+IF(B1242="","",EOMONTH('Detalle Compras'!S1242,G1242)+10)</f>
        <v/>
      </c>
      <c r="G1242" s="50">
        <f t="shared" si="71"/>
        <v>0</v>
      </c>
      <c r="H1242" s="50">
        <f t="shared" si="72"/>
        <v>0</v>
      </c>
    </row>
    <row r="1243" spans="1:8" x14ac:dyDescent="0.2">
      <c r="A1243" s="37">
        <v>1241</v>
      </c>
      <c r="C1243" s="17" t="e">
        <f>+'Detalle Compras'!#REF!</f>
        <v>#REF!</v>
      </c>
      <c r="D1243" s="55" t="str">
        <f t="shared" si="70"/>
        <v/>
      </c>
      <c r="E1243" s="14" t="str">
        <f>+IF(B1243="","",'Detalle Compras'!S1243+0)</f>
        <v/>
      </c>
      <c r="F1243" s="14" t="str">
        <f>+IF(B1243="","",EOMONTH('Detalle Compras'!S1243,G1243)+10)</f>
        <v/>
      </c>
      <c r="G1243" s="50">
        <f t="shared" si="71"/>
        <v>0</v>
      </c>
      <c r="H1243" s="50">
        <f t="shared" si="72"/>
        <v>0</v>
      </c>
    </row>
    <row r="1244" spans="1:8" x14ac:dyDescent="0.2">
      <c r="A1244" s="37">
        <v>1242</v>
      </c>
      <c r="C1244" s="17" t="e">
        <f>+'Detalle Compras'!#REF!</f>
        <v>#REF!</v>
      </c>
      <c r="D1244" s="55" t="str">
        <f t="shared" si="70"/>
        <v/>
      </c>
      <c r="E1244" s="14" t="str">
        <f>+IF(B1244="","",'Detalle Compras'!S1244+0)</f>
        <v/>
      </c>
      <c r="F1244" s="14" t="str">
        <f>+IF(B1244="","",EOMONTH('Detalle Compras'!S1244,G1244)+10)</f>
        <v/>
      </c>
      <c r="G1244" s="50">
        <f t="shared" si="71"/>
        <v>0</v>
      </c>
      <c r="H1244" s="50">
        <f t="shared" si="72"/>
        <v>0</v>
      </c>
    </row>
    <row r="1245" spans="1:8" x14ac:dyDescent="0.2">
      <c r="A1245" s="37">
        <v>1243</v>
      </c>
      <c r="C1245" s="17" t="e">
        <f>+'Detalle Compras'!#REF!</f>
        <v>#REF!</v>
      </c>
      <c r="D1245" s="55" t="str">
        <f t="shared" si="70"/>
        <v/>
      </c>
      <c r="E1245" s="14" t="str">
        <f>+IF(B1245="","",'Detalle Compras'!S1245+0)</f>
        <v/>
      </c>
      <c r="F1245" s="14" t="str">
        <f>+IF(B1245="","",EOMONTH('Detalle Compras'!S1245,G1245)+10)</f>
        <v/>
      </c>
      <c r="G1245" s="50">
        <f t="shared" si="71"/>
        <v>0</v>
      </c>
      <c r="H1245" s="50">
        <f t="shared" si="72"/>
        <v>0</v>
      </c>
    </row>
    <row r="1246" spans="1:8" x14ac:dyDescent="0.2">
      <c r="A1246" s="37">
        <v>1244</v>
      </c>
      <c r="C1246" s="17" t="e">
        <f>+'Detalle Compras'!#REF!</f>
        <v>#REF!</v>
      </c>
      <c r="D1246" s="55" t="str">
        <f t="shared" si="70"/>
        <v/>
      </c>
      <c r="E1246" s="14" t="str">
        <f>+IF(B1246="","",'Detalle Compras'!S1246+0)</f>
        <v/>
      </c>
      <c r="F1246" s="14" t="str">
        <f>+IF(B1246="","",EOMONTH('Detalle Compras'!S1246,G1246)+10)</f>
        <v/>
      </c>
      <c r="G1246" s="50">
        <f t="shared" si="71"/>
        <v>0</v>
      </c>
      <c r="H1246" s="50">
        <f t="shared" si="72"/>
        <v>0</v>
      </c>
    </row>
    <row r="1247" spans="1:8" x14ac:dyDescent="0.2">
      <c r="A1247" s="37">
        <v>1245</v>
      </c>
      <c r="C1247" s="17" t="e">
        <f>+'Detalle Compras'!#REF!</f>
        <v>#REF!</v>
      </c>
      <c r="D1247" s="55" t="str">
        <f t="shared" si="70"/>
        <v/>
      </c>
      <c r="E1247" s="14" t="str">
        <f>+IF(B1247="","",'Detalle Compras'!S1247+0)</f>
        <v/>
      </c>
      <c r="F1247" s="14" t="str">
        <f>+IF(B1247="","",EOMONTH('Detalle Compras'!S1247,G1247)+10)</f>
        <v/>
      </c>
      <c r="G1247" s="50">
        <f t="shared" si="71"/>
        <v>0</v>
      </c>
      <c r="H1247" s="50">
        <f t="shared" si="72"/>
        <v>0</v>
      </c>
    </row>
    <row r="1248" spans="1:8" x14ac:dyDescent="0.2">
      <c r="A1248" s="37">
        <v>1246</v>
      </c>
      <c r="C1248" s="17" t="e">
        <f>+'Detalle Compras'!#REF!</f>
        <v>#REF!</v>
      </c>
      <c r="D1248" s="55" t="str">
        <f t="shared" si="70"/>
        <v/>
      </c>
      <c r="E1248" s="14" t="str">
        <f>+IF(B1248="","",'Detalle Compras'!S1248+0)</f>
        <v/>
      </c>
      <c r="F1248" s="14" t="str">
        <f>+IF(B1248="","",EOMONTH('Detalle Compras'!S1248,G1248)+10)</f>
        <v/>
      </c>
      <c r="G1248" s="50">
        <f t="shared" si="71"/>
        <v>0</v>
      </c>
      <c r="H1248" s="50">
        <f t="shared" si="72"/>
        <v>0</v>
      </c>
    </row>
    <row r="1249" spans="1:8" x14ac:dyDescent="0.2">
      <c r="A1249" s="37">
        <v>1247</v>
      </c>
      <c r="C1249" s="17" t="e">
        <f>+'Detalle Compras'!#REF!</f>
        <v>#REF!</v>
      </c>
      <c r="D1249" s="55" t="str">
        <f t="shared" si="70"/>
        <v/>
      </c>
      <c r="E1249" s="14" t="str">
        <f>+IF(B1249="","",'Detalle Compras'!S1249+0)</f>
        <v/>
      </c>
      <c r="F1249" s="14" t="str">
        <f>+IF(B1249="","",EOMONTH('Detalle Compras'!S1249,G1249)+10)</f>
        <v/>
      </c>
      <c r="G1249" s="50">
        <f t="shared" si="71"/>
        <v>0</v>
      </c>
      <c r="H1249" s="50">
        <f t="shared" si="72"/>
        <v>0</v>
      </c>
    </row>
    <row r="1250" spans="1:8" x14ac:dyDescent="0.2">
      <c r="A1250" s="37">
        <v>1248</v>
      </c>
      <c r="C1250" s="17" t="e">
        <f>+'Detalle Compras'!#REF!</f>
        <v>#REF!</v>
      </c>
      <c r="D1250" s="55" t="str">
        <f t="shared" si="70"/>
        <v/>
      </c>
      <c r="E1250" s="14" t="str">
        <f>+IF(B1250="","",'Detalle Compras'!S1250+0)</f>
        <v/>
      </c>
      <c r="F1250" s="14" t="str">
        <f>+IF(B1250="","",EOMONTH('Detalle Compras'!S1250,G1250)+10)</f>
        <v/>
      </c>
      <c r="G1250" s="50">
        <f t="shared" si="71"/>
        <v>0</v>
      </c>
      <c r="H1250" s="50">
        <f t="shared" si="72"/>
        <v>0</v>
      </c>
    </row>
    <row r="1251" spans="1:8" x14ac:dyDescent="0.2">
      <c r="A1251" s="37">
        <v>1249</v>
      </c>
      <c r="C1251" s="17" t="e">
        <f>+'Detalle Compras'!#REF!</f>
        <v>#REF!</v>
      </c>
      <c r="D1251" s="55" t="str">
        <f t="shared" si="70"/>
        <v/>
      </c>
      <c r="E1251" s="14" t="str">
        <f>+IF(B1251="","",'Detalle Compras'!S1251+0)</f>
        <v/>
      </c>
      <c r="F1251" s="14" t="str">
        <f>+IF(B1251="","",EOMONTH('Detalle Compras'!S1251,G1251)+10)</f>
        <v/>
      </c>
      <c r="G1251" s="50">
        <f t="shared" si="71"/>
        <v>0</v>
      </c>
      <c r="H1251" s="50">
        <f t="shared" si="72"/>
        <v>0</v>
      </c>
    </row>
    <row r="1252" spans="1:8" x14ac:dyDescent="0.2">
      <c r="A1252" s="37">
        <v>1250</v>
      </c>
      <c r="C1252" s="17" t="e">
        <f>+'Detalle Compras'!#REF!</f>
        <v>#REF!</v>
      </c>
      <c r="D1252" s="55" t="str">
        <f t="shared" si="70"/>
        <v/>
      </c>
      <c r="E1252" s="14" t="str">
        <f>+IF(B1252="","",'Detalle Compras'!S1252+0)</f>
        <v/>
      </c>
      <c r="F1252" s="14" t="str">
        <f>+IF(B1252="","",EOMONTH('Detalle Compras'!S1252,G1252)+10)</f>
        <v/>
      </c>
      <c r="G1252" s="50">
        <f t="shared" si="71"/>
        <v>0</v>
      </c>
      <c r="H1252" s="50">
        <f t="shared" si="72"/>
        <v>0</v>
      </c>
    </row>
    <row r="1253" spans="1:8" x14ac:dyDescent="0.2">
      <c r="A1253" s="37">
        <v>1251</v>
      </c>
      <c r="C1253" s="17" t="e">
        <f>+'Detalle Compras'!#REF!</f>
        <v>#REF!</v>
      </c>
      <c r="D1253" s="55" t="str">
        <f t="shared" si="70"/>
        <v/>
      </c>
      <c r="E1253" s="14" t="str">
        <f>+IF(B1253="","",'Detalle Compras'!S1253+0)</f>
        <v/>
      </c>
      <c r="F1253" s="14" t="str">
        <f>+IF(B1253="","",EOMONTH('Detalle Compras'!S1253,G1253)+10)</f>
        <v/>
      </c>
      <c r="G1253" s="50">
        <f t="shared" si="71"/>
        <v>0</v>
      </c>
      <c r="H1253" s="50">
        <f t="shared" si="72"/>
        <v>0</v>
      </c>
    </row>
    <row r="1254" spans="1:8" x14ac:dyDescent="0.2">
      <c r="A1254" s="37">
        <v>1252</v>
      </c>
      <c r="C1254" s="17" t="e">
        <f>+'Detalle Compras'!#REF!</f>
        <v>#REF!</v>
      </c>
      <c r="D1254" s="55" t="str">
        <f t="shared" si="70"/>
        <v/>
      </c>
      <c r="E1254" s="14" t="str">
        <f>+IF(B1254="","",'Detalle Compras'!S1254+0)</f>
        <v/>
      </c>
      <c r="F1254" s="14" t="str">
        <f>+IF(B1254="","",EOMONTH('Detalle Compras'!S1254,G1254)+10)</f>
        <v/>
      </c>
      <c r="G1254" s="50">
        <f t="shared" si="71"/>
        <v>0</v>
      </c>
      <c r="H1254" s="50">
        <f t="shared" si="72"/>
        <v>0</v>
      </c>
    </row>
    <row r="1255" spans="1:8" x14ac:dyDescent="0.2">
      <c r="A1255" s="37">
        <v>1253</v>
      </c>
      <c r="C1255" s="17" t="e">
        <f>+'Detalle Compras'!#REF!</f>
        <v>#REF!</v>
      </c>
      <c r="D1255" s="55" t="str">
        <f t="shared" si="70"/>
        <v/>
      </c>
      <c r="E1255" s="14" t="str">
        <f>+IF(B1255="","",'Detalle Compras'!S1255+0)</f>
        <v/>
      </c>
      <c r="F1255" s="14" t="str">
        <f>+IF(B1255="","",EOMONTH('Detalle Compras'!S1255,G1255)+10)</f>
        <v/>
      </c>
      <c r="G1255" s="50">
        <f t="shared" si="71"/>
        <v>0</v>
      </c>
      <c r="H1255" s="50">
        <f t="shared" si="72"/>
        <v>0</v>
      </c>
    </row>
    <row r="1256" spans="1:8" x14ac:dyDescent="0.2">
      <c r="A1256" s="37">
        <v>1254</v>
      </c>
      <c r="C1256" s="17" t="e">
        <f>+'Detalle Compras'!#REF!</f>
        <v>#REF!</v>
      </c>
      <c r="D1256" s="55" t="str">
        <f t="shared" si="70"/>
        <v/>
      </c>
      <c r="E1256" s="14" t="str">
        <f>+IF(B1256="","",'Detalle Compras'!S1256+0)</f>
        <v/>
      </c>
      <c r="F1256" s="14" t="str">
        <f>+IF(B1256="","",EOMONTH('Detalle Compras'!S1256,G1256)+10)</f>
        <v/>
      </c>
      <c r="G1256" s="50">
        <f t="shared" si="71"/>
        <v>0</v>
      </c>
      <c r="H1256" s="50">
        <f t="shared" si="72"/>
        <v>0</v>
      </c>
    </row>
    <row r="1257" spans="1:8" x14ac:dyDescent="0.2">
      <c r="A1257" s="37">
        <v>1255</v>
      </c>
      <c r="C1257" s="17" t="e">
        <f>+'Detalle Compras'!#REF!</f>
        <v>#REF!</v>
      </c>
      <c r="D1257" s="55" t="str">
        <f t="shared" si="70"/>
        <v/>
      </c>
      <c r="E1257" s="14" t="str">
        <f>+IF(B1257="","",'Detalle Compras'!S1257+0)</f>
        <v/>
      </c>
      <c r="F1257" s="14" t="str">
        <f>+IF(B1257="","",EOMONTH('Detalle Compras'!S1257,G1257)+10)</f>
        <v/>
      </c>
      <c r="G1257" s="50">
        <f t="shared" si="71"/>
        <v>0</v>
      </c>
      <c r="H1257" s="50">
        <f t="shared" si="72"/>
        <v>0</v>
      </c>
    </row>
    <row r="1258" spans="1:8" x14ac:dyDescent="0.2">
      <c r="A1258" s="37">
        <v>1256</v>
      </c>
      <c r="C1258" s="17" t="e">
        <f>+'Detalle Compras'!#REF!</f>
        <v>#REF!</v>
      </c>
      <c r="D1258" s="55" t="str">
        <f t="shared" si="70"/>
        <v/>
      </c>
      <c r="E1258" s="14" t="str">
        <f>+IF(B1258="","",'Detalle Compras'!S1258+0)</f>
        <v/>
      </c>
      <c r="F1258" s="14" t="str">
        <f>+IF(B1258="","",EOMONTH('Detalle Compras'!S1258,G1258)+10)</f>
        <v/>
      </c>
      <c r="G1258" s="50">
        <f t="shared" si="71"/>
        <v>0</v>
      </c>
      <c r="H1258" s="50">
        <f t="shared" si="72"/>
        <v>0</v>
      </c>
    </row>
    <row r="1259" spans="1:8" x14ac:dyDescent="0.2">
      <c r="A1259" s="37">
        <v>1257</v>
      </c>
      <c r="C1259" s="17" t="e">
        <f>+'Detalle Compras'!#REF!</f>
        <v>#REF!</v>
      </c>
      <c r="D1259" s="55" t="str">
        <f t="shared" si="70"/>
        <v/>
      </c>
      <c r="E1259" s="14" t="str">
        <f>+IF(B1259="","",'Detalle Compras'!S1259+0)</f>
        <v/>
      </c>
      <c r="F1259" s="14" t="str">
        <f>+IF(B1259="","",EOMONTH('Detalle Compras'!S1259,G1259)+10)</f>
        <v/>
      </c>
      <c r="G1259" s="50">
        <f t="shared" si="71"/>
        <v>0</v>
      </c>
      <c r="H1259" s="50">
        <f t="shared" si="72"/>
        <v>0</v>
      </c>
    </row>
    <row r="1260" spans="1:8" x14ac:dyDescent="0.2">
      <c r="A1260" s="37">
        <v>1258</v>
      </c>
      <c r="C1260" s="17" t="e">
        <f>+'Detalle Compras'!#REF!</f>
        <v>#REF!</v>
      </c>
      <c r="D1260" s="55" t="str">
        <f t="shared" si="70"/>
        <v/>
      </c>
      <c r="E1260" s="14" t="str">
        <f>+IF(B1260="","",'Detalle Compras'!S1260+0)</f>
        <v/>
      </c>
      <c r="F1260" s="14" t="str">
        <f>+IF(B1260="","",EOMONTH('Detalle Compras'!S1260,G1260)+10)</f>
        <v/>
      </c>
      <c r="G1260" s="50">
        <f t="shared" si="71"/>
        <v>0</v>
      </c>
      <c r="H1260" s="50">
        <f t="shared" si="72"/>
        <v>0</v>
      </c>
    </row>
    <row r="1261" spans="1:8" x14ac:dyDescent="0.2">
      <c r="A1261" s="37">
        <v>1259</v>
      </c>
      <c r="C1261" s="17" t="e">
        <f>+'Detalle Compras'!#REF!</f>
        <v>#REF!</v>
      </c>
      <c r="D1261" s="55" t="str">
        <f t="shared" si="70"/>
        <v/>
      </c>
      <c r="E1261" s="14" t="str">
        <f>+IF(B1261="","",'Detalle Compras'!S1261+0)</f>
        <v/>
      </c>
      <c r="F1261" s="14" t="str">
        <f>+IF(B1261="","",EOMONTH('Detalle Compras'!S1261,G1261)+10)</f>
        <v/>
      </c>
      <c r="G1261" s="50">
        <f t="shared" si="71"/>
        <v>0</v>
      </c>
      <c r="H1261" s="50">
        <f t="shared" si="72"/>
        <v>0</v>
      </c>
    </row>
    <row r="1262" spans="1:8" x14ac:dyDescent="0.2">
      <c r="A1262" s="37">
        <v>1260</v>
      </c>
      <c r="C1262" s="17" t="e">
        <f>+'Detalle Compras'!#REF!</f>
        <v>#REF!</v>
      </c>
      <c r="D1262" s="55" t="str">
        <f t="shared" si="70"/>
        <v/>
      </c>
      <c r="E1262" s="14" t="str">
        <f>+IF(B1262="","",'Detalle Compras'!S1262+0)</f>
        <v/>
      </c>
      <c r="F1262" s="14" t="str">
        <f>+IF(B1262="","",EOMONTH('Detalle Compras'!S1262,G1262)+10)</f>
        <v/>
      </c>
      <c r="G1262" s="50">
        <f t="shared" si="71"/>
        <v>0</v>
      </c>
      <c r="H1262" s="50">
        <f t="shared" si="72"/>
        <v>0</v>
      </c>
    </row>
    <row r="1263" spans="1:8" x14ac:dyDescent="0.2">
      <c r="A1263" s="37">
        <v>1261</v>
      </c>
      <c r="C1263" s="17" t="e">
        <f>+'Detalle Compras'!#REF!</f>
        <v>#REF!</v>
      </c>
      <c r="D1263" s="55" t="str">
        <f t="shared" si="70"/>
        <v/>
      </c>
      <c r="E1263" s="14" t="str">
        <f>+IF(B1263="","",'Detalle Compras'!S1263+0)</f>
        <v/>
      </c>
      <c r="F1263" s="14" t="str">
        <f>+IF(B1263="","",EOMONTH('Detalle Compras'!S1263,G1263)+10)</f>
        <v/>
      </c>
      <c r="G1263" s="50">
        <f t="shared" si="71"/>
        <v>0</v>
      </c>
      <c r="H1263" s="50">
        <f t="shared" si="72"/>
        <v>0</v>
      </c>
    </row>
    <row r="1264" spans="1:8" x14ac:dyDescent="0.2">
      <c r="A1264" s="37">
        <v>1262</v>
      </c>
      <c r="C1264" s="17" t="e">
        <f>+'Detalle Compras'!#REF!</f>
        <v>#REF!</v>
      </c>
      <c r="D1264" s="55" t="str">
        <f t="shared" si="70"/>
        <v/>
      </c>
      <c r="E1264" s="14" t="str">
        <f>+IF(B1264="","",'Detalle Compras'!S1264+0)</f>
        <v/>
      </c>
      <c r="F1264" s="14" t="str">
        <f>+IF(B1264="","",EOMONTH('Detalle Compras'!S1264,G1264)+10)</f>
        <v/>
      </c>
      <c r="G1264" s="50">
        <f t="shared" si="71"/>
        <v>0</v>
      </c>
      <c r="H1264" s="50">
        <f t="shared" si="72"/>
        <v>0</v>
      </c>
    </row>
    <row r="1265" spans="1:8" x14ac:dyDescent="0.2">
      <c r="A1265" s="37">
        <v>1263</v>
      </c>
      <c r="C1265" s="17" t="e">
        <f>+'Detalle Compras'!#REF!</f>
        <v>#REF!</v>
      </c>
      <c r="D1265" s="55" t="str">
        <f t="shared" si="70"/>
        <v/>
      </c>
      <c r="E1265" s="14" t="str">
        <f>+IF(B1265="","",'Detalle Compras'!S1265+0)</f>
        <v/>
      </c>
      <c r="F1265" s="14" t="str">
        <f>+IF(B1265="","",EOMONTH('Detalle Compras'!S1265,G1265)+10)</f>
        <v/>
      </c>
      <c r="G1265" s="50">
        <f t="shared" si="71"/>
        <v>0</v>
      </c>
      <c r="H1265" s="50">
        <f t="shared" si="72"/>
        <v>0</v>
      </c>
    </row>
    <row r="1266" spans="1:8" x14ac:dyDescent="0.2">
      <c r="A1266" s="37">
        <v>1264</v>
      </c>
      <c r="C1266" s="17" t="e">
        <f>+'Detalle Compras'!#REF!</f>
        <v>#REF!</v>
      </c>
      <c r="D1266" s="55" t="str">
        <f t="shared" si="70"/>
        <v/>
      </c>
      <c r="E1266" s="14" t="str">
        <f>+IF(B1266="","",'Detalle Compras'!S1266+0)</f>
        <v/>
      </c>
      <c r="F1266" s="14" t="str">
        <f>+IF(B1266="","",EOMONTH('Detalle Compras'!S1266,G1266)+10)</f>
        <v/>
      </c>
      <c r="G1266" s="50">
        <f t="shared" si="71"/>
        <v>0</v>
      </c>
      <c r="H1266" s="50">
        <f t="shared" si="72"/>
        <v>0</v>
      </c>
    </row>
    <row r="1267" spans="1:8" x14ac:dyDescent="0.2">
      <c r="A1267" s="37">
        <v>1265</v>
      </c>
      <c r="C1267" s="17" t="e">
        <f>+'Detalle Compras'!#REF!</f>
        <v>#REF!</v>
      </c>
      <c r="D1267" s="55" t="str">
        <f t="shared" si="70"/>
        <v/>
      </c>
      <c r="E1267" s="14" t="str">
        <f>+IF(B1267="","",'Detalle Compras'!S1267+0)</f>
        <v/>
      </c>
      <c r="F1267" s="14" t="str">
        <f>+IF(B1267="","",EOMONTH('Detalle Compras'!S1267,G1267)+10)</f>
        <v/>
      </c>
      <c r="G1267" s="50">
        <f t="shared" si="71"/>
        <v>0</v>
      </c>
      <c r="H1267" s="50">
        <f t="shared" si="72"/>
        <v>0</v>
      </c>
    </row>
    <row r="1268" spans="1:8" x14ac:dyDescent="0.2">
      <c r="A1268" s="37">
        <v>1266</v>
      </c>
      <c r="C1268" s="17" t="e">
        <f>+'Detalle Compras'!#REF!</f>
        <v>#REF!</v>
      </c>
      <c r="D1268" s="55" t="str">
        <f t="shared" si="70"/>
        <v/>
      </c>
      <c r="E1268" s="14" t="str">
        <f>+IF(B1268="","",'Detalle Compras'!S1268+0)</f>
        <v/>
      </c>
      <c r="F1268" s="14" t="str">
        <f>+IF(B1268="","",EOMONTH('Detalle Compras'!S1268,G1268)+10)</f>
        <v/>
      </c>
      <c r="G1268" s="50">
        <f t="shared" si="71"/>
        <v>0</v>
      </c>
      <c r="H1268" s="50">
        <f t="shared" si="72"/>
        <v>0</v>
      </c>
    </row>
    <row r="1269" spans="1:8" x14ac:dyDescent="0.2">
      <c r="A1269" s="37">
        <v>1267</v>
      </c>
      <c r="C1269" s="17" t="e">
        <f>+'Detalle Compras'!#REF!</f>
        <v>#REF!</v>
      </c>
      <c r="D1269" s="55" t="str">
        <f t="shared" si="70"/>
        <v/>
      </c>
      <c r="E1269" s="14" t="str">
        <f>+IF(B1269="","",'Detalle Compras'!S1269+0)</f>
        <v/>
      </c>
      <c r="F1269" s="14" t="str">
        <f>+IF(B1269="","",EOMONTH('Detalle Compras'!S1269,G1269)+10)</f>
        <v/>
      </c>
      <c r="G1269" s="50">
        <f t="shared" si="71"/>
        <v>0</v>
      </c>
      <c r="H1269" s="50">
        <f t="shared" si="72"/>
        <v>0</v>
      </c>
    </row>
    <row r="1270" spans="1:8" x14ac:dyDescent="0.2">
      <c r="A1270" s="37">
        <v>1268</v>
      </c>
      <c r="C1270" s="17" t="e">
        <f>+'Detalle Compras'!#REF!</f>
        <v>#REF!</v>
      </c>
      <c r="D1270" s="55" t="str">
        <f t="shared" si="70"/>
        <v/>
      </c>
      <c r="E1270" s="14" t="str">
        <f>+IF(B1270="","",'Detalle Compras'!S1270+0)</f>
        <v/>
      </c>
      <c r="F1270" s="14" t="str">
        <f>+IF(B1270="","",EOMONTH('Detalle Compras'!S1270,G1270)+10)</f>
        <v/>
      </c>
      <c r="G1270" s="50">
        <f t="shared" si="71"/>
        <v>0</v>
      </c>
      <c r="H1270" s="50">
        <f t="shared" si="72"/>
        <v>0</v>
      </c>
    </row>
    <row r="1271" spans="1:8" x14ac:dyDescent="0.2">
      <c r="A1271" s="37">
        <v>1269</v>
      </c>
      <c r="C1271" s="17" t="e">
        <f>+'Detalle Compras'!#REF!</f>
        <v>#REF!</v>
      </c>
      <c r="D1271" s="55" t="str">
        <f t="shared" si="70"/>
        <v/>
      </c>
      <c r="E1271" s="14" t="str">
        <f>+IF(B1271="","",'Detalle Compras'!S1271+0)</f>
        <v/>
      </c>
      <c r="F1271" s="14" t="str">
        <f>+IF(B1271="","",EOMONTH('Detalle Compras'!S1271,G1271)+10)</f>
        <v/>
      </c>
      <c r="G1271" s="50">
        <f t="shared" si="71"/>
        <v>0</v>
      </c>
      <c r="H1271" s="50">
        <f t="shared" si="72"/>
        <v>0</v>
      </c>
    </row>
    <row r="1272" spans="1:8" x14ac:dyDescent="0.2">
      <c r="A1272" s="37">
        <v>1270</v>
      </c>
      <c r="C1272" s="17" t="e">
        <f>+'Detalle Compras'!#REF!</f>
        <v>#REF!</v>
      </c>
      <c r="D1272" s="55" t="str">
        <f t="shared" si="70"/>
        <v/>
      </c>
      <c r="E1272" s="14" t="str">
        <f>+IF(B1272="","",'Detalle Compras'!S1272+0)</f>
        <v/>
      </c>
      <c r="F1272" s="14" t="str">
        <f>+IF(B1272="","",EOMONTH('Detalle Compras'!S1272,G1272)+10)</f>
        <v/>
      </c>
      <c r="G1272" s="50">
        <f t="shared" si="71"/>
        <v>0</v>
      </c>
      <c r="H1272" s="50">
        <f t="shared" si="72"/>
        <v>0</v>
      </c>
    </row>
    <row r="1273" spans="1:8" x14ac:dyDescent="0.2">
      <c r="A1273" s="37">
        <v>1271</v>
      </c>
      <c r="C1273" s="17" t="e">
        <f>+'Detalle Compras'!#REF!</f>
        <v>#REF!</v>
      </c>
      <c r="D1273" s="55" t="str">
        <f t="shared" si="70"/>
        <v/>
      </c>
      <c r="E1273" s="14" t="str">
        <f>+IF(B1273="","",'Detalle Compras'!S1273+0)</f>
        <v/>
      </c>
      <c r="F1273" s="14" t="str">
        <f>+IF(B1273="","",EOMONTH('Detalle Compras'!S1273,G1273)+10)</f>
        <v/>
      </c>
      <c r="G1273" s="50">
        <f t="shared" si="71"/>
        <v>0</v>
      </c>
      <c r="H1273" s="50">
        <f t="shared" si="72"/>
        <v>0</v>
      </c>
    </row>
    <row r="1274" spans="1:8" x14ac:dyDescent="0.2">
      <c r="A1274" s="37">
        <v>1272</v>
      </c>
      <c r="C1274" s="17" t="e">
        <f>+'Detalle Compras'!#REF!</f>
        <v>#REF!</v>
      </c>
      <c r="D1274" s="55" t="str">
        <f t="shared" si="70"/>
        <v/>
      </c>
      <c r="E1274" s="14" t="str">
        <f>+IF(B1274="","",'Detalle Compras'!S1274+0)</f>
        <v/>
      </c>
      <c r="F1274" s="14" t="str">
        <f>+IF(B1274="","",EOMONTH('Detalle Compras'!S1274,G1274)+10)</f>
        <v/>
      </c>
      <c r="G1274" s="50">
        <f t="shared" si="71"/>
        <v>0</v>
      </c>
      <c r="H1274" s="50">
        <f t="shared" si="72"/>
        <v>0</v>
      </c>
    </row>
    <row r="1275" spans="1:8" x14ac:dyDescent="0.2">
      <c r="A1275" s="37">
        <v>1273</v>
      </c>
      <c r="C1275" s="17" t="e">
        <f>+'Detalle Compras'!#REF!</f>
        <v>#REF!</v>
      </c>
      <c r="D1275" s="55" t="str">
        <f t="shared" si="70"/>
        <v/>
      </c>
      <c r="E1275" s="14" t="str">
        <f>+IF(B1275="","",'Detalle Compras'!S1275+0)</f>
        <v/>
      </c>
      <c r="F1275" s="14" t="str">
        <f>+IF(B1275="","",EOMONTH('Detalle Compras'!S1275,G1275)+10)</f>
        <v/>
      </c>
      <c r="G1275" s="50">
        <f t="shared" si="71"/>
        <v>0</v>
      </c>
      <c r="H1275" s="50">
        <f t="shared" si="72"/>
        <v>0</v>
      </c>
    </row>
    <row r="1276" spans="1:8" x14ac:dyDescent="0.2">
      <c r="A1276" s="37">
        <v>1274</v>
      </c>
      <c r="C1276" s="17" t="e">
        <f>+'Detalle Compras'!#REF!</f>
        <v>#REF!</v>
      </c>
      <c r="D1276" s="55" t="str">
        <f t="shared" si="70"/>
        <v/>
      </c>
      <c r="E1276" s="14" t="str">
        <f>+IF(B1276="","",'Detalle Compras'!S1276+0)</f>
        <v/>
      </c>
      <c r="F1276" s="14" t="str">
        <f>+IF(B1276="","",EOMONTH('Detalle Compras'!S1276,G1276)+10)</f>
        <v/>
      </c>
      <c r="G1276" s="50">
        <f t="shared" si="71"/>
        <v>0</v>
      </c>
      <c r="H1276" s="50">
        <f t="shared" si="72"/>
        <v>0</v>
      </c>
    </row>
    <row r="1277" spans="1:8" x14ac:dyDescent="0.2">
      <c r="A1277" s="37">
        <v>1275</v>
      </c>
      <c r="C1277" s="17" t="e">
        <f>+'Detalle Compras'!#REF!</f>
        <v>#REF!</v>
      </c>
      <c r="D1277" s="55" t="str">
        <f t="shared" si="70"/>
        <v/>
      </c>
      <c r="E1277" s="14" t="str">
        <f>+IF(B1277="","",'Detalle Compras'!S1277+0)</f>
        <v/>
      </c>
      <c r="F1277" s="14" t="str">
        <f>+IF(B1277="","",EOMONTH('Detalle Compras'!S1277,G1277)+10)</f>
        <v/>
      </c>
      <c r="G1277" s="50">
        <f t="shared" si="71"/>
        <v>0</v>
      </c>
      <c r="H1277" s="50">
        <f t="shared" si="72"/>
        <v>0</v>
      </c>
    </row>
    <row r="1278" spans="1:8" x14ac:dyDescent="0.2">
      <c r="A1278" s="37">
        <v>1276</v>
      </c>
      <c r="C1278" s="17" t="e">
        <f>+'Detalle Compras'!#REF!</f>
        <v>#REF!</v>
      </c>
      <c r="D1278" s="55" t="str">
        <f t="shared" si="70"/>
        <v/>
      </c>
      <c r="E1278" s="14" t="str">
        <f>+IF(B1278="","",'Detalle Compras'!S1278+0)</f>
        <v/>
      </c>
      <c r="F1278" s="14" t="str">
        <f>+IF(B1278="","",EOMONTH('Detalle Compras'!S1278,G1278)+10)</f>
        <v/>
      </c>
      <c r="G1278" s="50">
        <f t="shared" si="71"/>
        <v>0</v>
      </c>
      <c r="H1278" s="50">
        <f t="shared" si="72"/>
        <v>0</v>
      </c>
    </row>
    <row r="1279" spans="1:8" x14ac:dyDescent="0.2">
      <c r="A1279" s="37">
        <v>1277</v>
      </c>
      <c r="C1279" s="17" t="e">
        <f>+'Detalle Compras'!#REF!</f>
        <v>#REF!</v>
      </c>
      <c r="D1279" s="55" t="str">
        <f t="shared" si="70"/>
        <v/>
      </c>
      <c r="E1279" s="14" t="str">
        <f>+IF(B1279="","",'Detalle Compras'!S1279+0)</f>
        <v/>
      </c>
      <c r="F1279" s="14" t="str">
        <f>+IF(B1279="","",EOMONTH('Detalle Compras'!S1279,G1279)+10)</f>
        <v/>
      </c>
      <c r="G1279" s="50">
        <f t="shared" si="71"/>
        <v>0</v>
      </c>
      <c r="H1279" s="50">
        <f t="shared" si="72"/>
        <v>0</v>
      </c>
    </row>
    <row r="1280" spans="1:8" x14ac:dyDescent="0.2">
      <c r="A1280" s="37">
        <v>1278</v>
      </c>
      <c r="C1280" s="17" t="e">
        <f>+'Detalle Compras'!#REF!</f>
        <v>#REF!</v>
      </c>
      <c r="D1280" s="55" t="str">
        <f t="shared" si="70"/>
        <v/>
      </c>
      <c r="E1280" s="14" t="str">
        <f>+IF(B1280="","",'Detalle Compras'!S1280+0)</f>
        <v/>
      </c>
      <c r="F1280" s="14" t="str">
        <f>+IF(B1280="","",EOMONTH('Detalle Compras'!S1280,G1280)+10)</f>
        <v/>
      </c>
      <c r="G1280" s="50">
        <f t="shared" si="71"/>
        <v>0</v>
      </c>
      <c r="H1280" s="50">
        <f t="shared" si="72"/>
        <v>0</v>
      </c>
    </row>
    <row r="1281" spans="1:8" x14ac:dyDescent="0.2">
      <c r="A1281" s="37">
        <v>1279</v>
      </c>
      <c r="C1281" s="17" t="e">
        <f>+'Detalle Compras'!#REF!</f>
        <v>#REF!</v>
      </c>
      <c r="D1281" s="55" t="str">
        <f t="shared" si="70"/>
        <v/>
      </c>
      <c r="E1281" s="14" t="str">
        <f>+IF(B1281="","",'Detalle Compras'!S1281+0)</f>
        <v/>
      </c>
      <c r="F1281" s="14" t="str">
        <f>+IF(B1281="","",EOMONTH('Detalle Compras'!S1281,G1281)+10)</f>
        <v/>
      </c>
      <c r="G1281" s="50">
        <f t="shared" si="71"/>
        <v>0</v>
      </c>
      <c r="H1281" s="50">
        <f t="shared" si="72"/>
        <v>0</v>
      </c>
    </row>
    <row r="1282" spans="1:8" x14ac:dyDescent="0.2">
      <c r="A1282" s="37">
        <v>1280</v>
      </c>
      <c r="C1282" s="17" t="e">
        <f>+'Detalle Compras'!#REF!</f>
        <v>#REF!</v>
      </c>
      <c r="D1282" s="55" t="str">
        <f t="shared" si="70"/>
        <v/>
      </c>
      <c r="E1282" s="14" t="str">
        <f>+IF(B1282="","",'Detalle Compras'!S1282+0)</f>
        <v/>
      </c>
      <c r="F1282" s="14" t="str">
        <f>+IF(B1282="","",EOMONTH('Detalle Compras'!S1282,G1282)+10)</f>
        <v/>
      </c>
      <c r="G1282" s="50">
        <f t="shared" si="71"/>
        <v>0</v>
      </c>
      <c r="H1282" s="50">
        <f t="shared" si="72"/>
        <v>0</v>
      </c>
    </row>
    <row r="1283" spans="1:8" x14ac:dyDescent="0.2">
      <c r="A1283" s="37">
        <v>1281</v>
      </c>
      <c r="C1283" s="17" t="e">
        <f>+'Detalle Compras'!#REF!</f>
        <v>#REF!</v>
      </c>
      <c r="D1283" s="55" t="str">
        <f t="shared" si="70"/>
        <v/>
      </c>
      <c r="E1283" s="14" t="str">
        <f>+IF(B1283="","",'Detalle Compras'!S1283+0)</f>
        <v/>
      </c>
      <c r="F1283" s="14" t="str">
        <f>+IF(B1283="","",EOMONTH('Detalle Compras'!S1283,G1283)+10)</f>
        <v/>
      </c>
      <c r="G1283" s="50">
        <f t="shared" si="71"/>
        <v>0</v>
      </c>
      <c r="H1283" s="50">
        <f t="shared" si="72"/>
        <v>0</v>
      </c>
    </row>
    <row r="1284" spans="1:8" x14ac:dyDescent="0.2">
      <c r="A1284" s="37">
        <v>1282</v>
      </c>
      <c r="C1284" s="17" t="e">
        <f>+'Detalle Compras'!#REF!</f>
        <v>#REF!</v>
      </c>
      <c r="D1284" s="55" t="str">
        <f t="shared" ref="D1284:D1347" si="73">+IF(B1284="","",EA1284)</f>
        <v/>
      </c>
      <c r="E1284" s="14" t="str">
        <f>+IF(B1284="","",'Detalle Compras'!S1284+0)</f>
        <v/>
      </c>
      <c r="F1284" s="14" t="str">
        <f>+IF(B1284="","",EOMONTH('Detalle Compras'!S1284,G1284)+10)</f>
        <v/>
      </c>
      <c r="G1284" s="50">
        <f t="shared" ref="G1284:G1347" si="74">+COUNTIF(I1284:ADF1284,"&gt;1")</f>
        <v>0</v>
      </c>
      <c r="H1284" s="50">
        <f t="shared" ref="H1284:H1347" si="75">+COUNT(AF1284:ADF1284)</f>
        <v>0</v>
      </c>
    </row>
    <row r="1285" spans="1:8" x14ac:dyDescent="0.2">
      <c r="A1285" s="37">
        <v>1283</v>
      </c>
      <c r="C1285" s="17" t="e">
        <f>+'Detalle Compras'!#REF!</f>
        <v>#REF!</v>
      </c>
      <c r="D1285" s="55" t="str">
        <f t="shared" si="73"/>
        <v/>
      </c>
      <c r="E1285" s="14" t="str">
        <f>+IF(B1285="","",'Detalle Compras'!S1285+0)</f>
        <v/>
      </c>
      <c r="F1285" s="14" t="str">
        <f>+IF(B1285="","",EOMONTH('Detalle Compras'!S1285,G1285)+10)</f>
        <v/>
      </c>
      <c r="G1285" s="50">
        <f t="shared" si="74"/>
        <v>0</v>
      </c>
      <c r="H1285" s="50">
        <f t="shared" si="75"/>
        <v>0</v>
      </c>
    </row>
    <row r="1286" spans="1:8" x14ac:dyDescent="0.2">
      <c r="A1286" s="37">
        <v>1284</v>
      </c>
      <c r="C1286" s="17" t="e">
        <f>+'Detalle Compras'!#REF!</f>
        <v>#REF!</v>
      </c>
      <c r="D1286" s="55" t="str">
        <f t="shared" si="73"/>
        <v/>
      </c>
      <c r="E1286" s="14" t="str">
        <f>+IF(B1286="","",'Detalle Compras'!S1286+0)</f>
        <v/>
      </c>
      <c r="F1286" s="14" t="str">
        <f>+IF(B1286="","",EOMONTH('Detalle Compras'!S1286,G1286)+10)</f>
        <v/>
      </c>
      <c r="G1286" s="50">
        <f t="shared" si="74"/>
        <v>0</v>
      </c>
      <c r="H1286" s="50">
        <f t="shared" si="75"/>
        <v>0</v>
      </c>
    </row>
    <row r="1287" spans="1:8" x14ac:dyDescent="0.2">
      <c r="A1287" s="37">
        <v>1285</v>
      </c>
      <c r="C1287" s="17" t="e">
        <f>+'Detalle Compras'!#REF!</f>
        <v>#REF!</v>
      </c>
      <c r="D1287" s="55" t="str">
        <f t="shared" si="73"/>
        <v/>
      </c>
      <c r="E1287" s="14" t="str">
        <f>+IF(B1287="","",'Detalle Compras'!S1287+0)</f>
        <v/>
      </c>
      <c r="F1287" s="14" t="str">
        <f>+IF(B1287="","",EOMONTH('Detalle Compras'!S1287,G1287)+10)</f>
        <v/>
      </c>
      <c r="G1287" s="50">
        <f t="shared" si="74"/>
        <v>0</v>
      </c>
      <c r="H1287" s="50">
        <f t="shared" si="75"/>
        <v>0</v>
      </c>
    </row>
    <row r="1288" spans="1:8" x14ac:dyDescent="0.2">
      <c r="A1288" s="37">
        <v>1286</v>
      </c>
      <c r="C1288" s="17" t="e">
        <f>+'Detalle Compras'!#REF!</f>
        <v>#REF!</v>
      </c>
      <c r="D1288" s="55" t="str">
        <f t="shared" si="73"/>
        <v/>
      </c>
      <c r="E1288" s="14" t="str">
        <f>+IF(B1288="","",'Detalle Compras'!S1288+0)</f>
        <v/>
      </c>
      <c r="F1288" s="14" t="str">
        <f>+IF(B1288="","",EOMONTH('Detalle Compras'!S1288,G1288)+10)</f>
        <v/>
      </c>
      <c r="G1288" s="50">
        <f t="shared" si="74"/>
        <v>0</v>
      </c>
      <c r="H1288" s="50">
        <f t="shared" si="75"/>
        <v>0</v>
      </c>
    </row>
    <row r="1289" spans="1:8" x14ac:dyDescent="0.2">
      <c r="A1289" s="37">
        <v>1287</v>
      </c>
      <c r="C1289" s="17" t="e">
        <f>+'Detalle Compras'!#REF!</f>
        <v>#REF!</v>
      </c>
      <c r="D1289" s="55" t="str">
        <f t="shared" si="73"/>
        <v/>
      </c>
      <c r="E1289" s="14" t="str">
        <f>+IF(B1289="","",'Detalle Compras'!S1289+0)</f>
        <v/>
      </c>
      <c r="F1289" s="14" t="str">
        <f>+IF(B1289="","",EOMONTH('Detalle Compras'!S1289,G1289)+10)</f>
        <v/>
      </c>
      <c r="G1289" s="50">
        <f t="shared" si="74"/>
        <v>0</v>
      </c>
      <c r="H1289" s="50">
        <f t="shared" si="75"/>
        <v>0</v>
      </c>
    </row>
    <row r="1290" spans="1:8" x14ac:dyDescent="0.2">
      <c r="A1290" s="37">
        <v>1288</v>
      </c>
      <c r="C1290" s="17" t="e">
        <f>+'Detalle Compras'!#REF!</f>
        <v>#REF!</v>
      </c>
      <c r="D1290" s="55" t="str">
        <f t="shared" si="73"/>
        <v/>
      </c>
      <c r="E1290" s="14" t="str">
        <f>+IF(B1290="","",'Detalle Compras'!S1290+0)</f>
        <v/>
      </c>
      <c r="F1290" s="14" t="str">
        <f>+IF(B1290="","",EOMONTH('Detalle Compras'!S1290,G1290)+10)</f>
        <v/>
      </c>
      <c r="G1290" s="50">
        <f t="shared" si="74"/>
        <v>0</v>
      </c>
      <c r="H1290" s="50">
        <f t="shared" si="75"/>
        <v>0</v>
      </c>
    </row>
    <row r="1291" spans="1:8" x14ac:dyDescent="0.2">
      <c r="A1291" s="37">
        <v>1289</v>
      </c>
      <c r="C1291" s="17" t="e">
        <f>+'Detalle Compras'!#REF!</f>
        <v>#REF!</v>
      </c>
      <c r="D1291" s="55" t="str">
        <f t="shared" si="73"/>
        <v/>
      </c>
      <c r="E1291" s="14" t="str">
        <f>+IF(B1291="","",'Detalle Compras'!S1291+0)</f>
        <v/>
      </c>
      <c r="F1291" s="14" t="str">
        <f>+IF(B1291="","",EOMONTH('Detalle Compras'!S1291,G1291)+10)</f>
        <v/>
      </c>
      <c r="G1291" s="50">
        <f t="shared" si="74"/>
        <v>0</v>
      </c>
      <c r="H1291" s="50">
        <f t="shared" si="75"/>
        <v>0</v>
      </c>
    </row>
    <row r="1292" spans="1:8" x14ac:dyDescent="0.2">
      <c r="A1292" s="37">
        <v>1290</v>
      </c>
      <c r="C1292" s="17" t="e">
        <f>+'Detalle Compras'!#REF!</f>
        <v>#REF!</v>
      </c>
      <c r="D1292" s="55" t="str">
        <f t="shared" si="73"/>
        <v/>
      </c>
      <c r="E1292" s="14" t="str">
        <f>+IF(B1292="","",'Detalle Compras'!S1292+0)</f>
        <v/>
      </c>
      <c r="F1292" s="14" t="str">
        <f>+IF(B1292="","",EOMONTH('Detalle Compras'!S1292,G1292)+10)</f>
        <v/>
      </c>
      <c r="G1292" s="50">
        <f t="shared" si="74"/>
        <v>0</v>
      </c>
      <c r="H1292" s="50">
        <f t="shared" si="75"/>
        <v>0</v>
      </c>
    </row>
    <row r="1293" spans="1:8" x14ac:dyDescent="0.2">
      <c r="A1293" s="37">
        <v>1291</v>
      </c>
      <c r="C1293" s="17" t="e">
        <f>+'Detalle Compras'!#REF!</f>
        <v>#REF!</v>
      </c>
      <c r="D1293" s="55" t="str">
        <f t="shared" si="73"/>
        <v/>
      </c>
      <c r="E1293" s="14" t="str">
        <f>+IF(B1293="","",'Detalle Compras'!S1293+0)</f>
        <v/>
      </c>
      <c r="F1293" s="14" t="str">
        <f>+IF(B1293="","",EOMONTH('Detalle Compras'!S1293,G1293)+10)</f>
        <v/>
      </c>
      <c r="G1293" s="50">
        <f t="shared" si="74"/>
        <v>0</v>
      </c>
      <c r="H1293" s="50">
        <f t="shared" si="75"/>
        <v>0</v>
      </c>
    </row>
    <row r="1294" spans="1:8" x14ac:dyDescent="0.2">
      <c r="A1294" s="37">
        <v>1292</v>
      </c>
      <c r="C1294" s="17" t="e">
        <f>+'Detalle Compras'!#REF!</f>
        <v>#REF!</v>
      </c>
      <c r="D1294" s="55" t="str">
        <f t="shared" si="73"/>
        <v/>
      </c>
      <c r="E1294" s="14" t="str">
        <f>+IF(B1294="","",'Detalle Compras'!S1294+0)</f>
        <v/>
      </c>
      <c r="F1294" s="14" t="str">
        <f>+IF(B1294="","",EOMONTH('Detalle Compras'!S1294,G1294)+10)</f>
        <v/>
      </c>
      <c r="G1294" s="50">
        <f t="shared" si="74"/>
        <v>0</v>
      </c>
      <c r="H1294" s="50">
        <f t="shared" si="75"/>
        <v>0</v>
      </c>
    </row>
    <row r="1295" spans="1:8" x14ac:dyDescent="0.2">
      <c r="A1295" s="37">
        <v>1293</v>
      </c>
      <c r="C1295" s="17" t="e">
        <f>+'Detalle Compras'!#REF!</f>
        <v>#REF!</v>
      </c>
      <c r="D1295" s="55" t="str">
        <f t="shared" si="73"/>
        <v/>
      </c>
      <c r="E1295" s="14" t="str">
        <f>+IF(B1295="","",'Detalle Compras'!S1295+0)</f>
        <v/>
      </c>
      <c r="F1295" s="14" t="str">
        <f>+IF(B1295="","",EOMONTH('Detalle Compras'!S1295,G1295)+10)</f>
        <v/>
      </c>
      <c r="G1295" s="50">
        <f t="shared" si="74"/>
        <v>0</v>
      </c>
      <c r="H1295" s="50">
        <f t="shared" si="75"/>
        <v>0</v>
      </c>
    </row>
    <row r="1296" spans="1:8" x14ac:dyDescent="0.2">
      <c r="A1296" s="37">
        <v>1294</v>
      </c>
      <c r="C1296" s="17" t="e">
        <f>+'Detalle Compras'!#REF!</f>
        <v>#REF!</v>
      </c>
      <c r="D1296" s="55" t="str">
        <f t="shared" si="73"/>
        <v/>
      </c>
      <c r="E1296" s="14" t="str">
        <f>+IF(B1296="","",'Detalle Compras'!S1296+0)</f>
        <v/>
      </c>
      <c r="F1296" s="14" t="str">
        <f>+IF(B1296="","",EOMONTH('Detalle Compras'!S1296,G1296)+10)</f>
        <v/>
      </c>
      <c r="G1296" s="50">
        <f t="shared" si="74"/>
        <v>0</v>
      </c>
      <c r="H1296" s="50">
        <f t="shared" si="75"/>
        <v>0</v>
      </c>
    </row>
    <row r="1297" spans="1:8" x14ac:dyDescent="0.2">
      <c r="A1297" s="37">
        <v>1295</v>
      </c>
      <c r="C1297" s="17" t="e">
        <f>+'Detalle Compras'!#REF!</f>
        <v>#REF!</v>
      </c>
      <c r="D1297" s="55" t="str">
        <f t="shared" si="73"/>
        <v/>
      </c>
      <c r="E1297" s="14" t="str">
        <f>+IF(B1297="","",'Detalle Compras'!S1297+0)</f>
        <v/>
      </c>
      <c r="F1297" s="14" t="str">
        <f>+IF(B1297="","",EOMONTH('Detalle Compras'!S1297,G1297)+10)</f>
        <v/>
      </c>
      <c r="G1297" s="50">
        <f t="shared" si="74"/>
        <v>0</v>
      </c>
      <c r="H1297" s="50">
        <f t="shared" si="75"/>
        <v>0</v>
      </c>
    </row>
    <row r="1298" spans="1:8" x14ac:dyDescent="0.2">
      <c r="A1298" s="37">
        <v>1296</v>
      </c>
      <c r="C1298" s="17" t="e">
        <f>+'Detalle Compras'!#REF!</f>
        <v>#REF!</v>
      </c>
      <c r="D1298" s="55" t="str">
        <f t="shared" si="73"/>
        <v/>
      </c>
      <c r="E1298" s="14" t="str">
        <f>+IF(B1298="","",'Detalle Compras'!S1298+0)</f>
        <v/>
      </c>
      <c r="F1298" s="14" t="str">
        <f>+IF(B1298="","",EOMONTH('Detalle Compras'!S1298,G1298)+10)</f>
        <v/>
      </c>
      <c r="G1298" s="50">
        <f t="shared" si="74"/>
        <v>0</v>
      </c>
      <c r="H1298" s="50">
        <f t="shared" si="75"/>
        <v>0</v>
      </c>
    </row>
    <row r="1299" spans="1:8" x14ac:dyDescent="0.2">
      <c r="A1299" s="37">
        <v>1297</v>
      </c>
      <c r="C1299" s="17" t="e">
        <f>+'Detalle Compras'!#REF!</f>
        <v>#REF!</v>
      </c>
      <c r="D1299" s="55" t="str">
        <f t="shared" si="73"/>
        <v/>
      </c>
      <c r="E1299" s="14" t="str">
        <f>+IF(B1299="","",'Detalle Compras'!S1299+0)</f>
        <v/>
      </c>
      <c r="F1299" s="14" t="str">
        <f>+IF(B1299="","",EOMONTH('Detalle Compras'!S1299,G1299)+10)</f>
        <v/>
      </c>
      <c r="G1299" s="50">
        <f t="shared" si="74"/>
        <v>0</v>
      </c>
      <c r="H1299" s="50">
        <f t="shared" si="75"/>
        <v>0</v>
      </c>
    </row>
    <row r="1300" spans="1:8" x14ac:dyDescent="0.2">
      <c r="A1300" s="37">
        <v>1298</v>
      </c>
      <c r="C1300" s="17" t="e">
        <f>+'Detalle Compras'!#REF!</f>
        <v>#REF!</v>
      </c>
      <c r="D1300" s="55" t="str">
        <f t="shared" si="73"/>
        <v/>
      </c>
      <c r="E1300" s="14" t="str">
        <f>+IF(B1300="","",'Detalle Compras'!S1300+0)</f>
        <v/>
      </c>
      <c r="F1300" s="14" t="str">
        <f>+IF(B1300="","",EOMONTH('Detalle Compras'!S1300,G1300)+10)</f>
        <v/>
      </c>
      <c r="G1300" s="50">
        <f t="shared" si="74"/>
        <v>0</v>
      </c>
      <c r="H1300" s="50">
        <f t="shared" si="75"/>
        <v>0</v>
      </c>
    </row>
    <row r="1301" spans="1:8" x14ac:dyDescent="0.2">
      <c r="A1301" s="37">
        <v>1299</v>
      </c>
      <c r="C1301" s="17" t="e">
        <f>+'Detalle Compras'!#REF!</f>
        <v>#REF!</v>
      </c>
      <c r="D1301" s="55" t="str">
        <f t="shared" si="73"/>
        <v/>
      </c>
      <c r="E1301" s="14" t="str">
        <f>+IF(B1301="","",'Detalle Compras'!S1301+0)</f>
        <v/>
      </c>
      <c r="F1301" s="14" t="str">
        <f>+IF(B1301="","",EOMONTH('Detalle Compras'!S1301,G1301)+10)</f>
        <v/>
      </c>
      <c r="G1301" s="50">
        <f t="shared" si="74"/>
        <v>0</v>
      </c>
      <c r="H1301" s="50">
        <f t="shared" si="75"/>
        <v>0</v>
      </c>
    </row>
    <row r="1302" spans="1:8" x14ac:dyDescent="0.2">
      <c r="A1302" s="37">
        <v>1300</v>
      </c>
      <c r="C1302" s="17" t="e">
        <f>+'Detalle Compras'!#REF!</f>
        <v>#REF!</v>
      </c>
      <c r="D1302" s="55" t="str">
        <f t="shared" si="73"/>
        <v/>
      </c>
      <c r="E1302" s="14" t="str">
        <f>+IF(B1302="","",'Detalle Compras'!S1302+0)</f>
        <v/>
      </c>
      <c r="F1302" s="14" t="str">
        <f>+IF(B1302="","",EOMONTH('Detalle Compras'!S1302,G1302)+10)</f>
        <v/>
      </c>
      <c r="G1302" s="50">
        <f t="shared" si="74"/>
        <v>0</v>
      </c>
      <c r="H1302" s="50">
        <f t="shared" si="75"/>
        <v>0</v>
      </c>
    </row>
    <row r="1303" spans="1:8" x14ac:dyDescent="0.2">
      <c r="A1303" s="37">
        <v>1301</v>
      </c>
      <c r="C1303" s="17" t="e">
        <f>+'Detalle Compras'!#REF!</f>
        <v>#REF!</v>
      </c>
      <c r="D1303" s="55" t="str">
        <f t="shared" si="73"/>
        <v/>
      </c>
      <c r="E1303" s="14" t="str">
        <f>+IF(B1303="","",'Detalle Compras'!S1303+0)</f>
        <v/>
      </c>
      <c r="F1303" s="14" t="str">
        <f>+IF(B1303="","",EOMONTH('Detalle Compras'!S1303,G1303)+10)</f>
        <v/>
      </c>
      <c r="G1303" s="50">
        <f t="shared" si="74"/>
        <v>0</v>
      </c>
      <c r="H1303" s="50">
        <f t="shared" si="75"/>
        <v>0</v>
      </c>
    </row>
    <row r="1304" spans="1:8" x14ac:dyDescent="0.2">
      <c r="A1304" s="37">
        <v>1302</v>
      </c>
      <c r="C1304" s="17" t="e">
        <f>+'Detalle Compras'!#REF!</f>
        <v>#REF!</v>
      </c>
      <c r="D1304" s="55" t="str">
        <f t="shared" si="73"/>
        <v/>
      </c>
      <c r="E1304" s="14" t="str">
        <f>+IF(B1304="","",'Detalle Compras'!S1304+0)</f>
        <v/>
      </c>
      <c r="F1304" s="14" t="str">
        <f>+IF(B1304="","",EOMONTH('Detalle Compras'!S1304,G1304)+10)</f>
        <v/>
      </c>
      <c r="G1304" s="50">
        <f t="shared" si="74"/>
        <v>0</v>
      </c>
      <c r="H1304" s="50">
        <f t="shared" si="75"/>
        <v>0</v>
      </c>
    </row>
    <row r="1305" spans="1:8" x14ac:dyDescent="0.2">
      <c r="A1305" s="37">
        <v>1303</v>
      </c>
      <c r="C1305" s="17" t="e">
        <f>+'Detalle Compras'!#REF!</f>
        <v>#REF!</v>
      </c>
      <c r="D1305" s="55" t="str">
        <f t="shared" si="73"/>
        <v/>
      </c>
      <c r="E1305" s="14" t="str">
        <f>+IF(B1305="","",'Detalle Compras'!S1305+0)</f>
        <v/>
      </c>
      <c r="F1305" s="14" t="str">
        <f>+IF(B1305="","",EOMONTH('Detalle Compras'!S1305,G1305)+10)</f>
        <v/>
      </c>
      <c r="G1305" s="50">
        <f t="shared" si="74"/>
        <v>0</v>
      </c>
      <c r="H1305" s="50">
        <f t="shared" si="75"/>
        <v>0</v>
      </c>
    </row>
    <row r="1306" spans="1:8" x14ac:dyDescent="0.2">
      <c r="A1306" s="37">
        <v>1304</v>
      </c>
      <c r="C1306" s="17" t="e">
        <f>+'Detalle Compras'!#REF!</f>
        <v>#REF!</v>
      </c>
      <c r="D1306" s="55" t="str">
        <f t="shared" si="73"/>
        <v/>
      </c>
      <c r="E1306" s="14" t="str">
        <f>+IF(B1306="","",'Detalle Compras'!S1306+0)</f>
        <v/>
      </c>
      <c r="F1306" s="14" t="str">
        <f>+IF(B1306="","",EOMONTH('Detalle Compras'!S1306,G1306)+10)</f>
        <v/>
      </c>
      <c r="G1306" s="50">
        <f t="shared" si="74"/>
        <v>0</v>
      </c>
      <c r="H1306" s="50">
        <f t="shared" si="75"/>
        <v>0</v>
      </c>
    </row>
    <row r="1307" spans="1:8" x14ac:dyDescent="0.2">
      <c r="A1307" s="37">
        <v>1305</v>
      </c>
      <c r="C1307" s="17" t="e">
        <f>+'Detalle Compras'!#REF!</f>
        <v>#REF!</v>
      </c>
      <c r="D1307" s="55" t="str">
        <f t="shared" si="73"/>
        <v/>
      </c>
      <c r="E1307" s="14" t="str">
        <f>+IF(B1307="","",'Detalle Compras'!S1307+0)</f>
        <v/>
      </c>
      <c r="F1307" s="14" t="str">
        <f>+IF(B1307="","",EOMONTH('Detalle Compras'!S1307,G1307)+10)</f>
        <v/>
      </c>
      <c r="G1307" s="50">
        <f t="shared" si="74"/>
        <v>0</v>
      </c>
      <c r="H1307" s="50">
        <f t="shared" si="75"/>
        <v>0</v>
      </c>
    </row>
    <row r="1308" spans="1:8" x14ac:dyDescent="0.2">
      <c r="A1308" s="37">
        <v>1306</v>
      </c>
      <c r="C1308" s="17" t="e">
        <f>+'Detalle Compras'!#REF!</f>
        <v>#REF!</v>
      </c>
      <c r="D1308" s="55" t="str">
        <f t="shared" si="73"/>
        <v/>
      </c>
      <c r="E1308" s="14" t="str">
        <f>+IF(B1308="","",'Detalle Compras'!S1308+0)</f>
        <v/>
      </c>
      <c r="F1308" s="14" t="str">
        <f>+IF(B1308="","",EOMONTH('Detalle Compras'!S1308,G1308)+10)</f>
        <v/>
      </c>
      <c r="G1308" s="50">
        <f t="shared" si="74"/>
        <v>0</v>
      </c>
      <c r="H1308" s="50">
        <f t="shared" si="75"/>
        <v>0</v>
      </c>
    </row>
    <row r="1309" spans="1:8" x14ac:dyDescent="0.2">
      <c r="A1309" s="37">
        <v>1307</v>
      </c>
      <c r="C1309" s="17" t="e">
        <f>+'Detalle Compras'!#REF!</f>
        <v>#REF!</v>
      </c>
      <c r="D1309" s="55" t="str">
        <f t="shared" si="73"/>
        <v/>
      </c>
      <c r="E1309" s="14" t="str">
        <f>+IF(B1309="","",'Detalle Compras'!S1309+0)</f>
        <v/>
      </c>
      <c r="F1309" s="14" t="str">
        <f>+IF(B1309="","",EOMONTH('Detalle Compras'!S1309,G1309)+10)</f>
        <v/>
      </c>
      <c r="G1309" s="50">
        <f t="shared" si="74"/>
        <v>0</v>
      </c>
      <c r="H1309" s="50">
        <f t="shared" si="75"/>
        <v>0</v>
      </c>
    </row>
    <row r="1310" spans="1:8" x14ac:dyDescent="0.2">
      <c r="A1310" s="37">
        <v>1308</v>
      </c>
      <c r="C1310" s="17" t="e">
        <f>+'Detalle Compras'!#REF!</f>
        <v>#REF!</v>
      </c>
      <c r="D1310" s="55" t="str">
        <f t="shared" si="73"/>
        <v/>
      </c>
      <c r="E1310" s="14" t="str">
        <f>+IF(B1310="","",'Detalle Compras'!S1310+0)</f>
        <v/>
      </c>
      <c r="F1310" s="14" t="str">
        <f>+IF(B1310="","",EOMONTH('Detalle Compras'!S1310,G1310)+10)</f>
        <v/>
      </c>
      <c r="G1310" s="50">
        <f t="shared" si="74"/>
        <v>0</v>
      </c>
      <c r="H1310" s="50">
        <f t="shared" si="75"/>
        <v>0</v>
      </c>
    </row>
    <row r="1311" spans="1:8" x14ac:dyDescent="0.2">
      <c r="A1311" s="37">
        <v>1309</v>
      </c>
      <c r="C1311" s="17" t="e">
        <f>+'Detalle Compras'!#REF!</f>
        <v>#REF!</v>
      </c>
      <c r="D1311" s="55" t="str">
        <f t="shared" si="73"/>
        <v/>
      </c>
      <c r="E1311" s="14" t="str">
        <f>+IF(B1311="","",'Detalle Compras'!S1311+0)</f>
        <v/>
      </c>
      <c r="F1311" s="14" t="str">
        <f>+IF(B1311="","",EOMONTH('Detalle Compras'!S1311,G1311)+10)</f>
        <v/>
      </c>
      <c r="G1311" s="50">
        <f t="shared" si="74"/>
        <v>0</v>
      </c>
      <c r="H1311" s="50">
        <f t="shared" si="75"/>
        <v>0</v>
      </c>
    </row>
    <row r="1312" spans="1:8" x14ac:dyDescent="0.2">
      <c r="A1312" s="37">
        <v>1310</v>
      </c>
      <c r="C1312" s="17" t="e">
        <f>+'Detalle Compras'!#REF!</f>
        <v>#REF!</v>
      </c>
      <c r="D1312" s="55" t="str">
        <f t="shared" si="73"/>
        <v/>
      </c>
      <c r="E1312" s="14" t="str">
        <f>+IF(B1312="","",'Detalle Compras'!S1312+0)</f>
        <v/>
      </c>
      <c r="F1312" s="14" t="str">
        <f>+IF(B1312="","",EOMONTH('Detalle Compras'!S1312,G1312)+10)</f>
        <v/>
      </c>
      <c r="G1312" s="50">
        <f t="shared" si="74"/>
        <v>0</v>
      </c>
      <c r="H1312" s="50">
        <f t="shared" si="75"/>
        <v>0</v>
      </c>
    </row>
    <row r="1313" spans="1:8" x14ac:dyDescent="0.2">
      <c r="A1313" s="37">
        <v>1311</v>
      </c>
      <c r="C1313" s="17" t="e">
        <f>+'Detalle Compras'!#REF!</f>
        <v>#REF!</v>
      </c>
      <c r="D1313" s="55" t="str">
        <f t="shared" si="73"/>
        <v/>
      </c>
      <c r="E1313" s="14" t="str">
        <f>+IF(B1313="","",'Detalle Compras'!S1313+0)</f>
        <v/>
      </c>
      <c r="F1313" s="14" t="str">
        <f>+IF(B1313="","",EOMONTH('Detalle Compras'!S1313,G1313)+10)</f>
        <v/>
      </c>
      <c r="G1313" s="50">
        <f t="shared" si="74"/>
        <v>0</v>
      </c>
      <c r="H1313" s="50">
        <f t="shared" si="75"/>
        <v>0</v>
      </c>
    </row>
    <row r="1314" spans="1:8" x14ac:dyDescent="0.2">
      <c r="A1314" s="37">
        <v>1312</v>
      </c>
      <c r="C1314" s="17" t="e">
        <f>+'Detalle Compras'!#REF!</f>
        <v>#REF!</v>
      </c>
      <c r="D1314" s="55" t="str">
        <f t="shared" si="73"/>
        <v/>
      </c>
      <c r="E1314" s="14" t="str">
        <f>+IF(B1314="","",'Detalle Compras'!S1314+0)</f>
        <v/>
      </c>
      <c r="F1314" s="14" t="str">
        <f>+IF(B1314="","",EOMONTH('Detalle Compras'!S1314,G1314)+10)</f>
        <v/>
      </c>
      <c r="G1314" s="50">
        <f t="shared" si="74"/>
        <v>0</v>
      </c>
      <c r="H1314" s="50">
        <f t="shared" si="75"/>
        <v>0</v>
      </c>
    </row>
    <row r="1315" spans="1:8" x14ac:dyDescent="0.2">
      <c r="A1315" s="37">
        <v>1313</v>
      </c>
      <c r="C1315" s="17" t="e">
        <f>+'Detalle Compras'!#REF!</f>
        <v>#REF!</v>
      </c>
      <c r="D1315" s="55" t="str">
        <f t="shared" si="73"/>
        <v/>
      </c>
      <c r="E1315" s="14" t="str">
        <f>+IF(B1315="","",'Detalle Compras'!S1315+0)</f>
        <v/>
      </c>
      <c r="F1315" s="14" t="str">
        <f>+IF(B1315="","",EOMONTH('Detalle Compras'!S1315,G1315)+10)</f>
        <v/>
      </c>
      <c r="G1315" s="50">
        <f t="shared" si="74"/>
        <v>0</v>
      </c>
      <c r="H1315" s="50">
        <f t="shared" si="75"/>
        <v>0</v>
      </c>
    </row>
    <row r="1316" spans="1:8" x14ac:dyDescent="0.2">
      <c r="A1316" s="37">
        <v>1314</v>
      </c>
      <c r="C1316" s="17" t="e">
        <f>+'Detalle Compras'!#REF!</f>
        <v>#REF!</v>
      </c>
      <c r="D1316" s="55" t="str">
        <f t="shared" si="73"/>
        <v/>
      </c>
      <c r="E1316" s="14" t="str">
        <f>+IF(B1316="","",'Detalle Compras'!S1316+0)</f>
        <v/>
      </c>
      <c r="F1316" s="14" t="str">
        <f>+IF(B1316="","",EOMONTH('Detalle Compras'!S1316,G1316)+10)</f>
        <v/>
      </c>
      <c r="G1316" s="50">
        <f t="shared" si="74"/>
        <v>0</v>
      </c>
      <c r="H1316" s="50">
        <f t="shared" si="75"/>
        <v>0</v>
      </c>
    </row>
    <row r="1317" spans="1:8" x14ac:dyDescent="0.2">
      <c r="A1317" s="37">
        <v>1315</v>
      </c>
      <c r="C1317" s="17" t="e">
        <f>+'Detalle Compras'!#REF!</f>
        <v>#REF!</v>
      </c>
      <c r="D1317" s="55" t="str">
        <f t="shared" si="73"/>
        <v/>
      </c>
      <c r="E1317" s="14" t="str">
        <f>+IF(B1317="","",'Detalle Compras'!S1317+0)</f>
        <v/>
      </c>
      <c r="F1317" s="14" t="str">
        <f>+IF(B1317="","",EOMONTH('Detalle Compras'!S1317,G1317)+10)</f>
        <v/>
      </c>
      <c r="G1317" s="50">
        <f t="shared" si="74"/>
        <v>0</v>
      </c>
      <c r="H1317" s="50">
        <f t="shared" si="75"/>
        <v>0</v>
      </c>
    </row>
    <row r="1318" spans="1:8" x14ac:dyDescent="0.2">
      <c r="A1318" s="37">
        <v>1316</v>
      </c>
      <c r="C1318" s="17" t="e">
        <f>+'Detalle Compras'!#REF!</f>
        <v>#REF!</v>
      </c>
      <c r="D1318" s="55" t="str">
        <f t="shared" si="73"/>
        <v/>
      </c>
      <c r="E1318" s="14" t="str">
        <f>+IF(B1318="","",'Detalle Compras'!S1318+0)</f>
        <v/>
      </c>
      <c r="F1318" s="14" t="str">
        <f>+IF(B1318="","",EOMONTH('Detalle Compras'!S1318,G1318)+10)</f>
        <v/>
      </c>
      <c r="G1318" s="50">
        <f t="shared" si="74"/>
        <v>0</v>
      </c>
      <c r="H1318" s="50">
        <f t="shared" si="75"/>
        <v>0</v>
      </c>
    </row>
    <row r="1319" spans="1:8" x14ac:dyDescent="0.2">
      <c r="A1319" s="37">
        <v>1317</v>
      </c>
      <c r="C1319" s="17" t="e">
        <f>+'Detalle Compras'!#REF!</f>
        <v>#REF!</v>
      </c>
      <c r="D1319" s="55" t="str">
        <f t="shared" si="73"/>
        <v/>
      </c>
      <c r="E1319" s="14" t="str">
        <f>+IF(B1319="","",'Detalle Compras'!S1319+0)</f>
        <v/>
      </c>
      <c r="F1319" s="14" t="str">
        <f>+IF(B1319="","",EOMONTH('Detalle Compras'!S1319,G1319)+10)</f>
        <v/>
      </c>
      <c r="G1319" s="50">
        <f t="shared" si="74"/>
        <v>0</v>
      </c>
      <c r="H1319" s="50">
        <f t="shared" si="75"/>
        <v>0</v>
      </c>
    </row>
    <row r="1320" spans="1:8" x14ac:dyDescent="0.2">
      <c r="A1320" s="37">
        <v>1318</v>
      </c>
      <c r="C1320" s="17" t="e">
        <f>+'Detalle Compras'!#REF!</f>
        <v>#REF!</v>
      </c>
      <c r="D1320" s="55" t="str">
        <f t="shared" si="73"/>
        <v/>
      </c>
      <c r="E1320" s="14" t="str">
        <f>+IF(B1320="","",'Detalle Compras'!S1320+0)</f>
        <v/>
      </c>
      <c r="F1320" s="14" t="str">
        <f>+IF(B1320="","",EOMONTH('Detalle Compras'!S1320,G1320)+10)</f>
        <v/>
      </c>
      <c r="G1320" s="50">
        <f t="shared" si="74"/>
        <v>0</v>
      </c>
      <c r="H1320" s="50">
        <f t="shared" si="75"/>
        <v>0</v>
      </c>
    </row>
    <row r="1321" spans="1:8" x14ac:dyDescent="0.2">
      <c r="A1321" s="37">
        <v>1319</v>
      </c>
      <c r="C1321" s="17" t="e">
        <f>+'Detalle Compras'!#REF!</f>
        <v>#REF!</v>
      </c>
      <c r="D1321" s="55" t="str">
        <f t="shared" si="73"/>
        <v/>
      </c>
      <c r="E1321" s="14" t="str">
        <f>+IF(B1321="","",'Detalle Compras'!S1321+0)</f>
        <v/>
      </c>
      <c r="F1321" s="14" t="str">
        <f>+IF(B1321="","",EOMONTH('Detalle Compras'!S1321,G1321)+10)</f>
        <v/>
      </c>
      <c r="G1321" s="50">
        <f t="shared" si="74"/>
        <v>0</v>
      </c>
      <c r="H1321" s="50">
        <f t="shared" si="75"/>
        <v>0</v>
      </c>
    </row>
    <row r="1322" spans="1:8" x14ac:dyDescent="0.2">
      <c r="A1322" s="37">
        <v>1320</v>
      </c>
      <c r="C1322" s="17" t="e">
        <f>+'Detalle Compras'!#REF!</f>
        <v>#REF!</v>
      </c>
      <c r="D1322" s="55" t="str">
        <f t="shared" si="73"/>
        <v/>
      </c>
      <c r="E1322" s="14" t="str">
        <f>+IF(B1322="","",'Detalle Compras'!S1322+0)</f>
        <v/>
      </c>
      <c r="F1322" s="14" t="str">
        <f>+IF(B1322="","",EOMONTH('Detalle Compras'!S1322,G1322)+10)</f>
        <v/>
      </c>
      <c r="G1322" s="50">
        <f t="shared" si="74"/>
        <v>0</v>
      </c>
      <c r="H1322" s="50">
        <f t="shared" si="75"/>
        <v>0</v>
      </c>
    </row>
    <row r="1323" spans="1:8" x14ac:dyDescent="0.2">
      <c r="A1323" s="37">
        <v>1321</v>
      </c>
      <c r="C1323" s="17" t="e">
        <f>+'Detalle Compras'!#REF!</f>
        <v>#REF!</v>
      </c>
      <c r="D1323" s="55" t="str">
        <f t="shared" si="73"/>
        <v/>
      </c>
      <c r="E1323" s="14" t="str">
        <f>+IF(B1323="","",'Detalle Compras'!S1323+0)</f>
        <v/>
      </c>
      <c r="F1323" s="14" t="str">
        <f>+IF(B1323="","",EOMONTH('Detalle Compras'!S1323,G1323)+10)</f>
        <v/>
      </c>
      <c r="G1323" s="50">
        <f t="shared" si="74"/>
        <v>0</v>
      </c>
      <c r="H1323" s="50">
        <f t="shared" si="75"/>
        <v>0</v>
      </c>
    </row>
    <row r="1324" spans="1:8" x14ac:dyDescent="0.2">
      <c r="A1324" s="37">
        <v>1322</v>
      </c>
      <c r="C1324" s="17" t="e">
        <f>+'Detalle Compras'!#REF!</f>
        <v>#REF!</v>
      </c>
      <c r="D1324" s="55" t="str">
        <f t="shared" si="73"/>
        <v/>
      </c>
      <c r="E1324" s="14" t="str">
        <f>+IF(B1324="","",'Detalle Compras'!S1324+0)</f>
        <v/>
      </c>
      <c r="F1324" s="14" t="str">
        <f>+IF(B1324="","",EOMONTH('Detalle Compras'!S1324,G1324)+10)</f>
        <v/>
      </c>
      <c r="G1324" s="50">
        <f t="shared" si="74"/>
        <v>0</v>
      </c>
      <c r="H1324" s="50">
        <f t="shared" si="75"/>
        <v>0</v>
      </c>
    </row>
    <row r="1325" spans="1:8" x14ac:dyDescent="0.2">
      <c r="A1325" s="37">
        <v>1323</v>
      </c>
      <c r="C1325" s="17" t="e">
        <f>+'Detalle Compras'!#REF!</f>
        <v>#REF!</v>
      </c>
      <c r="D1325" s="55" t="str">
        <f t="shared" si="73"/>
        <v/>
      </c>
      <c r="E1325" s="14" t="str">
        <f>+IF(B1325="","",'Detalle Compras'!S1325+0)</f>
        <v/>
      </c>
      <c r="F1325" s="14" t="str">
        <f>+IF(B1325="","",EOMONTH('Detalle Compras'!S1325,G1325)+10)</f>
        <v/>
      </c>
      <c r="G1325" s="50">
        <f t="shared" si="74"/>
        <v>0</v>
      </c>
      <c r="H1325" s="50">
        <f t="shared" si="75"/>
        <v>0</v>
      </c>
    </row>
    <row r="1326" spans="1:8" x14ac:dyDescent="0.2">
      <c r="A1326" s="37">
        <v>1324</v>
      </c>
      <c r="C1326" s="17" t="e">
        <f>+'Detalle Compras'!#REF!</f>
        <v>#REF!</v>
      </c>
      <c r="D1326" s="55" t="str">
        <f t="shared" si="73"/>
        <v/>
      </c>
      <c r="E1326" s="14" t="str">
        <f>+IF(B1326="","",'Detalle Compras'!S1326+0)</f>
        <v/>
      </c>
      <c r="F1326" s="14" t="str">
        <f>+IF(B1326="","",EOMONTH('Detalle Compras'!S1326,G1326)+10)</f>
        <v/>
      </c>
      <c r="G1326" s="50">
        <f t="shared" si="74"/>
        <v>0</v>
      </c>
      <c r="H1326" s="50">
        <f t="shared" si="75"/>
        <v>0</v>
      </c>
    </row>
    <row r="1327" spans="1:8" x14ac:dyDescent="0.2">
      <c r="A1327" s="37">
        <v>1325</v>
      </c>
      <c r="C1327" s="17" t="e">
        <f>+'Detalle Compras'!#REF!</f>
        <v>#REF!</v>
      </c>
      <c r="D1327" s="55" t="str">
        <f t="shared" si="73"/>
        <v/>
      </c>
      <c r="E1327" s="14" t="str">
        <f>+IF(B1327="","",'Detalle Compras'!S1327+0)</f>
        <v/>
      </c>
      <c r="F1327" s="14" t="str">
        <f>+IF(B1327="","",EOMONTH('Detalle Compras'!S1327,G1327)+10)</f>
        <v/>
      </c>
      <c r="G1327" s="50">
        <f t="shared" si="74"/>
        <v>0</v>
      </c>
      <c r="H1327" s="50">
        <f t="shared" si="75"/>
        <v>0</v>
      </c>
    </row>
    <row r="1328" spans="1:8" x14ac:dyDescent="0.2">
      <c r="A1328" s="37">
        <v>1326</v>
      </c>
      <c r="C1328" s="17" t="e">
        <f>+'Detalle Compras'!#REF!</f>
        <v>#REF!</v>
      </c>
      <c r="D1328" s="55" t="str">
        <f t="shared" si="73"/>
        <v/>
      </c>
      <c r="E1328" s="14" t="str">
        <f>+IF(B1328="","",'Detalle Compras'!S1328+0)</f>
        <v/>
      </c>
      <c r="F1328" s="14" t="str">
        <f>+IF(B1328="","",EOMONTH('Detalle Compras'!S1328,G1328)+10)</f>
        <v/>
      </c>
      <c r="G1328" s="50">
        <f t="shared" si="74"/>
        <v>0</v>
      </c>
      <c r="H1328" s="50">
        <f t="shared" si="75"/>
        <v>0</v>
      </c>
    </row>
    <row r="1329" spans="1:8" x14ac:dyDescent="0.2">
      <c r="A1329" s="37">
        <v>1327</v>
      </c>
      <c r="C1329" s="17" t="e">
        <f>+'Detalle Compras'!#REF!</f>
        <v>#REF!</v>
      </c>
      <c r="D1329" s="55" t="str">
        <f t="shared" si="73"/>
        <v/>
      </c>
      <c r="E1329" s="14" t="str">
        <f>+IF(B1329="","",'Detalle Compras'!S1329+0)</f>
        <v/>
      </c>
      <c r="F1329" s="14" t="str">
        <f>+IF(B1329="","",EOMONTH('Detalle Compras'!S1329,G1329)+10)</f>
        <v/>
      </c>
      <c r="G1329" s="50">
        <f t="shared" si="74"/>
        <v>0</v>
      </c>
      <c r="H1329" s="50">
        <f t="shared" si="75"/>
        <v>0</v>
      </c>
    </row>
    <row r="1330" spans="1:8" x14ac:dyDescent="0.2">
      <c r="A1330" s="37">
        <v>1328</v>
      </c>
      <c r="C1330" s="17" t="e">
        <f>+'Detalle Compras'!#REF!</f>
        <v>#REF!</v>
      </c>
      <c r="D1330" s="55" t="str">
        <f t="shared" si="73"/>
        <v/>
      </c>
      <c r="E1330" s="14" t="str">
        <f>+IF(B1330="","",'Detalle Compras'!S1330+0)</f>
        <v/>
      </c>
      <c r="F1330" s="14" t="str">
        <f>+IF(B1330="","",EOMONTH('Detalle Compras'!S1330,G1330)+10)</f>
        <v/>
      </c>
      <c r="G1330" s="50">
        <f t="shared" si="74"/>
        <v>0</v>
      </c>
      <c r="H1330" s="50">
        <f t="shared" si="75"/>
        <v>0</v>
      </c>
    </row>
    <row r="1331" spans="1:8" x14ac:dyDescent="0.2">
      <c r="A1331" s="37">
        <v>1329</v>
      </c>
      <c r="C1331" s="17" t="e">
        <f>+'Detalle Compras'!#REF!</f>
        <v>#REF!</v>
      </c>
      <c r="D1331" s="55" t="str">
        <f t="shared" si="73"/>
        <v/>
      </c>
      <c r="E1331" s="14" t="str">
        <f>+IF(B1331="","",'Detalle Compras'!S1331+0)</f>
        <v/>
      </c>
      <c r="F1331" s="14" t="str">
        <f>+IF(B1331="","",EOMONTH('Detalle Compras'!S1331,G1331)+10)</f>
        <v/>
      </c>
      <c r="G1331" s="50">
        <f t="shared" si="74"/>
        <v>0</v>
      </c>
      <c r="H1331" s="50">
        <f t="shared" si="75"/>
        <v>0</v>
      </c>
    </row>
    <row r="1332" spans="1:8" x14ac:dyDescent="0.2">
      <c r="A1332" s="37">
        <v>1330</v>
      </c>
      <c r="C1332" s="17" t="e">
        <f>+'Detalle Compras'!#REF!</f>
        <v>#REF!</v>
      </c>
      <c r="D1332" s="55" t="str">
        <f t="shared" si="73"/>
        <v/>
      </c>
      <c r="E1332" s="14" t="str">
        <f>+IF(B1332="","",'Detalle Compras'!S1332+0)</f>
        <v/>
      </c>
      <c r="F1332" s="14" t="str">
        <f>+IF(B1332="","",EOMONTH('Detalle Compras'!S1332,G1332)+10)</f>
        <v/>
      </c>
      <c r="G1332" s="50">
        <f t="shared" si="74"/>
        <v>0</v>
      </c>
      <c r="H1332" s="50">
        <f t="shared" si="75"/>
        <v>0</v>
      </c>
    </row>
    <row r="1333" spans="1:8" x14ac:dyDescent="0.2">
      <c r="A1333" s="37">
        <v>1331</v>
      </c>
      <c r="C1333" s="17" t="e">
        <f>+'Detalle Compras'!#REF!</f>
        <v>#REF!</v>
      </c>
      <c r="D1333" s="55" t="str">
        <f t="shared" si="73"/>
        <v/>
      </c>
      <c r="E1333" s="14" t="str">
        <f>+IF(B1333="","",'Detalle Compras'!S1333+0)</f>
        <v/>
      </c>
      <c r="F1333" s="14" t="str">
        <f>+IF(B1333="","",EOMONTH('Detalle Compras'!S1333,G1333)+10)</f>
        <v/>
      </c>
      <c r="G1333" s="50">
        <f t="shared" si="74"/>
        <v>0</v>
      </c>
      <c r="H1333" s="50">
        <f t="shared" si="75"/>
        <v>0</v>
      </c>
    </row>
    <row r="1334" spans="1:8" x14ac:dyDescent="0.2">
      <c r="A1334" s="37">
        <v>1332</v>
      </c>
      <c r="C1334" s="17" t="e">
        <f>+'Detalle Compras'!#REF!</f>
        <v>#REF!</v>
      </c>
      <c r="D1334" s="55" t="str">
        <f t="shared" si="73"/>
        <v/>
      </c>
      <c r="E1334" s="14" t="str">
        <f>+IF(B1334="","",'Detalle Compras'!S1334+0)</f>
        <v/>
      </c>
      <c r="F1334" s="14" t="str">
        <f>+IF(B1334="","",EOMONTH('Detalle Compras'!S1334,G1334)+10)</f>
        <v/>
      </c>
      <c r="G1334" s="50">
        <f t="shared" si="74"/>
        <v>0</v>
      </c>
      <c r="H1334" s="50">
        <f t="shared" si="75"/>
        <v>0</v>
      </c>
    </row>
    <row r="1335" spans="1:8" x14ac:dyDescent="0.2">
      <c r="A1335" s="37">
        <v>1333</v>
      </c>
      <c r="C1335" s="17" t="e">
        <f>+'Detalle Compras'!#REF!</f>
        <v>#REF!</v>
      </c>
      <c r="D1335" s="55" t="str">
        <f t="shared" si="73"/>
        <v/>
      </c>
      <c r="E1335" s="14" t="str">
        <f>+IF(B1335="","",'Detalle Compras'!S1335+0)</f>
        <v/>
      </c>
      <c r="F1335" s="14" t="str">
        <f>+IF(B1335="","",EOMONTH('Detalle Compras'!S1335,G1335)+10)</f>
        <v/>
      </c>
      <c r="G1335" s="50">
        <f t="shared" si="74"/>
        <v>0</v>
      </c>
      <c r="H1335" s="50">
        <f t="shared" si="75"/>
        <v>0</v>
      </c>
    </row>
    <row r="1336" spans="1:8" x14ac:dyDescent="0.2">
      <c r="A1336" s="37">
        <v>1334</v>
      </c>
      <c r="C1336" s="17" t="e">
        <f>+'Detalle Compras'!#REF!</f>
        <v>#REF!</v>
      </c>
      <c r="D1336" s="55" t="str">
        <f t="shared" si="73"/>
        <v/>
      </c>
      <c r="E1336" s="14" t="str">
        <f>+IF(B1336="","",'Detalle Compras'!S1336+0)</f>
        <v/>
      </c>
      <c r="F1336" s="14" t="str">
        <f>+IF(B1336="","",EOMONTH('Detalle Compras'!S1336,G1336)+10)</f>
        <v/>
      </c>
      <c r="G1336" s="50">
        <f t="shared" si="74"/>
        <v>0</v>
      </c>
      <c r="H1336" s="50">
        <f t="shared" si="75"/>
        <v>0</v>
      </c>
    </row>
    <row r="1337" spans="1:8" x14ac:dyDescent="0.2">
      <c r="A1337" s="37">
        <v>1335</v>
      </c>
      <c r="C1337" s="17" t="e">
        <f>+'Detalle Compras'!#REF!</f>
        <v>#REF!</v>
      </c>
      <c r="D1337" s="55" t="str">
        <f t="shared" si="73"/>
        <v/>
      </c>
      <c r="E1337" s="14" t="str">
        <f>+IF(B1337="","",'Detalle Compras'!S1337+0)</f>
        <v/>
      </c>
      <c r="F1337" s="14" t="str">
        <f>+IF(B1337="","",EOMONTH('Detalle Compras'!S1337,G1337)+10)</f>
        <v/>
      </c>
      <c r="G1337" s="50">
        <f t="shared" si="74"/>
        <v>0</v>
      </c>
      <c r="H1337" s="50">
        <f t="shared" si="75"/>
        <v>0</v>
      </c>
    </row>
    <row r="1338" spans="1:8" x14ac:dyDescent="0.2">
      <c r="A1338" s="37">
        <v>1336</v>
      </c>
      <c r="C1338" s="17" t="e">
        <f>+'Detalle Compras'!#REF!</f>
        <v>#REF!</v>
      </c>
      <c r="D1338" s="55" t="str">
        <f t="shared" si="73"/>
        <v/>
      </c>
      <c r="E1338" s="14" t="str">
        <f>+IF(B1338="","",'Detalle Compras'!S1338+0)</f>
        <v/>
      </c>
      <c r="F1338" s="14" t="str">
        <f>+IF(B1338="","",EOMONTH('Detalle Compras'!S1338,G1338)+10)</f>
        <v/>
      </c>
      <c r="G1338" s="50">
        <f t="shared" si="74"/>
        <v>0</v>
      </c>
      <c r="H1338" s="50">
        <f t="shared" si="75"/>
        <v>0</v>
      </c>
    </row>
    <row r="1339" spans="1:8" x14ac:dyDescent="0.2">
      <c r="A1339" s="37">
        <v>1337</v>
      </c>
      <c r="C1339" s="17" t="e">
        <f>+'Detalle Compras'!#REF!</f>
        <v>#REF!</v>
      </c>
      <c r="D1339" s="55" t="str">
        <f t="shared" si="73"/>
        <v/>
      </c>
      <c r="E1339" s="14" t="str">
        <f>+IF(B1339="","",'Detalle Compras'!S1339+0)</f>
        <v/>
      </c>
      <c r="F1339" s="14" t="str">
        <f>+IF(B1339="","",EOMONTH('Detalle Compras'!S1339,G1339)+10)</f>
        <v/>
      </c>
      <c r="G1339" s="50">
        <f t="shared" si="74"/>
        <v>0</v>
      </c>
      <c r="H1339" s="50">
        <f t="shared" si="75"/>
        <v>0</v>
      </c>
    </row>
    <row r="1340" spans="1:8" x14ac:dyDescent="0.2">
      <c r="A1340" s="37">
        <v>1338</v>
      </c>
      <c r="C1340" s="17" t="e">
        <f>+'Detalle Compras'!#REF!</f>
        <v>#REF!</v>
      </c>
      <c r="D1340" s="55" t="str">
        <f t="shared" si="73"/>
        <v/>
      </c>
      <c r="E1340" s="14" t="str">
        <f>+IF(B1340="","",'Detalle Compras'!S1340+0)</f>
        <v/>
      </c>
      <c r="F1340" s="14" t="str">
        <f>+IF(B1340="","",EOMONTH('Detalle Compras'!S1340,G1340)+10)</f>
        <v/>
      </c>
      <c r="G1340" s="50">
        <f t="shared" si="74"/>
        <v>0</v>
      </c>
      <c r="H1340" s="50">
        <f t="shared" si="75"/>
        <v>0</v>
      </c>
    </row>
    <row r="1341" spans="1:8" x14ac:dyDescent="0.2">
      <c r="A1341" s="37">
        <v>1339</v>
      </c>
      <c r="C1341" s="17" t="e">
        <f>+'Detalle Compras'!#REF!</f>
        <v>#REF!</v>
      </c>
      <c r="D1341" s="55" t="str">
        <f t="shared" si="73"/>
        <v/>
      </c>
      <c r="E1341" s="14" t="str">
        <f>+IF(B1341="","",'Detalle Compras'!S1341+0)</f>
        <v/>
      </c>
      <c r="F1341" s="14" t="str">
        <f>+IF(B1341="","",EOMONTH('Detalle Compras'!S1341,G1341)+10)</f>
        <v/>
      </c>
      <c r="G1341" s="50">
        <f t="shared" si="74"/>
        <v>0</v>
      </c>
      <c r="H1341" s="50">
        <f t="shared" si="75"/>
        <v>0</v>
      </c>
    </row>
    <row r="1342" spans="1:8" x14ac:dyDescent="0.2">
      <c r="A1342" s="37">
        <v>1340</v>
      </c>
      <c r="C1342" s="17" t="e">
        <f>+'Detalle Compras'!#REF!</f>
        <v>#REF!</v>
      </c>
      <c r="D1342" s="55" t="str">
        <f t="shared" si="73"/>
        <v/>
      </c>
      <c r="E1342" s="14" t="str">
        <f>+IF(B1342="","",'Detalle Compras'!S1342+0)</f>
        <v/>
      </c>
      <c r="F1342" s="14" t="str">
        <f>+IF(B1342="","",EOMONTH('Detalle Compras'!S1342,G1342)+10)</f>
        <v/>
      </c>
      <c r="G1342" s="50">
        <f t="shared" si="74"/>
        <v>0</v>
      </c>
      <c r="H1342" s="50">
        <f t="shared" si="75"/>
        <v>0</v>
      </c>
    </row>
    <row r="1343" spans="1:8" x14ac:dyDescent="0.2">
      <c r="A1343" s="37">
        <v>1341</v>
      </c>
      <c r="C1343" s="17" t="e">
        <f>+'Detalle Compras'!#REF!</f>
        <v>#REF!</v>
      </c>
      <c r="D1343" s="55" t="str">
        <f t="shared" si="73"/>
        <v/>
      </c>
      <c r="E1343" s="14" t="str">
        <f>+IF(B1343="","",'Detalle Compras'!S1343+0)</f>
        <v/>
      </c>
      <c r="F1343" s="14" t="str">
        <f>+IF(B1343="","",EOMONTH('Detalle Compras'!S1343,G1343)+10)</f>
        <v/>
      </c>
      <c r="G1343" s="50">
        <f t="shared" si="74"/>
        <v>0</v>
      </c>
      <c r="H1343" s="50">
        <f t="shared" si="75"/>
        <v>0</v>
      </c>
    </row>
    <row r="1344" spans="1:8" x14ac:dyDescent="0.2">
      <c r="A1344" s="37">
        <v>1342</v>
      </c>
      <c r="C1344" s="17" t="e">
        <f>+'Detalle Compras'!#REF!</f>
        <v>#REF!</v>
      </c>
      <c r="D1344" s="55" t="str">
        <f t="shared" si="73"/>
        <v/>
      </c>
      <c r="E1344" s="14" t="str">
        <f>+IF(B1344="","",'Detalle Compras'!S1344+0)</f>
        <v/>
      </c>
      <c r="F1344" s="14" t="str">
        <f>+IF(B1344="","",EOMONTH('Detalle Compras'!S1344,G1344)+10)</f>
        <v/>
      </c>
      <c r="G1344" s="50">
        <f t="shared" si="74"/>
        <v>0</v>
      </c>
      <c r="H1344" s="50">
        <f t="shared" si="75"/>
        <v>0</v>
      </c>
    </row>
    <row r="1345" spans="1:8" x14ac:dyDescent="0.2">
      <c r="A1345" s="37">
        <v>1343</v>
      </c>
      <c r="C1345" s="17" t="e">
        <f>+'Detalle Compras'!#REF!</f>
        <v>#REF!</v>
      </c>
      <c r="D1345" s="55" t="str">
        <f t="shared" si="73"/>
        <v/>
      </c>
      <c r="E1345" s="14" t="str">
        <f>+IF(B1345="","",'Detalle Compras'!S1345+0)</f>
        <v/>
      </c>
      <c r="F1345" s="14" t="str">
        <f>+IF(B1345="","",EOMONTH('Detalle Compras'!S1345,G1345)+10)</f>
        <v/>
      </c>
      <c r="G1345" s="50">
        <f t="shared" si="74"/>
        <v>0</v>
      </c>
      <c r="H1345" s="50">
        <f t="shared" si="75"/>
        <v>0</v>
      </c>
    </row>
    <row r="1346" spans="1:8" x14ac:dyDescent="0.2">
      <c r="A1346" s="37">
        <v>1344</v>
      </c>
      <c r="C1346" s="17" t="e">
        <f>+'Detalle Compras'!#REF!</f>
        <v>#REF!</v>
      </c>
      <c r="D1346" s="55" t="str">
        <f t="shared" si="73"/>
        <v/>
      </c>
      <c r="E1346" s="14" t="str">
        <f>+IF(B1346="","",'Detalle Compras'!S1346+0)</f>
        <v/>
      </c>
      <c r="F1346" s="14" t="str">
        <f>+IF(B1346="","",EOMONTH('Detalle Compras'!S1346,G1346)+10)</f>
        <v/>
      </c>
      <c r="G1346" s="50">
        <f t="shared" si="74"/>
        <v>0</v>
      </c>
      <c r="H1346" s="50">
        <f t="shared" si="75"/>
        <v>0</v>
      </c>
    </row>
    <row r="1347" spans="1:8" x14ac:dyDescent="0.2">
      <c r="A1347" s="37">
        <v>1345</v>
      </c>
      <c r="C1347" s="17" t="e">
        <f>+'Detalle Compras'!#REF!</f>
        <v>#REF!</v>
      </c>
      <c r="D1347" s="55" t="str">
        <f t="shared" si="73"/>
        <v/>
      </c>
      <c r="E1347" s="14" t="str">
        <f>+IF(B1347="","",'Detalle Compras'!S1347+0)</f>
        <v/>
      </c>
      <c r="F1347" s="14" t="str">
        <f>+IF(B1347="","",EOMONTH('Detalle Compras'!S1347,G1347)+10)</f>
        <v/>
      </c>
      <c r="G1347" s="50">
        <f t="shared" si="74"/>
        <v>0</v>
      </c>
      <c r="H1347" s="50">
        <f t="shared" si="75"/>
        <v>0</v>
      </c>
    </row>
    <row r="1348" spans="1:8" x14ac:dyDescent="0.2">
      <c r="A1348" s="37">
        <v>1346</v>
      </c>
      <c r="C1348" s="17" t="e">
        <f>+'Detalle Compras'!#REF!</f>
        <v>#REF!</v>
      </c>
      <c r="D1348" s="55" t="str">
        <f t="shared" ref="D1348:D1411" si="76">+IF(B1348="","",EA1348)</f>
        <v/>
      </c>
      <c r="E1348" s="14" t="str">
        <f>+IF(B1348="","",'Detalle Compras'!S1348+0)</f>
        <v/>
      </c>
      <c r="F1348" s="14" t="str">
        <f>+IF(B1348="","",EOMONTH('Detalle Compras'!S1348,G1348)+10)</f>
        <v/>
      </c>
      <c r="G1348" s="50">
        <f t="shared" ref="G1348:G1411" si="77">+COUNTIF(I1348:ADF1348,"&gt;1")</f>
        <v>0</v>
      </c>
      <c r="H1348" s="50">
        <f t="shared" ref="H1348:H1411" si="78">+COUNT(AF1348:ADF1348)</f>
        <v>0</v>
      </c>
    </row>
    <row r="1349" spans="1:8" x14ac:dyDescent="0.2">
      <c r="A1349" s="37">
        <v>1347</v>
      </c>
      <c r="C1349" s="17" t="e">
        <f>+'Detalle Compras'!#REF!</f>
        <v>#REF!</v>
      </c>
      <c r="D1349" s="55" t="str">
        <f t="shared" si="76"/>
        <v/>
      </c>
      <c r="E1349" s="14" t="str">
        <f>+IF(B1349="","",'Detalle Compras'!S1349+0)</f>
        <v/>
      </c>
      <c r="F1349" s="14" t="str">
        <f>+IF(B1349="","",EOMONTH('Detalle Compras'!S1349,G1349)+10)</f>
        <v/>
      </c>
      <c r="G1349" s="50">
        <f t="shared" si="77"/>
        <v>0</v>
      </c>
      <c r="H1349" s="50">
        <f t="shared" si="78"/>
        <v>0</v>
      </c>
    </row>
    <row r="1350" spans="1:8" x14ac:dyDescent="0.2">
      <c r="A1350" s="37">
        <v>1348</v>
      </c>
      <c r="C1350" s="17" t="e">
        <f>+'Detalle Compras'!#REF!</f>
        <v>#REF!</v>
      </c>
      <c r="D1350" s="55" t="str">
        <f t="shared" si="76"/>
        <v/>
      </c>
      <c r="E1350" s="14" t="str">
        <f>+IF(B1350="","",'Detalle Compras'!S1350+0)</f>
        <v/>
      </c>
      <c r="F1350" s="14" t="str">
        <f>+IF(B1350="","",EOMONTH('Detalle Compras'!S1350,G1350)+10)</f>
        <v/>
      </c>
      <c r="G1350" s="50">
        <f t="shared" si="77"/>
        <v>0</v>
      </c>
      <c r="H1350" s="50">
        <f t="shared" si="78"/>
        <v>0</v>
      </c>
    </row>
    <row r="1351" spans="1:8" x14ac:dyDescent="0.2">
      <c r="A1351" s="37">
        <v>1349</v>
      </c>
      <c r="C1351" s="17" t="e">
        <f>+'Detalle Compras'!#REF!</f>
        <v>#REF!</v>
      </c>
      <c r="D1351" s="55" t="str">
        <f t="shared" si="76"/>
        <v/>
      </c>
      <c r="E1351" s="14" t="str">
        <f>+IF(B1351="","",'Detalle Compras'!S1351+0)</f>
        <v/>
      </c>
      <c r="F1351" s="14" t="str">
        <f>+IF(B1351="","",EOMONTH('Detalle Compras'!S1351,G1351)+10)</f>
        <v/>
      </c>
      <c r="G1351" s="50">
        <f t="shared" si="77"/>
        <v>0</v>
      </c>
      <c r="H1351" s="50">
        <f t="shared" si="78"/>
        <v>0</v>
      </c>
    </row>
    <row r="1352" spans="1:8" x14ac:dyDescent="0.2">
      <c r="A1352" s="37">
        <v>1350</v>
      </c>
      <c r="C1352" s="17" t="e">
        <f>+'Detalle Compras'!#REF!</f>
        <v>#REF!</v>
      </c>
      <c r="D1352" s="55" t="str">
        <f t="shared" si="76"/>
        <v/>
      </c>
      <c r="E1352" s="14" t="str">
        <f>+IF(B1352="","",'Detalle Compras'!S1352+0)</f>
        <v/>
      </c>
      <c r="F1352" s="14" t="str">
        <f>+IF(B1352="","",EOMONTH('Detalle Compras'!S1352,G1352)+10)</f>
        <v/>
      </c>
      <c r="G1352" s="50">
        <f t="shared" si="77"/>
        <v>0</v>
      </c>
      <c r="H1352" s="50">
        <f t="shared" si="78"/>
        <v>0</v>
      </c>
    </row>
    <row r="1353" spans="1:8" x14ac:dyDescent="0.2">
      <c r="A1353" s="37">
        <v>1351</v>
      </c>
      <c r="C1353" s="17" t="e">
        <f>+'Detalle Compras'!#REF!</f>
        <v>#REF!</v>
      </c>
      <c r="D1353" s="55" t="str">
        <f t="shared" si="76"/>
        <v/>
      </c>
      <c r="E1353" s="14" t="str">
        <f>+IF(B1353="","",'Detalle Compras'!S1353+0)</f>
        <v/>
      </c>
      <c r="F1353" s="14" t="str">
        <f>+IF(B1353="","",EOMONTH('Detalle Compras'!S1353,G1353)+10)</f>
        <v/>
      </c>
      <c r="G1353" s="50">
        <f t="shared" si="77"/>
        <v>0</v>
      </c>
      <c r="H1353" s="50">
        <f t="shared" si="78"/>
        <v>0</v>
      </c>
    </row>
    <row r="1354" spans="1:8" x14ac:dyDescent="0.2">
      <c r="A1354" s="37">
        <v>1352</v>
      </c>
      <c r="C1354" s="17" t="e">
        <f>+'Detalle Compras'!#REF!</f>
        <v>#REF!</v>
      </c>
      <c r="D1354" s="55" t="str">
        <f t="shared" si="76"/>
        <v/>
      </c>
      <c r="E1354" s="14" t="str">
        <f>+IF(B1354="","",'Detalle Compras'!S1354+0)</f>
        <v/>
      </c>
      <c r="F1354" s="14" t="str">
        <f>+IF(B1354="","",EOMONTH('Detalle Compras'!S1354,G1354)+10)</f>
        <v/>
      </c>
      <c r="G1354" s="50">
        <f t="shared" si="77"/>
        <v>0</v>
      </c>
      <c r="H1354" s="50">
        <f t="shared" si="78"/>
        <v>0</v>
      </c>
    </row>
    <row r="1355" spans="1:8" x14ac:dyDescent="0.2">
      <c r="A1355" s="37">
        <v>1353</v>
      </c>
      <c r="C1355" s="17" t="e">
        <f>+'Detalle Compras'!#REF!</f>
        <v>#REF!</v>
      </c>
      <c r="D1355" s="55" t="str">
        <f t="shared" si="76"/>
        <v/>
      </c>
      <c r="E1355" s="14" t="str">
        <f>+IF(B1355="","",'Detalle Compras'!S1355+0)</f>
        <v/>
      </c>
      <c r="F1355" s="14" t="str">
        <f>+IF(B1355="","",EOMONTH('Detalle Compras'!S1355,G1355)+10)</f>
        <v/>
      </c>
      <c r="G1355" s="50">
        <f t="shared" si="77"/>
        <v>0</v>
      </c>
      <c r="H1355" s="50">
        <f t="shared" si="78"/>
        <v>0</v>
      </c>
    </row>
    <row r="1356" spans="1:8" x14ac:dyDescent="0.2">
      <c r="A1356" s="37">
        <v>1354</v>
      </c>
      <c r="C1356" s="17" t="e">
        <f>+'Detalle Compras'!#REF!</f>
        <v>#REF!</v>
      </c>
      <c r="D1356" s="55" t="str">
        <f t="shared" si="76"/>
        <v/>
      </c>
      <c r="E1356" s="14" t="str">
        <f>+IF(B1356="","",'Detalle Compras'!S1356+0)</f>
        <v/>
      </c>
      <c r="F1356" s="14" t="str">
        <f>+IF(B1356="","",EOMONTH('Detalle Compras'!S1356,G1356)+10)</f>
        <v/>
      </c>
      <c r="G1356" s="50">
        <f t="shared" si="77"/>
        <v>0</v>
      </c>
      <c r="H1356" s="50">
        <f t="shared" si="78"/>
        <v>0</v>
      </c>
    </row>
    <row r="1357" spans="1:8" x14ac:dyDescent="0.2">
      <c r="A1357" s="37">
        <v>1355</v>
      </c>
      <c r="C1357" s="17" t="e">
        <f>+'Detalle Compras'!#REF!</f>
        <v>#REF!</v>
      </c>
      <c r="D1357" s="55" t="str">
        <f t="shared" si="76"/>
        <v/>
      </c>
      <c r="E1357" s="14" t="str">
        <f>+IF(B1357="","",'Detalle Compras'!S1357+0)</f>
        <v/>
      </c>
      <c r="F1357" s="14" t="str">
        <f>+IF(B1357="","",EOMONTH('Detalle Compras'!S1357,G1357)+10)</f>
        <v/>
      </c>
      <c r="G1357" s="50">
        <f t="shared" si="77"/>
        <v>0</v>
      </c>
      <c r="H1357" s="50">
        <f t="shared" si="78"/>
        <v>0</v>
      </c>
    </row>
    <row r="1358" spans="1:8" x14ac:dyDescent="0.2">
      <c r="A1358" s="37">
        <v>1356</v>
      </c>
      <c r="C1358" s="17" t="e">
        <f>+'Detalle Compras'!#REF!</f>
        <v>#REF!</v>
      </c>
      <c r="D1358" s="55" t="str">
        <f t="shared" si="76"/>
        <v/>
      </c>
      <c r="E1358" s="14" t="str">
        <f>+IF(B1358="","",'Detalle Compras'!S1358+0)</f>
        <v/>
      </c>
      <c r="F1358" s="14" t="str">
        <f>+IF(B1358="","",EOMONTH('Detalle Compras'!S1358,G1358)+10)</f>
        <v/>
      </c>
      <c r="G1358" s="50">
        <f t="shared" si="77"/>
        <v>0</v>
      </c>
      <c r="H1358" s="50">
        <f t="shared" si="78"/>
        <v>0</v>
      </c>
    </row>
    <row r="1359" spans="1:8" x14ac:dyDescent="0.2">
      <c r="A1359" s="37">
        <v>1357</v>
      </c>
      <c r="C1359" s="17" t="e">
        <f>+'Detalle Compras'!#REF!</f>
        <v>#REF!</v>
      </c>
      <c r="D1359" s="55" t="str">
        <f t="shared" si="76"/>
        <v/>
      </c>
      <c r="E1359" s="14" t="str">
        <f>+IF(B1359="","",'Detalle Compras'!S1359+0)</f>
        <v/>
      </c>
      <c r="F1359" s="14" t="str">
        <f>+IF(B1359="","",EOMONTH('Detalle Compras'!S1359,G1359)+10)</f>
        <v/>
      </c>
      <c r="G1359" s="50">
        <f t="shared" si="77"/>
        <v>0</v>
      </c>
      <c r="H1359" s="50">
        <f t="shared" si="78"/>
        <v>0</v>
      </c>
    </row>
    <row r="1360" spans="1:8" x14ac:dyDescent="0.2">
      <c r="A1360" s="37">
        <v>1358</v>
      </c>
      <c r="C1360" s="17" t="e">
        <f>+'Detalle Compras'!#REF!</f>
        <v>#REF!</v>
      </c>
      <c r="D1360" s="55" t="str">
        <f t="shared" si="76"/>
        <v/>
      </c>
      <c r="E1360" s="14" t="str">
        <f>+IF(B1360="","",'Detalle Compras'!S1360+0)</f>
        <v/>
      </c>
      <c r="F1360" s="14" t="str">
        <f>+IF(B1360="","",EOMONTH('Detalle Compras'!S1360,G1360)+10)</f>
        <v/>
      </c>
      <c r="G1360" s="50">
        <f t="shared" si="77"/>
        <v>0</v>
      </c>
      <c r="H1360" s="50">
        <f t="shared" si="78"/>
        <v>0</v>
      </c>
    </row>
    <row r="1361" spans="1:8" x14ac:dyDescent="0.2">
      <c r="A1361" s="37">
        <v>1359</v>
      </c>
      <c r="C1361" s="17" t="e">
        <f>+'Detalle Compras'!#REF!</f>
        <v>#REF!</v>
      </c>
      <c r="D1361" s="55" t="str">
        <f t="shared" si="76"/>
        <v/>
      </c>
      <c r="E1361" s="14" t="str">
        <f>+IF(B1361="","",'Detalle Compras'!S1361+0)</f>
        <v/>
      </c>
      <c r="F1361" s="14" t="str">
        <f>+IF(B1361="","",EOMONTH('Detalle Compras'!S1361,G1361)+10)</f>
        <v/>
      </c>
      <c r="G1361" s="50">
        <f t="shared" si="77"/>
        <v>0</v>
      </c>
      <c r="H1361" s="50">
        <f t="shared" si="78"/>
        <v>0</v>
      </c>
    </row>
    <row r="1362" spans="1:8" x14ac:dyDescent="0.2">
      <c r="A1362" s="37">
        <v>1360</v>
      </c>
      <c r="C1362" s="17" t="e">
        <f>+'Detalle Compras'!#REF!</f>
        <v>#REF!</v>
      </c>
      <c r="D1362" s="55" t="str">
        <f t="shared" si="76"/>
        <v/>
      </c>
      <c r="E1362" s="14" t="str">
        <f>+IF(B1362="","",'Detalle Compras'!S1362+0)</f>
        <v/>
      </c>
      <c r="F1362" s="14" t="str">
        <f>+IF(B1362="","",EOMONTH('Detalle Compras'!S1362,G1362)+10)</f>
        <v/>
      </c>
      <c r="G1362" s="50">
        <f t="shared" si="77"/>
        <v>0</v>
      </c>
      <c r="H1362" s="50">
        <f t="shared" si="78"/>
        <v>0</v>
      </c>
    </row>
    <row r="1363" spans="1:8" x14ac:dyDescent="0.2">
      <c r="A1363" s="37">
        <v>1361</v>
      </c>
      <c r="C1363" s="17" t="e">
        <f>+'Detalle Compras'!#REF!</f>
        <v>#REF!</v>
      </c>
      <c r="D1363" s="55" t="str">
        <f t="shared" si="76"/>
        <v/>
      </c>
      <c r="E1363" s="14" t="str">
        <f>+IF(B1363="","",'Detalle Compras'!S1363+0)</f>
        <v/>
      </c>
      <c r="F1363" s="14" t="str">
        <f>+IF(B1363="","",EOMONTH('Detalle Compras'!S1363,G1363)+10)</f>
        <v/>
      </c>
      <c r="G1363" s="50">
        <f t="shared" si="77"/>
        <v>0</v>
      </c>
      <c r="H1363" s="50">
        <f t="shared" si="78"/>
        <v>0</v>
      </c>
    </row>
    <row r="1364" spans="1:8" x14ac:dyDescent="0.2">
      <c r="A1364" s="37">
        <v>1362</v>
      </c>
      <c r="C1364" s="17" t="e">
        <f>+'Detalle Compras'!#REF!</f>
        <v>#REF!</v>
      </c>
      <c r="D1364" s="55" t="str">
        <f t="shared" si="76"/>
        <v/>
      </c>
      <c r="E1364" s="14" t="str">
        <f>+IF(B1364="","",'Detalle Compras'!S1364+0)</f>
        <v/>
      </c>
      <c r="F1364" s="14" t="str">
        <f>+IF(B1364="","",EOMONTH('Detalle Compras'!S1364,G1364)+10)</f>
        <v/>
      </c>
      <c r="G1364" s="50">
        <f t="shared" si="77"/>
        <v>0</v>
      </c>
      <c r="H1364" s="50">
        <f t="shared" si="78"/>
        <v>0</v>
      </c>
    </row>
    <row r="1365" spans="1:8" x14ac:dyDescent="0.2">
      <c r="A1365" s="37">
        <v>1363</v>
      </c>
      <c r="C1365" s="17" t="e">
        <f>+'Detalle Compras'!#REF!</f>
        <v>#REF!</v>
      </c>
      <c r="D1365" s="55" t="str">
        <f t="shared" si="76"/>
        <v/>
      </c>
      <c r="E1365" s="14" t="str">
        <f>+IF(B1365="","",'Detalle Compras'!S1365+0)</f>
        <v/>
      </c>
      <c r="F1365" s="14" t="str">
        <f>+IF(B1365="","",EOMONTH('Detalle Compras'!S1365,G1365)+10)</f>
        <v/>
      </c>
      <c r="G1365" s="50">
        <f t="shared" si="77"/>
        <v>0</v>
      </c>
      <c r="H1365" s="50">
        <f t="shared" si="78"/>
        <v>0</v>
      </c>
    </row>
    <row r="1366" spans="1:8" x14ac:dyDescent="0.2">
      <c r="A1366" s="37">
        <v>1364</v>
      </c>
      <c r="C1366" s="17" t="e">
        <f>+'Detalle Compras'!#REF!</f>
        <v>#REF!</v>
      </c>
      <c r="D1366" s="55" t="str">
        <f t="shared" si="76"/>
        <v/>
      </c>
      <c r="E1366" s="14" t="str">
        <f>+IF(B1366="","",'Detalle Compras'!S1366+0)</f>
        <v/>
      </c>
      <c r="F1366" s="14" t="str">
        <f>+IF(B1366="","",EOMONTH('Detalle Compras'!S1366,G1366)+10)</f>
        <v/>
      </c>
      <c r="G1366" s="50">
        <f t="shared" si="77"/>
        <v>0</v>
      </c>
      <c r="H1366" s="50">
        <f t="shared" si="78"/>
        <v>0</v>
      </c>
    </row>
    <row r="1367" spans="1:8" x14ac:dyDescent="0.2">
      <c r="A1367" s="37">
        <v>1365</v>
      </c>
      <c r="C1367" s="17" t="e">
        <f>+'Detalle Compras'!#REF!</f>
        <v>#REF!</v>
      </c>
      <c r="D1367" s="55" t="str">
        <f t="shared" si="76"/>
        <v/>
      </c>
      <c r="E1367" s="14" t="str">
        <f>+IF(B1367="","",'Detalle Compras'!S1367+0)</f>
        <v/>
      </c>
      <c r="F1367" s="14" t="str">
        <f>+IF(B1367="","",EOMONTH('Detalle Compras'!S1367,G1367)+10)</f>
        <v/>
      </c>
      <c r="G1367" s="50">
        <f t="shared" si="77"/>
        <v>0</v>
      </c>
      <c r="H1367" s="50">
        <f t="shared" si="78"/>
        <v>0</v>
      </c>
    </row>
    <row r="1368" spans="1:8" x14ac:dyDescent="0.2">
      <c r="A1368" s="37">
        <v>1366</v>
      </c>
      <c r="C1368" s="17" t="e">
        <f>+'Detalle Compras'!#REF!</f>
        <v>#REF!</v>
      </c>
      <c r="D1368" s="55" t="str">
        <f t="shared" si="76"/>
        <v/>
      </c>
      <c r="E1368" s="14" t="str">
        <f>+IF(B1368="","",'Detalle Compras'!S1368+0)</f>
        <v/>
      </c>
      <c r="F1368" s="14" t="str">
        <f>+IF(B1368="","",EOMONTH('Detalle Compras'!S1368,G1368)+10)</f>
        <v/>
      </c>
      <c r="G1368" s="50">
        <f t="shared" si="77"/>
        <v>0</v>
      </c>
      <c r="H1368" s="50">
        <f t="shared" si="78"/>
        <v>0</v>
      </c>
    </row>
    <row r="1369" spans="1:8" x14ac:dyDescent="0.2">
      <c r="A1369" s="37">
        <v>1367</v>
      </c>
      <c r="C1369" s="17" t="e">
        <f>+'Detalle Compras'!#REF!</f>
        <v>#REF!</v>
      </c>
      <c r="D1369" s="55" t="str">
        <f t="shared" si="76"/>
        <v/>
      </c>
      <c r="E1369" s="14" t="str">
        <f>+IF(B1369="","",'Detalle Compras'!S1369+0)</f>
        <v/>
      </c>
      <c r="F1369" s="14" t="str">
        <f>+IF(B1369="","",EOMONTH('Detalle Compras'!S1369,G1369)+10)</f>
        <v/>
      </c>
      <c r="G1369" s="50">
        <f t="shared" si="77"/>
        <v>0</v>
      </c>
      <c r="H1369" s="50">
        <f t="shared" si="78"/>
        <v>0</v>
      </c>
    </row>
    <row r="1370" spans="1:8" x14ac:dyDescent="0.2">
      <c r="A1370" s="37">
        <v>1368</v>
      </c>
      <c r="C1370" s="17" t="e">
        <f>+'Detalle Compras'!#REF!</f>
        <v>#REF!</v>
      </c>
      <c r="D1370" s="55" t="str">
        <f t="shared" si="76"/>
        <v/>
      </c>
      <c r="E1370" s="14" t="str">
        <f>+IF(B1370="","",'Detalle Compras'!S1370+0)</f>
        <v/>
      </c>
      <c r="F1370" s="14" t="str">
        <f>+IF(B1370="","",EOMONTH('Detalle Compras'!S1370,G1370)+10)</f>
        <v/>
      </c>
      <c r="G1370" s="50">
        <f t="shared" si="77"/>
        <v>0</v>
      </c>
      <c r="H1370" s="50">
        <f t="shared" si="78"/>
        <v>0</v>
      </c>
    </row>
    <row r="1371" spans="1:8" x14ac:dyDescent="0.2">
      <c r="A1371" s="37">
        <v>1369</v>
      </c>
      <c r="C1371" s="17" t="e">
        <f>+'Detalle Compras'!#REF!</f>
        <v>#REF!</v>
      </c>
      <c r="D1371" s="55" t="str">
        <f t="shared" si="76"/>
        <v/>
      </c>
      <c r="E1371" s="14" t="str">
        <f>+IF(B1371="","",'Detalle Compras'!S1371+0)</f>
        <v/>
      </c>
      <c r="F1371" s="14" t="str">
        <f>+IF(B1371="","",EOMONTH('Detalle Compras'!S1371,G1371)+10)</f>
        <v/>
      </c>
      <c r="G1371" s="50">
        <f t="shared" si="77"/>
        <v>0</v>
      </c>
      <c r="H1371" s="50">
        <f t="shared" si="78"/>
        <v>0</v>
      </c>
    </row>
    <row r="1372" spans="1:8" x14ac:dyDescent="0.2">
      <c r="A1372" s="37">
        <v>1370</v>
      </c>
      <c r="C1372" s="17" t="e">
        <f>+'Detalle Compras'!#REF!</f>
        <v>#REF!</v>
      </c>
      <c r="D1372" s="55" t="str">
        <f t="shared" si="76"/>
        <v/>
      </c>
      <c r="E1372" s="14" t="str">
        <f>+IF(B1372="","",'Detalle Compras'!S1372+0)</f>
        <v/>
      </c>
      <c r="F1372" s="14" t="str">
        <f>+IF(B1372="","",EOMONTH('Detalle Compras'!S1372,G1372)+10)</f>
        <v/>
      </c>
      <c r="G1372" s="50">
        <f t="shared" si="77"/>
        <v>0</v>
      </c>
      <c r="H1372" s="50">
        <f t="shared" si="78"/>
        <v>0</v>
      </c>
    </row>
    <row r="1373" spans="1:8" x14ac:dyDescent="0.2">
      <c r="A1373" s="37">
        <v>1371</v>
      </c>
      <c r="C1373" s="17" t="e">
        <f>+'Detalle Compras'!#REF!</f>
        <v>#REF!</v>
      </c>
      <c r="D1373" s="55" t="str">
        <f t="shared" si="76"/>
        <v/>
      </c>
      <c r="E1373" s="14" t="str">
        <f>+IF(B1373="","",'Detalle Compras'!S1373+0)</f>
        <v/>
      </c>
      <c r="F1373" s="14" t="str">
        <f>+IF(B1373="","",EOMONTH('Detalle Compras'!S1373,G1373)+10)</f>
        <v/>
      </c>
      <c r="G1373" s="50">
        <f t="shared" si="77"/>
        <v>0</v>
      </c>
      <c r="H1373" s="50">
        <f t="shared" si="78"/>
        <v>0</v>
      </c>
    </row>
    <row r="1374" spans="1:8" x14ac:dyDescent="0.2">
      <c r="A1374" s="37">
        <v>1372</v>
      </c>
      <c r="C1374" s="17" t="e">
        <f>+'Detalle Compras'!#REF!</f>
        <v>#REF!</v>
      </c>
      <c r="D1374" s="55" t="str">
        <f t="shared" si="76"/>
        <v/>
      </c>
      <c r="E1374" s="14" t="str">
        <f>+IF(B1374="","",'Detalle Compras'!S1374+0)</f>
        <v/>
      </c>
      <c r="F1374" s="14" t="str">
        <f>+IF(B1374="","",EOMONTH('Detalle Compras'!S1374,G1374)+10)</f>
        <v/>
      </c>
      <c r="G1374" s="50">
        <f t="shared" si="77"/>
        <v>0</v>
      </c>
      <c r="H1374" s="50">
        <f t="shared" si="78"/>
        <v>0</v>
      </c>
    </row>
    <row r="1375" spans="1:8" x14ac:dyDescent="0.2">
      <c r="A1375" s="37">
        <v>1373</v>
      </c>
      <c r="C1375" s="17" t="e">
        <f>+'Detalle Compras'!#REF!</f>
        <v>#REF!</v>
      </c>
      <c r="D1375" s="55" t="str">
        <f t="shared" si="76"/>
        <v/>
      </c>
      <c r="E1375" s="14" t="str">
        <f>+IF(B1375="","",'Detalle Compras'!S1375+0)</f>
        <v/>
      </c>
      <c r="F1375" s="14" t="str">
        <f>+IF(B1375="","",EOMONTH('Detalle Compras'!S1375,G1375)+10)</f>
        <v/>
      </c>
      <c r="G1375" s="50">
        <f t="shared" si="77"/>
        <v>0</v>
      </c>
      <c r="H1375" s="50">
        <f t="shared" si="78"/>
        <v>0</v>
      </c>
    </row>
    <row r="1376" spans="1:8" x14ac:dyDescent="0.2">
      <c r="A1376" s="37">
        <v>1374</v>
      </c>
      <c r="C1376" s="17" t="e">
        <f>+'Detalle Compras'!#REF!</f>
        <v>#REF!</v>
      </c>
      <c r="D1376" s="55" t="str">
        <f t="shared" si="76"/>
        <v/>
      </c>
      <c r="E1376" s="14" t="str">
        <f>+IF(B1376="","",'Detalle Compras'!S1376+0)</f>
        <v/>
      </c>
      <c r="F1376" s="14" t="str">
        <f>+IF(B1376="","",EOMONTH('Detalle Compras'!S1376,G1376)+10)</f>
        <v/>
      </c>
      <c r="G1376" s="50">
        <f t="shared" si="77"/>
        <v>0</v>
      </c>
      <c r="H1376" s="50">
        <f t="shared" si="78"/>
        <v>0</v>
      </c>
    </row>
    <row r="1377" spans="1:8" x14ac:dyDescent="0.2">
      <c r="A1377" s="37">
        <v>1375</v>
      </c>
      <c r="C1377" s="17" t="e">
        <f>+'Detalle Compras'!#REF!</f>
        <v>#REF!</v>
      </c>
      <c r="D1377" s="55" t="str">
        <f t="shared" si="76"/>
        <v/>
      </c>
      <c r="E1377" s="14" t="str">
        <f>+IF(B1377="","",'Detalle Compras'!S1377+0)</f>
        <v/>
      </c>
      <c r="F1377" s="14" t="str">
        <f>+IF(B1377="","",EOMONTH('Detalle Compras'!S1377,G1377)+10)</f>
        <v/>
      </c>
      <c r="G1377" s="50">
        <f t="shared" si="77"/>
        <v>0</v>
      </c>
      <c r="H1377" s="50">
        <f t="shared" si="78"/>
        <v>0</v>
      </c>
    </row>
    <row r="1378" spans="1:8" x14ac:dyDescent="0.2">
      <c r="A1378" s="37">
        <v>1376</v>
      </c>
      <c r="C1378" s="17" t="e">
        <f>+'Detalle Compras'!#REF!</f>
        <v>#REF!</v>
      </c>
      <c r="D1378" s="55" t="str">
        <f t="shared" si="76"/>
        <v/>
      </c>
      <c r="E1378" s="14" t="str">
        <f>+IF(B1378="","",'Detalle Compras'!S1378+0)</f>
        <v/>
      </c>
      <c r="F1378" s="14" t="str">
        <f>+IF(B1378="","",EOMONTH('Detalle Compras'!S1378,G1378)+10)</f>
        <v/>
      </c>
      <c r="G1378" s="50">
        <f t="shared" si="77"/>
        <v>0</v>
      </c>
      <c r="H1378" s="50">
        <f t="shared" si="78"/>
        <v>0</v>
      </c>
    </row>
    <row r="1379" spans="1:8" x14ac:dyDescent="0.2">
      <c r="A1379" s="37">
        <v>1377</v>
      </c>
      <c r="C1379" s="17" t="e">
        <f>+'Detalle Compras'!#REF!</f>
        <v>#REF!</v>
      </c>
      <c r="D1379" s="55" t="str">
        <f t="shared" si="76"/>
        <v/>
      </c>
      <c r="E1379" s="14" t="str">
        <f>+IF(B1379="","",'Detalle Compras'!S1379+0)</f>
        <v/>
      </c>
      <c r="F1379" s="14" t="str">
        <f>+IF(B1379="","",EOMONTH('Detalle Compras'!S1379,G1379)+10)</f>
        <v/>
      </c>
      <c r="G1379" s="50">
        <f t="shared" si="77"/>
        <v>0</v>
      </c>
      <c r="H1379" s="50">
        <f t="shared" si="78"/>
        <v>0</v>
      </c>
    </row>
    <row r="1380" spans="1:8" x14ac:dyDescent="0.2">
      <c r="A1380" s="37">
        <v>1378</v>
      </c>
      <c r="C1380" s="17" t="e">
        <f>+'Detalle Compras'!#REF!</f>
        <v>#REF!</v>
      </c>
      <c r="D1380" s="55" t="str">
        <f t="shared" si="76"/>
        <v/>
      </c>
      <c r="E1380" s="14" t="str">
        <f>+IF(B1380="","",'Detalle Compras'!S1380+0)</f>
        <v/>
      </c>
      <c r="F1380" s="14" t="str">
        <f>+IF(B1380="","",EOMONTH('Detalle Compras'!S1380,G1380)+10)</f>
        <v/>
      </c>
      <c r="G1380" s="50">
        <f t="shared" si="77"/>
        <v>0</v>
      </c>
      <c r="H1380" s="50">
        <f t="shared" si="78"/>
        <v>0</v>
      </c>
    </row>
    <row r="1381" spans="1:8" x14ac:dyDescent="0.2">
      <c r="A1381" s="37">
        <v>1379</v>
      </c>
      <c r="C1381" s="17" t="e">
        <f>+'Detalle Compras'!#REF!</f>
        <v>#REF!</v>
      </c>
      <c r="D1381" s="55" t="str">
        <f t="shared" si="76"/>
        <v/>
      </c>
      <c r="E1381" s="14" t="str">
        <f>+IF(B1381="","",'Detalle Compras'!S1381+0)</f>
        <v/>
      </c>
      <c r="F1381" s="14" t="str">
        <f>+IF(B1381="","",EOMONTH('Detalle Compras'!S1381,G1381)+10)</f>
        <v/>
      </c>
      <c r="G1381" s="50">
        <f t="shared" si="77"/>
        <v>0</v>
      </c>
      <c r="H1381" s="50">
        <f t="shared" si="78"/>
        <v>0</v>
      </c>
    </row>
    <row r="1382" spans="1:8" x14ac:dyDescent="0.2">
      <c r="A1382" s="37">
        <v>1380</v>
      </c>
      <c r="C1382" s="17" t="e">
        <f>+'Detalle Compras'!#REF!</f>
        <v>#REF!</v>
      </c>
      <c r="D1382" s="55" t="str">
        <f t="shared" si="76"/>
        <v/>
      </c>
      <c r="E1382" s="14" t="str">
        <f>+IF(B1382="","",'Detalle Compras'!S1382+0)</f>
        <v/>
      </c>
      <c r="F1382" s="14" t="str">
        <f>+IF(B1382="","",EOMONTH('Detalle Compras'!S1382,G1382)+10)</f>
        <v/>
      </c>
      <c r="G1382" s="50">
        <f t="shared" si="77"/>
        <v>0</v>
      </c>
      <c r="H1382" s="50">
        <f t="shared" si="78"/>
        <v>0</v>
      </c>
    </row>
    <row r="1383" spans="1:8" x14ac:dyDescent="0.2">
      <c r="A1383" s="37">
        <v>1381</v>
      </c>
      <c r="C1383" s="17" t="e">
        <f>+'Detalle Compras'!#REF!</f>
        <v>#REF!</v>
      </c>
      <c r="D1383" s="55" t="str">
        <f t="shared" si="76"/>
        <v/>
      </c>
      <c r="E1383" s="14" t="str">
        <f>+IF(B1383="","",'Detalle Compras'!S1383+0)</f>
        <v/>
      </c>
      <c r="F1383" s="14" t="str">
        <f>+IF(B1383="","",EOMONTH('Detalle Compras'!S1383,G1383)+10)</f>
        <v/>
      </c>
      <c r="G1383" s="50">
        <f t="shared" si="77"/>
        <v>0</v>
      </c>
      <c r="H1383" s="50">
        <f t="shared" si="78"/>
        <v>0</v>
      </c>
    </row>
    <row r="1384" spans="1:8" x14ac:dyDescent="0.2">
      <c r="A1384" s="37">
        <v>1382</v>
      </c>
      <c r="C1384" s="17" t="e">
        <f>+'Detalle Compras'!#REF!</f>
        <v>#REF!</v>
      </c>
      <c r="D1384" s="55" t="str">
        <f t="shared" si="76"/>
        <v/>
      </c>
      <c r="E1384" s="14" t="str">
        <f>+IF(B1384="","",'Detalle Compras'!S1384+0)</f>
        <v/>
      </c>
      <c r="F1384" s="14" t="str">
        <f>+IF(B1384="","",EOMONTH('Detalle Compras'!S1384,G1384)+10)</f>
        <v/>
      </c>
      <c r="G1384" s="50">
        <f t="shared" si="77"/>
        <v>0</v>
      </c>
      <c r="H1384" s="50">
        <f t="shared" si="78"/>
        <v>0</v>
      </c>
    </row>
    <row r="1385" spans="1:8" x14ac:dyDescent="0.2">
      <c r="A1385" s="37">
        <v>1383</v>
      </c>
      <c r="C1385" s="17" t="e">
        <f>+'Detalle Compras'!#REF!</f>
        <v>#REF!</v>
      </c>
      <c r="D1385" s="55" t="str">
        <f t="shared" si="76"/>
        <v/>
      </c>
      <c r="E1385" s="14" t="str">
        <f>+IF(B1385="","",'Detalle Compras'!S1385+0)</f>
        <v/>
      </c>
      <c r="F1385" s="14" t="str">
        <f>+IF(B1385="","",EOMONTH('Detalle Compras'!S1385,G1385)+10)</f>
        <v/>
      </c>
      <c r="G1385" s="50">
        <f t="shared" si="77"/>
        <v>0</v>
      </c>
      <c r="H1385" s="50">
        <f t="shared" si="78"/>
        <v>0</v>
      </c>
    </row>
    <row r="1386" spans="1:8" x14ac:dyDescent="0.2">
      <c r="A1386" s="37">
        <v>1384</v>
      </c>
      <c r="C1386" s="17" t="e">
        <f>+'Detalle Compras'!#REF!</f>
        <v>#REF!</v>
      </c>
      <c r="D1386" s="55" t="str">
        <f t="shared" si="76"/>
        <v/>
      </c>
      <c r="E1386" s="14" t="str">
        <f>+IF(B1386="","",'Detalle Compras'!S1386+0)</f>
        <v/>
      </c>
      <c r="F1386" s="14" t="str">
        <f>+IF(B1386="","",EOMONTH('Detalle Compras'!S1386,G1386)+10)</f>
        <v/>
      </c>
      <c r="G1386" s="50">
        <f t="shared" si="77"/>
        <v>0</v>
      </c>
      <c r="H1386" s="50">
        <f t="shared" si="78"/>
        <v>0</v>
      </c>
    </row>
    <row r="1387" spans="1:8" x14ac:dyDescent="0.2">
      <c r="A1387" s="37">
        <v>1385</v>
      </c>
      <c r="C1387" s="17" t="e">
        <f>+'Detalle Compras'!#REF!</f>
        <v>#REF!</v>
      </c>
      <c r="D1387" s="55" t="str">
        <f t="shared" si="76"/>
        <v/>
      </c>
      <c r="E1387" s="14" t="str">
        <f>+IF(B1387="","",'Detalle Compras'!S1387+0)</f>
        <v/>
      </c>
      <c r="F1387" s="14" t="str">
        <f>+IF(B1387="","",EOMONTH('Detalle Compras'!S1387,G1387)+10)</f>
        <v/>
      </c>
      <c r="G1387" s="50">
        <f t="shared" si="77"/>
        <v>0</v>
      </c>
      <c r="H1387" s="50">
        <f t="shared" si="78"/>
        <v>0</v>
      </c>
    </row>
    <row r="1388" spans="1:8" x14ac:dyDescent="0.2">
      <c r="A1388" s="37">
        <v>1386</v>
      </c>
      <c r="C1388" s="17" t="e">
        <f>+'Detalle Compras'!#REF!</f>
        <v>#REF!</v>
      </c>
      <c r="D1388" s="55" t="str">
        <f t="shared" si="76"/>
        <v/>
      </c>
      <c r="E1388" s="14" t="str">
        <f>+IF(B1388="","",'Detalle Compras'!S1388+0)</f>
        <v/>
      </c>
      <c r="F1388" s="14" t="str">
        <f>+IF(B1388="","",EOMONTH('Detalle Compras'!S1388,G1388)+10)</f>
        <v/>
      </c>
      <c r="G1388" s="50">
        <f t="shared" si="77"/>
        <v>0</v>
      </c>
      <c r="H1388" s="50">
        <f t="shared" si="78"/>
        <v>0</v>
      </c>
    </row>
    <row r="1389" spans="1:8" x14ac:dyDescent="0.2">
      <c r="A1389" s="37">
        <v>1387</v>
      </c>
      <c r="C1389" s="17" t="e">
        <f>+'Detalle Compras'!#REF!</f>
        <v>#REF!</v>
      </c>
      <c r="D1389" s="55" t="str">
        <f t="shared" si="76"/>
        <v/>
      </c>
      <c r="E1389" s="14" t="str">
        <f>+IF(B1389="","",'Detalle Compras'!S1389+0)</f>
        <v/>
      </c>
      <c r="F1389" s="14" t="str">
        <f>+IF(B1389="","",EOMONTH('Detalle Compras'!S1389,G1389)+10)</f>
        <v/>
      </c>
      <c r="G1389" s="50">
        <f t="shared" si="77"/>
        <v>0</v>
      </c>
      <c r="H1389" s="50">
        <f t="shared" si="78"/>
        <v>0</v>
      </c>
    </row>
    <row r="1390" spans="1:8" x14ac:dyDescent="0.2">
      <c r="A1390" s="37">
        <v>1388</v>
      </c>
      <c r="C1390" s="17" t="e">
        <f>+'Detalle Compras'!#REF!</f>
        <v>#REF!</v>
      </c>
      <c r="D1390" s="55" t="str">
        <f t="shared" si="76"/>
        <v/>
      </c>
      <c r="E1390" s="14" t="str">
        <f>+IF(B1390="","",'Detalle Compras'!S1390+0)</f>
        <v/>
      </c>
      <c r="F1390" s="14" t="str">
        <f>+IF(B1390="","",EOMONTH('Detalle Compras'!S1390,G1390)+10)</f>
        <v/>
      </c>
      <c r="G1390" s="50">
        <f t="shared" si="77"/>
        <v>0</v>
      </c>
      <c r="H1390" s="50">
        <f t="shared" si="78"/>
        <v>0</v>
      </c>
    </row>
    <row r="1391" spans="1:8" x14ac:dyDescent="0.2">
      <c r="A1391" s="37">
        <v>1389</v>
      </c>
      <c r="C1391" s="17" t="e">
        <f>+'Detalle Compras'!#REF!</f>
        <v>#REF!</v>
      </c>
      <c r="D1391" s="55" t="str">
        <f t="shared" si="76"/>
        <v/>
      </c>
      <c r="E1391" s="14" t="str">
        <f>+IF(B1391="","",'Detalle Compras'!S1391+0)</f>
        <v/>
      </c>
      <c r="F1391" s="14" t="str">
        <f>+IF(B1391="","",EOMONTH('Detalle Compras'!S1391,G1391)+10)</f>
        <v/>
      </c>
      <c r="G1391" s="50">
        <f t="shared" si="77"/>
        <v>0</v>
      </c>
      <c r="H1391" s="50">
        <f t="shared" si="78"/>
        <v>0</v>
      </c>
    </row>
    <row r="1392" spans="1:8" x14ac:dyDescent="0.2">
      <c r="A1392" s="37">
        <v>1390</v>
      </c>
      <c r="C1392" s="17" t="e">
        <f>+'Detalle Compras'!#REF!</f>
        <v>#REF!</v>
      </c>
      <c r="D1392" s="55" t="str">
        <f t="shared" si="76"/>
        <v/>
      </c>
      <c r="E1392" s="14" t="str">
        <f>+IF(B1392="","",'Detalle Compras'!S1392+0)</f>
        <v/>
      </c>
      <c r="F1392" s="14" t="str">
        <f>+IF(B1392="","",EOMONTH('Detalle Compras'!S1392,G1392)+10)</f>
        <v/>
      </c>
      <c r="G1392" s="50">
        <f t="shared" si="77"/>
        <v>0</v>
      </c>
      <c r="H1392" s="50">
        <f t="shared" si="78"/>
        <v>0</v>
      </c>
    </row>
    <row r="1393" spans="1:8" x14ac:dyDescent="0.2">
      <c r="A1393" s="37">
        <v>1391</v>
      </c>
      <c r="C1393" s="17" t="e">
        <f>+'Detalle Compras'!#REF!</f>
        <v>#REF!</v>
      </c>
      <c r="D1393" s="55" t="str">
        <f t="shared" si="76"/>
        <v/>
      </c>
      <c r="E1393" s="14" t="str">
        <f>+IF(B1393="","",'Detalle Compras'!S1393+0)</f>
        <v/>
      </c>
      <c r="F1393" s="14" t="str">
        <f>+IF(B1393="","",EOMONTH('Detalle Compras'!S1393,G1393)+10)</f>
        <v/>
      </c>
      <c r="G1393" s="50">
        <f t="shared" si="77"/>
        <v>0</v>
      </c>
      <c r="H1393" s="50">
        <f t="shared" si="78"/>
        <v>0</v>
      </c>
    </row>
    <row r="1394" spans="1:8" x14ac:dyDescent="0.2">
      <c r="A1394" s="37">
        <v>1392</v>
      </c>
      <c r="C1394" s="17" t="e">
        <f>+'Detalle Compras'!#REF!</f>
        <v>#REF!</v>
      </c>
      <c r="D1394" s="55" t="str">
        <f t="shared" si="76"/>
        <v/>
      </c>
      <c r="E1394" s="14" t="str">
        <f>+IF(B1394="","",'Detalle Compras'!S1394+0)</f>
        <v/>
      </c>
      <c r="F1394" s="14" t="str">
        <f>+IF(B1394="","",EOMONTH('Detalle Compras'!S1394,G1394)+10)</f>
        <v/>
      </c>
      <c r="G1394" s="50">
        <f t="shared" si="77"/>
        <v>0</v>
      </c>
      <c r="H1394" s="50">
        <f t="shared" si="78"/>
        <v>0</v>
      </c>
    </row>
    <row r="1395" spans="1:8" x14ac:dyDescent="0.2">
      <c r="A1395" s="37">
        <v>1393</v>
      </c>
      <c r="C1395" s="17" t="e">
        <f>+'Detalle Compras'!#REF!</f>
        <v>#REF!</v>
      </c>
      <c r="D1395" s="55" t="str">
        <f t="shared" si="76"/>
        <v/>
      </c>
      <c r="E1395" s="14" t="str">
        <f>+IF(B1395="","",'Detalle Compras'!S1395+0)</f>
        <v/>
      </c>
      <c r="F1395" s="14" t="str">
        <f>+IF(B1395="","",EOMONTH('Detalle Compras'!S1395,G1395)+10)</f>
        <v/>
      </c>
      <c r="G1395" s="50">
        <f t="shared" si="77"/>
        <v>0</v>
      </c>
      <c r="H1395" s="50">
        <f t="shared" si="78"/>
        <v>0</v>
      </c>
    </row>
    <row r="1396" spans="1:8" x14ac:dyDescent="0.2">
      <c r="A1396" s="37">
        <v>1394</v>
      </c>
      <c r="C1396" s="17" t="e">
        <f>+'Detalle Compras'!#REF!</f>
        <v>#REF!</v>
      </c>
      <c r="D1396" s="55" t="str">
        <f t="shared" si="76"/>
        <v/>
      </c>
      <c r="E1396" s="14" t="str">
        <f>+IF(B1396="","",'Detalle Compras'!S1396+0)</f>
        <v/>
      </c>
      <c r="F1396" s="14" t="str">
        <f>+IF(B1396="","",EOMONTH('Detalle Compras'!S1396,G1396)+10)</f>
        <v/>
      </c>
      <c r="G1396" s="50">
        <f t="shared" si="77"/>
        <v>0</v>
      </c>
      <c r="H1396" s="50">
        <f t="shared" si="78"/>
        <v>0</v>
      </c>
    </row>
    <row r="1397" spans="1:8" x14ac:dyDescent="0.2">
      <c r="A1397" s="37">
        <v>1395</v>
      </c>
      <c r="C1397" s="17" t="e">
        <f>+'Detalle Compras'!#REF!</f>
        <v>#REF!</v>
      </c>
      <c r="D1397" s="55" t="str">
        <f t="shared" si="76"/>
        <v/>
      </c>
      <c r="E1397" s="14" t="str">
        <f>+IF(B1397="","",'Detalle Compras'!S1397+0)</f>
        <v/>
      </c>
      <c r="F1397" s="14" t="str">
        <f>+IF(B1397="","",EOMONTH('Detalle Compras'!S1397,G1397)+10)</f>
        <v/>
      </c>
      <c r="G1397" s="50">
        <f t="shared" si="77"/>
        <v>0</v>
      </c>
      <c r="H1397" s="50">
        <f t="shared" si="78"/>
        <v>0</v>
      </c>
    </row>
    <row r="1398" spans="1:8" x14ac:dyDescent="0.2">
      <c r="A1398" s="37">
        <v>1396</v>
      </c>
      <c r="C1398" s="17" t="e">
        <f>+'Detalle Compras'!#REF!</f>
        <v>#REF!</v>
      </c>
      <c r="D1398" s="55" t="str">
        <f t="shared" si="76"/>
        <v/>
      </c>
      <c r="E1398" s="14" t="str">
        <f>+IF(B1398="","",'Detalle Compras'!S1398+0)</f>
        <v/>
      </c>
      <c r="F1398" s="14" t="str">
        <f>+IF(B1398="","",EOMONTH('Detalle Compras'!S1398,G1398)+10)</f>
        <v/>
      </c>
      <c r="G1398" s="50">
        <f t="shared" si="77"/>
        <v>0</v>
      </c>
      <c r="H1398" s="50">
        <f t="shared" si="78"/>
        <v>0</v>
      </c>
    </row>
    <row r="1399" spans="1:8" x14ac:dyDescent="0.2">
      <c r="A1399" s="37">
        <v>1397</v>
      </c>
      <c r="C1399" s="17" t="e">
        <f>+'Detalle Compras'!#REF!</f>
        <v>#REF!</v>
      </c>
      <c r="D1399" s="55" t="str">
        <f t="shared" si="76"/>
        <v/>
      </c>
      <c r="E1399" s="14" t="str">
        <f>+IF(B1399="","",'Detalle Compras'!S1399+0)</f>
        <v/>
      </c>
      <c r="F1399" s="14" t="str">
        <f>+IF(B1399="","",EOMONTH('Detalle Compras'!S1399,G1399)+10)</f>
        <v/>
      </c>
      <c r="G1399" s="50">
        <f t="shared" si="77"/>
        <v>0</v>
      </c>
      <c r="H1399" s="50">
        <f t="shared" si="78"/>
        <v>0</v>
      </c>
    </row>
    <row r="1400" spans="1:8" x14ac:dyDescent="0.2">
      <c r="A1400" s="37">
        <v>1398</v>
      </c>
      <c r="C1400" s="17" t="e">
        <f>+'Detalle Compras'!#REF!</f>
        <v>#REF!</v>
      </c>
      <c r="D1400" s="55" t="str">
        <f t="shared" si="76"/>
        <v/>
      </c>
      <c r="E1400" s="14" t="str">
        <f>+IF(B1400="","",'Detalle Compras'!S1400+0)</f>
        <v/>
      </c>
      <c r="F1400" s="14" t="str">
        <f>+IF(B1400="","",EOMONTH('Detalle Compras'!S1400,G1400)+10)</f>
        <v/>
      </c>
      <c r="G1400" s="50">
        <f t="shared" si="77"/>
        <v>0</v>
      </c>
      <c r="H1400" s="50">
        <f t="shared" si="78"/>
        <v>0</v>
      </c>
    </row>
    <row r="1401" spans="1:8" x14ac:dyDescent="0.2">
      <c r="A1401" s="37">
        <v>1399</v>
      </c>
      <c r="C1401" s="17" t="e">
        <f>+'Detalle Compras'!#REF!</f>
        <v>#REF!</v>
      </c>
      <c r="D1401" s="55" t="str">
        <f t="shared" si="76"/>
        <v/>
      </c>
      <c r="E1401" s="14" t="str">
        <f>+IF(B1401="","",'Detalle Compras'!S1401+0)</f>
        <v/>
      </c>
      <c r="F1401" s="14" t="str">
        <f>+IF(B1401="","",EOMONTH('Detalle Compras'!S1401,G1401)+10)</f>
        <v/>
      </c>
      <c r="G1401" s="50">
        <f t="shared" si="77"/>
        <v>0</v>
      </c>
      <c r="H1401" s="50">
        <f t="shared" si="78"/>
        <v>0</v>
      </c>
    </row>
    <row r="1402" spans="1:8" x14ac:dyDescent="0.2">
      <c r="A1402" s="37">
        <v>1400</v>
      </c>
      <c r="C1402" s="17" t="e">
        <f>+'Detalle Compras'!#REF!</f>
        <v>#REF!</v>
      </c>
      <c r="D1402" s="55" t="str">
        <f t="shared" si="76"/>
        <v/>
      </c>
      <c r="E1402" s="14" t="str">
        <f>+IF(B1402="","",'Detalle Compras'!S1402+0)</f>
        <v/>
      </c>
      <c r="F1402" s="14" t="str">
        <f>+IF(B1402="","",EOMONTH('Detalle Compras'!S1402,G1402)+10)</f>
        <v/>
      </c>
      <c r="G1402" s="50">
        <f t="shared" si="77"/>
        <v>0</v>
      </c>
      <c r="H1402" s="50">
        <f t="shared" si="78"/>
        <v>0</v>
      </c>
    </row>
    <row r="1403" spans="1:8" x14ac:dyDescent="0.2">
      <c r="A1403" s="37">
        <v>1401</v>
      </c>
      <c r="C1403" s="17" t="e">
        <f>+'Detalle Compras'!#REF!</f>
        <v>#REF!</v>
      </c>
      <c r="D1403" s="55" t="str">
        <f t="shared" si="76"/>
        <v/>
      </c>
      <c r="E1403" s="14" t="str">
        <f>+IF(B1403="","",'Detalle Compras'!S1403+0)</f>
        <v/>
      </c>
      <c r="F1403" s="14" t="str">
        <f>+IF(B1403="","",EOMONTH('Detalle Compras'!S1403,G1403)+10)</f>
        <v/>
      </c>
      <c r="G1403" s="50">
        <f t="shared" si="77"/>
        <v>0</v>
      </c>
      <c r="H1403" s="50">
        <f t="shared" si="78"/>
        <v>0</v>
      </c>
    </row>
    <row r="1404" spans="1:8" x14ac:dyDescent="0.2">
      <c r="A1404" s="37">
        <v>1402</v>
      </c>
      <c r="C1404" s="17" t="e">
        <f>+'Detalle Compras'!#REF!</f>
        <v>#REF!</v>
      </c>
      <c r="D1404" s="55" t="str">
        <f t="shared" si="76"/>
        <v/>
      </c>
      <c r="E1404" s="14" t="str">
        <f>+IF(B1404="","",'Detalle Compras'!S1404+0)</f>
        <v/>
      </c>
      <c r="F1404" s="14" t="str">
        <f>+IF(B1404="","",EOMONTH('Detalle Compras'!S1404,G1404)+10)</f>
        <v/>
      </c>
      <c r="G1404" s="50">
        <f t="shared" si="77"/>
        <v>0</v>
      </c>
      <c r="H1404" s="50">
        <f t="shared" si="78"/>
        <v>0</v>
      </c>
    </row>
    <row r="1405" spans="1:8" x14ac:dyDescent="0.2">
      <c r="A1405" s="37">
        <v>1403</v>
      </c>
      <c r="C1405" s="17" t="e">
        <f>+'Detalle Compras'!#REF!</f>
        <v>#REF!</v>
      </c>
      <c r="D1405" s="55" t="str">
        <f t="shared" si="76"/>
        <v/>
      </c>
      <c r="E1405" s="14" t="str">
        <f>+IF(B1405="","",'Detalle Compras'!S1405+0)</f>
        <v/>
      </c>
      <c r="F1405" s="14" t="str">
        <f>+IF(B1405="","",EOMONTH('Detalle Compras'!S1405,G1405)+10)</f>
        <v/>
      </c>
      <c r="G1405" s="50">
        <f t="shared" si="77"/>
        <v>0</v>
      </c>
      <c r="H1405" s="50">
        <f t="shared" si="78"/>
        <v>0</v>
      </c>
    </row>
    <row r="1406" spans="1:8" x14ac:dyDescent="0.2">
      <c r="A1406" s="37">
        <v>1404</v>
      </c>
      <c r="C1406" s="17" t="e">
        <f>+'Detalle Compras'!#REF!</f>
        <v>#REF!</v>
      </c>
      <c r="D1406" s="55" t="str">
        <f t="shared" si="76"/>
        <v/>
      </c>
      <c r="E1406" s="14" t="str">
        <f>+IF(B1406="","",'Detalle Compras'!S1406+0)</f>
        <v/>
      </c>
      <c r="F1406" s="14" t="str">
        <f>+IF(B1406="","",EOMONTH('Detalle Compras'!S1406,G1406)+10)</f>
        <v/>
      </c>
      <c r="G1406" s="50">
        <f t="shared" si="77"/>
        <v>0</v>
      </c>
      <c r="H1406" s="50">
        <f t="shared" si="78"/>
        <v>0</v>
      </c>
    </row>
    <row r="1407" spans="1:8" x14ac:dyDescent="0.2">
      <c r="A1407" s="37">
        <v>1405</v>
      </c>
      <c r="C1407" s="17" t="e">
        <f>+'Detalle Compras'!#REF!</f>
        <v>#REF!</v>
      </c>
      <c r="D1407" s="55" t="str">
        <f t="shared" si="76"/>
        <v/>
      </c>
      <c r="E1407" s="14" t="str">
        <f>+IF(B1407="","",'Detalle Compras'!S1407+0)</f>
        <v/>
      </c>
      <c r="F1407" s="14" t="str">
        <f>+IF(B1407="","",EOMONTH('Detalle Compras'!S1407,G1407)+10)</f>
        <v/>
      </c>
      <c r="G1407" s="50">
        <f t="shared" si="77"/>
        <v>0</v>
      </c>
      <c r="H1407" s="50">
        <f t="shared" si="78"/>
        <v>0</v>
      </c>
    </row>
    <row r="1408" spans="1:8" x14ac:dyDescent="0.2">
      <c r="A1408" s="37">
        <v>1406</v>
      </c>
      <c r="C1408" s="17" t="e">
        <f>+'Detalle Compras'!#REF!</f>
        <v>#REF!</v>
      </c>
      <c r="D1408" s="55" t="str">
        <f t="shared" si="76"/>
        <v/>
      </c>
      <c r="E1408" s="14" t="str">
        <f>+IF(B1408="","",'Detalle Compras'!S1408+0)</f>
        <v/>
      </c>
      <c r="F1408" s="14" t="str">
        <f>+IF(B1408="","",EOMONTH('Detalle Compras'!S1408,G1408)+10)</f>
        <v/>
      </c>
      <c r="G1408" s="50">
        <f t="shared" si="77"/>
        <v>0</v>
      </c>
      <c r="H1408" s="50">
        <f t="shared" si="78"/>
        <v>0</v>
      </c>
    </row>
    <row r="1409" spans="1:8" x14ac:dyDescent="0.2">
      <c r="A1409" s="37">
        <v>1407</v>
      </c>
      <c r="C1409" s="17" t="e">
        <f>+'Detalle Compras'!#REF!</f>
        <v>#REF!</v>
      </c>
      <c r="D1409" s="55" t="str">
        <f t="shared" si="76"/>
        <v/>
      </c>
      <c r="E1409" s="14" t="str">
        <f>+IF(B1409="","",'Detalle Compras'!S1409+0)</f>
        <v/>
      </c>
      <c r="F1409" s="14" t="str">
        <f>+IF(B1409="","",EOMONTH('Detalle Compras'!S1409,G1409)+10)</f>
        <v/>
      </c>
      <c r="G1409" s="50">
        <f t="shared" si="77"/>
        <v>0</v>
      </c>
      <c r="H1409" s="50">
        <f t="shared" si="78"/>
        <v>0</v>
      </c>
    </row>
    <row r="1410" spans="1:8" x14ac:dyDescent="0.2">
      <c r="A1410" s="37">
        <v>1408</v>
      </c>
      <c r="C1410" s="17" t="e">
        <f>+'Detalle Compras'!#REF!</f>
        <v>#REF!</v>
      </c>
      <c r="D1410" s="55" t="str">
        <f t="shared" si="76"/>
        <v/>
      </c>
      <c r="E1410" s="14" t="str">
        <f>+IF(B1410="","",'Detalle Compras'!S1410+0)</f>
        <v/>
      </c>
      <c r="F1410" s="14" t="str">
        <f>+IF(B1410="","",EOMONTH('Detalle Compras'!S1410,G1410)+10)</f>
        <v/>
      </c>
      <c r="G1410" s="50">
        <f t="shared" si="77"/>
        <v>0</v>
      </c>
      <c r="H1410" s="50">
        <f t="shared" si="78"/>
        <v>0</v>
      </c>
    </row>
    <row r="1411" spans="1:8" x14ac:dyDescent="0.2">
      <c r="A1411" s="37">
        <v>1409</v>
      </c>
      <c r="C1411" s="17" t="e">
        <f>+'Detalle Compras'!#REF!</f>
        <v>#REF!</v>
      </c>
      <c r="D1411" s="55" t="str">
        <f t="shared" si="76"/>
        <v/>
      </c>
      <c r="E1411" s="14" t="str">
        <f>+IF(B1411="","",'Detalle Compras'!S1411+0)</f>
        <v/>
      </c>
      <c r="F1411" s="14" t="str">
        <f>+IF(B1411="","",EOMONTH('Detalle Compras'!S1411,G1411)+10)</f>
        <v/>
      </c>
      <c r="G1411" s="50">
        <f t="shared" si="77"/>
        <v>0</v>
      </c>
      <c r="H1411" s="50">
        <f t="shared" si="78"/>
        <v>0</v>
      </c>
    </row>
    <row r="1412" spans="1:8" x14ac:dyDescent="0.2">
      <c r="A1412" s="37">
        <v>1410</v>
      </c>
      <c r="C1412" s="17" t="e">
        <f>+'Detalle Compras'!#REF!</f>
        <v>#REF!</v>
      </c>
      <c r="D1412" s="55" t="str">
        <f t="shared" ref="D1412:D1475" si="79">+IF(B1412="","",EA1412)</f>
        <v/>
      </c>
      <c r="E1412" s="14" t="str">
        <f>+IF(B1412="","",'Detalle Compras'!S1412+0)</f>
        <v/>
      </c>
      <c r="F1412" s="14" t="str">
        <f>+IF(B1412="","",EOMONTH('Detalle Compras'!S1412,G1412)+10)</f>
        <v/>
      </c>
      <c r="G1412" s="50">
        <f t="shared" ref="G1412:G1475" si="80">+COUNTIF(I1412:ADF1412,"&gt;1")</f>
        <v>0</v>
      </c>
      <c r="H1412" s="50">
        <f t="shared" ref="H1412:H1475" si="81">+COUNT(AF1412:ADF1412)</f>
        <v>0</v>
      </c>
    </row>
    <row r="1413" spans="1:8" x14ac:dyDescent="0.2">
      <c r="A1413" s="37">
        <v>1411</v>
      </c>
      <c r="C1413" s="17" t="e">
        <f>+'Detalle Compras'!#REF!</f>
        <v>#REF!</v>
      </c>
      <c r="D1413" s="55" t="str">
        <f t="shared" si="79"/>
        <v/>
      </c>
      <c r="E1413" s="14" t="str">
        <f>+IF(B1413="","",'Detalle Compras'!S1413+0)</f>
        <v/>
      </c>
      <c r="F1413" s="14" t="str">
        <f>+IF(B1413="","",EOMONTH('Detalle Compras'!S1413,G1413)+10)</f>
        <v/>
      </c>
      <c r="G1413" s="50">
        <f t="shared" si="80"/>
        <v>0</v>
      </c>
      <c r="H1413" s="50">
        <f t="shared" si="81"/>
        <v>0</v>
      </c>
    </row>
    <row r="1414" spans="1:8" x14ac:dyDescent="0.2">
      <c r="A1414" s="37">
        <v>1412</v>
      </c>
      <c r="C1414" s="17" t="e">
        <f>+'Detalle Compras'!#REF!</f>
        <v>#REF!</v>
      </c>
      <c r="D1414" s="55" t="str">
        <f t="shared" si="79"/>
        <v/>
      </c>
      <c r="E1414" s="14" t="str">
        <f>+IF(B1414="","",'Detalle Compras'!S1414+0)</f>
        <v/>
      </c>
      <c r="F1414" s="14" t="str">
        <f>+IF(B1414="","",EOMONTH('Detalle Compras'!S1414,G1414)+10)</f>
        <v/>
      </c>
      <c r="G1414" s="50">
        <f t="shared" si="80"/>
        <v>0</v>
      </c>
      <c r="H1414" s="50">
        <f t="shared" si="81"/>
        <v>0</v>
      </c>
    </row>
    <row r="1415" spans="1:8" x14ac:dyDescent="0.2">
      <c r="A1415" s="37">
        <v>1413</v>
      </c>
      <c r="C1415" s="17" t="e">
        <f>+'Detalle Compras'!#REF!</f>
        <v>#REF!</v>
      </c>
      <c r="D1415" s="55" t="str">
        <f t="shared" si="79"/>
        <v/>
      </c>
      <c r="E1415" s="14" t="str">
        <f>+IF(B1415="","",'Detalle Compras'!S1415+0)</f>
        <v/>
      </c>
      <c r="F1415" s="14" t="str">
        <f>+IF(B1415="","",EOMONTH('Detalle Compras'!S1415,G1415)+10)</f>
        <v/>
      </c>
      <c r="G1415" s="50">
        <f t="shared" si="80"/>
        <v>0</v>
      </c>
      <c r="H1415" s="50">
        <f t="shared" si="81"/>
        <v>0</v>
      </c>
    </row>
    <row r="1416" spans="1:8" x14ac:dyDescent="0.2">
      <c r="A1416" s="37">
        <v>1414</v>
      </c>
      <c r="C1416" s="17" t="e">
        <f>+'Detalle Compras'!#REF!</f>
        <v>#REF!</v>
      </c>
      <c r="D1416" s="55" t="str">
        <f t="shared" si="79"/>
        <v/>
      </c>
      <c r="E1416" s="14" t="str">
        <f>+IF(B1416="","",'Detalle Compras'!S1416+0)</f>
        <v/>
      </c>
      <c r="F1416" s="14" t="str">
        <f>+IF(B1416="","",EOMONTH('Detalle Compras'!S1416,G1416)+10)</f>
        <v/>
      </c>
      <c r="G1416" s="50">
        <f t="shared" si="80"/>
        <v>0</v>
      </c>
      <c r="H1416" s="50">
        <f t="shared" si="81"/>
        <v>0</v>
      </c>
    </row>
    <row r="1417" spans="1:8" x14ac:dyDescent="0.2">
      <c r="A1417" s="37">
        <v>1415</v>
      </c>
      <c r="C1417" s="17" t="e">
        <f>+'Detalle Compras'!#REF!</f>
        <v>#REF!</v>
      </c>
      <c r="D1417" s="55" t="str">
        <f t="shared" si="79"/>
        <v/>
      </c>
      <c r="E1417" s="14" t="str">
        <f>+IF(B1417="","",'Detalle Compras'!S1417+0)</f>
        <v/>
      </c>
      <c r="F1417" s="14" t="str">
        <f>+IF(B1417="","",EOMONTH('Detalle Compras'!S1417,G1417)+10)</f>
        <v/>
      </c>
      <c r="G1417" s="50">
        <f t="shared" si="80"/>
        <v>0</v>
      </c>
      <c r="H1417" s="50">
        <f t="shared" si="81"/>
        <v>0</v>
      </c>
    </row>
    <row r="1418" spans="1:8" x14ac:dyDescent="0.2">
      <c r="A1418" s="37">
        <v>1416</v>
      </c>
      <c r="C1418" s="17" t="e">
        <f>+'Detalle Compras'!#REF!</f>
        <v>#REF!</v>
      </c>
      <c r="D1418" s="55" t="str">
        <f t="shared" si="79"/>
        <v/>
      </c>
      <c r="E1418" s="14" t="str">
        <f>+IF(B1418="","",'Detalle Compras'!S1418+0)</f>
        <v/>
      </c>
      <c r="F1418" s="14" t="str">
        <f>+IF(B1418="","",EOMONTH('Detalle Compras'!S1418,G1418)+10)</f>
        <v/>
      </c>
      <c r="G1418" s="50">
        <f t="shared" si="80"/>
        <v>0</v>
      </c>
      <c r="H1418" s="50">
        <f t="shared" si="81"/>
        <v>0</v>
      </c>
    </row>
    <row r="1419" spans="1:8" x14ac:dyDescent="0.2">
      <c r="A1419" s="37">
        <v>1417</v>
      </c>
      <c r="C1419" s="17" t="e">
        <f>+'Detalle Compras'!#REF!</f>
        <v>#REF!</v>
      </c>
      <c r="D1419" s="55" t="str">
        <f t="shared" si="79"/>
        <v/>
      </c>
      <c r="E1419" s="14" t="str">
        <f>+IF(B1419="","",'Detalle Compras'!S1419+0)</f>
        <v/>
      </c>
      <c r="F1419" s="14" t="str">
        <f>+IF(B1419="","",EOMONTH('Detalle Compras'!S1419,G1419)+10)</f>
        <v/>
      </c>
      <c r="G1419" s="50">
        <f t="shared" si="80"/>
        <v>0</v>
      </c>
      <c r="H1419" s="50">
        <f t="shared" si="81"/>
        <v>0</v>
      </c>
    </row>
    <row r="1420" spans="1:8" x14ac:dyDescent="0.2">
      <c r="A1420" s="37">
        <v>1418</v>
      </c>
      <c r="C1420" s="17" t="e">
        <f>+'Detalle Compras'!#REF!</f>
        <v>#REF!</v>
      </c>
      <c r="D1420" s="55" t="str">
        <f t="shared" si="79"/>
        <v/>
      </c>
      <c r="E1420" s="14" t="str">
        <f>+IF(B1420="","",'Detalle Compras'!S1420+0)</f>
        <v/>
      </c>
      <c r="F1420" s="14" t="str">
        <f>+IF(B1420="","",EOMONTH('Detalle Compras'!S1420,G1420)+10)</f>
        <v/>
      </c>
      <c r="G1420" s="50">
        <f t="shared" si="80"/>
        <v>0</v>
      </c>
      <c r="H1420" s="50">
        <f t="shared" si="81"/>
        <v>0</v>
      </c>
    </row>
    <row r="1421" spans="1:8" x14ac:dyDescent="0.2">
      <c r="A1421" s="37">
        <v>1419</v>
      </c>
      <c r="C1421" s="17" t="e">
        <f>+'Detalle Compras'!#REF!</f>
        <v>#REF!</v>
      </c>
      <c r="D1421" s="55" t="str">
        <f t="shared" si="79"/>
        <v/>
      </c>
      <c r="E1421" s="14" t="str">
        <f>+IF(B1421="","",'Detalle Compras'!S1421+0)</f>
        <v/>
      </c>
      <c r="F1421" s="14" t="str">
        <f>+IF(B1421="","",EOMONTH('Detalle Compras'!S1421,G1421)+10)</f>
        <v/>
      </c>
      <c r="G1421" s="50">
        <f t="shared" si="80"/>
        <v>0</v>
      </c>
      <c r="H1421" s="50">
        <f t="shared" si="81"/>
        <v>0</v>
      </c>
    </row>
    <row r="1422" spans="1:8" x14ac:dyDescent="0.2">
      <c r="A1422" s="37">
        <v>1420</v>
      </c>
      <c r="C1422" s="17" t="e">
        <f>+'Detalle Compras'!#REF!</f>
        <v>#REF!</v>
      </c>
      <c r="D1422" s="55" t="str">
        <f t="shared" si="79"/>
        <v/>
      </c>
      <c r="E1422" s="14" t="str">
        <f>+IF(B1422="","",'Detalle Compras'!S1422+0)</f>
        <v/>
      </c>
      <c r="F1422" s="14" t="str">
        <f>+IF(B1422="","",EOMONTH('Detalle Compras'!S1422,G1422)+10)</f>
        <v/>
      </c>
      <c r="G1422" s="50">
        <f t="shared" si="80"/>
        <v>0</v>
      </c>
      <c r="H1422" s="50">
        <f t="shared" si="81"/>
        <v>0</v>
      </c>
    </row>
    <row r="1423" spans="1:8" x14ac:dyDescent="0.2">
      <c r="A1423" s="37">
        <v>1421</v>
      </c>
      <c r="C1423" s="17" t="e">
        <f>+'Detalle Compras'!#REF!</f>
        <v>#REF!</v>
      </c>
      <c r="D1423" s="55" t="str">
        <f t="shared" si="79"/>
        <v/>
      </c>
      <c r="E1423" s="14" t="str">
        <f>+IF(B1423="","",'Detalle Compras'!S1423+0)</f>
        <v/>
      </c>
      <c r="F1423" s="14" t="str">
        <f>+IF(B1423="","",EOMONTH('Detalle Compras'!S1423,G1423)+10)</f>
        <v/>
      </c>
      <c r="G1423" s="50">
        <f t="shared" si="80"/>
        <v>0</v>
      </c>
      <c r="H1423" s="50">
        <f t="shared" si="81"/>
        <v>0</v>
      </c>
    </row>
    <row r="1424" spans="1:8" x14ac:dyDescent="0.2">
      <c r="A1424" s="37">
        <v>1422</v>
      </c>
      <c r="C1424" s="17" t="e">
        <f>+'Detalle Compras'!#REF!</f>
        <v>#REF!</v>
      </c>
      <c r="D1424" s="55" t="str">
        <f t="shared" si="79"/>
        <v/>
      </c>
      <c r="E1424" s="14" t="str">
        <f>+IF(B1424="","",'Detalle Compras'!S1424+0)</f>
        <v/>
      </c>
      <c r="F1424" s="14" t="str">
        <f>+IF(B1424="","",EOMONTH('Detalle Compras'!S1424,G1424)+10)</f>
        <v/>
      </c>
      <c r="G1424" s="50">
        <f t="shared" si="80"/>
        <v>0</v>
      </c>
      <c r="H1424" s="50">
        <f t="shared" si="81"/>
        <v>0</v>
      </c>
    </row>
    <row r="1425" spans="1:8" x14ac:dyDescent="0.2">
      <c r="A1425" s="37">
        <v>1423</v>
      </c>
      <c r="C1425" s="17" t="e">
        <f>+'Detalle Compras'!#REF!</f>
        <v>#REF!</v>
      </c>
      <c r="D1425" s="55" t="str">
        <f t="shared" si="79"/>
        <v/>
      </c>
      <c r="E1425" s="14" t="str">
        <f>+IF(B1425="","",'Detalle Compras'!S1425+0)</f>
        <v/>
      </c>
      <c r="F1425" s="14" t="str">
        <f>+IF(B1425="","",EOMONTH('Detalle Compras'!S1425,G1425)+10)</f>
        <v/>
      </c>
      <c r="G1425" s="50">
        <f t="shared" si="80"/>
        <v>0</v>
      </c>
      <c r="H1425" s="50">
        <f t="shared" si="81"/>
        <v>0</v>
      </c>
    </row>
    <row r="1426" spans="1:8" x14ac:dyDescent="0.2">
      <c r="A1426" s="37">
        <v>1424</v>
      </c>
      <c r="C1426" s="17" t="e">
        <f>+'Detalle Compras'!#REF!</f>
        <v>#REF!</v>
      </c>
      <c r="D1426" s="55" t="str">
        <f t="shared" si="79"/>
        <v/>
      </c>
      <c r="E1426" s="14" t="str">
        <f>+IF(B1426="","",'Detalle Compras'!S1426+0)</f>
        <v/>
      </c>
      <c r="F1426" s="14" t="str">
        <f>+IF(B1426="","",EOMONTH('Detalle Compras'!S1426,G1426)+10)</f>
        <v/>
      </c>
      <c r="G1426" s="50">
        <f t="shared" si="80"/>
        <v>0</v>
      </c>
      <c r="H1426" s="50">
        <f t="shared" si="81"/>
        <v>0</v>
      </c>
    </row>
    <row r="1427" spans="1:8" x14ac:dyDescent="0.2">
      <c r="A1427" s="37">
        <v>1425</v>
      </c>
      <c r="C1427" s="17" t="e">
        <f>+'Detalle Compras'!#REF!</f>
        <v>#REF!</v>
      </c>
      <c r="D1427" s="55" t="str">
        <f t="shared" si="79"/>
        <v/>
      </c>
      <c r="E1427" s="14" t="str">
        <f>+IF(B1427="","",'Detalle Compras'!S1427+0)</f>
        <v/>
      </c>
      <c r="F1427" s="14" t="str">
        <f>+IF(B1427="","",EOMONTH('Detalle Compras'!S1427,G1427)+10)</f>
        <v/>
      </c>
      <c r="G1427" s="50">
        <f t="shared" si="80"/>
        <v>0</v>
      </c>
      <c r="H1427" s="50">
        <f t="shared" si="81"/>
        <v>0</v>
      </c>
    </row>
    <row r="1428" spans="1:8" x14ac:dyDescent="0.2">
      <c r="A1428" s="37">
        <v>1426</v>
      </c>
      <c r="C1428" s="17" t="e">
        <f>+'Detalle Compras'!#REF!</f>
        <v>#REF!</v>
      </c>
      <c r="D1428" s="55" t="str">
        <f t="shared" si="79"/>
        <v/>
      </c>
      <c r="E1428" s="14" t="str">
        <f>+IF(B1428="","",'Detalle Compras'!S1428+0)</f>
        <v/>
      </c>
      <c r="F1428" s="14" t="str">
        <f>+IF(B1428="","",EOMONTH('Detalle Compras'!S1428,G1428)+10)</f>
        <v/>
      </c>
      <c r="G1428" s="50">
        <f t="shared" si="80"/>
        <v>0</v>
      </c>
      <c r="H1428" s="50">
        <f t="shared" si="81"/>
        <v>0</v>
      </c>
    </row>
    <row r="1429" spans="1:8" x14ac:dyDescent="0.2">
      <c r="A1429" s="37">
        <v>1427</v>
      </c>
      <c r="C1429" s="17" t="e">
        <f>+'Detalle Compras'!#REF!</f>
        <v>#REF!</v>
      </c>
      <c r="D1429" s="55" t="str">
        <f t="shared" si="79"/>
        <v/>
      </c>
      <c r="E1429" s="14" t="str">
        <f>+IF(B1429="","",'Detalle Compras'!S1429+0)</f>
        <v/>
      </c>
      <c r="F1429" s="14" t="str">
        <f>+IF(B1429="","",EOMONTH('Detalle Compras'!S1429,G1429)+10)</f>
        <v/>
      </c>
      <c r="G1429" s="50">
        <f t="shared" si="80"/>
        <v>0</v>
      </c>
      <c r="H1429" s="50">
        <f t="shared" si="81"/>
        <v>0</v>
      </c>
    </row>
    <row r="1430" spans="1:8" x14ac:dyDescent="0.2">
      <c r="A1430" s="37">
        <v>1428</v>
      </c>
      <c r="C1430" s="17" t="e">
        <f>+'Detalle Compras'!#REF!</f>
        <v>#REF!</v>
      </c>
      <c r="D1430" s="55" t="str">
        <f t="shared" si="79"/>
        <v/>
      </c>
      <c r="E1430" s="14" t="str">
        <f>+IF(B1430="","",'Detalle Compras'!S1430+0)</f>
        <v/>
      </c>
      <c r="F1430" s="14" t="str">
        <f>+IF(B1430="","",EOMONTH('Detalle Compras'!S1430,G1430)+10)</f>
        <v/>
      </c>
      <c r="G1430" s="50">
        <f t="shared" si="80"/>
        <v>0</v>
      </c>
      <c r="H1430" s="50">
        <f t="shared" si="81"/>
        <v>0</v>
      </c>
    </row>
    <row r="1431" spans="1:8" x14ac:dyDescent="0.2">
      <c r="A1431" s="37">
        <v>1429</v>
      </c>
      <c r="C1431" s="17" t="e">
        <f>+'Detalle Compras'!#REF!</f>
        <v>#REF!</v>
      </c>
      <c r="D1431" s="55" t="str">
        <f t="shared" si="79"/>
        <v/>
      </c>
      <c r="E1431" s="14" t="str">
        <f>+IF(B1431="","",'Detalle Compras'!S1431+0)</f>
        <v/>
      </c>
      <c r="F1431" s="14" t="str">
        <f>+IF(B1431="","",EOMONTH('Detalle Compras'!S1431,G1431)+10)</f>
        <v/>
      </c>
      <c r="G1431" s="50">
        <f t="shared" si="80"/>
        <v>0</v>
      </c>
      <c r="H1431" s="50">
        <f t="shared" si="81"/>
        <v>0</v>
      </c>
    </row>
    <row r="1432" spans="1:8" x14ac:dyDescent="0.2">
      <c r="A1432" s="37">
        <v>1430</v>
      </c>
      <c r="C1432" s="17" t="e">
        <f>+'Detalle Compras'!#REF!</f>
        <v>#REF!</v>
      </c>
      <c r="D1432" s="55" t="str">
        <f t="shared" si="79"/>
        <v/>
      </c>
      <c r="E1432" s="14" t="str">
        <f>+IF(B1432="","",'Detalle Compras'!S1432+0)</f>
        <v/>
      </c>
      <c r="F1432" s="14" t="str">
        <f>+IF(B1432="","",EOMONTH('Detalle Compras'!S1432,G1432)+10)</f>
        <v/>
      </c>
      <c r="G1432" s="50">
        <f t="shared" si="80"/>
        <v>0</v>
      </c>
      <c r="H1432" s="50">
        <f t="shared" si="81"/>
        <v>0</v>
      </c>
    </row>
    <row r="1433" spans="1:8" x14ac:dyDescent="0.2">
      <c r="A1433" s="37">
        <v>1431</v>
      </c>
      <c r="C1433" s="17" t="e">
        <f>+'Detalle Compras'!#REF!</f>
        <v>#REF!</v>
      </c>
      <c r="D1433" s="55" t="str">
        <f t="shared" si="79"/>
        <v/>
      </c>
      <c r="E1433" s="14" t="str">
        <f>+IF(B1433="","",'Detalle Compras'!S1433+0)</f>
        <v/>
      </c>
      <c r="F1433" s="14" t="str">
        <f>+IF(B1433="","",EOMONTH('Detalle Compras'!S1433,G1433)+10)</f>
        <v/>
      </c>
      <c r="G1433" s="50">
        <f t="shared" si="80"/>
        <v>0</v>
      </c>
      <c r="H1433" s="50">
        <f t="shared" si="81"/>
        <v>0</v>
      </c>
    </row>
    <row r="1434" spans="1:8" x14ac:dyDescent="0.2">
      <c r="A1434" s="37">
        <v>1432</v>
      </c>
      <c r="C1434" s="17" t="e">
        <f>+'Detalle Compras'!#REF!</f>
        <v>#REF!</v>
      </c>
      <c r="D1434" s="55" t="str">
        <f t="shared" si="79"/>
        <v/>
      </c>
      <c r="E1434" s="14" t="str">
        <f>+IF(B1434="","",'Detalle Compras'!S1434+0)</f>
        <v/>
      </c>
      <c r="F1434" s="14" t="str">
        <f>+IF(B1434="","",EOMONTH('Detalle Compras'!S1434,G1434)+10)</f>
        <v/>
      </c>
      <c r="G1434" s="50">
        <f t="shared" si="80"/>
        <v>0</v>
      </c>
      <c r="H1434" s="50">
        <f t="shared" si="81"/>
        <v>0</v>
      </c>
    </row>
    <row r="1435" spans="1:8" x14ac:dyDescent="0.2">
      <c r="A1435" s="37">
        <v>1433</v>
      </c>
      <c r="C1435" s="17" t="e">
        <f>+'Detalle Compras'!#REF!</f>
        <v>#REF!</v>
      </c>
      <c r="D1435" s="55" t="str">
        <f t="shared" si="79"/>
        <v/>
      </c>
      <c r="E1435" s="14" t="str">
        <f>+IF(B1435="","",'Detalle Compras'!S1435+0)</f>
        <v/>
      </c>
      <c r="F1435" s="14" t="str">
        <f>+IF(B1435="","",EOMONTH('Detalle Compras'!S1435,G1435)+10)</f>
        <v/>
      </c>
      <c r="G1435" s="50">
        <f t="shared" si="80"/>
        <v>0</v>
      </c>
      <c r="H1435" s="50">
        <f t="shared" si="81"/>
        <v>0</v>
      </c>
    </row>
    <row r="1436" spans="1:8" x14ac:dyDescent="0.2">
      <c r="A1436" s="37">
        <v>1434</v>
      </c>
      <c r="C1436" s="17" t="e">
        <f>+'Detalle Compras'!#REF!</f>
        <v>#REF!</v>
      </c>
      <c r="D1436" s="55" t="str">
        <f t="shared" si="79"/>
        <v/>
      </c>
      <c r="E1436" s="14" t="str">
        <f>+IF(B1436="","",'Detalle Compras'!S1436+0)</f>
        <v/>
      </c>
      <c r="F1436" s="14" t="str">
        <f>+IF(B1436="","",EOMONTH('Detalle Compras'!S1436,G1436)+10)</f>
        <v/>
      </c>
      <c r="G1436" s="50">
        <f t="shared" si="80"/>
        <v>0</v>
      </c>
      <c r="H1436" s="50">
        <f t="shared" si="81"/>
        <v>0</v>
      </c>
    </row>
    <row r="1437" spans="1:8" x14ac:dyDescent="0.2">
      <c r="A1437" s="37">
        <v>1435</v>
      </c>
      <c r="C1437" s="17" t="e">
        <f>+'Detalle Compras'!#REF!</f>
        <v>#REF!</v>
      </c>
      <c r="D1437" s="55" t="str">
        <f t="shared" si="79"/>
        <v/>
      </c>
      <c r="E1437" s="14" t="str">
        <f>+IF(B1437="","",'Detalle Compras'!S1437+0)</f>
        <v/>
      </c>
      <c r="F1437" s="14" t="str">
        <f>+IF(B1437="","",EOMONTH('Detalle Compras'!S1437,G1437)+10)</f>
        <v/>
      </c>
      <c r="G1437" s="50">
        <f t="shared" si="80"/>
        <v>0</v>
      </c>
      <c r="H1437" s="50">
        <f t="shared" si="81"/>
        <v>0</v>
      </c>
    </row>
    <row r="1438" spans="1:8" x14ac:dyDescent="0.2">
      <c r="A1438" s="37">
        <v>1436</v>
      </c>
      <c r="C1438" s="17" t="e">
        <f>+'Detalle Compras'!#REF!</f>
        <v>#REF!</v>
      </c>
      <c r="D1438" s="55" t="str">
        <f t="shared" si="79"/>
        <v/>
      </c>
      <c r="E1438" s="14" t="str">
        <f>+IF(B1438="","",'Detalle Compras'!S1438+0)</f>
        <v/>
      </c>
      <c r="F1438" s="14" t="str">
        <f>+IF(B1438="","",EOMONTH('Detalle Compras'!S1438,G1438)+10)</f>
        <v/>
      </c>
      <c r="G1438" s="50">
        <f t="shared" si="80"/>
        <v>0</v>
      </c>
      <c r="H1438" s="50">
        <f t="shared" si="81"/>
        <v>0</v>
      </c>
    </row>
    <row r="1439" spans="1:8" x14ac:dyDescent="0.2">
      <c r="A1439" s="37">
        <v>1437</v>
      </c>
      <c r="C1439" s="17" t="e">
        <f>+'Detalle Compras'!#REF!</f>
        <v>#REF!</v>
      </c>
      <c r="D1439" s="55" t="str">
        <f t="shared" si="79"/>
        <v/>
      </c>
      <c r="E1439" s="14" t="str">
        <f>+IF(B1439="","",'Detalle Compras'!S1439+0)</f>
        <v/>
      </c>
      <c r="F1439" s="14" t="str">
        <f>+IF(B1439="","",EOMONTH('Detalle Compras'!S1439,G1439)+10)</f>
        <v/>
      </c>
      <c r="G1439" s="50">
        <f t="shared" si="80"/>
        <v>0</v>
      </c>
      <c r="H1439" s="50">
        <f t="shared" si="81"/>
        <v>0</v>
      </c>
    </row>
    <row r="1440" spans="1:8" x14ac:dyDescent="0.2">
      <c r="A1440" s="37">
        <v>1438</v>
      </c>
      <c r="C1440" s="17" t="e">
        <f>+'Detalle Compras'!#REF!</f>
        <v>#REF!</v>
      </c>
      <c r="D1440" s="55" t="str">
        <f t="shared" si="79"/>
        <v/>
      </c>
      <c r="E1440" s="14" t="str">
        <f>+IF(B1440="","",'Detalle Compras'!S1440+0)</f>
        <v/>
      </c>
      <c r="F1440" s="14" t="str">
        <f>+IF(B1440="","",EOMONTH('Detalle Compras'!S1440,G1440)+10)</f>
        <v/>
      </c>
      <c r="G1440" s="50">
        <f t="shared" si="80"/>
        <v>0</v>
      </c>
      <c r="H1440" s="50">
        <f t="shared" si="81"/>
        <v>0</v>
      </c>
    </row>
    <row r="1441" spans="1:8" x14ac:dyDescent="0.2">
      <c r="A1441" s="37">
        <v>1439</v>
      </c>
      <c r="C1441" s="17" t="e">
        <f>+'Detalle Compras'!#REF!</f>
        <v>#REF!</v>
      </c>
      <c r="D1441" s="55" t="str">
        <f t="shared" si="79"/>
        <v/>
      </c>
      <c r="E1441" s="14" t="str">
        <f>+IF(B1441="","",'Detalle Compras'!S1441+0)</f>
        <v/>
      </c>
      <c r="F1441" s="14" t="str">
        <f>+IF(B1441="","",EOMONTH('Detalle Compras'!S1441,G1441)+10)</f>
        <v/>
      </c>
      <c r="G1441" s="50">
        <f t="shared" si="80"/>
        <v>0</v>
      </c>
      <c r="H1441" s="50">
        <f t="shared" si="81"/>
        <v>0</v>
      </c>
    </row>
    <row r="1442" spans="1:8" x14ac:dyDescent="0.2">
      <c r="A1442" s="37">
        <v>1440</v>
      </c>
      <c r="C1442" s="17" t="e">
        <f>+'Detalle Compras'!#REF!</f>
        <v>#REF!</v>
      </c>
      <c r="D1442" s="55" t="str">
        <f t="shared" si="79"/>
        <v/>
      </c>
      <c r="E1442" s="14" t="str">
        <f>+IF(B1442="","",'Detalle Compras'!S1442+0)</f>
        <v/>
      </c>
      <c r="F1442" s="14" t="str">
        <f>+IF(B1442="","",EOMONTH('Detalle Compras'!S1442,G1442)+10)</f>
        <v/>
      </c>
      <c r="G1442" s="50">
        <f t="shared" si="80"/>
        <v>0</v>
      </c>
      <c r="H1442" s="50">
        <f t="shared" si="81"/>
        <v>0</v>
      </c>
    </row>
    <row r="1443" spans="1:8" x14ac:dyDescent="0.2">
      <c r="A1443" s="37">
        <v>1441</v>
      </c>
      <c r="C1443" s="17" t="e">
        <f>+'Detalle Compras'!#REF!</f>
        <v>#REF!</v>
      </c>
      <c r="D1443" s="55" t="str">
        <f t="shared" si="79"/>
        <v/>
      </c>
      <c r="E1443" s="14" t="str">
        <f>+IF(B1443="","",'Detalle Compras'!S1443+0)</f>
        <v/>
      </c>
      <c r="F1443" s="14" t="str">
        <f>+IF(B1443="","",EOMONTH('Detalle Compras'!S1443,G1443)+10)</f>
        <v/>
      </c>
      <c r="G1443" s="50">
        <f t="shared" si="80"/>
        <v>0</v>
      </c>
      <c r="H1443" s="50">
        <f t="shared" si="81"/>
        <v>0</v>
      </c>
    </row>
    <row r="1444" spans="1:8" x14ac:dyDescent="0.2">
      <c r="A1444" s="37">
        <v>1442</v>
      </c>
      <c r="C1444" s="17" t="e">
        <f>+'Detalle Compras'!#REF!</f>
        <v>#REF!</v>
      </c>
      <c r="D1444" s="55" t="str">
        <f t="shared" si="79"/>
        <v/>
      </c>
      <c r="E1444" s="14" t="str">
        <f>+IF(B1444="","",'Detalle Compras'!S1444+0)</f>
        <v/>
      </c>
      <c r="F1444" s="14" t="str">
        <f>+IF(B1444="","",EOMONTH('Detalle Compras'!S1444,G1444)+10)</f>
        <v/>
      </c>
      <c r="G1444" s="50">
        <f t="shared" si="80"/>
        <v>0</v>
      </c>
      <c r="H1444" s="50">
        <f t="shared" si="81"/>
        <v>0</v>
      </c>
    </row>
    <row r="1445" spans="1:8" x14ac:dyDescent="0.2">
      <c r="A1445" s="37">
        <v>1443</v>
      </c>
      <c r="C1445" s="17" t="e">
        <f>+'Detalle Compras'!#REF!</f>
        <v>#REF!</v>
      </c>
      <c r="D1445" s="55" t="str">
        <f t="shared" si="79"/>
        <v/>
      </c>
      <c r="E1445" s="14" t="str">
        <f>+IF(B1445="","",'Detalle Compras'!S1445+0)</f>
        <v/>
      </c>
      <c r="F1445" s="14" t="str">
        <f>+IF(B1445="","",EOMONTH('Detalle Compras'!S1445,G1445)+10)</f>
        <v/>
      </c>
      <c r="G1445" s="50">
        <f t="shared" si="80"/>
        <v>0</v>
      </c>
      <c r="H1445" s="50">
        <f t="shared" si="81"/>
        <v>0</v>
      </c>
    </row>
    <row r="1446" spans="1:8" x14ac:dyDescent="0.2">
      <c r="A1446" s="37">
        <v>1444</v>
      </c>
      <c r="C1446" s="17" t="e">
        <f>+'Detalle Compras'!#REF!</f>
        <v>#REF!</v>
      </c>
      <c r="D1446" s="55" t="str">
        <f t="shared" si="79"/>
        <v/>
      </c>
      <c r="E1446" s="14" t="str">
        <f>+IF(B1446="","",'Detalle Compras'!S1446+0)</f>
        <v/>
      </c>
      <c r="F1446" s="14" t="str">
        <f>+IF(B1446="","",EOMONTH('Detalle Compras'!S1446,G1446)+10)</f>
        <v/>
      </c>
      <c r="G1446" s="50">
        <f t="shared" si="80"/>
        <v>0</v>
      </c>
      <c r="H1446" s="50">
        <f t="shared" si="81"/>
        <v>0</v>
      </c>
    </row>
    <row r="1447" spans="1:8" x14ac:dyDescent="0.2">
      <c r="A1447" s="37">
        <v>1445</v>
      </c>
      <c r="C1447" s="17" t="e">
        <f>+'Detalle Compras'!#REF!</f>
        <v>#REF!</v>
      </c>
      <c r="D1447" s="55" t="str">
        <f t="shared" si="79"/>
        <v/>
      </c>
      <c r="E1447" s="14" t="str">
        <f>+IF(B1447="","",'Detalle Compras'!S1447+0)</f>
        <v/>
      </c>
      <c r="F1447" s="14" t="str">
        <f>+IF(B1447="","",EOMONTH('Detalle Compras'!S1447,G1447)+10)</f>
        <v/>
      </c>
      <c r="G1447" s="50">
        <f t="shared" si="80"/>
        <v>0</v>
      </c>
      <c r="H1447" s="50">
        <f t="shared" si="81"/>
        <v>0</v>
      </c>
    </row>
    <row r="1448" spans="1:8" x14ac:dyDescent="0.2">
      <c r="A1448" s="37">
        <v>1446</v>
      </c>
      <c r="C1448" s="17" t="e">
        <f>+'Detalle Compras'!#REF!</f>
        <v>#REF!</v>
      </c>
      <c r="D1448" s="55" t="str">
        <f t="shared" si="79"/>
        <v/>
      </c>
      <c r="E1448" s="14" t="str">
        <f>+IF(B1448="","",'Detalle Compras'!S1448+0)</f>
        <v/>
      </c>
      <c r="F1448" s="14" t="str">
        <f>+IF(B1448="","",EOMONTH('Detalle Compras'!S1448,G1448)+10)</f>
        <v/>
      </c>
      <c r="G1448" s="50">
        <f t="shared" si="80"/>
        <v>0</v>
      </c>
      <c r="H1448" s="50">
        <f t="shared" si="81"/>
        <v>0</v>
      </c>
    </row>
    <row r="1449" spans="1:8" x14ac:dyDescent="0.2">
      <c r="A1449" s="37">
        <v>1447</v>
      </c>
      <c r="C1449" s="17" t="e">
        <f>+'Detalle Compras'!#REF!</f>
        <v>#REF!</v>
      </c>
      <c r="D1449" s="55" t="str">
        <f t="shared" si="79"/>
        <v/>
      </c>
      <c r="E1449" s="14" t="str">
        <f>+IF(B1449="","",'Detalle Compras'!S1449+0)</f>
        <v/>
      </c>
      <c r="F1449" s="14" t="str">
        <f>+IF(B1449="","",EOMONTH('Detalle Compras'!S1449,G1449)+10)</f>
        <v/>
      </c>
      <c r="G1449" s="50">
        <f t="shared" si="80"/>
        <v>0</v>
      </c>
      <c r="H1449" s="50">
        <f t="shared" si="81"/>
        <v>0</v>
      </c>
    </row>
    <row r="1450" spans="1:8" x14ac:dyDescent="0.2">
      <c r="A1450" s="37">
        <v>1448</v>
      </c>
      <c r="C1450" s="17" t="e">
        <f>+'Detalle Compras'!#REF!</f>
        <v>#REF!</v>
      </c>
      <c r="D1450" s="55" t="str">
        <f t="shared" si="79"/>
        <v/>
      </c>
      <c r="E1450" s="14" t="str">
        <f>+IF(B1450="","",'Detalle Compras'!S1450+0)</f>
        <v/>
      </c>
      <c r="F1450" s="14" t="str">
        <f>+IF(B1450="","",EOMONTH('Detalle Compras'!S1450,G1450)+10)</f>
        <v/>
      </c>
      <c r="G1450" s="50">
        <f t="shared" si="80"/>
        <v>0</v>
      </c>
      <c r="H1450" s="50">
        <f t="shared" si="81"/>
        <v>0</v>
      </c>
    </row>
    <row r="1451" spans="1:8" x14ac:dyDescent="0.2">
      <c r="A1451" s="37">
        <v>1449</v>
      </c>
      <c r="C1451" s="17" t="e">
        <f>+'Detalle Compras'!#REF!</f>
        <v>#REF!</v>
      </c>
      <c r="D1451" s="55" t="str">
        <f t="shared" si="79"/>
        <v/>
      </c>
      <c r="E1451" s="14" t="str">
        <f>+IF(B1451="","",'Detalle Compras'!S1451+0)</f>
        <v/>
      </c>
      <c r="F1451" s="14" t="str">
        <f>+IF(B1451="","",EOMONTH('Detalle Compras'!S1451,G1451)+10)</f>
        <v/>
      </c>
      <c r="G1451" s="50">
        <f t="shared" si="80"/>
        <v>0</v>
      </c>
      <c r="H1451" s="50">
        <f t="shared" si="81"/>
        <v>0</v>
      </c>
    </row>
    <row r="1452" spans="1:8" x14ac:dyDescent="0.2">
      <c r="A1452" s="37">
        <v>1450</v>
      </c>
      <c r="C1452" s="17" t="e">
        <f>+'Detalle Compras'!#REF!</f>
        <v>#REF!</v>
      </c>
      <c r="D1452" s="55" t="str">
        <f t="shared" si="79"/>
        <v/>
      </c>
      <c r="E1452" s="14" t="str">
        <f>+IF(B1452="","",'Detalle Compras'!S1452+0)</f>
        <v/>
      </c>
      <c r="F1452" s="14" t="str">
        <f>+IF(B1452="","",EOMONTH('Detalle Compras'!S1452,G1452)+10)</f>
        <v/>
      </c>
      <c r="G1452" s="50">
        <f t="shared" si="80"/>
        <v>0</v>
      </c>
      <c r="H1452" s="50">
        <f t="shared" si="81"/>
        <v>0</v>
      </c>
    </row>
    <row r="1453" spans="1:8" x14ac:dyDescent="0.2">
      <c r="A1453" s="37">
        <v>1451</v>
      </c>
      <c r="C1453" s="17" t="e">
        <f>+'Detalle Compras'!#REF!</f>
        <v>#REF!</v>
      </c>
      <c r="D1453" s="55" t="str">
        <f t="shared" si="79"/>
        <v/>
      </c>
      <c r="E1453" s="14" t="str">
        <f>+IF(B1453="","",'Detalle Compras'!S1453+0)</f>
        <v/>
      </c>
      <c r="F1453" s="14" t="str">
        <f>+IF(B1453="","",EOMONTH('Detalle Compras'!S1453,G1453)+10)</f>
        <v/>
      </c>
      <c r="G1453" s="50">
        <f t="shared" si="80"/>
        <v>0</v>
      </c>
      <c r="H1453" s="50">
        <f t="shared" si="81"/>
        <v>0</v>
      </c>
    </row>
    <row r="1454" spans="1:8" x14ac:dyDescent="0.2">
      <c r="A1454" s="37">
        <v>1452</v>
      </c>
      <c r="C1454" s="17" t="e">
        <f>+'Detalle Compras'!#REF!</f>
        <v>#REF!</v>
      </c>
      <c r="D1454" s="55" t="str">
        <f t="shared" si="79"/>
        <v/>
      </c>
      <c r="E1454" s="14" t="str">
        <f>+IF(B1454="","",'Detalle Compras'!S1454+0)</f>
        <v/>
      </c>
      <c r="F1454" s="14" t="str">
        <f>+IF(B1454="","",EOMONTH('Detalle Compras'!S1454,G1454)+10)</f>
        <v/>
      </c>
      <c r="G1454" s="50">
        <f t="shared" si="80"/>
        <v>0</v>
      </c>
      <c r="H1454" s="50">
        <f t="shared" si="81"/>
        <v>0</v>
      </c>
    </row>
    <row r="1455" spans="1:8" x14ac:dyDescent="0.2">
      <c r="A1455" s="37">
        <v>1453</v>
      </c>
      <c r="C1455" s="17" t="e">
        <f>+'Detalle Compras'!#REF!</f>
        <v>#REF!</v>
      </c>
      <c r="D1455" s="55" t="str">
        <f t="shared" si="79"/>
        <v/>
      </c>
      <c r="E1455" s="14" t="str">
        <f>+IF(B1455="","",'Detalle Compras'!S1455+0)</f>
        <v/>
      </c>
      <c r="F1455" s="14" t="str">
        <f>+IF(B1455="","",EOMONTH('Detalle Compras'!S1455,G1455)+10)</f>
        <v/>
      </c>
      <c r="G1455" s="50">
        <f t="shared" si="80"/>
        <v>0</v>
      </c>
      <c r="H1455" s="50">
        <f t="shared" si="81"/>
        <v>0</v>
      </c>
    </row>
    <row r="1456" spans="1:8" x14ac:dyDescent="0.2">
      <c r="A1456" s="37">
        <v>1454</v>
      </c>
      <c r="C1456" s="17" t="e">
        <f>+'Detalle Compras'!#REF!</f>
        <v>#REF!</v>
      </c>
      <c r="D1456" s="55" t="str">
        <f t="shared" si="79"/>
        <v/>
      </c>
      <c r="E1456" s="14" t="str">
        <f>+IF(B1456="","",'Detalle Compras'!S1456+0)</f>
        <v/>
      </c>
      <c r="F1456" s="14" t="str">
        <f>+IF(B1456="","",EOMONTH('Detalle Compras'!S1456,G1456)+10)</f>
        <v/>
      </c>
      <c r="G1456" s="50">
        <f t="shared" si="80"/>
        <v>0</v>
      </c>
      <c r="H1456" s="50">
        <f t="shared" si="81"/>
        <v>0</v>
      </c>
    </row>
    <row r="1457" spans="1:8" x14ac:dyDescent="0.2">
      <c r="A1457" s="37">
        <v>1455</v>
      </c>
      <c r="C1457" s="17" t="e">
        <f>+'Detalle Compras'!#REF!</f>
        <v>#REF!</v>
      </c>
      <c r="D1457" s="55" t="str">
        <f t="shared" si="79"/>
        <v/>
      </c>
      <c r="E1457" s="14" t="str">
        <f>+IF(B1457="","",'Detalle Compras'!S1457+0)</f>
        <v/>
      </c>
      <c r="F1457" s="14" t="str">
        <f>+IF(B1457="","",EOMONTH('Detalle Compras'!S1457,G1457)+10)</f>
        <v/>
      </c>
      <c r="G1457" s="50">
        <f t="shared" si="80"/>
        <v>0</v>
      </c>
      <c r="H1457" s="50">
        <f t="shared" si="81"/>
        <v>0</v>
      </c>
    </row>
    <row r="1458" spans="1:8" x14ac:dyDescent="0.2">
      <c r="A1458" s="37">
        <v>1456</v>
      </c>
      <c r="C1458" s="17" t="e">
        <f>+'Detalle Compras'!#REF!</f>
        <v>#REF!</v>
      </c>
      <c r="D1458" s="55" t="str">
        <f t="shared" si="79"/>
        <v/>
      </c>
      <c r="E1458" s="14" t="str">
        <f>+IF(B1458="","",'Detalle Compras'!S1458+0)</f>
        <v/>
      </c>
      <c r="F1458" s="14" t="str">
        <f>+IF(B1458="","",EOMONTH('Detalle Compras'!S1458,G1458)+10)</f>
        <v/>
      </c>
      <c r="G1458" s="50">
        <f t="shared" si="80"/>
        <v>0</v>
      </c>
      <c r="H1458" s="50">
        <f t="shared" si="81"/>
        <v>0</v>
      </c>
    </row>
    <row r="1459" spans="1:8" x14ac:dyDescent="0.2">
      <c r="A1459" s="37">
        <v>1457</v>
      </c>
      <c r="C1459" s="17" t="e">
        <f>+'Detalle Compras'!#REF!</f>
        <v>#REF!</v>
      </c>
      <c r="D1459" s="55" t="str">
        <f t="shared" si="79"/>
        <v/>
      </c>
      <c r="E1459" s="14" t="str">
        <f>+IF(B1459="","",'Detalle Compras'!S1459+0)</f>
        <v/>
      </c>
      <c r="F1459" s="14" t="str">
        <f>+IF(B1459="","",EOMONTH('Detalle Compras'!S1459,G1459)+10)</f>
        <v/>
      </c>
      <c r="G1459" s="50">
        <f t="shared" si="80"/>
        <v>0</v>
      </c>
      <c r="H1459" s="50">
        <f t="shared" si="81"/>
        <v>0</v>
      </c>
    </row>
    <row r="1460" spans="1:8" x14ac:dyDescent="0.2">
      <c r="A1460" s="37">
        <v>1458</v>
      </c>
      <c r="C1460" s="17" t="e">
        <f>+'Detalle Compras'!#REF!</f>
        <v>#REF!</v>
      </c>
      <c r="D1460" s="55" t="str">
        <f t="shared" si="79"/>
        <v/>
      </c>
      <c r="E1460" s="14" t="str">
        <f>+IF(B1460="","",'Detalle Compras'!S1460+0)</f>
        <v/>
      </c>
      <c r="F1460" s="14" t="str">
        <f>+IF(B1460="","",EOMONTH('Detalle Compras'!S1460,G1460)+10)</f>
        <v/>
      </c>
      <c r="G1460" s="50">
        <f t="shared" si="80"/>
        <v>0</v>
      </c>
      <c r="H1460" s="50">
        <f t="shared" si="81"/>
        <v>0</v>
      </c>
    </row>
    <row r="1461" spans="1:8" x14ac:dyDescent="0.2">
      <c r="A1461" s="37">
        <v>1459</v>
      </c>
      <c r="C1461" s="17" t="e">
        <f>+'Detalle Compras'!#REF!</f>
        <v>#REF!</v>
      </c>
      <c r="D1461" s="55" t="str">
        <f t="shared" si="79"/>
        <v/>
      </c>
      <c r="E1461" s="14" t="str">
        <f>+IF(B1461="","",'Detalle Compras'!S1461+0)</f>
        <v/>
      </c>
      <c r="F1461" s="14" t="str">
        <f>+IF(B1461="","",EOMONTH('Detalle Compras'!S1461,G1461)+10)</f>
        <v/>
      </c>
      <c r="G1461" s="50">
        <f t="shared" si="80"/>
        <v>0</v>
      </c>
      <c r="H1461" s="50">
        <f t="shared" si="81"/>
        <v>0</v>
      </c>
    </row>
    <row r="1462" spans="1:8" x14ac:dyDescent="0.2">
      <c r="A1462" s="37">
        <v>1460</v>
      </c>
      <c r="C1462" s="17" t="e">
        <f>+'Detalle Compras'!#REF!</f>
        <v>#REF!</v>
      </c>
      <c r="D1462" s="55" t="str">
        <f t="shared" si="79"/>
        <v/>
      </c>
      <c r="E1462" s="14" t="str">
        <f>+IF(B1462="","",'Detalle Compras'!S1462+0)</f>
        <v/>
      </c>
      <c r="F1462" s="14" t="str">
        <f>+IF(B1462="","",EOMONTH('Detalle Compras'!S1462,G1462)+10)</f>
        <v/>
      </c>
      <c r="G1462" s="50">
        <f t="shared" si="80"/>
        <v>0</v>
      </c>
      <c r="H1462" s="50">
        <f t="shared" si="81"/>
        <v>0</v>
      </c>
    </row>
    <row r="1463" spans="1:8" x14ac:dyDescent="0.2">
      <c r="A1463" s="37">
        <v>1461</v>
      </c>
      <c r="C1463" s="17" t="e">
        <f>+'Detalle Compras'!#REF!</f>
        <v>#REF!</v>
      </c>
      <c r="D1463" s="55" t="str">
        <f t="shared" si="79"/>
        <v/>
      </c>
      <c r="E1463" s="14" t="str">
        <f>+IF(B1463="","",'Detalle Compras'!S1463+0)</f>
        <v/>
      </c>
      <c r="F1463" s="14" t="str">
        <f>+IF(B1463="","",EOMONTH('Detalle Compras'!S1463,G1463)+10)</f>
        <v/>
      </c>
      <c r="G1463" s="50">
        <f t="shared" si="80"/>
        <v>0</v>
      </c>
      <c r="H1463" s="50">
        <f t="shared" si="81"/>
        <v>0</v>
      </c>
    </row>
    <row r="1464" spans="1:8" x14ac:dyDescent="0.2">
      <c r="A1464" s="37">
        <v>1462</v>
      </c>
      <c r="C1464" s="17" t="e">
        <f>+'Detalle Compras'!#REF!</f>
        <v>#REF!</v>
      </c>
      <c r="D1464" s="55" t="str">
        <f t="shared" si="79"/>
        <v/>
      </c>
      <c r="E1464" s="14" t="str">
        <f>+IF(B1464="","",'Detalle Compras'!S1464+0)</f>
        <v/>
      </c>
      <c r="F1464" s="14" t="str">
        <f>+IF(B1464="","",EOMONTH('Detalle Compras'!S1464,G1464)+10)</f>
        <v/>
      </c>
      <c r="G1464" s="50">
        <f t="shared" si="80"/>
        <v>0</v>
      </c>
      <c r="H1464" s="50">
        <f t="shared" si="81"/>
        <v>0</v>
      </c>
    </row>
    <row r="1465" spans="1:8" x14ac:dyDescent="0.2">
      <c r="A1465" s="37">
        <v>1463</v>
      </c>
      <c r="C1465" s="17" t="e">
        <f>+'Detalle Compras'!#REF!</f>
        <v>#REF!</v>
      </c>
      <c r="D1465" s="55" t="str">
        <f t="shared" si="79"/>
        <v/>
      </c>
      <c r="E1465" s="14" t="str">
        <f>+IF(B1465="","",'Detalle Compras'!S1465+0)</f>
        <v/>
      </c>
      <c r="F1465" s="14" t="str">
        <f>+IF(B1465="","",EOMONTH('Detalle Compras'!S1465,G1465)+10)</f>
        <v/>
      </c>
      <c r="G1465" s="50">
        <f t="shared" si="80"/>
        <v>0</v>
      </c>
      <c r="H1465" s="50">
        <f t="shared" si="81"/>
        <v>0</v>
      </c>
    </row>
    <row r="1466" spans="1:8" x14ac:dyDescent="0.2">
      <c r="A1466" s="37">
        <v>1464</v>
      </c>
      <c r="C1466" s="17" t="e">
        <f>+'Detalle Compras'!#REF!</f>
        <v>#REF!</v>
      </c>
      <c r="D1466" s="55" t="str">
        <f t="shared" si="79"/>
        <v/>
      </c>
      <c r="E1466" s="14" t="str">
        <f>+IF(B1466="","",'Detalle Compras'!S1466+0)</f>
        <v/>
      </c>
      <c r="F1466" s="14" t="str">
        <f>+IF(B1466="","",EOMONTH('Detalle Compras'!S1466,G1466)+10)</f>
        <v/>
      </c>
      <c r="G1466" s="50">
        <f t="shared" si="80"/>
        <v>0</v>
      </c>
      <c r="H1466" s="50">
        <f t="shared" si="81"/>
        <v>0</v>
      </c>
    </row>
    <row r="1467" spans="1:8" x14ac:dyDescent="0.2">
      <c r="A1467" s="37">
        <v>1465</v>
      </c>
      <c r="C1467" s="17" t="e">
        <f>+'Detalle Compras'!#REF!</f>
        <v>#REF!</v>
      </c>
      <c r="D1467" s="55" t="str">
        <f t="shared" si="79"/>
        <v/>
      </c>
      <c r="E1467" s="14" t="str">
        <f>+IF(B1467="","",'Detalle Compras'!S1467+0)</f>
        <v/>
      </c>
      <c r="F1467" s="14" t="str">
        <f>+IF(B1467="","",EOMONTH('Detalle Compras'!S1467,G1467)+10)</f>
        <v/>
      </c>
      <c r="G1467" s="50">
        <f t="shared" si="80"/>
        <v>0</v>
      </c>
      <c r="H1467" s="50">
        <f t="shared" si="81"/>
        <v>0</v>
      </c>
    </row>
    <row r="1468" spans="1:8" x14ac:dyDescent="0.2">
      <c r="A1468" s="37">
        <v>1466</v>
      </c>
      <c r="C1468" s="17" t="e">
        <f>+'Detalle Compras'!#REF!</f>
        <v>#REF!</v>
      </c>
      <c r="D1468" s="55" t="str">
        <f t="shared" si="79"/>
        <v/>
      </c>
      <c r="E1468" s="14" t="str">
        <f>+IF(B1468="","",'Detalle Compras'!S1468+0)</f>
        <v/>
      </c>
      <c r="F1468" s="14" t="str">
        <f>+IF(B1468="","",EOMONTH('Detalle Compras'!S1468,G1468)+10)</f>
        <v/>
      </c>
      <c r="G1468" s="50">
        <f t="shared" si="80"/>
        <v>0</v>
      </c>
      <c r="H1468" s="50">
        <f t="shared" si="81"/>
        <v>0</v>
      </c>
    </row>
    <row r="1469" spans="1:8" x14ac:dyDescent="0.2">
      <c r="A1469" s="37">
        <v>1467</v>
      </c>
      <c r="C1469" s="17" t="e">
        <f>+'Detalle Compras'!#REF!</f>
        <v>#REF!</v>
      </c>
      <c r="D1469" s="55" t="str">
        <f t="shared" si="79"/>
        <v/>
      </c>
      <c r="E1469" s="14" t="str">
        <f>+IF(B1469="","",'Detalle Compras'!S1469+0)</f>
        <v/>
      </c>
      <c r="F1469" s="14" t="str">
        <f>+IF(B1469="","",EOMONTH('Detalle Compras'!S1469,G1469)+10)</f>
        <v/>
      </c>
      <c r="G1469" s="50">
        <f t="shared" si="80"/>
        <v>0</v>
      </c>
      <c r="H1469" s="50">
        <f t="shared" si="81"/>
        <v>0</v>
      </c>
    </row>
    <row r="1470" spans="1:8" x14ac:dyDescent="0.2">
      <c r="A1470" s="37">
        <v>1468</v>
      </c>
      <c r="C1470" s="17" t="e">
        <f>+'Detalle Compras'!#REF!</f>
        <v>#REF!</v>
      </c>
      <c r="D1470" s="55" t="str">
        <f t="shared" si="79"/>
        <v/>
      </c>
      <c r="E1470" s="14" t="str">
        <f>+IF(B1470="","",'Detalle Compras'!S1470+0)</f>
        <v/>
      </c>
      <c r="F1470" s="14" t="str">
        <f>+IF(B1470="","",EOMONTH('Detalle Compras'!S1470,G1470)+10)</f>
        <v/>
      </c>
      <c r="G1470" s="50">
        <f t="shared" si="80"/>
        <v>0</v>
      </c>
      <c r="H1470" s="50">
        <f t="shared" si="81"/>
        <v>0</v>
      </c>
    </row>
    <row r="1471" spans="1:8" x14ac:dyDescent="0.2">
      <c r="A1471" s="37">
        <v>1469</v>
      </c>
      <c r="C1471" s="17" t="e">
        <f>+'Detalle Compras'!#REF!</f>
        <v>#REF!</v>
      </c>
      <c r="D1471" s="55" t="str">
        <f t="shared" si="79"/>
        <v/>
      </c>
      <c r="E1471" s="14" t="str">
        <f>+IF(B1471="","",'Detalle Compras'!S1471+0)</f>
        <v/>
      </c>
      <c r="F1471" s="14" t="str">
        <f>+IF(B1471="","",EOMONTH('Detalle Compras'!S1471,G1471)+10)</f>
        <v/>
      </c>
      <c r="G1471" s="50">
        <f t="shared" si="80"/>
        <v>0</v>
      </c>
      <c r="H1471" s="50">
        <f t="shared" si="81"/>
        <v>0</v>
      </c>
    </row>
    <row r="1472" spans="1:8" x14ac:dyDescent="0.2">
      <c r="A1472" s="37">
        <v>1470</v>
      </c>
      <c r="C1472" s="17" t="e">
        <f>+'Detalle Compras'!#REF!</f>
        <v>#REF!</v>
      </c>
      <c r="D1472" s="55" t="str">
        <f t="shared" si="79"/>
        <v/>
      </c>
      <c r="E1472" s="14" t="str">
        <f>+IF(B1472="","",'Detalle Compras'!S1472+0)</f>
        <v/>
      </c>
      <c r="F1472" s="14" t="str">
        <f>+IF(B1472="","",EOMONTH('Detalle Compras'!S1472,G1472)+10)</f>
        <v/>
      </c>
      <c r="G1472" s="50">
        <f t="shared" si="80"/>
        <v>0</v>
      </c>
      <c r="H1472" s="50">
        <f t="shared" si="81"/>
        <v>0</v>
      </c>
    </row>
    <row r="1473" spans="1:8" x14ac:dyDescent="0.2">
      <c r="A1473" s="37">
        <v>1471</v>
      </c>
      <c r="C1473" s="17" t="e">
        <f>+'Detalle Compras'!#REF!</f>
        <v>#REF!</v>
      </c>
      <c r="D1473" s="55" t="str">
        <f t="shared" si="79"/>
        <v/>
      </c>
      <c r="E1473" s="14" t="str">
        <f>+IF(B1473="","",'Detalle Compras'!S1473+0)</f>
        <v/>
      </c>
      <c r="F1473" s="14" t="str">
        <f>+IF(B1473="","",EOMONTH('Detalle Compras'!S1473,G1473)+10)</f>
        <v/>
      </c>
      <c r="G1473" s="50">
        <f t="shared" si="80"/>
        <v>0</v>
      </c>
      <c r="H1473" s="50">
        <f t="shared" si="81"/>
        <v>0</v>
      </c>
    </row>
    <row r="1474" spans="1:8" x14ac:dyDescent="0.2">
      <c r="A1474" s="37">
        <v>1472</v>
      </c>
      <c r="C1474" s="17" t="e">
        <f>+'Detalle Compras'!#REF!</f>
        <v>#REF!</v>
      </c>
      <c r="D1474" s="55" t="str">
        <f t="shared" si="79"/>
        <v/>
      </c>
      <c r="E1474" s="14" t="str">
        <f>+IF(B1474="","",'Detalle Compras'!S1474+0)</f>
        <v/>
      </c>
      <c r="F1474" s="14" t="str">
        <f>+IF(B1474="","",EOMONTH('Detalle Compras'!S1474,G1474)+10)</f>
        <v/>
      </c>
      <c r="G1474" s="50">
        <f t="shared" si="80"/>
        <v>0</v>
      </c>
      <c r="H1474" s="50">
        <f t="shared" si="81"/>
        <v>0</v>
      </c>
    </row>
    <row r="1475" spans="1:8" x14ac:dyDescent="0.2">
      <c r="A1475" s="37">
        <v>1473</v>
      </c>
      <c r="C1475" s="17" t="e">
        <f>+'Detalle Compras'!#REF!</f>
        <v>#REF!</v>
      </c>
      <c r="D1475" s="55" t="str">
        <f t="shared" si="79"/>
        <v/>
      </c>
      <c r="E1475" s="14" t="str">
        <f>+IF(B1475="","",'Detalle Compras'!S1475+0)</f>
        <v/>
      </c>
      <c r="F1475" s="14" t="str">
        <f>+IF(B1475="","",EOMONTH('Detalle Compras'!S1475,G1475)+10)</f>
        <v/>
      </c>
      <c r="G1475" s="50">
        <f t="shared" si="80"/>
        <v>0</v>
      </c>
      <c r="H1475" s="50">
        <f t="shared" si="81"/>
        <v>0</v>
      </c>
    </row>
    <row r="1476" spans="1:8" x14ac:dyDescent="0.2">
      <c r="A1476" s="37">
        <v>1474</v>
      </c>
      <c r="C1476" s="17" t="e">
        <f>+'Detalle Compras'!#REF!</f>
        <v>#REF!</v>
      </c>
      <c r="D1476" s="55" t="str">
        <f t="shared" ref="D1476:D1539" si="82">+IF(B1476="","",EA1476)</f>
        <v/>
      </c>
      <c r="E1476" s="14" t="str">
        <f>+IF(B1476="","",'Detalle Compras'!S1476+0)</f>
        <v/>
      </c>
      <c r="F1476" s="14" t="str">
        <f>+IF(B1476="","",EOMONTH('Detalle Compras'!S1476,G1476)+10)</f>
        <v/>
      </c>
      <c r="G1476" s="50">
        <f t="shared" ref="G1476:G1539" si="83">+COUNTIF(I1476:ADF1476,"&gt;1")</f>
        <v>0</v>
      </c>
      <c r="H1476" s="50">
        <f t="shared" ref="H1476:H1539" si="84">+COUNT(AF1476:ADF1476)</f>
        <v>0</v>
      </c>
    </row>
    <row r="1477" spans="1:8" x14ac:dyDescent="0.2">
      <c r="A1477" s="37">
        <v>1475</v>
      </c>
      <c r="C1477" s="17" t="e">
        <f>+'Detalle Compras'!#REF!</f>
        <v>#REF!</v>
      </c>
      <c r="D1477" s="55" t="str">
        <f t="shared" si="82"/>
        <v/>
      </c>
      <c r="E1477" s="14" t="str">
        <f>+IF(B1477="","",'Detalle Compras'!S1477+0)</f>
        <v/>
      </c>
      <c r="F1477" s="14" t="str">
        <f>+IF(B1477="","",EOMONTH('Detalle Compras'!S1477,G1477)+10)</f>
        <v/>
      </c>
      <c r="G1477" s="50">
        <f t="shared" si="83"/>
        <v>0</v>
      </c>
      <c r="H1477" s="50">
        <f t="shared" si="84"/>
        <v>0</v>
      </c>
    </row>
    <row r="1478" spans="1:8" x14ac:dyDescent="0.2">
      <c r="A1478" s="37">
        <v>1476</v>
      </c>
      <c r="C1478" s="17" t="e">
        <f>+'Detalle Compras'!#REF!</f>
        <v>#REF!</v>
      </c>
      <c r="D1478" s="55" t="str">
        <f t="shared" si="82"/>
        <v/>
      </c>
      <c r="E1478" s="14" t="str">
        <f>+IF(B1478="","",'Detalle Compras'!S1478+0)</f>
        <v/>
      </c>
      <c r="F1478" s="14" t="str">
        <f>+IF(B1478="","",EOMONTH('Detalle Compras'!S1478,G1478)+10)</f>
        <v/>
      </c>
      <c r="G1478" s="50">
        <f t="shared" si="83"/>
        <v>0</v>
      </c>
      <c r="H1478" s="50">
        <f t="shared" si="84"/>
        <v>0</v>
      </c>
    </row>
    <row r="1479" spans="1:8" x14ac:dyDescent="0.2">
      <c r="A1479" s="37">
        <v>1477</v>
      </c>
      <c r="C1479" s="17" t="e">
        <f>+'Detalle Compras'!#REF!</f>
        <v>#REF!</v>
      </c>
      <c r="D1479" s="55" t="str">
        <f t="shared" si="82"/>
        <v/>
      </c>
      <c r="E1479" s="14" t="str">
        <f>+IF(B1479="","",'Detalle Compras'!S1479+0)</f>
        <v/>
      </c>
      <c r="F1479" s="14" t="str">
        <f>+IF(B1479="","",EOMONTH('Detalle Compras'!S1479,G1479)+10)</f>
        <v/>
      </c>
      <c r="G1479" s="50">
        <f t="shared" si="83"/>
        <v>0</v>
      </c>
      <c r="H1479" s="50">
        <f t="shared" si="84"/>
        <v>0</v>
      </c>
    </row>
    <row r="1480" spans="1:8" x14ac:dyDescent="0.2">
      <c r="A1480" s="37">
        <v>1478</v>
      </c>
      <c r="C1480" s="17" t="e">
        <f>+'Detalle Compras'!#REF!</f>
        <v>#REF!</v>
      </c>
      <c r="D1480" s="55" t="str">
        <f t="shared" si="82"/>
        <v/>
      </c>
      <c r="E1480" s="14" t="str">
        <f>+IF(B1480="","",'Detalle Compras'!S1480+0)</f>
        <v/>
      </c>
      <c r="F1480" s="14" t="str">
        <f>+IF(B1480="","",EOMONTH('Detalle Compras'!S1480,G1480)+10)</f>
        <v/>
      </c>
      <c r="G1480" s="50">
        <f t="shared" si="83"/>
        <v>0</v>
      </c>
      <c r="H1480" s="50">
        <f t="shared" si="84"/>
        <v>0</v>
      </c>
    </row>
    <row r="1481" spans="1:8" x14ac:dyDescent="0.2">
      <c r="A1481" s="37">
        <v>1479</v>
      </c>
      <c r="C1481" s="17" t="e">
        <f>+'Detalle Compras'!#REF!</f>
        <v>#REF!</v>
      </c>
      <c r="D1481" s="55" t="str">
        <f t="shared" si="82"/>
        <v/>
      </c>
      <c r="E1481" s="14" t="str">
        <f>+IF(B1481="","",'Detalle Compras'!S1481+0)</f>
        <v/>
      </c>
      <c r="F1481" s="14" t="str">
        <f>+IF(B1481="","",EOMONTH('Detalle Compras'!S1481,G1481)+10)</f>
        <v/>
      </c>
      <c r="G1481" s="50">
        <f t="shared" si="83"/>
        <v>0</v>
      </c>
      <c r="H1481" s="50">
        <f t="shared" si="84"/>
        <v>0</v>
      </c>
    </row>
    <row r="1482" spans="1:8" x14ac:dyDescent="0.2">
      <c r="A1482" s="37">
        <v>1480</v>
      </c>
      <c r="C1482" s="17" t="e">
        <f>+'Detalle Compras'!#REF!</f>
        <v>#REF!</v>
      </c>
      <c r="D1482" s="55" t="str">
        <f t="shared" si="82"/>
        <v/>
      </c>
      <c r="E1482" s="14" t="str">
        <f>+IF(B1482="","",'Detalle Compras'!S1482+0)</f>
        <v/>
      </c>
      <c r="F1482" s="14" t="str">
        <f>+IF(B1482="","",EOMONTH('Detalle Compras'!S1482,G1482)+10)</f>
        <v/>
      </c>
      <c r="G1482" s="50">
        <f t="shared" si="83"/>
        <v>0</v>
      </c>
      <c r="H1482" s="50">
        <f t="shared" si="84"/>
        <v>0</v>
      </c>
    </row>
    <row r="1483" spans="1:8" x14ac:dyDescent="0.2">
      <c r="A1483" s="37">
        <v>1481</v>
      </c>
      <c r="C1483" s="17" t="e">
        <f>+'Detalle Compras'!#REF!</f>
        <v>#REF!</v>
      </c>
      <c r="D1483" s="55" t="str">
        <f t="shared" si="82"/>
        <v/>
      </c>
      <c r="E1483" s="14" t="str">
        <f>+IF(B1483="","",'Detalle Compras'!S1483+0)</f>
        <v/>
      </c>
      <c r="F1483" s="14" t="str">
        <f>+IF(B1483="","",EOMONTH('Detalle Compras'!S1483,G1483)+10)</f>
        <v/>
      </c>
      <c r="G1483" s="50">
        <f t="shared" si="83"/>
        <v>0</v>
      </c>
      <c r="H1483" s="50">
        <f t="shared" si="84"/>
        <v>0</v>
      </c>
    </row>
    <row r="1484" spans="1:8" x14ac:dyDescent="0.2">
      <c r="A1484" s="37">
        <v>1482</v>
      </c>
      <c r="C1484" s="17" t="e">
        <f>+'Detalle Compras'!#REF!</f>
        <v>#REF!</v>
      </c>
      <c r="D1484" s="55" t="str">
        <f t="shared" si="82"/>
        <v/>
      </c>
      <c r="E1484" s="14" t="str">
        <f>+IF(B1484="","",'Detalle Compras'!S1484+0)</f>
        <v/>
      </c>
      <c r="F1484" s="14" t="str">
        <f>+IF(B1484="","",EOMONTH('Detalle Compras'!S1484,G1484)+10)</f>
        <v/>
      </c>
      <c r="G1484" s="50">
        <f t="shared" si="83"/>
        <v>0</v>
      </c>
      <c r="H1484" s="50">
        <f t="shared" si="84"/>
        <v>0</v>
      </c>
    </row>
    <row r="1485" spans="1:8" x14ac:dyDescent="0.2">
      <c r="A1485" s="37">
        <v>1483</v>
      </c>
      <c r="C1485" s="17" t="e">
        <f>+'Detalle Compras'!#REF!</f>
        <v>#REF!</v>
      </c>
      <c r="D1485" s="55" t="str">
        <f t="shared" si="82"/>
        <v/>
      </c>
      <c r="E1485" s="14" t="str">
        <f>+IF(B1485="","",'Detalle Compras'!S1485+0)</f>
        <v/>
      </c>
      <c r="F1485" s="14" t="str">
        <f>+IF(B1485="","",EOMONTH('Detalle Compras'!S1485,G1485)+10)</f>
        <v/>
      </c>
      <c r="G1485" s="50">
        <f t="shared" si="83"/>
        <v>0</v>
      </c>
      <c r="H1485" s="50">
        <f t="shared" si="84"/>
        <v>0</v>
      </c>
    </row>
    <row r="1486" spans="1:8" x14ac:dyDescent="0.2">
      <c r="A1486" s="37">
        <v>1484</v>
      </c>
      <c r="C1486" s="17" t="e">
        <f>+'Detalle Compras'!#REF!</f>
        <v>#REF!</v>
      </c>
      <c r="D1486" s="55" t="str">
        <f t="shared" si="82"/>
        <v/>
      </c>
      <c r="E1486" s="14" t="str">
        <f>+IF(B1486="","",'Detalle Compras'!S1486+0)</f>
        <v/>
      </c>
      <c r="F1486" s="14" t="str">
        <f>+IF(B1486="","",EOMONTH('Detalle Compras'!S1486,G1486)+10)</f>
        <v/>
      </c>
      <c r="G1486" s="50">
        <f t="shared" si="83"/>
        <v>0</v>
      </c>
      <c r="H1486" s="50">
        <f t="shared" si="84"/>
        <v>0</v>
      </c>
    </row>
    <row r="1487" spans="1:8" x14ac:dyDescent="0.2">
      <c r="A1487" s="37">
        <v>1485</v>
      </c>
      <c r="C1487" s="17" t="e">
        <f>+'Detalle Compras'!#REF!</f>
        <v>#REF!</v>
      </c>
      <c r="D1487" s="55" t="str">
        <f t="shared" si="82"/>
        <v/>
      </c>
      <c r="E1487" s="14" t="str">
        <f>+IF(B1487="","",'Detalle Compras'!S1487+0)</f>
        <v/>
      </c>
      <c r="F1487" s="14" t="str">
        <f>+IF(B1487="","",EOMONTH('Detalle Compras'!S1487,G1487)+10)</f>
        <v/>
      </c>
      <c r="G1487" s="50">
        <f t="shared" si="83"/>
        <v>0</v>
      </c>
      <c r="H1487" s="50">
        <f t="shared" si="84"/>
        <v>0</v>
      </c>
    </row>
    <row r="1488" spans="1:8" x14ac:dyDescent="0.2">
      <c r="A1488" s="37">
        <v>1486</v>
      </c>
      <c r="C1488" s="17" t="e">
        <f>+'Detalle Compras'!#REF!</f>
        <v>#REF!</v>
      </c>
      <c r="D1488" s="55" t="str">
        <f t="shared" si="82"/>
        <v/>
      </c>
      <c r="E1488" s="14" t="str">
        <f>+IF(B1488="","",'Detalle Compras'!S1488+0)</f>
        <v/>
      </c>
      <c r="F1488" s="14" t="str">
        <f>+IF(B1488="","",EOMONTH('Detalle Compras'!S1488,G1488)+10)</f>
        <v/>
      </c>
      <c r="G1488" s="50">
        <f t="shared" si="83"/>
        <v>0</v>
      </c>
      <c r="H1488" s="50">
        <f t="shared" si="84"/>
        <v>0</v>
      </c>
    </row>
    <row r="1489" spans="1:8" x14ac:dyDescent="0.2">
      <c r="A1489" s="37">
        <v>1487</v>
      </c>
      <c r="C1489" s="17" t="e">
        <f>+'Detalle Compras'!#REF!</f>
        <v>#REF!</v>
      </c>
      <c r="D1489" s="55" t="str">
        <f t="shared" si="82"/>
        <v/>
      </c>
      <c r="E1489" s="14" t="str">
        <f>+IF(B1489="","",'Detalle Compras'!S1489+0)</f>
        <v/>
      </c>
      <c r="F1489" s="14" t="str">
        <f>+IF(B1489="","",EOMONTH('Detalle Compras'!S1489,G1489)+10)</f>
        <v/>
      </c>
      <c r="G1489" s="50">
        <f t="shared" si="83"/>
        <v>0</v>
      </c>
      <c r="H1489" s="50">
        <f t="shared" si="84"/>
        <v>0</v>
      </c>
    </row>
    <row r="1490" spans="1:8" x14ac:dyDescent="0.2">
      <c r="A1490" s="37">
        <v>1488</v>
      </c>
      <c r="C1490" s="17" t="e">
        <f>+'Detalle Compras'!#REF!</f>
        <v>#REF!</v>
      </c>
      <c r="D1490" s="55" t="str">
        <f t="shared" si="82"/>
        <v/>
      </c>
      <c r="E1490" s="14" t="str">
        <f>+IF(B1490="","",'Detalle Compras'!S1490+0)</f>
        <v/>
      </c>
      <c r="F1490" s="14" t="str">
        <f>+IF(B1490="","",EOMONTH('Detalle Compras'!S1490,G1490)+10)</f>
        <v/>
      </c>
      <c r="G1490" s="50">
        <f t="shared" si="83"/>
        <v>0</v>
      </c>
      <c r="H1490" s="50">
        <f t="shared" si="84"/>
        <v>0</v>
      </c>
    </row>
    <row r="1491" spans="1:8" x14ac:dyDescent="0.2">
      <c r="A1491" s="37">
        <v>1489</v>
      </c>
      <c r="C1491" s="17" t="e">
        <f>+'Detalle Compras'!#REF!</f>
        <v>#REF!</v>
      </c>
      <c r="D1491" s="55" t="str">
        <f t="shared" si="82"/>
        <v/>
      </c>
      <c r="E1491" s="14" t="str">
        <f>+IF(B1491="","",'Detalle Compras'!S1491+0)</f>
        <v/>
      </c>
      <c r="F1491" s="14" t="str">
        <f>+IF(B1491="","",EOMONTH('Detalle Compras'!S1491,G1491)+10)</f>
        <v/>
      </c>
      <c r="G1491" s="50">
        <f t="shared" si="83"/>
        <v>0</v>
      </c>
      <c r="H1491" s="50">
        <f t="shared" si="84"/>
        <v>0</v>
      </c>
    </row>
    <row r="1492" spans="1:8" x14ac:dyDescent="0.2">
      <c r="A1492" s="37">
        <v>1490</v>
      </c>
      <c r="C1492" s="17" t="e">
        <f>+'Detalle Compras'!#REF!</f>
        <v>#REF!</v>
      </c>
      <c r="D1492" s="55" t="str">
        <f t="shared" si="82"/>
        <v/>
      </c>
      <c r="E1492" s="14" t="str">
        <f>+IF(B1492="","",'Detalle Compras'!S1492+0)</f>
        <v/>
      </c>
      <c r="F1492" s="14" t="str">
        <f>+IF(B1492="","",EOMONTH('Detalle Compras'!S1492,G1492)+10)</f>
        <v/>
      </c>
      <c r="G1492" s="50">
        <f t="shared" si="83"/>
        <v>0</v>
      </c>
      <c r="H1492" s="50">
        <f t="shared" si="84"/>
        <v>0</v>
      </c>
    </row>
    <row r="1493" spans="1:8" x14ac:dyDescent="0.2">
      <c r="A1493" s="37">
        <v>1491</v>
      </c>
      <c r="C1493" s="17" t="e">
        <f>+'Detalle Compras'!#REF!</f>
        <v>#REF!</v>
      </c>
      <c r="D1493" s="55" t="str">
        <f t="shared" si="82"/>
        <v/>
      </c>
      <c r="E1493" s="14" t="str">
        <f>+IF(B1493="","",'Detalle Compras'!S1493+0)</f>
        <v/>
      </c>
      <c r="F1493" s="14" t="str">
        <f>+IF(B1493="","",EOMONTH('Detalle Compras'!S1493,G1493)+10)</f>
        <v/>
      </c>
      <c r="G1493" s="50">
        <f t="shared" si="83"/>
        <v>0</v>
      </c>
      <c r="H1493" s="50">
        <f t="shared" si="84"/>
        <v>0</v>
      </c>
    </row>
    <row r="1494" spans="1:8" x14ac:dyDescent="0.2">
      <c r="A1494" s="37">
        <v>1492</v>
      </c>
      <c r="C1494" s="17" t="e">
        <f>+'Detalle Compras'!#REF!</f>
        <v>#REF!</v>
      </c>
      <c r="D1494" s="55" t="str">
        <f t="shared" si="82"/>
        <v/>
      </c>
      <c r="E1494" s="14" t="str">
        <f>+IF(B1494="","",'Detalle Compras'!S1494+0)</f>
        <v/>
      </c>
      <c r="F1494" s="14" t="str">
        <f>+IF(B1494="","",EOMONTH('Detalle Compras'!S1494,G1494)+10)</f>
        <v/>
      </c>
      <c r="G1494" s="50">
        <f t="shared" si="83"/>
        <v>0</v>
      </c>
      <c r="H1494" s="50">
        <f t="shared" si="84"/>
        <v>0</v>
      </c>
    </row>
    <row r="1495" spans="1:8" x14ac:dyDescent="0.2">
      <c r="A1495" s="37">
        <v>1493</v>
      </c>
      <c r="C1495" s="17" t="e">
        <f>+'Detalle Compras'!#REF!</f>
        <v>#REF!</v>
      </c>
      <c r="D1495" s="55" t="str">
        <f t="shared" si="82"/>
        <v/>
      </c>
      <c r="E1495" s="14" t="str">
        <f>+IF(B1495="","",'Detalle Compras'!S1495+0)</f>
        <v/>
      </c>
      <c r="F1495" s="14" t="str">
        <f>+IF(B1495="","",EOMONTH('Detalle Compras'!S1495,G1495)+10)</f>
        <v/>
      </c>
      <c r="G1495" s="50">
        <f t="shared" si="83"/>
        <v>0</v>
      </c>
      <c r="H1495" s="50">
        <f t="shared" si="84"/>
        <v>0</v>
      </c>
    </row>
    <row r="1496" spans="1:8" x14ac:dyDescent="0.2">
      <c r="A1496" s="37">
        <v>1494</v>
      </c>
      <c r="C1496" s="17" t="e">
        <f>+'Detalle Compras'!#REF!</f>
        <v>#REF!</v>
      </c>
      <c r="D1496" s="55" t="str">
        <f t="shared" si="82"/>
        <v/>
      </c>
      <c r="E1496" s="14" t="str">
        <f>+IF(B1496="","",'Detalle Compras'!S1496+0)</f>
        <v/>
      </c>
      <c r="F1496" s="14" t="str">
        <f>+IF(B1496="","",EOMONTH('Detalle Compras'!S1496,G1496)+10)</f>
        <v/>
      </c>
      <c r="G1496" s="50">
        <f t="shared" si="83"/>
        <v>0</v>
      </c>
      <c r="H1496" s="50">
        <f t="shared" si="84"/>
        <v>0</v>
      </c>
    </row>
    <row r="1497" spans="1:8" x14ac:dyDescent="0.2">
      <c r="A1497" s="37">
        <v>1495</v>
      </c>
      <c r="C1497" s="17" t="e">
        <f>+'Detalle Compras'!#REF!</f>
        <v>#REF!</v>
      </c>
      <c r="D1497" s="55" t="str">
        <f t="shared" si="82"/>
        <v/>
      </c>
      <c r="E1497" s="14" t="str">
        <f>+IF(B1497="","",'Detalle Compras'!S1497+0)</f>
        <v/>
      </c>
      <c r="F1497" s="14" t="str">
        <f>+IF(B1497="","",EOMONTH('Detalle Compras'!S1497,G1497)+10)</f>
        <v/>
      </c>
      <c r="G1497" s="50">
        <f t="shared" si="83"/>
        <v>0</v>
      </c>
      <c r="H1497" s="50">
        <f t="shared" si="84"/>
        <v>0</v>
      </c>
    </row>
    <row r="1498" spans="1:8" x14ac:dyDescent="0.2">
      <c r="A1498" s="37">
        <v>1496</v>
      </c>
      <c r="C1498" s="17" t="e">
        <f>+'Detalle Compras'!#REF!</f>
        <v>#REF!</v>
      </c>
      <c r="D1498" s="55" t="str">
        <f t="shared" si="82"/>
        <v/>
      </c>
      <c r="E1498" s="14" t="str">
        <f>+IF(B1498="","",'Detalle Compras'!S1498+0)</f>
        <v/>
      </c>
      <c r="F1498" s="14" t="str">
        <f>+IF(B1498="","",EOMONTH('Detalle Compras'!S1498,G1498)+10)</f>
        <v/>
      </c>
      <c r="G1498" s="50">
        <f t="shared" si="83"/>
        <v>0</v>
      </c>
      <c r="H1498" s="50">
        <f t="shared" si="84"/>
        <v>0</v>
      </c>
    </row>
    <row r="1499" spans="1:8" x14ac:dyDescent="0.2">
      <c r="A1499" s="37">
        <v>1497</v>
      </c>
      <c r="C1499" s="17" t="e">
        <f>+'Detalle Compras'!#REF!</f>
        <v>#REF!</v>
      </c>
      <c r="D1499" s="55" t="str">
        <f t="shared" si="82"/>
        <v/>
      </c>
      <c r="E1499" s="14" t="str">
        <f>+IF(B1499="","",'Detalle Compras'!S1499+0)</f>
        <v/>
      </c>
      <c r="F1499" s="14" t="str">
        <f>+IF(B1499="","",EOMONTH('Detalle Compras'!S1499,G1499)+10)</f>
        <v/>
      </c>
      <c r="G1499" s="50">
        <f t="shared" si="83"/>
        <v>0</v>
      </c>
      <c r="H1499" s="50">
        <f t="shared" si="84"/>
        <v>0</v>
      </c>
    </row>
    <row r="1500" spans="1:8" x14ac:dyDescent="0.2">
      <c r="A1500" s="37">
        <v>1498</v>
      </c>
      <c r="C1500" s="17" t="e">
        <f>+'Detalle Compras'!#REF!</f>
        <v>#REF!</v>
      </c>
      <c r="D1500" s="55" t="str">
        <f t="shared" si="82"/>
        <v/>
      </c>
      <c r="E1500" s="14" t="str">
        <f>+IF(B1500="","",'Detalle Compras'!S1500+0)</f>
        <v/>
      </c>
      <c r="F1500" s="14" t="str">
        <f>+IF(B1500="","",EOMONTH('Detalle Compras'!S1500,G1500)+10)</f>
        <v/>
      </c>
      <c r="G1500" s="50">
        <f t="shared" si="83"/>
        <v>0</v>
      </c>
      <c r="H1500" s="50">
        <f t="shared" si="84"/>
        <v>0</v>
      </c>
    </row>
    <row r="1501" spans="1:8" x14ac:dyDescent="0.2">
      <c r="A1501" s="37">
        <v>1499</v>
      </c>
      <c r="C1501" s="17" t="e">
        <f>+'Detalle Compras'!#REF!</f>
        <v>#REF!</v>
      </c>
      <c r="D1501" s="55" t="str">
        <f t="shared" si="82"/>
        <v/>
      </c>
      <c r="E1501" s="14" t="str">
        <f>+IF(B1501="","",'Detalle Compras'!S1501+0)</f>
        <v/>
      </c>
      <c r="F1501" s="14" t="str">
        <f>+IF(B1501="","",EOMONTH('Detalle Compras'!S1501,G1501)+10)</f>
        <v/>
      </c>
      <c r="G1501" s="50">
        <f t="shared" si="83"/>
        <v>0</v>
      </c>
      <c r="H1501" s="50">
        <f t="shared" si="84"/>
        <v>0</v>
      </c>
    </row>
    <row r="1502" spans="1:8" x14ac:dyDescent="0.2">
      <c r="A1502" s="37">
        <v>1500</v>
      </c>
      <c r="C1502" s="17">
        <f>+'Detalle Compras'!D969</f>
        <v>0</v>
      </c>
      <c r="D1502" s="55" t="str">
        <f t="shared" si="82"/>
        <v/>
      </c>
      <c r="E1502" s="14" t="str">
        <f>+IF(B1502="","",'Detalle Compras'!S1502+0)</f>
        <v/>
      </c>
      <c r="F1502" s="14" t="str">
        <f>+IF(B1502="","",EOMONTH('Detalle Compras'!S1502,G1502)+10)</f>
        <v/>
      </c>
      <c r="G1502" s="50">
        <f t="shared" si="83"/>
        <v>0</v>
      </c>
      <c r="H1502" s="50">
        <f t="shared" si="84"/>
        <v>0</v>
      </c>
    </row>
    <row r="1503" spans="1:8" x14ac:dyDescent="0.2">
      <c r="A1503" s="37">
        <v>1501</v>
      </c>
      <c r="C1503" s="17">
        <f>+'Detalle Compras'!D970</f>
        <v>0</v>
      </c>
      <c r="D1503" s="55" t="str">
        <f t="shared" si="82"/>
        <v/>
      </c>
      <c r="E1503" s="14" t="str">
        <f>+IF(B1503="","",'Detalle Compras'!S1503+0)</f>
        <v/>
      </c>
      <c r="F1503" s="14" t="str">
        <f>+IF(B1503="","",EOMONTH('Detalle Compras'!S1503,G1503)+10)</f>
        <v/>
      </c>
      <c r="G1503" s="50">
        <f t="shared" si="83"/>
        <v>0</v>
      </c>
      <c r="H1503" s="50">
        <f t="shared" si="84"/>
        <v>0</v>
      </c>
    </row>
    <row r="1504" spans="1:8" x14ac:dyDescent="0.2">
      <c r="A1504" s="37">
        <v>1502</v>
      </c>
      <c r="C1504" s="17">
        <f>+'Detalle Compras'!D971</f>
        <v>0</v>
      </c>
      <c r="D1504" s="55" t="str">
        <f t="shared" si="82"/>
        <v/>
      </c>
      <c r="E1504" s="14" t="str">
        <f>+IF(B1504="","",'Detalle Compras'!S1504+0)</f>
        <v/>
      </c>
      <c r="F1504" s="14" t="str">
        <f>+IF(B1504="","",EOMONTH('Detalle Compras'!S1504,G1504)+10)</f>
        <v/>
      </c>
      <c r="G1504" s="50">
        <f t="shared" si="83"/>
        <v>0</v>
      </c>
      <c r="H1504" s="50">
        <f t="shared" si="84"/>
        <v>0</v>
      </c>
    </row>
    <row r="1505" spans="1:8" x14ac:dyDescent="0.2">
      <c r="A1505" s="37">
        <v>1503</v>
      </c>
      <c r="C1505" s="17">
        <f>+'Detalle Compras'!D972</f>
        <v>0</v>
      </c>
      <c r="D1505" s="55" t="str">
        <f t="shared" si="82"/>
        <v/>
      </c>
      <c r="E1505" s="14" t="str">
        <f>+IF(B1505="","",'Detalle Compras'!S1505+0)</f>
        <v/>
      </c>
      <c r="F1505" s="14" t="str">
        <f>+IF(B1505="","",EOMONTH('Detalle Compras'!S1505,G1505)+10)</f>
        <v/>
      </c>
      <c r="G1505" s="50">
        <f t="shared" si="83"/>
        <v>0</v>
      </c>
      <c r="H1505" s="50">
        <f t="shared" si="84"/>
        <v>0</v>
      </c>
    </row>
    <row r="1506" spans="1:8" x14ac:dyDescent="0.2">
      <c r="A1506" s="37">
        <v>1504</v>
      </c>
      <c r="C1506" s="17">
        <f>+'Detalle Compras'!D973</f>
        <v>0</v>
      </c>
      <c r="D1506" s="55" t="str">
        <f t="shared" si="82"/>
        <v/>
      </c>
      <c r="E1506" s="14" t="str">
        <f>+IF(B1506="","",'Detalle Compras'!S1506+0)</f>
        <v/>
      </c>
      <c r="F1506" s="14" t="str">
        <f>+IF(B1506="","",EOMONTH('Detalle Compras'!S1506,G1506)+10)</f>
        <v/>
      </c>
      <c r="G1506" s="50">
        <f t="shared" si="83"/>
        <v>0</v>
      </c>
      <c r="H1506" s="50">
        <f t="shared" si="84"/>
        <v>0</v>
      </c>
    </row>
    <row r="1507" spans="1:8" x14ac:dyDescent="0.2">
      <c r="A1507" s="37">
        <v>1505</v>
      </c>
      <c r="C1507" s="17">
        <f>+'Detalle Compras'!D974</f>
        <v>0</v>
      </c>
      <c r="D1507" s="55" t="str">
        <f t="shared" si="82"/>
        <v/>
      </c>
      <c r="E1507" s="14" t="str">
        <f>+IF(B1507="","",'Detalle Compras'!S1507+0)</f>
        <v/>
      </c>
      <c r="F1507" s="14" t="str">
        <f>+IF(B1507="","",EOMONTH('Detalle Compras'!S1507,G1507)+10)</f>
        <v/>
      </c>
      <c r="G1507" s="50">
        <f t="shared" si="83"/>
        <v>0</v>
      </c>
      <c r="H1507" s="50">
        <f t="shared" si="84"/>
        <v>0</v>
      </c>
    </row>
    <row r="1508" spans="1:8" x14ac:dyDescent="0.2">
      <c r="A1508" s="37">
        <v>1506</v>
      </c>
      <c r="C1508" s="17">
        <f>+'Detalle Compras'!D975</f>
        <v>0</v>
      </c>
      <c r="D1508" s="55" t="str">
        <f t="shared" si="82"/>
        <v/>
      </c>
      <c r="E1508" s="14" t="str">
        <f>+IF(B1508="","",'Detalle Compras'!S1508+0)</f>
        <v/>
      </c>
      <c r="F1508" s="14" t="str">
        <f>+IF(B1508="","",EOMONTH('Detalle Compras'!S1508,G1508)+10)</f>
        <v/>
      </c>
      <c r="G1508" s="50">
        <f t="shared" si="83"/>
        <v>0</v>
      </c>
      <c r="H1508" s="50">
        <f t="shared" si="84"/>
        <v>0</v>
      </c>
    </row>
    <row r="1509" spans="1:8" x14ac:dyDescent="0.2">
      <c r="A1509" s="37">
        <v>1507</v>
      </c>
      <c r="C1509" s="17">
        <f>+'Detalle Compras'!D976</f>
        <v>0</v>
      </c>
      <c r="D1509" s="55" t="str">
        <f t="shared" si="82"/>
        <v/>
      </c>
      <c r="E1509" s="14" t="str">
        <f>+IF(B1509="","",'Detalle Compras'!S1509+0)</f>
        <v/>
      </c>
      <c r="F1509" s="14" t="str">
        <f>+IF(B1509="","",EOMONTH('Detalle Compras'!S1509,G1509)+10)</f>
        <v/>
      </c>
      <c r="G1509" s="50">
        <f t="shared" si="83"/>
        <v>0</v>
      </c>
      <c r="H1509" s="50">
        <f t="shared" si="84"/>
        <v>0</v>
      </c>
    </row>
    <row r="1510" spans="1:8" x14ac:dyDescent="0.2">
      <c r="A1510" s="37">
        <v>1508</v>
      </c>
      <c r="C1510" s="17">
        <f>+'Detalle Compras'!D977</f>
        <v>0</v>
      </c>
      <c r="D1510" s="55" t="str">
        <f t="shared" si="82"/>
        <v/>
      </c>
      <c r="E1510" s="14" t="str">
        <f>+IF(B1510="","",'Detalle Compras'!S1510+0)</f>
        <v/>
      </c>
      <c r="F1510" s="14" t="str">
        <f>+IF(B1510="","",EOMONTH('Detalle Compras'!S1510,G1510)+10)</f>
        <v/>
      </c>
      <c r="G1510" s="50">
        <f t="shared" si="83"/>
        <v>0</v>
      </c>
      <c r="H1510" s="50">
        <f t="shared" si="84"/>
        <v>0</v>
      </c>
    </row>
    <row r="1511" spans="1:8" x14ac:dyDescent="0.2">
      <c r="A1511" s="37">
        <v>1509</v>
      </c>
      <c r="C1511" s="17">
        <f>+'Detalle Compras'!D978</f>
        <v>0</v>
      </c>
      <c r="D1511" s="55" t="str">
        <f t="shared" si="82"/>
        <v/>
      </c>
      <c r="E1511" s="14" t="str">
        <f>+IF(B1511="","",'Detalle Compras'!S1511+0)</f>
        <v/>
      </c>
      <c r="F1511" s="14" t="str">
        <f>+IF(B1511="","",EOMONTH('Detalle Compras'!S1511,G1511)+10)</f>
        <v/>
      </c>
      <c r="G1511" s="50">
        <f t="shared" si="83"/>
        <v>0</v>
      </c>
      <c r="H1511" s="50">
        <f t="shared" si="84"/>
        <v>0</v>
      </c>
    </row>
    <row r="1512" spans="1:8" x14ac:dyDescent="0.2">
      <c r="A1512" s="37">
        <v>1510</v>
      </c>
      <c r="C1512" s="17">
        <f>+'Detalle Compras'!D979</f>
        <v>0</v>
      </c>
      <c r="D1512" s="55" t="str">
        <f t="shared" si="82"/>
        <v/>
      </c>
      <c r="E1512" s="14" t="str">
        <f>+IF(B1512="","",'Detalle Compras'!S1512+0)</f>
        <v/>
      </c>
      <c r="F1512" s="14" t="str">
        <f>+IF(B1512="","",EOMONTH('Detalle Compras'!S1512,G1512)+10)</f>
        <v/>
      </c>
      <c r="G1512" s="50">
        <f t="shared" si="83"/>
        <v>0</v>
      </c>
      <c r="H1512" s="50">
        <f t="shared" si="84"/>
        <v>0</v>
      </c>
    </row>
    <row r="1513" spans="1:8" x14ac:dyDescent="0.2">
      <c r="A1513" s="37">
        <v>1511</v>
      </c>
      <c r="C1513" s="17">
        <f>+'Detalle Compras'!D980</f>
        <v>0</v>
      </c>
      <c r="D1513" s="55" t="str">
        <f t="shared" si="82"/>
        <v/>
      </c>
      <c r="E1513" s="14" t="str">
        <f>+IF(B1513="","",'Detalle Compras'!S1513+0)</f>
        <v/>
      </c>
      <c r="F1513" s="14" t="str">
        <f>+IF(B1513="","",EOMONTH('Detalle Compras'!S1513,G1513)+10)</f>
        <v/>
      </c>
      <c r="G1513" s="50">
        <f t="shared" si="83"/>
        <v>0</v>
      </c>
      <c r="H1513" s="50">
        <f t="shared" si="84"/>
        <v>0</v>
      </c>
    </row>
    <row r="1514" spans="1:8" x14ac:dyDescent="0.2">
      <c r="A1514" s="37">
        <v>1512</v>
      </c>
      <c r="C1514" s="17">
        <f>+'Detalle Compras'!D981</f>
        <v>0</v>
      </c>
      <c r="D1514" s="55" t="str">
        <f t="shared" si="82"/>
        <v/>
      </c>
      <c r="E1514" s="14" t="str">
        <f>+IF(B1514="","",'Detalle Compras'!S1514+0)</f>
        <v/>
      </c>
      <c r="F1514" s="14" t="str">
        <f>+IF(B1514="","",EOMONTH('Detalle Compras'!S1514,G1514)+10)</f>
        <v/>
      </c>
      <c r="G1514" s="50">
        <f t="shared" si="83"/>
        <v>0</v>
      </c>
      <c r="H1514" s="50">
        <f t="shared" si="84"/>
        <v>0</v>
      </c>
    </row>
    <row r="1515" spans="1:8" x14ac:dyDescent="0.2">
      <c r="A1515" s="37">
        <v>1513</v>
      </c>
      <c r="C1515" s="17">
        <f>+'Detalle Compras'!D982</f>
        <v>0</v>
      </c>
      <c r="D1515" s="55" t="str">
        <f t="shared" si="82"/>
        <v/>
      </c>
      <c r="E1515" s="14" t="str">
        <f>+IF(B1515="","",'Detalle Compras'!S1515+0)</f>
        <v/>
      </c>
      <c r="F1515" s="14" t="str">
        <f>+IF(B1515="","",EOMONTH('Detalle Compras'!S1515,G1515)+10)</f>
        <v/>
      </c>
      <c r="G1515" s="50">
        <f t="shared" si="83"/>
        <v>0</v>
      </c>
      <c r="H1515" s="50">
        <f t="shared" si="84"/>
        <v>0</v>
      </c>
    </row>
    <row r="1516" spans="1:8" x14ac:dyDescent="0.2">
      <c r="A1516" s="37">
        <v>1514</v>
      </c>
      <c r="C1516" s="17">
        <f>+'Detalle Compras'!D983</f>
        <v>0</v>
      </c>
      <c r="D1516" s="55" t="str">
        <f t="shared" si="82"/>
        <v/>
      </c>
      <c r="E1516" s="14" t="str">
        <f>+IF(B1516="","",'Detalle Compras'!S1516+0)</f>
        <v/>
      </c>
      <c r="F1516" s="14" t="str">
        <f>+IF(B1516="","",EOMONTH('Detalle Compras'!S1516,G1516)+10)</f>
        <v/>
      </c>
      <c r="G1516" s="50">
        <f t="shared" si="83"/>
        <v>0</v>
      </c>
      <c r="H1516" s="50">
        <f t="shared" si="84"/>
        <v>0</v>
      </c>
    </row>
    <row r="1517" spans="1:8" x14ac:dyDescent="0.2">
      <c r="A1517" s="37">
        <v>1515</v>
      </c>
      <c r="C1517" s="17">
        <f>+'Detalle Compras'!D984</f>
        <v>0</v>
      </c>
      <c r="D1517" s="55" t="str">
        <f t="shared" si="82"/>
        <v/>
      </c>
      <c r="E1517" s="14" t="str">
        <f>+IF(B1517="","",'Detalle Compras'!S1517+0)</f>
        <v/>
      </c>
      <c r="F1517" s="14" t="str">
        <f>+IF(B1517="","",EOMONTH('Detalle Compras'!S1517,G1517)+10)</f>
        <v/>
      </c>
      <c r="G1517" s="50">
        <f t="shared" si="83"/>
        <v>0</v>
      </c>
      <c r="H1517" s="50">
        <f t="shared" si="84"/>
        <v>0</v>
      </c>
    </row>
    <row r="1518" spans="1:8" x14ac:dyDescent="0.2">
      <c r="A1518" s="37">
        <v>1516</v>
      </c>
      <c r="C1518" s="17">
        <f>+'Detalle Compras'!D985</f>
        <v>0</v>
      </c>
      <c r="D1518" s="55" t="str">
        <f t="shared" si="82"/>
        <v/>
      </c>
      <c r="E1518" s="14" t="str">
        <f>+IF(B1518="","",'Detalle Compras'!S1518+0)</f>
        <v/>
      </c>
      <c r="F1518" s="14" t="str">
        <f>+IF(B1518="","",EOMONTH('Detalle Compras'!S1518,G1518)+10)</f>
        <v/>
      </c>
      <c r="G1518" s="50">
        <f t="shared" si="83"/>
        <v>0</v>
      </c>
      <c r="H1518" s="50">
        <f t="shared" si="84"/>
        <v>0</v>
      </c>
    </row>
    <row r="1519" spans="1:8" x14ac:dyDescent="0.2">
      <c r="A1519" s="37">
        <v>1517</v>
      </c>
      <c r="C1519" s="17">
        <f>+'Detalle Compras'!D986</f>
        <v>0</v>
      </c>
      <c r="D1519" s="55" t="str">
        <f t="shared" si="82"/>
        <v/>
      </c>
      <c r="E1519" s="14" t="str">
        <f>+IF(B1519="","",'Detalle Compras'!S1519+0)</f>
        <v/>
      </c>
      <c r="F1519" s="14" t="str">
        <f>+IF(B1519="","",EOMONTH('Detalle Compras'!S1519,G1519)+10)</f>
        <v/>
      </c>
      <c r="G1519" s="50">
        <f t="shared" si="83"/>
        <v>0</v>
      </c>
      <c r="H1519" s="50">
        <f t="shared" si="84"/>
        <v>0</v>
      </c>
    </row>
    <row r="1520" spans="1:8" x14ac:dyDescent="0.2">
      <c r="A1520" s="37">
        <v>1518</v>
      </c>
      <c r="C1520" s="17">
        <f>+'Detalle Compras'!D987</f>
        <v>0</v>
      </c>
      <c r="D1520" s="55" t="str">
        <f t="shared" si="82"/>
        <v/>
      </c>
      <c r="E1520" s="14" t="str">
        <f>+IF(B1520="","",'Detalle Compras'!S1520+0)</f>
        <v/>
      </c>
      <c r="F1520" s="14" t="str">
        <f>+IF(B1520="","",EOMONTH('Detalle Compras'!S1520,G1520)+10)</f>
        <v/>
      </c>
      <c r="G1520" s="50">
        <f t="shared" si="83"/>
        <v>0</v>
      </c>
      <c r="H1520" s="50">
        <f t="shared" si="84"/>
        <v>0</v>
      </c>
    </row>
    <row r="1521" spans="1:8" x14ac:dyDescent="0.2">
      <c r="A1521" s="37">
        <v>1519</v>
      </c>
      <c r="C1521" s="17">
        <f>+'Detalle Compras'!D988</f>
        <v>0</v>
      </c>
      <c r="D1521" s="55" t="str">
        <f t="shared" si="82"/>
        <v/>
      </c>
      <c r="E1521" s="14" t="str">
        <f>+IF(B1521="","",'Detalle Compras'!S1521+0)</f>
        <v/>
      </c>
      <c r="F1521" s="14" t="str">
        <f>+IF(B1521="","",EOMONTH('Detalle Compras'!S1521,G1521)+10)</f>
        <v/>
      </c>
      <c r="G1521" s="50">
        <f t="shared" si="83"/>
        <v>0</v>
      </c>
      <c r="H1521" s="50">
        <f t="shared" si="84"/>
        <v>0</v>
      </c>
    </row>
    <row r="1522" spans="1:8" x14ac:dyDescent="0.2">
      <c r="A1522" s="37">
        <v>1520</v>
      </c>
      <c r="C1522" s="17">
        <f>+'Detalle Compras'!D989</f>
        <v>0</v>
      </c>
      <c r="D1522" s="55" t="str">
        <f t="shared" si="82"/>
        <v/>
      </c>
      <c r="E1522" s="14" t="str">
        <f>+IF(B1522="","",'Detalle Compras'!S1522+0)</f>
        <v/>
      </c>
      <c r="F1522" s="14" t="str">
        <f>+IF(B1522="","",EOMONTH('Detalle Compras'!S1522,G1522)+10)</f>
        <v/>
      </c>
      <c r="G1522" s="50">
        <f t="shared" si="83"/>
        <v>0</v>
      </c>
      <c r="H1522" s="50">
        <f t="shared" si="84"/>
        <v>0</v>
      </c>
    </row>
    <row r="1523" spans="1:8" x14ac:dyDescent="0.2">
      <c r="A1523" s="37">
        <v>1521</v>
      </c>
      <c r="C1523" s="17">
        <f>+'Detalle Compras'!D990</f>
        <v>0</v>
      </c>
      <c r="D1523" s="55" t="str">
        <f t="shared" si="82"/>
        <v/>
      </c>
      <c r="E1523" s="14" t="str">
        <f>+IF(B1523="","",'Detalle Compras'!S1523+0)</f>
        <v/>
      </c>
      <c r="F1523" s="14" t="str">
        <f>+IF(B1523="","",EOMONTH('Detalle Compras'!S1523,G1523)+10)</f>
        <v/>
      </c>
      <c r="G1523" s="50">
        <f t="shared" si="83"/>
        <v>0</v>
      </c>
      <c r="H1523" s="50">
        <f t="shared" si="84"/>
        <v>0</v>
      </c>
    </row>
    <row r="1524" spans="1:8" x14ac:dyDescent="0.2">
      <c r="A1524" s="37">
        <v>1522</v>
      </c>
      <c r="C1524" s="17">
        <f>+'Detalle Compras'!D991</f>
        <v>0</v>
      </c>
      <c r="D1524" s="55" t="str">
        <f t="shared" si="82"/>
        <v/>
      </c>
      <c r="E1524" s="14" t="str">
        <f>+IF(B1524="","",'Detalle Compras'!S1524+0)</f>
        <v/>
      </c>
      <c r="F1524" s="14" t="str">
        <f>+IF(B1524="","",EOMONTH('Detalle Compras'!S1524,G1524)+10)</f>
        <v/>
      </c>
      <c r="G1524" s="50">
        <f t="shared" si="83"/>
        <v>0</v>
      </c>
      <c r="H1524" s="50">
        <f t="shared" si="84"/>
        <v>0</v>
      </c>
    </row>
    <row r="1525" spans="1:8" x14ac:dyDescent="0.2">
      <c r="A1525" s="37">
        <v>1523</v>
      </c>
      <c r="C1525" s="17">
        <f>+'Detalle Compras'!D992</f>
        <v>0</v>
      </c>
      <c r="D1525" s="55" t="str">
        <f t="shared" si="82"/>
        <v/>
      </c>
      <c r="E1525" s="14" t="str">
        <f>+IF(B1525="","",'Detalle Compras'!S1525+0)</f>
        <v/>
      </c>
      <c r="F1525" s="14" t="str">
        <f>+IF(B1525="","",EOMONTH('Detalle Compras'!S1525,G1525)+10)</f>
        <v/>
      </c>
      <c r="G1525" s="50">
        <f t="shared" si="83"/>
        <v>0</v>
      </c>
      <c r="H1525" s="50">
        <f t="shared" si="84"/>
        <v>0</v>
      </c>
    </row>
    <row r="1526" spans="1:8" x14ac:dyDescent="0.2">
      <c r="A1526" s="37">
        <v>1524</v>
      </c>
      <c r="C1526" s="17">
        <f>+'Detalle Compras'!D993</f>
        <v>0</v>
      </c>
      <c r="D1526" s="55" t="str">
        <f t="shared" si="82"/>
        <v/>
      </c>
      <c r="E1526" s="14" t="str">
        <f>+IF(B1526="","",'Detalle Compras'!S1526+0)</f>
        <v/>
      </c>
      <c r="F1526" s="14" t="str">
        <f>+IF(B1526="","",EOMONTH('Detalle Compras'!S1526,G1526)+10)</f>
        <v/>
      </c>
      <c r="G1526" s="50">
        <f t="shared" si="83"/>
        <v>0</v>
      </c>
      <c r="H1526" s="50">
        <f t="shared" si="84"/>
        <v>0</v>
      </c>
    </row>
    <row r="1527" spans="1:8" x14ac:dyDescent="0.2">
      <c r="A1527" s="37">
        <v>1525</v>
      </c>
      <c r="C1527" s="17">
        <f>+'Detalle Compras'!D994</f>
        <v>0</v>
      </c>
      <c r="D1527" s="55" t="str">
        <f t="shared" si="82"/>
        <v/>
      </c>
      <c r="E1527" s="14" t="str">
        <f>+IF(B1527="","",'Detalle Compras'!S1527+0)</f>
        <v/>
      </c>
      <c r="F1527" s="14" t="str">
        <f>+IF(B1527="","",EOMONTH('Detalle Compras'!S1527,G1527)+10)</f>
        <v/>
      </c>
      <c r="G1527" s="50">
        <f t="shared" si="83"/>
        <v>0</v>
      </c>
      <c r="H1527" s="50">
        <f t="shared" si="84"/>
        <v>0</v>
      </c>
    </row>
    <row r="1528" spans="1:8" x14ac:dyDescent="0.2">
      <c r="A1528" s="37">
        <v>1526</v>
      </c>
      <c r="C1528" s="17">
        <f>+'Detalle Compras'!D995</f>
        <v>0</v>
      </c>
      <c r="D1528" s="55" t="str">
        <f t="shared" si="82"/>
        <v/>
      </c>
      <c r="E1528" s="14" t="str">
        <f>+IF(B1528="","",'Detalle Compras'!S1528+0)</f>
        <v/>
      </c>
      <c r="F1528" s="14" t="str">
        <f>+IF(B1528="","",EOMONTH('Detalle Compras'!S1528,G1528)+10)</f>
        <v/>
      </c>
      <c r="G1528" s="50">
        <f t="shared" si="83"/>
        <v>0</v>
      </c>
      <c r="H1528" s="50">
        <f t="shared" si="84"/>
        <v>0</v>
      </c>
    </row>
    <row r="1529" spans="1:8" x14ac:dyDescent="0.2">
      <c r="A1529" s="37">
        <v>1527</v>
      </c>
      <c r="C1529" s="17">
        <f>+'Detalle Compras'!D996</f>
        <v>0</v>
      </c>
      <c r="D1529" s="55" t="str">
        <f t="shared" si="82"/>
        <v/>
      </c>
      <c r="E1529" s="14" t="str">
        <f>+IF(B1529="","",'Detalle Compras'!S1529+0)</f>
        <v/>
      </c>
      <c r="F1529" s="14" t="str">
        <f>+IF(B1529="","",EOMONTH('Detalle Compras'!S1529,G1529)+10)</f>
        <v/>
      </c>
      <c r="G1529" s="50">
        <f t="shared" si="83"/>
        <v>0</v>
      </c>
      <c r="H1529" s="50">
        <f t="shared" si="84"/>
        <v>0</v>
      </c>
    </row>
    <row r="1530" spans="1:8" x14ac:dyDescent="0.2">
      <c r="A1530" s="37">
        <v>1528</v>
      </c>
      <c r="C1530" s="17">
        <f>+'Detalle Compras'!D997</f>
        <v>0</v>
      </c>
      <c r="D1530" s="55" t="str">
        <f t="shared" si="82"/>
        <v/>
      </c>
      <c r="E1530" s="14" t="str">
        <f>+IF(B1530="","",'Detalle Compras'!S1530+0)</f>
        <v/>
      </c>
      <c r="F1530" s="14" t="str">
        <f>+IF(B1530="","",EOMONTH('Detalle Compras'!S1530,G1530)+10)</f>
        <v/>
      </c>
      <c r="G1530" s="50">
        <f t="shared" si="83"/>
        <v>0</v>
      </c>
      <c r="H1530" s="50">
        <f t="shared" si="84"/>
        <v>0</v>
      </c>
    </row>
    <row r="1531" spans="1:8" x14ac:dyDescent="0.2">
      <c r="A1531" s="37">
        <v>1529</v>
      </c>
      <c r="C1531" s="17">
        <f>+'Detalle Compras'!D998</f>
        <v>0</v>
      </c>
      <c r="D1531" s="55" t="str">
        <f t="shared" si="82"/>
        <v/>
      </c>
      <c r="E1531" s="14" t="str">
        <f>+IF(B1531="","",'Detalle Compras'!S1531+0)</f>
        <v/>
      </c>
      <c r="F1531" s="14" t="str">
        <f>+IF(B1531="","",EOMONTH('Detalle Compras'!S1531,G1531)+10)</f>
        <v/>
      </c>
      <c r="G1531" s="50">
        <f t="shared" si="83"/>
        <v>0</v>
      </c>
      <c r="H1531" s="50">
        <f t="shared" si="84"/>
        <v>0</v>
      </c>
    </row>
    <row r="1532" spans="1:8" x14ac:dyDescent="0.2">
      <c r="A1532" s="37">
        <v>1530</v>
      </c>
      <c r="C1532" s="17">
        <f>+'Detalle Compras'!D999</f>
        <v>0</v>
      </c>
      <c r="D1532" s="55" t="str">
        <f t="shared" si="82"/>
        <v/>
      </c>
      <c r="E1532" s="14" t="str">
        <f>+IF(B1532="","",'Detalle Compras'!S1532+0)</f>
        <v/>
      </c>
      <c r="F1532" s="14" t="str">
        <f>+IF(B1532="","",EOMONTH('Detalle Compras'!S1532,G1532)+10)</f>
        <v/>
      </c>
      <c r="G1532" s="50">
        <f t="shared" si="83"/>
        <v>0</v>
      </c>
      <c r="H1532" s="50">
        <f t="shared" si="84"/>
        <v>0</v>
      </c>
    </row>
    <row r="1533" spans="1:8" x14ac:dyDescent="0.2">
      <c r="A1533" s="37">
        <v>1531</v>
      </c>
      <c r="C1533" s="17">
        <f>+'Detalle Compras'!D1000</f>
        <v>0</v>
      </c>
      <c r="D1533" s="55" t="str">
        <f t="shared" si="82"/>
        <v/>
      </c>
      <c r="E1533" s="14" t="str">
        <f>+IF(B1533="","",'Detalle Compras'!S1533+0)</f>
        <v/>
      </c>
      <c r="F1533" s="14" t="str">
        <f>+IF(B1533="","",EOMONTH('Detalle Compras'!S1533,G1533)+10)</f>
        <v/>
      </c>
      <c r="G1533" s="50">
        <f t="shared" si="83"/>
        <v>0</v>
      </c>
      <c r="H1533" s="50">
        <f t="shared" si="84"/>
        <v>0</v>
      </c>
    </row>
    <row r="1534" spans="1:8" x14ac:dyDescent="0.2">
      <c r="A1534" s="37">
        <v>1532</v>
      </c>
      <c r="C1534" s="17">
        <f>+'Detalle Compras'!D1001</f>
        <v>0</v>
      </c>
      <c r="D1534" s="55" t="str">
        <f t="shared" si="82"/>
        <v/>
      </c>
      <c r="E1534" s="14" t="str">
        <f>+IF(B1534="","",'Detalle Compras'!S1534+0)</f>
        <v/>
      </c>
      <c r="F1534" s="14" t="str">
        <f>+IF(B1534="","",EOMONTH('Detalle Compras'!S1534,G1534)+10)</f>
        <v/>
      </c>
      <c r="G1534" s="50">
        <f t="shared" si="83"/>
        <v>0</v>
      </c>
      <c r="H1534" s="50">
        <f t="shared" si="84"/>
        <v>0</v>
      </c>
    </row>
    <row r="1535" spans="1:8" x14ac:dyDescent="0.2">
      <c r="A1535" s="37">
        <v>1533</v>
      </c>
      <c r="C1535" s="17">
        <f>+'Detalle Compras'!D1002</f>
        <v>0</v>
      </c>
      <c r="D1535" s="55" t="str">
        <f t="shared" si="82"/>
        <v/>
      </c>
      <c r="E1535" s="14" t="str">
        <f>+IF(B1535="","",'Detalle Compras'!S1535+0)</f>
        <v/>
      </c>
      <c r="F1535" s="14" t="str">
        <f>+IF(B1535="","",EOMONTH('Detalle Compras'!S1535,G1535)+10)</f>
        <v/>
      </c>
      <c r="G1535" s="50">
        <f t="shared" si="83"/>
        <v>0</v>
      </c>
      <c r="H1535" s="50">
        <f t="shared" si="84"/>
        <v>0</v>
      </c>
    </row>
    <row r="1536" spans="1:8" x14ac:dyDescent="0.2">
      <c r="A1536" s="37">
        <v>1534</v>
      </c>
      <c r="C1536" s="17">
        <f>+'Detalle Compras'!D1003</f>
        <v>0</v>
      </c>
      <c r="D1536" s="55" t="str">
        <f t="shared" si="82"/>
        <v/>
      </c>
      <c r="E1536" s="14" t="str">
        <f>+IF(B1536="","",'Detalle Compras'!S1536+0)</f>
        <v/>
      </c>
      <c r="F1536" s="14" t="str">
        <f>+IF(B1536="","",EOMONTH('Detalle Compras'!S1536,G1536)+10)</f>
        <v/>
      </c>
      <c r="G1536" s="50">
        <f t="shared" si="83"/>
        <v>0</v>
      </c>
      <c r="H1536" s="50">
        <f t="shared" si="84"/>
        <v>0</v>
      </c>
    </row>
    <row r="1537" spans="1:8" x14ac:dyDescent="0.2">
      <c r="A1537" s="37">
        <v>1535</v>
      </c>
      <c r="C1537" s="17">
        <f>+'Detalle Compras'!D1004</f>
        <v>0</v>
      </c>
      <c r="D1537" s="55" t="str">
        <f t="shared" si="82"/>
        <v/>
      </c>
      <c r="E1537" s="14" t="str">
        <f>+IF(B1537="","",'Detalle Compras'!S1537+0)</f>
        <v/>
      </c>
      <c r="F1537" s="14" t="str">
        <f>+IF(B1537="","",EOMONTH('Detalle Compras'!S1537,G1537)+10)</f>
        <v/>
      </c>
      <c r="G1537" s="50">
        <f t="shared" si="83"/>
        <v>0</v>
      </c>
      <c r="H1537" s="50">
        <f t="shared" si="84"/>
        <v>0</v>
      </c>
    </row>
    <row r="1538" spans="1:8" x14ac:dyDescent="0.2">
      <c r="A1538" s="37">
        <v>1536</v>
      </c>
      <c r="C1538" s="17">
        <f>+'Detalle Compras'!D1005</f>
        <v>0</v>
      </c>
      <c r="D1538" s="55" t="str">
        <f t="shared" si="82"/>
        <v/>
      </c>
      <c r="E1538" s="14" t="str">
        <f>+IF(B1538="","",'Detalle Compras'!S1538+0)</f>
        <v/>
      </c>
      <c r="F1538" s="14" t="str">
        <f>+IF(B1538="","",EOMONTH('Detalle Compras'!S1538,G1538)+10)</f>
        <v/>
      </c>
      <c r="G1538" s="50">
        <f t="shared" si="83"/>
        <v>0</v>
      </c>
      <c r="H1538" s="50">
        <f t="shared" si="84"/>
        <v>0</v>
      </c>
    </row>
    <row r="1539" spans="1:8" x14ac:dyDescent="0.2">
      <c r="A1539" s="37">
        <v>1537</v>
      </c>
      <c r="C1539" s="17">
        <f>+'Detalle Compras'!D1006</f>
        <v>0</v>
      </c>
      <c r="D1539" s="55" t="str">
        <f t="shared" si="82"/>
        <v/>
      </c>
      <c r="E1539" s="14" t="str">
        <f>+IF(B1539="","",'Detalle Compras'!S1539+0)</f>
        <v/>
      </c>
      <c r="F1539" s="14" t="str">
        <f>+IF(B1539="","",EOMONTH('Detalle Compras'!S1539,G1539)+10)</f>
        <v/>
      </c>
      <c r="G1539" s="50">
        <f t="shared" si="83"/>
        <v>0</v>
      </c>
      <c r="H1539" s="50">
        <f t="shared" si="84"/>
        <v>0</v>
      </c>
    </row>
    <row r="1540" spans="1:8" x14ac:dyDescent="0.2">
      <c r="A1540" s="37">
        <v>1538</v>
      </c>
      <c r="C1540" s="17">
        <f>+'Detalle Compras'!D1007</f>
        <v>0</v>
      </c>
      <c r="D1540" s="55" t="str">
        <f t="shared" ref="D1540:D1603" si="85">+IF(B1540="","",EA1540)</f>
        <v/>
      </c>
      <c r="E1540" s="14" t="str">
        <f>+IF(B1540="","",'Detalle Compras'!S1540+0)</f>
        <v/>
      </c>
      <c r="F1540" s="14" t="str">
        <f>+IF(B1540="","",EOMONTH('Detalle Compras'!S1540,G1540)+10)</f>
        <v/>
      </c>
      <c r="G1540" s="50">
        <f t="shared" ref="G1540:G1603" si="86">+COUNTIF(I1540:ADF1540,"&gt;1")</f>
        <v>0</v>
      </c>
      <c r="H1540" s="50">
        <f t="shared" ref="H1540:H1603" si="87">+COUNT(AF1540:ADF1540)</f>
        <v>0</v>
      </c>
    </row>
    <row r="1541" spans="1:8" x14ac:dyDescent="0.2">
      <c r="A1541" s="37">
        <v>1539</v>
      </c>
      <c r="C1541" s="17">
        <f>+'Detalle Compras'!D1008</f>
        <v>0</v>
      </c>
      <c r="D1541" s="55" t="str">
        <f t="shared" si="85"/>
        <v/>
      </c>
      <c r="E1541" s="14" t="str">
        <f>+IF(B1541="","",'Detalle Compras'!S1541+0)</f>
        <v/>
      </c>
      <c r="F1541" s="14" t="str">
        <f>+IF(B1541="","",EOMONTH('Detalle Compras'!S1541,G1541)+10)</f>
        <v/>
      </c>
      <c r="G1541" s="50">
        <f t="shared" si="86"/>
        <v>0</v>
      </c>
      <c r="H1541" s="50">
        <f t="shared" si="87"/>
        <v>0</v>
      </c>
    </row>
    <row r="1542" spans="1:8" x14ac:dyDescent="0.2">
      <c r="A1542" s="37">
        <v>1540</v>
      </c>
      <c r="C1542" s="17">
        <f>+'Detalle Compras'!D1009</f>
        <v>0</v>
      </c>
      <c r="D1542" s="55" t="str">
        <f t="shared" si="85"/>
        <v/>
      </c>
      <c r="E1542" s="14" t="str">
        <f>+IF(B1542="","",'Detalle Compras'!S1542+0)</f>
        <v/>
      </c>
      <c r="F1542" s="14" t="str">
        <f>+IF(B1542="","",EOMONTH('Detalle Compras'!S1542,G1542)+10)</f>
        <v/>
      </c>
      <c r="G1542" s="50">
        <f t="shared" si="86"/>
        <v>0</v>
      </c>
      <c r="H1542" s="50">
        <f t="shared" si="87"/>
        <v>0</v>
      </c>
    </row>
    <row r="1543" spans="1:8" x14ac:dyDescent="0.2">
      <c r="A1543" s="37">
        <v>1541</v>
      </c>
      <c r="C1543" s="17">
        <f>+'Detalle Compras'!D1010</f>
        <v>0</v>
      </c>
      <c r="D1543" s="55" t="str">
        <f t="shared" si="85"/>
        <v/>
      </c>
      <c r="E1543" s="14" t="str">
        <f>+IF(B1543="","",'Detalle Compras'!S1543+0)</f>
        <v/>
      </c>
      <c r="F1543" s="14" t="str">
        <f>+IF(B1543="","",EOMONTH('Detalle Compras'!S1543,G1543)+10)</f>
        <v/>
      </c>
      <c r="G1543" s="50">
        <f t="shared" si="86"/>
        <v>0</v>
      </c>
      <c r="H1543" s="50">
        <f t="shared" si="87"/>
        <v>0</v>
      </c>
    </row>
    <row r="1544" spans="1:8" x14ac:dyDescent="0.2">
      <c r="A1544" s="37">
        <v>1542</v>
      </c>
      <c r="C1544" s="17">
        <f>+'Detalle Compras'!D1011</f>
        <v>0</v>
      </c>
      <c r="D1544" s="55" t="str">
        <f t="shared" si="85"/>
        <v/>
      </c>
      <c r="E1544" s="14" t="str">
        <f>+IF(B1544="","",'Detalle Compras'!S1544+0)</f>
        <v/>
      </c>
      <c r="F1544" s="14" t="str">
        <f>+IF(B1544="","",EOMONTH('Detalle Compras'!S1544,G1544)+10)</f>
        <v/>
      </c>
      <c r="G1544" s="50">
        <f t="shared" si="86"/>
        <v>0</v>
      </c>
      <c r="H1544" s="50">
        <f t="shared" si="87"/>
        <v>0</v>
      </c>
    </row>
    <row r="1545" spans="1:8" x14ac:dyDescent="0.2">
      <c r="A1545" s="37">
        <v>1543</v>
      </c>
      <c r="C1545" s="17">
        <f>+'Detalle Compras'!D1012</f>
        <v>0</v>
      </c>
      <c r="D1545" s="55" t="str">
        <f t="shared" si="85"/>
        <v/>
      </c>
      <c r="E1545" s="14" t="str">
        <f>+IF(B1545="","",'Detalle Compras'!S1545+0)</f>
        <v/>
      </c>
      <c r="F1545" s="14" t="str">
        <f>+IF(B1545="","",EOMONTH('Detalle Compras'!S1545,G1545)+10)</f>
        <v/>
      </c>
      <c r="G1545" s="50">
        <f t="shared" si="86"/>
        <v>0</v>
      </c>
      <c r="H1545" s="50">
        <f t="shared" si="87"/>
        <v>0</v>
      </c>
    </row>
    <row r="1546" spans="1:8" x14ac:dyDescent="0.2">
      <c r="A1546" s="37">
        <v>1544</v>
      </c>
      <c r="C1546" s="17">
        <f>+'Detalle Compras'!D1013</f>
        <v>0</v>
      </c>
      <c r="D1546" s="55" t="str">
        <f t="shared" si="85"/>
        <v/>
      </c>
      <c r="E1546" s="14" t="str">
        <f>+IF(B1546="","",'Detalle Compras'!S1546+0)</f>
        <v/>
      </c>
      <c r="F1546" s="14" t="str">
        <f>+IF(B1546="","",EOMONTH('Detalle Compras'!S1546,G1546)+10)</f>
        <v/>
      </c>
      <c r="G1546" s="50">
        <f t="shared" si="86"/>
        <v>0</v>
      </c>
      <c r="H1546" s="50">
        <f t="shared" si="87"/>
        <v>0</v>
      </c>
    </row>
    <row r="1547" spans="1:8" x14ac:dyDescent="0.2">
      <c r="A1547" s="37">
        <v>1545</v>
      </c>
      <c r="C1547" s="17">
        <f>+'Detalle Compras'!D1014</f>
        <v>0</v>
      </c>
      <c r="D1547" s="55" t="str">
        <f t="shared" si="85"/>
        <v/>
      </c>
      <c r="E1547" s="14" t="str">
        <f>+IF(B1547="","",'Detalle Compras'!S1547+0)</f>
        <v/>
      </c>
      <c r="F1547" s="14" t="str">
        <f>+IF(B1547="","",EOMONTH('Detalle Compras'!S1547,G1547)+10)</f>
        <v/>
      </c>
      <c r="G1547" s="50">
        <f t="shared" si="86"/>
        <v>0</v>
      </c>
      <c r="H1547" s="50">
        <f t="shared" si="87"/>
        <v>0</v>
      </c>
    </row>
    <row r="1548" spans="1:8" x14ac:dyDescent="0.2">
      <c r="A1548" s="37">
        <v>1546</v>
      </c>
      <c r="C1548" s="17">
        <f>+'Detalle Compras'!D1015</f>
        <v>0</v>
      </c>
      <c r="D1548" s="55" t="str">
        <f t="shared" si="85"/>
        <v/>
      </c>
      <c r="E1548" s="14" t="str">
        <f>+IF(B1548="","",'Detalle Compras'!S1548+0)</f>
        <v/>
      </c>
      <c r="F1548" s="14" t="str">
        <f>+IF(B1548="","",EOMONTH('Detalle Compras'!S1548,G1548)+10)</f>
        <v/>
      </c>
      <c r="G1548" s="50">
        <f t="shared" si="86"/>
        <v>0</v>
      </c>
      <c r="H1548" s="50">
        <f t="shared" si="87"/>
        <v>0</v>
      </c>
    </row>
    <row r="1549" spans="1:8" x14ac:dyDescent="0.2">
      <c r="A1549" s="37">
        <v>1547</v>
      </c>
      <c r="C1549" s="17">
        <f>+'Detalle Compras'!D1016</f>
        <v>0</v>
      </c>
      <c r="D1549" s="55" t="str">
        <f t="shared" si="85"/>
        <v/>
      </c>
      <c r="E1549" s="14" t="str">
        <f>+IF(B1549="","",'Detalle Compras'!S1549+0)</f>
        <v/>
      </c>
      <c r="F1549" s="14" t="str">
        <f>+IF(B1549="","",EOMONTH('Detalle Compras'!S1549,G1549)+10)</f>
        <v/>
      </c>
      <c r="G1549" s="50">
        <f t="shared" si="86"/>
        <v>0</v>
      </c>
      <c r="H1549" s="50">
        <f t="shared" si="87"/>
        <v>0</v>
      </c>
    </row>
    <row r="1550" spans="1:8" x14ac:dyDescent="0.2">
      <c r="A1550" s="37">
        <v>1548</v>
      </c>
      <c r="C1550" s="17">
        <f>+'Detalle Compras'!D1017</f>
        <v>0</v>
      </c>
      <c r="D1550" s="55" t="str">
        <f t="shared" si="85"/>
        <v/>
      </c>
      <c r="E1550" s="14" t="str">
        <f>+IF(B1550="","",'Detalle Compras'!S1550+0)</f>
        <v/>
      </c>
      <c r="F1550" s="14" t="str">
        <f>+IF(B1550="","",EOMONTH('Detalle Compras'!S1550,G1550)+10)</f>
        <v/>
      </c>
      <c r="G1550" s="50">
        <f t="shared" si="86"/>
        <v>0</v>
      </c>
      <c r="H1550" s="50">
        <f t="shared" si="87"/>
        <v>0</v>
      </c>
    </row>
    <row r="1551" spans="1:8" x14ac:dyDescent="0.2">
      <c r="A1551" s="37">
        <v>1549</v>
      </c>
      <c r="C1551" s="17">
        <f>+'Detalle Compras'!D1018</f>
        <v>0</v>
      </c>
      <c r="D1551" s="55" t="str">
        <f t="shared" si="85"/>
        <v/>
      </c>
      <c r="E1551" s="14" t="str">
        <f>+IF(B1551="","",'Detalle Compras'!S1551+0)</f>
        <v/>
      </c>
      <c r="F1551" s="14" t="str">
        <f>+IF(B1551="","",EOMONTH('Detalle Compras'!S1551,G1551)+10)</f>
        <v/>
      </c>
      <c r="G1551" s="50">
        <f t="shared" si="86"/>
        <v>0</v>
      </c>
      <c r="H1551" s="50">
        <f t="shared" si="87"/>
        <v>0</v>
      </c>
    </row>
    <row r="1552" spans="1:8" x14ac:dyDescent="0.2">
      <c r="A1552" s="37">
        <v>1550</v>
      </c>
      <c r="C1552" s="17">
        <f>+'Detalle Compras'!D1019</f>
        <v>0</v>
      </c>
      <c r="D1552" s="55" t="str">
        <f t="shared" si="85"/>
        <v/>
      </c>
      <c r="E1552" s="14" t="str">
        <f>+IF(B1552="","",'Detalle Compras'!S1552+0)</f>
        <v/>
      </c>
      <c r="F1552" s="14" t="str">
        <f>+IF(B1552="","",EOMONTH('Detalle Compras'!S1552,G1552)+10)</f>
        <v/>
      </c>
      <c r="G1552" s="50">
        <f t="shared" si="86"/>
        <v>0</v>
      </c>
      <c r="H1552" s="50">
        <f t="shared" si="87"/>
        <v>0</v>
      </c>
    </row>
    <row r="1553" spans="1:8" x14ac:dyDescent="0.2">
      <c r="A1553" s="37">
        <v>1551</v>
      </c>
      <c r="C1553" s="17">
        <f>+'Detalle Compras'!D1020</f>
        <v>0</v>
      </c>
      <c r="D1553" s="55" t="str">
        <f t="shared" si="85"/>
        <v/>
      </c>
      <c r="E1553" s="14" t="str">
        <f>+IF(B1553="","",'Detalle Compras'!S1553+0)</f>
        <v/>
      </c>
      <c r="F1553" s="14" t="str">
        <f>+IF(B1553="","",EOMONTH('Detalle Compras'!S1553,G1553)+10)</f>
        <v/>
      </c>
      <c r="G1553" s="50">
        <f t="shared" si="86"/>
        <v>0</v>
      </c>
      <c r="H1553" s="50">
        <f t="shared" si="87"/>
        <v>0</v>
      </c>
    </row>
    <row r="1554" spans="1:8" x14ac:dyDescent="0.2">
      <c r="A1554" s="37">
        <v>1552</v>
      </c>
      <c r="C1554" s="17">
        <f>+'Detalle Compras'!D1021</f>
        <v>0</v>
      </c>
      <c r="D1554" s="55" t="str">
        <f t="shared" si="85"/>
        <v/>
      </c>
      <c r="E1554" s="14" t="str">
        <f>+IF(B1554="","",'Detalle Compras'!S1554+0)</f>
        <v/>
      </c>
      <c r="F1554" s="14" t="str">
        <f>+IF(B1554="","",EOMONTH('Detalle Compras'!S1554,G1554)+10)</f>
        <v/>
      </c>
      <c r="G1554" s="50">
        <f t="shared" si="86"/>
        <v>0</v>
      </c>
      <c r="H1554" s="50">
        <f t="shared" si="87"/>
        <v>0</v>
      </c>
    </row>
    <row r="1555" spans="1:8" x14ac:dyDescent="0.2">
      <c r="A1555" s="37">
        <v>1553</v>
      </c>
      <c r="C1555" s="17">
        <f>+'Detalle Compras'!D1022</f>
        <v>0</v>
      </c>
      <c r="D1555" s="55" t="str">
        <f t="shared" si="85"/>
        <v/>
      </c>
      <c r="E1555" s="14" t="str">
        <f>+IF(B1555="","",'Detalle Compras'!S1555+0)</f>
        <v/>
      </c>
      <c r="F1555" s="14" t="str">
        <f>+IF(B1555="","",EOMONTH('Detalle Compras'!S1555,G1555)+10)</f>
        <v/>
      </c>
      <c r="G1555" s="50">
        <f t="shared" si="86"/>
        <v>0</v>
      </c>
      <c r="H1555" s="50">
        <f t="shared" si="87"/>
        <v>0</v>
      </c>
    </row>
    <row r="1556" spans="1:8" x14ac:dyDescent="0.2">
      <c r="A1556" s="37">
        <v>1554</v>
      </c>
      <c r="C1556" s="17">
        <f>+'Detalle Compras'!D1023</f>
        <v>0</v>
      </c>
      <c r="D1556" s="55" t="str">
        <f t="shared" si="85"/>
        <v/>
      </c>
      <c r="E1556" s="14" t="str">
        <f>+IF(B1556="","",'Detalle Compras'!S1556+0)</f>
        <v/>
      </c>
      <c r="F1556" s="14" t="str">
        <f>+IF(B1556="","",EOMONTH('Detalle Compras'!S1556,G1556)+10)</f>
        <v/>
      </c>
      <c r="G1556" s="50">
        <f t="shared" si="86"/>
        <v>0</v>
      </c>
      <c r="H1556" s="50">
        <f t="shared" si="87"/>
        <v>0</v>
      </c>
    </row>
    <row r="1557" spans="1:8" x14ac:dyDescent="0.2">
      <c r="A1557" s="37">
        <v>1555</v>
      </c>
      <c r="C1557" s="17">
        <f>+'Detalle Compras'!D1024</f>
        <v>0</v>
      </c>
      <c r="D1557" s="55" t="str">
        <f t="shared" si="85"/>
        <v/>
      </c>
      <c r="E1557" s="14" t="str">
        <f>+IF(B1557="","",'Detalle Compras'!S1557+0)</f>
        <v/>
      </c>
      <c r="F1557" s="14" t="str">
        <f>+IF(B1557="","",EOMONTH('Detalle Compras'!S1557,G1557)+10)</f>
        <v/>
      </c>
      <c r="G1557" s="50">
        <f t="shared" si="86"/>
        <v>0</v>
      </c>
      <c r="H1557" s="50">
        <f t="shared" si="87"/>
        <v>0</v>
      </c>
    </row>
    <row r="1558" spans="1:8" x14ac:dyDescent="0.2">
      <c r="A1558" s="37">
        <v>1556</v>
      </c>
      <c r="C1558" s="17">
        <f>+'Detalle Compras'!D1025</f>
        <v>0</v>
      </c>
      <c r="D1558" s="55" t="str">
        <f t="shared" si="85"/>
        <v/>
      </c>
      <c r="E1558" s="14" t="str">
        <f>+IF(B1558="","",'Detalle Compras'!S1558+0)</f>
        <v/>
      </c>
      <c r="F1558" s="14" t="str">
        <f>+IF(B1558="","",EOMONTH('Detalle Compras'!S1558,G1558)+10)</f>
        <v/>
      </c>
      <c r="G1558" s="50">
        <f t="shared" si="86"/>
        <v>0</v>
      </c>
      <c r="H1558" s="50">
        <f t="shared" si="87"/>
        <v>0</v>
      </c>
    </row>
    <row r="1559" spans="1:8" x14ac:dyDescent="0.2">
      <c r="A1559" s="37">
        <v>1557</v>
      </c>
      <c r="C1559" s="17">
        <f>+'Detalle Compras'!D1026</f>
        <v>0</v>
      </c>
      <c r="D1559" s="55" t="str">
        <f t="shared" si="85"/>
        <v/>
      </c>
      <c r="E1559" s="14" t="str">
        <f>+IF(B1559="","",'Detalle Compras'!S1559+0)</f>
        <v/>
      </c>
      <c r="F1559" s="14" t="str">
        <f>+IF(B1559="","",EOMONTH('Detalle Compras'!S1559,G1559)+10)</f>
        <v/>
      </c>
      <c r="G1559" s="50">
        <f t="shared" si="86"/>
        <v>0</v>
      </c>
      <c r="H1559" s="50">
        <f t="shared" si="87"/>
        <v>0</v>
      </c>
    </row>
    <row r="1560" spans="1:8" x14ac:dyDescent="0.2">
      <c r="A1560" s="37">
        <v>1558</v>
      </c>
      <c r="C1560" s="17">
        <f>+'Detalle Compras'!D1027</f>
        <v>0</v>
      </c>
      <c r="D1560" s="55" t="str">
        <f t="shared" si="85"/>
        <v/>
      </c>
      <c r="E1560" s="14" t="str">
        <f>+IF(B1560="","",'Detalle Compras'!S1560+0)</f>
        <v/>
      </c>
      <c r="F1560" s="14" t="str">
        <f>+IF(B1560="","",EOMONTH('Detalle Compras'!S1560,G1560)+10)</f>
        <v/>
      </c>
      <c r="G1560" s="50">
        <f t="shared" si="86"/>
        <v>0</v>
      </c>
      <c r="H1560" s="50">
        <f t="shared" si="87"/>
        <v>0</v>
      </c>
    </row>
    <row r="1561" spans="1:8" x14ac:dyDescent="0.2">
      <c r="A1561" s="37">
        <v>1559</v>
      </c>
      <c r="C1561" s="17">
        <f>+'Detalle Compras'!D1028</f>
        <v>0</v>
      </c>
      <c r="D1561" s="55" t="str">
        <f t="shared" si="85"/>
        <v/>
      </c>
      <c r="E1561" s="14" t="str">
        <f>+IF(B1561="","",'Detalle Compras'!S1561+0)</f>
        <v/>
      </c>
      <c r="F1561" s="14" t="str">
        <f>+IF(B1561="","",EOMONTH('Detalle Compras'!S1561,G1561)+10)</f>
        <v/>
      </c>
      <c r="G1561" s="50">
        <f t="shared" si="86"/>
        <v>0</v>
      </c>
      <c r="H1561" s="50">
        <f t="shared" si="87"/>
        <v>0</v>
      </c>
    </row>
    <row r="1562" spans="1:8" x14ac:dyDescent="0.2">
      <c r="A1562" s="37">
        <v>1560</v>
      </c>
      <c r="C1562" s="17">
        <f>+'Detalle Compras'!D1029</f>
        <v>0</v>
      </c>
      <c r="D1562" s="55" t="str">
        <f t="shared" si="85"/>
        <v/>
      </c>
      <c r="E1562" s="14" t="str">
        <f>+IF(B1562="","",'Detalle Compras'!S1562+0)</f>
        <v/>
      </c>
      <c r="F1562" s="14" t="str">
        <f>+IF(B1562="","",EOMONTH('Detalle Compras'!S1562,G1562)+10)</f>
        <v/>
      </c>
      <c r="G1562" s="50">
        <f t="shared" si="86"/>
        <v>0</v>
      </c>
      <c r="H1562" s="50">
        <f t="shared" si="87"/>
        <v>0</v>
      </c>
    </row>
    <row r="1563" spans="1:8" x14ac:dyDescent="0.2">
      <c r="A1563" s="37">
        <v>1561</v>
      </c>
      <c r="C1563" s="17">
        <f>+'Detalle Compras'!D1030</f>
        <v>0</v>
      </c>
      <c r="D1563" s="55" t="str">
        <f t="shared" si="85"/>
        <v/>
      </c>
      <c r="E1563" s="14" t="str">
        <f>+IF(B1563="","",'Detalle Compras'!S1563+0)</f>
        <v/>
      </c>
      <c r="F1563" s="14" t="str">
        <f>+IF(B1563="","",EOMONTH('Detalle Compras'!S1563,G1563)+10)</f>
        <v/>
      </c>
      <c r="G1563" s="50">
        <f t="shared" si="86"/>
        <v>0</v>
      </c>
      <c r="H1563" s="50">
        <f t="shared" si="87"/>
        <v>0</v>
      </c>
    </row>
    <row r="1564" spans="1:8" x14ac:dyDescent="0.2">
      <c r="A1564" s="37">
        <v>1562</v>
      </c>
      <c r="C1564" s="17">
        <f>+'Detalle Compras'!D1031</f>
        <v>0</v>
      </c>
      <c r="D1564" s="55" t="str">
        <f t="shared" si="85"/>
        <v/>
      </c>
      <c r="E1564" s="14" t="str">
        <f>+IF(B1564="","",'Detalle Compras'!S1564+0)</f>
        <v/>
      </c>
      <c r="F1564" s="14" t="str">
        <f>+IF(B1564="","",EOMONTH('Detalle Compras'!S1564,G1564)+10)</f>
        <v/>
      </c>
      <c r="G1564" s="50">
        <f t="shared" si="86"/>
        <v>0</v>
      </c>
      <c r="H1564" s="50">
        <f t="shared" si="87"/>
        <v>0</v>
      </c>
    </row>
    <row r="1565" spans="1:8" x14ac:dyDescent="0.2">
      <c r="A1565" s="37">
        <v>1563</v>
      </c>
      <c r="C1565" s="17">
        <f>+'Detalle Compras'!D1032</f>
        <v>0</v>
      </c>
      <c r="D1565" s="55" t="str">
        <f t="shared" si="85"/>
        <v/>
      </c>
      <c r="E1565" s="14" t="str">
        <f>+IF(B1565="","",'Detalle Compras'!S1565+0)</f>
        <v/>
      </c>
      <c r="F1565" s="14" t="str">
        <f>+IF(B1565="","",EOMONTH('Detalle Compras'!S1565,G1565)+10)</f>
        <v/>
      </c>
      <c r="G1565" s="50">
        <f t="shared" si="86"/>
        <v>0</v>
      </c>
      <c r="H1565" s="50">
        <f t="shared" si="87"/>
        <v>0</v>
      </c>
    </row>
    <row r="1566" spans="1:8" x14ac:dyDescent="0.2">
      <c r="A1566" s="37">
        <v>1564</v>
      </c>
      <c r="C1566" s="17">
        <f>+'Detalle Compras'!D1033</f>
        <v>0</v>
      </c>
      <c r="D1566" s="55" t="str">
        <f t="shared" si="85"/>
        <v/>
      </c>
      <c r="E1566" s="14" t="str">
        <f>+IF(B1566="","",'Detalle Compras'!S1566+0)</f>
        <v/>
      </c>
      <c r="F1566" s="14" t="str">
        <f>+IF(B1566="","",EOMONTH('Detalle Compras'!S1566,G1566)+10)</f>
        <v/>
      </c>
      <c r="G1566" s="50">
        <f t="shared" si="86"/>
        <v>0</v>
      </c>
      <c r="H1566" s="50">
        <f t="shared" si="87"/>
        <v>0</v>
      </c>
    </row>
    <row r="1567" spans="1:8" x14ac:dyDescent="0.2">
      <c r="A1567" s="37">
        <v>1565</v>
      </c>
      <c r="C1567" s="17">
        <f>+'Detalle Compras'!D1034</f>
        <v>0</v>
      </c>
      <c r="D1567" s="55" t="str">
        <f t="shared" si="85"/>
        <v/>
      </c>
      <c r="E1567" s="14" t="str">
        <f>+IF(B1567="","",'Detalle Compras'!S1567+0)</f>
        <v/>
      </c>
      <c r="F1567" s="14" t="str">
        <f>+IF(B1567="","",EOMONTH('Detalle Compras'!S1567,G1567)+10)</f>
        <v/>
      </c>
      <c r="G1567" s="50">
        <f t="shared" si="86"/>
        <v>0</v>
      </c>
      <c r="H1567" s="50">
        <f t="shared" si="87"/>
        <v>0</v>
      </c>
    </row>
    <row r="1568" spans="1:8" x14ac:dyDescent="0.2">
      <c r="A1568" s="37">
        <v>1566</v>
      </c>
      <c r="C1568" s="17">
        <f>+'Detalle Compras'!D1035</f>
        <v>0</v>
      </c>
      <c r="D1568" s="55" t="str">
        <f t="shared" si="85"/>
        <v/>
      </c>
      <c r="E1568" s="14" t="str">
        <f>+IF(B1568="","",'Detalle Compras'!S1568+0)</f>
        <v/>
      </c>
      <c r="F1568" s="14" t="str">
        <f>+IF(B1568="","",EOMONTH('Detalle Compras'!S1568,G1568)+10)</f>
        <v/>
      </c>
      <c r="G1568" s="50">
        <f t="shared" si="86"/>
        <v>0</v>
      </c>
      <c r="H1568" s="50">
        <f t="shared" si="87"/>
        <v>0</v>
      </c>
    </row>
    <row r="1569" spans="1:8" x14ac:dyDescent="0.2">
      <c r="A1569" s="37">
        <v>1567</v>
      </c>
      <c r="C1569" s="17">
        <f>+'Detalle Compras'!D1036</f>
        <v>0</v>
      </c>
      <c r="D1569" s="55" t="str">
        <f t="shared" si="85"/>
        <v/>
      </c>
      <c r="E1569" s="14" t="str">
        <f>+IF(B1569="","",'Detalle Compras'!S1569+0)</f>
        <v/>
      </c>
      <c r="F1569" s="14" t="str">
        <f>+IF(B1569="","",EOMONTH('Detalle Compras'!S1569,G1569)+10)</f>
        <v/>
      </c>
      <c r="G1569" s="50">
        <f t="shared" si="86"/>
        <v>0</v>
      </c>
      <c r="H1569" s="50">
        <f t="shared" si="87"/>
        <v>0</v>
      </c>
    </row>
    <row r="1570" spans="1:8" x14ac:dyDescent="0.2">
      <c r="A1570" s="37">
        <v>1568</v>
      </c>
      <c r="C1570" s="17">
        <f>+'Detalle Compras'!D1037</f>
        <v>0</v>
      </c>
      <c r="D1570" s="55" t="str">
        <f t="shared" si="85"/>
        <v/>
      </c>
      <c r="E1570" s="14" t="str">
        <f>+IF(B1570="","",'Detalle Compras'!S1570+0)</f>
        <v/>
      </c>
      <c r="F1570" s="14" t="str">
        <f>+IF(B1570="","",EOMONTH('Detalle Compras'!S1570,G1570)+10)</f>
        <v/>
      </c>
      <c r="G1570" s="50">
        <f t="shared" si="86"/>
        <v>0</v>
      </c>
      <c r="H1570" s="50">
        <f t="shared" si="87"/>
        <v>0</v>
      </c>
    </row>
    <row r="1571" spans="1:8" x14ac:dyDescent="0.2">
      <c r="A1571" s="37">
        <v>1569</v>
      </c>
      <c r="C1571" s="17">
        <f>+'Detalle Compras'!D1038</f>
        <v>0</v>
      </c>
      <c r="D1571" s="55" t="str">
        <f t="shared" si="85"/>
        <v/>
      </c>
      <c r="E1571" s="14" t="str">
        <f>+IF(B1571="","",'Detalle Compras'!S1571+0)</f>
        <v/>
      </c>
      <c r="F1571" s="14" t="str">
        <f>+IF(B1571="","",EOMONTH('Detalle Compras'!S1571,G1571)+10)</f>
        <v/>
      </c>
      <c r="G1571" s="50">
        <f t="shared" si="86"/>
        <v>0</v>
      </c>
      <c r="H1571" s="50">
        <f t="shared" si="87"/>
        <v>0</v>
      </c>
    </row>
    <row r="1572" spans="1:8" x14ac:dyDescent="0.2">
      <c r="A1572" s="37">
        <v>1570</v>
      </c>
      <c r="C1572" s="17">
        <f>+'Detalle Compras'!D1039</f>
        <v>0</v>
      </c>
      <c r="D1572" s="55" t="str">
        <f t="shared" si="85"/>
        <v/>
      </c>
      <c r="E1572" s="14" t="str">
        <f>+IF(B1572="","",'Detalle Compras'!S1572+0)</f>
        <v/>
      </c>
      <c r="F1572" s="14" t="str">
        <f>+IF(B1572="","",EOMONTH('Detalle Compras'!S1572,G1572)+10)</f>
        <v/>
      </c>
      <c r="G1572" s="50">
        <f t="shared" si="86"/>
        <v>0</v>
      </c>
      <c r="H1572" s="50">
        <f t="shared" si="87"/>
        <v>0</v>
      </c>
    </row>
    <row r="1573" spans="1:8" x14ac:dyDescent="0.2">
      <c r="A1573" s="37">
        <v>1571</v>
      </c>
      <c r="C1573" s="17">
        <f>+'Detalle Compras'!D1040</f>
        <v>0</v>
      </c>
      <c r="D1573" s="55" t="str">
        <f t="shared" si="85"/>
        <v/>
      </c>
      <c r="E1573" s="14" t="str">
        <f>+IF(B1573="","",'Detalle Compras'!S1573+0)</f>
        <v/>
      </c>
      <c r="F1573" s="14" t="str">
        <f>+IF(B1573="","",EOMONTH('Detalle Compras'!S1573,G1573)+10)</f>
        <v/>
      </c>
      <c r="G1573" s="50">
        <f t="shared" si="86"/>
        <v>0</v>
      </c>
      <c r="H1573" s="50">
        <f t="shared" si="87"/>
        <v>0</v>
      </c>
    </row>
    <row r="1574" spans="1:8" x14ac:dyDescent="0.2">
      <c r="A1574" s="37">
        <v>1572</v>
      </c>
      <c r="C1574" s="17">
        <f>+'Detalle Compras'!D1041</f>
        <v>0</v>
      </c>
      <c r="D1574" s="55" t="str">
        <f t="shared" si="85"/>
        <v/>
      </c>
      <c r="E1574" s="14" t="str">
        <f>+IF(B1574="","",'Detalle Compras'!S1574+0)</f>
        <v/>
      </c>
      <c r="F1574" s="14" t="str">
        <f>+IF(B1574="","",EOMONTH('Detalle Compras'!S1574,G1574)+10)</f>
        <v/>
      </c>
      <c r="G1574" s="50">
        <f t="shared" si="86"/>
        <v>0</v>
      </c>
      <c r="H1574" s="50">
        <f t="shared" si="87"/>
        <v>0</v>
      </c>
    </row>
    <row r="1575" spans="1:8" x14ac:dyDescent="0.2">
      <c r="A1575" s="37">
        <v>1573</v>
      </c>
      <c r="C1575" s="17">
        <f>+'Detalle Compras'!D1042</f>
        <v>0</v>
      </c>
      <c r="D1575" s="55" t="str">
        <f t="shared" si="85"/>
        <v/>
      </c>
      <c r="E1575" s="14" t="str">
        <f>+IF(B1575="","",'Detalle Compras'!S1575+0)</f>
        <v/>
      </c>
      <c r="F1575" s="14" t="str">
        <f>+IF(B1575="","",EOMONTH('Detalle Compras'!S1575,G1575)+10)</f>
        <v/>
      </c>
      <c r="G1575" s="50">
        <f t="shared" si="86"/>
        <v>0</v>
      </c>
      <c r="H1575" s="50">
        <f t="shared" si="87"/>
        <v>0</v>
      </c>
    </row>
    <row r="1576" spans="1:8" x14ac:dyDescent="0.2">
      <c r="A1576" s="37">
        <v>1574</v>
      </c>
      <c r="C1576" s="17">
        <f>+'Detalle Compras'!D1043</f>
        <v>0</v>
      </c>
      <c r="D1576" s="55" t="str">
        <f t="shared" si="85"/>
        <v/>
      </c>
      <c r="E1576" s="14" t="str">
        <f>+IF(B1576="","",'Detalle Compras'!S1576+0)</f>
        <v/>
      </c>
      <c r="F1576" s="14" t="str">
        <f>+IF(B1576="","",EOMONTH('Detalle Compras'!S1576,G1576)+10)</f>
        <v/>
      </c>
      <c r="G1576" s="50">
        <f t="shared" si="86"/>
        <v>0</v>
      </c>
      <c r="H1576" s="50">
        <f t="shared" si="87"/>
        <v>0</v>
      </c>
    </row>
    <row r="1577" spans="1:8" x14ac:dyDescent="0.2">
      <c r="A1577" s="37">
        <v>1575</v>
      </c>
      <c r="C1577" s="17">
        <f>+'Detalle Compras'!D1044</f>
        <v>0</v>
      </c>
      <c r="D1577" s="55" t="str">
        <f t="shared" si="85"/>
        <v/>
      </c>
      <c r="E1577" s="14" t="str">
        <f>+IF(B1577="","",'Detalle Compras'!S1577+0)</f>
        <v/>
      </c>
      <c r="F1577" s="14" t="str">
        <f>+IF(B1577="","",EOMONTH('Detalle Compras'!S1577,G1577)+10)</f>
        <v/>
      </c>
      <c r="G1577" s="50">
        <f t="shared" si="86"/>
        <v>0</v>
      </c>
      <c r="H1577" s="50">
        <f t="shared" si="87"/>
        <v>0</v>
      </c>
    </row>
    <row r="1578" spans="1:8" x14ac:dyDescent="0.2">
      <c r="A1578" s="37">
        <v>1576</v>
      </c>
      <c r="C1578" s="17">
        <f>+'Detalle Compras'!D1045</f>
        <v>0</v>
      </c>
      <c r="D1578" s="55" t="str">
        <f t="shared" si="85"/>
        <v/>
      </c>
      <c r="E1578" s="14" t="str">
        <f>+IF(B1578="","",'Detalle Compras'!S1578+0)</f>
        <v/>
      </c>
      <c r="F1578" s="14" t="str">
        <f>+IF(B1578="","",EOMONTH('Detalle Compras'!S1578,G1578)+10)</f>
        <v/>
      </c>
      <c r="G1578" s="50">
        <f t="shared" si="86"/>
        <v>0</v>
      </c>
      <c r="H1578" s="50">
        <f t="shared" si="87"/>
        <v>0</v>
      </c>
    </row>
    <row r="1579" spans="1:8" x14ac:dyDescent="0.2">
      <c r="A1579" s="37">
        <v>1577</v>
      </c>
      <c r="C1579" s="17">
        <f>+'Detalle Compras'!D1046</f>
        <v>0</v>
      </c>
      <c r="D1579" s="55" t="str">
        <f t="shared" si="85"/>
        <v/>
      </c>
      <c r="E1579" s="14" t="str">
        <f>+IF(B1579="","",'Detalle Compras'!S1579+0)</f>
        <v/>
      </c>
      <c r="F1579" s="14" t="str">
        <f>+IF(B1579="","",EOMONTH('Detalle Compras'!S1579,G1579)+10)</f>
        <v/>
      </c>
      <c r="G1579" s="50">
        <f t="shared" si="86"/>
        <v>0</v>
      </c>
      <c r="H1579" s="50">
        <f t="shared" si="87"/>
        <v>0</v>
      </c>
    </row>
    <row r="1580" spans="1:8" x14ac:dyDescent="0.2">
      <c r="A1580" s="37">
        <v>1578</v>
      </c>
      <c r="C1580" s="17">
        <f>+'Detalle Compras'!D1047</f>
        <v>0</v>
      </c>
      <c r="D1580" s="55" t="str">
        <f t="shared" si="85"/>
        <v/>
      </c>
      <c r="E1580" s="14" t="str">
        <f>+IF(B1580="","",'Detalle Compras'!S1580+0)</f>
        <v/>
      </c>
      <c r="F1580" s="14" t="str">
        <f>+IF(B1580="","",EOMONTH('Detalle Compras'!S1580,G1580)+10)</f>
        <v/>
      </c>
      <c r="G1580" s="50">
        <f t="shared" si="86"/>
        <v>0</v>
      </c>
      <c r="H1580" s="50">
        <f t="shared" si="87"/>
        <v>0</v>
      </c>
    </row>
    <row r="1581" spans="1:8" x14ac:dyDescent="0.2">
      <c r="A1581" s="37">
        <v>1579</v>
      </c>
      <c r="B1581" s="37" t="s">
        <v>95</v>
      </c>
      <c r="C1581" s="17">
        <f>+'Detalle Compras'!D1048</f>
        <v>0</v>
      </c>
      <c r="D1581" s="55">
        <f t="shared" si="85"/>
        <v>0</v>
      </c>
      <c r="E1581" s="14">
        <f>+IF(B1581="","",'Detalle Compras'!S1581+0)</f>
        <v>0</v>
      </c>
      <c r="F1581" s="14">
        <f>+IF(B1581="","",EOMONTH('Detalle Compras'!S1581,G1581)+10)</f>
        <v>41</v>
      </c>
      <c r="G1581" s="50">
        <f t="shared" si="86"/>
        <v>0</v>
      </c>
      <c r="H1581" s="50">
        <f t="shared" si="87"/>
        <v>0</v>
      </c>
    </row>
    <row r="1582" spans="1:8" x14ac:dyDescent="0.2">
      <c r="A1582" s="37">
        <v>1580</v>
      </c>
      <c r="B1582" s="37" t="s">
        <v>96</v>
      </c>
      <c r="C1582" s="17">
        <f>+'Detalle Compras'!D1049</f>
        <v>0</v>
      </c>
      <c r="D1582" s="55">
        <f t="shared" si="85"/>
        <v>0</v>
      </c>
      <c r="E1582" s="14">
        <f>+IF(B1582="","",'Detalle Compras'!S1582+0)</f>
        <v>0</v>
      </c>
      <c r="F1582" s="14">
        <f>+IF(B1582="","",EOMONTH('Detalle Compras'!S1582,G1582)+10)</f>
        <v>41</v>
      </c>
      <c r="G1582" s="50">
        <f t="shared" si="86"/>
        <v>0</v>
      </c>
      <c r="H1582" s="50">
        <f t="shared" si="87"/>
        <v>0</v>
      </c>
    </row>
    <row r="1583" spans="1:8" x14ac:dyDescent="0.2">
      <c r="A1583" s="37">
        <v>1581</v>
      </c>
      <c r="B1583" s="37" t="s">
        <v>97</v>
      </c>
      <c r="C1583" s="17">
        <f>+'Detalle Compras'!D1050</f>
        <v>0</v>
      </c>
      <c r="D1583" s="55">
        <f t="shared" si="85"/>
        <v>0</v>
      </c>
      <c r="E1583" s="14">
        <f>+IF(B1583="","",'Detalle Compras'!S1583+0)</f>
        <v>0</v>
      </c>
      <c r="F1583" s="14">
        <f>+IF(B1583="","",EOMONTH('Detalle Compras'!S1583,G1583)+10)</f>
        <v>41</v>
      </c>
      <c r="G1583" s="50">
        <f t="shared" si="86"/>
        <v>0</v>
      </c>
      <c r="H1583" s="50">
        <f t="shared" si="87"/>
        <v>0</v>
      </c>
    </row>
    <row r="1584" spans="1:8" x14ac:dyDescent="0.2">
      <c r="A1584" s="37">
        <v>1582</v>
      </c>
      <c r="B1584" s="37" t="s">
        <v>98</v>
      </c>
      <c r="C1584" s="17">
        <f>+'Detalle Compras'!D1051</f>
        <v>0</v>
      </c>
      <c r="D1584" s="55">
        <f t="shared" si="85"/>
        <v>0</v>
      </c>
      <c r="E1584" s="14">
        <f>+IF(B1584="","",'Detalle Compras'!S1584+0)</f>
        <v>0</v>
      </c>
      <c r="F1584" s="14">
        <f>+IF(B1584="","",EOMONTH('Detalle Compras'!S1584,G1584)+10)</f>
        <v>41</v>
      </c>
      <c r="G1584" s="50">
        <f t="shared" si="86"/>
        <v>0</v>
      </c>
      <c r="H1584" s="50">
        <f t="shared" si="87"/>
        <v>0</v>
      </c>
    </row>
    <row r="1585" spans="1:8" x14ac:dyDescent="0.2">
      <c r="A1585" s="37">
        <v>1583</v>
      </c>
      <c r="B1585" s="37" t="s">
        <v>99</v>
      </c>
      <c r="C1585" s="17">
        <f>+'Detalle Compras'!D1052</f>
        <v>0</v>
      </c>
      <c r="D1585" s="55">
        <f t="shared" si="85"/>
        <v>0</v>
      </c>
      <c r="E1585" s="14">
        <f>+IF(B1585="","",'Detalle Compras'!S1585+0)</f>
        <v>0</v>
      </c>
      <c r="F1585" s="14">
        <f>+IF(B1585="","",EOMONTH('Detalle Compras'!S1585,G1585)+10)</f>
        <v>41</v>
      </c>
      <c r="G1585" s="50">
        <f t="shared" si="86"/>
        <v>0</v>
      </c>
      <c r="H1585" s="50">
        <f t="shared" si="87"/>
        <v>0</v>
      </c>
    </row>
    <row r="1586" spans="1:8" x14ac:dyDescent="0.2">
      <c r="A1586" s="37">
        <v>1584</v>
      </c>
      <c r="B1586" s="37" t="s">
        <v>100</v>
      </c>
      <c r="C1586" s="17">
        <f>+'Detalle Compras'!D1053</f>
        <v>0</v>
      </c>
      <c r="D1586" s="55">
        <f t="shared" si="85"/>
        <v>0</v>
      </c>
      <c r="E1586" s="14">
        <f>+IF(B1586="","",'Detalle Compras'!S1586+0)</f>
        <v>0</v>
      </c>
      <c r="F1586" s="14">
        <f>+IF(B1586="","",EOMONTH('Detalle Compras'!S1586,G1586)+10)</f>
        <v>41</v>
      </c>
      <c r="G1586" s="50">
        <f t="shared" si="86"/>
        <v>0</v>
      </c>
      <c r="H1586" s="50">
        <f t="shared" si="87"/>
        <v>0</v>
      </c>
    </row>
    <row r="1587" spans="1:8" x14ac:dyDescent="0.2">
      <c r="A1587" s="37">
        <v>1585</v>
      </c>
      <c r="B1587" s="37" t="s">
        <v>101</v>
      </c>
      <c r="C1587" s="17">
        <f>+'Detalle Compras'!D1054</f>
        <v>0</v>
      </c>
      <c r="D1587" s="55">
        <f t="shared" si="85"/>
        <v>0</v>
      </c>
      <c r="E1587" s="14">
        <f>+IF(B1587="","",'Detalle Compras'!S1587+0)</f>
        <v>0</v>
      </c>
      <c r="F1587" s="14">
        <f>+IF(B1587="","",EOMONTH('Detalle Compras'!S1587,G1587)+10)</f>
        <v>41</v>
      </c>
      <c r="G1587" s="50">
        <f t="shared" si="86"/>
        <v>0</v>
      </c>
      <c r="H1587" s="50">
        <f t="shared" si="87"/>
        <v>0</v>
      </c>
    </row>
    <row r="1588" spans="1:8" x14ac:dyDescent="0.2">
      <c r="A1588" s="37">
        <v>1586</v>
      </c>
      <c r="B1588" s="37" t="s">
        <v>102</v>
      </c>
      <c r="C1588" s="17">
        <f>+'Detalle Compras'!D1055</f>
        <v>0</v>
      </c>
      <c r="D1588" s="55">
        <f t="shared" si="85"/>
        <v>0</v>
      </c>
      <c r="E1588" s="14">
        <f>+IF(B1588="","",'Detalle Compras'!S1588+0)</f>
        <v>0</v>
      </c>
      <c r="F1588" s="14">
        <f>+IF(B1588="","",EOMONTH('Detalle Compras'!S1588,G1588)+10)</f>
        <v>41</v>
      </c>
      <c r="G1588" s="50">
        <f t="shared" si="86"/>
        <v>0</v>
      </c>
      <c r="H1588" s="50">
        <f t="shared" si="87"/>
        <v>0</v>
      </c>
    </row>
    <row r="1589" spans="1:8" x14ac:dyDescent="0.2">
      <c r="A1589" s="37">
        <v>1587</v>
      </c>
      <c r="B1589" s="37" t="s">
        <v>103</v>
      </c>
      <c r="C1589" s="17">
        <f>+'Detalle Compras'!D1056</f>
        <v>0</v>
      </c>
      <c r="D1589" s="55">
        <f t="shared" si="85"/>
        <v>0</v>
      </c>
      <c r="E1589" s="14">
        <f>+IF(B1589="","",'Detalle Compras'!S1589+0)</f>
        <v>0</v>
      </c>
      <c r="F1589" s="14">
        <f>+IF(B1589="","",EOMONTH('Detalle Compras'!S1589,G1589)+10)</f>
        <v>41</v>
      </c>
      <c r="G1589" s="50">
        <f t="shared" si="86"/>
        <v>0</v>
      </c>
      <c r="H1589" s="50">
        <f t="shared" si="87"/>
        <v>0</v>
      </c>
    </row>
    <row r="1590" spans="1:8" x14ac:dyDescent="0.2">
      <c r="A1590" s="37">
        <v>1588</v>
      </c>
      <c r="B1590" s="37" t="s">
        <v>104</v>
      </c>
      <c r="C1590" s="17">
        <f>+'Detalle Compras'!D1057</f>
        <v>0</v>
      </c>
      <c r="D1590" s="55">
        <f t="shared" si="85"/>
        <v>0</v>
      </c>
      <c r="E1590" s="14">
        <f>+IF(B1590="","",'Detalle Compras'!S1590+0)</f>
        <v>0</v>
      </c>
      <c r="F1590" s="14">
        <f>+IF(B1590="","",EOMONTH('Detalle Compras'!S1590,G1590)+10)</f>
        <v>41</v>
      </c>
      <c r="G1590" s="50">
        <f t="shared" si="86"/>
        <v>0</v>
      </c>
      <c r="H1590" s="50">
        <f t="shared" si="87"/>
        <v>0</v>
      </c>
    </row>
    <row r="1591" spans="1:8" x14ac:dyDescent="0.2">
      <c r="A1591" s="37">
        <v>1589</v>
      </c>
      <c r="B1591" s="37" t="s">
        <v>105</v>
      </c>
      <c r="C1591" s="17">
        <f>+'Detalle Compras'!D1058</f>
        <v>0</v>
      </c>
      <c r="D1591" s="55">
        <f t="shared" si="85"/>
        <v>0</v>
      </c>
      <c r="E1591" s="14">
        <f>+IF(B1591="","",'Detalle Compras'!S1591+0)</f>
        <v>0</v>
      </c>
      <c r="F1591" s="14">
        <f>+IF(B1591="","",EOMONTH('Detalle Compras'!S1591,G1591)+10)</f>
        <v>41</v>
      </c>
      <c r="G1591" s="50">
        <f t="shared" si="86"/>
        <v>0</v>
      </c>
      <c r="H1591" s="50">
        <f t="shared" si="87"/>
        <v>0</v>
      </c>
    </row>
    <row r="1592" spans="1:8" x14ac:dyDescent="0.2">
      <c r="A1592" s="37">
        <v>1590</v>
      </c>
      <c r="B1592" s="37" t="s">
        <v>106</v>
      </c>
      <c r="C1592" s="17">
        <f>+'Detalle Compras'!D1059</f>
        <v>0</v>
      </c>
      <c r="D1592" s="55">
        <f t="shared" si="85"/>
        <v>0</v>
      </c>
      <c r="E1592" s="14">
        <f>+IF(B1592="","",'Detalle Compras'!S1592+0)</f>
        <v>0</v>
      </c>
      <c r="F1592" s="14">
        <f>+IF(B1592="","",EOMONTH('Detalle Compras'!S1592,G1592)+10)</f>
        <v>41</v>
      </c>
      <c r="G1592" s="50">
        <f t="shared" si="86"/>
        <v>0</v>
      </c>
      <c r="H1592" s="50">
        <f t="shared" si="87"/>
        <v>0</v>
      </c>
    </row>
    <row r="1593" spans="1:8" x14ac:dyDescent="0.2">
      <c r="A1593" s="37">
        <v>1591</v>
      </c>
      <c r="B1593" s="37" t="s">
        <v>107</v>
      </c>
      <c r="C1593" s="17">
        <f>+'Detalle Compras'!D1060</f>
        <v>0</v>
      </c>
      <c r="D1593" s="55">
        <f t="shared" si="85"/>
        <v>0</v>
      </c>
      <c r="E1593" s="14">
        <f>+IF(B1593="","",'Detalle Compras'!S1593+0)</f>
        <v>0</v>
      </c>
      <c r="F1593" s="14">
        <f>+IF(B1593="","",EOMONTH('Detalle Compras'!S1593,G1593)+10)</f>
        <v>41</v>
      </c>
      <c r="G1593" s="50">
        <f t="shared" si="86"/>
        <v>0</v>
      </c>
      <c r="H1593" s="50">
        <f t="shared" si="87"/>
        <v>0</v>
      </c>
    </row>
    <row r="1594" spans="1:8" x14ac:dyDescent="0.2">
      <c r="A1594" s="37">
        <v>1592</v>
      </c>
      <c r="B1594" s="37" t="s">
        <v>108</v>
      </c>
      <c r="C1594" s="17">
        <f>+'Detalle Compras'!D1061</f>
        <v>0</v>
      </c>
      <c r="D1594" s="55">
        <f t="shared" si="85"/>
        <v>0</v>
      </c>
      <c r="E1594" s="14">
        <f>+IF(B1594="","",'Detalle Compras'!S1594+0)</f>
        <v>0</v>
      </c>
      <c r="F1594" s="14">
        <f>+IF(B1594="","",EOMONTH('Detalle Compras'!S1594,G1594)+10)</f>
        <v>41</v>
      </c>
      <c r="G1594" s="50">
        <f t="shared" si="86"/>
        <v>0</v>
      </c>
      <c r="H1594" s="50">
        <f t="shared" si="87"/>
        <v>0</v>
      </c>
    </row>
    <row r="1595" spans="1:8" x14ac:dyDescent="0.2">
      <c r="A1595" s="37">
        <v>1593</v>
      </c>
      <c r="B1595" s="37" t="s">
        <v>109</v>
      </c>
      <c r="C1595" s="17">
        <f>+'Detalle Compras'!D1062</f>
        <v>0</v>
      </c>
      <c r="D1595" s="55">
        <f t="shared" si="85"/>
        <v>0</v>
      </c>
      <c r="E1595" s="14">
        <f>+IF(B1595="","",'Detalle Compras'!S1595+0)</f>
        <v>0</v>
      </c>
      <c r="F1595" s="14">
        <f>+IF(B1595="","",EOMONTH('Detalle Compras'!S1595,G1595)+10)</f>
        <v>41</v>
      </c>
      <c r="G1595" s="50">
        <f t="shared" si="86"/>
        <v>0</v>
      </c>
      <c r="H1595" s="50">
        <f t="shared" si="87"/>
        <v>0</v>
      </c>
    </row>
    <row r="1596" spans="1:8" x14ac:dyDescent="0.2">
      <c r="A1596" s="37">
        <v>1594</v>
      </c>
      <c r="C1596" s="17">
        <f>+'Detalle Compras'!D1063</f>
        <v>0</v>
      </c>
      <c r="D1596" s="55" t="str">
        <f t="shared" si="85"/>
        <v/>
      </c>
      <c r="E1596" s="14" t="str">
        <f>+IF(B1596="","",'Detalle Compras'!S1596+0)</f>
        <v/>
      </c>
      <c r="F1596" s="14" t="str">
        <f>+IF(B1596="","",EOMONTH('Detalle Compras'!S1596,G1596)+10)</f>
        <v/>
      </c>
      <c r="G1596" s="50">
        <f t="shared" si="86"/>
        <v>0</v>
      </c>
      <c r="H1596" s="50">
        <f t="shared" si="87"/>
        <v>0</v>
      </c>
    </row>
    <row r="1597" spans="1:8" x14ac:dyDescent="0.2">
      <c r="A1597" s="37">
        <v>1595</v>
      </c>
      <c r="C1597" s="17">
        <f>+'Detalle Compras'!D1064</f>
        <v>0</v>
      </c>
      <c r="D1597" s="55" t="str">
        <f t="shared" si="85"/>
        <v/>
      </c>
      <c r="E1597" s="14" t="str">
        <f>+IF(B1597="","",'Detalle Compras'!S1597+0)</f>
        <v/>
      </c>
      <c r="F1597" s="14" t="str">
        <f>+IF(B1597="","",EOMONTH('Detalle Compras'!S1597,G1597)+10)</f>
        <v/>
      </c>
      <c r="G1597" s="50">
        <f t="shared" si="86"/>
        <v>0</v>
      </c>
      <c r="H1597" s="50">
        <f t="shared" si="87"/>
        <v>0</v>
      </c>
    </row>
    <row r="1598" spans="1:8" x14ac:dyDescent="0.2">
      <c r="A1598" s="37">
        <v>1596</v>
      </c>
      <c r="C1598" s="17">
        <f>+'Detalle Compras'!D1065</f>
        <v>0</v>
      </c>
      <c r="D1598" s="55" t="str">
        <f t="shared" si="85"/>
        <v/>
      </c>
      <c r="E1598" s="14" t="str">
        <f>+IF(B1598="","",'Detalle Compras'!S1598+0)</f>
        <v/>
      </c>
      <c r="F1598" s="14" t="str">
        <f>+IF(B1598="","",EOMONTH('Detalle Compras'!S1598,G1598)+10)</f>
        <v/>
      </c>
      <c r="G1598" s="50">
        <f t="shared" si="86"/>
        <v>0</v>
      </c>
      <c r="H1598" s="50">
        <f t="shared" si="87"/>
        <v>0</v>
      </c>
    </row>
    <row r="1599" spans="1:8" x14ac:dyDescent="0.2">
      <c r="A1599" s="37">
        <v>1597</v>
      </c>
      <c r="C1599" s="17">
        <f>+'Detalle Compras'!D1066</f>
        <v>0</v>
      </c>
      <c r="D1599" s="55" t="str">
        <f t="shared" si="85"/>
        <v/>
      </c>
      <c r="E1599" s="14" t="str">
        <f>+IF(B1599="","",'Detalle Compras'!S1599+0)</f>
        <v/>
      </c>
      <c r="F1599" s="14" t="str">
        <f>+IF(B1599="","",EOMONTH('Detalle Compras'!S1599,G1599)+10)</f>
        <v/>
      </c>
      <c r="G1599" s="50">
        <f t="shared" si="86"/>
        <v>0</v>
      </c>
      <c r="H1599" s="50">
        <f t="shared" si="87"/>
        <v>0</v>
      </c>
    </row>
    <row r="1600" spans="1:8" x14ac:dyDescent="0.2">
      <c r="A1600" s="37">
        <v>1598</v>
      </c>
      <c r="C1600" s="17">
        <f>+'Detalle Compras'!D1067</f>
        <v>0</v>
      </c>
      <c r="D1600" s="55" t="str">
        <f t="shared" si="85"/>
        <v/>
      </c>
      <c r="E1600" s="14" t="str">
        <f>+IF(B1600="","",'Detalle Compras'!S1600+0)</f>
        <v/>
      </c>
      <c r="F1600" s="14" t="str">
        <f>+IF(B1600="","",EOMONTH('Detalle Compras'!S1600,G1600)+10)</f>
        <v/>
      </c>
      <c r="G1600" s="50">
        <f t="shared" si="86"/>
        <v>0</v>
      </c>
      <c r="H1600" s="50">
        <f t="shared" si="87"/>
        <v>0</v>
      </c>
    </row>
    <row r="1601" spans="1:8" x14ac:dyDescent="0.2">
      <c r="A1601" s="37">
        <v>1599</v>
      </c>
      <c r="C1601" s="17">
        <f>+'Detalle Compras'!D1068</f>
        <v>0</v>
      </c>
      <c r="D1601" s="55" t="str">
        <f t="shared" si="85"/>
        <v/>
      </c>
      <c r="E1601" s="14" t="str">
        <f>+IF(B1601="","",'Detalle Compras'!S1601+0)</f>
        <v/>
      </c>
      <c r="F1601" s="14" t="str">
        <f>+IF(B1601="","",EOMONTH('Detalle Compras'!S1601,G1601)+10)</f>
        <v/>
      </c>
      <c r="G1601" s="50">
        <f t="shared" si="86"/>
        <v>0</v>
      </c>
      <c r="H1601" s="50">
        <f t="shared" si="87"/>
        <v>0</v>
      </c>
    </row>
    <row r="1602" spans="1:8" x14ac:dyDescent="0.2">
      <c r="A1602" s="37">
        <v>1600</v>
      </c>
      <c r="C1602" s="17">
        <f>+'Detalle Compras'!D1069</f>
        <v>0</v>
      </c>
      <c r="D1602" s="55" t="str">
        <f t="shared" si="85"/>
        <v/>
      </c>
      <c r="E1602" s="14" t="str">
        <f>+IF(B1602="","",'Detalle Compras'!S1602+0)</f>
        <v/>
      </c>
      <c r="F1602" s="14" t="str">
        <f>+IF(B1602="","",EOMONTH('Detalle Compras'!S1602,G1602)+10)</f>
        <v/>
      </c>
      <c r="G1602" s="50">
        <f t="shared" si="86"/>
        <v>0</v>
      </c>
      <c r="H1602" s="50">
        <f t="shared" si="87"/>
        <v>0</v>
      </c>
    </row>
    <row r="1603" spans="1:8" x14ac:dyDescent="0.2">
      <c r="A1603" s="37">
        <v>1601</v>
      </c>
      <c r="C1603" s="17">
        <f>+'Detalle Compras'!D1070</f>
        <v>0</v>
      </c>
      <c r="D1603" s="55" t="str">
        <f t="shared" si="85"/>
        <v/>
      </c>
      <c r="E1603" s="14" t="str">
        <f>+IF(B1603="","",'Detalle Compras'!S1603+0)</f>
        <v/>
      </c>
      <c r="F1603" s="14" t="str">
        <f>+IF(B1603="","",EOMONTH('Detalle Compras'!S1603,G1603)+10)</f>
        <v/>
      </c>
      <c r="G1603" s="50">
        <f t="shared" si="86"/>
        <v>0</v>
      </c>
      <c r="H1603" s="50">
        <f t="shared" si="87"/>
        <v>0</v>
      </c>
    </row>
    <row r="1604" spans="1:8" x14ac:dyDescent="0.2">
      <c r="A1604" s="37">
        <v>1602</v>
      </c>
      <c r="C1604" s="17">
        <f>+'Detalle Compras'!D1071</f>
        <v>0</v>
      </c>
      <c r="D1604" s="55" t="str">
        <f t="shared" ref="D1604:D1667" si="88">+IF(B1604="","",EA1604)</f>
        <v/>
      </c>
      <c r="E1604" s="14" t="str">
        <f>+IF(B1604="","",'Detalle Compras'!S1604+0)</f>
        <v/>
      </c>
      <c r="F1604" s="14" t="str">
        <f>+IF(B1604="","",EOMONTH('Detalle Compras'!S1604,G1604)+10)</f>
        <v/>
      </c>
      <c r="G1604" s="50">
        <f t="shared" ref="G1604:G1667" si="89">+COUNTIF(I1604:ADF1604,"&gt;1")</f>
        <v>0</v>
      </c>
      <c r="H1604" s="50">
        <f t="shared" ref="H1604:H1667" si="90">+COUNT(AF1604:ADF1604)</f>
        <v>0</v>
      </c>
    </row>
    <row r="1605" spans="1:8" x14ac:dyDescent="0.2">
      <c r="A1605" s="37">
        <v>1603</v>
      </c>
      <c r="C1605" s="17">
        <f>+'Detalle Compras'!D1072</f>
        <v>0</v>
      </c>
      <c r="D1605" s="55" t="str">
        <f t="shared" si="88"/>
        <v/>
      </c>
      <c r="E1605" s="14" t="str">
        <f>+IF(B1605="","",'Detalle Compras'!S1605+0)</f>
        <v/>
      </c>
      <c r="F1605" s="14" t="str">
        <f>+IF(B1605="","",EOMONTH('Detalle Compras'!S1605,G1605)+10)</f>
        <v/>
      </c>
      <c r="G1605" s="50">
        <f t="shared" si="89"/>
        <v>0</v>
      </c>
      <c r="H1605" s="50">
        <f t="shared" si="90"/>
        <v>0</v>
      </c>
    </row>
    <row r="1606" spans="1:8" x14ac:dyDescent="0.2">
      <c r="A1606" s="37">
        <v>1604</v>
      </c>
      <c r="C1606" s="17">
        <f>+'Detalle Compras'!D1073</f>
        <v>0</v>
      </c>
      <c r="D1606" s="55" t="str">
        <f t="shared" si="88"/>
        <v/>
      </c>
      <c r="E1606" s="14" t="str">
        <f>+IF(B1606="","",'Detalle Compras'!S1606+0)</f>
        <v/>
      </c>
      <c r="F1606" s="14" t="str">
        <f>+IF(B1606="","",EOMONTH('Detalle Compras'!S1606,G1606)+10)</f>
        <v/>
      </c>
      <c r="G1606" s="50">
        <f t="shared" si="89"/>
        <v>0</v>
      </c>
      <c r="H1606" s="50">
        <f t="shared" si="90"/>
        <v>0</v>
      </c>
    </row>
    <row r="1607" spans="1:8" x14ac:dyDescent="0.2">
      <c r="A1607" s="37">
        <v>1605</v>
      </c>
      <c r="C1607" s="17">
        <f>+'Detalle Compras'!D1074</f>
        <v>0</v>
      </c>
      <c r="D1607" s="55" t="str">
        <f t="shared" si="88"/>
        <v/>
      </c>
      <c r="E1607" s="14" t="str">
        <f>+IF(B1607="","",'Detalle Compras'!S1607+0)</f>
        <v/>
      </c>
      <c r="F1607" s="14" t="str">
        <f>+IF(B1607="","",EOMONTH('Detalle Compras'!S1607,G1607)+10)</f>
        <v/>
      </c>
      <c r="G1607" s="50">
        <f t="shared" si="89"/>
        <v>0</v>
      </c>
      <c r="H1607" s="50">
        <f t="shared" si="90"/>
        <v>0</v>
      </c>
    </row>
    <row r="1608" spans="1:8" x14ac:dyDescent="0.2">
      <c r="A1608" s="37">
        <v>1606</v>
      </c>
      <c r="C1608" s="17">
        <f>+'Detalle Compras'!D1075</f>
        <v>0</v>
      </c>
      <c r="D1608" s="55" t="str">
        <f t="shared" si="88"/>
        <v/>
      </c>
      <c r="E1608" s="14" t="str">
        <f>+IF(B1608="","",'Detalle Compras'!S1608+0)</f>
        <v/>
      </c>
      <c r="F1608" s="14" t="str">
        <f>+IF(B1608="","",EOMONTH('Detalle Compras'!S1608,G1608)+10)</f>
        <v/>
      </c>
      <c r="G1608" s="50">
        <f t="shared" si="89"/>
        <v>0</v>
      </c>
      <c r="H1608" s="50">
        <f t="shared" si="90"/>
        <v>0</v>
      </c>
    </row>
    <row r="1609" spans="1:8" x14ac:dyDescent="0.2">
      <c r="A1609" s="37">
        <v>1607</v>
      </c>
      <c r="C1609" s="17">
        <f>+'Detalle Compras'!D1076</f>
        <v>0</v>
      </c>
      <c r="D1609" s="55" t="str">
        <f t="shared" si="88"/>
        <v/>
      </c>
      <c r="E1609" s="14" t="str">
        <f>+IF(B1609="","",'Detalle Compras'!S1609+0)</f>
        <v/>
      </c>
      <c r="F1609" s="14" t="str">
        <f>+IF(B1609="","",EOMONTH('Detalle Compras'!S1609,G1609)+10)</f>
        <v/>
      </c>
      <c r="G1609" s="50">
        <f t="shared" si="89"/>
        <v>0</v>
      </c>
      <c r="H1609" s="50">
        <f t="shared" si="90"/>
        <v>0</v>
      </c>
    </row>
    <row r="1610" spans="1:8" x14ac:dyDescent="0.2">
      <c r="A1610" s="37">
        <v>1608</v>
      </c>
      <c r="C1610" s="17">
        <f>+'Detalle Compras'!D1077</f>
        <v>0</v>
      </c>
      <c r="D1610" s="55" t="str">
        <f t="shared" si="88"/>
        <v/>
      </c>
      <c r="E1610" s="14" t="str">
        <f>+IF(B1610="","",'Detalle Compras'!S1610+0)</f>
        <v/>
      </c>
      <c r="F1610" s="14" t="str">
        <f>+IF(B1610="","",EOMONTH('Detalle Compras'!S1610,G1610)+10)</f>
        <v/>
      </c>
      <c r="G1610" s="50">
        <f t="shared" si="89"/>
        <v>0</v>
      </c>
      <c r="H1610" s="50">
        <f t="shared" si="90"/>
        <v>0</v>
      </c>
    </row>
    <row r="1611" spans="1:8" x14ac:dyDescent="0.2">
      <c r="A1611" s="37">
        <v>1609</v>
      </c>
      <c r="C1611" s="17">
        <f>+'Detalle Compras'!D1078</f>
        <v>0</v>
      </c>
      <c r="D1611" s="55" t="str">
        <f t="shared" si="88"/>
        <v/>
      </c>
      <c r="E1611" s="14" t="str">
        <f>+IF(B1611="","",'Detalle Compras'!S1611+0)</f>
        <v/>
      </c>
      <c r="F1611" s="14" t="str">
        <f>+IF(B1611="","",EOMONTH('Detalle Compras'!S1611,G1611)+10)</f>
        <v/>
      </c>
      <c r="G1611" s="50">
        <f t="shared" si="89"/>
        <v>0</v>
      </c>
      <c r="H1611" s="50">
        <f t="shared" si="90"/>
        <v>0</v>
      </c>
    </row>
    <row r="1612" spans="1:8" x14ac:dyDescent="0.2">
      <c r="A1612" s="37">
        <v>1610</v>
      </c>
      <c r="C1612" s="17">
        <f>+'Detalle Compras'!D1079</f>
        <v>0</v>
      </c>
      <c r="D1612" s="55" t="str">
        <f t="shared" si="88"/>
        <v/>
      </c>
      <c r="E1612" s="14" t="str">
        <f>+IF(B1612="","",'Detalle Compras'!S1612+0)</f>
        <v/>
      </c>
      <c r="F1612" s="14" t="str">
        <f>+IF(B1612="","",EOMONTH('Detalle Compras'!S1612,G1612)+10)</f>
        <v/>
      </c>
      <c r="G1612" s="50">
        <f t="shared" si="89"/>
        <v>0</v>
      </c>
      <c r="H1612" s="50">
        <f t="shared" si="90"/>
        <v>0</v>
      </c>
    </row>
    <row r="1613" spans="1:8" x14ac:dyDescent="0.2">
      <c r="A1613" s="37">
        <v>1611</v>
      </c>
      <c r="C1613" s="17">
        <f>+'Detalle Compras'!D1080</f>
        <v>0</v>
      </c>
      <c r="D1613" s="55" t="str">
        <f t="shared" si="88"/>
        <v/>
      </c>
      <c r="E1613" s="14" t="str">
        <f>+IF(B1613="","",'Detalle Compras'!S1613+0)</f>
        <v/>
      </c>
      <c r="F1613" s="14" t="str">
        <f>+IF(B1613="","",EOMONTH('Detalle Compras'!S1613,G1613)+10)</f>
        <v/>
      </c>
      <c r="G1613" s="50">
        <f t="shared" si="89"/>
        <v>0</v>
      </c>
      <c r="H1613" s="50">
        <f t="shared" si="90"/>
        <v>0</v>
      </c>
    </row>
    <row r="1614" spans="1:8" x14ac:dyDescent="0.2">
      <c r="A1614" s="37">
        <v>1612</v>
      </c>
      <c r="C1614" s="17">
        <f>+'Detalle Compras'!D1081</f>
        <v>0</v>
      </c>
      <c r="D1614" s="55" t="str">
        <f t="shared" si="88"/>
        <v/>
      </c>
      <c r="E1614" s="14" t="str">
        <f>+IF(B1614="","",'Detalle Compras'!S1614+0)</f>
        <v/>
      </c>
      <c r="F1614" s="14" t="str">
        <f>+IF(B1614="","",EOMONTH('Detalle Compras'!S1614,G1614)+10)</f>
        <v/>
      </c>
      <c r="G1614" s="50">
        <f t="shared" si="89"/>
        <v>0</v>
      </c>
      <c r="H1614" s="50">
        <f t="shared" si="90"/>
        <v>0</v>
      </c>
    </row>
    <row r="1615" spans="1:8" x14ac:dyDescent="0.2">
      <c r="A1615" s="37">
        <v>1613</v>
      </c>
      <c r="C1615" s="17">
        <f>+'Detalle Compras'!D1082</f>
        <v>0</v>
      </c>
      <c r="D1615" s="55" t="str">
        <f t="shared" si="88"/>
        <v/>
      </c>
      <c r="E1615" s="14" t="str">
        <f>+IF(B1615="","",'Detalle Compras'!S1615+0)</f>
        <v/>
      </c>
      <c r="F1615" s="14" t="str">
        <f>+IF(B1615="","",EOMONTH('Detalle Compras'!S1615,G1615)+10)</f>
        <v/>
      </c>
      <c r="G1615" s="50">
        <f t="shared" si="89"/>
        <v>0</v>
      </c>
      <c r="H1615" s="50">
        <f t="shared" si="90"/>
        <v>0</v>
      </c>
    </row>
    <row r="1616" spans="1:8" x14ac:dyDescent="0.2">
      <c r="A1616" s="37">
        <v>1614</v>
      </c>
      <c r="C1616" s="17">
        <f>+'Detalle Compras'!D1083</f>
        <v>0</v>
      </c>
      <c r="D1616" s="55" t="str">
        <f t="shared" si="88"/>
        <v/>
      </c>
      <c r="E1616" s="14" t="str">
        <f>+IF(B1616="","",'Detalle Compras'!S1616+0)</f>
        <v/>
      </c>
      <c r="F1616" s="14" t="str">
        <f>+IF(B1616="","",EOMONTH('Detalle Compras'!S1616,G1616)+10)</f>
        <v/>
      </c>
      <c r="G1616" s="50">
        <f t="shared" si="89"/>
        <v>0</v>
      </c>
      <c r="H1616" s="50">
        <f t="shared" si="90"/>
        <v>0</v>
      </c>
    </row>
    <row r="1617" spans="1:8" x14ac:dyDescent="0.2">
      <c r="A1617" s="37">
        <v>1615</v>
      </c>
      <c r="C1617" s="17">
        <f>+'Detalle Compras'!D1084</f>
        <v>0</v>
      </c>
      <c r="D1617" s="55" t="str">
        <f t="shared" si="88"/>
        <v/>
      </c>
      <c r="E1617" s="14" t="str">
        <f>+IF(B1617="","",'Detalle Compras'!S1617+0)</f>
        <v/>
      </c>
      <c r="F1617" s="14" t="str">
        <f>+IF(B1617="","",EOMONTH('Detalle Compras'!S1617,G1617)+10)</f>
        <v/>
      </c>
      <c r="G1617" s="50">
        <f t="shared" si="89"/>
        <v>0</v>
      </c>
      <c r="H1617" s="50">
        <f t="shared" si="90"/>
        <v>0</v>
      </c>
    </row>
    <row r="1618" spans="1:8" x14ac:dyDescent="0.2">
      <c r="A1618" s="37">
        <v>1616</v>
      </c>
      <c r="C1618" s="17">
        <f>+'Detalle Compras'!D1085</f>
        <v>0</v>
      </c>
      <c r="D1618" s="55" t="str">
        <f t="shared" si="88"/>
        <v/>
      </c>
      <c r="E1618" s="14" t="str">
        <f>+IF(B1618="","",'Detalle Compras'!S1618+0)</f>
        <v/>
      </c>
      <c r="F1618" s="14" t="str">
        <f>+IF(B1618="","",EOMONTH('Detalle Compras'!S1618,G1618)+10)</f>
        <v/>
      </c>
      <c r="G1618" s="50">
        <f t="shared" si="89"/>
        <v>0</v>
      </c>
      <c r="H1618" s="50">
        <f t="shared" si="90"/>
        <v>0</v>
      </c>
    </row>
    <row r="1619" spans="1:8" x14ac:dyDescent="0.2">
      <c r="A1619" s="37">
        <v>1617</v>
      </c>
      <c r="C1619" s="17">
        <f>+'Detalle Compras'!D1086</f>
        <v>0</v>
      </c>
      <c r="D1619" s="55" t="str">
        <f t="shared" si="88"/>
        <v/>
      </c>
      <c r="E1619" s="14" t="str">
        <f>+IF(B1619="","",'Detalle Compras'!S1619+0)</f>
        <v/>
      </c>
      <c r="F1619" s="14" t="str">
        <f>+IF(B1619="","",EOMONTH('Detalle Compras'!S1619,G1619)+10)</f>
        <v/>
      </c>
      <c r="G1619" s="50">
        <f t="shared" si="89"/>
        <v>0</v>
      </c>
      <c r="H1619" s="50">
        <f t="shared" si="90"/>
        <v>0</v>
      </c>
    </row>
    <row r="1620" spans="1:8" x14ac:dyDescent="0.2">
      <c r="A1620" s="37">
        <v>1618</v>
      </c>
      <c r="C1620" s="17">
        <f>+'Detalle Compras'!D1087</f>
        <v>0</v>
      </c>
      <c r="D1620" s="55" t="str">
        <f t="shared" si="88"/>
        <v/>
      </c>
      <c r="E1620" s="14" t="str">
        <f>+IF(B1620="","",'Detalle Compras'!S1620+0)</f>
        <v/>
      </c>
      <c r="F1620" s="14" t="str">
        <f>+IF(B1620="","",EOMONTH('Detalle Compras'!S1620,G1620)+10)</f>
        <v/>
      </c>
      <c r="G1620" s="50">
        <f t="shared" si="89"/>
        <v>0</v>
      </c>
      <c r="H1620" s="50">
        <f t="shared" si="90"/>
        <v>0</v>
      </c>
    </row>
    <row r="1621" spans="1:8" x14ac:dyDescent="0.2">
      <c r="A1621" s="37">
        <v>1619</v>
      </c>
      <c r="C1621" s="17">
        <f>+'Detalle Compras'!D1088</f>
        <v>0</v>
      </c>
      <c r="D1621" s="55" t="str">
        <f t="shared" si="88"/>
        <v/>
      </c>
      <c r="E1621" s="14" t="str">
        <f>+IF(B1621="","",'Detalle Compras'!S1621+0)</f>
        <v/>
      </c>
      <c r="F1621" s="14" t="str">
        <f>+IF(B1621="","",EOMONTH('Detalle Compras'!S1621,G1621)+10)</f>
        <v/>
      </c>
      <c r="G1621" s="50">
        <f t="shared" si="89"/>
        <v>0</v>
      </c>
      <c r="H1621" s="50">
        <f t="shared" si="90"/>
        <v>0</v>
      </c>
    </row>
    <row r="1622" spans="1:8" x14ac:dyDescent="0.2">
      <c r="A1622" s="37">
        <v>1620</v>
      </c>
      <c r="C1622" s="17">
        <f>+'Detalle Compras'!D1089</f>
        <v>0</v>
      </c>
      <c r="D1622" s="55" t="str">
        <f t="shared" si="88"/>
        <v/>
      </c>
      <c r="E1622" s="14" t="str">
        <f>+IF(B1622="","",'Detalle Compras'!S1622+0)</f>
        <v/>
      </c>
      <c r="F1622" s="14" t="str">
        <f>+IF(B1622="","",EOMONTH('Detalle Compras'!S1622,G1622)+10)</f>
        <v/>
      </c>
      <c r="G1622" s="50">
        <f t="shared" si="89"/>
        <v>0</v>
      </c>
      <c r="H1622" s="50">
        <f t="shared" si="90"/>
        <v>0</v>
      </c>
    </row>
    <row r="1623" spans="1:8" x14ac:dyDescent="0.2">
      <c r="A1623" s="37">
        <v>1621</v>
      </c>
      <c r="C1623" s="17">
        <f>+'Detalle Compras'!D1090</f>
        <v>0</v>
      </c>
      <c r="D1623" s="55" t="str">
        <f t="shared" si="88"/>
        <v/>
      </c>
      <c r="E1623" s="14" t="str">
        <f>+IF(B1623="","",'Detalle Compras'!S1623+0)</f>
        <v/>
      </c>
      <c r="F1623" s="14" t="str">
        <f>+IF(B1623="","",EOMONTH('Detalle Compras'!S1623,G1623)+10)</f>
        <v/>
      </c>
      <c r="G1623" s="50">
        <f t="shared" si="89"/>
        <v>0</v>
      </c>
      <c r="H1623" s="50">
        <f t="shared" si="90"/>
        <v>0</v>
      </c>
    </row>
    <row r="1624" spans="1:8" x14ac:dyDescent="0.2">
      <c r="A1624" s="37">
        <v>1622</v>
      </c>
      <c r="C1624" s="17">
        <f>+'Detalle Compras'!D1091</f>
        <v>0</v>
      </c>
      <c r="D1624" s="55" t="str">
        <f t="shared" si="88"/>
        <v/>
      </c>
      <c r="E1624" s="14" t="str">
        <f>+IF(B1624="","",'Detalle Compras'!S1624+0)</f>
        <v/>
      </c>
      <c r="F1624" s="14" t="str">
        <f>+IF(B1624="","",EOMONTH('Detalle Compras'!S1624,G1624)+10)</f>
        <v/>
      </c>
      <c r="G1624" s="50">
        <f t="shared" si="89"/>
        <v>0</v>
      </c>
      <c r="H1624" s="50">
        <f t="shared" si="90"/>
        <v>0</v>
      </c>
    </row>
    <row r="1625" spans="1:8" x14ac:dyDescent="0.2">
      <c r="A1625" s="37">
        <v>1623</v>
      </c>
      <c r="C1625" s="17">
        <f>+'Detalle Compras'!D1092</f>
        <v>0</v>
      </c>
      <c r="D1625" s="55" t="str">
        <f t="shared" si="88"/>
        <v/>
      </c>
      <c r="E1625" s="14" t="str">
        <f>+IF(B1625="","",'Detalle Compras'!S1625+0)</f>
        <v/>
      </c>
      <c r="F1625" s="14" t="str">
        <f>+IF(B1625="","",EOMONTH('Detalle Compras'!S1625,G1625)+10)</f>
        <v/>
      </c>
      <c r="G1625" s="50">
        <f t="shared" si="89"/>
        <v>0</v>
      </c>
      <c r="H1625" s="50">
        <f t="shared" si="90"/>
        <v>0</v>
      </c>
    </row>
    <row r="1626" spans="1:8" x14ac:dyDescent="0.2">
      <c r="A1626" s="37">
        <v>1624</v>
      </c>
      <c r="C1626" s="17">
        <f>+'Detalle Compras'!D1093</f>
        <v>0</v>
      </c>
      <c r="D1626" s="55" t="str">
        <f t="shared" si="88"/>
        <v/>
      </c>
      <c r="E1626" s="14" t="str">
        <f>+IF(B1626="","",'Detalle Compras'!S1626+0)</f>
        <v/>
      </c>
      <c r="F1626" s="14" t="str">
        <f>+IF(B1626="","",EOMONTH('Detalle Compras'!S1626,G1626)+10)</f>
        <v/>
      </c>
      <c r="G1626" s="50">
        <f t="shared" si="89"/>
        <v>0</v>
      </c>
      <c r="H1626" s="50">
        <f t="shared" si="90"/>
        <v>0</v>
      </c>
    </row>
    <row r="1627" spans="1:8" x14ac:dyDescent="0.2">
      <c r="A1627" s="37">
        <v>1625</v>
      </c>
      <c r="C1627" s="17">
        <f>+'Detalle Compras'!D1094</f>
        <v>0</v>
      </c>
      <c r="D1627" s="55" t="str">
        <f t="shared" si="88"/>
        <v/>
      </c>
      <c r="E1627" s="14" t="str">
        <f>+IF(B1627="","",'Detalle Compras'!S1627+0)</f>
        <v/>
      </c>
      <c r="F1627" s="14" t="str">
        <f>+IF(B1627="","",EOMONTH('Detalle Compras'!S1627,G1627)+10)</f>
        <v/>
      </c>
      <c r="G1627" s="50">
        <f t="shared" si="89"/>
        <v>0</v>
      </c>
      <c r="H1627" s="50">
        <f t="shared" si="90"/>
        <v>0</v>
      </c>
    </row>
    <row r="1628" spans="1:8" x14ac:dyDescent="0.2">
      <c r="A1628" s="37">
        <v>1626</v>
      </c>
      <c r="C1628" s="17">
        <f>+'Detalle Compras'!D1095</f>
        <v>0</v>
      </c>
      <c r="D1628" s="55" t="str">
        <f t="shared" si="88"/>
        <v/>
      </c>
      <c r="E1628" s="14" t="str">
        <f>+IF(B1628="","",'Detalle Compras'!S1628+0)</f>
        <v/>
      </c>
      <c r="F1628" s="14" t="str">
        <f>+IF(B1628="","",EOMONTH('Detalle Compras'!S1628,G1628)+10)</f>
        <v/>
      </c>
      <c r="G1628" s="50">
        <f t="shared" si="89"/>
        <v>0</v>
      </c>
      <c r="H1628" s="50">
        <f t="shared" si="90"/>
        <v>0</v>
      </c>
    </row>
    <row r="1629" spans="1:8" x14ac:dyDescent="0.2">
      <c r="A1629" s="37">
        <v>1627</v>
      </c>
      <c r="C1629" s="17">
        <f>+'Detalle Compras'!D1096</f>
        <v>0</v>
      </c>
      <c r="D1629" s="55" t="str">
        <f t="shared" si="88"/>
        <v/>
      </c>
      <c r="E1629" s="14" t="str">
        <f>+IF(B1629="","",'Detalle Compras'!S1629+0)</f>
        <v/>
      </c>
      <c r="F1629" s="14" t="str">
        <f>+IF(B1629="","",EOMONTH('Detalle Compras'!S1629,G1629)+10)</f>
        <v/>
      </c>
      <c r="G1629" s="50">
        <f t="shared" si="89"/>
        <v>0</v>
      </c>
      <c r="H1629" s="50">
        <f t="shared" si="90"/>
        <v>0</v>
      </c>
    </row>
    <row r="1630" spans="1:8" x14ac:dyDescent="0.2">
      <c r="A1630" s="37">
        <v>1628</v>
      </c>
      <c r="C1630" s="17">
        <f>+'Detalle Compras'!D1097</f>
        <v>0</v>
      </c>
      <c r="D1630" s="55" t="str">
        <f t="shared" si="88"/>
        <v/>
      </c>
      <c r="E1630" s="14" t="str">
        <f>+IF(B1630="","",'Detalle Compras'!S1630+0)</f>
        <v/>
      </c>
      <c r="F1630" s="14" t="str">
        <f>+IF(B1630="","",EOMONTH('Detalle Compras'!S1630,G1630)+10)</f>
        <v/>
      </c>
      <c r="G1630" s="50">
        <f t="shared" si="89"/>
        <v>0</v>
      </c>
      <c r="H1630" s="50">
        <f t="shared" si="90"/>
        <v>0</v>
      </c>
    </row>
    <row r="1631" spans="1:8" x14ac:dyDescent="0.2">
      <c r="A1631" s="37">
        <v>1629</v>
      </c>
      <c r="C1631" s="17">
        <f>+'Detalle Compras'!D1098</f>
        <v>0</v>
      </c>
      <c r="D1631" s="55" t="str">
        <f t="shared" si="88"/>
        <v/>
      </c>
      <c r="E1631" s="14" t="str">
        <f>+IF(B1631="","",'Detalle Compras'!S1631+0)</f>
        <v/>
      </c>
      <c r="F1631" s="14" t="str">
        <f>+IF(B1631="","",EOMONTH('Detalle Compras'!S1631,G1631)+10)</f>
        <v/>
      </c>
      <c r="G1631" s="50">
        <f t="shared" si="89"/>
        <v>0</v>
      </c>
      <c r="H1631" s="50">
        <f t="shared" si="90"/>
        <v>0</v>
      </c>
    </row>
    <row r="1632" spans="1:8" x14ac:dyDescent="0.2">
      <c r="A1632" s="37">
        <v>1630</v>
      </c>
      <c r="C1632" s="17">
        <f>+'Detalle Compras'!D1099</f>
        <v>0</v>
      </c>
      <c r="D1632" s="55" t="str">
        <f t="shared" si="88"/>
        <v/>
      </c>
      <c r="E1632" s="14" t="str">
        <f>+IF(B1632="","",'Detalle Compras'!S1632+0)</f>
        <v/>
      </c>
      <c r="F1632" s="14" t="str">
        <f>+IF(B1632="","",EOMONTH('Detalle Compras'!S1632,G1632)+10)</f>
        <v/>
      </c>
      <c r="G1632" s="50">
        <f t="shared" si="89"/>
        <v>0</v>
      </c>
      <c r="H1632" s="50">
        <f t="shared" si="90"/>
        <v>0</v>
      </c>
    </row>
    <row r="1633" spans="1:8" x14ac:dyDescent="0.2">
      <c r="A1633" s="37">
        <v>1631</v>
      </c>
      <c r="C1633" s="17">
        <f>+'Detalle Compras'!D1100</f>
        <v>0</v>
      </c>
      <c r="D1633" s="55" t="str">
        <f t="shared" si="88"/>
        <v/>
      </c>
      <c r="E1633" s="14" t="str">
        <f>+IF(B1633="","",'Detalle Compras'!S1633+0)</f>
        <v/>
      </c>
      <c r="F1633" s="14" t="str">
        <f>+IF(B1633="","",EOMONTH('Detalle Compras'!S1633,G1633)+10)</f>
        <v/>
      </c>
      <c r="G1633" s="50">
        <f t="shared" si="89"/>
        <v>0</v>
      </c>
      <c r="H1633" s="50">
        <f t="shared" si="90"/>
        <v>0</v>
      </c>
    </row>
    <row r="1634" spans="1:8" x14ac:dyDescent="0.2">
      <c r="A1634" s="37">
        <v>1632</v>
      </c>
      <c r="C1634" s="17">
        <f>+'Detalle Compras'!D1101</f>
        <v>0</v>
      </c>
      <c r="D1634" s="55" t="str">
        <f t="shared" si="88"/>
        <v/>
      </c>
      <c r="E1634" s="14" t="str">
        <f>+IF(B1634="","",'Detalle Compras'!S1634+0)</f>
        <v/>
      </c>
      <c r="F1634" s="14" t="str">
        <f>+IF(B1634="","",EOMONTH('Detalle Compras'!S1634,G1634)+10)</f>
        <v/>
      </c>
      <c r="G1634" s="50">
        <f t="shared" si="89"/>
        <v>0</v>
      </c>
      <c r="H1634" s="50">
        <f t="shared" si="90"/>
        <v>0</v>
      </c>
    </row>
    <row r="1635" spans="1:8" x14ac:dyDescent="0.2">
      <c r="A1635" s="37">
        <v>1633</v>
      </c>
      <c r="C1635" s="17">
        <f>+'Detalle Compras'!D1102</f>
        <v>0</v>
      </c>
      <c r="D1635" s="55" t="str">
        <f t="shared" si="88"/>
        <v/>
      </c>
      <c r="E1635" s="14" t="str">
        <f>+IF(B1635="","",'Detalle Compras'!S1635+0)</f>
        <v/>
      </c>
      <c r="F1635" s="14" t="str">
        <f>+IF(B1635="","",EOMONTH('Detalle Compras'!S1635,G1635)+10)</f>
        <v/>
      </c>
      <c r="G1635" s="50">
        <f t="shared" si="89"/>
        <v>0</v>
      </c>
      <c r="H1635" s="50">
        <f t="shared" si="90"/>
        <v>0</v>
      </c>
    </row>
    <row r="1636" spans="1:8" x14ac:dyDescent="0.2">
      <c r="A1636" s="37">
        <v>1634</v>
      </c>
      <c r="C1636" s="17">
        <f>+'Detalle Compras'!D1103</f>
        <v>0</v>
      </c>
      <c r="D1636" s="55" t="str">
        <f t="shared" si="88"/>
        <v/>
      </c>
      <c r="E1636" s="14" t="str">
        <f>+IF(B1636="","",'Detalle Compras'!S1636+0)</f>
        <v/>
      </c>
      <c r="F1636" s="14" t="str">
        <f>+IF(B1636="","",EOMONTH('Detalle Compras'!S1636,G1636)+10)</f>
        <v/>
      </c>
      <c r="G1636" s="50">
        <f t="shared" si="89"/>
        <v>0</v>
      </c>
      <c r="H1636" s="50">
        <f t="shared" si="90"/>
        <v>0</v>
      </c>
    </row>
    <row r="1637" spans="1:8" x14ac:dyDescent="0.2">
      <c r="A1637" s="37">
        <v>1635</v>
      </c>
      <c r="C1637" s="17">
        <f>+'Detalle Compras'!D1104</f>
        <v>0</v>
      </c>
      <c r="D1637" s="55" t="str">
        <f t="shared" si="88"/>
        <v/>
      </c>
      <c r="E1637" s="14" t="str">
        <f>+IF(B1637="","",'Detalle Compras'!S1637+0)</f>
        <v/>
      </c>
      <c r="F1637" s="14" t="str">
        <f>+IF(B1637="","",EOMONTH('Detalle Compras'!S1637,G1637)+10)</f>
        <v/>
      </c>
      <c r="G1637" s="50">
        <f t="shared" si="89"/>
        <v>0</v>
      </c>
      <c r="H1637" s="50">
        <f t="shared" si="90"/>
        <v>0</v>
      </c>
    </row>
    <row r="1638" spans="1:8" x14ac:dyDescent="0.2">
      <c r="A1638" s="37">
        <v>1636</v>
      </c>
      <c r="C1638" s="17">
        <f>+'Detalle Compras'!D1105</f>
        <v>0</v>
      </c>
      <c r="D1638" s="55" t="str">
        <f t="shared" si="88"/>
        <v/>
      </c>
      <c r="E1638" s="14" t="str">
        <f>+IF(B1638="","",'Detalle Compras'!S1638+0)</f>
        <v/>
      </c>
      <c r="F1638" s="14" t="str">
        <f>+IF(B1638="","",EOMONTH('Detalle Compras'!S1638,G1638)+10)</f>
        <v/>
      </c>
      <c r="G1638" s="50">
        <f t="shared" si="89"/>
        <v>0</v>
      </c>
      <c r="H1638" s="50">
        <f t="shared" si="90"/>
        <v>0</v>
      </c>
    </row>
    <row r="1639" spans="1:8" x14ac:dyDescent="0.2">
      <c r="A1639" s="37">
        <v>1637</v>
      </c>
      <c r="C1639" s="17">
        <f>+'Detalle Compras'!D1106</f>
        <v>0</v>
      </c>
      <c r="D1639" s="55" t="str">
        <f t="shared" si="88"/>
        <v/>
      </c>
      <c r="E1639" s="14" t="str">
        <f>+IF(B1639="","",'Detalle Compras'!S1639+0)</f>
        <v/>
      </c>
      <c r="F1639" s="14" t="str">
        <f>+IF(B1639="","",EOMONTH('Detalle Compras'!S1639,G1639)+10)</f>
        <v/>
      </c>
      <c r="G1639" s="50">
        <f t="shared" si="89"/>
        <v>0</v>
      </c>
      <c r="H1639" s="50">
        <f t="shared" si="90"/>
        <v>0</v>
      </c>
    </row>
    <row r="1640" spans="1:8" x14ac:dyDescent="0.2">
      <c r="A1640" s="37">
        <v>1638</v>
      </c>
      <c r="C1640" s="17">
        <f>+'Detalle Compras'!D1107</f>
        <v>0</v>
      </c>
      <c r="D1640" s="55" t="str">
        <f t="shared" si="88"/>
        <v/>
      </c>
      <c r="E1640" s="14" t="str">
        <f>+IF(B1640="","",'Detalle Compras'!S1640+0)</f>
        <v/>
      </c>
      <c r="F1640" s="14" t="str">
        <f>+IF(B1640="","",EOMONTH('Detalle Compras'!S1640,G1640)+10)</f>
        <v/>
      </c>
      <c r="G1640" s="50">
        <f t="shared" si="89"/>
        <v>0</v>
      </c>
      <c r="H1640" s="50">
        <f t="shared" si="90"/>
        <v>0</v>
      </c>
    </row>
    <row r="1641" spans="1:8" x14ac:dyDescent="0.2">
      <c r="A1641" s="37">
        <v>1639</v>
      </c>
      <c r="C1641" s="17">
        <f>+'Detalle Compras'!D1108</f>
        <v>0</v>
      </c>
      <c r="D1641" s="55" t="str">
        <f t="shared" si="88"/>
        <v/>
      </c>
      <c r="E1641" s="14" t="str">
        <f>+IF(B1641="","",'Detalle Compras'!S1641+0)</f>
        <v/>
      </c>
      <c r="F1641" s="14" t="str">
        <f>+IF(B1641="","",EOMONTH('Detalle Compras'!S1641,G1641)+10)</f>
        <v/>
      </c>
      <c r="G1641" s="50">
        <f t="shared" si="89"/>
        <v>0</v>
      </c>
      <c r="H1641" s="50">
        <f t="shared" si="90"/>
        <v>0</v>
      </c>
    </row>
    <row r="1642" spans="1:8" x14ac:dyDescent="0.2">
      <c r="A1642" s="37">
        <v>1640</v>
      </c>
      <c r="C1642" s="17">
        <f>+'Detalle Compras'!D1109</f>
        <v>0</v>
      </c>
      <c r="D1642" s="55" t="str">
        <f t="shared" si="88"/>
        <v/>
      </c>
      <c r="E1642" s="14" t="str">
        <f>+IF(B1642="","",'Detalle Compras'!S1642+0)</f>
        <v/>
      </c>
      <c r="F1642" s="14" t="str">
        <f>+IF(B1642="","",EOMONTH('Detalle Compras'!S1642,G1642)+10)</f>
        <v/>
      </c>
      <c r="G1642" s="50">
        <f t="shared" si="89"/>
        <v>0</v>
      </c>
      <c r="H1642" s="50">
        <f t="shared" si="90"/>
        <v>0</v>
      </c>
    </row>
    <row r="1643" spans="1:8" x14ac:dyDescent="0.2">
      <c r="A1643" s="37">
        <v>1641</v>
      </c>
      <c r="C1643" s="17">
        <f>+'Detalle Compras'!D1110</f>
        <v>0</v>
      </c>
      <c r="D1643" s="55" t="str">
        <f t="shared" si="88"/>
        <v/>
      </c>
      <c r="E1643" s="14" t="str">
        <f>+IF(B1643="","",'Detalle Compras'!S1643+0)</f>
        <v/>
      </c>
      <c r="F1643" s="14" t="str">
        <f>+IF(B1643="","",EOMONTH('Detalle Compras'!S1643,G1643)+10)</f>
        <v/>
      </c>
      <c r="G1643" s="50">
        <f t="shared" si="89"/>
        <v>0</v>
      </c>
      <c r="H1643" s="50">
        <f t="shared" si="90"/>
        <v>0</v>
      </c>
    </row>
    <row r="1644" spans="1:8" x14ac:dyDescent="0.2">
      <c r="A1644" s="37">
        <v>1642</v>
      </c>
      <c r="C1644" s="17">
        <f>+'Detalle Compras'!D1111</f>
        <v>0</v>
      </c>
      <c r="D1644" s="55" t="str">
        <f t="shared" si="88"/>
        <v/>
      </c>
      <c r="E1644" s="14" t="str">
        <f>+IF(B1644="","",'Detalle Compras'!S1644+0)</f>
        <v/>
      </c>
      <c r="F1644" s="14" t="str">
        <f>+IF(B1644="","",EOMONTH('Detalle Compras'!S1644,G1644)+10)</f>
        <v/>
      </c>
      <c r="G1644" s="50">
        <f t="shared" si="89"/>
        <v>0</v>
      </c>
      <c r="H1644" s="50">
        <f t="shared" si="90"/>
        <v>0</v>
      </c>
    </row>
    <row r="1645" spans="1:8" x14ac:dyDescent="0.2">
      <c r="A1645" s="37">
        <v>1643</v>
      </c>
      <c r="C1645" s="17">
        <f>+'Detalle Compras'!D1112</f>
        <v>0</v>
      </c>
      <c r="D1645" s="55" t="str">
        <f t="shared" si="88"/>
        <v/>
      </c>
      <c r="E1645" s="14" t="str">
        <f>+IF(B1645="","",'Detalle Compras'!S1645+0)</f>
        <v/>
      </c>
      <c r="F1645" s="14" t="str">
        <f>+IF(B1645="","",EOMONTH('Detalle Compras'!S1645,G1645)+10)</f>
        <v/>
      </c>
      <c r="G1645" s="50">
        <f t="shared" si="89"/>
        <v>0</v>
      </c>
      <c r="H1645" s="50">
        <f t="shared" si="90"/>
        <v>0</v>
      </c>
    </row>
    <row r="1646" spans="1:8" x14ac:dyDescent="0.2">
      <c r="A1646" s="37">
        <v>1644</v>
      </c>
      <c r="C1646" s="17">
        <f>+'Detalle Compras'!D1113</f>
        <v>0</v>
      </c>
      <c r="D1646" s="55" t="str">
        <f t="shared" si="88"/>
        <v/>
      </c>
      <c r="E1646" s="14" t="str">
        <f>+IF(B1646="","",'Detalle Compras'!S1646+0)</f>
        <v/>
      </c>
      <c r="F1646" s="14" t="str">
        <f>+IF(B1646="","",EOMONTH('Detalle Compras'!S1646,G1646)+10)</f>
        <v/>
      </c>
      <c r="G1646" s="50">
        <f t="shared" si="89"/>
        <v>0</v>
      </c>
      <c r="H1646" s="50">
        <f t="shared" si="90"/>
        <v>0</v>
      </c>
    </row>
    <row r="1647" spans="1:8" x14ac:dyDescent="0.2">
      <c r="A1647" s="37">
        <v>1645</v>
      </c>
      <c r="C1647" s="17">
        <f>+'Detalle Compras'!D1114</f>
        <v>0</v>
      </c>
      <c r="D1647" s="55" t="str">
        <f t="shared" si="88"/>
        <v/>
      </c>
      <c r="E1647" s="14" t="str">
        <f>+IF(B1647="","",'Detalle Compras'!S1647+0)</f>
        <v/>
      </c>
      <c r="F1647" s="14" t="str">
        <f>+IF(B1647="","",EOMONTH('Detalle Compras'!S1647,G1647)+10)</f>
        <v/>
      </c>
      <c r="G1647" s="50">
        <f t="shared" si="89"/>
        <v>0</v>
      </c>
      <c r="H1647" s="50">
        <f t="shared" si="90"/>
        <v>0</v>
      </c>
    </row>
    <row r="1648" spans="1:8" x14ac:dyDescent="0.2">
      <c r="A1648" s="37">
        <v>1646</v>
      </c>
      <c r="C1648" s="17">
        <f>+'Detalle Compras'!D1115</f>
        <v>0</v>
      </c>
      <c r="D1648" s="55" t="str">
        <f t="shared" si="88"/>
        <v/>
      </c>
      <c r="E1648" s="14" t="str">
        <f>+IF(B1648="","",'Detalle Compras'!S1648+0)</f>
        <v/>
      </c>
      <c r="F1648" s="14" t="str">
        <f>+IF(B1648="","",EOMONTH('Detalle Compras'!S1648,G1648)+10)</f>
        <v/>
      </c>
      <c r="G1648" s="50">
        <f t="shared" si="89"/>
        <v>0</v>
      </c>
      <c r="H1648" s="50">
        <f t="shared" si="90"/>
        <v>0</v>
      </c>
    </row>
    <row r="1649" spans="1:8" x14ac:dyDescent="0.2">
      <c r="A1649" s="37">
        <v>1647</v>
      </c>
      <c r="C1649" s="17">
        <f>+'Detalle Compras'!D1116</f>
        <v>0</v>
      </c>
      <c r="D1649" s="55" t="str">
        <f t="shared" si="88"/>
        <v/>
      </c>
      <c r="E1649" s="14" t="str">
        <f>+IF(B1649="","",'Detalle Compras'!S1649+0)</f>
        <v/>
      </c>
      <c r="F1649" s="14" t="str">
        <f>+IF(B1649="","",EOMONTH('Detalle Compras'!S1649,G1649)+10)</f>
        <v/>
      </c>
      <c r="G1649" s="50">
        <f t="shared" si="89"/>
        <v>0</v>
      </c>
      <c r="H1649" s="50">
        <f t="shared" si="90"/>
        <v>0</v>
      </c>
    </row>
    <row r="1650" spans="1:8" x14ac:dyDescent="0.2">
      <c r="A1650" s="37">
        <v>1648</v>
      </c>
      <c r="C1650" s="17">
        <f>+'Detalle Compras'!D1117</f>
        <v>0</v>
      </c>
      <c r="D1650" s="55" t="str">
        <f t="shared" si="88"/>
        <v/>
      </c>
      <c r="E1650" s="14" t="str">
        <f>+IF(B1650="","",'Detalle Compras'!S1650+0)</f>
        <v/>
      </c>
      <c r="F1650" s="14" t="str">
        <f>+IF(B1650="","",EOMONTH('Detalle Compras'!S1650,G1650)+10)</f>
        <v/>
      </c>
      <c r="G1650" s="50">
        <f t="shared" si="89"/>
        <v>0</v>
      </c>
      <c r="H1650" s="50">
        <f t="shared" si="90"/>
        <v>0</v>
      </c>
    </row>
    <row r="1651" spans="1:8" x14ac:dyDescent="0.2">
      <c r="A1651" s="37">
        <v>1649</v>
      </c>
      <c r="C1651" s="17">
        <f>+'Detalle Compras'!D1118</f>
        <v>0</v>
      </c>
      <c r="D1651" s="55" t="str">
        <f t="shared" si="88"/>
        <v/>
      </c>
      <c r="E1651" s="14" t="str">
        <f>+IF(B1651="","",'Detalle Compras'!S1651+0)</f>
        <v/>
      </c>
      <c r="F1651" s="14" t="str">
        <f>+IF(B1651="","",EOMONTH('Detalle Compras'!S1651,G1651)+10)</f>
        <v/>
      </c>
      <c r="G1651" s="50">
        <f t="shared" si="89"/>
        <v>0</v>
      </c>
      <c r="H1651" s="50">
        <f t="shared" si="90"/>
        <v>0</v>
      </c>
    </row>
    <row r="1652" spans="1:8" x14ac:dyDescent="0.2">
      <c r="A1652" s="37">
        <v>1650</v>
      </c>
      <c r="C1652" s="17">
        <f>+'Detalle Compras'!D1119</f>
        <v>0</v>
      </c>
      <c r="D1652" s="55" t="str">
        <f t="shared" si="88"/>
        <v/>
      </c>
      <c r="E1652" s="14" t="str">
        <f>+IF(B1652="","",'Detalle Compras'!S1652+0)</f>
        <v/>
      </c>
      <c r="F1652" s="14" t="str">
        <f>+IF(B1652="","",EOMONTH('Detalle Compras'!S1652,G1652)+10)</f>
        <v/>
      </c>
      <c r="G1652" s="50">
        <f t="shared" si="89"/>
        <v>0</v>
      </c>
      <c r="H1652" s="50">
        <f t="shared" si="90"/>
        <v>0</v>
      </c>
    </row>
    <row r="1653" spans="1:8" x14ac:dyDescent="0.2">
      <c r="A1653" s="37">
        <v>1651</v>
      </c>
      <c r="C1653" s="17">
        <f>+'Detalle Compras'!D1120</f>
        <v>0</v>
      </c>
      <c r="D1653" s="55" t="str">
        <f t="shared" si="88"/>
        <v/>
      </c>
      <c r="E1653" s="14" t="str">
        <f>+IF(B1653="","",'Detalle Compras'!S1653+0)</f>
        <v/>
      </c>
      <c r="F1653" s="14" t="str">
        <f>+IF(B1653="","",EOMONTH('Detalle Compras'!S1653,G1653)+10)</f>
        <v/>
      </c>
      <c r="G1653" s="50">
        <f t="shared" si="89"/>
        <v>0</v>
      </c>
      <c r="H1653" s="50">
        <f t="shared" si="90"/>
        <v>0</v>
      </c>
    </row>
    <row r="1654" spans="1:8" x14ac:dyDescent="0.2">
      <c r="A1654" s="37">
        <v>1652</v>
      </c>
      <c r="C1654" s="17">
        <f>+'Detalle Compras'!D1121</f>
        <v>0</v>
      </c>
      <c r="D1654" s="55" t="str">
        <f t="shared" si="88"/>
        <v/>
      </c>
      <c r="E1654" s="14" t="str">
        <f>+IF(B1654="","",'Detalle Compras'!S1654+0)</f>
        <v/>
      </c>
      <c r="F1654" s="14" t="str">
        <f>+IF(B1654="","",EOMONTH('Detalle Compras'!S1654,G1654)+10)</f>
        <v/>
      </c>
      <c r="G1654" s="50">
        <f t="shared" si="89"/>
        <v>0</v>
      </c>
      <c r="H1654" s="50">
        <f t="shared" si="90"/>
        <v>0</v>
      </c>
    </row>
    <row r="1655" spans="1:8" x14ac:dyDescent="0.2">
      <c r="A1655" s="37">
        <v>1653</v>
      </c>
      <c r="C1655" s="17">
        <f>+'Detalle Compras'!D1122</f>
        <v>0</v>
      </c>
      <c r="D1655" s="55" t="str">
        <f t="shared" si="88"/>
        <v/>
      </c>
      <c r="E1655" s="14" t="str">
        <f>+IF(B1655="","",'Detalle Compras'!S1655+0)</f>
        <v/>
      </c>
      <c r="F1655" s="14" t="str">
        <f>+IF(B1655="","",EOMONTH('Detalle Compras'!S1655,G1655)+10)</f>
        <v/>
      </c>
      <c r="G1655" s="50">
        <f t="shared" si="89"/>
        <v>0</v>
      </c>
      <c r="H1655" s="50">
        <f t="shared" si="90"/>
        <v>0</v>
      </c>
    </row>
    <row r="1656" spans="1:8" x14ac:dyDescent="0.2">
      <c r="A1656" s="37">
        <v>1654</v>
      </c>
      <c r="C1656" s="17">
        <f>+'Detalle Compras'!D1123</f>
        <v>0</v>
      </c>
      <c r="D1656" s="55" t="str">
        <f t="shared" si="88"/>
        <v/>
      </c>
      <c r="E1656" s="14" t="str">
        <f>+IF(B1656="","",'Detalle Compras'!S1656+0)</f>
        <v/>
      </c>
      <c r="F1656" s="14" t="str">
        <f>+IF(B1656="","",EOMONTH('Detalle Compras'!S1656,G1656)+10)</f>
        <v/>
      </c>
      <c r="G1656" s="50">
        <f t="shared" si="89"/>
        <v>0</v>
      </c>
      <c r="H1656" s="50">
        <f t="shared" si="90"/>
        <v>0</v>
      </c>
    </row>
    <row r="1657" spans="1:8" x14ac:dyDescent="0.2">
      <c r="A1657" s="37">
        <v>1655</v>
      </c>
      <c r="C1657" s="17">
        <f>+'Detalle Compras'!D1124</f>
        <v>0</v>
      </c>
      <c r="D1657" s="55" t="str">
        <f t="shared" si="88"/>
        <v/>
      </c>
      <c r="E1657" s="14" t="str">
        <f>+IF(B1657="","",'Detalle Compras'!S1657+0)</f>
        <v/>
      </c>
      <c r="F1657" s="14" t="str">
        <f>+IF(B1657="","",EOMONTH('Detalle Compras'!S1657,G1657)+10)</f>
        <v/>
      </c>
      <c r="G1657" s="50">
        <f t="shared" si="89"/>
        <v>0</v>
      </c>
      <c r="H1657" s="50">
        <f t="shared" si="90"/>
        <v>0</v>
      </c>
    </row>
    <row r="1658" spans="1:8" x14ac:dyDescent="0.2">
      <c r="A1658" s="37">
        <v>1656</v>
      </c>
      <c r="C1658" s="17">
        <f>+'Detalle Compras'!D1125</f>
        <v>0</v>
      </c>
      <c r="D1658" s="55" t="str">
        <f t="shared" si="88"/>
        <v/>
      </c>
      <c r="E1658" s="14" t="str">
        <f>+IF(B1658="","",'Detalle Compras'!S1658+0)</f>
        <v/>
      </c>
      <c r="F1658" s="14" t="str">
        <f>+IF(B1658="","",EOMONTH('Detalle Compras'!S1658,G1658)+10)</f>
        <v/>
      </c>
      <c r="G1658" s="50">
        <f t="shared" si="89"/>
        <v>0</v>
      </c>
      <c r="H1658" s="50">
        <f t="shared" si="90"/>
        <v>0</v>
      </c>
    </row>
    <row r="1659" spans="1:8" x14ac:dyDescent="0.2">
      <c r="A1659" s="37">
        <v>1657</v>
      </c>
      <c r="C1659" s="17">
        <f>+'Detalle Compras'!D1126</f>
        <v>0</v>
      </c>
      <c r="D1659" s="55" t="str">
        <f t="shared" si="88"/>
        <v/>
      </c>
      <c r="E1659" s="14" t="str">
        <f>+IF(B1659="","",'Detalle Compras'!S1659+0)</f>
        <v/>
      </c>
      <c r="F1659" s="14" t="str">
        <f>+IF(B1659="","",EOMONTH('Detalle Compras'!S1659,G1659)+10)</f>
        <v/>
      </c>
      <c r="G1659" s="50">
        <f t="shared" si="89"/>
        <v>0</v>
      </c>
      <c r="H1659" s="50">
        <f t="shared" si="90"/>
        <v>0</v>
      </c>
    </row>
    <row r="1660" spans="1:8" x14ac:dyDescent="0.2">
      <c r="A1660" s="37">
        <v>1658</v>
      </c>
      <c r="C1660" s="17">
        <f>+'Detalle Compras'!D1127</f>
        <v>0</v>
      </c>
      <c r="D1660" s="55" t="str">
        <f t="shared" si="88"/>
        <v/>
      </c>
      <c r="E1660" s="14" t="str">
        <f>+IF(B1660="","",'Detalle Compras'!S1660+0)</f>
        <v/>
      </c>
      <c r="F1660" s="14" t="str">
        <f>+IF(B1660="","",EOMONTH('Detalle Compras'!S1660,G1660)+10)</f>
        <v/>
      </c>
      <c r="G1660" s="50">
        <f t="shared" si="89"/>
        <v>0</v>
      </c>
      <c r="H1660" s="50">
        <f t="shared" si="90"/>
        <v>0</v>
      </c>
    </row>
    <row r="1661" spans="1:8" x14ac:dyDescent="0.2">
      <c r="A1661" s="37">
        <v>1659</v>
      </c>
      <c r="C1661" s="17">
        <f>+'Detalle Compras'!D1128</f>
        <v>0</v>
      </c>
      <c r="D1661" s="55" t="str">
        <f t="shared" si="88"/>
        <v/>
      </c>
      <c r="E1661" s="14" t="str">
        <f>+IF(B1661="","",'Detalle Compras'!S1661+0)</f>
        <v/>
      </c>
      <c r="F1661" s="14" t="str">
        <f>+IF(B1661="","",EOMONTH('Detalle Compras'!S1661,G1661)+10)</f>
        <v/>
      </c>
      <c r="G1661" s="50">
        <f t="shared" si="89"/>
        <v>0</v>
      </c>
      <c r="H1661" s="50">
        <f t="shared" si="90"/>
        <v>0</v>
      </c>
    </row>
    <row r="1662" spans="1:8" x14ac:dyDescent="0.2">
      <c r="A1662" s="37">
        <v>1660</v>
      </c>
      <c r="C1662" s="17">
        <f>+'Detalle Compras'!D1129</f>
        <v>0</v>
      </c>
      <c r="D1662" s="55" t="str">
        <f t="shared" si="88"/>
        <v/>
      </c>
      <c r="E1662" s="14" t="str">
        <f>+IF(B1662="","",'Detalle Compras'!S1662+0)</f>
        <v/>
      </c>
      <c r="F1662" s="14" t="str">
        <f>+IF(B1662="","",EOMONTH('Detalle Compras'!S1662,G1662)+10)</f>
        <v/>
      </c>
      <c r="G1662" s="50">
        <f t="shared" si="89"/>
        <v>0</v>
      </c>
      <c r="H1662" s="50">
        <f t="shared" si="90"/>
        <v>0</v>
      </c>
    </row>
    <row r="1663" spans="1:8" x14ac:dyDescent="0.2">
      <c r="A1663" s="37">
        <v>1661</v>
      </c>
      <c r="C1663" s="17">
        <f>+'Detalle Compras'!D1130</f>
        <v>0</v>
      </c>
      <c r="D1663" s="55" t="str">
        <f t="shared" si="88"/>
        <v/>
      </c>
      <c r="E1663" s="14" t="str">
        <f>+IF(B1663="","",'Detalle Compras'!S1663+0)</f>
        <v/>
      </c>
      <c r="F1663" s="14" t="str">
        <f>+IF(B1663="","",EOMONTH('Detalle Compras'!S1663,G1663)+10)</f>
        <v/>
      </c>
      <c r="G1663" s="50">
        <f t="shared" si="89"/>
        <v>0</v>
      </c>
      <c r="H1663" s="50">
        <f t="shared" si="90"/>
        <v>0</v>
      </c>
    </row>
    <row r="1664" spans="1:8" x14ac:dyDescent="0.2">
      <c r="A1664" s="37">
        <v>1662</v>
      </c>
      <c r="C1664" s="17">
        <f>+'Detalle Compras'!D1131</f>
        <v>0</v>
      </c>
      <c r="D1664" s="55" t="str">
        <f t="shared" si="88"/>
        <v/>
      </c>
      <c r="E1664" s="14" t="str">
        <f>+IF(B1664="","",'Detalle Compras'!S1664+0)</f>
        <v/>
      </c>
      <c r="F1664" s="14" t="str">
        <f>+IF(B1664="","",EOMONTH('Detalle Compras'!S1664,G1664)+10)</f>
        <v/>
      </c>
      <c r="G1664" s="50">
        <f t="shared" si="89"/>
        <v>0</v>
      </c>
      <c r="H1664" s="50">
        <f t="shared" si="90"/>
        <v>0</v>
      </c>
    </row>
    <row r="1665" spans="1:8" x14ac:dyDescent="0.2">
      <c r="A1665" s="37">
        <v>1663</v>
      </c>
      <c r="C1665" s="17">
        <f>+'Detalle Compras'!D1132</f>
        <v>0</v>
      </c>
      <c r="D1665" s="55" t="str">
        <f t="shared" si="88"/>
        <v/>
      </c>
      <c r="E1665" s="14" t="str">
        <f>+IF(B1665="","",'Detalle Compras'!S1665+0)</f>
        <v/>
      </c>
      <c r="F1665" s="14" t="str">
        <f>+IF(B1665="","",EOMONTH('Detalle Compras'!S1665,G1665)+10)</f>
        <v/>
      </c>
      <c r="G1665" s="50">
        <f t="shared" si="89"/>
        <v>0</v>
      </c>
      <c r="H1665" s="50">
        <f t="shared" si="90"/>
        <v>0</v>
      </c>
    </row>
    <row r="1666" spans="1:8" x14ac:dyDescent="0.2">
      <c r="A1666" s="37">
        <v>1664</v>
      </c>
      <c r="C1666" s="17">
        <f>+'Detalle Compras'!D1133</f>
        <v>0</v>
      </c>
      <c r="D1666" s="55" t="str">
        <f t="shared" si="88"/>
        <v/>
      </c>
      <c r="E1666" s="14" t="str">
        <f>+IF(B1666="","",'Detalle Compras'!S1666+0)</f>
        <v/>
      </c>
      <c r="F1666" s="14" t="str">
        <f>+IF(B1666="","",EOMONTH('Detalle Compras'!S1666,G1666)+10)</f>
        <v/>
      </c>
      <c r="G1666" s="50">
        <f t="shared" si="89"/>
        <v>0</v>
      </c>
      <c r="H1666" s="50">
        <f t="shared" si="90"/>
        <v>0</v>
      </c>
    </row>
    <row r="1667" spans="1:8" x14ac:dyDescent="0.2">
      <c r="A1667" s="37">
        <v>1665</v>
      </c>
      <c r="C1667" s="17">
        <f>+'Detalle Compras'!D1134</f>
        <v>0</v>
      </c>
      <c r="D1667" s="55" t="str">
        <f t="shared" si="88"/>
        <v/>
      </c>
      <c r="E1667" s="14" t="str">
        <f>+IF(B1667="","",'Detalle Compras'!S1667+0)</f>
        <v/>
      </c>
      <c r="F1667" s="14" t="str">
        <f>+IF(B1667="","",EOMONTH('Detalle Compras'!S1667,G1667)+10)</f>
        <v/>
      </c>
      <c r="G1667" s="50">
        <f t="shared" si="89"/>
        <v>0</v>
      </c>
      <c r="H1667" s="50">
        <f t="shared" si="90"/>
        <v>0</v>
      </c>
    </row>
    <row r="1668" spans="1:8" x14ac:dyDescent="0.2">
      <c r="A1668" s="37">
        <v>1666</v>
      </c>
      <c r="C1668" s="17">
        <f>+'Detalle Compras'!D1135</f>
        <v>0</v>
      </c>
      <c r="D1668" s="55" t="str">
        <f t="shared" ref="D1668:D1731" si="91">+IF(B1668="","",EA1668)</f>
        <v/>
      </c>
      <c r="E1668" s="14" t="str">
        <f>+IF(B1668="","",'Detalle Compras'!S1668+0)</f>
        <v/>
      </c>
      <c r="F1668" s="14" t="str">
        <f>+IF(B1668="","",EOMONTH('Detalle Compras'!S1668,G1668)+10)</f>
        <v/>
      </c>
      <c r="G1668" s="50">
        <f t="shared" ref="G1668:G1731" si="92">+COUNTIF(I1668:ADF1668,"&gt;1")</f>
        <v>0</v>
      </c>
      <c r="H1668" s="50">
        <f t="shared" ref="H1668:H1731" si="93">+COUNT(AF1668:ADF1668)</f>
        <v>0</v>
      </c>
    </row>
    <row r="1669" spans="1:8" x14ac:dyDescent="0.2">
      <c r="A1669" s="37">
        <v>1667</v>
      </c>
      <c r="C1669" s="17">
        <f>+'Detalle Compras'!D1136</f>
        <v>0</v>
      </c>
      <c r="D1669" s="55" t="str">
        <f t="shared" si="91"/>
        <v/>
      </c>
      <c r="E1669" s="14" t="str">
        <f>+IF(B1669="","",'Detalle Compras'!S1669+0)</f>
        <v/>
      </c>
      <c r="F1669" s="14" t="str">
        <f>+IF(B1669="","",EOMONTH('Detalle Compras'!S1669,G1669)+10)</f>
        <v/>
      </c>
      <c r="G1669" s="50">
        <f t="shared" si="92"/>
        <v>0</v>
      </c>
      <c r="H1669" s="50">
        <f t="shared" si="93"/>
        <v>0</v>
      </c>
    </row>
    <row r="1670" spans="1:8" x14ac:dyDescent="0.2">
      <c r="A1670" s="37">
        <v>1668</v>
      </c>
      <c r="C1670" s="17">
        <f>+'Detalle Compras'!D1137</f>
        <v>0</v>
      </c>
      <c r="D1670" s="55" t="str">
        <f t="shared" si="91"/>
        <v/>
      </c>
      <c r="E1670" s="14" t="str">
        <f>+IF(B1670="","",'Detalle Compras'!S1670+0)</f>
        <v/>
      </c>
      <c r="F1670" s="14" t="str">
        <f>+IF(B1670="","",EOMONTH('Detalle Compras'!S1670,G1670)+10)</f>
        <v/>
      </c>
      <c r="G1670" s="50">
        <f t="shared" si="92"/>
        <v>0</v>
      </c>
      <c r="H1670" s="50">
        <f t="shared" si="93"/>
        <v>0</v>
      </c>
    </row>
    <row r="1671" spans="1:8" x14ac:dyDescent="0.2">
      <c r="A1671" s="37">
        <v>1669</v>
      </c>
      <c r="C1671" s="17">
        <f>+'Detalle Compras'!D1138</f>
        <v>0</v>
      </c>
      <c r="D1671" s="55" t="str">
        <f t="shared" si="91"/>
        <v/>
      </c>
      <c r="E1671" s="14" t="str">
        <f>+IF(B1671="","",'Detalle Compras'!S1671+0)</f>
        <v/>
      </c>
      <c r="F1671" s="14" t="str">
        <f>+IF(B1671="","",EOMONTH('Detalle Compras'!S1671,G1671)+10)</f>
        <v/>
      </c>
      <c r="G1671" s="50">
        <f t="shared" si="92"/>
        <v>0</v>
      </c>
      <c r="H1671" s="50">
        <f t="shared" si="93"/>
        <v>0</v>
      </c>
    </row>
    <row r="1672" spans="1:8" x14ac:dyDescent="0.2">
      <c r="A1672" s="37">
        <v>1670</v>
      </c>
      <c r="C1672" s="17">
        <f>+'Detalle Compras'!D1139</f>
        <v>0</v>
      </c>
      <c r="D1672" s="55" t="str">
        <f t="shared" si="91"/>
        <v/>
      </c>
      <c r="E1672" s="14" t="str">
        <f>+IF(B1672="","",'Detalle Compras'!S1672+0)</f>
        <v/>
      </c>
      <c r="F1672" s="14" t="str">
        <f>+IF(B1672="","",EOMONTH('Detalle Compras'!S1672,G1672)+10)</f>
        <v/>
      </c>
      <c r="G1672" s="50">
        <f t="shared" si="92"/>
        <v>0</v>
      </c>
      <c r="H1672" s="50">
        <f t="shared" si="93"/>
        <v>0</v>
      </c>
    </row>
    <row r="1673" spans="1:8" x14ac:dyDescent="0.2">
      <c r="A1673" s="37">
        <v>1671</v>
      </c>
      <c r="C1673" s="17">
        <f>+'Detalle Compras'!D1140</f>
        <v>0</v>
      </c>
      <c r="D1673" s="55" t="str">
        <f t="shared" si="91"/>
        <v/>
      </c>
      <c r="E1673" s="14" t="str">
        <f>+IF(B1673="","",'Detalle Compras'!S1673+0)</f>
        <v/>
      </c>
      <c r="F1673" s="14" t="str">
        <f>+IF(B1673="","",EOMONTH('Detalle Compras'!S1673,G1673)+10)</f>
        <v/>
      </c>
      <c r="G1673" s="50">
        <f t="shared" si="92"/>
        <v>0</v>
      </c>
      <c r="H1673" s="50">
        <f t="shared" si="93"/>
        <v>0</v>
      </c>
    </row>
    <row r="1674" spans="1:8" x14ac:dyDescent="0.2">
      <c r="A1674" s="37">
        <v>1672</v>
      </c>
      <c r="C1674" s="17">
        <f>+'Detalle Compras'!D1141</f>
        <v>0</v>
      </c>
      <c r="D1674" s="55" t="str">
        <f t="shared" si="91"/>
        <v/>
      </c>
      <c r="E1674" s="14" t="str">
        <f>+IF(B1674="","",'Detalle Compras'!S1674+0)</f>
        <v/>
      </c>
      <c r="F1674" s="14" t="str">
        <f>+IF(B1674="","",EOMONTH('Detalle Compras'!S1674,G1674)+10)</f>
        <v/>
      </c>
      <c r="G1674" s="50">
        <f t="shared" si="92"/>
        <v>0</v>
      </c>
      <c r="H1674" s="50">
        <f t="shared" si="93"/>
        <v>0</v>
      </c>
    </row>
    <row r="1675" spans="1:8" x14ac:dyDescent="0.2">
      <c r="A1675" s="37">
        <v>1673</v>
      </c>
      <c r="C1675" s="17">
        <f>+'Detalle Compras'!D1142</f>
        <v>0</v>
      </c>
      <c r="D1675" s="55" t="str">
        <f t="shared" si="91"/>
        <v/>
      </c>
      <c r="E1675" s="14" t="str">
        <f>+IF(B1675="","",'Detalle Compras'!S1675+0)</f>
        <v/>
      </c>
      <c r="F1675" s="14" t="str">
        <f>+IF(B1675="","",EOMONTH('Detalle Compras'!S1675,G1675)+10)</f>
        <v/>
      </c>
      <c r="G1675" s="50">
        <f t="shared" si="92"/>
        <v>0</v>
      </c>
      <c r="H1675" s="50">
        <f t="shared" si="93"/>
        <v>0</v>
      </c>
    </row>
    <row r="1676" spans="1:8" x14ac:dyDescent="0.2">
      <c r="A1676" s="37">
        <v>1674</v>
      </c>
      <c r="C1676" s="17">
        <f>+'Detalle Compras'!D1143</f>
        <v>0</v>
      </c>
      <c r="D1676" s="55" t="str">
        <f t="shared" si="91"/>
        <v/>
      </c>
      <c r="E1676" s="14" t="str">
        <f>+IF(B1676="","",'Detalle Compras'!S1676+0)</f>
        <v/>
      </c>
      <c r="F1676" s="14" t="str">
        <f>+IF(B1676="","",EOMONTH('Detalle Compras'!S1676,G1676)+10)</f>
        <v/>
      </c>
      <c r="G1676" s="50">
        <f t="shared" si="92"/>
        <v>0</v>
      </c>
      <c r="H1676" s="50">
        <f t="shared" si="93"/>
        <v>0</v>
      </c>
    </row>
    <row r="1677" spans="1:8" x14ac:dyDescent="0.2">
      <c r="A1677" s="37">
        <v>1675</v>
      </c>
      <c r="C1677" s="17">
        <f>+'Detalle Compras'!D1144</f>
        <v>0</v>
      </c>
      <c r="D1677" s="55" t="str">
        <f t="shared" si="91"/>
        <v/>
      </c>
      <c r="E1677" s="14" t="str">
        <f>+IF(B1677="","",'Detalle Compras'!S1677+0)</f>
        <v/>
      </c>
      <c r="F1677" s="14" t="str">
        <f>+IF(B1677="","",EOMONTH('Detalle Compras'!S1677,G1677)+10)</f>
        <v/>
      </c>
      <c r="G1677" s="50">
        <f t="shared" si="92"/>
        <v>0</v>
      </c>
      <c r="H1677" s="50">
        <f t="shared" si="93"/>
        <v>0</v>
      </c>
    </row>
    <row r="1678" spans="1:8" x14ac:dyDescent="0.2">
      <c r="A1678" s="37">
        <v>1676</v>
      </c>
      <c r="C1678" s="17">
        <f>+'Detalle Compras'!D1145</f>
        <v>0</v>
      </c>
      <c r="D1678" s="55" t="str">
        <f t="shared" si="91"/>
        <v/>
      </c>
      <c r="E1678" s="14" t="str">
        <f>+IF(B1678="","",'Detalle Compras'!S1678+0)</f>
        <v/>
      </c>
      <c r="F1678" s="14" t="str">
        <f>+IF(B1678="","",EOMONTH('Detalle Compras'!S1678,G1678)+10)</f>
        <v/>
      </c>
      <c r="G1678" s="50">
        <f t="shared" si="92"/>
        <v>0</v>
      </c>
      <c r="H1678" s="50">
        <f t="shared" si="93"/>
        <v>0</v>
      </c>
    </row>
    <row r="1679" spans="1:8" x14ac:dyDescent="0.2">
      <c r="A1679" s="37">
        <v>1677</v>
      </c>
      <c r="C1679" s="17">
        <f>+'Detalle Compras'!D1146</f>
        <v>0</v>
      </c>
      <c r="D1679" s="55" t="str">
        <f t="shared" si="91"/>
        <v/>
      </c>
      <c r="E1679" s="14" t="str">
        <f>+IF(B1679="","",'Detalle Compras'!S1679+0)</f>
        <v/>
      </c>
      <c r="F1679" s="14" t="str">
        <f>+IF(B1679="","",EOMONTH('Detalle Compras'!S1679,G1679)+10)</f>
        <v/>
      </c>
      <c r="G1679" s="50">
        <f t="shared" si="92"/>
        <v>0</v>
      </c>
      <c r="H1679" s="50">
        <f t="shared" si="93"/>
        <v>0</v>
      </c>
    </row>
    <row r="1680" spans="1:8" x14ac:dyDescent="0.2">
      <c r="A1680" s="37">
        <v>1678</v>
      </c>
      <c r="C1680" s="17">
        <f>+'Detalle Compras'!D1147</f>
        <v>0</v>
      </c>
      <c r="D1680" s="55" t="str">
        <f t="shared" si="91"/>
        <v/>
      </c>
      <c r="E1680" s="14" t="str">
        <f>+IF(B1680="","",'Detalle Compras'!S1680+0)</f>
        <v/>
      </c>
      <c r="F1680" s="14" t="str">
        <f>+IF(B1680="","",EOMONTH('Detalle Compras'!S1680,G1680)+10)</f>
        <v/>
      </c>
      <c r="G1680" s="50">
        <f t="shared" si="92"/>
        <v>0</v>
      </c>
      <c r="H1680" s="50">
        <f t="shared" si="93"/>
        <v>0</v>
      </c>
    </row>
    <row r="1681" spans="1:8" x14ac:dyDescent="0.2">
      <c r="A1681" s="37">
        <v>1679</v>
      </c>
      <c r="C1681" s="17">
        <f>+'Detalle Compras'!D1148</f>
        <v>0</v>
      </c>
      <c r="D1681" s="55" t="str">
        <f t="shared" si="91"/>
        <v/>
      </c>
      <c r="E1681" s="14" t="str">
        <f>+IF(B1681="","",'Detalle Compras'!S1681+0)</f>
        <v/>
      </c>
      <c r="F1681" s="14" t="str">
        <f>+IF(B1681="","",EOMONTH('Detalle Compras'!S1681,G1681)+10)</f>
        <v/>
      </c>
      <c r="G1681" s="50">
        <f t="shared" si="92"/>
        <v>0</v>
      </c>
      <c r="H1681" s="50">
        <f t="shared" si="93"/>
        <v>0</v>
      </c>
    </row>
    <row r="1682" spans="1:8" x14ac:dyDescent="0.2">
      <c r="A1682" s="37">
        <v>1680</v>
      </c>
      <c r="C1682" s="17">
        <f>+'Detalle Compras'!D1149</f>
        <v>0</v>
      </c>
      <c r="D1682" s="55" t="str">
        <f t="shared" si="91"/>
        <v/>
      </c>
      <c r="E1682" s="14" t="str">
        <f>+IF(B1682="","",'Detalle Compras'!S1682+0)</f>
        <v/>
      </c>
      <c r="F1682" s="14" t="str">
        <f>+IF(B1682="","",EOMONTH('Detalle Compras'!S1682,G1682)+10)</f>
        <v/>
      </c>
      <c r="G1682" s="50">
        <f t="shared" si="92"/>
        <v>0</v>
      </c>
      <c r="H1682" s="50">
        <f t="shared" si="93"/>
        <v>0</v>
      </c>
    </row>
    <row r="1683" spans="1:8" x14ac:dyDescent="0.2">
      <c r="A1683" s="37">
        <v>1681</v>
      </c>
      <c r="C1683" s="17">
        <f>+'Detalle Compras'!D1150</f>
        <v>0</v>
      </c>
      <c r="D1683" s="55" t="str">
        <f t="shared" si="91"/>
        <v/>
      </c>
      <c r="E1683" s="14" t="str">
        <f>+IF(B1683="","",'Detalle Compras'!S1683+0)</f>
        <v/>
      </c>
      <c r="F1683" s="14" t="str">
        <f>+IF(B1683="","",EOMONTH('Detalle Compras'!S1683,G1683)+10)</f>
        <v/>
      </c>
      <c r="G1683" s="50">
        <f t="shared" si="92"/>
        <v>0</v>
      </c>
      <c r="H1683" s="50">
        <f t="shared" si="93"/>
        <v>0</v>
      </c>
    </row>
    <row r="1684" spans="1:8" x14ac:dyDescent="0.2">
      <c r="A1684" s="37">
        <v>1682</v>
      </c>
      <c r="C1684" s="17">
        <f>+'Detalle Compras'!D1151</f>
        <v>0</v>
      </c>
      <c r="D1684" s="55" t="str">
        <f t="shared" si="91"/>
        <v/>
      </c>
      <c r="E1684" s="14" t="str">
        <f>+IF(B1684="","",'Detalle Compras'!S1684+0)</f>
        <v/>
      </c>
      <c r="F1684" s="14" t="str">
        <f>+IF(B1684="","",EOMONTH('Detalle Compras'!S1684,G1684)+10)</f>
        <v/>
      </c>
      <c r="G1684" s="50">
        <f t="shared" si="92"/>
        <v>0</v>
      </c>
      <c r="H1684" s="50">
        <f t="shared" si="93"/>
        <v>0</v>
      </c>
    </row>
    <row r="1685" spans="1:8" x14ac:dyDescent="0.2">
      <c r="A1685" s="37">
        <v>1683</v>
      </c>
      <c r="C1685" s="17">
        <f>+'Detalle Compras'!D1152</f>
        <v>0</v>
      </c>
      <c r="D1685" s="55" t="str">
        <f t="shared" si="91"/>
        <v/>
      </c>
      <c r="E1685" s="14" t="str">
        <f>+IF(B1685="","",'Detalle Compras'!S1685+0)</f>
        <v/>
      </c>
      <c r="F1685" s="14" t="str">
        <f>+IF(B1685="","",EOMONTH('Detalle Compras'!S1685,G1685)+10)</f>
        <v/>
      </c>
      <c r="G1685" s="50">
        <f t="shared" si="92"/>
        <v>0</v>
      </c>
      <c r="H1685" s="50">
        <f t="shared" si="93"/>
        <v>0</v>
      </c>
    </row>
    <row r="1686" spans="1:8" x14ac:dyDescent="0.2">
      <c r="A1686" s="37">
        <v>1684</v>
      </c>
      <c r="C1686" s="17">
        <f>+'Detalle Compras'!D1153</f>
        <v>0</v>
      </c>
      <c r="D1686" s="55" t="str">
        <f t="shared" si="91"/>
        <v/>
      </c>
      <c r="E1686" s="14" t="str">
        <f>+IF(B1686="","",'Detalle Compras'!S1686+0)</f>
        <v/>
      </c>
      <c r="F1686" s="14" t="str">
        <f>+IF(B1686="","",EOMONTH('Detalle Compras'!S1686,G1686)+10)</f>
        <v/>
      </c>
      <c r="G1686" s="50">
        <f t="shared" si="92"/>
        <v>0</v>
      </c>
      <c r="H1686" s="50">
        <f t="shared" si="93"/>
        <v>0</v>
      </c>
    </row>
    <row r="1687" spans="1:8" x14ac:dyDescent="0.2">
      <c r="A1687" s="37">
        <v>1685</v>
      </c>
      <c r="C1687" s="17">
        <f>+'Detalle Compras'!D1154</f>
        <v>0</v>
      </c>
      <c r="D1687" s="55" t="str">
        <f t="shared" si="91"/>
        <v/>
      </c>
      <c r="E1687" s="14" t="str">
        <f>+IF(B1687="","",'Detalle Compras'!S1687+0)</f>
        <v/>
      </c>
      <c r="F1687" s="14" t="str">
        <f>+IF(B1687="","",EOMONTH('Detalle Compras'!S1687,G1687)+10)</f>
        <v/>
      </c>
      <c r="G1687" s="50">
        <f t="shared" si="92"/>
        <v>0</v>
      </c>
      <c r="H1687" s="50">
        <f t="shared" si="93"/>
        <v>0</v>
      </c>
    </row>
    <row r="1688" spans="1:8" x14ac:dyDescent="0.2">
      <c r="A1688" s="37">
        <v>1686</v>
      </c>
      <c r="C1688" s="17">
        <f>+'Detalle Compras'!D1155</f>
        <v>0</v>
      </c>
      <c r="D1688" s="55" t="str">
        <f t="shared" si="91"/>
        <v/>
      </c>
      <c r="E1688" s="14" t="str">
        <f>+IF(B1688="","",'Detalle Compras'!S1688+0)</f>
        <v/>
      </c>
      <c r="F1688" s="14" t="str">
        <f>+IF(B1688="","",EOMONTH('Detalle Compras'!S1688,G1688)+10)</f>
        <v/>
      </c>
      <c r="G1688" s="50">
        <f t="shared" si="92"/>
        <v>0</v>
      </c>
      <c r="H1688" s="50">
        <f t="shared" si="93"/>
        <v>0</v>
      </c>
    </row>
    <row r="1689" spans="1:8" x14ac:dyDescent="0.2">
      <c r="A1689" s="37">
        <v>1687</v>
      </c>
      <c r="C1689" s="17">
        <f>+'Detalle Compras'!D1156</f>
        <v>0</v>
      </c>
      <c r="D1689" s="55" t="str">
        <f t="shared" si="91"/>
        <v/>
      </c>
      <c r="E1689" s="14" t="str">
        <f>+IF(B1689="","",'Detalle Compras'!S1689+0)</f>
        <v/>
      </c>
      <c r="F1689" s="14" t="str">
        <f>+IF(B1689="","",EOMONTH('Detalle Compras'!S1689,G1689)+10)</f>
        <v/>
      </c>
      <c r="G1689" s="50">
        <f t="shared" si="92"/>
        <v>0</v>
      </c>
      <c r="H1689" s="50">
        <f t="shared" si="93"/>
        <v>0</v>
      </c>
    </row>
    <row r="1690" spans="1:8" x14ac:dyDescent="0.2">
      <c r="A1690" s="37">
        <v>1688</v>
      </c>
      <c r="C1690" s="17">
        <f>+'Detalle Compras'!D1157</f>
        <v>0</v>
      </c>
      <c r="D1690" s="55" t="str">
        <f t="shared" si="91"/>
        <v/>
      </c>
      <c r="E1690" s="14" t="str">
        <f>+IF(B1690="","",'Detalle Compras'!S1690+0)</f>
        <v/>
      </c>
      <c r="F1690" s="14" t="str">
        <f>+IF(B1690="","",EOMONTH('Detalle Compras'!S1690,G1690)+10)</f>
        <v/>
      </c>
      <c r="G1690" s="50">
        <f t="shared" si="92"/>
        <v>0</v>
      </c>
      <c r="H1690" s="50">
        <f t="shared" si="93"/>
        <v>0</v>
      </c>
    </row>
    <row r="1691" spans="1:8" x14ac:dyDescent="0.2">
      <c r="A1691" s="37">
        <v>1689</v>
      </c>
      <c r="C1691" s="17">
        <f>+'Detalle Compras'!D1158</f>
        <v>0</v>
      </c>
      <c r="D1691" s="55" t="str">
        <f t="shared" si="91"/>
        <v/>
      </c>
      <c r="E1691" s="14" t="str">
        <f>+IF(B1691="","",'Detalle Compras'!S1691+0)</f>
        <v/>
      </c>
      <c r="F1691" s="14" t="str">
        <f>+IF(B1691="","",EOMONTH('Detalle Compras'!S1691,G1691)+10)</f>
        <v/>
      </c>
      <c r="G1691" s="50">
        <f t="shared" si="92"/>
        <v>0</v>
      </c>
      <c r="H1691" s="50">
        <f t="shared" si="93"/>
        <v>0</v>
      </c>
    </row>
    <row r="1692" spans="1:8" x14ac:dyDescent="0.2">
      <c r="A1692" s="37">
        <v>1690</v>
      </c>
      <c r="C1692" s="17">
        <f>+'Detalle Compras'!D1159</f>
        <v>0</v>
      </c>
      <c r="D1692" s="55" t="str">
        <f t="shared" si="91"/>
        <v/>
      </c>
      <c r="E1692" s="14" t="str">
        <f>+IF(B1692="","",'Detalle Compras'!S1692+0)</f>
        <v/>
      </c>
      <c r="F1692" s="14" t="str">
        <f>+IF(B1692="","",EOMONTH('Detalle Compras'!S1692,G1692)+10)</f>
        <v/>
      </c>
      <c r="G1692" s="50">
        <f t="shared" si="92"/>
        <v>0</v>
      </c>
      <c r="H1692" s="50">
        <f t="shared" si="93"/>
        <v>0</v>
      </c>
    </row>
    <row r="1693" spans="1:8" x14ac:dyDescent="0.2">
      <c r="A1693" s="37">
        <v>1691</v>
      </c>
      <c r="C1693" s="17">
        <f>+'Detalle Compras'!D1160</f>
        <v>0</v>
      </c>
      <c r="D1693" s="55" t="str">
        <f t="shared" si="91"/>
        <v/>
      </c>
      <c r="E1693" s="14" t="str">
        <f>+IF(B1693="","",'Detalle Compras'!S1693+0)</f>
        <v/>
      </c>
      <c r="F1693" s="14" t="str">
        <f>+IF(B1693="","",EOMONTH('Detalle Compras'!S1693,G1693)+10)</f>
        <v/>
      </c>
      <c r="G1693" s="50">
        <f t="shared" si="92"/>
        <v>0</v>
      </c>
      <c r="H1693" s="50">
        <f t="shared" si="93"/>
        <v>0</v>
      </c>
    </row>
    <row r="1694" spans="1:8" x14ac:dyDescent="0.2">
      <c r="A1694" s="37">
        <v>1692</v>
      </c>
      <c r="C1694" s="17">
        <f>+'Detalle Compras'!D1161</f>
        <v>0</v>
      </c>
      <c r="D1694" s="55" t="str">
        <f t="shared" si="91"/>
        <v/>
      </c>
      <c r="E1694" s="14" t="str">
        <f>+IF(B1694="","",'Detalle Compras'!S1694+0)</f>
        <v/>
      </c>
      <c r="F1694" s="14" t="str">
        <f>+IF(B1694="","",EOMONTH('Detalle Compras'!S1694,G1694)+10)</f>
        <v/>
      </c>
      <c r="G1694" s="50">
        <f t="shared" si="92"/>
        <v>0</v>
      </c>
      <c r="H1694" s="50">
        <f t="shared" si="93"/>
        <v>0</v>
      </c>
    </row>
    <row r="1695" spans="1:8" x14ac:dyDescent="0.2">
      <c r="A1695" s="37">
        <v>1693</v>
      </c>
      <c r="C1695" s="17">
        <f>+'Detalle Compras'!D1162</f>
        <v>0</v>
      </c>
      <c r="D1695" s="55" t="str">
        <f t="shared" si="91"/>
        <v/>
      </c>
      <c r="E1695" s="14" t="str">
        <f>+IF(B1695="","",'Detalle Compras'!S1695+0)</f>
        <v/>
      </c>
      <c r="F1695" s="14" t="str">
        <f>+IF(B1695="","",EOMONTH('Detalle Compras'!S1695,G1695)+10)</f>
        <v/>
      </c>
      <c r="G1695" s="50">
        <f t="shared" si="92"/>
        <v>0</v>
      </c>
      <c r="H1695" s="50">
        <f t="shared" si="93"/>
        <v>0</v>
      </c>
    </row>
    <row r="1696" spans="1:8" x14ac:dyDescent="0.2">
      <c r="A1696" s="37">
        <v>1694</v>
      </c>
      <c r="C1696" s="17">
        <f>+'Detalle Compras'!D1163</f>
        <v>0</v>
      </c>
      <c r="D1696" s="55" t="str">
        <f t="shared" si="91"/>
        <v/>
      </c>
      <c r="E1696" s="14" t="str">
        <f>+IF(B1696="","",'Detalle Compras'!S1696+0)</f>
        <v/>
      </c>
      <c r="F1696" s="14" t="str">
        <f>+IF(B1696="","",EOMONTH('Detalle Compras'!S1696,G1696)+10)</f>
        <v/>
      </c>
      <c r="G1696" s="50">
        <f t="shared" si="92"/>
        <v>0</v>
      </c>
      <c r="H1696" s="50">
        <f t="shared" si="93"/>
        <v>0</v>
      </c>
    </row>
    <row r="1697" spans="1:8" x14ac:dyDescent="0.2">
      <c r="A1697" s="37">
        <v>1695</v>
      </c>
      <c r="C1697" s="17">
        <f>+'Detalle Compras'!D1164</f>
        <v>0</v>
      </c>
      <c r="D1697" s="55" t="str">
        <f t="shared" si="91"/>
        <v/>
      </c>
      <c r="E1697" s="14" t="str">
        <f>+IF(B1697="","",'Detalle Compras'!S1697+0)</f>
        <v/>
      </c>
      <c r="F1697" s="14" t="str">
        <f>+IF(B1697="","",EOMONTH('Detalle Compras'!S1697,G1697)+10)</f>
        <v/>
      </c>
      <c r="G1697" s="50">
        <f t="shared" si="92"/>
        <v>0</v>
      </c>
      <c r="H1697" s="50">
        <f t="shared" si="93"/>
        <v>0</v>
      </c>
    </row>
    <row r="1698" spans="1:8" x14ac:dyDescent="0.2">
      <c r="A1698" s="37">
        <v>1696</v>
      </c>
      <c r="C1698" s="17">
        <f>+'Detalle Compras'!D1165</f>
        <v>0</v>
      </c>
      <c r="D1698" s="55" t="str">
        <f t="shared" si="91"/>
        <v/>
      </c>
      <c r="E1698" s="14" t="str">
        <f>+IF(B1698="","",'Detalle Compras'!S1698+0)</f>
        <v/>
      </c>
      <c r="F1698" s="14" t="str">
        <f>+IF(B1698="","",EOMONTH('Detalle Compras'!S1698,G1698)+10)</f>
        <v/>
      </c>
      <c r="G1698" s="50">
        <f t="shared" si="92"/>
        <v>0</v>
      </c>
      <c r="H1698" s="50">
        <f t="shared" si="93"/>
        <v>0</v>
      </c>
    </row>
    <row r="1699" spans="1:8" x14ac:dyDescent="0.2">
      <c r="A1699" s="37">
        <v>1697</v>
      </c>
      <c r="C1699" s="17">
        <f>+'Detalle Compras'!D1166</f>
        <v>0</v>
      </c>
      <c r="D1699" s="55" t="str">
        <f t="shared" si="91"/>
        <v/>
      </c>
      <c r="E1699" s="14" t="str">
        <f>+IF(B1699="","",'Detalle Compras'!S1699+0)</f>
        <v/>
      </c>
      <c r="F1699" s="14" t="str">
        <f>+IF(B1699="","",EOMONTH('Detalle Compras'!S1699,G1699)+10)</f>
        <v/>
      </c>
      <c r="G1699" s="50">
        <f t="shared" si="92"/>
        <v>0</v>
      </c>
      <c r="H1699" s="50">
        <f t="shared" si="93"/>
        <v>0</v>
      </c>
    </row>
    <row r="1700" spans="1:8" x14ac:dyDescent="0.2">
      <c r="A1700" s="37">
        <v>1698</v>
      </c>
      <c r="C1700" s="17">
        <f>+'Detalle Compras'!D1167</f>
        <v>0</v>
      </c>
      <c r="D1700" s="55" t="str">
        <f t="shared" si="91"/>
        <v/>
      </c>
      <c r="E1700" s="14" t="str">
        <f>+IF(B1700="","",'Detalle Compras'!S1700+0)</f>
        <v/>
      </c>
      <c r="F1700" s="14" t="str">
        <f>+IF(B1700="","",EOMONTH('Detalle Compras'!S1700,G1700)+10)</f>
        <v/>
      </c>
      <c r="G1700" s="50">
        <f t="shared" si="92"/>
        <v>0</v>
      </c>
      <c r="H1700" s="50">
        <f t="shared" si="93"/>
        <v>0</v>
      </c>
    </row>
    <row r="1701" spans="1:8" x14ac:dyDescent="0.2">
      <c r="A1701" s="37">
        <v>1699</v>
      </c>
      <c r="C1701" s="17">
        <f>+'Detalle Compras'!D1168</f>
        <v>0</v>
      </c>
      <c r="D1701" s="55" t="str">
        <f t="shared" si="91"/>
        <v/>
      </c>
      <c r="E1701" s="14" t="str">
        <f>+IF(B1701="","",'Detalle Compras'!S1701+0)</f>
        <v/>
      </c>
      <c r="F1701" s="14" t="str">
        <f>+IF(B1701="","",EOMONTH('Detalle Compras'!S1701,G1701)+10)</f>
        <v/>
      </c>
      <c r="G1701" s="50">
        <f t="shared" si="92"/>
        <v>0</v>
      </c>
      <c r="H1701" s="50">
        <f t="shared" si="93"/>
        <v>0</v>
      </c>
    </row>
    <row r="1702" spans="1:8" x14ac:dyDescent="0.2">
      <c r="A1702" s="37">
        <v>1700</v>
      </c>
      <c r="C1702" s="17">
        <f>+'Detalle Compras'!D1169</f>
        <v>0</v>
      </c>
      <c r="D1702" s="55" t="str">
        <f t="shared" si="91"/>
        <v/>
      </c>
      <c r="E1702" s="14" t="str">
        <f>+IF(B1702="","",'Detalle Compras'!S1702+0)</f>
        <v/>
      </c>
      <c r="F1702" s="14" t="str">
        <f>+IF(B1702="","",EOMONTH('Detalle Compras'!S1702,G1702)+10)</f>
        <v/>
      </c>
      <c r="G1702" s="50">
        <f t="shared" si="92"/>
        <v>0</v>
      </c>
      <c r="H1702" s="50">
        <f t="shared" si="93"/>
        <v>0</v>
      </c>
    </row>
    <row r="1703" spans="1:8" x14ac:dyDescent="0.2">
      <c r="A1703" s="37">
        <v>1701</v>
      </c>
      <c r="C1703" s="17">
        <f>+'Detalle Compras'!D1170</f>
        <v>0</v>
      </c>
      <c r="D1703" s="55" t="str">
        <f t="shared" si="91"/>
        <v/>
      </c>
      <c r="E1703" s="14" t="str">
        <f>+IF(B1703="","",'Detalle Compras'!S1703+0)</f>
        <v/>
      </c>
      <c r="F1703" s="14" t="str">
        <f>+IF(B1703="","",EOMONTH('Detalle Compras'!S1703,G1703)+10)</f>
        <v/>
      </c>
      <c r="G1703" s="50">
        <f t="shared" si="92"/>
        <v>0</v>
      </c>
      <c r="H1703" s="50">
        <f t="shared" si="93"/>
        <v>0</v>
      </c>
    </row>
    <row r="1704" spans="1:8" x14ac:dyDescent="0.2">
      <c r="A1704" s="37">
        <v>1702</v>
      </c>
      <c r="C1704" s="17">
        <f>+'Detalle Compras'!D1171</f>
        <v>0</v>
      </c>
      <c r="D1704" s="55" t="str">
        <f t="shared" si="91"/>
        <v/>
      </c>
      <c r="E1704" s="14" t="str">
        <f>+IF(B1704="","",'Detalle Compras'!S1704+0)</f>
        <v/>
      </c>
      <c r="F1704" s="14" t="str">
        <f>+IF(B1704="","",EOMONTH('Detalle Compras'!S1704,G1704)+10)</f>
        <v/>
      </c>
      <c r="G1704" s="50">
        <f t="shared" si="92"/>
        <v>0</v>
      </c>
      <c r="H1704" s="50">
        <f t="shared" si="93"/>
        <v>0</v>
      </c>
    </row>
    <row r="1705" spans="1:8" x14ac:dyDescent="0.2">
      <c r="A1705" s="37">
        <v>1703</v>
      </c>
      <c r="C1705" s="17">
        <f>+'Detalle Compras'!D1172</f>
        <v>0</v>
      </c>
      <c r="D1705" s="55" t="str">
        <f t="shared" si="91"/>
        <v/>
      </c>
      <c r="E1705" s="14" t="str">
        <f>+IF(B1705="","",'Detalle Compras'!S1705+0)</f>
        <v/>
      </c>
      <c r="F1705" s="14" t="str">
        <f>+IF(B1705="","",EOMONTH('Detalle Compras'!S1705,G1705)+10)</f>
        <v/>
      </c>
      <c r="G1705" s="50">
        <f t="shared" si="92"/>
        <v>0</v>
      </c>
      <c r="H1705" s="50">
        <f t="shared" si="93"/>
        <v>0</v>
      </c>
    </row>
    <row r="1706" spans="1:8" x14ac:dyDescent="0.2">
      <c r="A1706" s="37">
        <v>1704</v>
      </c>
      <c r="C1706" s="17">
        <f>+'Detalle Compras'!D1173</f>
        <v>0</v>
      </c>
      <c r="D1706" s="55" t="str">
        <f t="shared" si="91"/>
        <v/>
      </c>
      <c r="E1706" s="14" t="str">
        <f>+IF(B1706="","",'Detalle Compras'!S1706+0)</f>
        <v/>
      </c>
      <c r="F1706" s="14" t="str">
        <f>+IF(B1706="","",EOMONTH('Detalle Compras'!S1706,G1706)+10)</f>
        <v/>
      </c>
      <c r="G1706" s="50">
        <f t="shared" si="92"/>
        <v>0</v>
      </c>
      <c r="H1706" s="50">
        <f t="shared" si="93"/>
        <v>0</v>
      </c>
    </row>
    <row r="1707" spans="1:8" x14ac:dyDescent="0.2">
      <c r="A1707" s="37">
        <v>1705</v>
      </c>
      <c r="C1707" s="17">
        <f>+'Detalle Compras'!D1174</f>
        <v>0</v>
      </c>
      <c r="D1707" s="55" t="str">
        <f t="shared" si="91"/>
        <v/>
      </c>
      <c r="E1707" s="14" t="str">
        <f>+IF(B1707="","",'Detalle Compras'!S1707+0)</f>
        <v/>
      </c>
      <c r="F1707" s="14" t="str">
        <f>+IF(B1707="","",EOMONTH('Detalle Compras'!S1707,G1707)+10)</f>
        <v/>
      </c>
      <c r="G1707" s="50">
        <f t="shared" si="92"/>
        <v>0</v>
      </c>
      <c r="H1707" s="50">
        <f t="shared" si="93"/>
        <v>0</v>
      </c>
    </row>
    <row r="1708" spans="1:8" x14ac:dyDescent="0.2">
      <c r="A1708" s="37">
        <v>1706</v>
      </c>
      <c r="C1708" s="17">
        <f>+'Detalle Compras'!D1175</f>
        <v>0</v>
      </c>
      <c r="D1708" s="55" t="str">
        <f t="shared" si="91"/>
        <v/>
      </c>
      <c r="E1708" s="14" t="str">
        <f>+IF(B1708="","",'Detalle Compras'!S1708+0)</f>
        <v/>
      </c>
      <c r="F1708" s="14" t="str">
        <f>+IF(B1708="","",EOMONTH('Detalle Compras'!S1708,G1708)+10)</f>
        <v/>
      </c>
      <c r="G1708" s="50">
        <f t="shared" si="92"/>
        <v>0</v>
      </c>
      <c r="H1708" s="50">
        <f t="shared" si="93"/>
        <v>0</v>
      </c>
    </row>
    <row r="1709" spans="1:8" x14ac:dyDescent="0.2">
      <c r="A1709" s="37">
        <v>1707</v>
      </c>
      <c r="C1709" s="17">
        <f>+'Detalle Compras'!D1176</f>
        <v>0</v>
      </c>
      <c r="D1709" s="55" t="str">
        <f t="shared" si="91"/>
        <v/>
      </c>
      <c r="E1709" s="14" t="str">
        <f>+IF(B1709="","",'Detalle Compras'!S1709+0)</f>
        <v/>
      </c>
      <c r="F1709" s="14" t="str">
        <f>+IF(B1709="","",EOMONTH('Detalle Compras'!S1709,G1709)+10)</f>
        <v/>
      </c>
      <c r="G1709" s="50">
        <f t="shared" si="92"/>
        <v>0</v>
      </c>
      <c r="H1709" s="50">
        <f t="shared" si="93"/>
        <v>0</v>
      </c>
    </row>
    <row r="1710" spans="1:8" x14ac:dyDescent="0.2">
      <c r="A1710" s="37">
        <v>1708</v>
      </c>
      <c r="C1710" s="17">
        <f>+'Detalle Compras'!D1177</f>
        <v>0</v>
      </c>
      <c r="D1710" s="55" t="str">
        <f t="shared" si="91"/>
        <v/>
      </c>
      <c r="E1710" s="14" t="str">
        <f>+IF(B1710="","",'Detalle Compras'!S1710+0)</f>
        <v/>
      </c>
      <c r="F1710" s="14" t="str">
        <f>+IF(B1710="","",EOMONTH('Detalle Compras'!S1710,G1710)+10)</f>
        <v/>
      </c>
      <c r="G1710" s="50">
        <f t="shared" si="92"/>
        <v>0</v>
      </c>
      <c r="H1710" s="50">
        <f t="shared" si="93"/>
        <v>0</v>
      </c>
    </row>
    <row r="1711" spans="1:8" x14ac:dyDescent="0.2">
      <c r="A1711" s="37">
        <v>1709</v>
      </c>
      <c r="C1711" s="17">
        <f>+'Detalle Compras'!D1178</f>
        <v>0</v>
      </c>
      <c r="D1711" s="55" t="str">
        <f t="shared" si="91"/>
        <v/>
      </c>
      <c r="E1711" s="14" t="str">
        <f>+IF(B1711="","",'Detalle Compras'!S1711+0)</f>
        <v/>
      </c>
      <c r="F1711" s="14" t="str">
        <f>+IF(B1711="","",EOMONTH('Detalle Compras'!S1711,G1711)+10)</f>
        <v/>
      </c>
      <c r="G1711" s="50">
        <f t="shared" si="92"/>
        <v>0</v>
      </c>
      <c r="H1711" s="50">
        <f t="shared" si="93"/>
        <v>0</v>
      </c>
    </row>
    <row r="1712" spans="1:8" x14ac:dyDescent="0.2">
      <c r="A1712" s="37">
        <v>1710</v>
      </c>
      <c r="C1712" s="17">
        <f>+'Detalle Compras'!D1179</f>
        <v>0</v>
      </c>
      <c r="D1712" s="55" t="str">
        <f t="shared" si="91"/>
        <v/>
      </c>
      <c r="E1712" s="14" t="str">
        <f>+IF(B1712="","",'Detalle Compras'!S1712+0)</f>
        <v/>
      </c>
      <c r="F1712" s="14" t="str">
        <f>+IF(B1712="","",EOMONTH('Detalle Compras'!S1712,G1712)+10)</f>
        <v/>
      </c>
      <c r="G1712" s="50">
        <f t="shared" si="92"/>
        <v>0</v>
      </c>
      <c r="H1712" s="50">
        <f t="shared" si="93"/>
        <v>0</v>
      </c>
    </row>
    <row r="1713" spans="1:8" x14ac:dyDescent="0.2">
      <c r="A1713" s="37">
        <v>1711</v>
      </c>
      <c r="C1713" s="17">
        <f>+'Detalle Compras'!D1180</f>
        <v>0</v>
      </c>
      <c r="D1713" s="55" t="str">
        <f t="shared" si="91"/>
        <v/>
      </c>
      <c r="E1713" s="14" t="str">
        <f>+IF(B1713="","",'Detalle Compras'!S1713+0)</f>
        <v/>
      </c>
      <c r="F1713" s="14" t="str">
        <f>+IF(B1713="","",EOMONTH('Detalle Compras'!S1713,G1713)+10)</f>
        <v/>
      </c>
      <c r="G1713" s="50">
        <f t="shared" si="92"/>
        <v>0</v>
      </c>
      <c r="H1713" s="50">
        <f t="shared" si="93"/>
        <v>0</v>
      </c>
    </row>
    <row r="1714" spans="1:8" x14ac:dyDescent="0.2">
      <c r="A1714" s="37">
        <v>1712</v>
      </c>
      <c r="C1714" s="17">
        <f>+'Detalle Compras'!D1181</f>
        <v>0</v>
      </c>
      <c r="D1714" s="55" t="str">
        <f t="shared" si="91"/>
        <v/>
      </c>
      <c r="E1714" s="14" t="str">
        <f>+IF(B1714="","",'Detalle Compras'!S1714+0)</f>
        <v/>
      </c>
      <c r="F1714" s="14" t="str">
        <f>+IF(B1714="","",EOMONTH('Detalle Compras'!S1714,G1714)+10)</f>
        <v/>
      </c>
      <c r="G1714" s="50">
        <f t="shared" si="92"/>
        <v>0</v>
      </c>
      <c r="H1714" s="50">
        <f t="shared" si="93"/>
        <v>0</v>
      </c>
    </row>
    <row r="1715" spans="1:8" x14ac:dyDescent="0.2">
      <c r="A1715" s="37">
        <v>1713</v>
      </c>
      <c r="C1715" s="17">
        <f>+'Detalle Compras'!D1182</f>
        <v>0</v>
      </c>
      <c r="D1715" s="55" t="str">
        <f t="shared" si="91"/>
        <v/>
      </c>
      <c r="E1715" s="14" t="str">
        <f>+IF(B1715="","",'Detalle Compras'!S1715+0)</f>
        <v/>
      </c>
      <c r="F1715" s="14" t="str">
        <f>+IF(B1715="","",EOMONTH('Detalle Compras'!S1715,G1715)+10)</f>
        <v/>
      </c>
      <c r="G1715" s="50">
        <f t="shared" si="92"/>
        <v>0</v>
      </c>
      <c r="H1715" s="50">
        <f t="shared" si="93"/>
        <v>0</v>
      </c>
    </row>
    <row r="1716" spans="1:8" x14ac:dyDescent="0.2">
      <c r="A1716" s="37">
        <v>1714</v>
      </c>
      <c r="C1716" s="17">
        <f>+'Detalle Compras'!D1183</f>
        <v>0</v>
      </c>
      <c r="D1716" s="55" t="str">
        <f t="shared" si="91"/>
        <v/>
      </c>
      <c r="E1716" s="14" t="str">
        <f>+IF(B1716="","",'Detalle Compras'!S1716+0)</f>
        <v/>
      </c>
      <c r="F1716" s="14" t="str">
        <f>+IF(B1716="","",EOMONTH('Detalle Compras'!S1716,G1716)+10)</f>
        <v/>
      </c>
      <c r="G1716" s="50">
        <f t="shared" si="92"/>
        <v>0</v>
      </c>
      <c r="H1716" s="50">
        <f t="shared" si="93"/>
        <v>0</v>
      </c>
    </row>
    <row r="1717" spans="1:8" x14ac:dyDescent="0.2">
      <c r="A1717" s="37">
        <v>1715</v>
      </c>
      <c r="C1717" s="17">
        <f>+'Detalle Compras'!D1184</f>
        <v>0</v>
      </c>
      <c r="D1717" s="55" t="str">
        <f t="shared" si="91"/>
        <v/>
      </c>
      <c r="E1717" s="14" t="str">
        <f>+IF(B1717="","",'Detalle Compras'!S1717+0)</f>
        <v/>
      </c>
      <c r="F1717" s="14" t="str">
        <f>+IF(B1717="","",EOMONTH('Detalle Compras'!S1717,G1717)+10)</f>
        <v/>
      </c>
      <c r="G1717" s="50">
        <f t="shared" si="92"/>
        <v>0</v>
      </c>
      <c r="H1717" s="50">
        <f t="shared" si="93"/>
        <v>0</v>
      </c>
    </row>
    <row r="1718" spans="1:8" x14ac:dyDescent="0.2">
      <c r="A1718" s="37">
        <v>1716</v>
      </c>
      <c r="C1718" s="17">
        <f>+'Detalle Compras'!D1185</f>
        <v>0</v>
      </c>
      <c r="D1718" s="55" t="str">
        <f t="shared" si="91"/>
        <v/>
      </c>
      <c r="E1718" s="14" t="str">
        <f>+IF(B1718="","",'Detalle Compras'!S1718+0)</f>
        <v/>
      </c>
      <c r="F1718" s="14" t="str">
        <f>+IF(B1718="","",EOMONTH('Detalle Compras'!S1718,G1718)+10)</f>
        <v/>
      </c>
      <c r="G1718" s="50">
        <f t="shared" si="92"/>
        <v>0</v>
      </c>
      <c r="H1718" s="50">
        <f t="shared" si="93"/>
        <v>0</v>
      </c>
    </row>
    <row r="1719" spans="1:8" x14ac:dyDescent="0.2">
      <c r="A1719" s="37">
        <v>1717</v>
      </c>
      <c r="C1719" s="17">
        <f>+'Detalle Compras'!D1186</f>
        <v>0</v>
      </c>
      <c r="D1719" s="55" t="str">
        <f t="shared" si="91"/>
        <v/>
      </c>
      <c r="E1719" s="14" t="str">
        <f>+IF(B1719="","",'Detalle Compras'!S1719+0)</f>
        <v/>
      </c>
      <c r="F1719" s="14" t="str">
        <f>+IF(B1719="","",EOMONTH('Detalle Compras'!S1719,G1719)+10)</f>
        <v/>
      </c>
      <c r="G1719" s="50">
        <f t="shared" si="92"/>
        <v>0</v>
      </c>
      <c r="H1719" s="50">
        <f t="shared" si="93"/>
        <v>0</v>
      </c>
    </row>
    <row r="1720" spans="1:8" x14ac:dyDescent="0.2">
      <c r="A1720" s="37">
        <v>1718</v>
      </c>
      <c r="C1720" s="17">
        <f>+'Detalle Compras'!D1187</f>
        <v>0</v>
      </c>
      <c r="D1720" s="55" t="str">
        <f t="shared" si="91"/>
        <v/>
      </c>
      <c r="E1720" s="14" t="str">
        <f>+IF(B1720="","",'Detalle Compras'!S1720+0)</f>
        <v/>
      </c>
      <c r="F1720" s="14" t="str">
        <f>+IF(B1720="","",EOMONTH('Detalle Compras'!S1720,G1720)+10)</f>
        <v/>
      </c>
      <c r="G1720" s="50">
        <f t="shared" si="92"/>
        <v>0</v>
      </c>
      <c r="H1720" s="50">
        <f t="shared" si="93"/>
        <v>0</v>
      </c>
    </row>
    <row r="1721" spans="1:8" x14ac:dyDescent="0.2">
      <c r="A1721" s="37">
        <v>1719</v>
      </c>
      <c r="C1721" s="17">
        <f>+'Detalle Compras'!D1188</f>
        <v>0</v>
      </c>
      <c r="D1721" s="55" t="str">
        <f t="shared" si="91"/>
        <v/>
      </c>
      <c r="E1721" s="14" t="str">
        <f>+IF(B1721="","",'Detalle Compras'!S1721+0)</f>
        <v/>
      </c>
      <c r="F1721" s="14" t="str">
        <f>+IF(B1721="","",EOMONTH('Detalle Compras'!S1721,G1721)+10)</f>
        <v/>
      </c>
      <c r="G1721" s="50">
        <f t="shared" si="92"/>
        <v>0</v>
      </c>
      <c r="H1721" s="50">
        <f t="shared" si="93"/>
        <v>0</v>
      </c>
    </row>
    <row r="1722" spans="1:8" x14ac:dyDescent="0.2">
      <c r="A1722" s="37">
        <v>1720</v>
      </c>
      <c r="C1722" s="17">
        <f>+'Detalle Compras'!D1189</f>
        <v>0</v>
      </c>
      <c r="D1722" s="55" t="str">
        <f t="shared" si="91"/>
        <v/>
      </c>
      <c r="E1722" s="14" t="str">
        <f>+IF(B1722="","",'Detalle Compras'!S1722+0)</f>
        <v/>
      </c>
      <c r="F1722" s="14" t="str">
        <f>+IF(B1722="","",EOMONTH('Detalle Compras'!S1722,G1722)+10)</f>
        <v/>
      </c>
      <c r="G1722" s="50">
        <f t="shared" si="92"/>
        <v>0</v>
      </c>
      <c r="H1722" s="50">
        <f t="shared" si="93"/>
        <v>0</v>
      </c>
    </row>
    <row r="1723" spans="1:8" x14ac:dyDescent="0.2">
      <c r="A1723" s="37">
        <v>1721</v>
      </c>
      <c r="C1723" s="17">
        <f>+'Detalle Compras'!D1190</f>
        <v>0</v>
      </c>
      <c r="D1723" s="55" t="str">
        <f t="shared" si="91"/>
        <v/>
      </c>
      <c r="E1723" s="14" t="str">
        <f>+IF(B1723="","",'Detalle Compras'!S1723+0)</f>
        <v/>
      </c>
      <c r="F1723" s="14" t="str">
        <f>+IF(B1723="","",EOMONTH('Detalle Compras'!S1723,G1723)+10)</f>
        <v/>
      </c>
      <c r="G1723" s="50">
        <f t="shared" si="92"/>
        <v>0</v>
      </c>
      <c r="H1723" s="50">
        <f t="shared" si="93"/>
        <v>0</v>
      </c>
    </row>
    <row r="1724" spans="1:8" x14ac:dyDescent="0.2">
      <c r="A1724" s="37">
        <v>1722</v>
      </c>
      <c r="C1724" s="17">
        <f>+'Detalle Compras'!D1191</f>
        <v>0</v>
      </c>
      <c r="D1724" s="55" t="str">
        <f t="shared" si="91"/>
        <v/>
      </c>
      <c r="E1724" s="14" t="str">
        <f>+IF(B1724="","",'Detalle Compras'!S1724+0)</f>
        <v/>
      </c>
      <c r="F1724" s="14" t="str">
        <f>+IF(B1724="","",EOMONTH('Detalle Compras'!S1724,G1724)+10)</f>
        <v/>
      </c>
      <c r="G1724" s="50">
        <f t="shared" si="92"/>
        <v>0</v>
      </c>
      <c r="H1724" s="50">
        <f t="shared" si="93"/>
        <v>0</v>
      </c>
    </row>
    <row r="1725" spans="1:8" x14ac:dyDescent="0.2">
      <c r="A1725" s="37">
        <v>1723</v>
      </c>
      <c r="C1725" s="17">
        <f>+'Detalle Compras'!D1192</f>
        <v>0</v>
      </c>
      <c r="D1725" s="55" t="str">
        <f t="shared" si="91"/>
        <v/>
      </c>
      <c r="E1725" s="14" t="str">
        <f>+IF(B1725="","",'Detalle Compras'!S1725+0)</f>
        <v/>
      </c>
      <c r="F1725" s="14" t="str">
        <f>+IF(B1725="","",EOMONTH('Detalle Compras'!S1725,G1725)+10)</f>
        <v/>
      </c>
      <c r="G1725" s="50">
        <f t="shared" si="92"/>
        <v>0</v>
      </c>
      <c r="H1725" s="50">
        <f t="shared" si="93"/>
        <v>0</v>
      </c>
    </row>
    <row r="1726" spans="1:8" x14ac:dyDescent="0.2">
      <c r="A1726" s="37">
        <v>1724</v>
      </c>
      <c r="C1726" s="17">
        <f>+'Detalle Compras'!D1193</f>
        <v>0</v>
      </c>
      <c r="D1726" s="55" t="str">
        <f t="shared" si="91"/>
        <v/>
      </c>
      <c r="E1726" s="14" t="str">
        <f>+IF(B1726="","",'Detalle Compras'!S1726+0)</f>
        <v/>
      </c>
      <c r="F1726" s="14" t="str">
        <f>+IF(B1726="","",EOMONTH('Detalle Compras'!S1726,G1726)+10)</f>
        <v/>
      </c>
      <c r="G1726" s="50">
        <f t="shared" si="92"/>
        <v>0</v>
      </c>
      <c r="H1726" s="50">
        <f t="shared" si="93"/>
        <v>0</v>
      </c>
    </row>
    <row r="1727" spans="1:8" x14ac:dyDescent="0.2">
      <c r="A1727" s="37">
        <v>1725</v>
      </c>
      <c r="C1727" s="17">
        <f>+'Detalle Compras'!D1194</f>
        <v>0</v>
      </c>
      <c r="D1727" s="55" t="str">
        <f t="shared" si="91"/>
        <v/>
      </c>
      <c r="E1727" s="14" t="str">
        <f>+IF(B1727="","",'Detalle Compras'!S1727+0)</f>
        <v/>
      </c>
      <c r="F1727" s="14" t="str">
        <f>+IF(B1727="","",EOMONTH('Detalle Compras'!S1727,G1727)+10)</f>
        <v/>
      </c>
      <c r="G1727" s="50">
        <f t="shared" si="92"/>
        <v>0</v>
      </c>
      <c r="H1727" s="50">
        <f t="shared" si="93"/>
        <v>0</v>
      </c>
    </row>
    <row r="1728" spans="1:8" x14ac:dyDescent="0.2">
      <c r="A1728" s="37">
        <v>1726</v>
      </c>
      <c r="C1728" s="17">
        <f>+'Detalle Compras'!D1195</f>
        <v>0</v>
      </c>
      <c r="D1728" s="55" t="str">
        <f t="shared" si="91"/>
        <v/>
      </c>
      <c r="E1728" s="14" t="str">
        <f>+IF(B1728="","",'Detalle Compras'!S1728+0)</f>
        <v/>
      </c>
      <c r="F1728" s="14" t="str">
        <f>+IF(B1728="","",EOMONTH('Detalle Compras'!S1728,G1728)+10)</f>
        <v/>
      </c>
      <c r="G1728" s="50">
        <f t="shared" si="92"/>
        <v>0</v>
      </c>
      <c r="H1728" s="50">
        <f t="shared" si="93"/>
        <v>0</v>
      </c>
    </row>
    <row r="1729" spans="1:8" x14ac:dyDescent="0.2">
      <c r="A1729" s="37">
        <v>1727</v>
      </c>
      <c r="C1729" s="17">
        <f>+'Detalle Compras'!D1196</f>
        <v>0</v>
      </c>
      <c r="D1729" s="55" t="str">
        <f t="shared" si="91"/>
        <v/>
      </c>
      <c r="E1729" s="14" t="str">
        <f>+IF(B1729="","",'Detalle Compras'!S1729+0)</f>
        <v/>
      </c>
      <c r="F1729" s="14" t="str">
        <f>+IF(B1729="","",EOMONTH('Detalle Compras'!S1729,G1729)+10)</f>
        <v/>
      </c>
      <c r="G1729" s="50">
        <f t="shared" si="92"/>
        <v>0</v>
      </c>
      <c r="H1729" s="50">
        <f t="shared" si="93"/>
        <v>0</v>
      </c>
    </row>
    <row r="1730" spans="1:8" x14ac:dyDescent="0.2">
      <c r="A1730" s="37">
        <v>1728</v>
      </c>
      <c r="C1730" s="17">
        <f>+'Detalle Compras'!D1197</f>
        <v>0</v>
      </c>
      <c r="D1730" s="55" t="str">
        <f t="shared" si="91"/>
        <v/>
      </c>
      <c r="E1730" s="14" t="str">
        <f>+IF(B1730="","",'Detalle Compras'!S1730+0)</f>
        <v/>
      </c>
      <c r="F1730" s="14" t="str">
        <f>+IF(B1730="","",EOMONTH('Detalle Compras'!S1730,G1730)+10)</f>
        <v/>
      </c>
      <c r="G1730" s="50">
        <f t="shared" si="92"/>
        <v>0</v>
      </c>
      <c r="H1730" s="50">
        <f t="shared" si="93"/>
        <v>0</v>
      </c>
    </row>
    <row r="1731" spans="1:8" x14ac:dyDescent="0.2">
      <c r="A1731" s="37">
        <v>1729</v>
      </c>
      <c r="C1731" s="17">
        <f>+'Detalle Compras'!D1198</f>
        <v>0</v>
      </c>
      <c r="D1731" s="55" t="str">
        <f t="shared" si="91"/>
        <v/>
      </c>
      <c r="E1731" s="14" t="str">
        <f>+IF(B1731="","",'Detalle Compras'!S1731+0)</f>
        <v/>
      </c>
      <c r="F1731" s="14" t="str">
        <f>+IF(B1731="","",EOMONTH('Detalle Compras'!S1731,G1731)+10)</f>
        <v/>
      </c>
      <c r="G1731" s="50">
        <f t="shared" si="92"/>
        <v>0</v>
      </c>
      <c r="H1731" s="50">
        <f t="shared" si="93"/>
        <v>0</v>
      </c>
    </row>
    <row r="1732" spans="1:8" x14ac:dyDescent="0.2">
      <c r="A1732" s="37">
        <v>1730</v>
      </c>
      <c r="C1732" s="17">
        <f>+'Detalle Compras'!D1199</f>
        <v>0</v>
      </c>
      <c r="D1732" s="55" t="str">
        <f t="shared" ref="D1732:D1795" si="94">+IF(B1732="","",EA1732)</f>
        <v/>
      </c>
      <c r="E1732" s="14" t="str">
        <f>+IF(B1732="","",'Detalle Compras'!S1732+0)</f>
        <v/>
      </c>
      <c r="F1732" s="14" t="str">
        <f>+IF(B1732="","",EOMONTH('Detalle Compras'!S1732,G1732)+10)</f>
        <v/>
      </c>
      <c r="G1732" s="50">
        <f t="shared" ref="G1732:G1795" si="95">+COUNTIF(I1732:ADF1732,"&gt;1")</f>
        <v>0</v>
      </c>
      <c r="H1732" s="50">
        <f t="shared" ref="H1732:H1795" si="96">+COUNT(AF1732:ADF1732)</f>
        <v>0</v>
      </c>
    </row>
    <row r="1733" spans="1:8" x14ac:dyDescent="0.2">
      <c r="A1733" s="37">
        <v>1731</v>
      </c>
      <c r="C1733" s="17">
        <f>+'Detalle Compras'!D1200</f>
        <v>0</v>
      </c>
      <c r="D1733" s="55" t="str">
        <f t="shared" si="94"/>
        <v/>
      </c>
      <c r="E1733" s="14" t="str">
        <f>+IF(B1733="","",'Detalle Compras'!S1733+0)</f>
        <v/>
      </c>
      <c r="F1733" s="14" t="str">
        <f>+IF(B1733="","",EOMONTH('Detalle Compras'!S1733,G1733)+10)</f>
        <v/>
      </c>
      <c r="G1733" s="50">
        <f t="shared" si="95"/>
        <v>0</v>
      </c>
      <c r="H1733" s="50">
        <f t="shared" si="96"/>
        <v>0</v>
      </c>
    </row>
    <row r="1734" spans="1:8" x14ac:dyDescent="0.2">
      <c r="A1734" s="37">
        <v>1732</v>
      </c>
      <c r="C1734" s="17">
        <f>+'Detalle Compras'!D1201</f>
        <v>0</v>
      </c>
      <c r="D1734" s="55" t="str">
        <f t="shared" si="94"/>
        <v/>
      </c>
      <c r="E1734" s="14" t="str">
        <f>+IF(B1734="","",'Detalle Compras'!S1734+0)</f>
        <v/>
      </c>
      <c r="F1734" s="14" t="str">
        <f>+IF(B1734="","",EOMONTH('Detalle Compras'!S1734,G1734)+10)</f>
        <v/>
      </c>
      <c r="G1734" s="50">
        <f t="shared" si="95"/>
        <v>0</v>
      </c>
      <c r="H1734" s="50">
        <f t="shared" si="96"/>
        <v>0</v>
      </c>
    </row>
    <row r="1735" spans="1:8" x14ac:dyDescent="0.2">
      <c r="A1735" s="37">
        <v>1733</v>
      </c>
      <c r="C1735" s="17">
        <f>+'Detalle Compras'!D1202</f>
        <v>0</v>
      </c>
      <c r="D1735" s="55" t="str">
        <f t="shared" si="94"/>
        <v/>
      </c>
      <c r="E1735" s="14" t="str">
        <f>+IF(B1735="","",'Detalle Compras'!S1735+0)</f>
        <v/>
      </c>
      <c r="F1735" s="14" t="str">
        <f>+IF(B1735="","",EOMONTH('Detalle Compras'!S1735,G1735)+10)</f>
        <v/>
      </c>
      <c r="G1735" s="50">
        <f t="shared" si="95"/>
        <v>0</v>
      </c>
      <c r="H1735" s="50">
        <f t="shared" si="96"/>
        <v>0</v>
      </c>
    </row>
    <row r="1736" spans="1:8" x14ac:dyDescent="0.2">
      <c r="A1736" s="37">
        <v>1734</v>
      </c>
      <c r="C1736" s="17">
        <f>+'Detalle Compras'!D1203</f>
        <v>0</v>
      </c>
      <c r="D1736" s="55" t="str">
        <f t="shared" si="94"/>
        <v/>
      </c>
      <c r="E1736" s="14" t="str">
        <f>+IF(B1736="","",'Detalle Compras'!S1736+0)</f>
        <v/>
      </c>
      <c r="F1736" s="14" t="str">
        <f>+IF(B1736="","",EOMONTH('Detalle Compras'!S1736,G1736)+10)</f>
        <v/>
      </c>
      <c r="G1736" s="50">
        <f t="shared" si="95"/>
        <v>0</v>
      </c>
      <c r="H1736" s="50">
        <f t="shared" si="96"/>
        <v>0</v>
      </c>
    </row>
    <row r="1737" spans="1:8" x14ac:dyDescent="0.2">
      <c r="A1737" s="37">
        <v>1735</v>
      </c>
      <c r="C1737" s="17">
        <f>+'Detalle Compras'!D1204</f>
        <v>0</v>
      </c>
      <c r="D1737" s="55" t="str">
        <f t="shared" si="94"/>
        <v/>
      </c>
      <c r="E1737" s="14" t="str">
        <f>+IF(B1737="","",'Detalle Compras'!S1737+0)</f>
        <v/>
      </c>
      <c r="F1737" s="14" t="str">
        <f>+IF(B1737="","",EOMONTH('Detalle Compras'!S1737,G1737)+10)</f>
        <v/>
      </c>
      <c r="G1737" s="50">
        <f t="shared" si="95"/>
        <v>0</v>
      </c>
      <c r="H1737" s="50">
        <f t="shared" si="96"/>
        <v>0</v>
      </c>
    </row>
    <row r="1738" spans="1:8" x14ac:dyDescent="0.2">
      <c r="A1738" s="37">
        <v>1736</v>
      </c>
      <c r="C1738" s="17">
        <f>+'Detalle Compras'!D1205</f>
        <v>0</v>
      </c>
      <c r="D1738" s="55" t="str">
        <f t="shared" si="94"/>
        <v/>
      </c>
      <c r="E1738" s="14" t="str">
        <f>+IF(B1738="","",'Detalle Compras'!S1738+0)</f>
        <v/>
      </c>
      <c r="F1738" s="14" t="str">
        <f>+IF(B1738="","",EOMONTH('Detalle Compras'!S1738,G1738)+10)</f>
        <v/>
      </c>
      <c r="G1738" s="50">
        <f t="shared" si="95"/>
        <v>0</v>
      </c>
      <c r="H1738" s="50">
        <f t="shared" si="96"/>
        <v>0</v>
      </c>
    </row>
    <row r="1739" spans="1:8" x14ac:dyDescent="0.2">
      <c r="A1739" s="37">
        <v>1737</v>
      </c>
      <c r="C1739" s="17">
        <f>+'Detalle Compras'!D1206</f>
        <v>0</v>
      </c>
      <c r="D1739" s="55" t="str">
        <f t="shared" si="94"/>
        <v/>
      </c>
      <c r="E1739" s="14" t="str">
        <f>+IF(B1739="","",'Detalle Compras'!S1739+0)</f>
        <v/>
      </c>
      <c r="F1739" s="14" t="str">
        <f>+IF(B1739="","",EOMONTH('Detalle Compras'!S1739,G1739)+10)</f>
        <v/>
      </c>
      <c r="G1739" s="50">
        <f t="shared" si="95"/>
        <v>0</v>
      </c>
      <c r="H1739" s="50">
        <f t="shared" si="96"/>
        <v>0</v>
      </c>
    </row>
    <row r="1740" spans="1:8" x14ac:dyDescent="0.2">
      <c r="A1740" s="37">
        <v>1738</v>
      </c>
      <c r="C1740" s="17">
        <f>+'Detalle Compras'!D1207</f>
        <v>0</v>
      </c>
      <c r="D1740" s="55" t="str">
        <f t="shared" si="94"/>
        <v/>
      </c>
      <c r="E1740" s="14" t="str">
        <f>+IF(B1740="","",'Detalle Compras'!S1740+0)</f>
        <v/>
      </c>
      <c r="F1740" s="14" t="str">
        <f>+IF(B1740="","",EOMONTH('Detalle Compras'!S1740,G1740)+10)</f>
        <v/>
      </c>
      <c r="G1740" s="50">
        <f t="shared" si="95"/>
        <v>0</v>
      </c>
      <c r="H1740" s="50">
        <f t="shared" si="96"/>
        <v>0</v>
      </c>
    </row>
    <row r="1741" spans="1:8" x14ac:dyDescent="0.2">
      <c r="A1741" s="37">
        <v>1739</v>
      </c>
      <c r="C1741" s="17">
        <f>+'Detalle Compras'!D1208</f>
        <v>0</v>
      </c>
      <c r="D1741" s="55" t="str">
        <f t="shared" si="94"/>
        <v/>
      </c>
      <c r="E1741" s="14" t="str">
        <f>+IF(B1741="","",'Detalle Compras'!S1741+0)</f>
        <v/>
      </c>
      <c r="F1741" s="14" t="str">
        <f>+IF(B1741="","",EOMONTH('Detalle Compras'!S1741,G1741)+10)</f>
        <v/>
      </c>
      <c r="G1741" s="50">
        <f t="shared" si="95"/>
        <v>0</v>
      </c>
      <c r="H1741" s="50">
        <f t="shared" si="96"/>
        <v>0</v>
      </c>
    </row>
    <row r="1742" spans="1:8" x14ac:dyDescent="0.2">
      <c r="A1742" s="37">
        <v>1740</v>
      </c>
      <c r="C1742" s="17">
        <f>+'Detalle Compras'!D1209</f>
        <v>0</v>
      </c>
      <c r="D1742" s="55" t="str">
        <f t="shared" si="94"/>
        <v/>
      </c>
      <c r="E1742" s="14" t="str">
        <f>+IF(B1742="","",'Detalle Compras'!S1742+0)</f>
        <v/>
      </c>
      <c r="F1742" s="14" t="str">
        <f>+IF(B1742="","",EOMONTH('Detalle Compras'!S1742,G1742)+10)</f>
        <v/>
      </c>
      <c r="G1742" s="50">
        <f t="shared" si="95"/>
        <v>0</v>
      </c>
      <c r="H1742" s="50">
        <f t="shared" si="96"/>
        <v>0</v>
      </c>
    </row>
    <row r="1743" spans="1:8" x14ac:dyDescent="0.2">
      <c r="A1743" s="37">
        <v>1741</v>
      </c>
      <c r="C1743" s="17">
        <f>+'Detalle Compras'!D1210</f>
        <v>0</v>
      </c>
      <c r="D1743" s="55" t="str">
        <f t="shared" si="94"/>
        <v/>
      </c>
      <c r="E1743" s="14" t="str">
        <f>+IF(B1743="","",'Detalle Compras'!S1743+0)</f>
        <v/>
      </c>
      <c r="F1743" s="14" t="str">
        <f>+IF(B1743="","",EOMONTH('Detalle Compras'!S1743,G1743)+10)</f>
        <v/>
      </c>
      <c r="G1743" s="50">
        <f t="shared" si="95"/>
        <v>0</v>
      </c>
      <c r="H1743" s="50">
        <f t="shared" si="96"/>
        <v>0</v>
      </c>
    </row>
    <row r="1744" spans="1:8" x14ac:dyDescent="0.2">
      <c r="A1744" s="37">
        <v>1742</v>
      </c>
      <c r="C1744" s="17">
        <f>+'Detalle Compras'!D1211</f>
        <v>0</v>
      </c>
      <c r="D1744" s="55" t="str">
        <f t="shared" si="94"/>
        <v/>
      </c>
      <c r="E1744" s="14" t="str">
        <f>+IF(B1744="","",'Detalle Compras'!S1744+0)</f>
        <v/>
      </c>
      <c r="F1744" s="14" t="str">
        <f>+IF(B1744="","",EOMONTH('Detalle Compras'!S1744,G1744)+10)</f>
        <v/>
      </c>
      <c r="G1744" s="50">
        <f t="shared" si="95"/>
        <v>0</v>
      </c>
      <c r="H1744" s="50">
        <f t="shared" si="96"/>
        <v>0</v>
      </c>
    </row>
    <row r="1745" spans="1:8" x14ac:dyDescent="0.2">
      <c r="A1745" s="37">
        <v>1743</v>
      </c>
      <c r="C1745" s="17">
        <f>+'Detalle Compras'!D1212</f>
        <v>0</v>
      </c>
      <c r="D1745" s="55" t="str">
        <f t="shared" si="94"/>
        <v/>
      </c>
      <c r="E1745" s="14" t="str">
        <f>+IF(B1745="","",'Detalle Compras'!S1745+0)</f>
        <v/>
      </c>
      <c r="F1745" s="14" t="str">
        <f>+IF(B1745="","",EOMONTH('Detalle Compras'!S1745,G1745)+10)</f>
        <v/>
      </c>
      <c r="G1745" s="50">
        <f t="shared" si="95"/>
        <v>0</v>
      </c>
      <c r="H1745" s="50">
        <f t="shared" si="96"/>
        <v>0</v>
      </c>
    </row>
    <row r="1746" spans="1:8" x14ac:dyDescent="0.2">
      <c r="A1746" s="37">
        <v>1744</v>
      </c>
      <c r="C1746" s="17">
        <f>+'Detalle Compras'!D1213</f>
        <v>0</v>
      </c>
      <c r="D1746" s="55" t="str">
        <f t="shared" si="94"/>
        <v/>
      </c>
      <c r="E1746" s="14" t="str">
        <f>+IF(B1746="","",'Detalle Compras'!S1746+0)</f>
        <v/>
      </c>
      <c r="F1746" s="14" t="str">
        <f>+IF(B1746="","",EOMONTH('Detalle Compras'!S1746,G1746)+10)</f>
        <v/>
      </c>
      <c r="G1746" s="50">
        <f t="shared" si="95"/>
        <v>0</v>
      </c>
      <c r="H1746" s="50">
        <f t="shared" si="96"/>
        <v>0</v>
      </c>
    </row>
    <row r="1747" spans="1:8" x14ac:dyDescent="0.2">
      <c r="A1747" s="37">
        <v>1745</v>
      </c>
      <c r="C1747" s="17">
        <f>+'Detalle Compras'!D1214</f>
        <v>0</v>
      </c>
      <c r="D1747" s="55" t="str">
        <f t="shared" si="94"/>
        <v/>
      </c>
      <c r="E1747" s="14" t="str">
        <f>+IF(B1747="","",'Detalle Compras'!S1747+0)</f>
        <v/>
      </c>
      <c r="F1747" s="14" t="str">
        <f>+IF(B1747="","",EOMONTH('Detalle Compras'!S1747,G1747)+10)</f>
        <v/>
      </c>
      <c r="G1747" s="50">
        <f t="shared" si="95"/>
        <v>0</v>
      </c>
      <c r="H1747" s="50">
        <f t="shared" si="96"/>
        <v>0</v>
      </c>
    </row>
    <row r="1748" spans="1:8" x14ac:dyDescent="0.2">
      <c r="A1748" s="37">
        <v>1746</v>
      </c>
      <c r="C1748" s="17">
        <f>+'Detalle Compras'!D1215</f>
        <v>0</v>
      </c>
      <c r="D1748" s="55" t="str">
        <f t="shared" si="94"/>
        <v/>
      </c>
      <c r="E1748" s="14" t="str">
        <f>+IF(B1748="","",'Detalle Compras'!S1748+0)</f>
        <v/>
      </c>
      <c r="F1748" s="14" t="str">
        <f>+IF(B1748="","",EOMONTH('Detalle Compras'!S1748,G1748)+10)</f>
        <v/>
      </c>
      <c r="G1748" s="50">
        <f t="shared" si="95"/>
        <v>0</v>
      </c>
      <c r="H1748" s="50">
        <f t="shared" si="96"/>
        <v>0</v>
      </c>
    </row>
    <row r="1749" spans="1:8" x14ac:dyDescent="0.2">
      <c r="A1749" s="37">
        <v>1747</v>
      </c>
      <c r="C1749" s="17">
        <f>+'Detalle Compras'!D1216</f>
        <v>0</v>
      </c>
      <c r="D1749" s="55" t="str">
        <f t="shared" si="94"/>
        <v/>
      </c>
      <c r="E1749" s="14" t="str">
        <f>+IF(B1749="","",'Detalle Compras'!S1749+0)</f>
        <v/>
      </c>
      <c r="F1749" s="14" t="str">
        <f>+IF(B1749="","",EOMONTH('Detalle Compras'!S1749,G1749)+10)</f>
        <v/>
      </c>
      <c r="G1749" s="50">
        <f t="shared" si="95"/>
        <v>0</v>
      </c>
      <c r="H1749" s="50">
        <f t="shared" si="96"/>
        <v>0</v>
      </c>
    </row>
    <row r="1750" spans="1:8" x14ac:dyDescent="0.2">
      <c r="A1750" s="37">
        <v>1748</v>
      </c>
      <c r="C1750" s="17">
        <f>+'Detalle Compras'!D1217</f>
        <v>0</v>
      </c>
      <c r="D1750" s="55" t="str">
        <f t="shared" si="94"/>
        <v/>
      </c>
      <c r="E1750" s="14" t="str">
        <f>+IF(B1750="","",'Detalle Compras'!S1750+0)</f>
        <v/>
      </c>
      <c r="F1750" s="14" t="str">
        <f>+IF(B1750="","",EOMONTH('Detalle Compras'!S1750,G1750)+10)</f>
        <v/>
      </c>
      <c r="G1750" s="50">
        <f t="shared" si="95"/>
        <v>0</v>
      </c>
      <c r="H1750" s="50">
        <f t="shared" si="96"/>
        <v>0</v>
      </c>
    </row>
    <row r="1751" spans="1:8" x14ac:dyDescent="0.2">
      <c r="A1751" s="37">
        <v>1749</v>
      </c>
      <c r="C1751" s="17">
        <f>+'Detalle Compras'!D1218</f>
        <v>0</v>
      </c>
      <c r="D1751" s="55" t="str">
        <f t="shared" si="94"/>
        <v/>
      </c>
      <c r="E1751" s="14" t="str">
        <f>+IF(B1751="","",'Detalle Compras'!S1751+0)</f>
        <v/>
      </c>
      <c r="F1751" s="14" t="str">
        <f>+IF(B1751="","",EOMONTH('Detalle Compras'!S1751,G1751)+10)</f>
        <v/>
      </c>
      <c r="G1751" s="50">
        <f t="shared" si="95"/>
        <v>0</v>
      </c>
      <c r="H1751" s="50">
        <f t="shared" si="96"/>
        <v>0</v>
      </c>
    </row>
    <row r="1752" spans="1:8" x14ac:dyDescent="0.2">
      <c r="A1752" s="37">
        <v>1750</v>
      </c>
      <c r="C1752" s="17">
        <f>+'Detalle Compras'!D1219</f>
        <v>0</v>
      </c>
      <c r="D1752" s="55" t="str">
        <f t="shared" si="94"/>
        <v/>
      </c>
      <c r="E1752" s="14" t="str">
        <f>+IF(B1752="","",'Detalle Compras'!S1752+0)</f>
        <v/>
      </c>
      <c r="F1752" s="14" t="str">
        <f>+IF(B1752="","",EOMONTH('Detalle Compras'!S1752,G1752)+10)</f>
        <v/>
      </c>
      <c r="G1752" s="50">
        <f t="shared" si="95"/>
        <v>0</v>
      </c>
      <c r="H1752" s="50">
        <f t="shared" si="96"/>
        <v>0</v>
      </c>
    </row>
    <row r="1753" spans="1:8" x14ac:dyDescent="0.2">
      <c r="A1753" s="37">
        <v>1751</v>
      </c>
      <c r="C1753" s="17">
        <f>+'Detalle Compras'!D1220</f>
        <v>0</v>
      </c>
      <c r="D1753" s="55" t="str">
        <f t="shared" si="94"/>
        <v/>
      </c>
      <c r="E1753" s="14" t="str">
        <f>+IF(B1753="","",'Detalle Compras'!S1753+0)</f>
        <v/>
      </c>
      <c r="F1753" s="14" t="str">
        <f>+IF(B1753="","",EOMONTH('Detalle Compras'!S1753,G1753)+10)</f>
        <v/>
      </c>
      <c r="G1753" s="50">
        <f t="shared" si="95"/>
        <v>0</v>
      </c>
      <c r="H1753" s="50">
        <f t="shared" si="96"/>
        <v>0</v>
      </c>
    </row>
    <row r="1754" spans="1:8" x14ac:dyDescent="0.2">
      <c r="A1754" s="37">
        <v>1752</v>
      </c>
      <c r="C1754" s="17">
        <f>+'Detalle Compras'!D1221</f>
        <v>0</v>
      </c>
      <c r="D1754" s="55" t="str">
        <f t="shared" si="94"/>
        <v/>
      </c>
      <c r="E1754" s="14" t="str">
        <f>+IF(B1754="","",'Detalle Compras'!S1754+0)</f>
        <v/>
      </c>
      <c r="F1754" s="14" t="str">
        <f>+IF(B1754="","",EOMONTH('Detalle Compras'!S1754,G1754)+10)</f>
        <v/>
      </c>
      <c r="G1754" s="50">
        <f t="shared" si="95"/>
        <v>0</v>
      </c>
      <c r="H1754" s="50">
        <f t="shared" si="96"/>
        <v>0</v>
      </c>
    </row>
    <row r="1755" spans="1:8" x14ac:dyDescent="0.2">
      <c r="A1755" s="37">
        <v>1753</v>
      </c>
      <c r="C1755" s="17">
        <f>+'Detalle Compras'!D1222</f>
        <v>0</v>
      </c>
      <c r="D1755" s="55" t="str">
        <f t="shared" si="94"/>
        <v/>
      </c>
      <c r="E1755" s="14" t="str">
        <f>+IF(B1755="","",'Detalle Compras'!S1755+0)</f>
        <v/>
      </c>
      <c r="F1755" s="14" t="str">
        <f>+IF(B1755="","",EOMONTH('Detalle Compras'!S1755,G1755)+10)</f>
        <v/>
      </c>
      <c r="G1755" s="50">
        <f t="shared" si="95"/>
        <v>0</v>
      </c>
      <c r="H1755" s="50">
        <f t="shared" si="96"/>
        <v>0</v>
      </c>
    </row>
    <row r="1756" spans="1:8" x14ac:dyDescent="0.2">
      <c r="A1756" s="37">
        <v>1754</v>
      </c>
      <c r="C1756" s="17">
        <f>+'Detalle Compras'!D1223</f>
        <v>0</v>
      </c>
      <c r="D1756" s="55" t="str">
        <f t="shared" si="94"/>
        <v/>
      </c>
      <c r="E1756" s="14" t="str">
        <f>+IF(B1756="","",'Detalle Compras'!S1756+0)</f>
        <v/>
      </c>
      <c r="F1756" s="14" t="str">
        <f>+IF(B1756="","",EOMONTH('Detalle Compras'!S1756,G1756)+10)</f>
        <v/>
      </c>
      <c r="G1756" s="50">
        <f t="shared" si="95"/>
        <v>0</v>
      </c>
      <c r="H1756" s="50">
        <f t="shared" si="96"/>
        <v>0</v>
      </c>
    </row>
    <row r="1757" spans="1:8" x14ac:dyDescent="0.2">
      <c r="A1757" s="37">
        <v>1755</v>
      </c>
      <c r="C1757" s="17">
        <f>+'Detalle Compras'!D1224</f>
        <v>0</v>
      </c>
      <c r="D1757" s="55" t="str">
        <f t="shared" si="94"/>
        <v/>
      </c>
      <c r="E1757" s="14" t="str">
        <f>+IF(B1757="","",'Detalle Compras'!S1757+0)</f>
        <v/>
      </c>
      <c r="F1757" s="14" t="str">
        <f>+IF(B1757="","",EOMONTH('Detalle Compras'!S1757,G1757)+10)</f>
        <v/>
      </c>
      <c r="G1757" s="50">
        <f t="shared" si="95"/>
        <v>0</v>
      </c>
      <c r="H1757" s="50">
        <f t="shared" si="96"/>
        <v>0</v>
      </c>
    </row>
    <row r="1758" spans="1:8" x14ac:dyDescent="0.2">
      <c r="A1758" s="37">
        <v>1756</v>
      </c>
      <c r="C1758" s="17">
        <f>+'Detalle Compras'!D1225</f>
        <v>0</v>
      </c>
      <c r="D1758" s="55" t="str">
        <f t="shared" si="94"/>
        <v/>
      </c>
      <c r="E1758" s="14" t="str">
        <f>+IF(B1758="","",'Detalle Compras'!S1758+0)</f>
        <v/>
      </c>
      <c r="F1758" s="14" t="str">
        <f>+IF(B1758="","",EOMONTH('Detalle Compras'!S1758,G1758)+10)</f>
        <v/>
      </c>
      <c r="G1758" s="50">
        <f t="shared" si="95"/>
        <v>0</v>
      </c>
      <c r="H1758" s="50">
        <f t="shared" si="96"/>
        <v>0</v>
      </c>
    </row>
    <row r="1759" spans="1:8" x14ac:dyDescent="0.2">
      <c r="A1759" s="37">
        <v>1757</v>
      </c>
      <c r="C1759" s="17">
        <f>+'Detalle Compras'!D1226</f>
        <v>0</v>
      </c>
      <c r="D1759" s="55" t="str">
        <f t="shared" si="94"/>
        <v/>
      </c>
      <c r="E1759" s="14" t="str">
        <f>+IF(B1759="","",'Detalle Compras'!S1759+0)</f>
        <v/>
      </c>
      <c r="F1759" s="14" t="str">
        <f>+IF(B1759="","",EOMONTH('Detalle Compras'!S1759,G1759)+10)</f>
        <v/>
      </c>
      <c r="G1759" s="50">
        <f t="shared" si="95"/>
        <v>0</v>
      </c>
      <c r="H1759" s="50">
        <f t="shared" si="96"/>
        <v>0</v>
      </c>
    </row>
    <row r="1760" spans="1:8" x14ac:dyDescent="0.2">
      <c r="A1760" s="37">
        <v>1758</v>
      </c>
      <c r="C1760" s="17">
        <f>+'Detalle Compras'!D1227</f>
        <v>0</v>
      </c>
      <c r="D1760" s="55" t="str">
        <f t="shared" si="94"/>
        <v/>
      </c>
      <c r="E1760" s="14" t="str">
        <f>+IF(B1760="","",'Detalle Compras'!S1760+0)</f>
        <v/>
      </c>
      <c r="F1760" s="14" t="str">
        <f>+IF(B1760="","",EOMONTH('Detalle Compras'!S1760,G1760)+10)</f>
        <v/>
      </c>
      <c r="G1760" s="50">
        <f t="shared" si="95"/>
        <v>0</v>
      </c>
      <c r="H1760" s="50">
        <f t="shared" si="96"/>
        <v>0</v>
      </c>
    </row>
    <row r="1761" spans="1:8" x14ac:dyDescent="0.2">
      <c r="A1761" s="37">
        <v>1759</v>
      </c>
      <c r="C1761" s="17">
        <f>+'Detalle Compras'!D1228</f>
        <v>0</v>
      </c>
      <c r="D1761" s="55" t="str">
        <f t="shared" si="94"/>
        <v/>
      </c>
      <c r="E1761" s="14" t="str">
        <f>+IF(B1761="","",'Detalle Compras'!S1761+0)</f>
        <v/>
      </c>
      <c r="F1761" s="14" t="str">
        <f>+IF(B1761="","",EOMONTH('Detalle Compras'!S1761,G1761)+10)</f>
        <v/>
      </c>
      <c r="G1761" s="50">
        <f t="shared" si="95"/>
        <v>0</v>
      </c>
      <c r="H1761" s="50">
        <f t="shared" si="96"/>
        <v>0</v>
      </c>
    </row>
    <row r="1762" spans="1:8" x14ac:dyDescent="0.2">
      <c r="A1762" s="37">
        <v>1760</v>
      </c>
      <c r="C1762" s="17">
        <f>+'Detalle Compras'!D1229</f>
        <v>0</v>
      </c>
      <c r="D1762" s="55" t="str">
        <f t="shared" si="94"/>
        <v/>
      </c>
      <c r="E1762" s="14" t="str">
        <f>+IF(B1762="","",'Detalle Compras'!S1762+0)</f>
        <v/>
      </c>
      <c r="F1762" s="14" t="str">
        <f>+IF(B1762="","",EOMONTH('Detalle Compras'!S1762,G1762)+10)</f>
        <v/>
      </c>
      <c r="G1762" s="50">
        <f t="shared" si="95"/>
        <v>0</v>
      </c>
      <c r="H1762" s="50">
        <f t="shared" si="96"/>
        <v>0</v>
      </c>
    </row>
    <row r="1763" spans="1:8" x14ac:dyDescent="0.2">
      <c r="A1763" s="37">
        <v>1761</v>
      </c>
      <c r="C1763" s="17">
        <f>+'Detalle Compras'!D1230</f>
        <v>0</v>
      </c>
      <c r="D1763" s="55" t="str">
        <f t="shared" si="94"/>
        <v/>
      </c>
      <c r="E1763" s="14" t="str">
        <f>+IF(B1763="","",'Detalle Compras'!S1763+0)</f>
        <v/>
      </c>
      <c r="F1763" s="14" t="str">
        <f>+IF(B1763="","",EOMONTH('Detalle Compras'!S1763,G1763)+10)</f>
        <v/>
      </c>
      <c r="G1763" s="50">
        <f t="shared" si="95"/>
        <v>0</v>
      </c>
      <c r="H1763" s="50">
        <f t="shared" si="96"/>
        <v>0</v>
      </c>
    </row>
    <row r="1764" spans="1:8" x14ac:dyDescent="0.2">
      <c r="A1764" s="37">
        <v>1762</v>
      </c>
      <c r="C1764" s="17">
        <f>+'Detalle Compras'!D1231</f>
        <v>0</v>
      </c>
      <c r="D1764" s="55" t="str">
        <f t="shared" si="94"/>
        <v/>
      </c>
      <c r="E1764" s="14" t="str">
        <f>+IF(B1764="","",'Detalle Compras'!S1764+0)</f>
        <v/>
      </c>
      <c r="F1764" s="14" t="str">
        <f>+IF(B1764="","",EOMONTH('Detalle Compras'!S1764,G1764)+10)</f>
        <v/>
      </c>
      <c r="G1764" s="50">
        <f t="shared" si="95"/>
        <v>0</v>
      </c>
      <c r="H1764" s="50">
        <f t="shared" si="96"/>
        <v>0</v>
      </c>
    </row>
    <row r="1765" spans="1:8" x14ac:dyDescent="0.2">
      <c r="A1765" s="37">
        <v>1763</v>
      </c>
      <c r="C1765" s="17">
        <f>+'Detalle Compras'!D1232</f>
        <v>0</v>
      </c>
      <c r="D1765" s="55" t="str">
        <f t="shared" si="94"/>
        <v/>
      </c>
      <c r="E1765" s="14" t="str">
        <f>+IF(B1765="","",'Detalle Compras'!S1765+0)</f>
        <v/>
      </c>
      <c r="F1765" s="14" t="str">
        <f>+IF(B1765="","",EOMONTH('Detalle Compras'!S1765,G1765)+10)</f>
        <v/>
      </c>
      <c r="G1765" s="50">
        <f t="shared" si="95"/>
        <v>0</v>
      </c>
      <c r="H1765" s="50">
        <f t="shared" si="96"/>
        <v>0</v>
      </c>
    </row>
    <row r="1766" spans="1:8" x14ac:dyDescent="0.2">
      <c r="A1766" s="37">
        <v>1764</v>
      </c>
      <c r="C1766" s="17">
        <f>+'Detalle Compras'!D1233</f>
        <v>0</v>
      </c>
      <c r="D1766" s="55" t="str">
        <f t="shared" si="94"/>
        <v/>
      </c>
      <c r="E1766" s="14" t="str">
        <f>+IF(B1766="","",'Detalle Compras'!S1766+0)</f>
        <v/>
      </c>
      <c r="F1766" s="14" t="str">
        <f>+IF(B1766="","",EOMONTH('Detalle Compras'!S1766,G1766)+10)</f>
        <v/>
      </c>
      <c r="G1766" s="50">
        <f t="shared" si="95"/>
        <v>0</v>
      </c>
      <c r="H1766" s="50">
        <f t="shared" si="96"/>
        <v>0</v>
      </c>
    </row>
    <row r="1767" spans="1:8" x14ac:dyDescent="0.2">
      <c r="A1767" s="37">
        <v>1765</v>
      </c>
      <c r="C1767" s="17">
        <f>+'Detalle Compras'!D1234</f>
        <v>0</v>
      </c>
      <c r="D1767" s="55" t="str">
        <f t="shared" si="94"/>
        <v/>
      </c>
      <c r="E1767" s="14" t="str">
        <f>+IF(B1767="","",'Detalle Compras'!S1767+0)</f>
        <v/>
      </c>
      <c r="F1767" s="14" t="str">
        <f>+IF(B1767="","",EOMONTH('Detalle Compras'!S1767,G1767)+10)</f>
        <v/>
      </c>
      <c r="G1767" s="50">
        <f t="shared" si="95"/>
        <v>0</v>
      </c>
      <c r="H1767" s="50">
        <f t="shared" si="96"/>
        <v>0</v>
      </c>
    </row>
    <row r="1768" spans="1:8" x14ac:dyDescent="0.2">
      <c r="A1768" s="37">
        <v>1766</v>
      </c>
      <c r="C1768" s="17">
        <f>+'Detalle Compras'!D1235</f>
        <v>0</v>
      </c>
      <c r="D1768" s="55" t="str">
        <f t="shared" si="94"/>
        <v/>
      </c>
      <c r="E1768" s="14" t="str">
        <f>+IF(B1768="","",'Detalle Compras'!S1768+0)</f>
        <v/>
      </c>
      <c r="F1768" s="14" t="str">
        <f>+IF(B1768="","",EOMONTH('Detalle Compras'!S1768,G1768)+10)</f>
        <v/>
      </c>
      <c r="G1768" s="50">
        <f t="shared" si="95"/>
        <v>0</v>
      </c>
      <c r="H1768" s="50">
        <f t="shared" si="96"/>
        <v>0</v>
      </c>
    </row>
    <row r="1769" spans="1:8" x14ac:dyDescent="0.2">
      <c r="A1769" s="37">
        <v>1767</v>
      </c>
      <c r="C1769" s="17">
        <f>+'Detalle Compras'!D1236</f>
        <v>0</v>
      </c>
      <c r="D1769" s="55" t="str">
        <f t="shared" si="94"/>
        <v/>
      </c>
      <c r="E1769" s="14" t="str">
        <f>+IF(B1769="","",'Detalle Compras'!S1769+0)</f>
        <v/>
      </c>
      <c r="F1769" s="14" t="str">
        <f>+IF(B1769="","",EOMONTH('Detalle Compras'!S1769,G1769)+10)</f>
        <v/>
      </c>
      <c r="G1769" s="50">
        <f t="shared" si="95"/>
        <v>0</v>
      </c>
      <c r="H1769" s="50">
        <f t="shared" si="96"/>
        <v>0</v>
      </c>
    </row>
    <row r="1770" spans="1:8" x14ac:dyDescent="0.2">
      <c r="A1770" s="37">
        <v>1768</v>
      </c>
      <c r="C1770" s="17">
        <f>+'Detalle Compras'!D1237</f>
        <v>0</v>
      </c>
      <c r="D1770" s="55" t="str">
        <f t="shared" si="94"/>
        <v/>
      </c>
      <c r="E1770" s="14" t="str">
        <f>+IF(B1770="","",'Detalle Compras'!S1770+0)</f>
        <v/>
      </c>
      <c r="F1770" s="14" t="str">
        <f>+IF(B1770="","",EOMONTH('Detalle Compras'!S1770,G1770)+10)</f>
        <v/>
      </c>
      <c r="G1770" s="50">
        <f t="shared" si="95"/>
        <v>0</v>
      </c>
      <c r="H1770" s="50">
        <f t="shared" si="96"/>
        <v>0</v>
      </c>
    </row>
    <row r="1771" spans="1:8" x14ac:dyDescent="0.2">
      <c r="A1771" s="37">
        <v>1769</v>
      </c>
      <c r="C1771" s="17">
        <f>+'Detalle Compras'!D1238</f>
        <v>0</v>
      </c>
      <c r="D1771" s="55" t="str">
        <f t="shared" si="94"/>
        <v/>
      </c>
      <c r="E1771" s="14" t="str">
        <f>+IF(B1771="","",'Detalle Compras'!S1771+0)</f>
        <v/>
      </c>
      <c r="F1771" s="14" t="str">
        <f>+IF(B1771="","",EOMONTH('Detalle Compras'!S1771,G1771)+10)</f>
        <v/>
      </c>
      <c r="G1771" s="50">
        <f t="shared" si="95"/>
        <v>0</v>
      </c>
      <c r="H1771" s="50">
        <f t="shared" si="96"/>
        <v>0</v>
      </c>
    </row>
    <row r="1772" spans="1:8" x14ac:dyDescent="0.2">
      <c r="A1772" s="37">
        <v>1770</v>
      </c>
      <c r="C1772" s="17">
        <f>+'Detalle Compras'!D1239</f>
        <v>0</v>
      </c>
      <c r="D1772" s="55" t="str">
        <f t="shared" si="94"/>
        <v/>
      </c>
      <c r="E1772" s="14" t="str">
        <f>+IF(B1772="","",'Detalle Compras'!S1772+0)</f>
        <v/>
      </c>
      <c r="F1772" s="14" t="str">
        <f>+IF(B1772="","",EOMONTH('Detalle Compras'!S1772,G1772)+10)</f>
        <v/>
      </c>
      <c r="G1772" s="50">
        <f t="shared" si="95"/>
        <v>0</v>
      </c>
      <c r="H1772" s="50">
        <f t="shared" si="96"/>
        <v>0</v>
      </c>
    </row>
    <row r="1773" spans="1:8" x14ac:dyDescent="0.2">
      <c r="A1773" s="37">
        <v>1771</v>
      </c>
      <c r="C1773" s="17">
        <f>+'Detalle Compras'!D1240</f>
        <v>0</v>
      </c>
      <c r="D1773" s="55" t="str">
        <f t="shared" si="94"/>
        <v/>
      </c>
      <c r="E1773" s="14" t="str">
        <f>+IF(B1773="","",'Detalle Compras'!S1773+0)</f>
        <v/>
      </c>
      <c r="F1773" s="14" t="str">
        <f>+IF(B1773="","",EOMONTH('Detalle Compras'!S1773,G1773)+10)</f>
        <v/>
      </c>
      <c r="G1773" s="50">
        <f t="shared" si="95"/>
        <v>0</v>
      </c>
      <c r="H1773" s="50">
        <f t="shared" si="96"/>
        <v>0</v>
      </c>
    </row>
    <row r="1774" spans="1:8" x14ac:dyDescent="0.2">
      <c r="A1774" s="37">
        <v>1772</v>
      </c>
      <c r="C1774" s="17">
        <f>+'Detalle Compras'!D1241</f>
        <v>0</v>
      </c>
      <c r="D1774" s="55" t="str">
        <f t="shared" si="94"/>
        <v/>
      </c>
      <c r="E1774" s="14" t="str">
        <f>+IF(B1774="","",'Detalle Compras'!S1774+0)</f>
        <v/>
      </c>
      <c r="F1774" s="14" t="str">
        <f>+IF(B1774="","",EOMONTH('Detalle Compras'!S1774,G1774)+10)</f>
        <v/>
      </c>
      <c r="G1774" s="50">
        <f t="shared" si="95"/>
        <v>0</v>
      </c>
      <c r="H1774" s="50">
        <f t="shared" si="96"/>
        <v>0</v>
      </c>
    </row>
    <row r="1775" spans="1:8" x14ac:dyDescent="0.2">
      <c r="A1775" s="37">
        <v>1773</v>
      </c>
      <c r="C1775" s="17">
        <f>+'Detalle Compras'!D1242</f>
        <v>0</v>
      </c>
      <c r="D1775" s="55" t="str">
        <f t="shared" si="94"/>
        <v/>
      </c>
      <c r="E1775" s="14" t="str">
        <f>+IF(B1775="","",'Detalle Compras'!S1775+0)</f>
        <v/>
      </c>
      <c r="F1775" s="14" t="str">
        <f>+IF(B1775="","",EOMONTH('Detalle Compras'!S1775,G1775)+10)</f>
        <v/>
      </c>
      <c r="G1775" s="50">
        <f t="shared" si="95"/>
        <v>0</v>
      </c>
      <c r="H1775" s="50">
        <f t="shared" si="96"/>
        <v>0</v>
      </c>
    </row>
    <row r="1776" spans="1:8" x14ac:dyDescent="0.2">
      <c r="A1776" s="37">
        <v>1774</v>
      </c>
      <c r="C1776" s="17">
        <f>+'Detalle Compras'!D1243</f>
        <v>0</v>
      </c>
      <c r="D1776" s="55" t="str">
        <f t="shared" si="94"/>
        <v/>
      </c>
      <c r="E1776" s="14" t="str">
        <f>+IF(B1776="","",'Detalle Compras'!S1776+0)</f>
        <v/>
      </c>
      <c r="F1776" s="14" t="str">
        <f>+IF(B1776="","",EOMONTH('Detalle Compras'!S1776,G1776)+10)</f>
        <v/>
      </c>
      <c r="G1776" s="50">
        <f t="shared" si="95"/>
        <v>0</v>
      </c>
      <c r="H1776" s="50">
        <f t="shared" si="96"/>
        <v>0</v>
      </c>
    </row>
    <row r="1777" spans="1:8" x14ac:dyDescent="0.2">
      <c r="A1777" s="37">
        <v>1775</v>
      </c>
      <c r="C1777" s="17">
        <f>+'Detalle Compras'!D1244</f>
        <v>0</v>
      </c>
      <c r="D1777" s="55" t="str">
        <f t="shared" si="94"/>
        <v/>
      </c>
      <c r="E1777" s="14" t="str">
        <f>+IF(B1777="","",'Detalle Compras'!S1777+0)</f>
        <v/>
      </c>
      <c r="F1777" s="14" t="str">
        <f>+IF(B1777="","",EOMONTH('Detalle Compras'!S1777,G1777)+10)</f>
        <v/>
      </c>
      <c r="G1777" s="50">
        <f t="shared" si="95"/>
        <v>0</v>
      </c>
      <c r="H1777" s="50">
        <f t="shared" si="96"/>
        <v>0</v>
      </c>
    </row>
    <row r="1778" spans="1:8" x14ac:dyDescent="0.2">
      <c r="A1778" s="37">
        <v>1776</v>
      </c>
      <c r="C1778" s="17">
        <f>+'Detalle Compras'!D1245</f>
        <v>0</v>
      </c>
      <c r="D1778" s="55" t="str">
        <f t="shared" si="94"/>
        <v/>
      </c>
      <c r="E1778" s="14" t="str">
        <f>+IF(B1778="","",'Detalle Compras'!S1778+0)</f>
        <v/>
      </c>
      <c r="F1778" s="14" t="str">
        <f>+IF(B1778="","",EOMONTH('Detalle Compras'!S1778,G1778)+10)</f>
        <v/>
      </c>
      <c r="G1778" s="50">
        <f t="shared" si="95"/>
        <v>0</v>
      </c>
      <c r="H1778" s="50">
        <f t="shared" si="96"/>
        <v>0</v>
      </c>
    </row>
    <row r="1779" spans="1:8" x14ac:dyDescent="0.2">
      <c r="A1779" s="37">
        <v>1777</v>
      </c>
      <c r="C1779" s="17">
        <f>+'Detalle Compras'!D1246</f>
        <v>0</v>
      </c>
      <c r="D1779" s="55" t="str">
        <f t="shared" si="94"/>
        <v/>
      </c>
      <c r="E1779" s="14" t="str">
        <f>+IF(B1779="","",'Detalle Compras'!S1779+0)</f>
        <v/>
      </c>
      <c r="F1779" s="14" t="str">
        <f>+IF(B1779="","",EOMONTH('Detalle Compras'!S1779,G1779)+10)</f>
        <v/>
      </c>
      <c r="G1779" s="50">
        <f t="shared" si="95"/>
        <v>0</v>
      </c>
      <c r="H1779" s="50">
        <f t="shared" si="96"/>
        <v>0</v>
      </c>
    </row>
    <row r="1780" spans="1:8" x14ac:dyDescent="0.2">
      <c r="A1780" s="37">
        <v>1778</v>
      </c>
      <c r="C1780" s="17">
        <f>+'Detalle Compras'!D1247</f>
        <v>0</v>
      </c>
      <c r="D1780" s="55" t="str">
        <f t="shared" si="94"/>
        <v/>
      </c>
      <c r="E1780" s="14" t="str">
        <f>+IF(B1780="","",'Detalle Compras'!S1780+0)</f>
        <v/>
      </c>
      <c r="F1780" s="14" t="str">
        <f>+IF(B1780="","",EOMONTH('Detalle Compras'!S1780,G1780)+10)</f>
        <v/>
      </c>
      <c r="G1780" s="50">
        <f t="shared" si="95"/>
        <v>0</v>
      </c>
      <c r="H1780" s="50">
        <f t="shared" si="96"/>
        <v>0</v>
      </c>
    </row>
    <row r="1781" spans="1:8" x14ac:dyDescent="0.2">
      <c r="A1781" s="37">
        <v>1779</v>
      </c>
      <c r="C1781" s="17">
        <f>+'Detalle Compras'!D1248</f>
        <v>0</v>
      </c>
      <c r="D1781" s="55" t="str">
        <f t="shared" si="94"/>
        <v/>
      </c>
      <c r="E1781" s="14" t="str">
        <f>+IF(B1781="","",'Detalle Compras'!S1781+0)</f>
        <v/>
      </c>
      <c r="F1781" s="14" t="str">
        <f>+IF(B1781="","",EOMONTH('Detalle Compras'!S1781,G1781)+10)</f>
        <v/>
      </c>
      <c r="G1781" s="50">
        <f t="shared" si="95"/>
        <v>0</v>
      </c>
      <c r="H1781" s="50">
        <f t="shared" si="96"/>
        <v>0</v>
      </c>
    </row>
    <row r="1782" spans="1:8" x14ac:dyDescent="0.2">
      <c r="A1782" s="37">
        <v>1780</v>
      </c>
      <c r="C1782" s="17">
        <f>+'Detalle Compras'!D1249</f>
        <v>0</v>
      </c>
      <c r="D1782" s="55" t="str">
        <f t="shared" si="94"/>
        <v/>
      </c>
      <c r="E1782" s="14" t="str">
        <f>+IF(B1782="","",'Detalle Compras'!S1782+0)</f>
        <v/>
      </c>
      <c r="F1782" s="14" t="str">
        <f>+IF(B1782="","",EOMONTH('Detalle Compras'!S1782,G1782)+10)</f>
        <v/>
      </c>
      <c r="G1782" s="50">
        <f t="shared" si="95"/>
        <v>0</v>
      </c>
      <c r="H1782" s="50">
        <f t="shared" si="96"/>
        <v>0</v>
      </c>
    </row>
    <row r="1783" spans="1:8" x14ac:dyDescent="0.2">
      <c r="A1783" s="37">
        <v>1781</v>
      </c>
      <c r="C1783" s="17">
        <f>+'Detalle Compras'!D1250</f>
        <v>0</v>
      </c>
      <c r="D1783" s="55" t="str">
        <f t="shared" si="94"/>
        <v/>
      </c>
      <c r="E1783" s="14" t="str">
        <f>+IF(B1783="","",'Detalle Compras'!S1783+0)</f>
        <v/>
      </c>
      <c r="F1783" s="14" t="str">
        <f>+IF(B1783="","",EOMONTH('Detalle Compras'!S1783,G1783)+10)</f>
        <v/>
      </c>
      <c r="G1783" s="50">
        <f t="shared" si="95"/>
        <v>0</v>
      </c>
      <c r="H1783" s="50">
        <f t="shared" si="96"/>
        <v>0</v>
      </c>
    </row>
    <row r="1784" spans="1:8" x14ac:dyDescent="0.2">
      <c r="A1784" s="37">
        <v>1782</v>
      </c>
      <c r="C1784" s="17">
        <f>+'Detalle Compras'!D1251</f>
        <v>0</v>
      </c>
      <c r="D1784" s="55" t="str">
        <f t="shared" si="94"/>
        <v/>
      </c>
      <c r="E1784" s="14" t="str">
        <f>+IF(B1784="","",'Detalle Compras'!S1784+0)</f>
        <v/>
      </c>
      <c r="F1784" s="14" t="str">
        <f>+IF(B1784="","",EOMONTH('Detalle Compras'!S1784,G1784)+10)</f>
        <v/>
      </c>
      <c r="G1784" s="50">
        <f t="shared" si="95"/>
        <v>0</v>
      </c>
      <c r="H1784" s="50">
        <f t="shared" si="96"/>
        <v>0</v>
      </c>
    </row>
    <row r="1785" spans="1:8" x14ac:dyDescent="0.2">
      <c r="A1785" s="37">
        <v>1783</v>
      </c>
      <c r="C1785" s="17">
        <f>+'Detalle Compras'!D1252</f>
        <v>0</v>
      </c>
      <c r="D1785" s="55" t="str">
        <f t="shared" si="94"/>
        <v/>
      </c>
      <c r="E1785" s="14" t="str">
        <f>+IF(B1785="","",'Detalle Compras'!S1785+0)</f>
        <v/>
      </c>
      <c r="F1785" s="14" t="str">
        <f>+IF(B1785="","",EOMONTH('Detalle Compras'!S1785,G1785)+10)</f>
        <v/>
      </c>
      <c r="G1785" s="50">
        <f t="shared" si="95"/>
        <v>0</v>
      </c>
      <c r="H1785" s="50">
        <f t="shared" si="96"/>
        <v>0</v>
      </c>
    </row>
    <row r="1786" spans="1:8" x14ac:dyDescent="0.2">
      <c r="A1786" s="37">
        <v>1784</v>
      </c>
      <c r="C1786" s="17">
        <f>+'Detalle Compras'!D1253</f>
        <v>0</v>
      </c>
      <c r="D1786" s="55" t="str">
        <f t="shared" si="94"/>
        <v/>
      </c>
      <c r="E1786" s="14" t="str">
        <f>+IF(B1786="","",'Detalle Compras'!S1786+0)</f>
        <v/>
      </c>
      <c r="F1786" s="14" t="str">
        <f>+IF(B1786="","",EOMONTH('Detalle Compras'!S1786,G1786)+10)</f>
        <v/>
      </c>
      <c r="G1786" s="50">
        <f t="shared" si="95"/>
        <v>0</v>
      </c>
      <c r="H1786" s="50">
        <f t="shared" si="96"/>
        <v>0</v>
      </c>
    </row>
    <row r="1787" spans="1:8" x14ac:dyDescent="0.2">
      <c r="A1787" s="37">
        <v>1785</v>
      </c>
      <c r="C1787" s="17">
        <f>+'Detalle Compras'!D1254</f>
        <v>0</v>
      </c>
      <c r="D1787" s="55" t="str">
        <f t="shared" si="94"/>
        <v/>
      </c>
      <c r="E1787" s="14" t="str">
        <f>+IF(B1787="","",'Detalle Compras'!S1787+0)</f>
        <v/>
      </c>
      <c r="F1787" s="14" t="str">
        <f>+IF(B1787="","",EOMONTH('Detalle Compras'!S1787,G1787)+10)</f>
        <v/>
      </c>
      <c r="G1787" s="50">
        <f t="shared" si="95"/>
        <v>0</v>
      </c>
      <c r="H1787" s="50">
        <f t="shared" si="96"/>
        <v>0</v>
      </c>
    </row>
    <row r="1788" spans="1:8" x14ac:dyDescent="0.2">
      <c r="A1788" s="37">
        <v>1786</v>
      </c>
      <c r="C1788" s="17">
        <f>+'Detalle Compras'!D1255</f>
        <v>0</v>
      </c>
      <c r="D1788" s="55" t="str">
        <f t="shared" si="94"/>
        <v/>
      </c>
      <c r="E1788" s="14" t="str">
        <f>+IF(B1788="","",'Detalle Compras'!S1788+0)</f>
        <v/>
      </c>
      <c r="F1788" s="14" t="str">
        <f>+IF(B1788="","",EOMONTH('Detalle Compras'!S1788,G1788)+10)</f>
        <v/>
      </c>
      <c r="G1788" s="50">
        <f t="shared" si="95"/>
        <v>0</v>
      </c>
      <c r="H1788" s="50">
        <f t="shared" si="96"/>
        <v>0</v>
      </c>
    </row>
    <row r="1789" spans="1:8" x14ac:dyDescent="0.2">
      <c r="A1789" s="37">
        <v>1787</v>
      </c>
      <c r="C1789" s="17">
        <f>+'Detalle Compras'!D1256</f>
        <v>0</v>
      </c>
      <c r="D1789" s="55" t="str">
        <f t="shared" si="94"/>
        <v/>
      </c>
      <c r="E1789" s="14" t="str">
        <f>+IF(B1789="","",'Detalle Compras'!S1789+0)</f>
        <v/>
      </c>
      <c r="F1789" s="14" t="str">
        <f>+IF(B1789="","",EOMONTH('Detalle Compras'!S1789,G1789)+10)</f>
        <v/>
      </c>
      <c r="G1789" s="50">
        <f t="shared" si="95"/>
        <v>0</v>
      </c>
      <c r="H1789" s="50">
        <f t="shared" si="96"/>
        <v>0</v>
      </c>
    </row>
    <row r="1790" spans="1:8" x14ac:dyDescent="0.2">
      <c r="A1790" s="37">
        <v>1788</v>
      </c>
      <c r="C1790" s="17">
        <f>+'Detalle Compras'!D1257</f>
        <v>0</v>
      </c>
      <c r="D1790" s="55" t="str">
        <f t="shared" si="94"/>
        <v/>
      </c>
      <c r="E1790" s="14" t="str">
        <f>+IF(B1790="","",'Detalle Compras'!S1790+0)</f>
        <v/>
      </c>
      <c r="F1790" s="14" t="str">
        <f>+IF(B1790="","",EOMONTH('Detalle Compras'!S1790,G1790)+10)</f>
        <v/>
      </c>
      <c r="G1790" s="50">
        <f t="shared" si="95"/>
        <v>0</v>
      </c>
      <c r="H1790" s="50">
        <f t="shared" si="96"/>
        <v>0</v>
      </c>
    </row>
    <row r="1791" spans="1:8" x14ac:dyDescent="0.2">
      <c r="A1791" s="37">
        <v>1789</v>
      </c>
      <c r="C1791" s="17">
        <f>+'Detalle Compras'!D1258</f>
        <v>0</v>
      </c>
      <c r="D1791" s="55" t="str">
        <f t="shared" si="94"/>
        <v/>
      </c>
      <c r="E1791" s="14" t="str">
        <f>+IF(B1791="","",'Detalle Compras'!S1791+0)</f>
        <v/>
      </c>
      <c r="F1791" s="14" t="str">
        <f>+IF(B1791="","",EOMONTH('Detalle Compras'!S1791,G1791)+10)</f>
        <v/>
      </c>
      <c r="G1791" s="50">
        <f t="shared" si="95"/>
        <v>0</v>
      </c>
      <c r="H1791" s="50">
        <f t="shared" si="96"/>
        <v>0</v>
      </c>
    </row>
    <row r="1792" spans="1:8" x14ac:dyDescent="0.2">
      <c r="A1792" s="37">
        <v>1790</v>
      </c>
      <c r="C1792" s="17">
        <f>+'Detalle Compras'!D1259</f>
        <v>0</v>
      </c>
      <c r="D1792" s="55" t="str">
        <f t="shared" si="94"/>
        <v/>
      </c>
      <c r="E1792" s="14" t="str">
        <f>+IF(B1792="","",'Detalle Compras'!S1792+0)</f>
        <v/>
      </c>
      <c r="F1792" s="14" t="str">
        <f>+IF(B1792="","",EOMONTH('Detalle Compras'!S1792,G1792)+10)</f>
        <v/>
      </c>
      <c r="G1792" s="50">
        <f t="shared" si="95"/>
        <v>0</v>
      </c>
      <c r="H1792" s="50">
        <f t="shared" si="96"/>
        <v>0</v>
      </c>
    </row>
    <row r="1793" spans="1:8" x14ac:dyDescent="0.2">
      <c r="A1793" s="37">
        <v>1791</v>
      </c>
      <c r="C1793" s="17">
        <f>+'Detalle Compras'!D1260</f>
        <v>0</v>
      </c>
      <c r="D1793" s="55" t="str">
        <f t="shared" si="94"/>
        <v/>
      </c>
      <c r="E1793" s="14" t="str">
        <f>+IF(B1793="","",'Detalle Compras'!S1793+0)</f>
        <v/>
      </c>
      <c r="F1793" s="14" t="str">
        <f>+IF(B1793="","",EOMONTH('Detalle Compras'!S1793,G1793)+10)</f>
        <v/>
      </c>
      <c r="G1793" s="50">
        <f t="shared" si="95"/>
        <v>0</v>
      </c>
      <c r="H1793" s="50">
        <f t="shared" si="96"/>
        <v>0</v>
      </c>
    </row>
    <row r="1794" spans="1:8" x14ac:dyDescent="0.2">
      <c r="A1794" s="37">
        <v>1792</v>
      </c>
      <c r="C1794" s="17">
        <f>+'Detalle Compras'!D1261</f>
        <v>0</v>
      </c>
      <c r="D1794" s="55" t="str">
        <f t="shared" si="94"/>
        <v/>
      </c>
      <c r="E1794" s="14" t="str">
        <f>+IF(B1794="","",'Detalle Compras'!S1794+0)</f>
        <v/>
      </c>
      <c r="F1794" s="14" t="str">
        <f>+IF(B1794="","",EOMONTH('Detalle Compras'!S1794,G1794)+10)</f>
        <v/>
      </c>
      <c r="G1794" s="50">
        <f t="shared" si="95"/>
        <v>0</v>
      </c>
      <c r="H1794" s="50">
        <f t="shared" si="96"/>
        <v>0</v>
      </c>
    </row>
    <row r="1795" spans="1:8" x14ac:dyDescent="0.2">
      <c r="A1795" s="37">
        <v>1793</v>
      </c>
      <c r="C1795" s="17">
        <f>+'Detalle Compras'!D1262</f>
        <v>0</v>
      </c>
      <c r="D1795" s="55" t="str">
        <f t="shared" si="94"/>
        <v/>
      </c>
      <c r="E1795" s="14" t="str">
        <f>+IF(B1795="","",'Detalle Compras'!S1795+0)</f>
        <v/>
      </c>
      <c r="F1795" s="14" t="str">
        <f>+IF(B1795="","",EOMONTH('Detalle Compras'!S1795,G1795)+10)</f>
        <v/>
      </c>
      <c r="G1795" s="50">
        <f t="shared" si="95"/>
        <v>0</v>
      </c>
      <c r="H1795" s="50">
        <f t="shared" si="96"/>
        <v>0</v>
      </c>
    </row>
    <row r="1796" spans="1:8" x14ac:dyDescent="0.2">
      <c r="A1796" s="37">
        <v>1794</v>
      </c>
      <c r="C1796" s="17">
        <f>+'Detalle Compras'!D1263</f>
        <v>0</v>
      </c>
      <c r="D1796" s="55" t="str">
        <f t="shared" ref="D1796:D1859" si="97">+IF(B1796="","",EA1796)</f>
        <v/>
      </c>
      <c r="E1796" s="14" t="str">
        <f>+IF(B1796="","",'Detalle Compras'!S1796+0)</f>
        <v/>
      </c>
      <c r="F1796" s="14" t="str">
        <f>+IF(B1796="","",EOMONTH('Detalle Compras'!S1796,G1796)+10)</f>
        <v/>
      </c>
      <c r="G1796" s="50">
        <f t="shared" ref="G1796:G1859" si="98">+COUNTIF(I1796:ADF1796,"&gt;1")</f>
        <v>0</v>
      </c>
      <c r="H1796" s="50">
        <f t="shared" ref="H1796:H1859" si="99">+COUNT(AF1796:ADF1796)</f>
        <v>0</v>
      </c>
    </row>
    <row r="1797" spans="1:8" x14ac:dyDescent="0.2">
      <c r="A1797" s="37">
        <v>1795</v>
      </c>
      <c r="C1797" s="17">
        <f>+'Detalle Compras'!D1264</f>
        <v>0</v>
      </c>
      <c r="D1797" s="55" t="str">
        <f t="shared" si="97"/>
        <v/>
      </c>
      <c r="E1797" s="14" t="str">
        <f>+IF(B1797="","",'Detalle Compras'!S1797+0)</f>
        <v/>
      </c>
      <c r="F1797" s="14" t="str">
        <f>+IF(B1797="","",EOMONTH('Detalle Compras'!S1797,G1797)+10)</f>
        <v/>
      </c>
      <c r="G1797" s="50">
        <f t="shared" si="98"/>
        <v>0</v>
      </c>
      <c r="H1797" s="50">
        <f t="shared" si="99"/>
        <v>0</v>
      </c>
    </row>
    <row r="1798" spans="1:8" x14ac:dyDescent="0.2">
      <c r="A1798" s="37">
        <v>1796</v>
      </c>
      <c r="C1798" s="17">
        <f>+'Detalle Compras'!D1265</f>
        <v>0</v>
      </c>
      <c r="D1798" s="55" t="str">
        <f t="shared" si="97"/>
        <v/>
      </c>
      <c r="E1798" s="14" t="str">
        <f>+IF(B1798="","",'Detalle Compras'!S1798+0)</f>
        <v/>
      </c>
      <c r="F1798" s="14" t="str">
        <f>+IF(B1798="","",EOMONTH('Detalle Compras'!S1798,G1798)+10)</f>
        <v/>
      </c>
      <c r="G1798" s="50">
        <f t="shared" si="98"/>
        <v>0</v>
      </c>
      <c r="H1798" s="50">
        <f t="shared" si="99"/>
        <v>0</v>
      </c>
    </row>
    <row r="1799" spans="1:8" x14ac:dyDescent="0.2">
      <c r="A1799" s="37">
        <v>1797</v>
      </c>
      <c r="C1799" s="17">
        <f>+'Detalle Compras'!D1266</f>
        <v>0</v>
      </c>
      <c r="D1799" s="55" t="str">
        <f t="shared" si="97"/>
        <v/>
      </c>
      <c r="E1799" s="14" t="str">
        <f>+IF(B1799="","",'Detalle Compras'!S1799+0)</f>
        <v/>
      </c>
      <c r="F1799" s="14" t="str">
        <f>+IF(B1799="","",EOMONTH('Detalle Compras'!S1799,G1799)+10)</f>
        <v/>
      </c>
      <c r="G1799" s="50">
        <f t="shared" si="98"/>
        <v>0</v>
      </c>
      <c r="H1799" s="50">
        <f t="shared" si="99"/>
        <v>0</v>
      </c>
    </row>
    <row r="1800" spans="1:8" x14ac:dyDescent="0.2">
      <c r="A1800" s="37">
        <v>1798</v>
      </c>
      <c r="C1800" s="17">
        <f>+'Detalle Compras'!D1267</f>
        <v>0</v>
      </c>
      <c r="D1800" s="55" t="str">
        <f t="shared" si="97"/>
        <v/>
      </c>
      <c r="E1800" s="14" t="str">
        <f>+IF(B1800="","",'Detalle Compras'!S1800+0)</f>
        <v/>
      </c>
      <c r="F1800" s="14" t="str">
        <f>+IF(B1800="","",EOMONTH('Detalle Compras'!S1800,G1800)+10)</f>
        <v/>
      </c>
      <c r="G1800" s="50">
        <f t="shared" si="98"/>
        <v>0</v>
      </c>
      <c r="H1800" s="50">
        <f t="shared" si="99"/>
        <v>0</v>
      </c>
    </row>
    <row r="1801" spans="1:8" x14ac:dyDescent="0.2">
      <c r="A1801" s="37">
        <v>1799</v>
      </c>
      <c r="C1801" s="17">
        <f>+'Detalle Compras'!D1268</f>
        <v>0</v>
      </c>
      <c r="D1801" s="55" t="str">
        <f t="shared" si="97"/>
        <v/>
      </c>
      <c r="E1801" s="14" t="str">
        <f>+IF(B1801="","",'Detalle Compras'!S1801+0)</f>
        <v/>
      </c>
      <c r="F1801" s="14" t="str">
        <f>+IF(B1801="","",EOMONTH('Detalle Compras'!S1801,G1801)+10)</f>
        <v/>
      </c>
      <c r="G1801" s="50">
        <f t="shared" si="98"/>
        <v>0</v>
      </c>
      <c r="H1801" s="50">
        <f t="shared" si="99"/>
        <v>0</v>
      </c>
    </row>
    <row r="1802" spans="1:8" x14ac:dyDescent="0.2">
      <c r="A1802" s="37">
        <v>1800</v>
      </c>
      <c r="C1802" s="17">
        <f>+'Detalle Compras'!D1269</f>
        <v>0</v>
      </c>
      <c r="D1802" s="55" t="str">
        <f t="shared" si="97"/>
        <v/>
      </c>
      <c r="E1802" s="14" t="str">
        <f>+IF(B1802="","",'Detalle Compras'!S1802+0)</f>
        <v/>
      </c>
      <c r="F1802" s="14" t="str">
        <f>+IF(B1802="","",EOMONTH('Detalle Compras'!S1802,G1802)+10)</f>
        <v/>
      </c>
      <c r="G1802" s="50">
        <f t="shared" si="98"/>
        <v>0</v>
      </c>
      <c r="H1802" s="50">
        <f t="shared" si="99"/>
        <v>0</v>
      </c>
    </row>
    <row r="1803" spans="1:8" x14ac:dyDescent="0.2">
      <c r="A1803" s="37">
        <v>1801</v>
      </c>
      <c r="C1803" s="17">
        <f>+'Detalle Compras'!D1270</f>
        <v>0</v>
      </c>
      <c r="D1803" s="55" t="str">
        <f t="shared" si="97"/>
        <v/>
      </c>
      <c r="E1803" s="14" t="str">
        <f>+IF(B1803="","",'Detalle Compras'!S1803+0)</f>
        <v/>
      </c>
      <c r="F1803" s="14" t="str">
        <f>+IF(B1803="","",EOMONTH('Detalle Compras'!S1803,G1803)+10)</f>
        <v/>
      </c>
      <c r="G1803" s="50">
        <f t="shared" si="98"/>
        <v>0</v>
      </c>
      <c r="H1803" s="50">
        <f t="shared" si="99"/>
        <v>0</v>
      </c>
    </row>
    <row r="1804" spans="1:8" x14ac:dyDescent="0.2">
      <c r="A1804" s="37">
        <v>1802</v>
      </c>
      <c r="C1804" s="17">
        <f>+'Detalle Compras'!D1271</f>
        <v>0</v>
      </c>
      <c r="D1804" s="55" t="str">
        <f t="shared" si="97"/>
        <v/>
      </c>
      <c r="E1804" s="14" t="str">
        <f>+IF(B1804="","",'Detalle Compras'!S1804+0)</f>
        <v/>
      </c>
      <c r="F1804" s="14" t="str">
        <f>+IF(B1804="","",EOMONTH('Detalle Compras'!S1804,G1804)+10)</f>
        <v/>
      </c>
      <c r="G1804" s="50">
        <f t="shared" si="98"/>
        <v>0</v>
      </c>
      <c r="H1804" s="50">
        <f t="shared" si="99"/>
        <v>0</v>
      </c>
    </row>
    <row r="1805" spans="1:8" x14ac:dyDescent="0.2">
      <c r="A1805" s="37">
        <v>1803</v>
      </c>
      <c r="C1805" s="17">
        <f>+'Detalle Compras'!D1272</f>
        <v>0</v>
      </c>
      <c r="D1805" s="55" t="str">
        <f t="shared" si="97"/>
        <v/>
      </c>
      <c r="E1805" s="14" t="str">
        <f>+IF(B1805="","",'Detalle Compras'!S1805+0)</f>
        <v/>
      </c>
      <c r="F1805" s="14" t="str">
        <f>+IF(B1805="","",EOMONTH('Detalle Compras'!S1805,G1805)+10)</f>
        <v/>
      </c>
      <c r="G1805" s="50">
        <f t="shared" si="98"/>
        <v>0</v>
      </c>
      <c r="H1805" s="50">
        <f t="shared" si="99"/>
        <v>0</v>
      </c>
    </row>
    <row r="1806" spans="1:8" x14ac:dyDescent="0.2">
      <c r="A1806" s="37">
        <v>1804</v>
      </c>
      <c r="C1806" s="17">
        <f>+'Detalle Compras'!D1273</f>
        <v>0</v>
      </c>
      <c r="D1806" s="55" t="str">
        <f t="shared" si="97"/>
        <v/>
      </c>
      <c r="E1806" s="14" t="str">
        <f>+IF(B1806="","",'Detalle Compras'!S1806+0)</f>
        <v/>
      </c>
      <c r="F1806" s="14" t="str">
        <f>+IF(B1806="","",EOMONTH('Detalle Compras'!S1806,G1806)+10)</f>
        <v/>
      </c>
      <c r="G1806" s="50">
        <f t="shared" si="98"/>
        <v>0</v>
      </c>
      <c r="H1806" s="50">
        <f t="shared" si="99"/>
        <v>0</v>
      </c>
    </row>
    <row r="1807" spans="1:8" x14ac:dyDescent="0.2">
      <c r="A1807" s="37">
        <v>1805</v>
      </c>
      <c r="C1807" s="17">
        <f>+'Detalle Compras'!D1274</f>
        <v>0</v>
      </c>
      <c r="D1807" s="55" t="str">
        <f t="shared" si="97"/>
        <v/>
      </c>
      <c r="E1807" s="14" t="str">
        <f>+IF(B1807="","",'Detalle Compras'!S1807+0)</f>
        <v/>
      </c>
      <c r="F1807" s="14" t="str">
        <f>+IF(B1807="","",EOMONTH('Detalle Compras'!S1807,G1807)+10)</f>
        <v/>
      </c>
      <c r="G1807" s="50">
        <f t="shared" si="98"/>
        <v>0</v>
      </c>
      <c r="H1807" s="50">
        <f t="shared" si="99"/>
        <v>0</v>
      </c>
    </row>
    <row r="1808" spans="1:8" x14ac:dyDescent="0.2">
      <c r="A1808" s="37">
        <v>1806</v>
      </c>
      <c r="C1808" s="17">
        <f>+'Detalle Compras'!D1275</f>
        <v>0</v>
      </c>
      <c r="D1808" s="55" t="str">
        <f t="shared" si="97"/>
        <v/>
      </c>
      <c r="E1808" s="14" t="str">
        <f>+IF(B1808="","",'Detalle Compras'!S1808+0)</f>
        <v/>
      </c>
      <c r="F1808" s="14" t="str">
        <f>+IF(B1808="","",EOMONTH('Detalle Compras'!S1808,G1808)+10)</f>
        <v/>
      </c>
      <c r="G1808" s="50">
        <f t="shared" si="98"/>
        <v>0</v>
      </c>
      <c r="H1808" s="50">
        <f t="shared" si="99"/>
        <v>0</v>
      </c>
    </row>
    <row r="1809" spans="1:8" x14ac:dyDescent="0.2">
      <c r="A1809" s="37">
        <v>1807</v>
      </c>
      <c r="C1809" s="17">
        <f>+'Detalle Compras'!D1276</f>
        <v>0</v>
      </c>
      <c r="D1809" s="55" t="str">
        <f t="shared" si="97"/>
        <v/>
      </c>
      <c r="E1809" s="14" t="str">
        <f>+IF(B1809="","",'Detalle Compras'!S1809+0)</f>
        <v/>
      </c>
      <c r="F1809" s="14" t="str">
        <f>+IF(B1809="","",EOMONTH('Detalle Compras'!S1809,G1809)+10)</f>
        <v/>
      </c>
      <c r="G1809" s="50">
        <f t="shared" si="98"/>
        <v>0</v>
      </c>
      <c r="H1809" s="50">
        <f t="shared" si="99"/>
        <v>0</v>
      </c>
    </row>
    <row r="1810" spans="1:8" x14ac:dyDescent="0.2">
      <c r="A1810" s="37">
        <v>1808</v>
      </c>
      <c r="C1810" s="17">
        <f>+'Detalle Compras'!D1277</f>
        <v>0</v>
      </c>
      <c r="D1810" s="55" t="str">
        <f t="shared" si="97"/>
        <v/>
      </c>
      <c r="E1810" s="14" t="str">
        <f>+IF(B1810="","",'Detalle Compras'!S1810+0)</f>
        <v/>
      </c>
      <c r="F1810" s="14" t="str">
        <f>+IF(B1810="","",EOMONTH('Detalle Compras'!S1810,G1810)+10)</f>
        <v/>
      </c>
      <c r="G1810" s="50">
        <f t="shared" si="98"/>
        <v>0</v>
      </c>
      <c r="H1810" s="50">
        <f t="shared" si="99"/>
        <v>0</v>
      </c>
    </row>
    <row r="1811" spans="1:8" x14ac:dyDescent="0.2">
      <c r="A1811" s="37">
        <v>1809</v>
      </c>
      <c r="C1811" s="17">
        <f>+'Detalle Compras'!D1278</f>
        <v>0</v>
      </c>
      <c r="D1811" s="55" t="str">
        <f t="shared" si="97"/>
        <v/>
      </c>
      <c r="E1811" s="14" t="str">
        <f>+IF(B1811="","",'Detalle Compras'!S1811+0)</f>
        <v/>
      </c>
      <c r="F1811" s="14" t="str">
        <f>+IF(B1811="","",EOMONTH('Detalle Compras'!S1811,G1811)+10)</f>
        <v/>
      </c>
      <c r="G1811" s="50">
        <f t="shared" si="98"/>
        <v>0</v>
      </c>
      <c r="H1811" s="50">
        <f t="shared" si="99"/>
        <v>0</v>
      </c>
    </row>
    <row r="1812" spans="1:8" x14ac:dyDescent="0.2">
      <c r="A1812" s="37">
        <v>1810</v>
      </c>
      <c r="C1812" s="17">
        <f>+'Detalle Compras'!D1279</f>
        <v>0</v>
      </c>
      <c r="D1812" s="55" t="str">
        <f t="shared" si="97"/>
        <v/>
      </c>
      <c r="E1812" s="14" t="str">
        <f>+IF(B1812="","",'Detalle Compras'!S1812+0)</f>
        <v/>
      </c>
      <c r="F1812" s="14" t="str">
        <f>+IF(B1812="","",EOMONTH('Detalle Compras'!S1812,G1812)+10)</f>
        <v/>
      </c>
      <c r="G1812" s="50">
        <f t="shared" si="98"/>
        <v>0</v>
      </c>
      <c r="H1812" s="50">
        <f t="shared" si="99"/>
        <v>0</v>
      </c>
    </row>
    <row r="1813" spans="1:8" x14ac:dyDescent="0.2">
      <c r="A1813" s="37">
        <v>1811</v>
      </c>
      <c r="C1813" s="17">
        <f>+'Detalle Compras'!D1280</f>
        <v>0</v>
      </c>
      <c r="D1813" s="55" t="str">
        <f t="shared" si="97"/>
        <v/>
      </c>
      <c r="E1813" s="14" t="str">
        <f>+IF(B1813="","",'Detalle Compras'!S1813+0)</f>
        <v/>
      </c>
      <c r="F1813" s="14" t="str">
        <f>+IF(B1813="","",EOMONTH('Detalle Compras'!S1813,G1813)+10)</f>
        <v/>
      </c>
      <c r="G1813" s="50">
        <f t="shared" si="98"/>
        <v>0</v>
      </c>
      <c r="H1813" s="50">
        <f t="shared" si="99"/>
        <v>0</v>
      </c>
    </row>
    <row r="1814" spans="1:8" x14ac:dyDescent="0.2">
      <c r="A1814" s="37">
        <v>1812</v>
      </c>
      <c r="C1814" s="17">
        <f>+'Detalle Compras'!D1281</f>
        <v>0</v>
      </c>
      <c r="D1814" s="55" t="str">
        <f t="shared" si="97"/>
        <v/>
      </c>
      <c r="E1814" s="14" t="str">
        <f>+IF(B1814="","",'Detalle Compras'!S1814+0)</f>
        <v/>
      </c>
      <c r="F1814" s="14" t="str">
        <f>+IF(B1814="","",EOMONTH('Detalle Compras'!S1814,G1814)+10)</f>
        <v/>
      </c>
      <c r="G1814" s="50">
        <f t="shared" si="98"/>
        <v>0</v>
      </c>
      <c r="H1814" s="50">
        <f t="shared" si="99"/>
        <v>0</v>
      </c>
    </row>
    <row r="1815" spans="1:8" x14ac:dyDescent="0.2">
      <c r="A1815" s="37">
        <v>1813</v>
      </c>
      <c r="C1815" s="17">
        <f>+'Detalle Compras'!D1282</f>
        <v>0</v>
      </c>
      <c r="D1815" s="55" t="str">
        <f t="shared" si="97"/>
        <v/>
      </c>
      <c r="E1815" s="14" t="str">
        <f>+IF(B1815="","",'Detalle Compras'!S1815+0)</f>
        <v/>
      </c>
      <c r="F1815" s="14" t="str">
        <f>+IF(B1815="","",EOMONTH('Detalle Compras'!S1815,G1815)+10)</f>
        <v/>
      </c>
      <c r="G1815" s="50">
        <f t="shared" si="98"/>
        <v>0</v>
      </c>
      <c r="H1815" s="50">
        <f t="shared" si="99"/>
        <v>0</v>
      </c>
    </row>
    <row r="1816" spans="1:8" x14ac:dyDescent="0.2">
      <c r="A1816" s="37">
        <v>1814</v>
      </c>
      <c r="C1816" s="17">
        <f>+'Detalle Compras'!D1283</f>
        <v>0</v>
      </c>
      <c r="D1816" s="55" t="str">
        <f t="shared" si="97"/>
        <v/>
      </c>
      <c r="E1816" s="14" t="str">
        <f>+IF(B1816="","",'Detalle Compras'!S1816+0)</f>
        <v/>
      </c>
      <c r="F1816" s="14" t="str">
        <f>+IF(B1816="","",EOMONTH('Detalle Compras'!S1816,G1816)+10)</f>
        <v/>
      </c>
      <c r="G1816" s="50">
        <f t="shared" si="98"/>
        <v>0</v>
      </c>
      <c r="H1816" s="50">
        <f t="shared" si="99"/>
        <v>0</v>
      </c>
    </row>
    <row r="1817" spans="1:8" x14ac:dyDescent="0.2">
      <c r="A1817" s="37">
        <v>1815</v>
      </c>
      <c r="C1817" s="17">
        <f>+'Detalle Compras'!D1284</f>
        <v>0</v>
      </c>
      <c r="D1817" s="55" t="str">
        <f t="shared" si="97"/>
        <v/>
      </c>
      <c r="E1817" s="14" t="str">
        <f>+IF(B1817="","",'Detalle Compras'!S1817+0)</f>
        <v/>
      </c>
      <c r="F1817" s="14" t="str">
        <f>+IF(B1817="","",EOMONTH('Detalle Compras'!S1817,G1817)+10)</f>
        <v/>
      </c>
      <c r="G1817" s="50">
        <f t="shared" si="98"/>
        <v>0</v>
      </c>
      <c r="H1817" s="50">
        <f t="shared" si="99"/>
        <v>0</v>
      </c>
    </row>
    <row r="1818" spans="1:8" x14ac:dyDescent="0.2">
      <c r="A1818" s="37">
        <v>1816</v>
      </c>
      <c r="C1818" s="17">
        <f>+'Detalle Compras'!D1285</f>
        <v>0</v>
      </c>
      <c r="D1818" s="55" t="str">
        <f t="shared" si="97"/>
        <v/>
      </c>
      <c r="E1818" s="14" t="str">
        <f>+IF(B1818="","",'Detalle Compras'!S1818+0)</f>
        <v/>
      </c>
      <c r="F1818" s="14" t="str">
        <f>+IF(B1818="","",EOMONTH('Detalle Compras'!S1818,G1818)+10)</f>
        <v/>
      </c>
      <c r="G1818" s="50">
        <f t="shared" si="98"/>
        <v>0</v>
      </c>
      <c r="H1818" s="50">
        <f t="shared" si="99"/>
        <v>0</v>
      </c>
    </row>
    <row r="1819" spans="1:8" x14ac:dyDescent="0.2">
      <c r="A1819" s="37">
        <v>1817</v>
      </c>
      <c r="C1819" s="17">
        <f>+'Detalle Compras'!D1286</f>
        <v>0</v>
      </c>
      <c r="D1819" s="55" t="str">
        <f t="shared" si="97"/>
        <v/>
      </c>
      <c r="E1819" s="14" t="str">
        <f>+IF(B1819="","",'Detalle Compras'!S1819+0)</f>
        <v/>
      </c>
      <c r="F1819" s="14" t="str">
        <f>+IF(B1819="","",EOMONTH('Detalle Compras'!S1819,G1819)+10)</f>
        <v/>
      </c>
      <c r="G1819" s="50">
        <f t="shared" si="98"/>
        <v>0</v>
      </c>
      <c r="H1819" s="50">
        <f t="shared" si="99"/>
        <v>0</v>
      </c>
    </row>
    <row r="1820" spans="1:8" x14ac:dyDescent="0.2">
      <c r="A1820" s="37">
        <v>1818</v>
      </c>
      <c r="C1820" s="17">
        <f>+'Detalle Compras'!D1287</f>
        <v>0</v>
      </c>
      <c r="D1820" s="55" t="str">
        <f t="shared" si="97"/>
        <v/>
      </c>
      <c r="E1820" s="14" t="str">
        <f>+IF(B1820="","",'Detalle Compras'!S1820+0)</f>
        <v/>
      </c>
      <c r="F1820" s="14" t="str">
        <f>+IF(B1820="","",EOMONTH('Detalle Compras'!S1820,G1820)+10)</f>
        <v/>
      </c>
      <c r="G1820" s="50">
        <f t="shared" si="98"/>
        <v>0</v>
      </c>
      <c r="H1820" s="50">
        <f t="shared" si="99"/>
        <v>0</v>
      </c>
    </row>
    <row r="1821" spans="1:8" x14ac:dyDescent="0.2">
      <c r="A1821" s="37">
        <v>1819</v>
      </c>
      <c r="C1821" s="17">
        <f>+'Detalle Compras'!D1288</f>
        <v>0</v>
      </c>
      <c r="D1821" s="55" t="str">
        <f t="shared" si="97"/>
        <v/>
      </c>
      <c r="E1821" s="14" t="str">
        <f>+IF(B1821="","",'Detalle Compras'!S1821+0)</f>
        <v/>
      </c>
      <c r="F1821" s="14" t="str">
        <f>+IF(B1821="","",EOMONTH('Detalle Compras'!S1821,G1821)+10)</f>
        <v/>
      </c>
      <c r="G1821" s="50">
        <f t="shared" si="98"/>
        <v>0</v>
      </c>
      <c r="H1821" s="50">
        <f t="shared" si="99"/>
        <v>0</v>
      </c>
    </row>
    <row r="1822" spans="1:8" x14ac:dyDescent="0.2">
      <c r="A1822" s="37">
        <v>1820</v>
      </c>
      <c r="C1822" s="17">
        <f>+'Detalle Compras'!D1289</f>
        <v>0</v>
      </c>
      <c r="D1822" s="55" t="str">
        <f t="shared" si="97"/>
        <v/>
      </c>
      <c r="E1822" s="14" t="str">
        <f>+IF(B1822="","",'Detalle Compras'!S1822+0)</f>
        <v/>
      </c>
      <c r="F1822" s="14" t="str">
        <f>+IF(B1822="","",EOMONTH('Detalle Compras'!S1822,G1822)+10)</f>
        <v/>
      </c>
      <c r="G1822" s="50">
        <f t="shared" si="98"/>
        <v>0</v>
      </c>
      <c r="H1822" s="50">
        <f t="shared" si="99"/>
        <v>0</v>
      </c>
    </row>
    <row r="1823" spans="1:8" x14ac:dyDescent="0.2">
      <c r="A1823" s="37">
        <v>1821</v>
      </c>
      <c r="C1823" s="17">
        <f>+'Detalle Compras'!D1290</f>
        <v>0</v>
      </c>
      <c r="D1823" s="55" t="str">
        <f t="shared" si="97"/>
        <v/>
      </c>
      <c r="E1823" s="14" t="str">
        <f>+IF(B1823="","",'Detalle Compras'!S1823+0)</f>
        <v/>
      </c>
      <c r="F1823" s="14" t="str">
        <f>+IF(B1823="","",EOMONTH('Detalle Compras'!S1823,G1823)+10)</f>
        <v/>
      </c>
      <c r="G1823" s="50">
        <f t="shared" si="98"/>
        <v>0</v>
      </c>
      <c r="H1823" s="50">
        <f t="shared" si="99"/>
        <v>0</v>
      </c>
    </row>
    <row r="1824" spans="1:8" x14ac:dyDescent="0.2">
      <c r="A1824" s="37">
        <v>1822</v>
      </c>
      <c r="C1824" s="17">
        <f>+'Detalle Compras'!D1291</f>
        <v>0</v>
      </c>
      <c r="D1824" s="55" t="str">
        <f t="shared" si="97"/>
        <v/>
      </c>
      <c r="E1824" s="14" t="str">
        <f>+IF(B1824="","",'Detalle Compras'!S1824+0)</f>
        <v/>
      </c>
      <c r="F1824" s="14" t="str">
        <f>+IF(B1824="","",EOMONTH('Detalle Compras'!S1824,G1824)+10)</f>
        <v/>
      </c>
      <c r="G1824" s="50">
        <f t="shared" si="98"/>
        <v>0</v>
      </c>
      <c r="H1824" s="50">
        <f t="shared" si="99"/>
        <v>0</v>
      </c>
    </row>
    <row r="1825" spans="1:8" x14ac:dyDescent="0.2">
      <c r="A1825" s="37">
        <v>1823</v>
      </c>
      <c r="C1825" s="17">
        <f>+'Detalle Compras'!D1292</f>
        <v>0</v>
      </c>
      <c r="D1825" s="55" t="str">
        <f t="shared" si="97"/>
        <v/>
      </c>
      <c r="E1825" s="14" t="str">
        <f>+IF(B1825="","",'Detalle Compras'!S1825+0)</f>
        <v/>
      </c>
      <c r="F1825" s="14" t="str">
        <f>+IF(B1825="","",EOMONTH('Detalle Compras'!S1825,G1825)+10)</f>
        <v/>
      </c>
      <c r="G1825" s="50">
        <f t="shared" si="98"/>
        <v>0</v>
      </c>
      <c r="H1825" s="50">
        <f t="shared" si="99"/>
        <v>0</v>
      </c>
    </row>
    <row r="1826" spans="1:8" x14ac:dyDescent="0.2">
      <c r="A1826" s="37">
        <v>1824</v>
      </c>
      <c r="C1826" s="17">
        <f>+'Detalle Compras'!D1293</f>
        <v>0</v>
      </c>
      <c r="D1826" s="55" t="str">
        <f t="shared" si="97"/>
        <v/>
      </c>
      <c r="E1826" s="14" t="str">
        <f>+IF(B1826="","",'Detalle Compras'!S1826+0)</f>
        <v/>
      </c>
      <c r="F1826" s="14" t="str">
        <f>+IF(B1826="","",EOMONTH('Detalle Compras'!S1826,G1826)+10)</f>
        <v/>
      </c>
      <c r="G1826" s="50">
        <f t="shared" si="98"/>
        <v>0</v>
      </c>
      <c r="H1826" s="50">
        <f t="shared" si="99"/>
        <v>0</v>
      </c>
    </row>
    <row r="1827" spans="1:8" x14ac:dyDescent="0.2">
      <c r="A1827" s="37">
        <v>1825</v>
      </c>
      <c r="C1827" s="17">
        <f>+'Detalle Compras'!D1294</f>
        <v>0</v>
      </c>
      <c r="D1827" s="55" t="str">
        <f t="shared" si="97"/>
        <v/>
      </c>
      <c r="E1827" s="14" t="str">
        <f>+IF(B1827="","",'Detalle Compras'!S1827+0)</f>
        <v/>
      </c>
      <c r="F1827" s="14" t="str">
        <f>+IF(B1827="","",EOMONTH('Detalle Compras'!S1827,G1827)+10)</f>
        <v/>
      </c>
      <c r="G1827" s="50">
        <f t="shared" si="98"/>
        <v>0</v>
      </c>
      <c r="H1827" s="50">
        <f t="shared" si="99"/>
        <v>0</v>
      </c>
    </row>
    <row r="1828" spans="1:8" x14ac:dyDescent="0.2">
      <c r="A1828" s="37">
        <v>1826</v>
      </c>
      <c r="C1828" s="17">
        <f>+'Detalle Compras'!D1295</f>
        <v>0</v>
      </c>
      <c r="D1828" s="55" t="str">
        <f t="shared" si="97"/>
        <v/>
      </c>
      <c r="E1828" s="14" t="str">
        <f>+IF(B1828="","",'Detalle Compras'!S1828+0)</f>
        <v/>
      </c>
      <c r="F1828" s="14" t="str">
        <f>+IF(B1828="","",EOMONTH('Detalle Compras'!S1828,G1828)+10)</f>
        <v/>
      </c>
      <c r="G1828" s="50">
        <f t="shared" si="98"/>
        <v>0</v>
      </c>
      <c r="H1828" s="50">
        <f t="shared" si="99"/>
        <v>0</v>
      </c>
    </row>
    <row r="1829" spans="1:8" x14ac:dyDescent="0.2">
      <c r="A1829" s="37">
        <v>1827</v>
      </c>
      <c r="C1829" s="17">
        <f>+'Detalle Compras'!D1296</f>
        <v>0</v>
      </c>
      <c r="D1829" s="55" t="str">
        <f t="shared" si="97"/>
        <v/>
      </c>
      <c r="E1829" s="14" t="str">
        <f>+IF(B1829="","",'Detalle Compras'!S1829+0)</f>
        <v/>
      </c>
      <c r="F1829" s="14" t="str">
        <f>+IF(B1829="","",EOMONTH('Detalle Compras'!S1829,G1829)+10)</f>
        <v/>
      </c>
      <c r="G1829" s="50">
        <f t="shared" si="98"/>
        <v>0</v>
      </c>
      <c r="H1829" s="50">
        <f t="shared" si="99"/>
        <v>0</v>
      </c>
    </row>
    <row r="1830" spans="1:8" x14ac:dyDescent="0.2">
      <c r="A1830" s="37">
        <v>1828</v>
      </c>
      <c r="C1830" s="17">
        <f>+'Detalle Compras'!D1297</f>
        <v>0</v>
      </c>
      <c r="D1830" s="55" t="str">
        <f t="shared" si="97"/>
        <v/>
      </c>
      <c r="E1830" s="14" t="str">
        <f>+IF(B1830="","",'Detalle Compras'!S1830+0)</f>
        <v/>
      </c>
      <c r="F1830" s="14" t="str">
        <f>+IF(B1830="","",EOMONTH('Detalle Compras'!S1830,G1830)+10)</f>
        <v/>
      </c>
      <c r="G1830" s="50">
        <f t="shared" si="98"/>
        <v>0</v>
      </c>
      <c r="H1830" s="50">
        <f t="shared" si="99"/>
        <v>0</v>
      </c>
    </row>
    <row r="1831" spans="1:8" x14ac:dyDescent="0.2">
      <c r="A1831" s="37">
        <v>1829</v>
      </c>
      <c r="C1831" s="17">
        <f>+'Detalle Compras'!D1298</f>
        <v>0</v>
      </c>
      <c r="D1831" s="55" t="str">
        <f t="shared" si="97"/>
        <v/>
      </c>
      <c r="E1831" s="14" t="str">
        <f>+IF(B1831="","",'Detalle Compras'!S1831+0)</f>
        <v/>
      </c>
      <c r="F1831" s="14" t="str">
        <f>+IF(B1831="","",EOMONTH('Detalle Compras'!S1831,G1831)+10)</f>
        <v/>
      </c>
      <c r="G1831" s="50">
        <f t="shared" si="98"/>
        <v>0</v>
      </c>
      <c r="H1831" s="50">
        <f t="shared" si="99"/>
        <v>0</v>
      </c>
    </row>
    <row r="1832" spans="1:8" x14ac:dyDescent="0.2">
      <c r="A1832" s="37">
        <v>1830</v>
      </c>
      <c r="C1832" s="17">
        <f>+'Detalle Compras'!D1299</f>
        <v>0</v>
      </c>
      <c r="D1832" s="55" t="str">
        <f t="shared" si="97"/>
        <v/>
      </c>
      <c r="E1832" s="14" t="str">
        <f>+IF(B1832="","",'Detalle Compras'!S1832+0)</f>
        <v/>
      </c>
      <c r="F1832" s="14" t="str">
        <f>+IF(B1832="","",EOMONTH('Detalle Compras'!S1832,G1832)+10)</f>
        <v/>
      </c>
      <c r="G1832" s="50">
        <f t="shared" si="98"/>
        <v>0</v>
      </c>
      <c r="H1832" s="50">
        <f t="shared" si="99"/>
        <v>0</v>
      </c>
    </row>
    <row r="1833" spans="1:8" x14ac:dyDescent="0.2">
      <c r="A1833" s="37">
        <v>1831</v>
      </c>
      <c r="C1833" s="17">
        <f>+'Detalle Compras'!D1300</f>
        <v>0</v>
      </c>
      <c r="D1833" s="55" t="str">
        <f t="shared" si="97"/>
        <v/>
      </c>
      <c r="E1833" s="14" t="str">
        <f>+IF(B1833="","",'Detalle Compras'!S1833+0)</f>
        <v/>
      </c>
      <c r="F1833" s="14" t="str">
        <f>+IF(B1833="","",EOMONTH('Detalle Compras'!S1833,G1833)+10)</f>
        <v/>
      </c>
      <c r="G1833" s="50">
        <f t="shared" si="98"/>
        <v>0</v>
      </c>
      <c r="H1833" s="50">
        <f t="shared" si="99"/>
        <v>0</v>
      </c>
    </row>
    <row r="1834" spans="1:8" x14ac:dyDescent="0.2">
      <c r="A1834" s="37">
        <v>1832</v>
      </c>
      <c r="C1834" s="17">
        <f>+'Detalle Compras'!D1301</f>
        <v>0</v>
      </c>
      <c r="D1834" s="55" t="str">
        <f t="shared" si="97"/>
        <v/>
      </c>
      <c r="E1834" s="14" t="str">
        <f>+IF(B1834="","",'Detalle Compras'!S1834+0)</f>
        <v/>
      </c>
      <c r="F1834" s="14" t="str">
        <f>+IF(B1834="","",EOMONTH('Detalle Compras'!S1834,G1834)+10)</f>
        <v/>
      </c>
      <c r="G1834" s="50">
        <f t="shared" si="98"/>
        <v>0</v>
      </c>
      <c r="H1834" s="50">
        <f t="shared" si="99"/>
        <v>0</v>
      </c>
    </row>
    <row r="1835" spans="1:8" x14ac:dyDescent="0.2">
      <c r="A1835" s="37">
        <v>1833</v>
      </c>
      <c r="C1835" s="17">
        <f>+'Detalle Compras'!D1302</f>
        <v>0</v>
      </c>
      <c r="D1835" s="55" t="str">
        <f t="shared" si="97"/>
        <v/>
      </c>
      <c r="E1835" s="14" t="str">
        <f>+IF(B1835="","",'Detalle Compras'!S1835+0)</f>
        <v/>
      </c>
      <c r="F1835" s="14" t="str">
        <f>+IF(B1835="","",EOMONTH('Detalle Compras'!S1835,G1835)+10)</f>
        <v/>
      </c>
      <c r="G1835" s="50">
        <f t="shared" si="98"/>
        <v>0</v>
      </c>
      <c r="H1835" s="50">
        <f t="shared" si="99"/>
        <v>0</v>
      </c>
    </row>
    <row r="1836" spans="1:8" x14ac:dyDescent="0.2">
      <c r="A1836" s="37">
        <v>1834</v>
      </c>
      <c r="C1836" s="17">
        <f>+'Detalle Compras'!D1303</f>
        <v>0</v>
      </c>
      <c r="D1836" s="55" t="str">
        <f t="shared" si="97"/>
        <v/>
      </c>
      <c r="E1836" s="14" t="str">
        <f>+IF(B1836="","",'Detalle Compras'!S1836+0)</f>
        <v/>
      </c>
      <c r="F1836" s="14" t="str">
        <f>+IF(B1836="","",EOMONTH('Detalle Compras'!S1836,G1836)+10)</f>
        <v/>
      </c>
      <c r="G1836" s="50">
        <f t="shared" si="98"/>
        <v>0</v>
      </c>
      <c r="H1836" s="50">
        <f t="shared" si="99"/>
        <v>0</v>
      </c>
    </row>
    <row r="1837" spans="1:8" x14ac:dyDescent="0.2">
      <c r="A1837" s="37">
        <v>1835</v>
      </c>
      <c r="C1837" s="17">
        <f>+'Detalle Compras'!D1304</f>
        <v>0</v>
      </c>
      <c r="D1837" s="55" t="str">
        <f t="shared" si="97"/>
        <v/>
      </c>
      <c r="E1837" s="14" t="str">
        <f>+IF(B1837="","",'Detalle Compras'!S1837+0)</f>
        <v/>
      </c>
      <c r="F1837" s="14" t="str">
        <f>+IF(B1837="","",EOMONTH('Detalle Compras'!S1837,G1837)+10)</f>
        <v/>
      </c>
      <c r="G1837" s="50">
        <f t="shared" si="98"/>
        <v>0</v>
      </c>
      <c r="H1837" s="50">
        <f t="shared" si="99"/>
        <v>0</v>
      </c>
    </row>
    <row r="1838" spans="1:8" x14ac:dyDescent="0.2">
      <c r="A1838" s="37">
        <v>1836</v>
      </c>
      <c r="C1838" s="17">
        <f>+'Detalle Compras'!D1305</f>
        <v>0</v>
      </c>
      <c r="D1838" s="55" t="str">
        <f t="shared" si="97"/>
        <v/>
      </c>
      <c r="E1838" s="14" t="str">
        <f>+IF(B1838="","",'Detalle Compras'!S1838+0)</f>
        <v/>
      </c>
      <c r="F1838" s="14" t="str">
        <f>+IF(B1838="","",EOMONTH('Detalle Compras'!S1838,G1838)+10)</f>
        <v/>
      </c>
      <c r="G1838" s="50">
        <f t="shared" si="98"/>
        <v>0</v>
      </c>
      <c r="H1838" s="50">
        <f t="shared" si="99"/>
        <v>0</v>
      </c>
    </row>
    <row r="1839" spans="1:8" x14ac:dyDescent="0.2">
      <c r="A1839" s="37">
        <v>1837</v>
      </c>
      <c r="C1839" s="17">
        <f>+'Detalle Compras'!D1306</f>
        <v>0</v>
      </c>
      <c r="D1839" s="55" t="str">
        <f t="shared" si="97"/>
        <v/>
      </c>
      <c r="E1839" s="14" t="str">
        <f>+IF(B1839="","",'Detalle Compras'!S1839+0)</f>
        <v/>
      </c>
      <c r="F1839" s="14" t="str">
        <f>+IF(B1839="","",EOMONTH('Detalle Compras'!S1839,G1839)+10)</f>
        <v/>
      </c>
      <c r="G1839" s="50">
        <f t="shared" si="98"/>
        <v>0</v>
      </c>
      <c r="H1839" s="50">
        <f t="shared" si="99"/>
        <v>0</v>
      </c>
    </row>
    <row r="1840" spans="1:8" x14ac:dyDescent="0.2">
      <c r="A1840" s="37">
        <v>1838</v>
      </c>
      <c r="C1840" s="17">
        <f>+'Detalle Compras'!D1307</f>
        <v>0</v>
      </c>
      <c r="D1840" s="55" t="str">
        <f t="shared" si="97"/>
        <v/>
      </c>
      <c r="E1840" s="14" t="str">
        <f>+IF(B1840="","",'Detalle Compras'!S1840+0)</f>
        <v/>
      </c>
      <c r="F1840" s="14" t="str">
        <f>+IF(B1840="","",EOMONTH('Detalle Compras'!S1840,G1840)+10)</f>
        <v/>
      </c>
      <c r="G1840" s="50">
        <f t="shared" si="98"/>
        <v>0</v>
      </c>
      <c r="H1840" s="50">
        <f t="shared" si="99"/>
        <v>0</v>
      </c>
    </row>
    <row r="1841" spans="1:8" x14ac:dyDescent="0.2">
      <c r="A1841" s="37">
        <v>1839</v>
      </c>
      <c r="C1841" s="17">
        <f>+'Detalle Compras'!D1308</f>
        <v>0</v>
      </c>
      <c r="D1841" s="55" t="str">
        <f t="shared" si="97"/>
        <v/>
      </c>
      <c r="E1841" s="14" t="str">
        <f>+IF(B1841="","",'Detalle Compras'!S1841+0)</f>
        <v/>
      </c>
      <c r="F1841" s="14" t="str">
        <f>+IF(B1841="","",EOMONTH('Detalle Compras'!S1841,G1841)+10)</f>
        <v/>
      </c>
      <c r="G1841" s="50">
        <f t="shared" si="98"/>
        <v>0</v>
      </c>
      <c r="H1841" s="50">
        <f t="shared" si="99"/>
        <v>0</v>
      </c>
    </row>
    <row r="1842" spans="1:8" x14ac:dyDescent="0.2">
      <c r="A1842" s="37">
        <v>1840</v>
      </c>
      <c r="C1842" s="17">
        <f>+'Detalle Compras'!D1309</f>
        <v>0</v>
      </c>
      <c r="D1842" s="55" t="str">
        <f t="shared" si="97"/>
        <v/>
      </c>
      <c r="E1842" s="14" t="str">
        <f>+IF(B1842="","",'Detalle Compras'!S1842+0)</f>
        <v/>
      </c>
      <c r="F1842" s="14" t="str">
        <f>+IF(B1842="","",EOMONTH('Detalle Compras'!S1842,G1842)+10)</f>
        <v/>
      </c>
      <c r="G1842" s="50">
        <f t="shared" si="98"/>
        <v>0</v>
      </c>
      <c r="H1842" s="50">
        <f t="shared" si="99"/>
        <v>0</v>
      </c>
    </row>
    <row r="1843" spans="1:8" x14ac:dyDescent="0.2">
      <c r="A1843" s="37">
        <v>1841</v>
      </c>
      <c r="C1843" s="17">
        <f>+'Detalle Compras'!D1310</f>
        <v>0</v>
      </c>
      <c r="D1843" s="55" t="str">
        <f t="shared" si="97"/>
        <v/>
      </c>
      <c r="E1843" s="14" t="str">
        <f>+IF(B1843="","",'Detalle Compras'!S1843+0)</f>
        <v/>
      </c>
      <c r="F1843" s="14" t="str">
        <f>+IF(B1843="","",EOMONTH('Detalle Compras'!S1843,G1843)+10)</f>
        <v/>
      </c>
      <c r="G1843" s="50">
        <f t="shared" si="98"/>
        <v>0</v>
      </c>
      <c r="H1843" s="50">
        <f t="shared" si="99"/>
        <v>0</v>
      </c>
    </row>
    <row r="1844" spans="1:8" x14ac:dyDescent="0.2">
      <c r="A1844" s="37">
        <v>1842</v>
      </c>
      <c r="C1844" s="17">
        <f>+'Detalle Compras'!D1311</f>
        <v>0</v>
      </c>
      <c r="D1844" s="55" t="str">
        <f t="shared" si="97"/>
        <v/>
      </c>
      <c r="E1844" s="14" t="str">
        <f>+IF(B1844="","",'Detalle Compras'!S1844+0)</f>
        <v/>
      </c>
      <c r="F1844" s="14" t="str">
        <f>+IF(B1844="","",EOMONTH('Detalle Compras'!S1844,G1844)+10)</f>
        <v/>
      </c>
      <c r="G1844" s="50">
        <f t="shared" si="98"/>
        <v>0</v>
      </c>
      <c r="H1844" s="50">
        <f t="shared" si="99"/>
        <v>0</v>
      </c>
    </row>
    <row r="1845" spans="1:8" x14ac:dyDescent="0.2">
      <c r="A1845" s="37">
        <v>1843</v>
      </c>
      <c r="C1845" s="17">
        <f>+'Detalle Compras'!D1312</f>
        <v>0</v>
      </c>
      <c r="D1845" s="55" t="str">
        <f t="shared" si="97"/>
        <v/>
      </c>
      <c r="E1845" s="14" t="str">
        <f>+IF(B1845="","",'Detalle Compras'!S1845+0)</f>
        <v/>
      </c>
      <c r="F1845" s="14" t="str">
        <f>+IF(B1845="","",EOMONTH('Detalle Compras'!S1845,G1845)+10)</f>
        <v/>
      </c>
      <c r="G1845" s="50">
        <f t="shared" si="98"/>
        <v>0</v>
      </c>
      <c r="H1845" s="50">
        <f t="shared" si="99"/>
        <v>0</v>
      </c>
    </row>
    <row r="1846" spans="1:8" x14ac:dyDescent="0.2">
      <c r="A1846" s="37">
        <v>1844</v>
      </c>
      <c r="C1846" s="17">
        <f>+'Detalle Compras'!D1313</f>
        <v>0</v>
      </c>
      <c r="D1846" s="55" t="str">
        <f t="shared" si="97"/>
        <v/>
      </c>
      <c r="E1846" s="14" t="str">
        <f>+IF(B1846="","",'Detalle Compras'!S1846+0)</f>
        <v/>
      </c>
      <c r="F1846" s="14" t="str">
        <f>+IF(B1846="","",EOMONTH('Detalle Compras'!S1846,G1846)+10)</f>
        <v/>
      </c>
      <c r="G1846" s="50">
        <f t="shared" si="98"/>
        <v>0</v>
      </c>
      <c r="H1846" s="50">
        <f t="shared" si="99"/>
        <v>0</v>
      </c>
    </row>
    <row r="1847" spans="1:8" x14ac:dyDescent="0.2">
      <c r="A1847" s="37">
        <v>1845</v>
      </c>
      <c r="C1847" s="17">
        <f>+'Detalle Compras'!D1314</f>
        <v>0</v>
      </c>
      <c r="D1847" s="55" t="str">
        <f t="shared" si="97"/>
        <v/>
      </c>
      <c r="E1847" s="14" t="str">
        <f>+IF(B1847="","",'Detalle Compras'!S1847+0)</f>
        <v/>
      </c>
      <c r="F1847" s="14" t="str">
        <f>+IF(B1847="","",EOMONTH('Detalle Compras'!S1847,G1847)+10)</f>
        <v/>
      </c>
      <c r="G1847" s="50">
        <f t="shared" si="98"/>
        <v>0</v>
      </c>
      <c r="H1847" s="50">
        <f t="shared" si="99"/>
        <v>0</v>
      </c>
    </row>
    <row r="1848" spans="1:8" x14ac:dyDescent="0.2">
      <c r="A1848" s="37">
        <v>1846</v>
      </c>
      <c r="C1848" s="17">
        <f>+'Detalle Compras'!D1315</f>
        <v>0</v>
      </c>
      <c r="D1848" s="55" t="str">
        <f t="shared" si="97"/>
        <v/>
      </c>
      <c r="E1848" s="14" t="str">
        <f>+IF(B1848="","",'Detalle Compras'!S1848+0)</f>
        <v/>
      </c>
      <c r="F1848" s="14" t="str">
        <f>+IF(B1848="","",EOMONTH('Detalle Compras'!S1848,G1848)+10)</f>
        <v/>
      </c>
      <c r="G1848" s="50">
        <f t="shared" si="98"/>
        <v>0</v>
      </c>
      <c r="H1848" s="50">
        <f t="shared" si="99"/>
        <v>0</v>
      </c>
    </row>
    <row r="1849" spans="1:8" x14ac:dyDescent="0.2">
      <c r="A1849" s="37">
        <v>1847</v>
      </c>
      <c r="C1849" s="17">
        <f>+'Detalle Compras'!D1316</f>
        <v>0</v>
      </c>
      <c r="D1849" s="55" t="str">
        <f t="shared" si="97"/>
        <v/>
      </c>
      <c r="E1849" s="14" t="str">
        <f>+IF(B1849="","",'Detalle Compras'!S1849+0)</f>
        <v/>
      </c>
      <c r="F1849" s="14" t="str">
        <f>+IF(B1849="","",EOMONTH('Detalle Compras'!S1849,G1849)+10)</f>
        <v/>
      </c>
      <c r="G1849" s="50">
        <f t="shared" si="98"/>
        <v>0</v>
      </c>
      <c r="H1849" s="50">
        <f t="shared" si="99"/>
        <v>0</v>
      </c>
    </row>
    <row r="1850" spans="1:8" x14ac:dyDescent="0.2">
      <c r="A1850" s="37">
        <v>1848</v>
      </c>
      <c r="C1850" s="17">
        <f>+'Detalle Compras'!D1317</f>
        <v>0</v>
      </c>
      <c r="D1850" s="55" t="str">
        <f t="shared" si="97"/>
        <v/>
      </c>
      <c r="E1850" s="14" t="str">
        <f>+IF(B1850="","",'Detalle Compras'!S1850+0)</f>
        <v/>
      </c>
      <c r="F1850" s="14" t="str">
        <f>+IF(B1850="","",EOMONTH('Detalle Compras'!S1850,G1850)+10)</f>
        <v/>
      </c>
      <c r="G1850" s="50">
        <f t="shared" si="98"/>
        <v>0</v>
      </c>
      <c r="H1850" s="50">
        <f t="shared" si="99"/>
        <v>0</v>
      </c>
    </row>
    <row r="1851" spans="1:8" x14ac:dyDescent="0.2">
      <c r="A1851" s="37">
        <v>1849</v>
      </c>
      <c r="C1851" s="17" t="e">
        <f>+'Detalle Compras'!#REF!</f>
        <v>#REF!</v>
      </c>
      <c r="D1851" s="55" t="str">
        <f t="shared" si="97"/>
        <v/>
      </c>
      <c r="E1851" s="14" t="str">
        <f>+IF(B1851="","",'Detalle Compras'!S1851+0)</f>
        <v/>
      </c>
      <c r="F1851" s="14" t="str">
        <f>+IF(B1851="","",EOMONTH('Detalle Compras'!S1851,G1851)+10)</f>
        <v/>
      </c>
      <c r="G1851" s="50">
        <f t="shared" si="98"/>
        <v>0</v>
      </c>
      <c r="H1851" s="50">
        <f t="shared" si="99"/>
        <v>0</v>
      </c>
    </row>
    <row r="1852" spans="1:8" x14ac:dyDescent="0.2">
      <c r="A1852" s="37">
        <v>1850</v>
      </c>
      <c r="C1852" s="17" t="e">
        <f>+'Detalle Compras'!#REF!</f>
        <v>#REF!</v>
      </c>
      <c r="D1852" s="55" t="str">
        <f t="shared" si="97"/>
        <v/>
      </c>
      <c r="E1852" s="14" t="str">
        <f>+IF(B1852="","",'Detalle Compras'!S1852+0)</f>
        <v/>
      </c>
      <c r="F1852" s="14" t="str">
        <f>+IF(B1852="","",EOMONTH('Detalle Compras'!S1852,G1852)+10)</f>
        <v/>
      </c>
      <c r="G1852" s="50">
        <f t="shared" si="98"/>
        <v>0</v>
      </c>
      <c r="H1852" s="50">
        <f t="shared" si="99"/>
        <v>0</v>
      </c>
    </row>
    <row r="1853" spans="1:8" x14ac:dyDescent="0.2">
      <c r="A1853" s="37">
        <v>1851</v>
      </c>
      <c r="C1853" s="17">
        <f>+'Detalle Compras'!E1318</f>
        <v>0</v>
      </c>
      <c r="D1853" s="55" t="str">
        <f t="shared" si="97"/>
        <v/>
      </c>
      <c r="E1853" s="14" t="str">
        <f>+IF(B1853="","",'Detalle Compras'!S1853+0)</f>
        <v/>
      </c>
      <c r="F1853" s="14" t="str">
        <f>+IF(B1853="","",EOMONTH('Detalle Compras'!S1853,G1853)+10)</f>
        <v/>
      </c>
      <c r="G1853" s="50">
        <f t="shared" si="98"/>
        <v>0</v>
      </c>
      <c r="H1853" s="50">
        <f t="shared" si="99"/>
        <v>0</v>
      </c>
    </row>
    <row r="1854" spans="1:8" x14ac:dyDescent="0.2">
      <c r="A1854" s="37">
        <v>1852</v>
      </c>
      <c r="C1854" s="17">
        <f>+'Detalle Compras'!E1319</f>
        <v>0</v>
      </c>
      <c r="D1854" s="55" t="str">
        <f t="shared" si="97"/>
        <v/>
      </c>
      <c r="E1854" s="14" t="str">
        <f>+IF(B1854="","",'Detalle Compras'!S1854+0)</f>
        <v/>
      </c>
      <c r="F1854" s="14" t="str">
        <f>+IF(B1854="","",EOMONTH('Detalle Compras'!S1854,G1854)+10)</f>
        <v/>
      </c>
      <c r="G1854" s="50">
        <f t="shared" si="98"/>
        <v>0</v>
      </c>
      <c r="H1854" s="50">
        <f t="shared" si="99"/>
        <v>0</v>
      </c>
    </row>
    <row r="1855" spans="1:8" x14ac:dyDescent="0.2">
      <c r="A1855" s="37">
        <v>1853</v>
      </c>
      <c r="C1855" s="17">
        <f>+'Detalle Compras'!E1320</f>
        <v>0</v>
      </c>
      <c r="D1855" s="55" t="str">
        <f t="shared" si="97"/>
        <v/>
      </c>
      <c r="E1855" s="14" t="str">
        <f>+IF(B1855="","",'Detalle Compras'!S1855+0)</f>
        <v/>
      </c>
      <c r="F1855" s="14" t="str">
        <f>+IF(B1855="","",EOMONTH('Detalle Compras'!S1855,G1855)+10)</f>
        <v/>
      </c>
      <c r="G1855" s="50">
        <f t="shared" si="98"/>
        <v>0</v>
      </c>
      <c r="H1855" s="50">
        <f t="shared" si="99"/>
        <v>0</v>
      </c>
    </row>
    <row r="1856" spans="1:8" x14ac:dyDescent="0.2">
      <c r="A1856" s="37">
        <v>1854</v>
      </c>
      <c r="C1856" s="17">
        <f>+'Detalle Compras'!E1321</f>
        <v>0</v>
      </c>
      <c r="D1856" s="55" t="str">
        <f t="shared" si="97"/>
        <v/>
      </c>
      <c r="E1856" s="14" t="str">
        <f>+IF(B1856="","",'Detalle Compras'!S1856+0)</f>
        <v/>
      </c>
      <c r="F1856" s="14" t="str">
        <f>+IF(B1856="","",EOMONTH('Detalle Compras'!S1856,G1856)+10)</f>
        <v/>
      </c>
      <c r="G1856" s="50">
        <f t="shared" si="98"/>
        <v>0</v>
      </c>
      <c r="H1856" s="50">
        <f t="shared" si="99"/>
        <v>0</v>
      </c>
    </row>
    <row r="1857" spans="1:8" x14ac:dyDescent="0.2">
      <c r="A1857" s="37">
        <v>1855</v>
      </c>
      <c r="C1857" s="17">
        <f>+'Detalle Compras'!E1322</f>
        <v>0</v>
      </c>
      <c r="D1857" s="55" t="str">
        <f t="shared" si="97"/>
        <v/>
      </c>
      <c r="E1857" s="14" t="str">
        <f>+IF(B1857="","",'Detalle Compras'!S1857+0)</f>
        <v/>
      </c>
      <c r="F1857" s="14" t="str">
        <f>+IF(B1857="","",EOMONTH('Detalle Compras'!S1857,G1857)+10)</f>
        <v/>
      </c>
      <c r="G1857" s="50">
        <f t="shared" si="98"/>
        <v>0</v>
      </c>
      <c r="H1857" s="50">
        <f t="shared" si="99"/>
        <v>0</v>
      </c>
    </row>
    <row r="1858" spans="1:8" x14ac:dyDescent="0.2">
      <c r="A1858" s="37">
        <v>1856</v>
      </c>
      <c r="C1858" s="17">
        <f>+'Detalle Compras'!E1323</f>
        <v>0</v>
      </c>
      <c r="D1858" s="55" t="str">
        <f t="shared" si="97"/>
        <v/>
      </c>
      <c r="E1858" s="14" t="str">
        <f>+IF(B1858="","",'Detalle Compras'!S1858+0)</f>
        <v/>
      </c>
      <c r="F1858" s="14" t="str">
        <f>+IF(B1858="","",EOMONTH('Detalle Compras'!S1858,G1858)+10)</f>
        <v/>
      </c>
      <c r="G1858" s="50">
        <f t="shared" si="98"/>
        <v>0</v>
      </c>
      <c r="H1858" s="50">
        <f t="shared" si="99"/>
        <v>0</v>
      </c>
    </row>
    <row r="1859" spans="1:8" x14ac:dyDescent="0.2">
      <c r="A1859" s="37">
        <v>1857</v>
      </c>
      <c r="C1859" s="17">
        <f>+'Detalle Compras'!E1324</f>
        <v>0</v>
      </c>
      <c r="D1859" s="55" t="str">
        <f t="shared" si="97"/>
        <v/>
      </c>
      <c r="E1859" s="14" t="str">
        <f>+IF(B1859="","",'Detalle Compras'!S1859+0)</f>
        <v/>
      </c>
      <c r="F1859" s="14" t="str">
        <f>+IF(B1859="","",EOMONTH('Detalle Compras'!S1859,G1859)+10)</f>
        <v/>
      </c>
      <c r="G1859" s="50">
        <f t="shared" si="98"/>
        <v>0</v>
      </c>
      <c r="H1859" s="50">
        <f t="shared" si="99"/>
        <v>0</v>
      </c>
    </row>
    <row r="1860" spans="1:8" x14ac:dyDescent="0.2">
      <c r="A1860" s="37">
        <v>1858</v>
      </c>
      <c r="C1860" s="17">
        <f>+'Detalle Compras'!E1325</f>
        <v>0</v>
      </c>
      <c r="D1860" s="55" t="str">
        <f t="shared" ref="D1860:D1923" si="100">+IF(B1860="","",EA1860)</f>
        <v/>
      </c>
      <c r="E1860" s="14" t="str">
        <f>+IF(B1860="","",'Detalle Compras'!S1860+0)</f>
        <v/>
      </c>
      <c r="F1860" s="14" t="str">
        <f>+IF(B1860="","",EOMONTH('Detalle Compras'!S1860,G1860)+10)</f>
        <v/>
      </c>
      <c r="G1860" s="50">
        <f t="shared" ref="G1860:G1923" si="101">+COUNTIF(I1860:ADF1860,"&gt;1")</f>
        <v>0</v>
      </c>
      <c r="H1860" s="50">
        <f t="shared" ref="H1860:H1923" si="102">+COUNT(AF1860:ADF1860)</f>
        <v>0</v>
      </c>
    </row>
    <row r="1861" spans="1:8" x14ac:dyDescent="0.2">
      <c r="A1861" s="37">
        <v>1859</v>
      </c>
      <c r="C1861" s="17">
        <f>+'Detalle Compras'!E1326</f>
        <v>0</v>
      </c>
      <c r="D1861" s="55" t="str">
        <f t="shared" si="100"/>
        <v/>
      </c>
      <c r="E1861" s="14" t="str">
        <f>+IF(B1861="","",'Detalle Compras'!S1861+0)</f>
        <v/>
      </c>
      <c r="F1861" s="14" t="str">
        <f>+IF(B1861="","",EOMONTH('Detalle Compras'!S1861,G1861)+10)</f>
        <v/>
      </c>
      <c r="G1861" s="50">
        <f t="shared" si="101"/>
        <v>0</v>
      </c>
      <c r="H1861" s="50">
        <f t="shared" si="102"/>
        <v>0</v>
      </c>
    </row>
    <row r="1862" spans="1:8" x14ac:dyDescent="0.2">
      <c r="A1862" s="37">
        <v>1860</v>
      </c>
      <c r="C1862" s="17">
        <f>+'Detalle Compras'!E1327</f>
        <v>0</v>
      </c>
      <c r="D1862" s="55" t="str">
        <f t="shared" si="100"/>
        <v/>
      </c>
      <c r="E1862" s="14" t="str">
        <f>+IF(B1862="","",'Detalle Compras'!S1862+0)</f>
        <v/>
      </c>
      <c r="F1862" s="14" t="str">
        <f>+IF(B1862="","",EOMONTH('Detalle Compras'!S1862,G1862)+10)</f>
        <v/>
      </c>
      <c r="G1862" s="50">
        <f t="shared" si="101"/>
        <v>0</v>
      </c>
      <c r="H1862" s="50">
        <f t="shared" si="102"/>
        <v>0</v>
      </c>
    </row>
    <row r="1863" spans="1:8" x14ac:dyDescent="0.2">
      <c r="A1863" s="37">
        <v>1861</v>
      </c>
      <c r="C1863" s="17">
        <f>+'Detalle Compras'!E1328</f>
        <v>0</v>
      </c>
      <c r="D1863" s="55" t="str">
        <f t="shared" si="100"/>
        <v/>
      </c>
      <c r="E1863" s="14" t="str">
        <f>+IF(B1863="","",'Detalle Compras'!S1863+0)</f>
        <v/>
      </c>
      <c r="F1863" s="14" t="str">
        <f>+IF(B1863="","",EOMONTH('Detalle Compras'!S1863,G1863)+10)</f>
        <v/>
      </c>
      <c r="G1863" s="50">
        <f t="shared" si="101"/>
        <v>0</v>
      </c>
      <c r="H1863" s="50">
        <f t="shared" si="102"/>
        <v>0</v>
      </c>
    </row>
    <row r="1864" spans="1:8" x14ac:dyDescent="0.2">
      <c r="A1864" s="37">
        <v>1862</v>
      </c>
      <c r="C1864" s="17">
        <f>+'Detalle Compras'!E1329</f>
        <v>0</v>
      </c>
      <c r="D1864" s="55" t="str">
        <f t="shared" si="100"/>
        <v/>
      </c>
      <c r="E1864" s="14" t="str">
        <f>+IF(B1864="","",'Detalle Compras'!S1864+0)</f>
        <v/>
      </c>
      <c r="F1864" s="14" t="str">
        <f>+IF(B1864="","",EOMONTH('Detalle Compras'!S1864,G1864)+10)</f>
        <v/>
      </c>
      <c r="G1864" s="50">
        <f t="shared" si="101"/>
        <v>0</v>
      </c>
      <c r="H1864" s="50">
        <f t="shared" si="102"/>
        <v>0</v>
      </c>
    </row>
    <row r="1865" spans="1:8" x14ac:dyDescent="0.2">
      <c r="A1865" s="37">
        <v>1863</v>
      </c>
      <c r="C1865" s="17">
        <f>+'Detalle Compras'!E1330</f>
        <v>0</v>
      </c>
      <c r="D1865" s="55" t="str">
        <f t="shared" si="100"/>
        <v/>
      </c>
      <c r="E1865" s="14" t="str">
        <f>+IF(B1865="","",'Detalle Compras'!S1865+0)</f>
        <v/>
      </c>
      <c r="F1865" s="14" t="str">
        <f>+IF(B1865="","",EOMONTH('Detalle Compras'!S1865,G1865)+10)</f>
        <v/>
      </c>
      <c r="G1865" s="50">
        <f t="shared" si="101"/>
        <v>0</v>
      </c>
      <c r="H1865" s="50">
        <f t="shared" si="102"/>
        <v>0</v>
      </c>
    </row>
    <row r="1866" spans="1:8" x14ac:dyDescent="0.2">
      <c r="A1866" s="37">
        <v>1864</v>
      </c>
      <c r="C1866" s="17">
        <f>+'Detalle Compras'!E1331</f>
        <v>0</v>
      </c>
      <c r="D1866" s="55" t="str">
        <f t="shared" si="100"/>
        <v/>
      </c>
      <c r="E1866" s="14" t="str">
        <f>+IF(B1866="","",'Detalle Compras'!S1866+0)</f>
        <v/>
      </c>
      <c r="F1866" s="14" t="str">
        <f>+IF(B1866="","",EOMONTH('Detalle Compras'!S1866,G1866)+10)</f>
        <v/>
      </c>
      <c r="G1866" s="50">
        <f t="shared" si="101"/>
        <v>0</v>
      </c>
      <c r="H1866" s="50">
        <f t="shared" si="102"/>
        <v>0</v>
      </c>
    </row>
    <row r="1867" spans="1:8" x14ac:dyDescent="0.2">
      <c r="A1867" s="37">
        <v>1865</v>
      </c>
      <c r="C1867" s="17">
        <f>+'Detalle Compras'!E1332</f>
        <v>0</v>
      </c>
      <c r="D1867" s="55" t="str">
        <f t="shared" si="100"/>
        <v/>
      </c>
      <c r="E1867" s="14" t="str">
        <f>+IF(B1867="","",'Detalle Compras'!S1867+0)</f>
        <v/>
      </c>
      <c r="F1867" s="14" t="str">
        <f>+IF(B1867="","",EOMONTH('Detalle Compras'!S1867,G1867)+10)</f>
        <v/>
      </c>
      <c r="G1867" s="50">
        <f t="shared" si="101"/>
        <v>0</v>
      </c>
      <c r="H1867" s="50">
        <f t="shared" si="102"/>
        <v>0</v>
      </c>
    </row>
    <row r="1868" spans="1:8" x14ac:dyDescent="0.2">
      <c r="A1868" s="37">
        <v>1866</v>
      </c>
      <c r="C1868" s="17">
        <f>+'Detalle Compras'!E1333</f>
        <v>0</v>
      </c>
      <c r="D1868" s="55" t="str">
        <f t="shared" si="100"/>
        <v/>
      </c>
      <c r="E1868" s="14" t="str">
        <f>+IF(B1868="","",'Detalle Compras'!S1868+0)</f>
        <v/>
      </c>
      <c r="F1868" s="14" t="str">
        <f>+IF(B1868="","",EOMONTH('Detalle Compras'!S1868,G1868)+10)</f>
        <v/>
      </c>
      <c r="G1868" s="50">
        <f t="shared" si="101"/>
        <v>0</v>
      </c>
      <c r="H1868" s="50">
        <f t="shared" si="102"/>
        <v>0</v>
      </c>
    </row>
    <row r="1869" spans="1:8" x14ac:dyDescent="0.2">
      <c r="A1869" s="37">
        <v>1867</v>
      </c>
      <c r="C1869" s="17">
        <f>+'Detalle Compras'!E1334</f>
        <v>0</v>
      </c>
      <c r="D1869" s="55" t="str">
        <f t="shared" si="100"/>
        <v/>
      </c>
      <c r="E1869" s="14" t="str">
        <f>+IF(B1869="","",'Detalle Compras'!S1869+0)</f>
        <v/>
      </c>
      <c r="F1869" s="14" t="str">
        <f>+IF(B1869="","",EOMONTH('Detalle Compras'!S1869,G1869)+10)</f>
        <v/>
      </c>
      <c r="G1869" s="50">
        <f t="shared" si="101"/>
        <v>0</v>
      </c>
      <c r="H1869" s="50">
        <f t="shared" si="102"/>
        <v>0</v>
      </c>
    </row>
    <row r="1870" spans="1:8" x14ac:dyDescent="0.2">
      <c r="A1870" s="37">
        <v>1868</v>
      </c>
      <c r="C1870" s="17">
        <f>+'Detalle Compras'!E1335</f>
        <v>0</v>
      </c>
      <c r="D1870" s="55" t="str">
        <f t="shared" si="100"/>
        <v/>
      </c>
      <c r="E1870" s="14" t="str">
        <f>+IF(B1870="","",'Detalle Compras'!S1870+0)</f>
        <v/>
      </c>
      <c r="F1870" s="14" t="str">
        <f>+IF(B1870="","",EOMONTH('Detalle Compras'!S1870,G1870)+10)</f>
        <v/>
      </c>
      <c r="G1870" s="50">
        <f t="shared" si="101"/>
        <v>0</v>
      </c>
      <c r="H1870" s="50">
        <f t="shared" si="102"/>
        <v>0</v>
      </c>
    </row>
    <row r="1871" spans="1:8" x14ac:dyDescent="0.2">
      <c r="A1871" s="37">
        <v>1869</v>
      </c>
      <c r="C1871" s="17">
        <f>+'Detalle Compras'!E1336</f>
        <v>0</v>
      </c>
      <c r="D1871" s="55" t="str">
        <f t="shared" si="100"/>
        <v/>
      </c>
      <c r="E1871" s="14" t="str">
        <f>+IF(B1871="","",'Detalle Compras'!S1871+0)</f>
        <v/>
      </c>
      <c r="F1871" s="14" t="str">
        <f>+IF(B1871="","",EOMONTH('Detalle Compras'!S1871,G1871)+10)</f>
        <v/>
      </c>
      <c r="G1871" s="50">
        <f t="shared" si="101"/>
        <v>0</v>
      </c>
      <c r="H1871" s="50">
        <f t="shared" si="102"/>
        <v>0</v>
      </c>
    </row>
    <row r="1872" spans="1:8" x14ac:dyDescent="0.2">
      <c r="A1872" s="37">
        <v>1870</v>
      </c>
      <c r="C1872" s="17">
        <f>+'Detalle Compras'!E1337</f>
        <v>0</v>
      </c>
      <c r="D1872" s="55" t="str">
        <f t="shared" si="100"/>
        <v/>
      </c>
      <c r="E1872" s="14" t="str">
        <f>+IF(B1872="","",'Detalle Compras'!S1872+0)</f>
        <v/>
      </c>
      <c r="F1872" s="14" t="str">
        <f>+IF(B1872="","",EOMONTH('Detalle Compras'!S1872,G1872)+10)</f>
        <v/>
      </c>
      <c r="G1872" s="50">
        <f t="shared" si="101"/>
        <v>0</v>
      </c>
      <c r="H1872" s="50">
        <f t="shared" si="102"/>
        <v>0</v>
      </c>
    </row>
    <row r="1873" spans="1:8" x14ac:dyDescent="0.2">
      <c r="A1873" s="37">
        <v>1871</v>
      </c>
      <c r="C1873" s="17">
        <f>+'Detalle Compras'!E1338</f>
        <v>0</v>
      </c>
      <c r="D1873" s="55" t="str">
        <f t="shared" si="100"/>
        <v/>
      </c>
      <c r="E1873" s="14" t="str">
        <f>+IF(B1873="","",'Detalle Compras'!S1873+0)</f>
        <v/>
      </c>
      <c r="F1873" s="14" t="str">
        <f>+IF(B1873="","",EOMONTH('Detalle Compras'!S1873,G1873)+10)</f>
        <v/>
      </c>
      <c r="G1873" s="50">
        <f t="shared" si="101"/>
        <v>0</v>
      </c>
      <c r="H1873" s="50">
        <f t="shared" si="102"/>
        <v>0</v>
      </c>
    </row>
    <row r="1874" spans="1:8" x14ac:dyDescent="0.2">
      <c r="A1874" s="37">
        <v>1872</v>
      </c>
      <c r="C1874" s="17">
        <f>+'Detalle Compras'!E1339</f>
        <v>0</v>
      </c>
      <c r="D1874" s="55" t="str">
        <f t="shared" si="100"/>
        <v/>
      </c>
      <c r="E1874" s="14" t="str">
        <f>+IF(B1874="","",'Detalle Compras'!S1874+0)</f>
        <v/>
      </c>
      <c r="F1874" s="14" t="str">
        <f>+IF(B1874="","",EOMONTH('Detalle Compras'!S1874,G1874)+10)</f>
        <v/>
      </c>
      <c r="G1874" s="50">
        <f t="shared" si="101"/>
        <v>0</v>
      </c>
      <c r="H1874" s="50">
        <f t="shared" si="102"/>
        <v>0</v>
      </c>
    </row>
    <row r="1875" spans="1:8" x14ac:dyDescent="0.2">
      <c r="A1875" s="37">
        <v>1873</v>
      </c>
      <c r="C1875" s="17">
        <f>+'Detalle Compras'!E1340</f>
        <v>0</v>
      </c>
      <c r="D1875" s="55" t="str">
        <f t="shared" si="100"/>
        <v/>
      </c>
      <c r="E1875" s="14" t="str">
        <f>+IF(B1875="","",'Detalle Compras'!S1875+0)</f>
        <v/>
      </c>
      <c r="F1875" s="14" t="str">
        <f>+IF(B1875="","",EOMONTH('Detalle Compras'!S1875,G1875)+10)</f>
        <v/>
      </c>
      <c r="G1875" s="50">
        <f t="shared" si="101"/>
        <v>0</v>
      </c>
      <c r="H1875" s="50">
        <f t="shared" si="102"/>
        <v>0</v>
      </c>
    </row>
    <row r="1876" spans="1:8" x14ac:dyDescent="0.2">
      <c r="A1876" s="37">
        <v>1874</v>
      </c>
      <c r="C1876" s="17">
        <f>+'Detalle Compras'!E1341</f>
        <v>0</v>
      </c>
      <c r="D1876" s="55" t="str">
        <f t="shared" si="100"/>
        <v/>
      </c>
      <c r="E1876" s="14" t="str">
        <f>+IF(B1876="","",'Detalle Compras'!S1876+0)</f>
        <v/>
      </c>
      <c r="F1876" s="14" t="str">
        <f>+IF(B1876="","",EOMONTH('Detalle Compras'!S1876,G1876)+10)</f>
        <v/>
      </c>
      <c r="G1876" s="50">
        <f t="shared" si="101"/>
        <v>0</v>
      </c>
      <c r="H1876" s="50">
        <f t="shared" si="102"/>
        <v>0</v>
      </c>
    </row>
    <row r="1877" spans="1:8" x14ac:dyDescent="0.2">
      <c r="A1877" s="37">
        <v>1875</v>
      </c>
      <c r="C1877" s="17">
        <f>+'Detalle Compras'!E1342</f>
        <v>0</v>
      </c>
      <c r="D1877" s="55" t="str">
        <f t="shared" si="100"/>
        <v/>
      </c>
      <c r="E1877" s="14" t="str">
        <f>+IF(B1877="","",'Detalle Compras'!S1877+0)</f>
        <v/>
      </c>
      <c r="F1877" s="14" t="str">
        <f>+IF(B1877="","",EOMONTH('Detalle Compras'!S1877,G1877)+10)</f>
        <v/>
      </c>
      <c r="G1877" s="50">
        <f t="shared" si="101"/>
        <v>0</v>
      </c>
      <c r="H1877" s="50">
        <f t="shared" si="102"/>
        <v>0</v>
      </c>
    </row>
    <row r="1878" spans="1:8" x14ac:dyDescent="0.2">
      <c r="A1878" s="37">
        <v>1876</v>
      </c>
      <c r="C1878" s="17">
        <f>+'Detalle Compras'!E1343</f>
        <v>0</v>
      </c>
      <c r="D1878" s="55" t="str">
        <f t="shared" si="100"/>
        <v/>
      </c>
      <c r="E1878" s="14" t="str">
        <f>+IF(B1878="","",'Detalle Compras'!S1878+0)</f>
        <v/>
      </c>
      <c r="F1878" s="14" t="str">
        <f>+IF(B1878="","",EOMONTH('Detalle Compras'!S1878,G1878)+10)</f>
        <v/>
      </c>
      <c r="G1878" s="50">
        <f t="shared" si="101"/>
        <v>0</v>
      </c>
      <c r="H1878" s="50">
        <f t="shared" si="102"/>
        <v>0</v>
      </c>
    </row>
    <row r="1879" spans="1:8" x14ac:dyDescent="0.2">
      <c r="A1879" s="37">
        <v>1877</v>
      </c>
      <c r="C1879" s="17">
        <f>+'Detalle Compras'!E1344</f>
        <v>0</v>
      </c>
      <c r="D1879" s="55" t="str">
        <f t="shared" si="100"/>
        <v/>
      </c>
      <c r="E1879" s="14" t="str">
        <f>+IF(B1879="","",'Detalle Compras'!S1879+0)</f>
        <v/>
      </c>
      <c r="F1879" s="14" t="str">
        <f>+IF(B1879="","",EOMONTH('Detalle Compras'!S1879,G1879)+10)</f>
        <v/>
      </c>
      <c r="G1879" s="50">
        <f t="shared" si="101"/>
        <v>0</v>
      </c>
      <c r="H1879" s="50">
        <f t="shared" si="102"/>
        <v>0</v>
      </c>
    </row>
    <row r="1880" spans="1:8" x14ac:dyDescent="0.2">
      <c r="A1880" s="37">
        <v>1878</v>
      </c>
      <c r="C1880" s="17">
        <f>+'Detalle Compras'!E1345</f>
        <v>0</v>
      </c>
      <c r="D1880" s="55" t="str">
        <f t="shared" si="100"/>
        <v/>
      </c>
      <c r="E1880" s="14" t="str">
        <f>+IF(B1880="","",'Detalle Compras'!S1880+0)</f>
        <v/>
      </c>
      <c r="F1880" s="14" t="str">
        <f>+IF(B1880="","",EOMONTH('Detalle Compras'!S1880,G1880)+10)</f>
        <v/>
      </c>
      <c r="G1880" s="50">
        <f t="shared" si="101"/>
        <v>0</v>
      </c>
      <c r="H1880" s="50">
        <f t="shared" si="102"/>
        <v>0</v>
      </c>
    </row>
    <row r="1881" spans="1:8" x14ac:dyDescent="0.2">
      <c r="A1881" s="37">
        <v>1879</v>
      </c>
      <c r="C1881" s="17">
        <f>+'Detalle Compras'!E1346</f>
        <v>0</v>
      </c>
      <c r="D1881" s="55" t="str">
        <f t="shared" si="100"/>
        <v/>
      </c>
      <c r="E1881" s="14" t="str">
        <f>+IF(B1881="","",'Detalle Compras'!S1881+0)</f>
        <v/>
      </c>
      <c r="F1881" s="14" t="str">
        <f>+IF(B1881="","",EOMONTH('Detalle Compras'!S1881,G1881)+10)</f>
        <v/>
      </c>
      <c r="G1881" s="50">
        <f t="shared" si="101"/>
        <v>0</v>
      </c>
      <c r="H1881" s="50">
        <f t="shared" si="102"/>
        <v>0</v>
      </c>
    </row>
    <row r="1882" spans="1:8" x14ac:dyDescent="0.2">
      <c r="A1882" s="37">
        <v>1880</v>
      </c>
      <c r="C1882" s="17">
        <f>+'Detalle Compras'!E1347</f>
        <v>0</v>
      </c>
      <c r="D1882" s="55" t="str">
        <f t="shared" si="100"/>
        <v/>
      </c>
      <c r="E1882" s="14" t="str">
        <f>+IF(B1882="","",'Detalle Compras'!S1882+0)</f>
        <v/>
      </c>
      <c r="F1882" s="14" t="str">
        <f>+IF(B1882="","",EOMONTH('Detalle Compras'!S1882,G1882)+10)</f>
        <v/>
      </c>
      <c r="G1882" s="50">
        <f t="shared" si="101"/>
        <v>0</v>
      </c>
      <c r="H1882" s="50">
        <f t="shared" si="102"/>
        <v>0</v>
      </c>
    </row>
    <row r="1883" spans="1:8" x14ac:dyDescent="0.2">
      <c r="A1883" s="37">
        <v>1881</v>
      </c>
      <c r="C1883" s="17">
        <f>+'Detalle Compras'!D1348</f>
        <v>0</v>
      </c>
      <c r="D1883" s="55" t="str">
        <f t="shared" si="100"/>
        <v/>
      </c>
      <c r="E1883" s="14" t="str">
        <f>+IF(B1883="","",'Detalle Compras'!S1883+0)</f>
        <v/>
      </c>
      <c r="F1883" s="14" t="str">
        <f>+IF(B1883="","",EOMONTH('Detalle Compras'!S1883,G1883)+10)</f>
        <v/>
      </c>
      <c r="G1883" s="50">
        <f t="shared" si="101"/>
        <v>0</v>
      </c>
      <c r="H1883" s="50">
        <f t="shared" si="102"/>
        <v>0</v>
      </c>
    </row>
    <row r="1884" spans="1:8" x14ac:dyDescent="0.2">
      <c r="A1884" s="37">
        <v>1882</v>
      </c>
      <c r="C1884" s="17">
        <f>+'Detalle Compras'!D1349</f>
        <v>0</v>
      </c>
      <c r="D1884" s="55" t="str">
        <f t="shared" si="100"/>
        <v/>
      </c>
      <c r="E1884" s="14" t="str">
        <f>+IF(B1884="","",'Detalle Compras'!S1884+0)</f>
        <v/>
      </c>
      <c r="F1884" s="14" t="str">
        <f>+IF(B1884="","",EOMONTH('Detalle Compras'!S1884,G1884)+10)</f>
        <v/>
      </c>
      <c r="G1884" s="50">
        <f t="shared" si="101"/>
        <v>0</v>
      </c>
      <c r="H1884" s="50">
        <f t="shared" si="102"/>
        <v>0</v>
      </c>
    </row>
    <row r="1885" spans="1:8" x14ac:dyDescent="0.2">
      <c r="A1885" s="37">
        <v>1883</v>
      </c>
      <c r="C1885" s="17">
        <f>+'Detalle Compras'!D1350</f>
        <v>0</v>
      </c>
      <c r="D1885" s="55" t="str">
        <f t="shared" si="100"/>
        <v/>
      </c>
      <c r="E1885" s="14" t="str">
        <f>+IF(B1885="","",'Detalle Compras'!S1885+0)</f>
        <v/>
      </c>
      <c r="F1885" s="14" t="str">
        <f>+IF(B1885="","",EOMONTH('Detalle Compras'!S1885,G1885)+10)</f>
        <v/>
      </c>
      <c r="G1885" s="50">
        <f t="shared" si="101"/>
        <v>0</v>
      </c>
      <c r="H1885" s="50">
        <f t="shared" si="102"/>
        <v>0</v>
      </c>
    </row>
    <row r="1886" spans="1:8" x14ac:dyDescent="0.2">
      <c r="A1886" s="37">
        <v>1884</v>
      </c>
      <c r="C1886" s="17">
        <f>+'Detalle Compras'!D1351</f>
        <v>0</v>
      </c>
      <c r="D1886" s="55" t="str">
        <f t="shared" si="100"/>
        <v/>
      </c>
      <c r="E1886" s="14" t="str">
        <f>+IF(B1886="","",'Detalle Compras'!S1886+0)</f>
        <v/>
      </c>
      <c r="F1886" s="14" t="str">
        <f>+IF(B1886="","",EOMONTH('Detalle Compras'!S1886,G1886)+10)</f>
        <v/>
      </c>
      <c r="G1886" s="50">
        <f t="shared" si="101"/>
        <v>0</v>
      </c>
      <c r="H1886" s="50">
        <f t="shared" si="102"/>
        <v>0</v>
      </c>
    </row>
    <row r="1887" spans="1:8" x14ac:dyDescent="0.2">
      <c r="A1887" s="37">
        <v>1885</v>
      </c>
      <c r="C1887" s="17">
        <f>+'Detalle Compras'!D1352</f>
        <v>0</v>
      </c>
      <c r="D1887" s="55" t="str">
        <f t="shared" si="100"/>
        <v/>
      </c>
      <c r="E1887" s="14" t="str">
        <f>+IF(B1887="","",'Detalle Compras'!S1887+0)</f>
        <v/>
      </c>
      <c r="F1887" s="14" t="str">
        <f>+IF(B1887="","",EOMONTH('Detalle Compras'!S1887,G1887)+10)</f>
        <v/>
      </c>
      <c r="G1887" s="50">
        <f t="shared" si="101"/>
        <v>0</v>
      </c>
      <c r="H1887" s="50">
        <f t="shared" si="102"/>
        <v>0</v>
      </c>
    </row>
    <row r="1888" spans="1:8" x14ac:dyDescent="0.2">
      <c r="A1888" s="37">
        <v>1886</v>
      </c>
      <c r="C1888" s="17">
        <f>+'Detalle Compras'!D1353</f>
        <v>0</v>
      </c>
      <c r="D1888" s="55" t="str">
        <f t="shared" si="100"/>
        <v/>
      </c>
      <c r="E1888" s="14" t="str">
        <f>+IF(B1888="","",'Detalle Compras'!S1888+0)</f>
        <v/>
      </c>
      <c r="F1888" s="14" t="str">
        <f>+IF(B1888="","",EOMONTH('Detalle Compras'!S1888,G1888)+10)</f>
        <v/>
      </c>
      <c r="G1888" s="50">
        <f t="shared" si="101"/>
        <v>0</v>
      </c>
      <c r="H1888" s="50">
        <f t="shared" si="102"/>
        <v>0</v>
      </c>
    </row>
    <row r="1889" spans="1:8" x14ac:dyDescent="0.2">
      <c r="A1889" s="37">
        <v>1887</v>
      </c>
      <c r="C1889" s="17">
        <f>+'Detalle Compras'!D1354</f>
        <v>0</v>
      </c>
      <c r="D1889" s="55" t="str">
        <f t="shared" si="100"/>
        <v/>
      </c>
      <c r="E1889" s="14" t="str">
        <f>+IF(B1889="","",'Detalle Compras'!S1889+0)</f>
        <v/>
      </c>
      <c r="F1889" s="14" t="str">
        <f>+IF(B1889="","",EOMONTH('Detalle Compras'!S1889,G1889)+10)</f>
        <v/>
      </c>
      <c r="G1889" s="50">
        <f t="shared" si="101"/>
        <v>0</v>
      </c>
      <c r="H1889" s="50">
        <f t="shared" si="102"/>
        <v>0</v>
      </c>
    </row>
    <row r="1890" spans="1:8" x14ac:dyDescent="0.2">
      <c r="A1890" s="37">
        <v>1888</v>
      </c>
      <c r="C1890" s="17">
        <f>+'Detalle Compras'!D1355</f>
        <v>0</v>
      </c>
      <c r="D1890" s="55" t="str">
        <f t="shared" si="100"/>
        <v/>
      </c>
      <c r="E1890" s="14" t="str">
        <f>+IF(B1890="","",'Detalle Compras'!S1890+0)</f>
        <v/>
      </c>
      <c r="F1890" s="14" t="str">
        <f>+IF(B1890="","",EOMONTH('Detalle Compras'!S1890,G1890)+10)</f>
        <v/>
      </c>
      <c r="G1890" s="50">
        <f t="shared" si="101"/>
        <v>0</v>
      </c>
      <c r="H1890" s="50">
        <f t="shared" si="102"/>
        <v>0</v>
      </c>
    </row>
    <row r="1891" spans="1:8" x14ac:dyDescent="0.2">
      <c r="A1891" s="37">
        <v>1889</v>
      </c>
      <c r="C1891" s="17">
        <f>+'Detalle Compras'!D1356</f>
        <v>0</v>
      </c>
      <c r="D1891" s="55" t="str">
        <f t="shared" si="100"/>
        <v/>
      </c>
      <c r="E1891" s="14" t="str">
        <f>+IF(B1891="","",'Detalle Compras'!S1891+0)</f>
        <v/>
      </c>
      <c r="F1891" s="14" t="str">
        <f>+IF(B1891="","",EOMONTH('Detalle Compras'!S1891,G1891)+10)</f>
        <v/>
      </c>
      <c r="G1891" s="50">
        <f t="shared" si="101"/>
        <v>0</v>
      </c>
      <c r="H1891" s="50">
        <f t="shared" si="102"/>
        <v>0</v>
      </c>
    </row>
    <row r="1892" spans="1:8" x14ac:dyDescent="0.2">
      <c r="A1892" s="37">
        <v>1890</v>
      </c>
      <c r="C1892" s="17">
        <f>+'Detalle Compras'!D1357</f>
        <v>0</v>
      </c>
      <c r="D1892" s="55" t="str">
        <f t="shared" si="100"/>
        <v/>
      </c>
      <c r="E1892" s="14" t="str">
        <f>+IF(B1892="","",'Detalle Compras'!S1892+0)</f>
        <v/>
      </c>
      <c r="F1892" s="14" t="str">
        <f>+IF(B1892="","",EOMONTH('Detalle Compras'!S1892,G1892)+10)</f>
        <v/>
      </c>
      <c r="G1892" s="50">
        <f t="shared" si="101"/>
        <v>0</v>
      </c>
      <c r="H1892" s="50">
        <f t="shared" si="102"/>
        <v>0</v>
      </c>
    </row>
    <row r="1893" spans="1:8" x14ac:dyDescent="0.2">
      <c r="A1893" s="37">
        <v>1891</v>
      </c>
      <c r="C1893" s="17">
        <f>+'Detalle Compras'!D1358</f>
        <v>0</v>
      </c>
      <c r="D1893" s="55" t="str">
        <f t="shared" si="100"/>
        <v/>
      </c>
      <c r="E1893" s="14" t="str">
        <f>+IF(B1893="","",'Detalle Compras'!S1893+0)</f>
        <v/>
      </c>
      <c r="F1893" s="14" t="str">
        <f>+IF(B1893="","",EOMONTH('Detalle Compras'!S1893,G1893)+10)</f>
        <v/>
      </c>
      <c r="G1893" s="50">
        <f t="shared" si="101"/>
        <v>0</v>
      </c>
      <c r="H1893" s="50">
        <f t="shared" si="102"/>
        <v>0</v>
      </c>
    </row>
    <row r="1894" spans="1:8" x14ac:dyDescent="0.2">
      <c r="A1894" s="37">
        <v>1892</v>
      </c>
      <c r="C1894" s="17">
        <f>+'Detalle Compras'!D1359</f>
        <v>0</v>
      </c>
      <c r="D1894" s="55" t="str">
        <f t="shared" si="100"/>
        <v/>
      </c>
      <c r="E1894" s="14" t="str">
        <f>+IF(B1894="","",'Detalle Compras'!S1894+0)</f>
        <v/>
      </c>
      <c r="F1894" s="14" t="str">
        <f>+IF(B1894="","",EOMONTH('Detalle Compras'!S1894,G1894)+10)</f>
        <v/>
      </c>
      <c r="G1894" s="50">
        <f t="shared" si="101"/>
        <v>0</v>
      </c>
      <c r="H1894" s="50">
        <f t="shared" si="102"/>
        <v>0</v>
      </c>
    </row>
    <row r="1895" spans="1:8" x14ac:dyDescent="0.2">
      <c r="A1895" s="37">
        <v>1893</v>
      </c>
      <c r="C1895" s="17">
        <f>+'Detalle Compras'!D1360</f>
        <v>0</v>
      </c>
      <c r="D1895" s="55" t="str">
        <f t="shared" si="100"/>
        <v/>
      </c>
      <c r="E1895" s="14" t="str">
        <f>+IF(B1895="","",'Detalle Compras'!S1895+0)</f>
        <v/>
      </c>
      <c r="F1895" s="14" t="str">
        <f>+IF(B1895="","",EOMONTH('Detalle Compras'!S1895,G1895)+10)</f>
        <v/>
      </c>
      <c r="G1895" s="50">
        <f t="shared" si="101"/>
        <v>0</v>
      </c>
      <c r="H1895" s="50">
        <f t="shared" si="102"/>
        <v>0</v>
      </c>
    </row>
    <row r="1896" spans="1:8" x14ac:dyDescent="0.2">
      <c r="A1896" s="37">
        <v>1894</v>
      </c>
      <c r="C1896" s="17">
        <f>+'Detalle Compras'!D1361</f>
        <v>0</v>
      </c>
      <c r="D1896" s="55" t="str">
        <f t="shared" si="100"/>
        <v/>
      </c>
      <c r="E1896" s="14" t="str">
        <f>+IF(B1896="","",'Detalle Compras'!S1896+0)</f>
        <v/>
      </c>
      <c r="F1896" s="14" t="str">
        <f>+IF(B1896="","",EOMONTH('Detalle Compras'!S1896,G1896)+10)</f>
        <v/>
      </c>
      <c r="G1896" s="50">
        <f t="shared" si="101"/>
        <v>0</v>
      </c>
      <c r="H1896" s="50">
        <f t="shared" si="102"/>
        <v>0</v>
      </c>
    </row>
    <row r="1897" spans="1:8" x14ac:dyDescent="0.2">
      <c r="A1897" s="37">
        <v>1895</v>
      </c>
      <c r="C1897" s="17">
        <f>+'Detalle Compras'!D1362</f>
        <v>0</v>
      </c>
      <c r="D1897" s="55" t="str">
        <f t="shared" si="100"/>
        <v/>
      </c>
      <c r="E1897" s="14" t="str">
        <f>+IF(B1897="","",'Detalle Compras'!S1897+0)</f>
        <v/>
      </c>
      <c r="F1897" s="14" t="str">
        <f>+IF(B1897="","",EOMONTH('Detalle Compras'!S1897,G1897)+10)</f>
        <v/>
      </c>
      <c r="G1897" s="50">
        <f t="shared" si="101"/>
        <v>0</v>
      </c>
      <c r="H1897" s="50">
        <f t="shared" si="102"/>
        <v>0</v>
      </c>
    </row>
    <row r="1898" spans="1:8" x14ac:dyDescent="0.2">
      <c r="A1898" s="37">
        <v>1896</v>
      </c>
      <c r="C1898" s="17">
        <f>+'Detalle Compras'!D1363</f>
        <v>0</v>
      </c>
      <c r="D1898" s="55" t="str">
        <f t="shared" si="100"/>
        <v/>
      </c>
      <c r="E1898" s="14" t="str">
        <f>+IF(B1898="","",'Detalle Compras'!S1898+0)</f>
        <v/>
      </c>
      <c r="F1898" s="14" t="str">
        <f>+IF(B1898="","",EOMONTH('Detalle Compras'!S1898,G1898)+10)</f>
        <v/>
      </c>
      <c r="G1898" s="50">
        <f t="shared" si="101"/>
        <v>0</v>
      </c>
      <c r="H1898" s="50">
        <f t="shared" si="102"/>
        <v>0</v>
      </c>
    </row>
    <row r="1899" spans="1:8" x14ac:dyDescent="0.2">
      <c r="A1899" s="37">
        <v>1897</v>
      </c>
      <c r="C1899" s="17">
        <f>+'Detalle Compras'!D1364</f>
        <v>0</v>
      </c>
      <c r="D1899" s="55" t="str">
        <f t="shared" si="100"/>
        <v/>
      </c>
      <c r="E1899" s="14" t="str">
        <f>+IF(B1899="","",'Detalle Compras'!S1899+0)</f>
        <v/>
      </c>
      <c r="F1899" s="14" t="str">
        <f>+IF(B1899="","",EOMONTH('Detalle Compras'!S1899,G1899)+10)</f>
        <v/>
      </c>
      <c r="G1899" s="50">
        <f t="shared" si="101"/>
        <v>0</v>
      </c>
      <c r="H1899" s="50">
        <f t="shared" si="102"/>
        <v>0</v>
      </c>
    </row>
    <row r="1900" spans="1:8" x14ac:dyDescent="0.2">
      <c r="A1900" s="37">
        <v>1898</v>
      </c>
      <c r="C1900" s="17">
        <f>+'Detalle Compras'!D1365</f>
        <v>0</v>
      </c>
      <c r="D1900" s="55" t="str">
        <f t="shared" si="100"/>
        <v/>
      </c>
      <c r="E1900" s="14" t="str">
        <f>+IF(B1900="","",'Detalle Compras'!S1900+0)</f>
        <v/>
      </c>
      <c r="F1900" s="14" t="str">
        <f>+IF(B1900="","",EOMONTH('Detalle Compras'!S1900,G1900)+10)</f>
        <v/>
      </c>
      <c r="G1900" s="50">
        <f t="shared" si="101"/>
        <v>0</v>
      </c>
      <c r="H1900" s="50">
        <f t="shared" si="102"/>
        <v>0</v>
      </c>
    </row>
    <row r="1901" spans="1:8" x14ac:dyDescent="0.2">
      <c r="A1901" s="37">
        <v>1899</v>
      </c>
      <c r="C1901" s="17">
        <f>+'Detalle Compras'!D1366</f>
        <v>0</v>
      </c>
      <c r="D1901" s="55" t="str">
        <f t="shared" si="100"/>
        <v/>
      </c>
      <c r="E1901" s="14" t="str">
        <f>+IF(B1901="","",'Detalle Compras'!S1901+0)</f>
        <v/>
      </c>
      <c r="F1901" s="14" t="str">
        <f>+IF(B1901="","",EOMONTH('Detalle Compras'!S1901,G1901)+10)</f>
        <v/>
      </c>
      <c r="G1901" s="50">
        <f t="shared" si="101"/>
        <v>0</v>
      </c>
      <c r="H1901" s="50">
        <f t="shared" si="102"/>
        <v>0</v>
      </c>
    </row>
    <row r="1902" spans="1:8" x14ac:dyDescent="0.2">
      <c r="A1902" s="37">
        <v>1900</v>
      </c>
      <c r="C1902" s="17">
        <f>+'Detalle Compras'!D1367</f>
        <v>0</v>
      </c>
      <c r="D1902" s="55" t="str">
        <f t="shared" si="100"/>
        <v/>
      </c>
      <c r="E1902" s="14" t="str">
        <f>+IF(B1902="","",'Detalle Compras'!S1902+0)</f>
        <v/>
      </c>
      <c r="F1902" s="14" t="str">
        <f>+IF(B1902="","",EOMONTH('Detalle Compras'!S1902,G1902)+10)</f>
        <v/>
      </c>
      <c r="G1902" s="50">
        <f t="shared" si="101"/>
        <v>0</v>
      </c>
      <c r="H1902" s="50">
        <f t="shared" si="102"/>
        <v>0</v>
      </c>
    </row>
    <row r="1903" spans="1:8" x14ac:dyDescent="0.2">
      <c r="A1903" s="37">
        <v>1901</v>
      </c>
      <c r="C1903" s="17">
        <f>+'Detalle Compras'!D1368</f>
        <v>0</v>
      </c>
      <c r="D1903" s="55" t="str">
        <f t="shared" si="100"/>
        <v/>
      </c>
      <c r="E1903" s="14" t="str">
        <f>+IF(B1903="","",'Detalle Compras'!S1903+0)</f>
        <v/>
      </c>
      <c r="F1903" s="14" t="str">
        <f>+IF(B1903="","",EOMONTH('Detalle Compras'!S1903,G1903)+10)</f>
        <v/>
      </c>
      <c r="G1903" s="50">
        <f t="shared" si="101"/>
        <v>0</v>
      </c>
      <c r="H1903" s="50">
        <f t="shared" si="102"/>
        <v>0</v>
      </c>
    </row>
    <row r="1904" spans="1:8" x14ac:dyDescent="0.2">
      <c r="A1904" s="37">
        <v>1902</v>
      </c>
      <c r="C1904" s="17">
        <f>+'Detalle Compras'!D1369</f>
        <v>0</v>
      </c>
      <c r="D1904" s="55" t="str">
        <f t="shared" si="100"/>
        <v/>
      </c>
      <c r="E1904" s="14" t="str">
        <f>+IF(B1904="","",'Detalle Compras'!S1904+0)</f>
        <v/>
      </c>
      <c r="F1904" s="14" t="str">
        <f>+IF(B1904="","",EOMONTH('Detalle Compras'!S1904,G1904)+10)</f>
        <v/>
      </c>
      <c r="G1904" s="50">
        <f t="shared" si="101"/>
        <v>0</v>
      </c>
      <c r="H1904" s="50">
        <f t="shared" si="102"/>
        <v>0</v>
      </c>
    </row>
    <row r="1905" spans="1:8" x14ac:dyDescent="0.2">
      <c r="A1905" s="37">
        <v>1903</v>
      </c>
      <c r="C1905" s="17">
        <f>+'Detalle Compras'!D1370</f>
        <v>0</v>
      </c>
      <c r="D1905" s="55" t="str">
        <f t="shared" si="100"/>
        <v/>
      </c>
      <c r="E1905" s="14" t="str">
        <f>+IF(B1905="","",'Detalle Compras'!S1905+0)</f>
        <v/>
      </c>
      <c r="F1905" s="14" t="str">
        <f>+IF(B1905="","",EOMONTH('Detalle Compras'!S1905,G1905)+10)</f>
        <v/>
      </c>
      <c r="G1905" s="50">
        <f t="shared" si="101"/>
        <v>0</v>
      </c>
      <c r="H1905" s="50">
        <f t="shared" si="102"/>
        <v>0</v>
      </c>
    </row>
    <row r="1906" spans="1:8" x14ac:dyDescent="0.2">
      <c r="A1906" s="37">
        <v>1904</v>
      </c>
      <c r="C1906" s="17">
        <f>+'Detalle Compras'!D1371</f>
        <v>0</v>
      </c>
      <c r="D1906" s="55" t="str">
        <f t="shared" si="100"/>
        <v/>
      </c>
      <c r="E1906" s="14" t="str">
        <f>+IF(B1906="","",'Detalle Compras'!S1906+0)</f>
        <v/>
      </c>
      <c r="F1906" s="14" t="str">
        <f>+IF(B1906="","",EOMONTH('Detalle Compras'!S1906,G1906)+10)</f>
        <v/>
      </c>
      <c r="G1906" s="50">
        <f t="shared" si="101"/>
        <v>0</v>
      </c>
      <c r="H1906" s="50">
        <f t="shared" si="102"/>
        <v>0</v>
      </c>
    </row>
    <row r="1907" spans="1:8" x14ac:dyDescent="0.2">
      <c r="A1907" s="37">
        <v>1905</v>
      </c>
      <c r="C1907" s="17">
        <f>+'Detalle Compras'!D1372</f>
        <v>0</v>
      </c>
      <c r="D1907" s="55" t="str">
        <f t="shared" si="100"/>
        <v/>
      </c>
      <c r="E1907" s="14" t="str">
        <f>+IF(B1907="","",'Detalle Compras'!S1907+0)</f>
        <v/>
      </c>
      <c r="F1907" s="14" t="str">
        <f>+IF(B1907="","",EOMONTH('Detalle Compras'!S1907,G1907)+10)</f>
        <v/>
      </c>
      <c r="G1907" s="50">
        <f t="shared" si="101"/>
        <v>0</v>
      </c>
      <c r="H1907" s="50">
        <f t="shared" si="102"/>
        <v>0</v>
      </c>
    </row>
    <row r="1908" spans="1:8" x14ac:dyDescent="0.2">
      <c r="A1908" s="37">
        <v>1906</v>
      </c>
      <c r="C1908" s="17">
        <f>+'Detalle Compras'!D1373</f>
        <v>0</v>
      </c>
      <c r="D1908" s="55" t="str">
        <f t="shared" si="100"/>
        <v/>
      </c>
      <c r="E1908" s="14" t="str">
        <f>+IF(B1908="","",'Detalle Compras'!S1908+0)</f>
        <v/>
      </c>
      <c r="F1908" s="14" t="str">
        <f>+IF(B1908="","",EOMONTH('Detalle Compras'!S1908,G1908)+10)</f>
        <v/>
      </c>
      <c r="G1908" s="50">
        <f t="shared" si="101"/>
        <v>0</v>
      </c>
      <c r="H1908" s="50">
        <f t="shared" si="102"/>
        <v>0</v>
      </c>
    </row>
    <row r="1909" spans="1:8" x14ac:dyDescent="0.2">
      <c r="A1909" s="37">
        <v>1907</v>
      </c>
      <c r="C1909" s="17">
        <f>+'Detalle Compras'!D1374</f>
        <v>0</v>
      </c>
      <c r="D1909" s="55" t="str">
        <f t="shared" si="100"/>
        <v/>
      </c>
      <c r="E1909" s="14" t="str">
        <f>+IF(B1909="","",'Detalle Compras'!S1909+0)</f>
        <v/>
      </c>
      <c r="F1909" s="14" t="str">
        <f>+IF(B1909="","",EOMONTH('Detalle Compras'!S1909,G1909)+10)</f>
        <v/>
      </c>
      <c r="G1909" s="50">
        <f t="shared" si="101"/>
        <v>0</v>
      </c>
      <c r="H1909" s="50">
        <f t="shared" si="102"/>
        <v>0</v>
      </c>
    </row>
    <row r="1910" spans="1:8" x14ac:dyDescent="0.2">
      <c r="A1910" s="37">
        <v>1908</v>
      </c>
      <c r="C1910" s="17">
        <f>+'Detalle Compras'!D1375</f>
        <v>0</v>
      </c>
      <c r="D1910" s="55" t="str">
        <f t="shared" si="100"/>
        <v/>
      </c>
      <c r="E1910" s="14" t="str">
        <f>+IF(B1910="","",'Detalle Compras'!S1910+0)</f>
        <v/>
      </c>
      <c r="F1910" s="14" t="str">
        <f>+IF(B1910="","",EOMONTH('Detalle Compras'!S1910,G1910)+10)</f>
        <v/>
      </c>
      <c r="G1910" s="50">
        <f t="shared" si="101"/>
        <v>0</v>
      </c>
      <c r="H1910" s="50">
        <f t="shared" si="102"/>
        <v>0</v>
      </c>
    </row>
    <row r="1911" spans="1:8" x14ac:dyDescent="0.2">
      <c r="A1911" s="37">
        <v>1909</v>
      </c>
      <c r="C1911" s="17">
        <f>+'Detalle Compras'!D1376</f>
        <v>0</v>
      </c>
      <c r="D1911" s="55" t="str">
        <f t="shared" si="100"/>
        <v/>
      </c>
      <c r="E1911" s="14" t="str">
        <f>+IF(B1911="","",'Detalle Compras'!S1911+0)</f>
        <v/>
      </c>
      <c r="F1911" s="14" t="str">
        <f>+IF(B1911="","",EOMONTH('Detalle Compras'!S1911,G1911)+10)</f>
        <v/>
      </c>
      <c r="G1911" s="50">
        <f t="shared" si="101"/>
        <v>0</v>
      </c>
      <c r="H1911" s="50">
        <f t="shared" si="102"/>
        <v>0</v>
      </c>
    </row>
    <row r="1912" spans="1:8" x14ac:dyDescent="0.2">
      <c r="A1912" s="37">
        <v>1910</v>
      </c>
      <c r="C1912" s="17">
        <f>+'Detalle Compras'!D1377</f>
        <v>0</v>
      </c>
      <c r="D1912" s="55" t="str">
        <f t="shared" si="100"/>
        <v/>
      </c>
      <c r="E1912" s="14" t="str">
        <f>+IF(B1912="","",'Detalle Compras'!S1912+0)</f>
        <v/>
      </c>
      <c r="F1912" s="14" t="str">
        <f>+IF(B1912="","",EOMONTH('Detalle Compras'!S1912,G1912)+10)</f>
        <v/>
      </c>
      <c r="G1912" s="50">
        <f t="shared" si="101"/>
        <v>0</v>
      </c>
      <c r="H1912" s="50">
        <f t="shared" si="102"/>
        <v>0</v>
      </c>
    </row>
    <row r="1913" spans="1:8" x14ac:dyDescent="0.2">
      <c r="A1913" s="37">
        <v>1911</v>
      </c>
      <c r="C1913" s="17">
        <f>+'Detalle Compras'!D1378</f>
        <v>0</v>
      </c>
      <c r="D1913" s="55" t="str">
        <f t="shared" si="100"/>
        <v/>
      </c>
      <c r="E1913" s="14" t="str">
        <f>+IF(B1913="","",'Detalle Compras'!S1913+0)</f>
        <v/>
      </c>
      <c r="F1913" s="14" t="str">
        <f>+IF(B1913="","",EOMONTH('Detalle Compras'!S1913,G1913)+10)</f>
        <v/>
      </c>
      <c r="G1913" s="50">
        <f t="shared" si="101"/>
        <v>0</v>
      </c>
      <c r="H1913" s="50">
        <f t="shared" si="102"/>
        <v>0</v>
      </c>
    </row>
    <row r="1914" spans="1:8" x14ac:dyDescent="0.2">
      <c r="A1914" s="37">
        <v>1912</v>
      </c>
      <c r="C1914" s="17">
        <f>+'Detalle Compras'!D1379</f>
        <v>0</v>
      </c>
      <c r="D1914" s="55" t="str">
        <f t="shared" si="100"/>
        <v/>
      </c>
      <c r="E1914" s="14" t="str">
        <f>+IF(B1914="","",'Detalle Compras'!S1914+0)</f>
        <v/>
      </c>
      <c r="F1914" s="14" t="str">
        <f>+IF(B1914="","",EOMONTH('Detalle Compras'!S1914,G1914)+10)</f>
        <v/>
      </c>
      <c r="G1914" s="50">
        <f t="shared" si="101"/>
        <v>0</v>
      </c>
      <c r="H1914" s="50">
        <f t="shared" si="102"/>
        <v>0</v>
      </c>
    </row>
    <row r="1915" spans="1:8" x14ac:dyDescent="0.2">
      <c r="A1915" s="37">
        <v>1913</v>
      </c>
      <c r="C1915" s="17">
        <f>+'Detalle Compras'!D1380</f>
        <v>0</v>
      </c>
      <c r="D1915" s="55" t="str">
        <f t="shared" si="100"/>
        <v/>
      </c>
      <c r="E1915" s="14" t="str">
        <f>+IF(B1915="","",'Detalle Compras'!S1915+0)</f>
        <v/>
      </c>
      <c r="F1915" s="14" t="str">
        <f>+IF(B1915="","",EOMONTH('Detalle Compras'!S1915,G1915)+10)</f>
        <v/>
      </c>
      <c r="G1915" s="50">
        <f t="shared" si="101"/>
        <v>0</v>
      </c>
      <c r="H1915" s="50">
        <f t="shared" si="102"/>
        <v>0</v>
      </c>
    </row>
    <row r="1916" spans="1:8" x14ac:dyDescent="0.2">
      <c r="A1916" s="37">
        <v>1914</v>
      </c>
      <c r="C1916" s="17">
        <f>+'Detalle Compras'!D1381</f>
        <v>0</v>
      </c>
      <c r="D1916" s="55" t="str">
        <f t="shared" si="100"/>
        <v/>
      </c>
      <c r="E1916" s="14" t="str">
        <f>+IF(B1916="","",'Detalle Compras'!S1916+0)</f>
        <v/>
      </c>
      <c r="F1916" s="14" t="str">
        <f>+IF(B1916="","",EOMONTH('Detalle Compras'!S1916,G1916)+10)</f>
        <v/>
      </c>
      <c r="G1916" s="50">
        <f t="shared" si="101"/>
        <v>0</v>
      </c>
      <c r="H1916" s="50">
        <f t="shared" si="102"/>
        <v>0</v>
      </c>
    </row>
    <row r="1917" spans="1:8" x14ac:dyDescent="0.2">
      <c r="A1917" s="37">
        <v>1915</v>
      </c>
      <c r="C1917" s="17">
        <f>+'Detalle Compras'!D1382</f>
        <v>0</v>
      </c>
      <c r="D1917" s="55" t="str">
        <f t="shared" si="100"/>
        <v/>
      </c>
      <c r="E1917" s="14" t="str">
        <f>+IF(B1917="","",'Detalle Compras'!S1917+0)</f>
        <v/>
      </c>
      <c r="F1917" s="14" t="str">
        <f>+IF(B1917="","",EOMONTH('Detalle Compras'!S1917,G1917)+10)</f>
        <v/>
      </c>
      <c r="G1917" s="50">
        <f t="shared" si="101"/>
        <v>0</v>
      </c>
      <c r="H1917" s="50">
        <f t="shared" si="102"/>
        <v>0</v>
      </c>
    </row>
    <row r="1918" spans="1:8" x14ac:dyDescent="0.2">
      <c r="A1918" s="37">
        <v>1916</v>
      </c>
      <c r="C1918" s="17">
        <f>+'Detalle Compras'!D1383</f>
        <v>0</v>
      </c>
      <c r="D1918" s="55" t="str">
        <f t="shared" si="100"/>
        <v/>
      </c>
      <c r="E1918" s="14" t="str">
        <f>+IF(B1918="","",'Detalle Compras'!S1918+0)</f>
        <v/>
      </c>
      <c r="F1918" s="14" t="str">
        <f>+IF(B1918="","",EOMONTH('Detalle Compras'!S1918,G1918)+10)</f>
        <v/>
      </c>
      <c r="G1918" s="50">
        <f t="shared" si="101"/>
        <v>0</v>
      </c>
      <c r="H1918" s="50">
        <f t="shared" si="102"/>
        <v>0</v>
      </c>
    </row>
    <row r="1919" spans="1:8" x14ac:dyDescent="0.2">
      <c r="A1919" s="37">
        <v>1917</v>
      </c>
      <c r="C1919" s="17">
        <f>+'Detalle Compras'!D1384</f>
        <v>0</v>
      </c>
      <c r="D1919" s="55" t="str">
        <f t="shared" si="100"/>
        <v/>
      </c>
      <c r="E1919" s="14" t="str">
        <f>+IF(B1919="","",'Detalle Compras'!S1919+0)</f>
        <v/>
      </c>
      <c r="F1919" s="14" t="str">
        <f>+IF(B1919="","",EOMONTH('Detalle Compras'!S1919,G1919)+10)</f>
        <v/>
      </c>
      <c r="G1919" s="50">
        <f t="shared" si="101"/>
        <v>0</v>
      </c>
      <c r="H1919" s="50">
        <f t="shared" si="102"/>
        <v>0</v>
      </c>
    </row>
    <row r="1920" spans="1:8" x14ac:dyDescent="0.2">
      <c r="A1920" s="37">
        <v>1918</v>
      </c>
      <c r="C1920" s="17">
        <f>+'Detalle Compras'!D1385</f>
        <v>0</v>
      </c>
      <c r="D1920" s="55" t="str">
        <f t="shared" si="100"/>
        <v/>
      </c>
      <c r="E1920" s="14" t="str">
        <f>+IF(B1920="","",'Detalle Compras'!S1920+0)</f>
        <v/>
      </c>
      <c r="F1920" s="14" t="str">
        <f>+IF(B1920="","",EOMONTH('Detalle Compras'!S1920,G1920)+10)</f>
        <v/>
      </c>
      <c r="G1920" s="50">
        <f t="shared" si="101"/>
        <v>0</v>
      </c>
      <c r="H1920" s="50">
        <f t="shared" si="102"/>
        <v>0</v>
      </c>
    </row>
    <row r="1921" spans="1:8" x14ac:dyDescent="0.2">
      <c r="A1921" s="37">
        <v>1919</v>
      </c>
      <c r="C1921" s="17">
        <f>+'Detalle Compras'!D1386</f>
        <v>0</v>
      </c>
      <c r="D1921" s="55" t="str">
        <f t="shared" si="100"/>
        <v/>
      </c>
      <c r="E1921" s="14" t="str">
        <f>+IF(B1921="","",'Detalle Compras'!S1921+0)</f>
        <v/>
      </c>
      <c r="F1921" s="14" t="str">
        <f>+IF(B1921="","",EOMONTH('Detalle Compras'!S1921,G1921)+10)</f>
        <v/>
      </c>
      <c r="G1921" s="50">
        <f t="shared" si="101"/>
        <v>0</v>
      </c>
      <c r="H1921" s="50">
        <f t="shared" si="102"/>
        <v>0</v>
      </c>
    </row>
    <row r="1922" spans="1:8" x14ac:dyDescent="0.2">
      <c r="A1922" s="37">
        <v>1920</v>
      </c>
      <c r="C1922" s="17">
        <f>+'Detalle Compras'!D1387</f>
        <v>0</v>
      </c>
      <c r="D1922" s="55" t="str">
        <f t="shared" si="100"/>
        <v/>
      </c>
      <c r="E1922" s="14" t="str">
        <f>+IF(B1922="","",'Detalle Compras'!S1922+0)</f>
        <v/>
      </c>
      <c r="F1922" s="14" t="str">
        <f>+IF(B1922="","",EOMONTH('Detalle Compras'!S1922,G1922)+10)</f>
        <v/>
      </c>
      <c r="G1922" s="50">
        <f t="shared" si="101"/>
        <v>0</v>
      </c>
      <c r="H1922" s="50">
        <f t="shared" si="102"/>
        <v>0</v>
      </c>
    </row>
    <row r="1923" spans="1:8" x14ac:dyDescent="0.2">
      <c r="A1923" s="37">
        <v>1921</v>
      </c>
      <c r="C1923" s="17">
        <f>+'Detalle Compras'!D1388</f>
        <v>0</v>
      </c>
      <c r="D1923" s="55" t="str">
        <f t="shared" si="100"/>
        <v/>
      </c>
      <c r="E1923" s="14" t="str">
        <f>+IF(B1923="","",'Detalle Compras'!S1923+0)</f>
        <v/>
      </c>
      <c r="F1923" s="14" t="str">
        <f>+IF(B1923="","",EOMONTH('Detalle Compras'!S1923,G1923)+10)</f>
        <v/>
      </c>
      <c r="G1923" s="50">
        <f t="shared" si="101"/>
        <v>0</v>
      </c>
      <c r="H1923" s="50">
        <f t="shared" si="102"/>
        <v>0</v>
      </c>
    </row>
    <row r="1924" spans="1:8" x14ac:dyDescent="0.2">
      <c r="A1924" s="37">
        <v>1922</v>
      </c>
      <c r="C1924" s="17">
        <f>+'Detalle Compras'!D1389</f>
        <v>0</v>
      </c>
      <c r="D1924" s="55" t="str">
        <f t="shared" ref="D1924:D1987" si="103">+IF(B1924="","",EA1924)</f>
        <v/>
      </c>
      <c r="E1924" s="14" t="str">
        <f>+IF(B1924="","",'Detalle Compras'!S1924+0)</f>
        <v/>
      </c>
      <c r="F1924" s="14" t="str">
        <f>+IF(B1924="","",EOMONTH('Detalle Compras'!S1924,G1924)+10)</f>
        <v/>
      </c>
      <c r="G1924" s="50">
        <f t="shared" ref="G1924:G1987" si="104">+COUNTIF(I1924:ADF1924,"&gt;1")</f>
        <v>0</v>
      </c>
      <c r="H1924" s="50">
        <f t="shared" ref="H1924:H1987" si="105">+COUNT(AF1924:ADF1924)</f>
        <v>0</v>
      </c>
    </row>
    <row r="1925" spans="1:8" x14ac:dyDescent="0.2">
      <c r="A1925" s="37">
        <v>1923</v>
      </c>
      <c r="C1925" s="17">
        <f>+'Detalle Compras'!D1390</f>
        <v>0</v>
      </c>
      <c r="D1925" s="55" t="str">
        <f t="shared" si="103"/>
        <v/>
      </c>
      <c r="E1925" s="14" t="str">
        <f>+IF(B1925="","",'Detalle Compras'!S1925+0)</f>
        <v/>
      </c>
      <c r="F1925" s="14" t="str">
        <f>+IF(B1925="","",EOMONTH('Detalle Compras'!S1925,G1925)+10)</f>
        <v/>
      </c>
      <c r="G1925" s="50">
        <f t="shared" si="104"/>
        <v>0</v>
      </c>
      <c r="H1925" s="50">
        <f t="shared" si="105"/>
        <v>0</v>
      </c>
    </row>
    <row r="1926" spans="1:8" x14ac:dyDescent="0.2">
      <c r="A1926" s="37">
        <v>1924</v>
      </c>
      <c r="C1926" s="17">
        <f>+'Detalle Compras'!D1391</f>
        <v>0</v>
      </c>
      <c r="D1926" s="55" t="str">
        <f t="shared" si="103"/>
        <v/>
      </c>
      <c r="E1926" s="14" t="str">
        <f>+IF(B1926="","",'Detalle Compras'!S1926+0)</f>
        <v/>
      </c>
      <c r="F1926" s="14" t="str">
        <f>+IF(B1926="","",EOMONTH('Detalle Compras'!S1926,G1926)+10)</f>
        <v/>
      </c>
      <c r="G1926" s="50">
        <f t="shared" si="104"/>
        <v>0</v>
      </c>
      <c r="H1926" s="50">
        <f t="shared" si="105"/>
        <v>0</v>
      </c>
    </row>
    <row r="1927" spans="1:8" x14ac:dyDescent="0.2">
      <c r="A1927" s="37">
        <v>1925</v>
      </c>
      <c r="C1927" s="17">
        <f>+'Detalle Compras'!D1392</f>
        <v>0</v>
      </c>
      <c r="D1927" s="55" t="str">
        <f t="shared" si="103"/>
        <v/>
      </c>
      <c r="E1927" s="14" t="str">
        <f>+IF(B1927="","",'Detalle Compras'!S1927+0)</f>
        <v/>
      </c>
      <c r="F1927" s="14" t="str">
        <f>+IF(B1927="","",EOMONTH('Detalle Compras'!S1927,G1927)+10)</f>
        <v/>
      </c>
      <c r="G1927" s="50">
        <f t="shared" si="104"/>
        <v>0</v>
      </c>
      <c r="H1927" s="50">
        <f t="shared" si="105"/>
        <v>0</v>
      </c>
    </row>
    <row r="1928" spans="1:8" x14ac:dyDescent="0.2">
      <c r="A1928" s="37">
        <v>1926</v>
      </c>
      <c r="C1928" s="17">
        <f>+'Detalle Compras'!D1393</f>
        <v>0</v>
      </c>
      <c r="D1928" s="55" t="str">
        <f t="shared" si="103"/>
        <v/>
      </c>
      <c r="E1928" s="14" t="str">
        <f>+IF(B1928="","",'Detalle Compras'!S1928+0)</f>
        <v/>
      </c>
      <c r="F1928" s="14" t="str">
        <f>+IF(B1928="","",EOMONTH('Detalle Compras'!S1928,G1928)+10)</f>
        <v/>
      </c>
      <c r="G1928" s="50">
        <f t="shared" si="104"/>
        <v>0</v>
      </c>
      <c r="H1928" s="50">
        <f t="shared" si="105"/>
        <v>0</v>
      </c>
    </row>
    <row r="1929" spans="1:8" x14ac:dyDescent="0.2">
      <c r="A1929" s="37">
        <v>1927</v>
      </c>
      <c r="C1929" s="17">
        <f>+'Detalle Compras'!D1394</f>
        <v>0</v>
      </c>
      <c r="D1929" s="55" t="str">
        <f t="shared" si="103"/>
        <v/>
      </c>
      <c r="E1929" s="14" t="str">
        <f>+IF(B1929="","",'Detalle Compras'!S1929+0)</f>
        <v/>
      </c>
      <c r="F1929" s="14" t="str">
        <f>+IF(B1929="","",EOMONTH('Detalle Compras'!S1929,G1929)+10)</f>
        <v/>
      </c>
      <c r="G1929" s="50">
        <f t="shared" si="104"/>
        <v>0</v>
      </c>
      <c r="H1929" s="50">
        <f t="shared" si="105"/>
        <v>0</v>
      </c>
    </row>
    <row r="1930" spans="1:8" x14ac:dyDescent="0.2">
      <c r="A1930" s="37">
        <v>1928</v>
      </c>
      <c r="C1930" s="17">
        <f>+'Detalle Compras'!D1395</f>
        <v>0</v>
      </c>
      <c r="D1930" s="55" t="str">
        <f t="shared" si="103"/>
        <v/>
      </c>
      <c r="E1930" s="14" t="str">
        <f>+IF(B1930="","",'Detalle Compras'!S1930+0)</f>
        <v/>
      </c>
      <c r="F1930" s="14" t="str">
        <f>+IF(B1930="","",EOMONTH('Detalle Compras'!S1930,G1930)+10)</f>
        <v/>
      </c>
      <c r="G1930" s="50">
        <f t="shared" si="104"/>
        <v>0</v>
      </c>
      <c r="H1930" s="50">
        <f t="shared" si="105"/>
        <v>0</v>
      </c>
    </row>
    <row r="1931" spans="1:8" x14ac:dyDescent="0.2">
      <c r="A1931" s="37">
        <v>1929</v>
      </c>
      <c r="C1931" s="17">
        <f>+'Detalle Compras'!D1396</f>
        <v>0</v>
      </c>
      <c r="D1931" s="55" t="str">
        <f t="shared" si="103"/>
        <v/>
      </c>
      <c r="E1931" s="14" t="str">
        <f>+IF(B1931="","",'Detalle Compras'!S1931+0)</f>
        <v/>
      </c>
      <c r="F1931" s="14" t="str">
        <f>+IF(B1931="","",EOMONTH('Detalle Compras'!S1931,G1931)+10)</f>
        <v/>
      </c>
      <c r="G1931" s="50">
        <f t="shared" si="104"/>
        <v>0</v>
      </c>
      <c r="H1931" s="50">
        <f t="shared" si="105"/>
        <v>0</v>
      </c>
    </row>
    <row r="1932" spans="1:8" x14ac:dyDescent="0.2">
      <c r="A1932" s="37">
        <v>1930</v>
      </c>
      <c r="C1932" s="17">
        <f>+'Detalle Compras'!D1397</f>
        <v>0</v>
      </c>
      <c r="D1932" s="55" t="str">
        <f t="shared" si="103"/>
        <v/>
      </c>
      <c r="E1932" s="14" t="str">
        <f>+IF(B1932="","",'Detalle Compras'!S1932+0)</f>
        <v/>
      </c>
      <c r="F1932" s="14" t="str">
        <f>+IF(B1932="","",EOMONTH('Detalle Compras'!S1932,G1932)+10)</f>
        <v/>
      </c>
      <c r="G1932" s="50">
        <f t="shared" si="104"/>
        <v>0</v>
      </c>
      <c r="H1932" s="50">
        <f t="shared" si="105"/>
        <v>0</v>
      </c>
    </row>
    <row r="1933" spans="1:8" x14ac:dyDescent="0.2">
      <c r="A1933" s="37">
        <v>1931</v>
      </c>
      <c r="C1933" s="17">
        <f>+'Detalle Compras'!D1398</f>
        <v>0</v>
      </c>
      <c r="D1933" s="55" t="str">
        <f t="shared" si="103"/>
        <v/>
      </c>
      <c r="E1933" s="14" t="str">
        <f>+IF(B1933="","",'Detalle Compras'!S1933+0)</f>
        <v/>
      </c>
      <c r="F1933" s="14" t="str">
        <f>+IF(B1933="","",EOMONTH('Detalle Compras'!S1933,G1933)+10)</f>
        <v/>
      </c>
      <c r="G1933" s="50">
        <f t="shared" si="104"/>
        <v>0</v>
      </c>
      <c r="H1933" s="50">
        <f t="shared" si="105"/>
        <v>0</v>
      </c>
    </row>
    <row r="1934" spans="1:8" x14ac:dyDescent="0.2">
      <c r="A1934" s="37">
        <v>1932</v>
      </c>
      <c r="C1934" s="17">
        <f>+'Detalle Compras'!D1399</f>
        <v>0</v>
      </c>
      <c r="D1934" s="55" t="str">
        <f t="shared" si="103"/>
        <v/>
      </c>
      <c r="E1934" s="14" t="str">
        <f>+IF(B1934="","",'Detalle Compras'!S1934+0)</f>
        <v/>
      </c>
      <c r="F1934" s="14" t="str">
        <f>+IF(B1934="","",EOMONTH('Detalle Compras'!S1934,G1934)+10)</f>
        <v/>
      </c>
      <c r="G1934" s="50">
        <f t="shared" si="104"/>
        <v>0</v>
      </c>
      <c r="H1934" s="50">
        <f t="shared" si="105"/>
        <v>0</v>
      </c>
    </row>
    <row r="1935" spans="1:8" x14ac:dyDescent="0.2">
      <c r="A1935" s="37">
        <v>1933</v>
      </c>
      <c r="C1935" s="17">
        <f>+'Detalle Compras'!D1400</f>
        <v>0</v>
      </c>
      <c r="D1935" s="55" t="str">
        <f t="shared" si="103"/>
        <v/>
      </c>
      <c r="E1935" s="14" t="str">
        <f>+IF(B1935="","",'Detalle Compras'!S1935+0)</f>
        <v/>
      </c>
      <c r="F1935" s="14" t="str">
        <f>+IF(B1935="","",EOMONTH('Detalle Compras'!S1935,G1935)+10)</f>
        <v/>
      </c>
      <c r="G1935" s="50">
        <f t="shared" si="104"/>
        <v>0</v>
      </c>
      <c r="H1935" s="50">
        <f t="shared" si="105"/>
        <v>0</v>
      </c>
    </row>
    <row r="1936" spans="1:8" x14ac:dyDescent="0.2">
      <c r="A1936" s="37">
        <v>1934</v>
      </c>
      <c r="C1936" s="17">
        <f>+'Detalle Compras'!D1401</f>
        <v>0</v>
      </c>
      <c r="D1936" s="55" t="str">
        <f t="shared" si="103"/>
        <v/>
      </c>
      <c r="E1936" s="14" t="str">
        <f>+IF(B1936="","",'Detalle Compras'!S1936+0)</f>
        <v/>
      </c>
      <c r="F1936" s="14" t="str">
        <f>+IF(B1936="","",EOMONTH('Detalle Compras'!S1936,G1936)+10)</f>
        <v/>
      </c>
      <c r="G1936" s="50">
        <f t="shared" si="104"/>
        <v>0</v>
      </c>
      <c r="H1936" s="50">
        <f t="shared" si="105"/>
        <v>0</v>
      </c>
    </row>
    <row r="1937" spans="1:8" x14ac:dyDescent="0.2">
      <c r="A1937" s="37">
        <v>1935</v>
      </c>
      <c r="C1937" s="17">
        <f>+'Detalle Compras'!D1402</f>
        <v>0</v>
      </c>
      <c r="D1937" s="55" t="str">
        <f t="shared" si="103"/>
        <v/>
      </c>
      <c r="E1937" s="14" t="str">
        <f>+IF(B1937="","",'Detalle Compras'!S1937+0)</f>
        <v/>
      </c>
      <c r="F1937" s="14" t="str">
        <f>+IF(B1937="","",EOMONTH('Detalle Compras'!S1937,G1937)+10)</f>
        <v/>
      </c>
      <c r="G1937" s="50">
        <f t="shared" si="104"/>
        <v>0</v>
      </c>
      <c r="H1937" s="50">
        <f t="shared" si="105"/>
        <v>0</v>
      </c>
    </row>
    <row r="1938" spans="1:8" x14ac:dyDescent="0.2">
      <c r="A1938" s="37">
        <v>1936</v>
      </c>
      <c r="C1938" s="17">
        <f>+'Detalle Compras'!D1403</f>
        <v>0</v>
      </c>
      <c r="D1938" s="55" t="str">
        <f t="shared" si="103"/>
        <v/>
      </c>
      <c r="E1938" s="14" t="str">
        <f>+IF(B1938="","",'Detalle Compras'!S1938+0)</f>
        <v/>
      </c>
      <c r="F1938" s="14" t="str">
        <f>+IF(B1938="","",EOMONTH('Detalle Compras'!S1938,G1938)+10)</f>
        <v/>
      </c>
      <c r="G1938" s="50">
        <f t="shared" si="104"/>
        <v>0</v>
      </c>
      <c r="H1938" s="50">
        <f t="shared" si="105"/>
        <v>0</v>
      </c>
    </row>
    <row r="1939" spans="1:8" x14ac:dyDescent="0.2">
      <c r="A1939" s="37">
        <v>1937</v>
      </c>
      <c r="C1939" s="17">
        <f>+'Detalle Compras'!D1404</f>
        <v>0</v>
      </c>
      <c r="D1939" s="55" t="str">
        <f t="shared" si="103"/>
        <v/>
      </c>
      <c r="E1939" s="14" t="str">
        <f>+IF(B1939="","",'Detalle Compras'!S1939+0)</f>
        <v/>
      </c>
      <c r="F1939" s="14" t="str">
        <f>+IF(B1939="","",EOMONTH('Detalle Compras'!S1939,G1939)+10)</f>
        <v/>
      </c>
      <c r="G1939" s="50">
        <f t="shared" si="104"/>
        <v>0</v>
      </c>
      <c r="H1939" s="50">
        <f t="shared" si="105"/>
        <v>0</v>
      </c>
    </row>
    <row r="1940" spans="1:8" x14ac:dyDescent="0.2">
      <c r="A1940" s="37">
        <v>1938</v>
      </c>
      <c r="C1940" s="17">
        <f>+'Detalle Compras'!D1405</f>
        <v>0</v>
      </c>
      <c r="D1940" s="55" t="str">
        <f t="shared" si="103"/>
        <v/>
      </c>
      <c r="E1940" s="14" t="str">
        <f>+IF(B1940="","",'Detalle Compras'!S1940+0)</f>
        <v/>
      </c>
      <c r="F1940" s="14" t="str">
        <f>+IF(B1940="","",EOMONTH('Detalle Compras'!S1940,G1940)+10)</f>
        <v/>
      </c>
      <c r="G1940" s="50">
        <f t="shared" si="104"/>
        <v>0</v>
      </c>
      <c r="H1940" s="50">
        <f t="shared" si="105"/>
        <v>0</v>
      </c>
    </row>
    <row r="1941" spans="1:8" x14ac:dyDescent="0.2">
      <c r="A1941" s="37">
        <v>1939</v>
      </c>
      <c r="C1941" s="17">
        <f>+'Detalle Compras'!D1406</f>
        <v>0</v>
      </c>
      <c r="D1941" s="55" t="str">
        <f t="shared" si="103"/>
        <v/>
      </c>
      <c r="E1941" s="14" t="str">
        <f>+IF(B1941="","",'Detalle Compras'!S1941+0)</f>
        <v/>
      </c>
      <c r="F1941" s="14" t="str">
        <f>+IF(B1941="","",EOMONTH('Detalle Compras'!S1941,G1941)+10)</f>
        <v/>
      </c>
      <c r="G1941" s="50">
        <f t="shared" si="104"/>
        <v>0</v>
      </c>
      <c r="H1941" s="50">
        <f t="shared" si="105"/>
        <v>0</v>
      </c>
    </row>
    <row r="1942" spans="1:8" x14ac:dyDescent="0.2">
      <c r="A1942" s="37">
        <v>1940</v>
      </c>
      <c r="C1942" s="17">
        <f>+'Detalle Compras'!D1407</f>
        <v>0</v>
      </c>
      <c r="D1942" s="55" t="str">
        <f t="shared" si="103"/>
        <v/>
      </c>
      <c r="E1942" s="14" t="str">
        <f>+IF(B1942="","",'Detalle Compras'!S1942+0)</f>
        <v/>
      </c>
      <c r="F1942" s="14" t="str">
        <f>+IF(B1942="","",EOMONTH('Detalle Compras'!S1942,G1942)+10)</f>
        <v/>
      </c>
      <c r="G1942" s="50">
        <f t="shared" si="104"/>
        <v>0</v>
      </c>
      <c r="H1942" s="50">
        <f t="shared" si="105"/>
        <v>0</v>
      </c>
    </row>
    <row r="1943" spans="1:8" x14ac:dyDescent="0.2">
      <c r="A1943" s="37">
        <v>1941</v>
      </c>
      <c r="C1943" s="17">
        <f>+'Detalle Compras'!D1408</f>
        <v>0</v>
      </c>
      <c r="D1943" s="55" t="str">
        <f t="shared" si="103"/>
        <v/>
      </c>
      <c r="E1943" s="14" t="str">
        <f>+IF(B1943="","",'Detalle Compras'!S1943+0)</f>
        <v/>
      </c>
      <c r="F1943" s="14" t="str">
        <f>+IF(B1943="","",EOMONTH('Detalle Compras'!S1943,G1943)+10)</f>
        <v/>
      </c>
      <c r="G1943" s="50">
        <f t="shared" si="104"/>
        <v>0</v>
      </c>
      <c r="H1943" s="50">
        <f t="shared" si="105"/>
        <v>0</v>
      </c>
    </row>
    <row r="1944" spans="1:8" x14ac:dyDescent="0.2">
      <c r="A1944" s="37">
        <v>1942</v>
      </c>
      <c r="C1944" s="17">
        <f>+'Detalle Compras'!D1409</f>
        <v>0</v>
      </c>
      <c r="D1944" s="55" t="str">
        <f t="shared" si="103"/>
        <v/>
      </c>
      <c r="E1944" s="14" t="str">
        <f>+IF(B1944="","",'Detalle Compras'!S1944+0)</f>
        <v/>
      </c>
      <c r="F1944" s="14" t="str">
        <f>+IF(B1944="","",EOMONTH('Detalle Compras'!S1944,G1944)+10)</f>
        <v/>
      </c>
      <c r="G1944" s="50">
        <f t="shared" si="104"/>
        <v>0</v>
      </c>
      <c r="H1944" s="50">
        <f t="shared" si="105"/>
        <v>0</v>
      </c>
    </row>
    <row r="1945" spans="1:8" x14ac:dyDescent="0.2">
      <c r="A1945" s="37">
        <v>1943</v>
      </c>
      <c r="C1945" s="17">
        <f>+'Detalle Compras'!D1410</f>
        <v>0</v>
      </c>
      <c r="D1945" s="55" t="str">
        <f t="shared" si="103"/>
        <v/>
      </c>
      <c r="E1945" s="14" t="str">
        <f>+IF(B1945="","",'Detalle Compras'!S1945+0)</f>
        <v/>
      </c>
      <c r="F1945" s="14" t="str">
        <f>+IF(B1945="","",EOMONTH('Detalle Compras'!S1945,G1945)+10)</f>
        <v/>
      </c>
      <c r="G1945" s="50">
        <f t="shared" si="104"/>
        <v>0</v>
      </c>
      <c r="H1945" s="50">
        <f t="shared" si="105"/>
        <v>0</v>
      </c>
    </row>
    <row r="1946" spans="1:8" x14ac:dyDescent="0.2">
      <c r="A1946" s="37">
        <v>1944</v>
      </c>
      <c r="C1946" s="17">
        <f>+'Detalle Compras'!D1411</f>
        <v>0</v>
      </c>
      <c r="D1946" s="55" t="str">
        <f t="shared" si="103"/>
        <v/>
      </c>
      <c r="E1946" s="14" t="str">
        <f>+IF(B1946="","",'Detalle Compras'!S1946+0)</f>
        <v/>
      </c>
      <c r="F1946" s="14" t="str">
        <f>+IF(B1946="","",EOMONTH('Detalle Compras'!S1946,G1946)+10)</f>
        <v/>
      </c>
      <c r="G1946" s="50">
        <f t="shared" si="104"/>
        <v>0</v>
      </c>
      <c r="H1946" s="50">
        <f t="shared" si="105"/>
        <v>0</v>
      </c>
    </row>
    <row r="1947" spans="1:8" x14ac:dyDescent="0.2">
      <c r="A1947" s="37">
        <v>1945</v>
      </c>
      <c r="C1947" s="17">
        <f>+'Detalle Compras'!D1412</f>
        <v>0</v>
      </c>
      <c r="D1947" s="55" t="str">
        <f t="shared" si="103"/>
        <v/>
      </c>
      <c r="E1947" s="14" t="str">
        <f>+IF(B1947="","",'Detalle Compras'!S1947+0)</f>
        <v/>
      </c>
      <c r="F1947" s="14" t="str">
        <f>+IF(B1947="","",EOMONTH('Detalle Compras'!S1947,G1947)+10)</f>
        <v/>
      </c>
      <c r="G1947" s="50">
        <f t="shared" si="104"/>
        <v>0</v>
      </c>
      <c r="H1947" s="50">
        <f t="shared" si="105"/>
        <v>0</v>
      </c>
    </row>
    <row r="1948" spans="1:8" x14ac:dyDescent="0.2">
      <c r="A1948" s="37">
        <v>1946</v>
      </c>
      <c r="C1948" s="17">
        <f>+'Detalle Compras'!D1413</f>
        <v>0</v>
      </c>
      <c r="D1948" s="55" t="str">
        <f t="shared" si="103"/>
        <v/>
      </c>
      <c r="E1948" s="14" t="str">
        <f>+IF(B1948="","",'Detalle Compras'!S1948+0)</f>
        <v/>
      </c>
      <c r="F1948" s="14" t="str">
        <f>+IF(B1948="","",EOMONTH('Detalle Compras'!S1948,G1948)+10)</f>
        <v/>
      </c>
      <c r="G1948" s="50">
        <f t="shared" si="104"/>
        <v>0</v>
      </c>
      <c r="H1948" s="50">
        <f t="shared" si="105"/>
        <v>0</v>
      </c>
    </row>
    <row r="1949" spans="1:8" x14ac:dyDescent="0.2">
      <c r="A1949" s="37">
        <v>1947</v>
      </c>
      <c r="C1949" s="17">
        <f>+'Detalle Compras'!D1414</f>
        <v>0</v>
      </c>
      <c r="D1949" s="55" t="str">
        <f t="shared" si="103"/>
        <v/>
      </c>
      <c r="E1949" s="14" t="str">
        <f>+IF(B1949="","",'Detalle Compras'!S1949+0)</f>
        <v/>
      </c>
      <c r="F1949" s="14" t="str">
        <f>+IF(B1949="","",EOMONTH('Detalle Compras'!S1949,G1949)+10)</f>
        <v/>
      </c>
      <c r="G1949" s="50">
        <f t="shared" si="104"/>
        <v>0</v>
      </c>
      <c r="H1949" s="50">
        <f t="shared" si="105"/>
        <v>0</v>
      </c>
    </row>
    <row r="1950" spans="1:8" x14ac:dyDescent="0.2">
      <c r="A1950" s="37">
        <v>1948</v>
      </c>
      <c r="C1950" s="17">
        <f>+'Detalle Compras'!D1415</f>
        <v>0</v>
      </c>
      <c r="D1950" s="55" t="str">
        <f t="shared" si="103"/>
        <v/>
      </c>
      <c r="E1950" s="14" t="str">
        <f>+IF(B1950="","",'Detalle Compras'!S1950+0)</f>
        <v/>
      </c>
      <c r="F1950" s="14" t="str">
        <f>+IF(B1950="","",EOMONTH('Detalle Compras'!S1950,G1950)+10)</f>
        <v/>
      </c>
      <c r="G1950" s="50">
        <f t="shared" si="104"/>
        <v>0</v>
      </c>
      <c r="H1950" s="50">
        <f t="shared" si="105"/>
        <v>0</v>
      </c>
    </row>
    <row r="1951" spans="1:8" x14ac:dyDescent="0.2">
      <c r="A1951" s="37">
        <v>1949</v>
      </c>
      <c r="C1951" s="17">
        <f>+'Detalle Compras'!D1416</f>
        <v>0</v>
      </c>
      <c r="D1951" s="55" t="str">
        <f t="shared" si="103"/>
        <v/>
      </c>
      <c r="E1951" s="14" t="str">
        <f>+IF(B1951="","",'Detalle Compras'!S1951+0)</f>
        <v/>
      </c>
      <c r="F1951" s="14" t="str">
        <f>+IF(B1951="","",EOMONTH('Detalle Compras'!S1951,G1951)+10)</f>
        <v/>
      </c>
      <c r="G1951" s="50">
        <f t="shared" si="104"/>
        <v>0</v>
      </c>
      <c r="H1951" s="50">
        <f t="shared" si="105"/>
        <v>0</v>
      </c>
    </row>
    <row r="1952" spans="1:8" x14ac:dyDescent="0.2">
      <c r="A1952" s="37">
        <v>1950</v>
      </c>
      <c r="C1952" s="17">
        <f>+'Detalle Compras'!D1417</f>
        <v>0</v>
      </c>
      <c r="D1952" s="55" t="str">
        <f t="shared" si="103"/>
        <v/>
      </c>
      <c r="E1952" s="14" t="str">
        <f>+IF(B1952="","",'Detalle Compras'!S1952+0)</f>
        <v/>
      </c>
      <c r="F1952" s="14" t="str">
        <f>+IF(B1952="","",EOMONTH('Detalle Compras'!S1952,G1952)+10)</f>
        <v/>
      </c>
      <c r="G1952" s="50">
        <f t="shared" si="104"/>
        <v>0</v>
      </c>
      <c r="H1952" s="50">
        <f t="shared" si="105"/>
        <v>0</v>
      </c>
    </row>
    <row r="1953" spans="1:8" x14ac:dyDescent="0.2">
      <c r="A1953" s="37">
        <v>1951</v>
      </c>
      <c r="C1953" s="17">
        <f>+'Detalle Compras'!D1418</f>
        <v>0</v>
      </c>
      <c r="D1953" s="55" t="str">
        <f t="shared" si="103"/>
        <v/>
      </c>
      <c r="E1953" s="14" t="str">
        <f>+IF(B1953="","",'Detalle Compras'!S1953+0)</f>
        <v/>
      </c>
      <c r="F1953" s="14" t="str">
        <f>+IF(B1953="","",EOMONTH('Detalle Compras'!S1953,G1953)+10)</f>
        <v/>
      </c>
      <c r="G1953" s="50">
        <f t="shared" si="104"/>
        <v>0</v>
      </c>
      <c r="H1953" s="50">
        <f t="shared" si="105"/>
        <v>0</v>
      </c>
    </row>
    <row r="1954" spans="1:8" x14ac:dyDescent="0.2">
      <c r="A1954" s="37">
        <v>1952</v>
      </c>
      <c r="C1954" s="17">
        <f>+'Detalle Compras'!D1419</f>
        <v>0</v>
      </c>
      <c r="D1954" s="55" t="str">
        <f t="shared" si="103"/>
        <v/>
      </c>
      <c r="E1954" s="14" t="str">
        <f>+IF(B1954="","",'Detalle Compras'!S1954+0)</f>
        <v/>
      </c>
      <c r="F1954" s="14" t="str">
        <f>+IF(B1954="","",EOMONTH('Detalle Compras'!S1954,G1954)+10)</f>
        <v/>
      </c>
      <c r="G1954" s="50">
        <f t="shared" si="104"/>
        <v>0</v>
      </c>
      <c r="H1954" s="50">
        <f t="shared" si="105"/>
        <v>0</v>
      </c>
    </row>
    <row r="1955" spans="1:8" x14ac:dyDescent="0.2">
      <c r="A1955" s="37">
        <v>1953</v>
      </c>
      <c r="C1955" s="17">
        <f>+'Detalle Compras'!D1420</f>
        <v>0</v>
      </c>
      <c r="D1955" s="55" t="str">
        <f t="shared" si="103"/>
        <v/>
      </c>
      <c r="E1955" s="14" t="str">
        <f>+IF(B1955="","",'Detalle Compras'!S1955+0)</f>
        <v/>
      </c>
      <c r="F1955" s="14" t="str">
        <f>+IF(B1955="","",EOMONTH('Detalle Compras'!S1955,G1955)+10)</f>
        <v/>
      </c>
      <c r="G1955" s="50">
        <f t="shared" si="104"/>
        <v>0</v>
      </c>
      <c r="H1955" s="50">
        <f t="shared" si="105"/>
        <v>0</v>
      </c>
    </row>
    <row r="1956" spans="1:8" x14ac:dyDescent="0.2">
      <c r="A1956" s="37">
        <v>1954</v>
      </c>
      <c r="C1956" s="17">
        <f>+'Detalle Compras'!D1421</f>
        <v>0</v>
      </c>
      <c r="D1956" s="55" t="str">
        <f t="shared" si="103"/>
        <v/>
      </c>
      <c r="E1956" s="14" t="str">
        <f>+IF(B1956="","",'Detalle Compras'!S1956+0)</f>
        <v/>
      </c>
      <c r="F1956" s="14" t="str">
        <f>+IF(B1956="","",EOMONTH('Detalle Compras'!S1956,G1956)+10)</f>
        <v/>
      </c>
      <c r="G1956" s="50">
        <f t="shared" si="104"/>
        <v>0</v>
      </c>
      <c r="H1956" s="50">
        <f t="shared" si="105"/>
        <v>0</v>
      </c>
    </row>
    <row r="1957" spans="1:8" x14ac:dyDescent="0.2">
      <c r="A1957" s="37">
        <v>1955</v>
      </c>
      <c r="C1957" s="17">
        <f>+'Detalle Compras'!D1422</f>
        <v>0</v>
      </c>
      <c r="D1957" s="55" t="str">
        <f t="shared" si="103"/>
        <v/>
      </c>
      <c r="E1957" s="14" t="str">
        <f>+IF(B1957="","",'Detalle Compras'!S1957+0)</f>
        <v/>
      </c>
      <c r="F1957" s="14" t="str">
        <f>+IF(B1957="","",EOMONTH('Detalle Compras'!S1957,G1957)+10)</f>
        <v/>
      </c>
      <c r="G1957" s="50">
        <f t="shared" si="104"/>
        <v>0</v>
      </c>
      <c r="H1957" s="50">
        <f t="shared" si="105"/>
        <v>0</v>
      </c>
    </row>
    <row r="1958" spans="1:8" x14ac:dyDescent="0.2">
      <c r="A1958" s="37">
        <v>1956</v>
      </c>
      <c r="C1958" s="17">
        <f>+'Detalle Compras'!D1423</f>
        <v>0</v>
      </c>
      <c r="D1958" s="55" t="str">
        <f t="shared" si="103"/>
        <v/>
      </c>
      <c r="E1958" s="14" t="str">
        <f>+IF(B1958="","",'Detalle Compras'!S1958+0)</f>
        <v/>
      </c>
      <c r="F1958" s="14" t="str">
        <f>+IF(B1958="","",EOMONTH('Detalle Compras'!S1958,G1958)+10)</f>
        <v/>
      </c>
      <c r="G1958" s="50">
        <f t="shared" si="104"/>
        <v>0</v>
      </c>
      <c r="H1958" s="50">
        <f t="shared" si="105"/>
        <v>0</v>
      </c>
    </row>
    <row r="1959" spans="1:8" x14ac:dyDescent="0.2">
      <c r="A1959" s="37">
        <v>1957</v>
      </c>
      <c r="C1959" s="17">
        <f>+'Detalle Compras'!D1424</f>
        <v>0</v>
      </c>
      <c r="D1959" s="55" t="str">
        <f t="shared" si="103"/>
        <v/>
      </c>
      <c r="E1959" s="14" t="str">
        <f>+IF(B1959="","",'Detalle Compras'!S1959+0)</f>
        <v/>
      </c>
      <c r="F1959" s="14" t="str">
        <f>+IF(B1959="","",EOMONTH('Detalle Compras'!S1959,G1959)+10)</f>
        <v/>
      </c>
      <c r="G1959" s="50">
        <f t="shared" si="104"/>
        <v>0</v>
      </c>
      <c r="H1959" s="50">
        <f t="shared" si="105"/>
        <v>0</v>
      </c>
    </row>
    <row r="1960" spans="1:8" x14ac:dyDescent="0.2">
      <c r="A1960" s="37">
        <v>1958</v>
      </c>
      <c r="C1960" s="17">
        <f>+'Detalle Compras'!D1425</f>
        <v>0</v>
      </c>
      <c r="D1960" s="55" t="str">
        <f t="shared" si="103"/>
        <v/>
      </c>
      <c r="E1960" s="14" t="str">
        <f>+IF(B1960="","",'Detalle Compras'!S1960+0)</f>
        <v/>
      </c>
      <c r="F1960" s="14" t="str">
        <f>+IF(B1960="","",EOMONTH('Detalle Compras'!S1960,G1960)+10)</f>
        <v/>
      </c>
      <c r="G1960" s="50">
        <f t="shared" si="104"/>
        <v>0</v>
      </c>
      <c r="H1960" s="50">
        <f t="shared" si="105"/>
        <v>0</v>
      </c>
    </row>
    <row r="1961" spans="1:8" x14ac:dyDescent="0.2">
      <c r="A1961" s="37">
        <v>1959</v>
      </c>
      <c r="C1961" s="17">
        <f>+'Detalle Compras'!D1426</f>
        <v>0</v>
      </c>
      <c r="D1961" s="55" t="str">
        <f t="shared" si="103"/>
        <v/>
      </c>
      <c r="E1961" s="14" t="str">
        <f>+IF(B1961="","",'Detalle Compras'!S1961+0)</f>
        <v/>
      </c>
      <c r="F1961" s="14" t="str">
        <f>+IF(B1961="","",EOMONTH('Detalle Compras'!S1961,G1961)+10)</f>
        <v/>
      </c>
      <c r="G1961" s="50">
        <f t="shared" si="104"/>
        <v>0</v>
      </c>
      <c r="H1961" s="50">
        <f t="shared" si="105"/>
        <v>0</v>
      </c>
    </row>
    <row r="1962" spans="1:8" x14ac:dyDescent="0.2">
      <c r="A1962" s="37">
        <v>1960</v>
      </c>
      <c r="C1962" s="17">
        <f>+'Detalle Compras'!D1427</f>
        <v>0</v>
      </c>
      <c r="D1962" s="55" t="str">
        <f t="shared" si="103"/>
        <v/>
      </c>
      <c r="E1962" s="14" t="str">
        <f>+IF(B1962="","",'Detalle Compras'!S1962+0)</f>
        <v/>
      </c>
      <c r="F1962" s="14" t="str">
        <f>+IF(B1962="","",EOMONTH('Detalle Compras'!S1962,G1962)+10)</f>
        <v/>
      </c>
      <c r="G1962" s="50">
        <f t="shared" si="104"/>
        <v>0</v>
      </c>
      <c r="H1962" s="50">
        <f t="shared" si="105"/>
        <v>0</v>
      </c>
    </row>
    <row r="1963" spans="1:8" x14ac:dyDescent="0.2">
      <c r="A1963" s="37">
        <v>1961</v>
      </c>
      <c r="C1963" s="17">
        <f>+'Detalle Compras'!D1428</f>
        <v>0</v>
      </c>
      <c r="D1963" s="55" t="str">
        <f t="shared" si="103"/>
        <v/>
      </c>
      <c r="E1963" s="14" t="str">
        <f>+IF(B1963="","",'Detalle Compras'!S1963+0)</f>
        <v/>
      </c>
      <c r="F1963" s="14" t="str">
        <f>+IF(B1963="","",EOMONTH('Detalle Compras'!S1963,G1963)+10)</f>
        <v/>
      </c>
      <c r="G1963" s="50">
        <f t="shared" si="104"/>
        <v>0</v>
      </c>
      <c r="H1963" s="50">
        <f t="shared" si="105"/>
        <v>0</v>
      </c>
    </row>
    <row r="1964" spans="1:8" x14ac:dyDescent="0.2">
      <c r="A1964" s="37">
        <v>1962</v>
      </c>
      <c r="C1964" s="17">
        <f>+'Detalle Compras'!D1429</f>
        <v>0</v>
      </c>
      <c r="D1964" s="55" t="str">
        <f t="shared" si="103"/>
        <v/>
      </c>
      <c r="E1964" s="14" t="str">
        <f>+IF(B1964="","",'Detalle Compras'!S1964+0)</f>
        <v/>
      </c>
      <c r="F1964" s="14" t="str">
        <f>+IF(B1964="","",EOMONTH('Detalle Compras'!S1964,G1964)+10)</f>
        <v/>
      </c>
      <c r="G1964" s="50">
        <f t="shared" si="104"/>
        <v>0</v>
      </c>
      <c r="H1964" s="50">
        <f t="shared" si="105"/>
        <v>0</v>
      </c>
    </row>
    <row r="1965" spans="1:8" x14ac:dyDescent="0.2">
      <c r="A1965" s="37">
        <v>1963</v>
      </c>
      <c r="C1965" s="17">
        <f>+'Detalle Compras'!D1430</f>
        <v>0</v>
      </c>
      <c r="D1965" s="55" t="str">
        <f t="shared" si="103"/>
        <v/>
      </c>
      <c r="E1965" s="14" t="str">
        <f>+IF(B1965="","",'Detalle Compras'!S1965+0)</f>
        <v/>
      </c>
      <c r="F1965" s="14" t="str">
        <f>+IF(B1965="","",EOMONTH('Detalle Compras'!S1965,G1965)+10)</f>
        <v/>
      </c>
      <c r="G1965" s="50">
        <f t="shared" si="104"/>
        <v>0</v>
      </c>
      <c r="H1965" s="50">
        <f t="shared" si="105"/>
        <v>0</v>
      </c>
    </row>
    <row r="1966" spans="1:8" x14ac:dyDescent="0.2">
      <c r="A1966" s="37">
        <v>1964</v>
      </c>
      <c r="C1966" s="17">
        <f>+'Detalle Compras'!D1431</f>
        <v>0</v>
      </c>
      <c r="D1966" s="55" t="str">
        <f t="shared" si="103"/>
        <v/>
      </c>
      <c r="E1966" s="14" t="str">
        <f>+IF(B1966="","",'Detalle Compras'!S1966+0)</f>
        <v/>
      </c>
      <c r="F1966" s="14" t="str">
        <f>+IF(B1966="","",EOMONTH('Detalle Compras'!S1966,G1966)+10)</f>
        <v/>
      </c>
      <c r="G1966" s="50">
        <f t="shared" si="104"/>
        <v>0</v>
      </c>
      <c r="H1966" s="50">
        <f t="shared" si="105"/>
        <v>0</v>
      </c>
    </row>
    <row r="1967" spans="1:8" x14ac:dyDescent="0.2">
      <c r="A1967" s="37">
        <v>1965</v>
      </c>
      <c r="C1967" s="17">
        <f>+'Detalle Compras'!D1432</f>
        <v>0</v>
      </c>
      <c r="D1967" s="55" t="str">
        <f t="shared" si="103"/>
        <v/>
      </c>
      <c r="E1967" s="14" t="str">
        <f>+IF(B1967="","",'Detalle Compras'!S1967+0)</f>
        <v/>
      </c>
      <c r="F1967" s="14" t="str">
        <f>+IF(B1967="","",EOMONTH('Detalle Compras'!S1967,G1967)+10)</f>
        <v/>
      </c>
      <c r="G1967" s="50">
        <f t="shared" si="104"/>
        <v>0</v>
      </c>
      <c r="H1967" s="50">
        <f t="shared" si="105"/>
        <v>0</v>
      </c>
    </row>
    <row r="1968" spans="1:8" x14ac:dyDescent="0.2">
      <c r="A1968" s="37">
        <v>1966</v>
      </c>
      <c r="C1968" s="17">
        <f>+'Detalle Compras'!D1433</f>
        <v>0</v>
      </c>
      <c r="D1968" s="55" t="str">
        <f t="shared" si="103"/>
        <v/>
      </c>
      <c r="E1968" s="14" t="str">
        <f>+IF(B1968="","",'Detalle Compras'!S1968+0)</f>
        <v/>
      </c>
      <c r="F1968" s="14" t="str">
        <f>+IF(B1968="","",EOMONTH('Detalle Compras'!S1968,G1968)+10)</f>
        <v/>
      </c>
      <c r="G1968" s="50">
        <f t="shared" si="104"/>
        <v>0</v>
      </c>
      <c r="H1968" s="50">
        <f t="shared" si="105"/>
        <v>0</v>
      </c>
    </row>
    <row r="1969" spans="1:8" x14ac:dyDescent="0.2">
      <c r="A1969" s="37">
        <v>1967</v>
      </c>
      <c r="C1969" s="17">
        <f>+'Detalle Compras'!D1434</f>
        <v>0</v>
      </c>
      <c r="D1969" s="55" t="str">
        <f t="shared" si="103"/>
        <v/>
      </c>
      <c r="E1969" s="14" t="str">
        <f>+IF(B1969="","",'Detalle Compras'!S1969+0)</f>
        <v/>
      </c>
      <c r="F1969" s="14" t="str">
        <f>+IF(B1969="","",EOMONTH('Detalle Compras'!S1969,G1969)+10)</f>
        <v/>
      </c>
      <c r="G1969" s="50">
        <f t="shared" si="104"/>
        <v>0</v>
      </c>
      <c r="H1969" s="50">
        <f t="shared" si="105"/>
        <v>0</v>
      </c>
    </row>
    <row r="1970" spans="1:8" x14ac:dyDescent="0.2">
      <c r="A1970" s="37">
        <v>1968</v>
      </c>
      <c r="C1970" s="17">
        <f>+'Detalle Compras'!D1435</f>
        <v>0</v>
      </c>
      <c r="D1970" s="55" t="str">
        <f t="shared" si="103"/>
        <v/>
      </c>
      <c r="E1970" s="14" t="str">
        <f>+IF(B1970="","",'Detalle Compras'!S1970+0)</f>
        <v/>
      </c>
      <c r="F1970" s="14" t="str">
        <f>+IF(B1970="","",EOMONTH('Detalle Compras'!S1970,G1970)+10)</f>
        <v/>
      </c>
      <c r="G1970" s="50">
        <f t="shared" si="104"/>
        <v>0</v>
      </c>
      <c r="H1970" s="50">
        <f t="shared" si="105"/>
        <v>0</v>
      </c>
    </row>
    <row r="1971" spans="1:8" x14ac:dyDescent="0.2">
      <c r="A1971" s="37">
        <v>1969</v>
      </c>
      <c r="C1971" s="17">
        <f>+'Detalle Compras'!D1436</f>
        <v>0</v>
      </c>
      <c r="D1971" s="55" t="str">
        <f t="shared" si="103"/>
        <v/>
      </c>
      <c r="E1971" s="14" t="str">
        <f>+IF(B1971="","",'Detalle Compras'!S1971+0)</f>
        <v/>
      </c>
      <c r="F1971" s="14" t="str">
        <f>+IF(B1971="","",EOMONTH('Detalle Compras'!S1971,G1971)+10)</f>
        <v/>
      </c>
      <c r="G1971" s="50">
        <f t="shared" si="104"/>
        <v>0</v>
      </c>
      <c r="H1971" s="50">
        <f t="shared" si="105"/>
        <v>0</v>
      </c>
    </row>
    <row r="1972" spans="1:8" x14ac:dyDescent="0.2">
      <c r="A1972" s="37">
        <v>1970</v>
      </c>
      <c r="C1972" s="17">
        <f>+'Detalle Compras'!D1437</f>
        <v>0</v>
      </c>
      <c r="D1972" s="55" t="str">
        <f t="shared" si="103"/>
        <v/>
      </c>
      <c r="E1972" s="14" t="str">
        <f>+IF(B1972="","",'Detalle Compras'!S1972+0)</f>
        <v/>
      </c>
      <c r="F1972" s="14" t="str">
        <f>+IF(B1972="","",EOMONTH('Detalle Compras'!S1972,G1972)+10)</f>
        <v/>
      </c>
      <c r="G1972" s="50">
        <f t="shared" si="104"/>
        <v>0</v>
      </c>
      <c r="H1972" s="50">
        <f t="shared" si="105"/>
        <v>0</v>
      </c>
    </row>
    <row r="1973" spans="1:8" x14ac:dyDescent="0.2">
      <c r="A1973" s="37">
        <v>1971</v>
      </c>
      <c r="C1973" s="17">
        <f>+'Detalle Compras'!D1438</f>
        <v>0</v>
      </c>
      <c r="D1973" s="55" t="str">
        <f t="shared" si="103"/>
        <v/>
      </c>
      <c r="E1973" s="14" t="str">
        <f>+IF(B1973="","",'Detalle Compras'!S1973+0)</f>
        <v/>
      </c>
      <c r="F1973" s="14" t="str">
        <f>+IF(B1973="","",EOMONTH('Detalle Compras'!S1973,G1973)+10)</f>
        <v/>
      </c>
      <c r="G1973" s="50">
        <f t="shared" si="104"/>
        <v>0</v>
      </c>
      <c r="H1973" s="50">
        <f t="shared" si="105"/>
        <v>0</v>
      </c>
    </row>
    <row r="1974" spans="1:8" x14ac:dyDescent="0.2">
      <c r="A1974" s="37">
        <v>1972</v>
      </c>
      <c r="C1974" s="17">
        <f>+'Detalle Compras'!D1439</f>
        <v>0</v>
      </c>
      <c r="D1974" s="55" t="str">
        <f t="shared" si="103"/>
        <v/>
      </c>
      <c r="E1974" s="14" t="str">
        <f>+IF(B1974="","",'Detalle Compras'!S1974+0)</f>
        <v/>
      </c>
      <c r="F1974" s="14" t="str">
        <f>+IF(B1974="","",EOMONTH('Detalle Compras'!S1974,G1974)+10)</f>
        <v/>
      </c>
      <c r="G1974" s="50">
        <f t="shared" si="104"/>
        <v>0</v>
      </c>
      <c r="H1974" s="50">
        <f t="shared" si="105"/>
        <v>0</v>
      </c>
    </row>
    <row r="1975" spans="1:8" x14ac:dyDescent="0.2">
      <c r="A1975" s="37">
        <v>1973</v>
      </c>
      <c r="C1975" s="17">
        <f>+'Detalle Compras'!D1440</f>
        <v>0</v>
      </c>
      <c r="D1975" s="55" t="str">
        <f t="shared" si="103"/>
        <v/>
      </c>
      <c r="E1975" s="14" t="str">
        <f>+IF(B1975="","",'Detalle Compras'!S1975+0)</f>
        <v/>
      </c>
      <c r="F1975" s="14" t="str">
        <f>+IF(B1975="","",EOMONTH('Detalle Compras'!S1975,G1975)+10)</f>
        <v/>
      </c>
      <c r="G1975" s="50">
        <f t="shared" si="104"/>
        <v>0</v>
      </c>
      <c r="H1975" s="50">
        <f t="shared" si="105"/>
        <v>0</v>
      </c>
    </row>
    <row r="1976" spans="1:8" x14ac:dyDescent="0.2">
      <c r="A1976" s="37">
        <v>1974</v>
      </c>
      <c r="C1976" s="17">
        <f>+'Detalle Compras'!D1441</f>
        <v>0</v>
      </c>
      <c r="D1976" s="55" t="str">
        <f t="shared" si="103"/>
        <v/>
      </c>
      <c r="E1976" s="14" t="str">
        <f>+IF(B1976="","",'Detalle Compras'!S1976+0)</f>
        <v/>
      </c>
      <c r="F1976" s="14" t="str">
        <f>+IF(B1976="","",EOMONTH('Detalle Compras'!S1976,G1976)+10)</f>
        <v/>
      </c>
      <c r="G1976" s="50">
        <f t="shared" si="104"/>
        <v>0</v>
      </c>
      <c r="H1976" s="50">
        <f t="shared" si="105"/>
        <v>0</v>
      </c>
    </row>
    <row r="1977" spans="1:8" x14ac:dyDescent="0.2">
      <c r="A1977" s="37">
        <v>1975</v>
      </c>
      <c r="C1977" s="17">
        <f>+'Detalle Compras'!D1442</f>
        <v>0</v>
      </c>
      <c r="D1977" s="55" t="str">
        <f t="shared" si="103"/>
        <v/>
      </c>
      <c r="E1977" s="14" t="str">
        <f>+IF(B1977="","",'Detalle Compras'!S1977+0)</f>
        <v/>
      </c>
      <c r="F1977" s="14" t="str">
        <f>+IF(B1977="","",EOMONTH('Detalle Compras'!S1977,G1977)+10)</f>
        <v/>
      </c>
      <c r="G1977" s="50">
        <f t="shared" si="104"/>
        <v>0</v>
      </c>
      <c r="H1977" s="50">
        <f t="shared" si="105"/>
        <v>0</v>
      </c>
    </row>
    <row r="1978" spans="1:8" x14ac:dyDescent="0.2">
      <c r="A1978" s="37">
        <v>1976</v>
      </c>
      <c r="C1978" s="17">
        <f>+'Detalle Compras'!D1443</f>
        <v>0</v>
      </c>
      <c r="D1978" s="55" t="str">
        <f t="shared" si="103"/>
        <v/>
      </c>
      <c r="E1978" s="14" t="str">
        <f>+IF(B1978="","",'Detalle Compras'!S1978+0)</f>
        <v/>
      </c>
      <c r="F1978" s="14" t="str">
        <f>+IF(B1978="","",EOMONTH('Detalle Compras'!S1978,G1978)+10)</f>
        <v/>
      </c>
      <c r="G1978" s="50">
        <f t="shared" si="104"/>
        <v>0</v>
      </c>
      <c r="H1978" s="50">
        <f t="shared" si="105"/>
        <v>0</v>
      </c>
    </row>
    <row r="1979" spans="1:8" x14ac:dyDescent="0.2">
      <c r="A1979" s="37">
        <v>1977</v>
      </c>
      <c r="C1979" s="17">
        <f>+'Detalle Compras'!D1444</f>
        <v>0</v>
      </c>
      <c r="D1979" s="55" t="str">
        <f t="shared" si="103"/>
        <v/>
      </c>
      <c r="E1979" s="14" t="str">
        <f>+IF(B1979="","",'Detalle Compras'!S1979+0)</f>
        <v/>
      </c>
      <c r="F1979" s="14" t="str">
        <f>+IF(B1979="","",EOMONTH('Detalle Compras'!S1979,G1979)+10)</f>
        <v/>
      </c>
      <c r="G1979" s="50">
        <f t="shared" si="104"/>
        <v>0</v>
      </c>
      <c r="H1979" s="50">
        <f t="shared" si="105"/>
        <v>0</v>
      </c>
    </row>
    <row r="1980" spans="1:8" x14ac:dyDescent="0.2">
      <c r="A1980" s="37">
        <v>1978</v>
      </c>
      <c r="C1980" s="17">
        <f>+'Detalle Compras'!D1445</f>
        <v>0</v>
      </c>
      <c r="D1980" s="55" t="str">
        <f t="shared" si="103"/>
        <v/>
      </c>
      <c r="E1980" s="14" t="str">
        <f>+IF(B1980="","",'Detalle Compras'!S1980+0)</f>
        <v/>
      </c>
      <c r="F1980" s="14" t="str">
        <f>+IF(B1980="","",EOMONTH('Detalle Compras'!S1980,G1980)+10)</f>
        <v/>
      </c>
      <c r="G1980" s="50">
        <f t="shared" si="104"/>
        <v>0</v>
      </c>
      <c r="H1980" s="50">
        <f t="shared" si="105"/>
        <v>0</v>
      </c>
    </row>
    <row r="1981" spans="1:8" x14ac:dyDescent="0.2">
      <c r="A1981" s="37">
        <v>1979</v>
      </c>
      <c r="C1981" s="17">
        <f>+'Detalle Compras'!D1446</f>
        <v>0</v>
      </c>
      <c r="D1981" s="55" t="str">
        <f t="shared" si="103"/>
        <v/>
      </c>
      <c r="E1981" s="14" t="str">
        <f>+IF(B1981="","",'Detalle Compras'!S1981+0)</f>
        <v/>
      </c>
      <c r="F1981" s="14" t="str">
        <f>+IF(B1981="","",EOMONTH('Detalle Compras'!S1981,G1981)+10)</f>
        <v/>
      </c>
      <c r="G1981" s="50">
        <f t="shared" si="104"/>
        <v>0</v>
      </c>
      <c r="H1981" s="50">
        <f t="shared" si="105"/>
        <v>0</v>
      </c>
    </row>
    <row r="1982" spans="1:8" x14ac:dyDescent="0.2">
      <c r="A1982" s="37">
        <v>1980</v>
      </c>
      <c r="C1982" s="17">
        <f>+'Detalle Compras'!D1447</f>
        <v>0</v>
      </c>
      <c r="D1982" s="55" t="str">
        <f t="shared" si="103"/>
        <v/>
      </c>
      <c r="E1982" s="14" t="str">
        <f>+IF(B1982="","",'Detalle Compras'!S1982+0)</f>
        <v/>
      </c>
      <c r="F1982" s="14" t="str">
        <f>+IF(B1982="","",EOMONTH('Detalle Compras'!S1982,G1982)+10)</f>
        <v/>
      </c>
      <c r="G1982" s="50">
        <f t="shared" si="104"/>
        <v>0</v>
      </c>
      <c r="H1982" s="50">
        <f t="shared" si="105"/>
        <v>0</v>
      </c>
    </row>
    <row r="1983" spans="1:8" x14ac:dyDescent="0.2">
      <c r="A1983" s="37">
        <v>1981</v>
      </c>
      <c r="C1983" s="17">
        <f>+'Detalle Compras'!D1448</f>
        <v>0</v>
      </c>
      <c r="D1983" s="55" t="str">
        <f t="shared" si="103"/>
        <v/>
      </c>
      <c r="E1983" s="14" t="str">
        <f>+IF(B1983="","",'Detalle Compras'!S1983+0)</f>
        <v/>
      </c>
      <c r="F1983" s="14" t="str">
        <f>+IF(B1983="","",EOMONTH('Detalle Compras'!S1983,G1983)+10)</f>
        <v/>
      </c>
      <c r="G1983" s="50">
        <f t="shared" si="104"/>
        <v>0</v>
      </c>
      <c r="H1983" s="50">
        <f t="shared" si="105"/>
        <v>0</v>
      </c>
    </row>
    <row r="1984" spans="1:8" x14ac:dyDescent="0.2">
      <c r="A1984" s="37">
        <v>1982</v>
      </c>
      <c r="C1984" s="17">
        <f>+'Detalle Compras'!D1449</f>
        <v>0</v>
      </c>
      <c r="D1984" s="55" t="str">
        <f t="shared" si="103"/>
        <v/>
      </c>
      <c r="E1984" s="14" t="str">
        <f>+IF(B1984="","",'Detalle Compras'!S1984+0)</f>
        <v/>
      </c>
      <c r="F1984" s="14" t="str">
        <f>+IF(B1984="","",EOMONTH('Detalle Compras'!S1984,G1984)+10)</f>
        <v/>
      </c>
      <c r="G1984" s="50">
        <f t="shared" si="104"/>
        <v>0</v>
      </c>
      <c r="H1984" s="50">
        <f t="shared" si="105"/>
        <v>0</v>
      </c>
    </row>
    <row r="1985" spans="1:8" x14ac:dyDescent="0.2">
      <c r="A1985" s="37">
        <v>1983</v>
      </c>
      <c r="C1985" s="17">
        <f>+'Detalle Compras'!D1450</f>
        <v>0</v>
      </c>
      <c r="D1985" s="55" t="str">
        <f t="shared" si="103"/>
        <v/>
      </c>
      <c r="E1985" s="14" t="str">
        <f>+IF(B1985="","",'Detalle Compras'!S1985+0)</f>
        <v/>
      </c>
      <c r="F1985" s="14" t="str">
        <f>+IF(B1985="","",EOMONTH('Detalle Compras'!S1985,G1985)+10)</f>
        <v/>
      </c>
      <c r="G1985" s="50">
        <f t="shared" si="104"/>
        <v>0</v>
      </c>
      <c r="H1985" s="50">
        <f t="shared" si="105"/>
        <v>0</v>
      </c>
    </row>
    <row r="1986" spans="1:8" x14ac:dyDescent="0.2">
      <c r="A1986" s="37">
        <v>1984</v>
      </c>
      <c r="C1986" s="17">
        <f>+'Detalle Compras'!D1451</f>
        <v>0</v>
      </c>
      <c r="D1986" s="55" t="str">
        <f t="shared" si="103"/>
        <v/>
      </c>
      <c r="E1986" s="14" t="str">
        <f>+IF(B1986="","",'Detalle Compras'!S1986+0)</f>
        <v/>
      </c>
      <c r="F1986" s="14" t="str">
        <f>+IF(B1986="","",EOMONTH('Detalle Compras'!S1986,G1986)+10)</f>
        <v/>
      </c>
      <c r="G1986" s="50">
        <f t="shared" si="104"/>
        <v>0</v>
      </c>
      <c r="H1986" s="50">
        <f t="shared" si="105"/>
        <v>0</v>
      </c>
    </row>
    <row r="1987" spans="1:8" x14ac:dyDescent="0.2">
      <c r="A1987" s="37">
        <v>1985</v>
      </c>
      <c r="C1987" s="17">
        <f>+'Detalle Compras'!D1452</f>
        <v>0</v>
      </c>
      <c r="D1987" s="55" t="str">
        <f t="shared" si="103"/>
        <v/>
      </c>
      <c r="E1987" s="14" t="str">
        <f>+IF(B1987="","",'Detalle Compras'!S1987+0)</f>
        <v/>
      </c>
      <c r="F1987" s="14" t="str">
        <f>+IF(B1987="","",EOMONTH('Detalle Compras'!S1987,G1987)+10)</f>
        <v/>
      </c>
      <c r="G1987" s="50">
        <f t="shared" si="104"/>
        <v>0</v>
      </c>
      <c r="H1987" s="50">
        <f t="shared" si="105"/>
        <v>0</v>
      </c>
    </row>
    <row r="1988" spans="1:8" x14ac:dyDescent="0.2">
      <c r="A1988" s="37">
        <v>1986</v>
      </c>
      <c r="C1988" s="17">
        <f>+'Detalle Compras'!D1453</f>
        <v>0</v>
      </c>
      <c r="D1988" s="55" t="str">
        <f t="shared" ref="D1988:D2051" si="106">+IF(B1988="","",EA1988)</f>
        <v/>
      </c>
      <c r="E1988" s="14" t="str">
        <f>+IF(B1988="","",'Detalle Compras'!S1988+0)</f>
        <v/>
      </c>
      <c r="F1988" s="14" t="str">
        <f>+IF(B1988="","",EOMONTH('Detalle Compras'!S1988,G1988)+10)</f>
        <v/>
      </c>
      <c r="G1988" s="50">
        <f t="shared" ref="G1988:G2051" si="107">+COUNTIF(I1988:ADF1988,"&gt;1")</f>
        <v>0</v>
      </c>
      <c r="H1988" s="50">
        <f t="shared" ref="H1988:H2051" si="108">+COUNT(AF1988:ADF1988)</f>
        <v>0</v>
      </c>
    </row>
    <row r="1989" spans="1:8" x14ac:dyDescent="0.2">
      <c r="A1989" s="37">
        <v>1987</v>
      </c>
      <c r="C1989" s="17">
        <f>+'Detalle Compras'!D1454</f>
        <v>0</v>
      </c>
      <c r="D1989" s="55" t="str">
        <f t="shared" si="106"/>
        <v/>
      </c>
      <c r="E1989" s="14" t="str">
        <f>+IF(B1989="","",'Detalle Compras'!S1989+0)</f>
        <v/>
      </c>
      <c r="F1989" s="14" t="str">
        <f>+IF(B1989="","",EOMONTH('Detalle Compras'!S1989,G1989)+10)</f>
        <v/>
      </c>
      <c r="G1989" s="50">
        <f t="shared" si="107"/>
        <v>0</v>
      </c>
      <c r="H1989" s="50">
        <f t="shared" si="108"/>
        <v>0</v>
      </c>
    </row>
    <row r="1990" spans="1:8" x14ac:dyDescent="0.2">
      <c r="A1990" s="37">
        <v>1988</v>
      </c>
      <c r="C1990" s="17">
        <f>+'Detalle Compras'!D1455</f>
        <v>0</v>
      </c>
      <c r="D1990" s="55" t="str">
        <f t="shared" si="106"/>
        <v/>
      </c>
      <c r="E1990" s="14" t="str">
        <f>+IF(B1990="","",'Detalle Compras'!S1990+0)</f>
        <v/>
      </c>
      <c r="F1990" s="14" t="str">
        <f>+IF(B1990="","",EOMONTH('Detalle Compras'!S1990,G1990)+10)</f>
        <v/>
      </c>
      <c r="G1990" s="50">
        <f t="shared" si="107"/>
        <v>0</v>
      </c>
      <c r="H1990" s="50">
        <f t="shared" si="108"/>
        <v>0</v>
      </c>
    </row>
    <row r="1991" spans="1:8" x14ac:dyDescent="0.2">
      <c r="A1991" s="37">
        <v>1989</v>
      </c>
      <c r="C1991" s="17">
        <f>+'Detalle Compras'!D1456</f>
        <v>0</v>
      </c>
      <c r="D1991" s="55" t="str">
        <f t="shared" si="106"/>
        <v/>
      </c>
      <c r="E1991" s="14" t="str">
        <f>+IF(B1991="","",'Detalle Compras'!S1991+0)</f>
        <v/>
      </c>
      <c r="F1991" s="14" t="str">
        <f>+IF(B1991="","",EOMONTH('Detalle Compras'!S1991,G1991)+10)</f>
        <v/>
      </c>
      <c r="G1991" s="50">
        <f t="shared" si="107"/>
        <v>0</v>
      </c>
      <c r="H1991" s="50">
        <f t="shared" si="108"/>
        <v>0</v>
      </c>
    </row>
    <row r="1992" spans="1:8" x14ac:dyDescent="0.2">
      <c r="A1992" s="37">
        <v>1990</v>
      </c>
      <c r="C1992" s="17">
        <f>+'Detalle Compras'!D1457</f>
        <v>0</v>
      </c>
      <c r="D1992" s="55" t="str">
        <f t="shared" si="106"/>
        <v/>
      </c>
      <c r="E1992" s="14" t="str">
        <f>+IF(B1992="","",'Detalle Compras'!S1992+0)</f>
        <v/>
      </c>
      <c r="F1992" s="14" t="str">
        <f>+IF(B1992="","",EOMONTH('Detalle Compras'!S1992,G1992)+10)</f>
        <v/>
      </c>
      <c r="G1992" s="50">
        <f t="shared" si="107"/>
        <v>0</v>
      </c>
      <c r="H1992" s="50">
        <f t="shared" si="108"/>
        <v>0</v>
      </c>
    </row>
    <row r="1993" spans="1:8" x14ac:dyDescent="0.2">
      <c r="A1993" s="37">
        <v>1991</v>
      </c>
      <c r="C1993" s="17">
        <f>+'Detalle Compras'!D1458</f>
        <v>0</v>
      </c>
      <c r="D1993" s="55" t="str">
        <f t="shared" si="106"/>
        <v/>
      </c>
      <c r="E1993" s="14" t="str">
        <f>+IF(B1993="","",'Detalle Compras'!S1993+0)</f>
        <v/>
      </c>
      <c r="F1993" s="14" t="str">
        <f>+IF(B1993="","",EOMONTH('Detalle Compras'!S1993,G1993)+10)</f>
        <v/>
      </c>
      <c r="G1993" s="50">
        <f t="shared" si="107"/>
        <v>0</v>
      </c>
      <c r="H1993" s="50">
        <f t="shared" si="108"/>
        <v>0</v>
      </c>
    </row>
    <row r="1994" spans="1:8" x14ac:dyDescent="0.2">
      <c r="A1994" s="37">
        <v>1992</v>
      </c>
      <c r="C1994" s="17">
        <f>+'Detalle Compras'!D1459</f>
        <v>0</v>
      </c>
      <c r="D1994" s="55" t="str">
        <f t="shared" si="106"/>
        <v/>
      </c>
      <c r="E1994" s="14" t="str">
        <f>+IF(B1994="","",'Detalle Compras'!S1994+0)</f>
        <v/>
      </c>
      <c r="F1994" s="14" t="str">
        <f>+IF(B1994="","",EOMONTH('Detalle Compras'!S1994,G1994)+10)</f>
        <v/>
      </c>
      <c r="G1994" s="50">
        <f t="shared" si="107"/>
        <v>0</v>
      </c>
      <c r="H1994" s="50">
        <f t="shared" si="108"/>
        <v>0</v>
      </c>
    </row>
    <row r="1995" spans="1:8" x14ac:dyDescent="0.2">
      <c r="A1995" s="37">
        <v>1993</v>
      </c>
      <c r="C1995" s="17">
        <f>+'Detalle Compras'!D1460</f>
        <v>0</v>
      </c>
      <c r="D1995" s="55" t="str">
        <f t="shared" si="106"/>
        <v/>
      </c>
      <c r="E1995" s="14" t="str">
        <f>+IF(B1995="","",'Detalle Compras'!S1995+0)</f>
        <v/>
      </c>
      <c r="F1995" s="14" t="str">
        <f>+IF(B1995="","",EOMONTH('Detalle Compras'!S1995,G1995)+10)</f>
        <v/>
      </c>
      <c r="G1995" s="50">
        <f t="shared" si="107"/>
        <v>0</v>
      </c>
      <c r="H1995" s="50">
        <f t="shared" si="108"/>
        <v>0</v>
      </c>
    </row>
    <row r="1996" spans="1:8" x14ac:dyDescent="0.2">
      <c r="A1996" s="37">
        <v>1994</v>
      </c>
      <c r="C1996" s="17">
        <f>+'Detalle Compras'!D1461</f>
        <v>0</v>
      </c>
      <c r="D1996" s="55" t="str">
        <f t="shared" si="106"/>
        <v/>
      </c>
      <c r="E1996" s="14" t="str">
        <f>+IF(B1996="","",'Detalle Compras'!S1996+0)</f>
        <v/>
      </c>
      <c r="F1996" s="14" t="str">
        <f>+IF(B1996="","",EOMONTH('Detalle Compras'!S1996,G1996)+10)</f>
        <v/>
      </c>
      <c r="G1996" s="50">
        <f t="shared" si="107"/>
        <v>0</v>
      </c>
      <c r="H1996" s="50">
        <f t="shared" si="108"/>
        <v>0</v>
      </c>
    </row>
    <row r="1997" spans="1:8" x14ac:dyDescent="0.2">
      <c r="A1997" s="37">
        <v>1995</v>
      </c>
      <c r="C1997" s="17">
        <f>+'Detalle Compras'!D1462</f>
        <v>0</v>
      </c>
      <c r="D1997" s="55" t="str">
        <f t="shared" si="106"/>
        <v/>
      </c>
      <c r="E1997" s="14" t="str">
        <f>+IF(B1997="","",'Detalle Compras'!S1997+0)</f>
        <v/>
      </c>
      <c r="F1997" s="14" t="str">
        <f>+IF(B1997="","",EOMONTH('Detalle Compras'!S1997,G1997)+10)</f>
        <v/>
      </c>
      <c r="G1997" s="50">
        <f t="shared" si="107"/>
        <v>0</v>
      </c>
      <c r="H1997" s="50">
        <f t="shared" si="108"/>
        <v>0</v>
      </c>
    </row>
    <row r="1998" spans="1:8" x14ac:dyDescent="0.2">
      <c r="A1998" s="37">
        <v>1996</v>
      </c>
      <c r="C1998" s="17">
        <f>+'Detalle Compras'!D1463</f>
        <v>0</v>
      </c>
      <c r="D1998" s="55" t="str">
        <f t="shared" si="106"/>
        <v/>
      </c>
      <c r="E1998" s="14" t="str">
        <f>+IF(B1998="","",'Detalle Compras'!S1998+0)</f>
        <v/>
      </c>
      <c r="F1998" s="14" t="str">
        <f>+IF(B1998="","",EOMONTH('Detalle Compras'!S1998,G1998)+10)</f>
        <v/>
      </c>
      <c r="G1998" s="50">
        <f t="shared" si="107"/>
        <v>0</v>
      </c>
      <c r="H1998" s="50">
        <f t="shared" si="108"/>
        <v>0</v>
      </c>
    </row>
    <row r="1999" spans="1:8" x14ac:dyDescent="0.2">
      <c r="A1999" s="37">
        <v>1997</v>
      </c>
      <c r="C1999" s="17">
        <f>+'Detalle Compras'!D1464</f>
        <v>0</v>
      </c>
      <c r="D1999" s="55" t="str">
        <f t="shared" si="106"/>
        <v/>
      </c>
      <c r="E1999" s="14" t="str">
        <f>+IF(B1999="","",'Detalle Compras'!S1999+0)</f>
        <v/>
      </c>
      <c r="F1999" s="14" t="str">
        <f>+IF(B1999="","",EOMONTH('Detalle Compras'!S1999,G1999)+10)</f>
        <v/>
      </c>
      <c r="G1999" s="50">
        <f t="shared" si="107"/>
        <v>0</v>
      </c>
      <c r="H1999" s="50">
        <f t="shared" si="108"/>
        <v>0</v>
      </c>
    </row>
    <row r="2000" spans="1:8" x14ac:dyDescent="0.2">
      <c r="A2000" s="37">
        <v>1998</v>
      </c>
      <c r="C2000" s="17">
        <f>+'Detalle Compras'!D1465</f>
        <v>0</v>
      </c>
      <c r="D2000" s="55" t="str">
        <f t="shared" si="106"/>
        <v/>
      </c>
      <c r="E2000" s="14" t="str">
        <f>+IF(B2000="","",'Detalle Compras'!S2000+0)</f>
        <v/>
      </c>
      <c r="F2000" s="14" t="str">
        <f>+IF(B2000="","",EOMONTH('Detalle Compras'!S2000,G2000)+10)</f>
        <v/>
      </c>
      <c r="G2000" s="50">
        <f t="shared" si="107"/>
        <v>0</v>
      </c>
      <c r="H2000" s="50">
        <f t="shared" si="108"/>
        <v>0</v>
      </c>
    </row>
    <row r="2001" spans="1:8" x14ac:dyDescent="0.2">
      <c r="A2001" s="37">
        <v>1999</v>
      </c>
      <c r="C2001" s="17">
        <f>+'Detalle Compras'!D1466</f>
        <v>0</v>
      </c>
      <c r="D2001" s="55" t="str">
        <f t="shared" si="106"/>
        <v/>
      </c>
      <c r="E2001" s="14" t="str">
        <f>+IF(B2001="","",'Detalle Compras'!S2001+0)</f>
        <v/>
      </c>
      <c r="F2001" s="14" t="str">
        <f>+IF(B2001="","",EOMONTH('Detalle Compras'!S2001,G2001)+10)</f>
        <v/>
      </c>
      <c r="G2001" s="50">
        <f t="shared" si="107"/>
        <v>0</v>
      </c>
      <c r="H2001" s="50">
        <f t="shared" si="108"/>
        <v>0</v>
      </c>
    </row>
    <row r="2002" spans="1:8" x14ac:dyDescent="0.2">
      <c r="A2002" s="37">
        <v>2000</v>
      </c>
      <c r="C2002" s="17">
        <f>+'Detalle Compras'!D1467</f>
        <v>0</v>
      </c>
      <c r="D2002" s="55" t="str">
        <f t="shared" si="106"/>
        <v/>
      </c>
      <c r="E2002" s="14" t="str">
        <f>+IF(B2002="","",'Detalle Compras'!S2002+0)</f>
        <v/>
      </c>
      <c r="F2002" s="14" t="str">
        <f>+IF(B2002="","",EOMONTH('Detalle Compras'!S2002,G2002)+10)</f>
        <v/>
      </c>
      <c r="G2002" s="50">
        <f t="shared" si="107"/>
        <v>0</v>
      </c>
      <c r="H2002" s="50">
        <f t="shared" si="108"/>
        <v>0</v>
      </c>
    </row>
    <row r="2003" spans="1:8" x14ac:dyDescent="0.2">
      <c r="A2003" s="37">
        <v>2001</v>
      </c>
      <c r="C2003" s="17">
        <f>+'Detalle Compras'!D1468</f>
        <v>0</v>
      </c>
      <c r="D2003" s="55" t="str">
        <f t="shared" si="106"/>
        <v/>
      </c>
      <c r="E2003" s="14" t="str">
        <f>+IF(B2003="","",'Detalle Compras'!S2003+0)</f>
        <v/>
      </c>
      <c r="F2003" s="14" t="str">
        <f>+IF(B2003="","",EOMONTH('Detalle Compras'!S2003,G2003)+10)</f>
        <v/>
      </c>
      <c r="G2003" s="50">
        <f t="shared" si="107"/>
        <v>0</v>
      </c>
      <c r="H2003" s="50">
        <f t="shared" si="108"/>
        <v>0</v>
      </c>
    </row>
    <row r="2004" spans="1:8" x14ac:dyDescent="0.2">
      <c r="A2004" s="37">
        <v>2002</v>
      </c>
      <c r="C2004" s="17">
        <f>+'Detalle Compras'!D1469</f>
        <v>0</v>
      </c>
      <c r="D2004" s="55" t="str">
        <f t="shared" si="106"/>
        <v/>
      </c>
      <c r="E2004" s="14" t="str">
        <f>+IF(B2004="","",'Detalle Compras'!S2004+0)</f>
        <v/>
      </c>
      <c r="F2004" s="14" t="str">
        <f>+IF(B2004="","",EOMONTH('Detalle Compras'!S2004,G2004)+10)</f>
        <v/>
      </c>
      <c r="G2004" s="50">
        <f t="shared" si="107"/>
        <v>0</v>
      </c>
      <c r="H2004" s="50">
        <f t="shared" si="108"/>
        <v>0</v>
      </c>
    </row>
    <row r="2005" spans="1:8" x14ac:dyDescent="0.2">
      <c r="A2005" s="37">
        <v>2003</v>
      </c>
      <c r="C2005" s="17">
        <f>+'Detalle Compras'!D1470</f>
        <v>0</v>
      </c>
      <c r="D2005" s="55" t="str">
        <f t="shared" si="106"/>
        <v/>
      </c>
      <c r="E2005" s="14" t="str">
        <f>+IF(B2005="","",'Detalle Compras'!S2005+0)</f>
        <v/>
      </c>
      <c r="F2005" s="14" t="str">
        <f>+IF(B2005="","",EOMONTH('Detalle Compras'!S2005,G2005)+10)</f>
        <v/>
      </c>
      <c r="G2005" s="50">
        <f t="shared" si="107"/>
        <v>0</v>
      </c>
      <c r="H2005" s="50">
        <f t="shared" si="108"/>
        <v>0</v>
      </c>
    </row>
    <row r="2006" spans="1:8" x14ac:dyDescent="0.2">
      <c r="A2006" s="37">
        <v>2004</v>
      </c>
      <c r="C2006" s="17">
        <f>+'Detalle Compras'!D1471</f>
        <v>0</v>
      </c>
      <c r="D2006" s="55" t="str">
        <f t="shared" si="106"/>
        <v/>
      </c>
      <c r="E2006" s="14" t="str">
        <f>+IF(B2006="","",'Detalle Compras'!S2006+0)</f>
        <v/>
      </c>
      <c r="F2006" s="14" t="str">
        <f>+IF(B2006="","",EOMONTH('Detalle Compras'!S2006,G2006)+10)</f>
        <v/>
      </c>
      <c r="G2006" s="50">
        <f t="shared" si="107"/>
        <v>0</v>
      </c>
      <c r="H2006" s="50">
        <f t="shared" si="108"/>
        <v>0</v>
      </c>
    </row>
    <row r="2007" spans="1:8" x14ac:dyDescent="0.2">
      <c r="A2007" s="37">
        <v>2005</v>
      </c>
      <c r="C2007" s="17">
        <f>+'Detalle Compras'!D1472</f>
        <v>0</v>
      </c>
      <c r="D2007" s="55" t="str">
        <f t="shared" si="106"/>
        <v/>
      </c>
      <c r="E2007" s="14" t="str">
        <f>+IF(B2007="","",'Detalle Compras'!S2007+0)</f>
        <v/>
      </c>
      <c r="F2007" s="14" t="str">
        <f>+IF(B2007="","",EOMONTH('Detalle Compras'!S2007,G2007)+10)</f>
        <v/>
      </c>
      <c r="G2007" s="50">
        <f t="shared" si="107"/>
        <v>0</v>
      </c>
      <c r="H2007" s="50">
        <f t="shared" si="108"/>
        <v>0</v>
      </c>
    </row>
    <row r="2008" spans="1:8" x14ac:dyDescent="0.2">
      <c r="A2008" s="37">
        <v>2006</v>
      </c>
      <c r="C2008" s="17">
        <f>+'Detalle Compras'!D1473</f>
        <v>0</v>
      </c>
      <c r="D2008" s="55" t="str">
        <f t="shared" si="106"/>
        <v/>
      </c>
      <c r="E2008" s="14" t="str">
        <f>+IF(B2008="","",'Detalle Compras'!S2008+0)</f>
        <v/>
      </c>
      <c r="F2008" s="14" t="str">
        <f>+IF(B2008="","",EOMONTH('Detalle Compras'!S2008,G2008)+10)</f>
        <v/>
      </c>
      <c r="G2008" s="50">
        <f t="shared" si="107"/>
        <v>0</v>
      </c>
      <c r="H2008" s="50">
        <f t="shared" si="108"/>
        <v>0</v>
      </c>
    </row>
    <row r="2009" spans="1:8" x14ac:dyDescent="0.2">
      <c r="A2009" s="37">
        <v>2007</v>
      </c>
      <c r="C2009" s="17">
        <f>+'Detalle Compras'!D1474</f>
        <v>0</v>
      </c>
      <c r="D2009" s="55" t="str">
        <f t="shared" si="106"/>
        <v/>
      </c>
      <c r="E2009" s="14" t="str">
        <f>+IF(B2009="","",'Detalle Compras'!S2009+0)</f>
        <v/>
      </c>
      <c r="F2009" s="14" t="str">
        <f>+IF(B2009="","",EOMONTH('Detalle Compras'!S2009,G2009)+10)</f>
        <v/>
      </c>
      <c r="G2009" s="50">
        <f t="shared" si="107"/>
        <v>0</v>
      </c>
      <c r="H2009" s="50">
        <f t="shared" si="108"/>
        <v>0</v>
      </c>
    </row>
    <row r="2010" spans="1:8" x14ac:dyDescent="0.2">
      <c r="A2010" s="37">
        <v>2008</v>
      </c>
      <c r="C2010" s="17">
        <f>+'Detalle Compras'!D1475</f>
        <v>0</v>
      </c>
      <c r="D2010" s="55" t="str">
        <f t="shared" si="106"/>
        <v/>
      </c>
      <c r="E2010" s="14" t="str">
        <f>+IF(B2010="","",'Detalle Compras'!S2010+0)</f>
        <v/>
      </c>
      <c r="F2010" s="14" t="str">
        <f>+IF(B2010="","",EOMONTH('Detalle Compras'!S2010,G2010)+10)</f>
        <v/>
      </c>
      <c r="G2010" s="50">
        <f t="shared" si="107"/>
        <v>0</v>
      </c>
      <c r="H2010" s="50">
        <f t="shared" si="108"/>
        <v>0</v>
      </c>
    </row>
    <row r="2011" spans="1:8" x14ac:dyDescent="0.2">
      <c r="A2011" s="37">
        <v>2009</v>
      </c>
      <c r="C2011" s="17">
        <f>+'Detalle Compras'!D1476</f>
        <v>0</v>
      </c>
      <c r="D2011" s="55" t="str">
        <f t="shared" si="106"/>
        <v/>
      </c>
      <c r="E2011" s="14" t="str">
        <f>+IF(B2011="","",'Detalle Compras'!S2011+0)</f>
        <v/>
      </c>
      <c r="F2011" s="14" t="str">
        <f>+IF(B2011="","",EOMONTH('Detalle Compras'!S2011,G2011)+10)</f>
        <v/>
      </c>
      <c r="G2011" s="50">
        <f t="shared" si="107"/>
        <v>0</v>
      </c>
      <c r="H2011" s="50">
        <f t="shared" si="108"/>
        <v>0</v>
      </c>
    </row>
    <row r="2012" spans="1:8" x14ac:dyDescent="0.2">
      <c r="A2012" s="37">
        <v>2010</v>
      </c>
      <c r="C2012" s="17">
        <f>+'Detalle Compras'!D1477</f>
        <v>0</v>
      </c>
      <c r="D2012" s="55" t="str">
        <f t="shared" si="106"/>
        <v/>
      </c>
      <c r="E2012" s="14" t="str">
        <f>+IF(B2012="","",'Detalle Compras'!S2012+0)</f>
        <v/>
      </c>
      <c r="F2012" s="14" t="str">
        <f>+IF(B2012="","",EOMONTH('Detalle Compras'!S2012,G2012)+10)</f>
        <v/>
      </c>
      <c r="G2012" s="50">
        <f t="shared" si="107"/>
        <v>0</v>
      </c>
      <c r="H2012" s="50">
        <f t="shared" si="108"/>
        <v>0</v>
      </c>
    </row>
    <row r="2013" spans="1:8" x14ac:dyDescent="0.2">
      <c r="A2013" s="37">
        <v>2011</v>
      </c>
      <c r="C2013" s="17">
        <f>+'Detalle Compras'!D1478</f>
        <v>0</v>
      </c>
      <c r="D2013" s="55" t="str">
        <f t="shared" si="106"/>
        <v/>
      </c>
      <c r="E2013" s="14" t="str">
        <f>+IF(B2013="","",'Detalle Compras'!S2013+0)</f>
        <v/>
      </c>
      <c r="F2013" s="14" t="str">
        <f>+IF(B2013="","",EOMONTH('Detalle Compras'!S2013,G2013)+10)</f>
        <v/>
      </c>
      <c r="G2013" s="50">
        <f t="shared" si="107"/>
        <v>0</v>
      </c>
      <c r="H2013" s="50">
        <f t="shared" si="108"/>
        <v>0</v>
      </c>
    </row>
    <row r="2014" spans="1:8" x14ac:dyDescent="0.2">
      <c r="A2014" s="37">
        <v>2012</v>
      </c>
      <c r="C2014" s="17">
        <f>+'Detalle Compras'!D1479</f>
        <v>0</v>
      </c>
      <c r="D2014" s="55" t="str">
        <f t="shared" si="106"/>
        <v/>
      </c>
      <c r="E2014" s="14" t="str">
        <f>+IF(B2014="","",'Detalle Compras'!S2014+0)</f>
        <v/>
      </c>
      <c r="F2014" s="14" t="str">
        <f>+IF(B2014="","",EOMONTH('Detalle Compras'!S2014,G2014)+10)</f>
        <v/>
      </c>
      <c r="G2014" s="50">
        <f t="shared" si="107"/>
        <v>0</v>
      </c>
      <c r="H2014" s="50">
        <f t="shared" si="108"/>
        <v>0</v>
      </c>
    </row>
    <row r="2015" spans="1:8" x14ac:dyDescent="0.2">
      <c r="A2015" s="37">
        <v>2013</v>
      </c>
      <c r="C2015" s="17">
        <f>+'Detalle Compras'!D1480</f>
        <v>0</v>
      </c>
      <c r="D2015" s="55" t="str">
        <f t="shared" si="106"/>
        <v/>
      </c>
      <c r="E2015" s="14" t="str">
        <f>+IF(B2015="","",'Detalle Compras'!S2015+0)</f>
        <v/>
      </c>
      <c r="F2015" s="14" t="str">
        <f>+IF(B2015="","",EOMONTH('Detalle Compras'!S2015,G2015)+10)</f>
        <v/>
      </c>
      <c r="G2015" s="50">
        <f t="shared" si="107"/>
        <v>0</v>
      </c>
      <c r="H2015" s="50">
        <f t="shared" si="108"/>
        <v>0</v>
      </c>
    </row>
    <row r="2016" spans="1:8" x14ac:dyDescent="0.2">
      <c r="A2016" s="37">
        <v>2014</v>
      </c>
      <c r="C2016" s="17">
        <f>+'Detalle Compras'!D1481</f>
        <v>0</v>
      </c>
      <c r="D2016" s="55" t="str">
        <f t="shared" si="106"/>
        <v/>
      </c>
      <c r="E2016" s="14" t="str">
        <f>+IF(B2016="","",'Detalle Compras'!S2016+0)</f>
        <v/>
      </c>
      <c r="F2016" s="14" t="str">
        <f>+IF(B2016="","",EOMONTH('Detalle Compras'!S2016,G2016)+10)</f>
        <v/>
      </c>
      <c r="G2016" s="50">
        <f t="shared" si="107"/>
        <v>0</v>
      </c>
      <c r="H2016" s="50">
        <f t="shared" si="108"/>
        <v>0</v>
      </c>
    </row>
    <row r="2017" spans="1:8" x14ac:dyDescent="0.2">
      <c r="A2017" s="37">
        <v>2015</v>
      </c>
      <c r="C2017" s="17">
        <f>+'Detalle Compras'!D1482</f>
        <v>0</v>
      </c>
      <c r="D2017" s="55" t="str">
        <f t="shared" si="106"/>
        <v/>
      </c>
      <c r="E2017" s="14" t="str">
        <f>+IF(B2017="","",'Detalle Compras'!S2017+0)</f>
        <v/>
      </c>
      <c r="F2017" s="14" t="str">
        <f>+IF(B2017="","",EOMONTH('Detalle Compras'!S2017,G2017)+10)</f>
        <v/>
      </c>
      <c r="G2017" s="50">
        <f t="shared" si="107"/>
        <v>0</v>
      </c>
      <c r="H2017" s="50">
        <f t="shared" si="108"/>
        <v>0</v>
      </c>
    </row>
    <row r="2018" spans="1:8" x14ac:dyDescent="0.2">
      <c r="A2018" s="37">
        <v>2016</v>
      </c>
      <c r="C2018" s="17">
        <f>+'Detalle Compras'!D1483</f>
        <v>0</v>
      </c>
      <c r="D2018" s="55" t="str">
        <f t="shared" si="106"/>
        <v/>
      </c>
      <c r="E2018" s="14" t="str">
        <f>+IF(B2018="","",'Detalle Compras'!S2018+0)</f>
        <v/>
      </c>
      <c r="F2018" s="14" t="str">
        <f>+IF(B2018="","",EOMONTH('Detalle Compras'!S2018,G2018)+10)</f>
        <v/>
      </c>
      <c r="G2018" s="50">
        <f t="shared" si="107"/>
        <v>0</v>
      </c>
      <c r="H2018" s="50">
        <f t="shared" si="108"/>
        <v>0</v>
      </c>
    </row>
    <row r="2019" spans="1:8" x14ac:dyDescent="0.2">
      <c r="A2019" s="37">
        <v>2017</v>
      </c>
      <c r="C2019" s="17">
        <f>+'Detalle Compras'!D1484</f>
        <v>0</v>
      </c>
      <c r="D2019" s="55" t="str">
        <f t="shared" si="106"/>
        <v/>
      </c>
      <c r="E2019" s="14" t="str">
        <f>+IF(B2019="","",'Detalle Compras'!S2019+0)</f>
        <v/>
      </c>
      <c r="F2019" s="14" t="str">
        <f>+IF(B2019="","",EOMONTH('Detalle Compras'!S2019,G2019)+10)</f>
        <v/>
      </c>
      <c r="G2019" s="50">
        <f t="shared" si="107"/>
        <v>0</v>
      </c>
      <c r="H2019" s="50">
        <f t="shared" si="108"/>
        <v>0</v>
      </c>
    </row>
    <row r="2020" spans="1:8" x14ac:dyDescent="0.2">
      <c r="A2020" s="37">
        <v>2018</v>
      </c>
      <c r="C2020" s="17">
        <f>+'Detalle Compras'!D1485</f>
        <v>0</v>
      </c>
      <c r="D2020" s="55" t="str">
        <f t="shared" si="106"/>
        <v/>
      </c>
      <c r="E2020" s="14" t="str">
        <f>+IF(B2020="","",'Detalle Compras'!S2020+0)</f>
        <v/>
      </c>
      <c r="F2020" s="14" t="str">
        <f>+IF(B2020="","",EOMONTH('Detalle Compras'!S2020,G2020)+10)</f>
        <v/>
      </c>
      <c r="G2020" s="50">
        <f t="shared" si="107"/>
        <v>0</v>
      </c>
      <c r="H2020" s="50">
        <f t="shared" si="108"/>
        <v>0</v>
      </c>
    </row>
    <row r="2021" spans="1:8" x14ac:dyDescent="0.2">
      <c r="A2021" s="37">
        <v>2019</v>
      </c>
      <c r="C2021" s="17">
        <f>+'Detalle Compras'!D1486</f>
        <v>0</v>
      </c>
      <c r="D2021" s="55" t="str">
        <f t="shared" si="106"/>
        <v/>
      </c>
      <c r="E2021" s="14" t="str">
        <f>+IF(B2021="","",'Detalle Compras'!S2021+0)</f>
        <v/>
      </c>
      <c r="F2021" s="14" t="str">
        <f>+IF(B2021="","",EOMONTH('Detalle Compras'!S2021,G2021)+10)</f>
        <v/>
      </c>
      <c r="G2021" s="50">
        <f t="shared" si="107"/>
        <v>0</v>
      </c>
      <c r="H2021" s="50">
        <f t="shared" si="108"/>
        <v>0</v>
      </c>
    </row>
    <row r="2022" spans="1:8" x14ac:dyDescent="0.2">
      <c r="A2022" s="37">
        <v>2020</v>
      </c>
      <c r="C2022" s="17">
        <f>+'Detalle Compras'!D1487</f>
        <v>0</v>
      </c>
      <c r="D2022" s="55" t="str">
        <f t="shared" si="106"/>
        <v/>
      </c>
      <c r="E2022" s="14" t="str">
        <f>+IF(B2022="","",'Detalle Compras'!S2022+0)</f>
        <v/>
      </c>
      <c r="F2022" s="14" t="str">
        <f>+IF(B2022="","",EOMONTH('Detalle Compras'!S2022,G2022)+10)</f>
        <v/>
      </c>
      <c r="G2022" s="50">
        <f t="shared" si="107"/>
        <v>0</v>
      </c>
      <c r="H2022" s="50">
        <f t="shared" si="108"/>
        <v>0</v>
      </c>
    </row>
    <row r="2023" spans="1:8" x14ac:dyDescent="0.2">
      <c r="A2023" s="37">
        <v>2021</v>
      </c>
      <c r="C2023" s="17">
        <f>+'Detalle Compras'!D1488</f>
        <v>0</v>
      </c>
      <c r="D2023" s="55" t="str">
        <f t="shared" si="106"/>
        <v/>
      </c>
      <c r="E2023" s="14" t="str">
        <f>+IF(B2023="","",'Detalle Compras'!S2023+0)</f>
        <v/>
      </c>
      <c r="F2023" s="14" t="str">
        <f>+IF(B2023="","",EOMONTH('Detalle Compras'!S2023,G2023)+10)</f>
        <v/>
      </c>
      <c r="G2023" s="50">
        <f t="shared" si="107"/>
        <v>0</v>
      </c>
      <c r="H2023" s="50">
        <f t="shared" si="108"/>
        <v>0</v>
      </c>
    </row>
    <row r="2024" spans="1:8" x14ac:dyDescent="0.2">
      <c r="A2024" s="37">
        <v>2022</v>
      </c>
      <c r="C2024" s="17">
        <f>+'Detalle Compras'!D1489</f>
        <v>0</v>
      </c>
      <c r="D2024" s="55" t="str">
        <f t="shared" si="106"/>
        <v/>
      </c>
      <c r="E2024" s="14" t="str">
        <f>+IF(B2024="","",'Detalle Compras'!S2024+0)</f>
        <v/>
      </c>
      <c r="F2024" s="14" t="str">
        <f>+IF(B2024="","",EOMONTH('Detalle Compras'!S2024,G2024)+10)</f>
        <v/>
      </c>
      <c r="G2024" s="50">
        <f t="shared" si="107"/>
        <v>0</v>
      </c>
      <c r="H2024" s="50">
        <f t="shared" si="108"/>
        <v>0</v>
      </c>
    </row>
    <row r="2025" spans="1:8" x14ac:dyDescent="0.2">
      <c r="A2025" s="37">
        <v>2023</v>
      </c>
      <c r="C2025" s="17">
        <f>+'Detalle Compras'!D1490</f>
        <v>0</v>
      </c>
      <c r="D2025" s="55" t="str">
        <f t="shared" si="106"/>
        <v/>
      </c>
      <c r="E2025" s="14" t="str">
        <f>+IF(B2025="","",'Detalle Compras'!S2025+0)</f>
        <v/>
      </c>
      <c r="F2025" s="14" t="str">
        <f>+IF(B2025="","",EOMONTH('Detalle Compras'!S2025,G2025)+10)</f>
        <v/>
      </c>
      <c r="G2025" s="50">
        <f t="shared" si="107"/>
        <v>0</v>
      </c>
      <c r="H2025" s="50">
        <f t="shared" si="108"/>
        <v>0</v>
      </c>
    </row>
    <row r="2026" spans="1:8" x14ac:dyDescent="0.2">
      <c r="A2026" s="37">
        <v>2024</v>
      </c>
      <c r="C2026" s="17">
        <f>+'Detalle Compras'!D1491</f>
        <v>0</v>
      </c>
      <c r="D2026" s="55" t="str">
        <f t="shared" si="106"/>
        <v/>
      </c>
      <c r="E2026" s="14" t="str">
        <f>+IF(B2026="","",'Detalle Compras'!S2026+0)</f>
        <v/>
      </c>
      <c r="F2026" s="14" t="str">
        <f>+IF(B2026="","",EOMONTH('Detalle Compras'!S2026,G2026)+10)</f>
        <v/>
      </c>
      <c r="G2026" s="50">
        <f t="shared" si="107"/>
        <v>0</v>
      </c>
      <c r="H2026" s="50">
        <f t="shared" si="108"/>
        <v>0</v>
      </c>
    </row>
    <row r="2027" spans="1:8" x14ac:dyDescent="0.2">
      <c r="A2027" s="37">
        <v>2025</v>
      </c>
      <c r="C2027" s="17">
        <f>+'Detalle Compras'!D1492</f>
        <v>0</v>
      </c>
      <c r="D2027" s="55" t="str">
        <f t="shared" si="106"/>
        <v/>
      </c>
      <c r="E2027" s="14" t="str">
        <f>+IF(B2027="","",'Detalle Compras'!S2027+0)</f>
        <v/>
      </c>
      <c r="F2027" s="14" t="str">
        <f>+IF(B2027="","",EOMONTH('Detalle Compras'!S2027,G2027)+10)</f>
        <v/>
      </c>
      <c r="G2027" s="50">
        <f t="shared" si="107"/>
        <v>0</v>
      </c>
      <c r="H2027" s="50">
        <f t="shared" si="108"/>
        <v>0</v>
      </c>
    </row>
    <row r="2028" spans="1:8" x14ac:dyDescent="0.2">
      <c r="A2028" s="37">
        <v>2026</v>
      </c>
      <c r="C2028" s="17">
        <f>+'Detalle Compras'!D1493</f>
        <v>0</v>
      </c>
      <c r="D2028" s="55" t="str">
        <f t="shared" si="106"/>
        <v/>
      </c>
      <c r="E2028" s="14" t="str">
        <f>+IF(B2028="","",'Detalle Compras'!S2028+0)</f>
        <v/>
      </c>
      <c r="F2028" s="14" t="str">
        <f>+IF(B2028="","",EOMONTH('Detalle Compras'!S2028,G2028)+10)</f>
        <v/>
      </c>
      <c r="G2028" s="50">
        <f t="shared" si="107"/>
        <v>0</v>
      </c>
      <c r="H2028" s="50">
        <f t="shared" si="108"/>
        <v>0</v>
      </c>
    </row>
    <row r="2029" spans="1:8" x14ac:dyDescent="0.2">
      <c r="A2029" s="37">
        <v>2027</v>
      </c>
      <c r="C2029" s="17">
        <f>+'Detalle Compras'!D1494</f>
        <v>0</v>
      </c>
      <c r="D2029" s="55" t="str">
        <f t="shared" si="106"/>
        <v/>
      </c>
      <c r="E2029" s="14" t="str">
        <f>+IF(B2029="","",'Detalle Compras'!S2029+0)</f>
        <v/>
      </c>
      <c r="F2029" s="14" t="str">
        <f>+IF(B2029="","",EOMONTH('Detalle Compras'!S2029,G2029)+10)</f>
        <v/>
      </c>
      <c r="G2029" s="50">
        <f t="shared" si="107"/>
        <v>0</v>
      </c>
      <c r="H2029" s="50">
        <f t="shared" si="108"/>
        <v>0</v>
      </c>
    </row>
    <row r="2030" spans="1:8" x14ac:dyDescent="0.2">
      <c r="A2030" s="37">
        <v>2028</v>
      </c>
      <c r="C2030" s="17">
        <f>+'Detalle Compras'!D1495</f>
        <v>0</v>
      </c>
      <c r="D2030" s="55" t="str">
        <f t="shared" si="106"/>
        <v/>
      </c>
      <c r="E2030" s="14" t="str">
        <f>+IF(B2030="","",'Detalle Compras'!S2030+0)</f>
        <v/>
      </c>
      <c r="F2030" s="14" t="str">
        <f>+IF(B2030="","",EOMONTH('Detalle Compras'!S2030,G2030)+10)</f>
        <v/>
      </c>
      <c r="G2030" s="50">
        <f t="shared" si="107"/>
        <v>0</v>
      </c>
      <c r="H2030" s="50">
        <f t="shared" si="108"/>
        <v>0</v>
      </c>
    </row>
    <row r="2031" spans="1:8" x14ac:dyDescent="0.2">
      <c r="A2031" s="37">
        <v>2029</v>
      </c>
      <c r="C2031" s="17">
        <f>+'Detalle Compras'!D1496</f>
        <v>0</v>
      </c>
      <c r="D2031" s="55" t="str">
        <f t="shared" si="106"/>
        <v/>
      </c>
      <c r="E2031" s="14" t="str">
        <f>+IF(B2031="","",'Detalle Compras'!S2031+0)</f>
        <v/>
      </c>
      <c r="F2031" s="14" t="str">
        <f>+IF(B2031="","",EOMONTH('Detalle Compras'!S2031,G2031)+10)</f>
        <v/>
      </c>
      <c r="G2031" s="50">
        <f t="shared" si="107"/>
        <v>0</v>
      </c>
      <c r="H2031" s="50">
        <f t="shared" si="108"/>
        <v>0</v>
      </c>
    </row>
    <row r="2032" spans="1:8" x14ac:dyDescent="0.2">
      <c r="A2032" s="37">
        <v>2030</v>
      </c>
      <c r="C2032" s="17">
        <f>+'Detalle Compras'!D1497</f>
        <v>0</v>
      </c>
      <c r="D2032" s="55" t="str">
        <f t="shared" si="106"/>
        <v/>
      </c>
      <c r="E2032" s="14" t="str">
        <f>+IF(B2032="","",'Detalle Compras'!S2032+0)</f>
        <v/>
      </c>
      <c r="F2032" s="14" t="str">
        <f>+IF(B2032="","",EOMONTH('Detalle Compras'!S2032,G2032)+10)</f>
        <v/>
      </c>
      <c r="G2032" s="50">
        <f t="shared" si="107"/>
        <v>0</v>
      </c>
      <c r="H2032" s="50">
        <f t="shared" si="108"/>
        <v>0</v>
      </c>
    </row>
    <row r="2033" spans="1:8" x14ac:dyDescent="0.2">
      <c r="A2033" s="37">
        <v>2031</v>
      </c>
      <c r="C2033" s="17">
        <f>+'Detalle Compras'!D1498</f>
        <v>0</v>
      </c>
      <c r="D2033" s="55" t="str">
        <f t="shared" si="106"/>
        <v/>
      </c>
      <c r="E2033" s="14" t="str">
        <f>+IF(B2033="","",'Detalle Compras'!S2033+0)</f>
        <v/>
      </c>
      <c r="F2033" s="14" t="str">
        <f>+IF(B2033="","",EOMONTH('Detalle Compras'!S2033,G2033)+10)</f>
        <v/>
      </c>
      <c r="G2033" s="50">
        <f t="shared" si="107"/>
        <v>0</v>
      </c>
      <c r="H2033" s="50">
        <f t="shared" si="108"/>
        <v>0</v>
      </c>
    </row>
    <row r="2034" spans="1:8" x14ac:dyDescent="0.2">
      <c r="A2034" s="37">
        <v>2032</v>
      </c>
      <c r="C2034" s="17">
        <f>+'Detalle Compras'!D1499</f>
        <v>0</v>
      </c>
      <c r="D2034" s="55" t="str">
        <f t="shared" si="106"/>
        <v/>
      </c>
      <c r="E2034" s="14" t="str">
        <f>+IF(B2034="","",'Detalle Compras'!S2034+0)</f>
        <v/>
      </c>
      <c r="F2034" s="14" t="str">
        <f>+IF(B2034="","",EOMONTH('Detalle Compras'!S2034,G2034)+10)</f>
        <v/>
      </c>
      <c r="G2034" s="50">
        <f t="shared" si="107"/>
        <v>0</v>
      </c>
      <c r="H2034" s="50">
        <f t="shared" si="108"/>
        <v>0</v>
      </c>
    </row>
    <row r="2035" spans="1:8" x14ac:dyDescent="0.2">
      <c r="A2035" s="37">
        <v>2033</v>
      </c>
      <c r="C2035" s="17">
        <f>+'Detalle Compras'!D1500</f>
        <v>0</v>
      </c>
      <c r="D2035" s="55" t="str">
        <f t="shared" si="106"/>
        <v/>
      </c>
      <c r="E2035" s="14" t="str">
        <f>+IF(B2035="","",'Detalle Compras'!S2035+0)</f>
        <v/>
      </c>
      <c r="F2035" s="14" t="str">
        <f>+IF(B2035="","",EOMONTH('Detalle Compras'!S2035,G2035)+10)</f>
        <v/>
      </c>
      <c r="G2035" s="50">
        <f t="shared" si="107"/>
        <v>0</v>
      </c>
      <c r="H2035" s="50">
        <f t="shared" si="108"/>
        <v>0</v>
      </c>
    </row>
    <row r="2036" spans="1:8" x14ac:dyDescent="0.2">
      <c r="A2036" s="37">
        <v>2034</v>
      </c>
      <c r="C2036" s="17">
        <f>+'Detalle Compras'!D1501</f>
        <v>0</v>
      </c>
      <c r="D2036" s="55" t="str">
        <f t="shared" si="106"/>
        <v/>
      </c>
      <c r="E2036" s="14" t="str">
        <f>+IF(B2036="","",'Detalle Compras'!S2036+0)</f>
        <v/>
      </c>
      <c r="F2036" s="14" t="str">
        <f>+IF(B2036="","",EOMONTH('Detalle Compras'!S2036,G2036)+10)</f>
        <v/>
      </c>
      <c r="G2036" s="50">
        <f t="shared" si="107"/>
        <v>0</v>
      </c>
      <c r="H2036" s="50">
        <f t="shared" si="108"/>
        <v>0</v>
      </c>
    </row>
    <row r="2037" spans="1:8" x14ac:dyDescent="0.2">
      <c r="A2037" s="37">
        <v>2035</v>
      </c>
      <c r="C2037" s="17">
        <f>+'Detalle Compras'!D1502</f>
        <v>0</v>
      </c>
      <c r="D2037" s="55" t="str">
        <f t="shared" si="106"/>
        <v/>
      </c>
      <c r="E2037" s="14" t="str">
        <f>+IF(B2037="","",'Detalle Compras'!S2037+0)</f>
        <v/>
      </c>
      <c r="F2037" s="14" t="str">
        <f>+IF(B2037="","",EOMONTH('Detalle Compras'!S2037,G2037)+10)</f>
        <v/>
      </c>
      <c r="G2037" s="50">
        <f t="shared" si="107"/>
        <v>0</v>
      </c>
      <c r="H2037" s="50">
        <f t="shared" si="108"/>
        <v>0</v>
      </c>
    </row>
    <row r="2038" spans="1:8" x14ac:dyDescent="0.2">
      <c r="A2038" s="37">
        <v>2036</v>
      </c>
      <c r="C2038" s="17">
        <f>+'Detalle Compras'!D1503</f>
        <v>0</v>
      </c>
      <c r="D2038" s="55" t="str">
        <f t="shared" si="106"/>
        <v/>
      </c>
      <c r="E2038" s="14" t="str">
        <f>+IF(B2038="","",'Detalle Compras'!S2038+0)</f>
        <v/>
      </c>
      <c r="F2038" s="14" t="str">
        <f>+IF(B2038="","",EOMONTH('Detalle Compras'!S2038,G2038)+10)</f>
        <v/>
      </c>
      <c r="G2038" s="50">
        <f t="shared" si="107"/>
        <v>0</v>
      </c>
      <c r="H2038" s="50">
        <f t="shared" si="108"/>
        <v>0</v>
      </c>
    </row>
    <row r="2039" spans="1:8" x14ac:dyDescent="0.2">
      <c r="A2039" s="37">
        <v>2037</v>
      </c>
      <c r="C2039" s="17">
        <f>+'Detalle Compras'!D1504</f>
        <v>0</v>
      </c>
      <c r="D2039" s="55" t="str">
        <f t="shared" si="106"/>
        <v/>
      </c>
      <c r="E2039" s="14" t="str">
        <f>+IF(B2039="","",'Detalle Compras'!S2039+0)</f>
        <v/>
      </c>
      <c r="F2039" s="14" t="str">
        <f>+IF(B2039="","",EOMONTH('Detalle Compras'!S2039,G2039)+10)</f>
        <v/>
      </c>
      <c r="G2039" s="50">
        <f t="shared" si="107"/>
        <v>0</v>
      </c>
      <c r="H2039" s="50">
        <f t="shared" si="108"/>
        <v>0</v>
      </c>
    </row>
    <row r="2040" spans="1:8" x14ac:dyDescent="0.2">
      <c r="A2040" s="37">
        <v>2038</v>
      </c>
      <c r="C2040" s="17">
        <f>+'Detalle Compras'!D1505</f>
        <v>0</v>
      </c>
      <c r="D2040" s="55" t="str">
        <f t="shared" si="106"/>
        <v/>
      </c>
      <c r="E2040" s="14" t="str">
        <f>+IF(B2040="","",'Detalle Compras'!S2040+0)</f>
        <v/>
      </c>
      <c r="F2040" s="14" t="str">
        <f>+IF(B2040="","",EOMONTH('Detalle Compras'!S2040,G2040)+10)</f>
        <v/>
      </c>
      <c r="G2040" s="50">
        <f t="shared" si="107"/>
        <v>0</v>
      </c>
      <c r="H2040" s="50">
        <f t="shared" si="108"/>
        <v>0</v>
      </c>
    </row>
    <row r="2041" spans="1:8" x14ac:dyDescent="0.2">
      <c r="A2041" s="37">
        <v>2039</v>
      </c>
      <c r="C2041" s="17">
        <f>+'Detalle Compras'!D1506</f>
        <v>0</v>
      </c>
      <c r="D2041" s="55" t="str">
        <f t="shared" si="106"/>
        <v/>
      </c>
      <c r="E2041" s="14" t="str">
        <f>+IF(B2041="","",'Detalle Compras'!S2041+0)</f>
        <v/>
      </c>
      <c r="F2041" s="14" t="str">
        <f>+IF(B2041="","",EOMONTH('Detalle Compras'!S2041,G2041)+10)</f>
        <v/>
      </c>
      <c r="G2041" s="50">
        <f t="shared" si="107"/>
        <v>0</v>
      </c>
      <c r="H2041" s="50">
        <f t="shared" si="108"/>
        <v>0</v>
      </c>
    </row>
    <row r="2042" spans="1:8" x14ac:dyDescent="0.2">
      <c r="A2042" s="37">
        <v>2040</v>
      </c>
      <c r="C2042" s="17">
        <f>+'Detalle Compras'!D1507</f>
        <v>0</v>
      </c>
      <c r="D2042" s="55" t="str">
        <f t="shared" si="106"/>
        <v/>
      </c>
      <c r="E2042" s="14" t="str">
        <f>+IF(B2042="","",'Detalle Compras'!S2042+0)</f>
        <v/>
      </c>
      <c r="F2042" s="14" t="str">
        <f>+IF(B2042="","",EOMONTH('Detalle Compras'!S2042,G2042)+10)</f>
        <v/>
      </c>
      <c r="G2042" s="50">
        <f t="shared" si="107"/>
        <v>0</v>
      </c>
      <c r="H2042" s="50">
        <f t="shared" si="108"/>
        <v>0</v>
      </c>
    </row>
    <row r="2043" spans="1:8" x14ac:dyDescent="0.2">
      <c r="A2043" s="37">
        <v>2041</v>
      </c>
      <c r="C2043" s="17">
        <f>+'Detalle Compras'!D1508</f>
        <v>0</v>
      </c>
      <c r="D2043" s="55" t="str">
        <f t="shared" si="106"/>
        <v/>
      </c>
      <c r="E2043" s="14" t="str">
        <f>+IF(B2043="","",'Detalle Compras'!S2043+0)</f>
        <v/>
      </c>
      <c r="F2043" s="14" t="str">
        <f>+IF(B2043="","",EOMONTH('Detalle Compras'!S2043,G2043)+10)</f>
        <v/>
      </c>
      <c r="G2043" s="50">
        <f t="shared" si="107"/>
        <v>0</v>
      </c>
      <c r="H2043" s="50">
        <f t="shared" si="108"/>
        <v>0</v>
      </c>
    </row>
    <row r="2044" spans="1:8" x14ac:dyDescent="0.2">
      <c r="A2044" s="37">
        <v>2042</v>
      </c>
      <c r="C2044" s="17">
        <f>+'Detalle Compras'!D1509</f>
        <v>0</v>
      </c>
      <c r="D2044" s="55" t="str">
        <f t="shared" si="106"/>
        <v/>
      </c>
      <c r="E2044" s="14" t="str">
        <f>+IF(B2044="","",'Detalle Compras'!S2044+0)</f>
        <v/>
      </c>
      <c r="F2044" s="14" t="str">
        <f>+IF(B2044="","",EOMONTH('Detalle Compras'!S2044,G2044)+10)</f>
        <v/>
      </c>
      <c r="G2044" s="50">
        <f t="shared" si="107"/>
        <v>0</v>
      </c>
      <c r="H2044" s="50">
        <f t="shared" si="108"/>
        <v>0</v>
      </c>
    </row>
    <row r="2045" spans="1:8" x14ac:dyDescent="0.2">
      <c r="A2045" s="37">
        <v>2043</v>
      </c>
      <c r="C2045" s="17">
        <f>+'Detalle Compras'!D1510</f>
        <v>0</v>
      </c>
      <c r="D2045" s="55" t="str">
        <f t="shared" si="106"/>
        <v/>
      </c>
      <c r="E2045" s="14" t="str">
        <f>+IF(B2045="","",'Detalle Compras'!S2045+0)</f>
        <v/>
      </c>
      <c r="F2045" s="14" t="str">
        <f>+IF(B2045="","",EOMONTH('Detalle Compras'!S2045,G2045)+10)</f>
        <v/>
      </c>
      <c r="G2045" s="50">
        <f t="shared" si="107"/>
        <v>0</v>
      </c>
      <c r="H2045" s="50">
        <f t="shared" si="108"/>
        <v>0</v>
      </c>
    </row>
    <row r="2046" spans="1:8" x14ac:dyDescent="0.2">
      <c r="A2046" s="37">
        <v>2044</v>
      </c>
      <c r="C2046" s="17">
        <f>+'Detalle Compras'!D1511</f>
        <v>0</v>
      </c>
      <c r="D2046" s="55" t="str">
        <f t="shared" si="106"/>
        <v/>
      </c>
      <c r="E2046" s="14" t="str">
        <f>+IF(B2046="","",'Detalle Compras'!S2046+0)</f>
        <v/>
      </c>
      <c r="F2046" s="14" t="str">
        <f>+IF(B2046="","",EOMONTH('Detalle Compras'!S2046,G2046)+10)</f>
        <v/>
      </c>
      <c r="G2046" s="50">
        <f t="shared" si="107"/>
        <v>0</v>
      </c>
      <c r="H2046" s="50">
        <f t="shared" si="108"/>
        <v>0</v>
      </c>
    </row>
    <row r="2047" spans="1:8" x14ac:dyDescent="0.2">
      <c r="A2047" s="37">
        <v>2045</v>
      </c>
      <c r="C2047" s="17">
        <f>+'Detalle Compras'!D1512</f>
        <v>0</v>
      </c>
      <c r="D2047" s="55" t="str">
        <f t="shared" si="106"/>
        <v/>
      </c>
      <c r="E2047" s="14" t="str">
        <f>+IF(B2047="","",'Detalle Compras'!S2047+0)</f>
        <v/>
      </c>
      <c r="F2047" s="14" t="str">
        <f>+IF(B2047="","",EOMONTH('Detalle Compras'!S2047,G2047)+10)</f>
        <v/>
      </c>
      <c r="G2047" s="50">
        <f t="shared" si="107"/>
        <v>0</v>
      </c>
      <c r="H2047" s="50">
        <f t="shared" si="108"/>
        <v>0</v>
      </c>
    </row>
    <row r="2048" spans="1:8" x14ac:dyDescent="0.2">
      <c r="A2048" s="37">
        <v>2046</v>
      </c>
      <c r="C2048" s="17">
        <f>+'Detalle Compras'!D1513</f>
        <v>0</v>
      </c>
      <c r="D2048" s="55" t="str">
        <f t="shared" si="106"/>
        <v/>
      </c>
      <c r="E2048" s="14" t="str">
        <f>+IF(B2048="","",'Detalle Compras'!S2048+0)</f>
        <v/>
      </c>
      <c r="F2048" s="14" t="str">
        <f>+IF(B2048="","",EOMONTH('Detalle Compras'!S2048,G2048)+10)</f>
        <v/>
      </c>
      <c r="G2048" s="50">
        <f t="shared" si="107"/>
        <v>0</v>
      </c>
      <c r="H2048" s="50">
        <f t="shared" si="108"/>
        <v>0</v>
      </c>
    </row>
    <row r="2049" spans="1:8" x14ac:dyDescent="0.2">
      <c r="A2049" s="37">
        <v>2047</v>
      </c>
      <c r="C2049" s="17">
        <f>+'Detalle Compras'!D1514</f>
        <v>0</v>
      </c>
      <c r="D2049" s="55" t="str">
        <f t="shared" si="106"/>
        <v/>
      </c>
      <c r="E2049" s="14" t="str">
        <f>+IF(B2049="","",'Detalle Compras'!S2049+0)</f>
        <v/>
      </c>
      <c r="F2049" s="14" t="str">
        <f>+IF(B2049="","",EOMONTH('Detalle Compras'!S2049,G2049)+10)</f>
        <v/>
      </c>
      <c r="G2049" s="50">
        <f t="shared" si="107"/>
        <v>0</v>
      </c>
      <c r="H2049" s="50">
        <f t="shared" si="108"/>
        <v>0</v>
      </c>
    </row>
    <row r="2050" spans="1:8" x14ac:dyDescent="0.2">
      <c r="A2050" s="37">
        <v>2048</v>
      </c>
      <c r="C2050" s="17">
        <f>+'Detalle Compras'!D1515</f>
        <v>0</v>
      </c>
      <c r="D2050" s="55" t="str">
        <f t="shared" si="106"/>
        <v/>
      </c>
      <c r="E2050" s="14" t="str">
        <f>+IF(B2050="","",'Detalle Compras'!S2050+0)</f>
        <v/>
      </c>
      <c r="F2050" s="14" t="str">
        <f>+IF(B2050="","",EOMONTH('Detalle Compras'!S2050,G2050)+10)</f>
        <v/>
      </c>
      <c r="G2050" s="50">
        <f t="shared" si="107"/>
        <v>0</v>
      </c>
      <c r="H2050" s="50">
        <f t="shared" si="108"/>
        <v>0</v>
      </c>
    </row>
    <row r="2051" spans="1:8" x14ac:dyDescent="0.2">
      <c r="A2051" s="37">
        <v>2049</v>
      </c>
      <c r="C2051" s="17">
        <f>+'Detalle Compras'!D1516</f>
        <v>0</v>
      </c>
      <c r="D2051" s="55" t="str">
        <f t="shared" si="106"/>
        <v/>
      </c>
      <c r="E2051" s="14" t="str">
        <f>+IF(B2051="","",'Detalle Compras'!S2051+0)</f>
        <v/>
      </c>
      <c r="F2051" s="14" t="str">
        <f>+IF(B2051="","",EOMONTH('Detalle Compras'!S2051,G2051)+10)</f>
        <v/>
      </c>
      <c r="G2051" s="50">
        <f t="shared" si="107"/>
        <v>0</v>
      </c>
      <c r="H2051" s="50">
        <f t="shared" si="108"/>
        <v>0</v>
      </c>
    </row>
    <row r="2052" spans="1:8" x14ac:dyDescent="0.2">
      <c r="A2052" s="37">
        <v>2050</v>
      </c>
      <c r="C2052" s="17">
        <f>+'Detalle Compras'!D1517</f>
        <v>0</v>
      </c>
      <c r="D2052" s="55" t="str">
        <f t="shared" ref="D2052:D2115" si="109">+IF(B2052="","",EA2052)</f>
        <v/>
      </c>
      <c r="E2052" s="14" t="str">
        <f>+IF(B2052="","",'Detalle Compras'!S2052+0)</f>
        <v/>
      </c>
      <c r="F2052" s="14" t="str">
        <f>+IF(B2052="","",EOMONTH('Detalle Compras'!S2052,G2052)+10)</f>
        <v/>
      </c>
      <c r="G2052" s="50">
        <f t="shared" ref="G2052:G2115" si="110">+COUNTIF(I2052:ADF2052,"&gt;1")</f>
        <v>0</v>
      </c>
      <c r="H2052" s="50">
        <f t="shared" ref="H2052:H2115" si="111">+COUNT(AF2052:ADF2052)</f>
        <v>0</v>
      </c>
    </row>
    <row r="2053" spans="1:8" x14ac:dyDescent="0.2">
      <c r="A2053" s="37">
        <v>2051</v>
      </c>
      <c r="C2053" s="17">
        <f>+'Detalle Compras'!D1518</f>
        <v>0</v>
      </c>
      <c r="D2053" s="55" t="str">
        <f t="shared" si="109"/>
        <v/>
      </c>
      <c r="E2053" s="14" t="str">
        <f>+IF(B2053="","",'Detalle Compras'!S2053+0)</f>
        <v/>
      </c>
      <c r="F2053" s="14" t="str">
        <f>+IF(B2053="","",EOMONTH('Detalle Compras'!S2053,G2053)+10)</f>
        <v/>
      </c>
      <c r="G2053" s="50">
        <f t="shared" si="110"/>
        <v>0</v>
      </c>
      <c r="H2053" s="50">
        <f t="shared" si="111"/>
        <v>0</v>
      </c>
    </row>
    <row r="2054" spans="1:8" x14ac:dyDescent="0.2">
      <c r="A2054" s="37">
        <v>2052</v>
      </c>
      <c r="C2054" s="17">
        <f>+'Detalle Compras'!D1519</f>
        <v>0</v>
      </c>
      <c r="D2054" s="55" t="str">
        <f t="shared" si="109"/>
        <v/>
      </c>
      <c r="E2054" s="14" t="str">
        <f>+IF(B2054="","",'Detalle Compras'!S2054+0)</f>
        <v/>
      </c>
      <c r="F2054" s="14" t="str">
        <f>+IF(B2054="","",EOMONTH('Detalle Compras'!S2054,G2054)+10)</f>
        <v/>
      </c>
      <c r="G2054" s="50">
        <f t="shared" si="110"/>
        <v>0</v>
      </c>
      <c r="H2054" s="50">
        <f t="shared" si="111"/>
        <v>0</v>
      </c>
    </row>
    <row r="2055" spans="1:8" x14ac:dyDescent="0.2">
      <c r="A2055" s="37">
        <v>2053</v>
      </c>
      <c r="C2055" s="17">
        <f>+'Detalle Compras'!D1520</f>
        <v>0</v>
      </c>
      <c r="D2055" s="55" t="str">
        <f t="shared" si="109"/>
        <v/>
      </c>
      <c r="E2055" s="14" t="str">
        <f>+IF(B2055="","",'Detalle Compras'!S2055+0)</f>
        <v/>
      </c>
      <c r="F2055" s="14" t="str">
        <f>+IF(B2055="","",EOMONTH('Detalle Compras'!S2055,G2055)+10)</f>
        <v/>
      </c>
      <c r="G2055" s="50">
        <f t="shared" si="110"/>
        <v>0</v>
      </c>
      <c r="H2055" s="50">
        <f t="shared" si="111"/>
        <v>0</v>
      </c>
    </row>
    <row r="2056" spans="1:8" x14ac:dyDescent="0.2">
      <c r="A2056" s="37">
        <v>2054</v>
      </c>
      <c r="C2056" s="17">
        <f>+'Detalle Compras'!D1521</f>
        <v>0</v>
      </c>
      <c r="D2056" s="55" t="str">
        <f t="shared" si="109"/>
        <v/>
      </c>
      <c r="E2056" s="14" t="str">
        <f>+IF(B2056="","",'Detalle Compras'!S2056+0)</f>
        <v/>
      </c>
      <c r="F2056" s="14" t="str">
        <f>+IF(B2056="","",EOMONTH('Detalle Compras'!S2056,G2056)+10)</f>
        <v/>
      </c>
      <c r="G2056" s="50">
        <f t="shared" si="110"/>
        <v>0</v>
      </c>
      <c r="H2056" s="50">
        <f t="shared" si="111"/>
        <v>0</v>
      </c>
    </row>
    <row r="2057" spans="1:8" x14ac:dyDescent="0.2">
      <c r="A2057" s="37">
        <v>2055</v>
      </c>
      <c r="C2057" s="17">
        <f>+'Detalle Compras'!D1522</f>
        <v>0</v>
      </c>
      <c r="D2057" s="55" t="str">
        <f t="shared" si="109"/>
        <v/>
      </c>
      <c r="E2057" s="14" t="str">
        <f>+IF(B2057="","",'Detalle Compras'!S2057+0)</f>
        <v/>
      </c>
      <c r="F2057" s="14" t="str">
        <f>+IF(B2057="","",EOMONTH('Detalle Compras'!S2057,G2057)+10)</f>
        <v/>
      </c>
      <c r="G2057" s="50">
        <f t="shared" si="110"/>
        <v>0</v>
      </c>
      <c r="H2057" s="50">
        <f t="shared" si="111"/>
        <v>0</v>
      </c>
    </row>
    <row r="2058" spans="1:8" x14ac:dyDescent="0.2">
      <c r="A2058" s="37">
        <v>2056</v>
      </c>
      <c r="C2058" s="17">
        <f>+'Detalle Compras'!D1523</f>
        <v>0</v>
      </c>
      <c r="D2058" s="55" t="str">
        <f t="shared" si="109"/>
        <v/>
      </c>
      <c r="E2058" s="14" t="str">
        <f>+IF(B2058="","",'Detalle Compras'!S2058+0)</f>
        <v/>
      </c>
      <c r="F2058" s="14" t="str">
        <f>+IF(B2058="","",EOMONTH('Detalle Compras'!S2058,G2058)+10)</f>
        <v/>
      </c>
      <c r="G2058" s="50">
        <f t="shared" si="110"/>
        <v>0</v>
      </c>
      <c r="H2058" s="50">
        <f t="shared" si="111"/>
        <v>0</v>
      </c>
    </row>
    <row r="2059" spans="1:8" x14ac:dyDescent="0.2">
      <c r="A2059" s="37">
        <v>2057</v>
      </c>
      <c r="C2059" s="17">
        <f>+'Detalle Compras'!D1524</f>
        <v>0</v>
      </c>
      <c r="D2059" s="55" t="str">
        <f t="shared" si="109"/>
        <v/>
      </c>
      <c r="E2059" s="14" t="str">
        <f>+IF(B2059="","",'Detalle Compras'!S2059+0)</f>
        <v/>
      </c>
      <c r="F2059" s="14" t="str">
        <f>+IF(B2059="","",EOMONTH('Detalle Compras'!S2059,G2059)+10)</f>
        <v/>
      </c>
      <c r="G2059" s="50">
        <f t="shared" si="110"/>
        <v>0</v>
      </c>
      <c r="H2059" s="50">
        <f t="shared" si="111"/>
        <v>0</v>
      </c>
    </row>
    <row r="2060" spans="1:8" x14ac:dyDescent="0.2">
      <c r="A2060" s="37">
        <v>2058</v>
      </c>
      <c r="C2060" s="17">
        <f>+'Detalle Compras'!D1525</f>
        <v>0</v>
      </c>
      <c r="D2060" s="55" t="str">
        <f t="shared" si="109"/>
        <v/>
      </c>
      <c r="E2060" s="14" t="str">
        <f>+IF(B2060="","",'Detalle Compras'!S2060+0)</f>
        <v/>
      </c>
      <c r="F2060" s="14" t="str">
        <f>+IF(B2060="","",EOMONTH('Detalle Compras'!S2060,G2060)+10)</f>
        <v/>
      </c>
      <c r="G2060" s="50">
        <f t="shared" si="110"/>
        <v>0</v>
      </c>
      <c r="H2060" s="50">
        <f t="shared" si="111"/>
        <v>0</v>
      </c>
    </row>
    <row r="2061" spans="1:8" x14ac:dyDescent="0.2">
      <c r="A2061" s="37">
        <v>2059</v>
      </c>
      <c r="C2061" s="17">
        <f>+'Detalle Compras'!D1526</f>
        <v>0</v>
      </c>
      <c r="D2061" s="55" t="str">
        <f t="shared" si="109"/>
        <v/>
      </c>
      <c r="E2061" s="14" t="str">
        <f>+IF(B2061="","",'Detalle Compras'!S2061+0)</f>
        <v/>
      </c>
      <c r="F2061" s="14" t="str">
        <f>+IF(B2061="","",EOMONTH('Detalle Compras'!S2061,G2061)+10)</f>
        <v/>
      </c>
      <c r="G2061" s="50">
        <f t="shared" si="110"/>
        <v>0</v>
      </c>
      <c r="H2061" s="50">
        <f t="shared" si="111"/>
        <v>0</v>
      </c>
    </row>
    <row r="2062" spans="1:8" x14ac:dyDescent="0.2">
      <c r="A2062" s="37">
        <v>2060</v>
      </c>
      <c r="C2062" s="17">
        <f>+'Detalle Compras'!D1527</f>
        <v>0</v>
      </c>
      <c r="D2062" s="55" t="str">
        <f t="shared" si="109"/>
        <v/>
      </c>
      <c r="E2062" s="14" t="str">
        <f>+IF(B2062="","",'Detalle Compras'!S2062+0)</f>
        <v/>
      </c>
      <c r="F2062" s="14" t="str">
        <f>+IF(B2062="","",EOMONTH('Detalle Compras'!S2062,G2062)+10)</f>
        <v/>
      </c>
      <c r="G2062" s="50">
        <f t="shared" si="110"/>
        <v>0</v>
      </c>
      <c r="H2062" s="50">
        <f t="shared" si="111"/>
        <v>0</v>
      </c>
    </row>
    <row r="2063" spans="1:8" x14ac:dyDescent="0.2">
      <c r="A2063" s="37">
        <v>2061</v>
      </c>
      <c r="C2063" s="17">
        <f>+'Detalle Compras'!D1528</f>
        <v>0</v>
      </c>
      <c r="D2063" s="55" t="str">
        <f t="shared" si="109"/>
        <v/>
      </c>
      <c r="E2063" s="14" t="str">
        <f>+IF(B2063="","",'Detalle Compras'!S2063+0)</f>
        <v/>
      </c>
      <c r="F2063" s="14" t="str">
        <f>+IF(B2063="","",EOMONTH('Detalle Compras'!S2063,G2063)+10)</f>
        <v/>
      </c>
      <c r="G2063" s="50">
        <f t="shared" si="110"/>
        <v>0</v>
      </c>
      <c r="H2063" s="50">
        <f t="shared" si="111"/>
        <v>0</v>
      </c>
    </row>
    <row r="2064" spans="1:8" x14ac:dyDescent="0.2">
      <c r="A2064" s="37">
        <v>2062</v>
      </c>
      <c r="C2064" s="17">
        <f>+'Detalle Compras'!D1529</f>
        <v>0</v>
      </c>
      <c r="D2064" s="55" t="str">
        <f t="shared" si="109"/>
        <v/>
      </c>
      <c r="E2064" s="14" t="str">
        <f>+IF(B2064="","",'Detalle Compras'!S2064+0)</f>
        <v/>
      </c>
      <c r="F2064" s="14" t="str">
        <f>+IF(B2064="","",EOMONTH('Detalle Compras'!S2064,G2064)+10)</f>
        <v/>
      </c>
      <c r="G2064" s="50">
        <f t="shared" si="110"/>
        <v>0</v>
      </c>
      <c r="H2064" s="50">
        <f t="shared" si="111"/>
        <v>0</v>
      </c>
    </row>
    <row r="2065" spans="1:8" x14ac:dyDescent="0.2">
      <c r="A2065" s="37">
        <v>2063</v>
      </c>
      <c r="C2065" s="17">
        <f>+'Detalle Compras'!D1530</f>
        <v>0</v>
      </c>
      <c r="D2065" s="55" t="str">
        <f t="shared" si="109"/>
        <v/>
      </c>
      <c r="E2065" s="14" t="str">
        <f>+IF(B2065="","",'Detalle Compras'!S2065+0)</f>
        <v/>
      </c>
      <c r="F2065" s="14" t="str">
        <f>+IF(B2065="","",EOMONTH('Detalle Compras'!S2065,G2065)+10)</f>
        <v/>
      </c>
      <c r="G2065" s="50">
        <f t="shared" si="110"/>
        <v>0</v>
      </c>
      <c r="H2065" s="50">
        <f t="shared" si="111"/>
        <v>0</v>
      </c>
    </row>
    <row r="2066" spans="1:8" x14ac:dyDescent="0.2">
      <c r="A2066" s="37">
        <v>2064</v>
      </c>
      <c r="C2066" s="17">
        <f>+'Detalle Compras'!D1531</f>
        <v>0</v>
      </c>
      <c r="D2066" s="55" t="str">
        <f t="shared" si="109"/>
        <v/>
      </c>
      <c r="E2066" s="14" t="str">
        <f>+IF(B2066="","",'Detalle Compras'!S2066+0)</f>
        <v/>
      </c>
      <c r="F2066" s="14" t="str">
        <f>+IF(B2066="","",EOMONTH('Detalle Compras'!S2066,G2066)+10)</f>
        <v/>
      </c>
      <c r="G2066" s="50">
        <f t="shared" si="110"/>
        <v>0</v>
      </c>
      <c r="H2066" s="50">
        <f t="shared" si="111"/>
        <v>0</v>
      </c>
    </row>
    <row r="2067" spans="1:8" x14ac:dyDescent="0.2">
      <c r="A2067" s="37">
        <v>2065</v>
      </c>
      <c r="C2067" s="17">
        <f>+'Detalle Compras'!D1532</f>
        <v>0</v>
      </c>
      <c r="D2067" s="55" t="str">
        <f t="shared" si="109"/>
        <v/>
      </c>
      <c r="E2067" s="14" t="str">
        <f>+IF(B2067="","",'Detalle Compras'!S2067+0)</f>
        <v/>
      </c>
      <c r="F2067" s="14" t="str">
        <f>+IF(B2067="","",EOMONTH('Detalle Compras'!S2067,G2067)+10)</f>
        <v/>
      </c>
      <c r="G2067" s="50">
        <f t="shared" si="110"/>
        <v>0</v>
      </c>
      <c r="H2067" s="50">
        <f t="shared" si="111"/>
        <v>0</v>
      </c>
    </row>
    <row r="2068" spans="1:8" x14ac:dyDescent="0.2">
      <c r="A2068" s="37">
        <v>2066</v>
      </c>
      <c r="C2068" s="17">
        <f>+'Detalle Compras'!D1533</f>
        <v>0</v>
      </c>
      <c r="D2068" s="55" t="str">
        <f t="shared" si="109"/>
        <v/>
      </c>
      <c r="E2068" s="14" t="str">
        <f>+IF(B2068="","",'Detalle Compras'!S2068+0)</f>
        <v/>
      </c>
      <c r="F2068" s="14" t="str">
        <f>+IF(B2068="","",EOMONTH('Detalle Compras'!S2068,G2068)+10)</f>
        <v/>
      </c>
      <c r="G2068" s="50">
        <f t="shared" si="110"/>
        <v>0</v>
      </c>
      <c r="H2068" s="50">
        <f t="shared" si="111"/>
        <v>0</v>
      </c>
    </row>
    <row r="2069" spans="1:8" x14ac:dyDescent="0.2">
      <c r="A2069" s="37">
        <v>2067</v>
      </c>
      <c r="C2069" s="17">
        <f>+'Detalle Compras'!D1534</f>
        <v>0</v>
      </c>
      <c r="D2069" s="55" t="str">
        <f t="shared" si="109"/>
        <v/>
      </c>
      <c r="E2069" s="14" t="str">
        <f>+IF(B2069="","",'Detalle Compras'!S2069+0)</f>
        <v/>
      </c>
      <c r="F2069" s="14" t="str">
        <f>+IF(B2069="","",EOMONTH('Detalle Compras'!S2069,G2069)+10)</f>
        <v/>
      </c>
      <c r="G2069" s="50">
        <f t="shared" si="110"/>
        <v>0</v>
      </c>
      <c r="H2069" s="50">
        <f t="shared" si="111"/>
        <v>0</v>
      </c>
    </row>
    <row r="2070" spans="1:8" x14ac:dyDescent="0.2">
      <c r="A2070" s="37">
        <v>2068</v>
      </c>
      <c r="C2070" s="17">
        <f>+'Detalle Compras'!D1535</f>
        <v>0</v>
      </c>
      <c r="D2070" s="55" t="str">
        <f t="shared" si="109"/>
        <v/>
      </c>
      <c r="E2070" s="14" t="str">
        <f>+IF(B2070="","",'Detalle Compras'!S2070+0)</f>
        <v/>
      </c>
      <c r="F2070" s="14" t="str">
        <f>+IF(B2070="","",EOMONTH('Detalle Compras'!S2070,G2070)+10)</f>
        <v/>
      </c>
      <c r="G2070" s="50">
        <f t="shared" si="110"/>
        <v>0</v>
      </c>
      <c r="H2070" s="50">
        <f t="shared" si="111"/>
        <v>0</v>
      </c>
    </row>
    <row r="2071" spans="1:8" x14ac:dyDescent="0.2">
      <c r="A2071" s="37">
        <v>2069</v>
      </c>
      <c r="C2071" s="17">
        <f>+'Detalle Compras'!D1536</f>
        <v>0</v>
      </c>
      <c r="D2071" s="55" t="str">
        <f t="shared" si="109"/>
        <v/>
      </c>
      <c r="E2071" s="14" t="str">
        <f>+IF(B2071="","",'Detalle Compras'!S2071+0)</f>
        <v/>
      </c>
      <c r="F2071" s="14" t="str">
        <f>+IF(B2071="","",EOMONTH('Detalle Compras'!S2071,G2071)+10)</f>
        <v/>
      </c>
      <c r="G2071" s="50">
        <f t="shared" si="110"/>
        <v>0</v>
      </c>
      <c r="H2071" s="50">
        <f t="shared" si="111"/>
        <v>0</v>
      </c>
    </row>
    <row r="2072" spans="1:8" x14ac:dyDescent="0.2">
      <c r="A2072" s="37">
        <v>2070</v>
      </c>
      <c r="C2072" s="17">
        <f>+'Detalle Compras'!D1537</f>
        <v>0</v>
      </c>
      <c r="D2072" s="55" t="str">
        <f t="shared" si="109"/>
        <v/>
      </c>
      <c r="E2072" s="14" t="str">
        <f>+IF(B2072="","",'Detalle Compras'!S2072+0)</f>
        <v/>
      </c>
      <c r="F2072" s="14" t="str">
        <f>+IF(B2072="","",EOMONTH('Detalle Compras'!S2072,G2072)+10)</f>
        <v/>
      </c>
      <c r="G2072" s="50">
        <f t="shared" si="110"/>
        <v>0</v>
      </c>
      <c r="H2072" s="50">
        <f t="shared" si="111"/>
        <v>0</v>
      </c>
    </row>
    <row r="2073" spans="1:8" x14ac:dyDescent="0.2">
      <c r="A2073" s="37">
        <v>2071</v>
      </c>
      <c r="C2073" s="17">
        <f>+'Detalle Compras'!D1538</f>
        <v>0</v>
      </c>
      <c r="D2073" s="55" t="str">
        <f t="shared" si="109"/>
        <v/>
      </c>
      <c r="E2073" s="14" t="str">
        <f>+IF(B2073="","",'Detalle Compras'!S2073+0)</f>
        <v/>
      </c>
      <c r="F2073" s="14" t="str">
        <f>+IF(B2073="","",EOMONTH('Detalle Compras'!S2073,G2073)+10)</f>
        <v/>
      </c>
      <c r="G2073" s="50">
        <f t="shared" si="110"/>
        <v>0</v>
      </c>
      <c r="H2073" s="50">
        <f t="shared" si="111"/>
        <v>0</v>
      </c>
    </row>
    <row r="2074" spans="1:8" x14ac:dyDescent="0.2">
      <c r="A2074" s="37">
        <v>2072</v>
      </c>
      <c r="C2074" s="17">
        <f>+'Detalle Compras'!D1539</f>
        <v>0</v>
      </c>
      <c r="D2074" s="55" t="str">
        <f t="shared" si="109"/>
        <v/>
      </c>
      <c r="E2074" s="14" t="str">
        <f>+IF(B2074="","",'Detalle Compras'!S2074+0)</f>
        <v/>
      </c>
      <c r="F2074" s="14" t="str">
        <f>+IF(B2074="","",EOMONTH('Detalle Compras'!S2074,G2074)+10)</f>
        <v/>
      </c>
      <c r="G2074" s="50">
        <f t="shared" si="110"/>
        <v>0</v>
      </c>
      <c r="H2074" s="50">
        <f t="shared" si="111"/>
        <v>0</v>
      </c>
    </row>
    <row r="2075" spans="1:8" x14ac:dyDescent="0.2">
      <c r="A2075" s="37">
        <v>2073</v>
      </c>
      <c r="C2075" s="17">
        <f>+'Detalle Compras'!D1540</f>
        <v>0</v>
      </c>
      <c r="D2075" s="55" t="str">
        <f t="shared" si="109"/>
        <v/>
      </c>
      <c r="E2075" s="14" t="str">
        <f>+IF(B2075="","",'Detalle Compras'!S2075+0)</f>
        <v/>
      </c>
      <c r="F2075" s="14" t="str">
        <f>+IF(B2075="","",EOMONTH('Detalle Compras'!S2075,G2075)+10)</f>
        <v/>
      </c>
      <c r="G2075" s="50">
        <f t="shared" si="110"/>
        <v>0</v>
      </c>
      <c r="H2075" s="50">
        <f t="shared" si="111"/>
        <v>0</v>
      </c>
    </row>
    <row r="2076" spans="1:8" x14ac:dyDescent="0.2">
      <c r="A2076" s="37">
        <v>2074</v>
      </c>
      <c r="C2076" s="17">
        <f>+'Detalle Compras'!D1541</f>
        <v>0</v>
      </c>
      <c r="D2076" s="55" t="str">
        <f t="shared" si="109"/>
        <v/>
      </c>
      <c r="E2076" s="14" t="str">
        <f>+IF(B2076="","",'Detalle Compras'!S2076+0)</f>
        <v/>
      </c>
      <c r="F2076" s="14" t="str">
        <f>+IF(B2076="","",EOMONTH('Detalle Compras'!S2076,G2076)+10)</f>
        <v/>
      </c>
      <c r="G2076" s="50">
        <f t="shared" si="110"/>
        <v>0</v>
      </c>
      <c r="H2076" s="50">
        <f t="shared" si="111"/>
        <v>0</v>
      </c>
    </row>
    <row r="2077" spans="1:8" x14ac:dyDescent="0.2">
      <c r="A2077" s="37">
        <v>2075</v>
      </c>
      <c r="C2077" s="17">
        <f>+'Detalle Compras'!D1542</f>
        <v>0</v>
      </c>
      <c r="D2077" s="55" t="str">
        <f t="shared" si="109"/>
        <v/>
      </c>
      <c r="E2077" s="14" t="str">
        <f>+IF(B2077="","",'Detalle Compras'!S2077+0)</f>
        <v/>
      </c>
      <c r="F2077" s="14" t="str">
        <f>+IF(B2077="","",EOMONTH('Detalle Compras'!S2077,G2077)+10)</f>
        <v/>
      </c>
      <c r="G2077" s="50">
        <f t="shared" si="110"/>
        <v>0</v>
      </c>
      <c r="H2077" s="50">
        <f t="shared" si="111"/>
        <v>0</v>
      </c>
    </row>
    <row r="2078" spans="1:8" x14ac:dyDescent="0.2">
      <c r="A2078" s="37">
        <v>2076</v>
      </c>
      <c r="C2078" s="17">
        <f>+'Detalle Compras'!D1543</f>
        <v>0</v>
      </c>
      <c r="D2078" s="55" t="str">
        <f t="shared" si="109"/>
        <v/>
      </c>
      <c r="E2078" s="14" t="str">
        <f>+IF(B2078="","",'Detalle Compras'!S2078+0)</f>
        <v/>
      </c>
      <c r="F2078" s="14" t="str">
        <f>+IF(B2078="","",EOMONTH('Detalle Compras'!S2078,G2078)+10)</f>
        <v/>
      </c>
      <c r="G2078" s="50">
        <f t="shared" si="110"/>
        <v>0</v>
      </c>
      <c r="H2078" s="50">
        <f t="shared" si="111"/>
        <v>0</v>
      </c>
    </row>
    <row r="2079" spans="1:8" x14ac:dyDescent="0.2">
      <c r="A2079" s="37">
        <v>2077</v>
      </c>
      <c r="C2079" s="17">
        <f>+'Detalle Compras'!D1544</f>
        <v>0</v>
      </c>
      <c r="D2079" s="55" t="str">
        <f t="shared" si="109"/>
        <v/>
      </c>
      <c r="E2079" s="14" t="str">
        <f>+IF(B2079="","",'Detalle Compras'!S2079+0)</f>
        <v/>
      </c>
      <c r="F2079" s="14" t="str">
        <f>+IF(B2079="","",EOMONTH('Detalle Compras'!S2079,G2079)+10)</f>
        <v/>
      </c>
      <c r="G2079" s="50">
        <f t="shared" si="110"/>
        <v>0</v>
      </c>
      <c r="H2079" s="50">
        <f t="shared" si="111"/>
        <v>0</v>
      </c>
    </row>
    <row r="2080" spans="1:8" x14ac:dyDescent="0.2">
      <c r="A2080" s="37">
        <v>2078</v>
      </c>
      <c r="C2080" s="17">
        <f>+'Detalle Compras'!D1545</f>
        <v>0</v>
      </c>
      <c r="D2080" s="55" t="str">
        <f t="shared" si="109"/>
        <v/>
      </c>
      <c r="E2080" s="14" t="str">
        <f>+IF(B2080="","",'Detalle Compras'!S2080+0)</f>
        <v/>
      </c>
      <c r="F2080" s="14" t="str">
        <f>+IF(B2080="","",EOMONTH('Detalle Compras'!S2080,G2080)+10)</f>
        <v/>
      </c>
      <c r="G2080" s="50">
        <f t="shared" si="110"/>
        <v>0</v>
      </c>
      <c r="H2080" s="50">
        <f t="shared" si="111"/>
        <v>0</v>
      </c>
    </row>
    <row r="2081" spans="1:8" x14ac:dyDescent="0.2">
      <c r="A2081" s="37">
        <v>2079</v>
      </c>
      <c r="C2081" s="17">
        <f>+'Detalle Compras'!D1546</f>
        <v>0</v>
      </c>
      <c r="D2081" s="55" t="str">
        <f t="shared" si="109"/>
        <v/>
      </c>
      <c r="E2081" s="14" t="str">
        <f>+IF(B2081="","",'Detalle Compras'!S2081+0)</f>
        <v/>
      </c>
      <c r="F2081" s="14" t="str">
        <f>+IF(B2081="","",EOMONTH('Detalle Compras'!S2081,G2081)+10)</f>
        <v/>
      </c>
      <c r="G2081" s="50">
        <f t="shared" si="110"/>
        <v>0</v>
      </c>
      <c r="H2081" s="50">
        <f t="shared" si="111"/>
        <v>0</v>
      </c>
    </row>
    <row r="2082" spans="1:8" x14ac:dyDescent="0.2">
      <c r="A2082" s="37">
        <v>2080</v>
      </c>
      <c r="C2082" s="17">
        <f>+'Detalle Compras'!D1547</f>
        <v>0</v>
      </c>
      <c r="D2082" s="55" t="str">
        <f t="shared" si="109"/>
        <v/>
      </c>
      <c r="E2082" s="14" t="str">
        <f>+IF(B2082="","",'Detalle Compras'!S2082+0)</f>
        <v/>
      </c>
      <c r="F2082" s="14" t="str">
        <f>+IF(B2082="","",EOMONTH('Detalle Compras'!S2082,G2082)+10)</f>
        <v/>
      </c>
      <c r="G2082" s="50">
        <f t="shared" si="110"/>
        <v>0</v>
      </c>
      <c r="H2082" s="50">
        <f t="shared" si="111"/>
        <v>0</v>
      </c>
    </row>
    <row r="2083" spans="1:8" x14ac:dyDescent="0.2">
      <c r="A2083" s="37">
        <v>2081</v>
      </c>
      <c r="C2083" s="17">
        <f>+'Detalle Compras'!D1548</f>
        <v>0</v>
      </c>
      <c r="D2083" s="55" t="str">
        <f t="shared" si="109"/>
        <v/>
      </c>
      <c r="E2083" s="14" t="str">
        <f>+IF(B2083="","",'Detalle Compras'!S2083+0)</f>
        <v/>
      </c>
      <c r="F2083" s="14" t="str">
        <f>+IF(B2083="","",EOMONTH('Detalle Compras'!S2083,G2083)+10)</f>
        <v/>
      </c>
      <c r="G2083" s="50">
        <f t="shared" si="110"/>
        <v>0</v>
      </c>
      <c r="H2083" s="50">
        <f t="shared" si="111"/>
        <v>0</v>
      </c>
    </row>
    <row r="2084" spans="1:8" x14ac:dyDescent="0.2">
      <c r="A2084" s="37">
        <v>2082</v>
      </c>
      <c r="C2084" s="17">
        <f>+'Detalle Compras'!D1549</f>
        <v>0</v>
      </c>
      <c r="D2084" s="55" t="str">
        <f t="shared" si="109"/>
        <v/>
      </c>
      <c r="E2084" s="14" t="str">
        <f>+IF(B2084="","",'Detalle Compras'!S2084+0)</f>
        <v/>
      </c>
      <c r="F2084" s="14" t="str">
        <f>+IF(B2084="","",EOMONTH('Detalle Compras'!S2084,G2084)+10)</f>
        <v/>
      </c>
      <c r="G2084" s="50">
        <f t="shared" si="110"/>
        <v>0</v>
      </c>
      <c r="H2084" s="50">
        <f t="shared" si="111"/>
        <v>0</v>
      </c>
    </row>
    <row r="2085" spans="1:8" x14ac:dyDescent="0.2">
      <c r="A2085" s="37">
        <v>2083</v>
      </c>
      <c r="C2085" s="17">
        <f>+'Detalle Compras'!D1550</f>
        <v>0</v>
      </c>
      <c r="D2085" s="55" t="str">
        <f t="shared" si="109"/>
        <v/>
      </c>
      <c r="E2085" s="14" t="str">
        <f>+IF(B2085="","",'Detalle Compras'!S2085+0)</f>
        <v/>
      </c>
      <c r="F2085" s="14" t="str">
        <f>+IF(B2085="","",EOMONTH('Detalle Compras'!S2085,G2085)+10)</f>
        <v/>
      </c>
      <c r="G2085" s="50">
        <f t="shared" si="110"/>
        <v>0</v>
      </c>
      <c r="H2085" s="50">
        <f t="shared" si="111"/>
        <v>0</v>
      </c>
    </row>
    <row r="2086" spans="1:8" x14ac:dyDescent="0.2">
      <c r="A2086" s="37">
        <v>2084</v>
      </c>
      <c r="C2086" s="17">
        <f>+'Detalle Compras'!D1551</f>
        <v>0</v>
      </c>
      <c r="D2086" s="55" t="str">
        <f t="shared" si="109"/>
        <v/>
      </c>
      <c r="E2086" s="14" t="str">
        <f>+IF(B2086="","",'Detalle Compras'!S2086+0)</f>
        <v/>
      </c>
      <c r="F2086" s="14" t="str">
        <f>+IF(B2086="","",EOMONTH('Detalle Compras'!S2086,G2086)+10)</f>
        <v/>
      </c>
      <c r="G2086" s="50">
        <f t="shared" si="110"/>
        <v>0</v>
      </c>
      <c r="H2086" s="50">
        <f t="shared" si="111"/>
        <v>0</v>
      </c>
    </row>
    <row r="2087" spans="1:8" x14ac:dyDescent="0.2">
      <c r="A2087" s="37">
        <v>2085</v>
      </c>
      <c r="C2087" s="17">
        <f>+'Detalle Compras'!D1552</f>
        <v>0</v>
      </c>
      <c r="D2087" s="55" t="str">
        <f t="shared" si="109"/>
        <v/>
      </c>
      <c r="E2087" s="14" t="str">
        <f>+IF(B2087="","",'Detalle Compras'!S2087+0)</f>
        <v/>
      </c>
      <c r="F2087" s="14" t="str">
        <f>+IF(B2087="","",EOMONTH('Detalle Compras'!S2087,G2087)+10)</f>
        <v/>
      </c>
      <c r="G2087" s="50">
        <f t="shared" si="110"/>
        <v>0</v>
      </c>
      <c r="H2087" s="50">
        <f t="shared" si="111"/>
        <v>0</v>
      </c>
    </row>
    <row r="2088" spans="1:8" x14ac:dyDescent="0.2">
      <c r="A2088" s="37">
        <v>2086</v>
      </c>
      <c r="C2088" s="17">
        <f>+'Detalle Compras'!D1553</f>
        <v>0</v>
      </c>
      <c r="D2088" s="55" t="str">
        <f t="shared" si="109"/>
        <v/>
      </c>
      <c r="E2088" s="14" t="str">
        <f>+IF(B2088="","",'Detalle Compras'!S2088+0)</f>
        <v/>
      </c>
      <c r="F2088" s="14" t="str">
        <f>+IF(B2088="","",EOMONTH('Detalle Compras'!S2088,G2088)+10)</f>
        <v/>
      </c>
      <c r="G2088" s="50">
        <f t="shared" si="110"/>
        <v>0</v>
      </c>
      <c r="H2088" s="50">
        <f t="shared" si="111"/>
        <v>0</v>
      </c>
    </row>
    <row r="2089" spans="1:8" x14ac:dyDescent="0.2">
      <c r="A2089" s="37">
        <v>2087</v>
      </c>
      <c r="C2089" s="17">
        <f>+'Detalle Compras'!D1554</f>
        <v>0</v>
      </c>
      <c r="D2089" s="55" t="str">
        <f t="shared" si="109"/>
        <v/>
      </c>
      <c r="E2089" s="14" t="str">
        <f>+IF(B2089="","",'Detalle Compras'!S2089+0)</f>
        <v/>
      </c>
      <c r="F2089" s="14" t="str">
        <f>+IF(B2089="","",EOMONTH('Detalle Compras'!S2089,G2089)+10)</f>
        <v/>
      </c>
      <c r="G2089" s="50">
        <f t="shared" si="110"/>
        <v>0</v>
      </c>
      <c r="H2089" s="50">
        <f t="shared" si="111"/>
        <v>0</v>
      </c>
    </row>
    <row r="2090" spans="1:8" x14ac:dyDescent="0.2">
      <c r="A2090" s="37">
        <v>2088</v>
      </c>
      <c r="C2090" s="17">
        <f>+'Detalle Compras'!D1555</f>
        <v>0</v>
      </c>
      <c r="D2090" s="55" t="str">
        <f t="shared" si="109"/>
        <v/>
      </c>
      <c r="E2090" s="14" t="str">
        <f>+IF(B2090="","",'Detalle Compras'!S2090+0)</f>
        <v/>
      </c>
      <c r="F2090" s="14" t="str">
        <f>+IF(B2090="","",EOMONTH('Detalle Compras'!S2090,G2090)+10)</f>
        <v/>
      </c>
      <c r="G2090" s="50">
        <f t="shared" si="110"/>
        <v>0</v>
      </c>
      <c r="H2090" s="50">
        <f t="shared" si="111"/>
        <v>0</v>
      </c>
    </row>
    <row r="2091" spans="1:8" x14ac:dyDescent="0.2">
      <c r="A2091" s="37">
        <v>2089</v>
      </c>
      <c r="C2091" s="17">
        <f>+'Detalle Compras'!D1556</f>
        <v>0</v>
      </c>
      <c r="D2091" s="55" t="str">
        <f t="shared" si="109"/>
        <v/>
      </c>
      <c r="E2091" s="14" t="str">
        <f>+IF(B2091="","",'Detalle Compras'!S2091+0)</f>
        <v/>
      </c>
      <c r="F2091" s="14" t="str">
        <f>+IF(B2091="","",EOMONTH('Detalle Compras'!S2091,G2091)+10)</f>
        <v/>
      </c>
      <c r="G2091" s="50">
        <f t="shared" si="110"/>
        <v>0</v>
      </c>
      <c r="H2091" s="50">
        <f t="shared" si="111"/>
        <v>0</v>
      </c>
    </row>
    <row r="2092" spans="1:8" x14ac:dyDescent="0.2">
      <c r="A2092" s="37">
        <v>2090</v>
      </c>
      <c r="C2092" s="17">
        <f>+'Detalle Compras'!D1557</f>
        <v>0</v>
      </c>
      <c r="D2092" s="55" t="str">
        <f t="shared" si="109"/>
        <v/>
      </c>
      <c r="E2092" s="14" t="str">
        <f>+IF(B2092="","",'Detalle Compras'!S2092+0)</f>
        <v/>
      </c>
      <c r="F2092" s="14" t="str">
        <f>+IF(B2092="","",EOMONTH('Detalle Compras'!S2092,G2092)+10)</f>
        <v/>
      </c>
      <c r="G2092" s="50">
        <f t="shared" si="110"/>
        <v>0</v>
      </c>
      <c r="H2092" s="50">
        <f t="shared" si="111"/>
        <v>0</v>
      </c>
    </row>
    <row r="2093" spans="1:8" x14ac:dyDescent="0.2">
      <c r="A2093" s="37">
        <v>2091</v>
      </c>
      <c r="C2093" s="17">
        <f>+'Detalle Compras'!D1558</f>
        <v>0</v>
      </c>
      <c r="D2093" s="55" t="str">
        <f t="shared" si="109"/>
        <v/>
      </c>
      <c r="E2093" s="14" t="str">
        <f>+IF(B2093="","",'Detalle Compras'!S2093+0)</f>
        <v/>
      </c>
      <c r="F2093" s="14" t="str">
        <f>+IF(B2093="","",EOMONTH('Detalle Compras'!S2093,G2093)+10)</f>
        <v/>
      </c>
      <c r="G2093" s="50">
        <f t="shared" si="110"/>
        <v>0</v>
      </c>
      <c r="H2093" s="50">
        <f t="shared" si="111"/>
        <v>0</v>
      </c>
    </row>
    <row r="2094" spans="1:8" x14ac:dyDescent="0.2">
      <c r="A2094" s="37">
        <v>2092</v>
      </c>
      <c r="C2094" s="17">
        <f>+'Detalle Compras'!D1559</f>
        <v>0</v>
      </c>
      <c r="D2094" s="55" t="str">
        <f t="shared" si="109"/>
        <v/>
      </c>
      <c r="E2094" s="14" t="str">
        <f>+IF(B2094="","",'Detalle Compras'!S2094+0)</f>
        <v/>
      </c>
      <c r="F2094" s="14" t="str">
        <f>+IF(B2094="","",EOMONTH('Detalle Compras'!S2094,G2094)+10)</f>
        <v/>
      </c>
      <c r="G2094" s="50">
        <f t="shared" si="110"/>
        <v>0</v>
      </c>
      <c r="H2094" s="50">
        <f t="shared" si="111"/>
        <v>0</v>
      </c>
    </row>
    <row r="2095" spans="1:8" x14ac:dyDescent="0.2">
      <c r="A2095" s="37">
        <v>2093</v>
      </c>
      <c r="C2095" s="17">
        <f>+'Detalle Compras'!D1560</f>
        <v>0</v>
      </c>
      <c r="D2095" s="55" t="str">
        <f t="shared" si="109"/>
        <v/>
      </c>
      <c r="E2095" s="14" t="str">
        <f>+IF(B2095="","",'Detalle Compras'!S2095+0)</f>
        <v/>
      </c>
      <c r="F2095" s="14" t="str">
        <f>+IF(B2095="","",EOMONTH('Detalle Compras'!S2095,G2095)+10)</f>
        <v/>
      </c>
      <c r="G2095" s="50">
        <f t="shared" si="110"/>
        <v>0</v>
      </c>
      <c r="H2095" s="50">
        <f t="shared" si="111"/>
        <v>0</v>
      </c>
    </row>
    <row r="2096" spans="1:8" x14ac:dyDescent="0.2">
      <c r="A2096" s="37">
        <v>2094</v>
      </c>
      <c r="C2096" s="17">
        <f>+'Detalle Compras'!D1561</f>
        <v>0</v>
      </c>
      <c r="D2096" s="55" t="str">
        <f t="shared" si="109"/>
        <v/>
      </c>
      <c r="E2096" s="14" t="str">
        <f>+IF(B2096="","",'Detalle Compras'!S2096+0)</f>
        <v/>
      </c>
      <c r="F2096" s="14" t="str">
        <f>+IF(B2096="","",EOMONTH('Detalle Compras'!S2096,G2096)+10)</f>
        <v/>
      </c>
      <c r="G2096" s="50">
        <f t="shared" si="110"/>
        <v>0</v>
      </c>
      <c r="H2096" s="50">
        <f t="shared" si="111"/>
        <v>0</v>
      </c>
    </row>
    <row r="2097" spans="1:8" x14ac:dyDescent="0.2">
      <c r="A2097" s="37">
        <v>2095</v>
      </c>
      <c r="C2097" s="17">
        <f>+'Detalle Compras'!D1562</f>
        <v>0</v>
      </c>
      <c r="D2097" s="55" t="str">
        <f t="shared" si="109"/>
        <v/>
      </c>
      <c r="E2097" s="14" t="str">
        <f>+IF(B2097="","",'Detalle Compras'!S2097+0)</f>
        <v/>
      </c>
      <c r="F2097" s="14" t="str">
        <f>+IF(B2097="","",EOMONTH('Detalle Compras'!S2097,G2097)+10)</f>
        <v/>
      </c>
      <c r="G2097" s="50">
        <f t="shared" si="110"/>
        <v>0</v>
      </c>
      <c r="H2097" s="50">
        <f t="shared" si="111"/>
        <v>0</v>
      </c>
    </row>
    <row r="2098" spans="1:8" x14ac:dyDescent="0.2">
      <c r="A2098" s="37">
        <v>2096</v>
      </c>
      <c r="C2098" s="17">
        <f>+'Detalle Compras'!D1563</f>
        <v>0</v>
      </c>
      <c r="D2098" s="55" t="str">
        <f t="shared" si="109"/>
        <v/>
      </c>
      <c r="E2098" s="14" t="str">
        <f>+IF(B2098="","",'Detalle Compras'!S2098+0)</f>
        <v/>
      </c>
      <c r="F2098" s="14" t="str">
        <f>+IF(B2098="","",EOMONTH('Detalle Compras'!S2098,G2098)+10)</f>
        <v/>
      </c>
      <c r="G2098" s="50">
        <f t="shared" si="110"/>
        <v>0</v>
      </c>
      <c r="H2098" s="50">
        <f t="shared" si="111"/>
        <v>0</v>
      </c>
    </row>
    <row r="2099" spans="1:8" x14ac:dyDescent="0.2">
      <c r="A2099" s="37">
        <v>2097</v>
      </c>
      <c r="C2099" s="17">
        <f>+'Detalle Compras'!D1564</f>
        <v>0</v>
      </c>
      <c r="D2099" s="55" t="str">
        <f t="shared" si="109"/>
        <v/>
      </c>
      <c r="E2099" s="14" t="str">
        <f>+IF(B2099="","",'Detalle Compras'!S2099+0)</f>
        <v/>
      </c>
      <c r="F2099" s="14" t="str">
        <f>+IF(B2099="","",EOMONTH('Detalle Compras'!S2099,G2099)+10)</f>
        <v/>
      </c>
      <c r="G2099" s="50">
        <f t="shared" si="110"/>
        <v>0</v>
      </c>
      <c r="H2099" s="50">
        <f t="shared" si="111"/>
        <v>0</v>
      </c>
    </row>
    <row r="2100" spans="1:8" x14ac:dyDescent="0.2">
      <c r="A2100" s="37">
        <v>2098</v>
      </c>
      <c r="C2100" s="17">
        <f>+'Detalle Compras'!D1565</f>
        <v>0</v>
      </c>
      <c r="D2100" s="55" t="str">
        <f t="shared" si="109"/>
        <v/>
      </c>
      <c r="E2100" s="14" t="str">
        <f>+IF(B2100="","",'Detalle Compras'!S2100+0)</f>
        <v/>
      </c>
      <c r="F2100" s="14" t="str">
        <f>+IF(B2100="","",EOMONTH('Detalle Compras'!S2100,G2100)+10)</f>
        <v/>
      </c>
      <c r="G2100" s="50">
        <f t="shared" si="110"/>
        <v>0</v>
      </c>
      <c r="H2100" s="50">
        <f t="shared" si="111"/>
        <v>0</v>
      </c>
    </row>
    <row r="2101" spans="1:8" x14ac:dyDescent="0.2">
      <c r="A2101" s="37">
        <v>2099</v>
      </c>
      <c r="C2101" s="17">
        <f>+'Detalle Compras'!D1566</f>
        <v>0</v>
      </c>
      <c r="D2101" s="55" t="str">
        <f t="shared" si="109"/>
        <v/>
      </c>
      <c r="E2101" s="14" t="str">
        <f>+IF(B2101="","",'Detalle Compras'!S2101+0)</f>
        <v/>
      </c>
      <c r="F2101" s="14" t="str">
        <f>+IF(B2101="","",EOMONTH('Detalle Compras'!S2101,G2101)+10)</f>
        <v/>
      </c>
      <c r="G2101" s="50">
        <f t="shared" si="110"/>
        <v>0</v>
      </c>
      <c r="H2101" s="50">
        <f t="shared" si="111"/>
        <v>0</v>
      </c>
    </row>
    <row r="2102" spans="1:8" x14ac:dyDescent="0.2">
      <c r="A2102" s="37">
        <v>2100</v>
      </c>
      <c r="C2102" s="17">
        <f>+'Detalle Compras'!D1567</f>
        <v>0</v>
      </c>
      <c r="D2102" s="55" t="str">
        <f t="shared" si="109"/>
        <v/>
      </c>
      <c r="E2102" s="14" t="str">
        <f>+IF(B2102="","",'Detalle Compras'!S2102+0)</f>
        <v/>
      </c>
      <c r="F2102" s="14" t="str">
        <f>+IF(B2102="","",EOMONTH('Detalle Compras'!S2102,G2102)+10)</f>
        <v/>
      </c>
      <c r="G2102" s="50">
        <f t="shared" si="110"/>
        <v>0</v>
      </c>
      <c r="H2102" s="50">
        <f t="shared" si="111"/>
        <v>0</v>
      </c>
    </row>
    <row r="2103" spans="1:8" x14ac:dyDescent="0.2">
      <c r="A2103" s="37">
        <v>2101</v>
      </c>
      <c r="C2103" s="17">
        <f>+'Detalle Compras'!D1568</f>
        <v>0</v>
      </c>
      <c r="D2103" s="55" t="str">
        <f t="shared" si="109"/>
        <v/>
      </c>
      <c r="E2103" s="14" t="str">
        <f>+IF(B2103="","",'Detalle Compras'!S2103+0)</f>
        <v/>
      </c>
      <c r="F2103" s="14" t="str">
        <f>+IF(B2103="","",EOMONTH('Detalle Compras'!S2103,G2103)+10)</f>
        <v/>
      </c>
      <c r="G2103" s="50">
        <f t="shared" si="110"/>
        <v>0</v>
      </c>
      <c r="H2103" s="50">
        <f t="shared" si="111"/>
        <v>0</v>
      </c>
    </row>
    <row r="2104" spans="1:8" x14ac:dyDescent="0.2">
      <c r="A2104" s="37">
        <v>2102</v>
      </c>
      <c r="C2104" s="17">
        <f>+'Detalle Compras'!D1569</f>
        <v>0</v>
      </c>
      <c r="D2104" s="55" t="str">
        <f t="shared" si="109"/>
        <v/>
      </c>
      <c r="E2104" s="14" t="str">
        <f>+IF(B2104="","",'Detalle Compras'!S2104+0)</f>
        <v/>
      </c>
      <c r="F2104" s="14" t="str">
        <f>+IF(B2104="","",EOMONTH('Detalle Compras'!S2104,G2104)+10)</f>
        <v/>
      </c>
      <c r="G2104" s="50">
        <f t="shared" si="110"/>
        <v>0</v>
      </c>
      <c r="H2104" s="50">
        <f t="shared" si="111"/>
        <v>0</v>
      </c>
    </row>
    <row r="2105" spans="1:8" x14ac:dyDescent="0.2">
      <c r="A2105" s="37">
        <v>2103</v>
      </c>
      <c r="C2105" s="17">
        <f>+'Detalle Compras'!D1570</f>
        <v>0</v>
      </c>
      <c r="D2105" s="55" t="str">
        <f t="shared" si="109"/>
        <v/>
      </c>
      <c r="E2105" s="14" t="str">
        <f>+IF(B2105="","",'Detalle Compras'!S2105+0)</f>
        <v/>
      </c>
      <c r="F2105" s="14" t="str">
        <f>+IF(B2105="","",EOMONTH('Detalle Compras'!S2105,G2105)+10)</f>
        <v/>
      </c>
      <c r="G2105" s="50">
        <f t="shared" si="110"/>
        <v>0</v>
      </c>
      <c r="H2105" s="50">
        <f t="shared" si="111"/>
        <v>0</v>
      </c>
    </row>
    <row r="2106" spans="1:8" x14ac:dyDescent="0.2">
      <c r="A2106" s="37">
        <v>2104</v>
      </c>
      <c r="C2106" s="17">
        <f>+'Detalle Compras'!D1571</f>
        <v>0</v>
      </c>
      <c r="D2106" s="55" t="str">
        <f t="shared" si="109"/>
        <v/>
      </c>
      <c r="E2106" s="14" t="str">
        <f>+IF(B2106="","",'Detalle Compras'!S2106+0)</f>
        <v/>
      </c>
      <c r="F2106" s="14" t="str">
        <f>+IF(B2106="","",EOMONTH('Detalle Compras'!S2106,G2106)+10)</f>
        <v/>
      </c>
      <c r="G2106" s="50">
        <f t="shared" si="110"/>
        <v>0</v>
      </c>
      <c r="H2106" s="50">
        <f t="shared" si="111"/>
        <v>0</v>
      </c>
    </row>
    <row r="2107" spans="1:8" x14ac:dyDescent="0.2">
      <c r="A2107" s="37">
        <v>2105</v>
      </c>
      <c r="C2107" s="17">
        <f>+'Detalle Compras'!D1572</f>
        <v>0</v>
      </c>
      <c r="D2107" s="55" t="str">
        <f t="shared" si="109"/>
        <v/>
      </c>
      <c r="E2107" s="14" t="str">
        <f>+IF(B2107="","",'Detalle Compras'!S2107+0)</f>
        <v/>
      </c>
      <c r="F2107" s="14" t="str">
        <f>+IF(B2107="","",EOMONTH('Detalle Compras'!S2107,G2107)+10)</f>
        <v/>
      </c>
      <c r="G2107" s="50">
        <f t="shared" si="110"/>
        <v>0</v>
      </c>
      <c r="H2107" s="50">
        <f t="shared" si="111"/>
        <v>0</v>
      </c>
    </row>
    <row r="2108" spans="1:8" x14ac:dyDescent="0.2">
      <c r="A2108" s="37">
        <v>2106</v>
      </c>
      <c r="C2108" s="17">
        <f>+'Detalle Compras'!D1573</f>
        <v>0</v>
      </c>
      <c r="D2108" s="55" t="str">
        <f t="shared" si="109"/>
        <v/>
      </c>
      <c r="E2108" s="14" t="str">
        <f>+IF(B2108="","",'Detalle Compras'!S2108+0)</f>
        <v/>
      </c>
      <c r="F2108" s="14" t="str">
        <f>+IF(B2108="","",EOMONTH('Detalle Compras'!S2108,G2108)+10)</f>
        <v/>
      </c>
      <c r="G2108" s="50">
        <f t="shared" si="110"/>
        <v>0</v>
      </c>
      <c r="H2108" s="50">
        <f t="shared" si="111"/>
        <v>0</v>
      </c>
    </row>
    <row r="2109" spans="1:8" x14ac:dyDescent="0.2">
      <c r="A2109" s="37">
        <v>2107</v>
      </c>
      <c r="C2109" s="17">
        <f>+'Detalle Compras'!D1574</f>
        <v>0</v>
      </c>
      <c r="D2109" s="55" t="str">
        <f t="shared" si="109"/>
        <v/>
      </c>
      <c r="E2109" s="14" t="str">
        <f>+IF(B2109="","",'Detalle Compras'!S2109+0)</f>
        <v/>
      </c>
      <c r="F2109" s="14" t="str">
        <f>+IF(B2109="","",EOMONTH('Detalle Compras'!S2109,G2109)+10)</f>
        <v/>
      </c>
      <c r="G2109" s="50">
        <f t="shared" si="110"/>
        <v>0</v>
      </c>
      <c r="H2109" s="50">
        <f t="shared" si="111"/>
        <v>0</v>
      </c>
    </row>
    <row r="2110" spans="1:8" x14ac:dyDescent="0.2">
      <c r="A2110" s="37">
        <v>2108</v>
      </c>
      <c r="C2110" s="17">
        <f>+'Detalle Compras'!D1575</f>
        <v>0</v>
      </c>
      <c r="D2110" s="55" t="str">
        <f t="shared" si="109"/>
        <v/>
      </c>
      <c r="E2110" s="14" t="str">
        <f>+IF(B2110="","",'Detalle Compras'!S2110+0)</f>
        <v/>
      </c>
      <c r="F2110" s="14" t="str">
        <f>+IF(B2110="","",EOMONTH('Detalle Compras'!S2110,G2110)+10)</f>
        <v/>
      </c>
      <c r="G2110" s="50">
        <f t="shared" si="110"/>
        <v>0</v>
      </c>
      <c r="H2110" s="50">
        <f t="shared" si="111"/>
        <v>0</v>
      </c>
    </row>
    <row r="2111" spans="1:8" x14ac:dyDescent="0.2">
      <c r="A2111" s="37">
        <v>2109</v>
      </c>
      <c r="C2111" s="17">
        <f>+'Detalle Compras'!D1576</f>
        <v>0</v>
      </c>
      <c r="D2111" s="55" t="str">
        <f t="shared" si="109"/>
        <v/>
      </c>
      <c r="E2111" s="14" t="str">
        <f>+IF(B2111="","",'Detalle Compras'!S2111+0)</f>
        <v/>
      </c>
      <c r="F2111" s="14" t="str">
        <f>+IF(B2111="","",EOMONTH('Detalle Compras'!S2111,G2111)+10)</f>
        <v/>
      </c>
      <c r="G2111" s="50">
        <f t="shared" si="110"/>
        <v>0</v>
      </c>
      <c r="H2111" s="50">
        <f t="shared" si="111"/>
        <v>0</v>
      </c>
    </row>
    <row r="2112" spans="1:8" x14ac:dyDescent="0.2">
      <c r="A2112" s="37">
        <v>2110</v>
      </c>
      <c r="C2112" s="17">
        <f>+'Detalle Compras'!D1577</f>
        <v>0</v>
      </c>
      <c r="D2112" s="55" t="str">
        <f t="shared" si="109"/>
        <v/>
      </c>
      <c r="E2112" s="14" t="str">
        <f>+IF(B2112="","",'Detalle Compras'!S2112+0)</f>
        <v/>
      </c>
      <c r="F2112" s="14" t="str">
        <f>+IF(B2112="","",EOMONTH('Detalle Compras'!S2112,G2112)+10)</f>
        <v/>
      </c>
      <c r="G2112" s="50">
        <f t="shared" si="110"/>
        <v>0</v>
      </c>
      <c r="H2112" s="50">
        <f t="shared" si="111"/>
        <v>0</v>
      </c>
    </row>
    <row r="2113" spans="1:8" x14ac:dyDescent="0.2">
      <c r="A2113" s="37">
        <v>2111</v>
      </c>
      <c r="C2113" s="17">
        <f>+'Detalle Compras'!D1578</f>
        <v>0</v>
      </c>
      <c r="D2113" s="55" t="str">
        <f t="shared" si="109"/>
        <v/>
      </c>
      <c r="E2113" s="14" t="str">
        <f>+IF(B2113="","",'Detalle Compras'!S2113+0)</f>
        <v/>
      </c>
      <c r="F2113" s="14" t="str">
        <f>+IF(B2113="","",EOMONTH('Detalle Compras'!S2113,G2113)+10)</f>
        <v/>
      </c>
      <c r="G2113" s="50">
        <f t="shared" si="110"/>
        <v>0</v>
      </c>
      <c r="H2113" s="50">
        <f t="shared" si="111"/>
        <v>0</v>
      </c>
    </row>
    <row r="2114" spans="1:8" x14ac:dyDescent="0.2">
      <c r="A2114" s="37">
        <v>2112</v>
      </c>
      <c r="C2114" s="17">
        <f>+'Detalle Compras'!D1579</f>
        <v>0</v>
      </c>
      <c r="D2114" s="55" t="str">
        <f t="shared" si="109"/>
        <v/>
      </c>
      <c r="E2114" s="14" t="str">
        <f>+IF(B2114="","",'Detalle Compras'!S2114+0)</f>
        <v/>
      </c>
      <c r="F2114" s="14" t="str">
        <f>+IF(B2114="","",EOMONTH('Detalle Compras'!S2114,G2114)+10)</f>
        <v/>
      </c>
      <c r="G2114" s="50">
        <f t="shared" si="110"/>
        <v>0</v>
      </c>
      <c r="H2114" s="50">
        <f t="shared" si="111"/>
        <v>0</v>
      </c>
    </row>
    <row r="2115" spans="1:8" x14ac:dyDescent="0.2">
      <c r="A2115" s="37">
        <v>2113</v>
      </c>
      <c r="C2115" s="17">
        <f>+'Detalle Compras'!D1580</f>
        <v>0</v>
      </c>
      <c r="D2115" s="55" t="str">
        <f t="shared" si="109"/>
        <v/>
      </c>
      <c r="E2115" s="14" t="str">
        <f>+IF(B2115="","",'Detalle Compras'!S2115+0)</f>
        <v/>
      </c>
      <c r="F2115" s="14" t="str">
        <f>+IF(B2115="","",EOMONTH('Detalle Compras'!S2115,G2115)+10)</f>
        <v/>
      </c>
      <c r="G2115" s="50">
        <f t="shared" si="110"/>
        <v>0</v>
      </c>
      <c r="H2115" s="50">
        <f t="shared" si="111"/>
        <v>0</v>
      </c>
    </row>
    <row r="2116" spans="1:8" x14ac:dyDescent="0.2">
      <c r="A2116" s="37">
        <v>2114</v>
      </c>
      <c r="C2116" s="17">
        <f>+'Detalle Compras'!D1581</f>
        <v>0</v>
      </c>
      <c r="D2116" s="55" t="str">
        <f t="shared" ref="D2116:D2168" si="112">+IF(B2116="","",EA2116)</f>
        <v/>
      </c>
      <c r="E2116" s="14" t="str">
        <f>+IF(B2116="","",'Detalle Compras'!S2116+0)</f>
        <v/>
      </c>
      <c r="F2116" s="14" t="str">
        <f>+IF(B2116="","",EOMONTH('Detalle Compras'!S2116,G2116)+10)</f>
        <v/>
      </c>
      <c r="G2116" s="50">
        <f t="shared" ref="G2116:G2168" si="113">+COUNTIF(I2116:ADF2116,"&gt;1")</f>
        <v>0</v>
      </c>
      <c r="H2116" s="50">
        <f t="shared" ref="H2116:H2168" si="114">+COUNT(AF2116:ADF2116)</f>
        <v>0</v>
      </c>
    </row>
    <row r="2117" spans="1:8" x14ac:dyDescent="0.2">
      <c r="A2117" s="37">
        <v>2115</v>
      </c>
      <c r="C2117" s="17">
        <f>+'Detalle Compras'!D1582</f>
        <v>0</v>
      </c>
      <c r="D2117" s="55" t="str">
        <f t="shared" si="112"/>
        <v/>
      </c>
      <c r="E2117" s="14" t="str">
        <f>+IF(B2117="","",'Detalle Compras'!S2117+0)</f>
        <v/>
      </c>
      <c r="F2117" s="14" t="str">
        <f>+IF(B2117="","",EOMONTH('Detalle Compras'!S2117,G2117)+10)</f>
        <v/>
      </c>
      <c r="G2117" s="50">
        <f t="shared" si="113"/>
        <v>0</v>
      </c>
      <c r="H2117" s="50">
        <f t="shared" si="114"/>
        <v>0</v>
      </c>
    </row>
    <row r="2118" spans="1:8" x14ac:dyDescent="0.2">
      <c r="A2118" s="37">
        <v>2116</v>
      </c>
      <c r="C2118" s="17">
        <f>+'Detalle Compras'!D1583</f>
        <v>0</v>
      </c>
      <c r="D2118" s="55" t="str">
        <f t="shared" si="112"/>
        <v/>
      </c>
      <c r="E2118" s="14" t="str">
        <f>+IF(B2118="","",'Detalle Compras'!S2118+0)</f>
        <v/>
      </c>
      <c r="F2118" s="14" t="str">
        <f>+IF(B2118="","",EOMONTH('Detalle Compras'!S2118,G2118)+10)</f>
        <v/>
      </c>
      <c r="G2118" s="50">
        <f t="shared" si="113"/>
        <v>0</v>
      </c>
      <c r="H2118" s="50">
        <f t="shared" si="114"/>
        <v>0</v>
      </c>
    </row>
    <row r="2119" spans="1:8" x14ac:dyDescent="0.2">
      <c r="A2119" s="37">
        <v>2117</v>
      </c>
      <c r="C2119" s="17">
        <f>+'Detalle Compras'!D1584</f>
        <v>0</v>
      </c>
      <c r="D2119" s="55" t="str">
        <f t="shared" si="112"/>
        <v/>
      </c>
      <c r="E2119" s="14" t="str">
        <f>+IF(B2119="","",'Detalle Compras'!S2119+0)</f>
        <v/>
      </c>
      <c r="F2119" s="14" t="str">
        <f>+IF(B2119="","",EOMONTH('Detalle Compras'!S2119,G2119)+10)</f>
        <v/>
      </c>
      <c r="G2119" s="50">
        <f t="shared" si="113"/>
        <v>0</v>
      </c>
      <c r="H2119" s="50">
        <f t="shared" si="114"/>
        <v>0</v>
      </c>
    </row>
    <row r="2120" spans="1:8" x14ac:dyDescent="0.2">
      <c r="A2120" s="37">
        <v>2118</v>
      </c>
      <c r="C2120" s="17">
        <f>+'Detalle Compras'!D1585</f>
        <v>0</v>
      </c>
      <c r="D2120" s="55" t="str">
        <f t="shared" si="112"/>
        <v/>
      </c>
      <c r="E2120" s="14" t="str">
        <f>+IF(B2120="","",'Detalle Compras'!S2120+0)</f>
        <v/>
      </c>
      <c r="F2120" s="14" t="str">
        <f>+IF(B2120="","",EOMONTH('Detalle Compras'!S2120,G2120)+10)</f>
        <v/>
      </c>
      <c r="G2120" s="50">
        <f t="shared" si="113"/>
        <v>0</v>
      </c>
      <c r="H2120" s="50">
        <f t="shared" si="114"/>
        <v>0</v>
      </c>
    </row>
    <row r="2121" spans="1:8" x14ac:dyDescent="0.2">
      <c r="A2121" s="37">
        <v>2119</v>
      </c>
      <c r="C2121" s="17">
        <f>+'Detalle Compras'!D1586</f>
        <v>0</v>
      </c>
      <c r="D2121" s="55" t="str">
        <f t="shared" si="112"/>
        <v/>
      </c>
      <c r="E2121" s="14" t="str">
        <f>+IF(B2121="","",'Detalle Compras'!S2121+0)</f>
        <v/>
      </c>
      <c r="F2121" s="14" t="str">
        <f>+IF(B2121="","",EOMONTH('Detalle Compras'!S2121,G2121)+10)</f>
        <v/>
      </c>
      <c r="G2121" s="50">
        <f t="shared" si="113"/>
        <v>0</v>
      </c>
      <c r="H2121" s="50">
        <f t="shared" si="114"/>
        <v>0</v>
      </c>
    </row>
    <row r="2122" spans="1:8" x14ac:dyDescent="0.2">
      <c r="A2122" s="37">
        <v>2120</v>
      </c>
      <c r="C2122" s="17">
        <f>+'Detalle Compras'!D1587</f>
        <v>0</v>
      </c>
      <c r="D2122" s="55" t="str">
        <f t="shared" si="112"/>
        <v/>
      </c>
      <c r="E2122" s="14" t="str">
        <f>+IF(B2122="","",'Detalle Compras'!S2122+0)</f>
        <v/>
      </c>
      <c r="F2122" s="14" t="str">
        <f>+IF(B2122="","",EOMONTH('Detalle Compras'!S2122,G2122)+10)</f>
        <v/>
      </c>
      <c r="G2122" s="50">
        <f t="shared" si="113"/>
        <v>0</v>
      </c>
      <c r="H2122" s="50">
        <f t="shared" si="114"/>
        <v>0</v>
      </c>
    </row>
    <row r="2123" spans="1:8" x14ac:dyDescent="0.2">
      <c r="A2123" s="37">
        <v>2121</v>
      </c>
      <c r="C2123" s="17">
        <f>+'Detalle Compras'!D1588</f>
        <v>0</v>
      </c>
      <c r="D2123" s="55" t="str">
        <f t="shared" si="112"/>
        <v/>
      </c>
      <c r="E2123" s="14" t="str">
        <f>+IF(B2123="","",'Detalle Compras'!S2123+0)</f>
        <v/>
      </c>
      <c r="F2123" s="14" t="str">
        <f>+IF(B2123="","",EOMONTH('Detalle Compras'!S2123,G2123)+10)</f>
        <v/>
      </c>
      <c r="G2123" s="50">
        <f t="shared" si="113"/>
        <v>0</v>
      </c>
      <c r="H2123" s="50">
        <f t="shared" si="114"/>
        <v>0</v>
      </c>
    </row>
    <row r="2124" spans="1:8" x14ac:dyDescent="0.2">
      <c r="A2124" s="37">
        <v>2122</v>
      </c>
      <c r="C2124" s="17">
        <f>+'Detalle Compras'!D1589</f>
        <v>0</v>
      </c>
      <c r="D2124" s="55" t="str">
        <f t="shared" si="112"/>
        <v/>
      </c>
      <c r="E2124" s="14" t="str">
        <f>+IF(B2124="","",'Detalle Compras'!S2124+0)</f>
        <v/>
      </c>
      <c r="F2124" s="14" t="str">
        <f>+IF(B2124="","",EOMONTH('Detalle Compras'!S2124,G2124)+10)</f>
        <v/>
      </c>
      <c r="G2124" s="50">
        <f t="shared" si="113"/>
        <v>0</v>
      </c>
      <c r="H2124" s="50">
        <f t="shared" si="114"/>
        <v>0</v>
      </c>
    </row>
    <row r="2125" spans="1:8" x14ac:dyDescent="0.2">
      <c r="A2125" s="37">
        <v>2123</v>
      </c>
      <c r="C2125" s="17">
        <f>+'Detalle Compras'!D1590</f>
        <v>0</v>
      </c>
      <c r="D2125" s="55" t="str">
        <f t="shared" si="112"/>
        <v/>
      </c>
      <c r="E2125" s="14" t="str">
        <f>+IF(B2125="","",'Detalle Compras'!S2125+0)</f>
        <v/>
      </c>
      <c r="F2125" s="14" t="str">
        <f>+IF(B2125="","",EOMONTH('Detalle Compras'!S2125,G2125)+10)</f>
        <v/>
      </c>
      <c r="G2125" s="50">
        <f t="shared" si="113"/>
        <v>0</v>
      </c>
      <c r="H2125" s="50">
        <f t="shared" si="114"/>
        <v>0</v>
      </c>
    </row>
    <row r="2126" spans="1:8" x14ac:dyDescent="0.2">
      <c r="A2126" s="37">
        <v>2124</v>
      </c>
      <c r="C2126" s="17">
        <f>+'Detalle Compras'!D1591</f>
        <v>0</v>
      </c>
      <c r="D2126" s="55" t="str">
        <f t="shared" si="112"/>
        <v/>
      </c>
      <c r="E2126" s="14" t="str">
        <f>+IF(B2126="","",'Detalle Compras'!S2126+0)</f>
        <v/>
      </c>
      <c r="F2126" s="14" t="str">
        <f>+IF(B2126="","",EOMONTH('Detalle Compras'!S2126,G2126)+10)</f>
        <v/>
      </c>
      <c r="G2126" s="50">
        <f t="shared" si="113"/>
        <v>0</v>
      </c>
      <c r="H2126" s="50">
        <f t="shared" si="114"/>
        <v>0</v>
      </c>
    </row>
    <row r="2127" spans="1:8" x14ac:dyDescent="0.2">
      <c r="A2127" s="37">
        <v>2125</v>
      </c>
      <c r="C2127" s="17">
        <f>+'Detalle Compras'!D1592</f>
        <v>0</v>
      </c>
      <c r="D2127" s="55" t="str">
        <f t="shared" si="112"/>
        <v/>
      </c>
      <c r="E2127" s="14" t="str">
        <f>+IF(B2127="","",'Detalle Compras'!S2127+0)</f>
        <v/>
      </c>
      <c r="F2127" s="14" t="str">
        <f>+IF(B2127="","",EOMONTH('Detalle Compras'!S2127,G2127)+10)</f>
        <v/>
      </c>
      <c r="G2127" s="50">
        <f t="shared" si="113"/>
        <v>0</v>
      </c>
      <c r="H2127" s="50">
        <f t="shared" si="114"/>
        <v>0</v>
      </c>
    </row>
    <row r="2128" spans="1:8" x14ac:dyDescent="0.2">
      <c r="A2128" s="37">
        <v>2126</v>
      </c>
      <c r="C2128" s="17">
        <f>+'Detalle Compras'!D1593</f>
        <v>0</v>
      </c>
      <c r="D2128" s="55" t="str">
        <f t="shared" si="112"/>
        <v/>
      </c>
      <c r="E2128" s="14" t="str">
        <f>+IF(B2128="","",'Detalle Compras'!S2128+0)</f>
        <v/>
      </c>
      <c r="F2128" s="14" t="str">
        <f>+IF(B2128="","",EOMONTH('Detalle Compras'!S2128,G2128)+10)</f>
        <v/>
      </c>
      <c r="G2128" s="50">
        <f t="shared" si="113"/>
        <v>0</v>
      </c>
      <c r="H2128" s="50">
        <f t="shared" si="114"/>
        <v>0</v>
      </c>
    </row>
    <row r="2129" spans="1:8" x14ac:dyDescent="0.2">
      <c r="A2129" s="37">
        <v>2127</v>
      </c>
      <c r="C2129" s="17">
        <f>+'Detalle Compras'!D1594</f>
        <v>0</v>
      </c>
      <c r="D2129" s="55" t="str">
        <f t="shared" si="112"/>
        <v/>
      </c>
      <c r="E2129" s="14" t="str">
        <f>+IF(B2129="","",'Detalle Compras'!S2129+0)</f>
        <v/>
      </c>
      <c r="F2129" s="14" t="str">
        <f>+IF(B2129="","",EOMONTH('Detalle Compras'!S2129,G2129)+10)</f>
        <v/>
      </c>
      <c r="G2129" s="50">
        <f t="shared" si="113"/>
        <v>0</v>
      </c>
      <c r="H2129" s="50">
        <f t="shared" si="114"/>
        <v>0</v>
      </c>
    </row>
    <row r="2130" spans="1:8" x14ac:dyDescent="0.2">
      <c r="A2130" s="37">
        <v>2128</v>
      </c>
      <c r="C2130" s="17">
        <f>+'Detalle Compras'!D1595</f>
        <v>0</v>
      </c>
      <c r="D2130" s="55" t="str">
        <f t="shared" si="112"/>
        <v/>
      </c>
      <c r="E2130" s="14" t="str">
        <f>+IF(B2130="","",'Detalle Compras'!S2130+0)</f>
        <v/>
      </c>
      <c r="F2130" s="14" t="str">
        <f>+IF(B2130="","",EOMONTH('Detalle Compras'!S2130,G2130)+10)</f>
        <v/>
      </c>
      <c r="G2130" s="50">
        <f t="shared" si="113"/>
        <v>0</v>
      </c>
      <c r="H2130" s="50">
        <f t="shared" si="114"/>
        <v>0</v>
      </c>
    </row>
    <row r="2131" spans="1:8" x14ac:dyDescent="0.2">
      <c r="A2131" s="37">
        <v>2129</v>
      </c>
      <c r="C2131" s="17">
        <f>+'Detalle Compras'!D1596</f>
        <v>0</v>
      </c>
      <c r="D2131" s="55" t="str">
        <f t="shared" si="112"/>
        <v/>
      </c>
      <c r="E2131" s="14" t="str">
        <f>+IF(B2131="","",'Detalle Compras'!S2131+0)</f>
        <v/>
      </c>
      <c r="F2131" s="14" t="str">
        <f>+IF(B2131="","",EOMONTH('Detalle Compras'!S2131,G2131)+10)</f>
        <v/>
      </c>
      <c r="G2131" s="50">
        <f t="shared" si="113"/>
        <v>0</v>
      </c>
      <c r="H2131" s="50">
        <f t="shared" si="114"/>
        <v>0</v>
      </c>
    </row>
    <row r="2132" spans="1:8" x14ac:dyDescent="0.2">
      <c r="A2132" s="37">
        <v>2130</v>
      </c>
      <c r="C2132" s="17">
        <f>+'Detalle Compras'!D1597</f>
        <v>0</v>
      </c>
      <c r="D2132" s="55" t="str">
        <f t="shared" si="112"/>
        <v/>
      </c>
      <c r="E2132" s="14" t="str">
        <f>+IF(B2132="","",'Detalle Compras'!S2132+0)</f>
        <v/>
      </c>
      <c r="F2132" s="14" t="str">
        <f>+IF(B2132="","",EOMONTH('Detalle Compras'!S2132,G2132)+10)</f>
        <v/>
      </c>
      <c r="G2132" s="50">
        <f t="shared" si="113"/>
        <v>0</v>
      </c>
      <c r="H2132" s="50">
        <f t="shared" si="114"/>
        <v>0</v>
      </c>
    </row>
    <row r="2133" spans="1:8" x14ac:dyDescent="0.2">
      <c r="A2133" s="37">
        <v>2131</v>
      </c>
      <c r="C2133" s="17">
        <f>+'Detalle Compras'!D1598</f>
        <v>0</v>
      </c>
      <c r="D2133" s="55" t="str">
        <f t="shared" si="112"/>
        <v/>
      </c>
      <c r="E2133" s="14" t="str">
        <f>+IF(B2133="","",'Detalle Compras'!S2133+0)</f>
        <v/>
      </c>
      <c r="F2133" s="14" t="str">
        <f>+IF(B2133="","",EOMONTH('Detalle Compras'!S2133,G2133)+10)</f>
        <v/>
      </c>
      <c r="G2133" s="50">
        <f t="shared" si="113"/>
        <v>0</v>
      </c>
      <c r="H2133" s="50">
        <f t="shared" si="114"/>
        <v>0</v>
      </c>
    </row>
    <row r="2134" spans="1:8" x14ac:dyDescent="0.2">
      <c r="A2134" s="37">
        <v>2132</v>
      </c>
      <c r="C2134" s="17">
        <f>+'Detalle Compras'!D1599</f>
        <v>0</v>
      </c>
      <c r="D2134" s="55" t="str">
        <f t="shared" si="112"/>
        <v/>
      </c>
      <c r="E2134" s="14" t="str">
        <f>+IF(B2134="","",'Detalle Compras'!S2134+0)</f>
        <v/>
      </c>
      <c r="F2134" s="14" t="str">
        <f>+IF(B2134="","",EOMONTH('Detalle Compras'!S2134,G2134)+10)</f>
        <v/>
      </c>
      <c r="G2134" s="50">
        <f t="shared" si="113"/>
        <v>0</v>
      </c>
      <c r="H2134" s="50">
        <f t="shared" si="114"/>
        <v>0</v>
      </c>
    </row>
    <row r="2135" spans="1:8" x14ac:dyDescent="0.2">
      <c r="A2135" s="37">
        <v>2133</v>
      </c>
      <c r="C2135" s="17">
        <f>+'Detalle Compras'!D1600</f>
        <v>0</v>
      </c>
      <c r="D2135" s="55" t="str">
        <f t="shared" si="112"/>
        <v/>
      </c>
      <c r="E2135" s="14" t="str">
        <f>+IF(B2135="","",'Detalle Compras'!S2135+0)</f>
        <v/>
      </c>
      <c r="F2135" s="14" t="str">
        <f>+IF(B2135="","",EOMONTH('Detalle Compras'!S2135,G2135)+10)</f>
        <v/>
      </c>
      <c r="G2135" s="50">
        <f t="shared" si="113"/>
        <v>0</v>
      </c>
      <c r="H2135" s="50">
        <f t="shared" si="114"/>
        <v>0</v>
      </c>
    </row>
    <row r="2136" spans="1:8" x14ac:dyDescent="0.2">
      <c r="A2136" s="37">
        <v>2134</v>
      </c>
      <c r="C2136" s="17">
        <f>+'Detalle Compras'!D1601</f>
        <v>0</v>
      </c>
      <c r="D2136" s="55" t="str">
        <f t="shared" si="112"/>
        <v/>
      </c>
      <c r="E2136" s="14" t="str">
        <f>+IF(B2136="","",'Detalle Compras'!S2136+0)</f>
        <v/>
      </c>
      <c r="F2136" s="14" t="str">
        <f>+IF(B2136="","",EOMONTH('Detalle Compras'!S2136,G2136)+10)</f>
        <v/>
      </c>
      <c r="G2136" s="50">
        <f t="shared" si="113"/>
        <v>0</v>
      </c>
      <c r="H2136" s="50">
        <f t="shared" si="114"/>
        <v>0</v>
      </c>
    </row>
    <row r="2137" spans="1:8" x14ac:dyDescent="0.2">
      <c r="A2137" s="37">
        <v>2135</v>
      </c>
      <c r="C2137" s="17">
        <f>+'Detalle Compras'!D1602</f>
        <v>0</v>
      </c>
      <c r="D2137" s="55" t="str">
        <f t="shared" si="112"/>
        <v/>
      </c>
      <c r="E2137" s="14" t="str">
        <f>+IF(B2137="","",'Detalle Compras'!S2137+0)</f>
        <v/>
      </c>
      <c r="F2137" s="14" t="str">
        <f>+IF(B2137="","",EOMONTH('Detalle Compras'!S2137,G2137)+10)</f>
        <v/>
      </c>
      <c r="G2137" s="50">
        <f t="shared" si="113"/>
        <v>0</v>
      </c>
      <c r="H2137" s="50">
        <f t="shared" si="114"/>
        <v>0</v>
      </c>
    </row>
    <row r="2138" spans="1:8" x14ac:dyDescent="0.2">
      <c r="A2138" s="37">
        <v>2136</v>
      </c>
      <c r="C2138" s="17">
        <f>+'Detalle Compras'!D1603</f>
        <v>0</v>
      </c>
      <c r="D2138" s="55" t="str">
        <f t="shared" si="112"/>
        <v/>
      </c>
      <c r="E2138" s="14" t="str">
        <f>+IF(B2138="","",'Detalle Compras'!S2138+0)</f>
        <v/>
      </c>
      <c r="F2138" s="14" t="str">
        <f>+IF(B2138="","",EOMONTH('Detalle Compras'!S2138,G2138)+10)</f>
        <v/>
      </c>
      <c r="G2138" s="50">
        <f t="shared" si="113"/>
        <v>0</v>
      </c>
      <c r="H2138" s="50">
        <f t="shared" si="114"/>
        <v>0</v>
      </c>
    </row>
    <row r="2139" spans="1:8" x14ac:dyDescent="0.2">
      <c r="A2139" s="37">
        <v>2137</v>
      </c>
      <c r="C2139" s="17">
        <f>+'Detalle Compras'!D1604</f>
        <v>0</v>
      </c>
      <c r="D2139" s="55" t="str">
        <f t="shared" si="112"/>
        <v/>
      </c>
      <c r="E2139" s="14" t="str">
        <f>+IF(B2139="","",'Detalle Compras'!S2139+0)</f>
        <v/>
      </c>
      <c r="F2139" s="14" t="str">
        <f>+IF(B2139="","",EOMONTH('Detalle Compras'!S2139,G2139)+10)</f>
        <v/>
      </c>
      <c r="G2139" s="50">
        <f t="shared" si="113"/>
        <v>0</v>
      </c>
      <c r="H2139" s="50">
        <f t="shared" si="114"/>
        <v>0</v>
      </c>
    </row>
    <row r="2140" spans="1:8" x14ac:dyDescent="0.2">
      <c r="A2140" s="37">
        <v>2138</v>
      </c>
      <c r="C2140" s="17">
        <f>+'Detalle Compras'!D1605</f>
        <v>0</v>
      </c>
      <c r="D2140" s="55" t="str">
        <f t="shared" si="112"/>
        <v/>
      </c>
      <c r="E2140" s="14" t="str">
        <f>+IF(B2140="","",'Detalle Compras'!S2140+0)</f>
        <v/>
      </c>
      <c r="F2140" s="14" t="str">
        <f>+IF(B2140="","",EOMONTH('Detalle Compras'!S2140,G2140)+10)</f>
        <v/>
      </c>
      <c r="G2140" s="50">
        <f t="shared" si="113"/>
        <v>0</v>
      </c>
      <c r="H2140" s="50">
        <f t="shared" si="114"/>
        <v>0</v>
      </c>
    </row>
    <row r="2141" spans="1:8" x14ac:dyDescent="0.2">
      <c r="A2141" s="37">
        <v>2139</v>
      </c>
      <c r="C2141" s="17">
        <f>+'Detalle Compras'!D1606</f>
        <v>0</v>
      </c>
      <c r="D2141" s="55" t="str">
        <f t="shared" si="112"/>
        <v/>
      </c>
      <c r="E2141" s="14" t="str">
        <f>+IF(B2141="","",'Detalle Compras'!S2141+0)</f>
        <v/>
      </c>
      <c r="F2141" s="14" t="str">
        <f>+IF(B2141="","",EOMONTH('Detalle Compras'!S2141,G2141)+10)</f>
        <v/>
      </c>
      <c r="G2141" s="50">
        <f t="shared" si="113"/>
        <v>0</v>
      </c>
      <c r="H2141" s="50">
        <f t="shared" si="114"/>
        <v>0</v>
      </c>
    </row>
    <row r="2142" spans="1:8" x14ac:dyDescent="0.2">
      <c r="A2142" s="37">
        <v>2140</v>
      </c>
      <c r="C2142" s="17">
        <f>+'Detalle Compras'!D1607</f>
        <v>0</v>
      </c>
      <c r="D2142" s="55" t="str">
        <f t="shared" si="112"/>
        <v/>
      </c>
      <c r="E2142" s="14" t="str">
        <f>+IF(B2142="","",'Detalle Compras'!S2142+0)</f>
        <v/>
      </c>
      <c r="F2142" s="14" t="str">
        <f>+IF(B2142="","",EOMONTH('Detalle Compras'!S2142,G2142)+10)</f>
        <v/>
      </c>
      <c r="G2142" s="50">
        <f t="shared" si="113"/>
        <v>0</v>
      </c>
      <c r="H2142" s="50">
        <f t="shared" si="114"/>
        <v>0</v>
      </c>
    </row>
    <row r="2143" spans="1:8" x14ac:dyDescent="0.2">
      <c r="A2143" s="37">
        <v>2141</v>
      </c>
      <c r="C2143" s="17">
        <f>+'Detalle Compras'!D1608</f>
        <v>0</v>
      </c>
      <c r="D2143" s="55" t="str">
        <f t="shared" si="112"/>
        <v/>
      </c>
      <c r="E2143" s="14" t="str">
        <f>+IF(B2143="","",'Detalle Compras'!S2143+0)</f>
        <v/>
      </c>
      <c r="F2143" s="14" t="str">
        <f>+IF(B2143="","",EOMONTH('Detalle Compras'!S2143,G2143)+10)</f>
        <v/>
      </c>
      <c r="G2143" s="50">
        <f t="shared" si="113"/>
        <v>0</v>
      </c>
      <c r="H2143" s="50">
        <f t="shared" si="114"/>
        <v>0</v>
      </c>
    </row>
    <row r="2144" spans="1:8" x14ac:dyDescent="0.2">
      <c r="A2144" s="37">
        <v>2142</v>
      </c>
      <c r="C2144" s="17">
        <f>+'Detalle Compras'!D1609</f>
        <v>0</v>
      </c>
      <c r="D2144" s="55" t="str">
        <f t="shared" si="112"/>
        <v/>
      </c>
      <c r="E2144" s="14" t="str">
        <f>+IF(B2144="","",'Detalle Compras'!S2144+0)</f>
        <v/>
      </c>
      <c r="F2144" s="14" t="str">
        <f>+IF(B2144="","",EOMONTH('Detalle Compras'!S2144,G2144)+10)</f>
        <v/>
      </c>
      <c r="G2144" s="50">
        <f t="shared" si="113"/>
        <v>0</v>
      </c>
      <c r="H2144" s="50">
        <f t="shared" si="114"/>
        <v>0</v>
      </c>
    </row>
    <row r="2145" spans="1:8" x14ac:dyDescent="0.2">
      <c r="A2145" s="37">
        <v>2143</v>
      </c>
      <c r="C2145" s="17">
        <f>+'Detalle Compras'!D1610</f>
        <v>0</v>
      </c>
      <c r="D2145" s="55" t="str">
        <f t="shared" si="112"/>
        <v/>
      </c>
      <c r="E2145" s="14" t="str">
        <f>+IF(B2145="","",'Detalle Compras'!S2145+0)</f>
        <v/>
      </c>
      <c r="F2145" s="14" t="str">
        <f>+IF(B2145="","",EOMONTH('Detalle Compras'!S2145,G2145)+10)</f>
        <v/>
      </c>
      <c r="G2145" s="50">
        <f t="shared" si="113"/>
        <v>0</v>
      </c>
      <c r="H2145" s="50">
        <f t="shared" si="114"/>
        <v>0</v>
      </c>
    </row>
    <row r="2146" spans="1:8" x14ac:dyDescent="0.2">
      <c r="A2146" s="37">
        <v>2144</v>
      </c>
      <c r="C2146" s="17">
        <f>+'Detalle Compras'!D1611</f>
        <v>0</v>
      </c>
      <c r="D2146" s="55" t="str">
        <f t="shared" si="112"/>
        <v/>
      </c>
      <c r="E2146" s="14" t="str">
        <f>+IF(B2146="","",'Detalle Compras'!S2146+0)</f>
        <v/>
      </c>
      <c r="F2146" s="14" t="str">
        <f>+IF(B2146="","",EOMONTH('Detalle Compras'!S2146,G2146)+10)</f>
        <v/>
      </c>
      <c r="G2146" s="50">
        <f t="shared" si="113"/>
        <v>0</v>
      </c>
      <c r="H2146" s="50">
        <f t="shared" si="114"/>
        <v>0</v>
      </c>
    </row>
    <row r="2147" spans="1:8" x14ac:dyDescent="0.2">
      <c r="A2147" s="37">
        <v>2145</v>
      </c>
      <c r="C2147" s="17">
        <f>+'Detalle Compras'!D1612</f>
        <v>0</v>
      </c>
      <c r="D2147" s="55" t="str">
        <f t="shared" si="112"/>
        <v/>
      </c>
      <c r="E2147" s="14" t="str">
        <f>+IF(B2147="","",'Detalle Compras'!S2147+0)</f>
        <v/>
      </c>
      <c r="F2147" s="14" t="str">
        <f>+IF(B2147="","",EOMONTH('Detalle Compras'!S2147,G2147)+10)</f>
        <v/>
      </c>
      <c r="G2147" s="50">
        <f t="shared" si="113"/>
        <v>0</v>
      </c>
      <c r="H2147" s="50">
        <f t="shared" si="114"/>
        <v>0</v>
      </c>
    </row>
    <row r="2148" spans="1:8" x14ac:dyDescent="0.2">
      <c r="A2148" s="37">
        <v>2146</v>
      </c>
      <c r="C2148" s="17">
        <f>+'Detalle Compras'!D1613</f>
        <v>0</v>
      </c>
      <c r="D2148" s="55" t="str">
        <f t="shared" si="112"/>
        <v/>
      </c>
      <c r="E2148" s="14" t="str">
        <f>+IF(B2148="","",'Detalle Compras'!S2148+0)</f>
        <v/>
      </c>
      <c r="F2148" s="14" t="str">
        <f>+IF(B2148="","",EOMONTH('Detalle Compras'!S2148,G2148)+10)</f>
        <v/>
      </c>
      <c r="G2148" s="50">
        <f t="shared" si="113"/>
        <v>0</v>
      </c>
      <c r="H2148" s="50">
        <f t="shared" si="114"/>
        <v>0</v>
      </c>
    </row>
    <row r="2149" spans="1:8" x14ac:dyDescent="0.2">
      <c r="A2149" s="37">
        <v>2147</v>
      </c>
      <c r="C2149" s="17">
        <f>+'Detalle Compras'!D1614</f>
        <v>0</v>
      </c>
      <c r="D2149" s="55" t="str">
        <f t="shared" si="112"/>
        <v/>
      </c>
      <c r="E2149" s="14" t="str">
        <f>+IF(B2149="","",'Detalle Compras'!S2149+0)</f>
        <v/>
      </c>
      <c r="F2149" s="14" t="str">
        <f>+IF(B2149="","",EOMONTH('Detalle Compras'!S2149,G2149)+10)</f>
        <v/>
      </c>
      <c r="G2149" s="50">
        <f t="shared" si="113"/>
        <v>0</v>
      </c>
      <c r="H2149" s="50">
        <f t="shared" si="114"/>
        <v>0</v>
      </c>
    </row>
    <row r="2150" spans="1:8" x14ac:dyDescent="0.2">
      <c r="A2150" s="37">
        <v>2148</v>
      </c>
      <c r="C2150" s="17">
        <f>+'Detalle Compras'!D1615</f>
        <v>0</v>
      </c>
      <c r="D2150" s="55" t="str">
        <f t="shared" si="112"/>
        <v/>
      </c>
      <c r="E2150" s="14" t="str">
        <f>+IF(B2150="","",'Detalle Compras'!S2150+0)</f>
        <v/>
      </c>
      <c r="F2150" s="14" t="str">
        <f>+IF(B2150="","",EOMONTH('Detalle Compras'!S2150,G2150)+10)</f>
        <v/>
      </c>
      <c r="G2150" s="50">
        <f t="shared" si="113"/>
        <v>0</v>
      </c>
      <c r="H2150" s="50">
        <f t="shared" si="114"/>
        <v>0</v>
      </c>
    </row>
    <row r="2151" spans="1:8" x14ac:dyDescent="0.2">
      <c r="A2151" s="37">
        <v>2149</v>
      </c>
      <c r="C2151" s="17">
        <f>+'Detalle Compras'!D1616</f>
        <v>0</v>
      </c>
      <c r="D2151" s="55" t="str">
        <f t="shared" si="112"/>
        <v/>
      </c>
      <c r="E2151" s="14" t="str">
        <f>+IF(B2151="","",'Detalle Compras'!S2151+0)</f>
        <v/>
      </c>
      <c r="F2151" s="14" t="str">
        <f>+IF(B2151="","",EOMONTH('Detalle Compras'!S2151,G2151)+10)</f>
        <v/>
      </c>
      <c r="G2151" s="50">
        <f t="shared" si="113"/>
        <v>0</v>
      </c>
      <c r="H2151" s="50">
        <f t="shared" si="114"/>
        <v>0</v>
      </c>
    </row>
    <row r="2152" spans="1:8" x14ac:dyDescent="0.2">
      <c r="A2152" s="37">
        <v>2150</v>
      </c>
      <c r="C2152" s="17">
        <f>+'Detalle Compras'!D1617</f>
        <v>0</v>
      </c>
      <c r="D2152" s="55" t="str">
        <f t="shared" si="112"/>
        <v/>
      </c>
      <c r="E2152" s="14" t="str">
        <f>+IF(B2152="","",'Detalle Compras'!S2152+0)</f>
        <v/>
      </c>
      <c r="F2152" s="14" t="str">
        <f>+IF(B2152="","",EOMONTH('Detalle Compras'!S2152,G2152)+10)</f>
        <v/>
      </c>
      <c r="G2152" s="50">
        <f t="shared" si="113"/>
        <v>0</v>
      </c>
      <c r="H2152" s="50">
        <f t="shared" si="114"/>
        <v>0</v>
      </c>
    </row>
    <row r="2153" spans="1:8" x14ac:dyDescent="0.2">
      <c r="A2153" s="37">
        <v>2151</v>
      </c>
      <c r="C2153" s="17">
        <f>+'Detalle Compras'!D1618</f>
        <v>0</v>
      </c>
      <c r="D2153" s="55" t="str">
        <f t="shared" si="112"/>
        <v/>
      </c>
      <c r="E2153" s="14" t="str">
        <f>+IF(B2153="","",'Detalle Compras'!S2153+0)</f>
        <v/>
      </c>
      <c r="F2153" s="14" t="str">
        <f>+IF(B2153="","",EOMONTH('Detalle Compras'!S2153,G2153)+10)</f>
        <v/>
      </c>
      <c r="G2153" s="50">
        <f t="shared" si="113"/>
        <v>0</v>
      </c>
      <c r="H2153" s="50">
        <f t="shared" si="114"/>
        <v>0</v>
      </c>
    </row>
    <row r="2154" spans="1:8" x14ac:dyDescent="0.2">
      <c r="A2154" s="37">
        <v>2152</v>
      </c>
      <c r="C2154" s="17">
        <f>+'Detalle Compras'!D1619</f>
        <v>0</v>
      </c>
      <c r="D2154" s="55" t="str">
        <f t="shared" si="112"/>
        <v/>
      </c>
      <c r="E2154" s="14" t="str">
        <f>+IF(B2154="","",'Detalle Compras'!S2154+0)</f>
        <v/>
      </c>
      <c r="F2154" s="14" t="str">
        <f>+IF(B2154="","",EOMONTH('Detalle Compras'!S2154,G2154)+10)</f>
        <v/>
      </c>
      <c r="G2154" s="50">
        <f t="shared" si="113"/>
        <v>0</v>
      </c>
      <c r="H2154" s="50">
        <f t="shared" si="114"/>
        <v>0</v>
      </c>
    </row>
    <row r="2155" spans="1:8" x14ac:dyDescent="0.2">
      <c r="A2155" s="37">
        <v>2153</v>
      </c>
      <c r="C2155" s="17">
        <f>+'Detalle Compras'!D1620</f>
        <v>0</v>
      </c>
      <c r="D2155" s="55" t="str">
        <f t="shared" si="112"/>
        <v/>
      </c>
      <c r="E2155" s="14" t="str">
        <f>+IF(B2155="","",'Detalle Compras'!S2155+0)</f>
        <v/>
      </c>
      <c r="F2155" s="14" t="str">
        <f>+IF(B2155="","",EOMONTH('Detalle Compras'!S2155,G2155)+10)</f>
        <v/>
      </c>
      <c r="G2155" s="50">
        <f t="shared" si="113"/>
        <v>0</v>
      </c>
      <c r="H2155" s="50">
        <f t="shared" si="114"/>
        <v>0</v>
      </c>
    </row>
    <row r="2156" spans="1:8" x14ac:dyDescent="0.2">
      <c r="A2156" s="37">
        <v>2154</v>
      </c>
      <c r="C2156" s="17">
        <f>+'Detalle Compras'!D1621</f>
        <v>0</v>
      </c>
      <c r="D2156" s="55" t="str">
        <f t="shared" si="112"/>
        <v/>
      </c>
      <c r="E2156" s="14" t="str">
        <f>+IF(B2156="","",'Detalle Compras'!S2156+0)</f>
        <v/>
      </c>
      <c r="F2156" s="14" t="str">
        <f>+IF(B2156="","",EOMONTH('Detalle Compras'!S2156,G2156)+10)</f>
        <v/>
      </c>
      <c r="G2156" s="50">
        <f t="shared" si="113"/>
        <v>0</v>
      </c>
      <c r="H2156" s="50">
        <f t="shared" si="114"/>
        <v>0</v>
      </c>
    </row>
    <row r="2157" spans="1:8" x14ac:dyDescent="0.2">
      <c r="A2157" s="37">
        <v>2155</v>
      </c>
      <c r="C2157" s="17">
        <f>+'Detalle Compras'!D1622</f>
        <v>0</v>
      </c>
      <c r="D2157" s="55" t="str">
        <f t="shared" si="112"/>
        <v/>
      </c>
      <c r="E2157" s="14" t="str">
        <f>+IF(B2157="","",'Detalle Compras'!S2157+0)</f>
        <v/>
      </c>
      <c r="F2157" s="14" t="str">
        <f>+IF(B2157="","",EOMONTH('Detalle Compras'!S2157,G2157)+10)</f>
        <v/>
      </c>
      <c r="G2157" s="50">
        <f t="shared" si="113"/>
        <v>0</v>
      </c>
      <c r="H2157" s="50">
        <f t="shared" si="114"/>
        <v>0</v>
      </c>
    </row>
    <row r="2158" spans="1:8" x14ac:dyDescent="0.2">
      <c r="A2158" s="37">
        <v>2156</v>
      </c>
      <c r="C2158" s="17">
        <f>+'Detalle Compras'!D1623</f>
        <v>0</v>
      </c>
      <c r="D2158" s="55" t="str">
        <f t="shared" si="112"/>
        <v/>
      </c>
      <c r="E2158" s="14" t="str">
        <f>+IF(B2158="","",'Detalle Compras'!S2158+0)</f>
        <v/>
      </c>
      <c r="F2158" s="14" t="str">
        <f>+IF(B2158="","",EOMONTH('Detalle Compras'!S2158,G2158)+10)</f>
        <v/>
      </c>
      <c r="G2158" s="50">
        <f t="shared" si="113"/>
        <v>0</v>
      </c>
      <c r="H2158" s="50">
        <f t="shared" si="114"/>
        <v>0</v>
      </c>
    </row>
    <row r="2159" spans="1:8" x14ac:dyDescent="0.2">
      <c r="A2159" s="37">
        <v>2157</v>
      </c>
      <c r="C2159" s="17">
        <f>+'Detalle Compras'!D1624</f>
        <v>0</v>
      </c>
      <c r="D2159" s="55" t="str">
        <f t="shared" si="112"/>
        <v/>
      </c>
      <c r="E2159" s="14" t="str">
        <f>+IF(B2159="","",'Detalle Compras'!S2159+0)</f>
        <v/>
      </c>
      <c r="F2159" s="14" t="str">
        <f>+IF(B2159="","",EOMONTH('Detalle Compras'!S2159,G2159)+10)</f>
        <v/>
      </c>
      <c r="G2159" s="50">
        <f t="shared" si="113"/>
        <v>0</v>
      </c>
      <c r="H2159" s="50">
        <f t="shared" si="114"/>
        <v>0</v>
      </c>
    </row>
    <row r="2160" spans="1:8" x14ac:dyDescent="0.2">
      <c r="A2160" s="37">
        <v>2158</v>
      </c>
      <c r="C2160" s="17">
        <f>+'Detalle Compras'!D1625</f>
        <v>0</v>
      </c>
      <c r="D2160" s="55" t="str">
        <f t="shared" si="112"/>
        <v/>
      </c>
      <c r="E2160" s="14" t="str">
        <f>+IF(B2160="","",'Detalle Compras'!S2160+0)</f>
        <v/>
      </c>
      <c r="F2160" s="14" t="str">
        <f>+IF(B2160="","",EOMONTH('Detalle Compras'!S2160,G2160)+10)</f>
        <v/>
      </c>
      <c r="G2160" s="50">
        <f t="shared" si="113"/>
        <v>0</v>
      </c>
      <c r="H2160" s="50">
        <f t="shared" si="114"/>
        <v>0</v>
      </c>
    </row>
    <row r="2161" spans="1:8" x14ac:dyDescent="0.2">
      <c r="A2161" s="37">
        <v>2159</v>
      </c>
      <c r="C2161" s="17">
        <f>+'Detalle Compras'!D1626</f>
        <v>0</v>
      </c>
      <c r="D2161" s="55" t="str">
        <f t="shared" si="112"/>
        <v/>
      </c>
      <c r="E2161" s="14" t="str">
        <f>+IF(B2161="","",'Detalle Compras'!S2161+0)</f>
        <v/>
      </c>
      <c r="F2161" s="14" t="str">
        <f>+IF(B2161="","",EOMONTH('Detalle Compras'!S2161,G2161)+10)</f>
        <v/>
      </c>
      <c r="G2161" s="50">
        <f t="shared" si="113"/>
        <v>0</v>
      </c>
      <c r="H2161" s="50">
        <f t="shared" si="114"/>
        <v>0</v>
      </c>
    </row>
    <row r="2162" spans="1:8" x14ac:dyDescent="0.2">
      <c r="A2162" s="37">
        <v>2160</v>
      </c>
      <c r="C2162" s="17">
        <f>+'Detalle Compras'!D1627</f>
        <v>0</v>
      </c>
      <c r="D2162" s="55" t="str">
        <f t="shared" si="112"/>
        <v/>
      </c>
      <c r="E2162" s="14" t="str">
        <f>+IF(B2162="","",'Detalle Compras'!S2162+0)</f>
        <v/>
      </c>
      <c r="F2162" s="14" t="str">
        <f>+IF(B2162="","",EOMONTH('Detalle Compras'!S2162,G2162)+10)</f>
        <v/>
      </c>
      <c r="G2162" s="50">
        <f t="shared" si="113"/>
        <v>0</v>
      </c>
      <c r="H2162" s="50">
        <f t="shared" si="114"/>
        <v>0</v>
      </c>
    </row>
    <row r="2163" spans="1:8" x14ac:dyDescent="0.2">
      <c r="A2163" s="37">
        <v>2161</v>
      </c>
      <c r="C2163" s="17">
        <f>+'Detalle Compras'!D1628</f>
        <v>0</v>
      </c>
      <c r="D2163" s="55" t="str">
        <f t="shared" si="112"/>
        <v/>
      </c>
      <c r="E2163" s="14" t="str">
        <f>+IF(B2163="","",'Detalle Compras'!S2163+0)</f>
        <v/>
      </c>
      <c r="F2163" s="14" t="str">
        <f>+IF(B2163="","",EOMONTH('Detalle Compras'!S2163,G2163)+10)</f>
        <v/>
      </c>
      <c r="G2163" s="50">
        <f t="shared" si="113"/>
        <v>0</v>
      </c>
      <c r="H2163" s="50">
        <f t="shared" si="114"/>
        <v>0</v>
      </c>
    </row>
    <row r="2164" spans="1:8" x14ac:dyDescent="0.2">
      <c r="A2164" s="37">
        <v>2162</v>
      </c>
      <c r="C2164" s="17">
        <f>+'Detalle Compras'!D1629</f>
        <v>0</v>
      </c>
      <c r="D2164" s="55" t="str">
        <f t="shared" si="112"/>
        <v/>
      </c>
      <c r="E2164" s="14" t="str">
        <f>+IF(B2164="","",'Detalle Compras'!S2164+0)</f>
        <v/>
      </c>
      <c r="F2164" s="14" t="str">
        <f>+IF(B2164="","",EOMONTH('Detalle Compras'!S2164,G2164)+10)</f>
        <v/>
      </c>
      <c r="G2164" s="50">
        <f t="shared" si="113"/>
        <v>0</v>
      </c>
      <c r="H2164" s="50">
        <f t="shared" si="114"/>
        <v>0</v>
      </c>
    </row>
    <row r="2165" spans="1:8" x14ac:dyDescent="0.2">
      <c r="A2165" s="37">
        <v>2163</v>
      </c>
      <c r="C2165" s="17">
        <f>+'Detalle Compras'!D1630</f>
        <v>0</v>
      </c>
      <c r="D2165" s="55" t="str">
        <f t="shared" si="112"/>
        <v/>
      </c>
      <c r="E2165" s="14" t="str">
        <f>+IF(B2165="","",'Detalle Compras'!S2165+0)</f>
        <v/>
      </c>
      <c r="F2165" s="14" t="str">
        <f>+IF(B2165="","",EOMONTH('Detalle Compras'!S2165,G2165)+10)</f>
        <v/>
      </c>
      <c r="G2165" s="50">
        <f t="shared" si="113"/>
        <v>0</v>
      </c>
      <c r="H2165" s="50">
        <f t="shared" si="114"/>
        <v>0</v>
      </c>
    </row>
    <row r="2166" spans="1:8" x14ac:dyDescent="0.2">
      <c r="A2166" s="37">
        <v>2164</v>
      </c>
      <c r="C2166" s="17">
        <f>+'Detalle Compras'!D1631</f>
        <v>0</v>
      </c>
      <c r="D2166" s="55" t="str">
        <f t="shared" si="112"/>
        <v/>
      </c>
      <c r="E2166" s="14" t="str">
        <f>+IF(B2166="","",'Detalle Compras'!S2166+0)</f>
        <v/>
      </c>
      <c r="F2166" s="14" t="str">
        <f>+IF(B2166="","",EOMONTH('Detalle Compras'!S2166,G2166)+10)</f>
        <v/>
      </c>
      <c r="G2166" s="50">
        <f t="shared" si="113"/>
        <v>0</v>
      </c>
      <c r="H2166" s="50">
        <f t="shared" si="114"/>
        <v>0</v>
      </c>
    </row>
    <row r="2167" spans="1:8" x14ac:dyDescent="0.2">
      <c r="A2167" s="37">
        <v>2165</v>
      </c>
      <c r="C2167" s="17">
        <f>+'Detalle Compras'!D1632</f>
        <v>0</v>
      </c>
      <c r="D2167" s="55" t="str">
        <f t="shared" si="112"/>
        <v/>
      </c>
      <c r="E2167" s="14" t="str">
        <f>+IF(B2167="","",'Detalle Compras'!S2167+0)</f>
        <v/>
      </c>
      <c r="F2167" s="14" t="str">
        <f>+IF(B2167="","",EOMONTH('Detalle Compras'!S2167,G2167)+10)</f>
        <v/>
      </c>
      <c r="G2167" s="50">
        <f t="shared" si="113"/>
        <v>0</v>
      </c>
      <c r="H2167" s="50">
        <f t="shared" si="114"/>
        <v>0</v>
      </c>
    </row>
    <row r="2168" spans="1:8" x14ac:dyDescent="0.2">
      <c r="A2168" s="37">
        <v>2166</v>
      </c>
      <c r="C2168" s="17">
        <f>+'Detalle Compras'!D1633</f>
        <v>0</v>
      </c>
      <c r="D2168" s="55" t="str">
        <f t="shared" si="112"/>
        <v/>
      </c>
      <c r="E2168" s="14" t="str">
        <f>+IF(B2168="","",'Detalle Compras'!S2168+0)</f>
        <v/>
      </c>
      <c r="F2168" s="14" t="str">
        <f>+IF(B2168="","",EOMONTH('Detalle Compras'!S2168,G2168)+10)</f>
        <v/>
      </c>
      <c r="G2168" s="50">
        <f t="shared" si="113"/>
        <v>0</v>
      </c>
      <c r="H2168" s="50">
        <f t="shared" si="114"/>
        <v>0</v>
      </c>
    </row>
    <row r="2169" spans="1:8" x14ac:dyDescent="0.2">
      <c r="C2169" s="17"/>
      <c r="D2169" s="17"/>
      <c r="E2169" s="17"/>
      <c r="F2169" s="17"/>
    </row>
  </sheetData>
  <conditionalFormatting sqref="B1:B1048576">
    <cfRule type="duplicateValues" dxfId="62" priority="1"/>
  </conditionalFormatting>
  <conditionalFormatting sqref="B11:B12">
    <cfRule type="duplicateValues" dxfId="61" priority="98"/>
    <cfRule type="duplicateValues" dxfId="60" priority="99"/>
  </conditionalFormatting>
  <conditionalFormatting sqref="B13:B14">
    <cfRule type="duplicateValues" dxfId="59" priority="96"/>
    <cfRule type="duplicateValues" dxfId="58" priority="97"/>
  </conditionalFormatting>
  <conditionalFormatting sqref="B15">
    <cfRule type="duplicateValues" dxfId="57" priority="94"/>
    <cfRule type="duplicateValues" dxfId="56" priority="95"/>
  </conditionalFormatting>
  <conditionalFormatting sqref="B16:B41">
    <cfRule type="duplicateValues" dxfId="55" priority="2"/>
    <cfRule type="duplicateValues" dxfId="54" priority="3"/>
  </conditionalFormatting>
  <conditionalFormatting sqref="B48">
    <cfRule type="duplicateValues" dxfId="53" priority="56"/>
    <cfRule type="duplicateValues" dxfId="52" priority="57"/>
  </conditionalFormatting>
  <conditionalFormatting sqref="B49">
    <cfRule type="duplicateValues" dxfId="51" priority="54"/>
    <cfRule type="duplicateValues" dxfId="50" priority="55"/>
  </conditionalFormatting>
  <conditionalFormatting sqref="B50">
    <cfRule type="duplicateValues" dxfId="49" priority="52"/>
    <cfRule type="duplicateValues" dxfId="48" priority="53"/>
  </conditionalFormatting>
  <conditionalFormatting sqref="B51">
    <cfRule type="duplicateValues" dxfId="47" priority="50"/>
    <cfRule type="duplicateValues" dxfId="46" priority="51"/>
  </conditionalFormatting>
  <conditionalFormatting sqref="B52">
    <cfRule type="duplicateValues" dxfId="45" priority="48"/>
    <cfRule type="duplicateValues" dxfId="44" priority="49"/>
  </conditionalFormatting>
  <conditionalFormatting sqref="B53">
    <cfRule type="duplicateValues" dxfId="43" priority="46"/>
    <cfRule type="duplicateValues" dxfId="42" priority="47"/>
  </conditionalFormatting>
  <conditionalFormatting sqref="B54">
    <cfRule type="duplicateValues" dxfId="41" priority="44"/>
    <cfRule type="duplicateValues" dxfId="40" priority="45"/>
  </conditionalFormatting>
  <conditionalFormatting sqref="B55">
    <cfRule type="duplicateValues" dxfId="39" priority="42"/>
    <cfRule type="duplicateValues" dxfId="38" priority="43"/>
  </conditionalFormatting>
  <conditionalFormatting sqref="B56">
    <cfRule type="duplicateValues" dxfId="37" priority="40"/>
    <cfRule type="duplicateValues" dxfId="36" priority="41"/>
  </conditionalFormatting>
  <conditionalFormatting sqref="B57">
    <cfRule type="duplicateValues" dxfId="35" priority="38"/>
    <cfRule type="duplicateValues" dxfId="34" priority="39"/>
  </conditionalFormatting>
  <conditionalFormatting sqref="B58">
    <cfRule type="duplicateValues" dxfId="33" priority="36"/>
    <cfRule type="duplicateValues" dxfId="32" priority="37"/>
  </conditionalFormatting>
  <conditionalFormatting sqref="B59">
    <cfRule type="duplicateValues" dxfId="31" priority="34"/>
    <cfRule type="duplicateValues" dxfId="30" priority="35"/>
  </conditionalFormatting>
  <conditionalFormatting sqref="B60">
    <cfRule type="duplicateValues" dxfId="29" priority="32"/>
    <cfRule type="duplicateValues" dxfId="28" priority="33"/>
  </conditionalFormatting>
  <conditionalFormatting sqref="B61">
    <cfRule type="duplicateValues" dxfId="27" priority="30"/>
    <cfRule type="duplicateValues" dxfId="26" priority="31"/>
  </conditionalFormatting>
  <conditionalFormatting sqref="B88:B90">
    <cfRule type="duplicateValues" dxfId="25" priority="28"/>
    <cfRule type="duplicateValues" dxfId="24" priority="29"/>
  </conditionalFormatting>
  <conditionalFormatting sqref="B97:B98 B91:B95">
    <cfRule type="duplicateValues" dxfId="23" priority="26"/>
    <cfRule type="duplicateValues" dxfId="22" priority="27"/>
  </conditionalFormatting>
  <conditionalFormatting sqref="B99:B117">
    <cfRule type="duplicateValues" dxfId="21" priority="24"/>
    <cfRule type="duplicateValues" dxfId="20" priority="25"/>
  </conditionalFormatting>
  <conditionalFormatting sqref="B118">
    <cfRule type="duplicateValues" dxfId="19" priority="22"/>
    <cfRule type="duplicateValues" dxfId="18" priority="23"/>
  </conditionalFormatting>
  <conditionalFormatting sqref="B119">
    <cfRule type="duplicateValues" dxfId="17" priority="20"/>
    <cfRule type="duplicateValues" dxfId="16" priority="21"/>
  </conditionalFormatting>
  <conditionalFormatting sqref="B120">
    <cfRule type="duplicateValues" dxfId="15" priority="16"/>
    <cfRule type="duplicateValues" dxfId="14" priority="17"/>
  </conditionalFormatting>
  <conditionalFormatting sqref="B121:B126">
    <cfRule type="duplicateValues" dxfId="13" priority="18"/>
    <cfRule type="duplicateValues" dxfId="12" priority="19"/>
  </conditionalFormatting>
  <conditionalFormatting sqref="B342:B345">
    <cfRule type="duplicateValues" dxfId="11" priority="14"/>
    <cfRule type="duplicateValues" dxfId="10" priority="15"/>
  </conditionalFormatting>
  <conditionalFormatting sqref="B346:B351">
    <cfRule type="duplicateValues" dxfId="9" priority="12"/>
    <cfRule type="duplicateValues" dxfId="8" priority="13"/>
  </conditionalFormatting>
  <conditionalFormatting sqref="B352:B363">
    <cfRule type="duplicateValues" dxfId="7" priority="10"/>
    <cfRule type="duplicateValues" dxfId="6" priority="11"/>
  </conditionalFormatting>
  <conditionalFormatting sqref="C3:C1580">
    <cfRule type="duplicateValues" dxfId="5" priority="4"/>
    <cfRule type="duplicateValues" dxfId="4" priority="5"/>
  </conditionalFormatting>
  <conditionalFormatting sqref="C1581">
    <cfRule type="duplicateValues" dxfId="3" priority="8"/>
    <cfRule type="duplicateValues" dxfId="2" priority="9"/>
  </conditionalFormatting>
  <conditionalFormatting sqref="C2169:F2169 C1582:C2168">
    <cfRule type="duplicateValues" dxfId="1" priority="6"/>
    <cfRule type="duplicateValues" dxfId="0" priority="7"/>
  </conditionalFormatting>
  <pageMargins left="0.7" right="0.7" top="0.75" bottom="0.75" header="0.3" footer="0.3"/>
  <pageSetup orientation="portrait" horizontalDpi="300" verticalDpi="300" r:id="rId1"/>
  <headerFooter>
    <oddFooter>&amp;L&amp;1#&amp;"Calibri"&amp;10&amp;K000000Internal Use Only</oddFooter>
  </headerFooter>
  <ignoredErrors>
    <ignoredError sqref="H2169:H1048576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79B7A-D362-406B-B424-DE2B2528E79F}">
  <dimension ref="A1:C345"/>
  <sheetViews>
    <sheetView workbookViewId="0">
      <selection activeCell="V25" sqref="V25"/>
    </sheetView>
  </sheetViews>
  <sheetFormatPr defaultRowHeight="15" x14ac:dyDescent="0.25"/>
  <sheetData>
    <row r="1" spans="1:3" x14ac:dyDescent="0.25">
      <c r="A1" s="68" t="s">
        <v>133</v>
      </c>
      <c r="B1" s="68" t="s">
        <v>169</v>
      </c>
    </row>
    <row r="2" spans="1:3" x14ac:dyDescent="0.25">
      <c r="A2" t="s">
        <v>170</v>
      </c>
      <c r="B2" t="s">
        <v>171</v>
      </c>
      <c r="C2" t="str">
        <f>+"R. de "&amp;B2</f>
        <v>R. de Arica y Parinacota</v>
      </c>
    </row>
    <row r="3" spans="1:3" x14ac:dyDescent="0.25">
      <c r="A3" t="s">
        <v>172</v>
      </c>
      <c r="B3" t="s">
        <v>171</v>
      </c>
      <c r="C3" t="str">
        <f t="shared" ref="C3:C66" si="0">+"R. de "&amp;B3</f>
        <v>R. de Arica y Parinacota</v>
      </c>
    </row>
    <row r="4" spans="1:3" x14ac:dyDescent="0.25">
      <c r="A4" t="s">
        <v>173</v>
      </c>
      <c r="B4" t="s">
        <v>171</v>
      </c>
      <c r="C4" t="str">
        <f t="shared" si="0"/>
        <v>R. de Arica y Parinacota</v>
      </c>
    </row>
    <row r="5" spans="1:3" x14ac:dyDescent="0.25">
      <c r="A5" t="s">
        <v>174</v>
      </c>
      <c r="B5" t="s">
        <v>171</v>
      </c>
      <c r="C5" t="str">
        <f t="shared" si="0"/>
        <v>R. de Arica y Parinacota</v>
      </c>
    </row>
    <row r="6" spans="1:3" x14ac:dyDescent="0.25">
      <c r="A6" t="s">
        <v>164</v>
      </c>
      <c r="B6" t="s">
        <v>175</v>
      </c>
      <c r="C6" t="str">
        <f t="shared" si="0"/>
        <v>R. de Tarapacá</v>
      </c>
    </row>
    <row r="7" spans="1:3" x14ac:dyDescent="0.25">
      <c r="A7" t="s">
        <v>176</v>
      </c>
      <c r="B7" t="s">
        <v>175</v>
      </c>
      <c r="C7" t="str">
        <f t="shared" si="0"/>
        <v>R. de Tarapacá</v>
      </c>
    </row>
    <row r="8" spans="1:3" x14ac:dyDescent="0.25">
      <c r="A8" t="s">
        <v>177</v>
      </c>
      <c r="B8" t="s">
        <v>175</v>
      </c>
      <c r="C8" t="str">
        <f t="shared" si="0"/>
        <v>R. de Tarapacá</v>
      </c>
    </row>
    <row r="9" spans="1:3" x14ac:dyDescent="0.25">
      <c r="A9" t="s">
        <v>178</v>
      </c>
      <c r="B9" t="s">
        <v>175</v>
      </c>
      <c r="C9" t="str">
        <f t="shared" si="0"/>
        <v>R. de Tarapacá</v>
      </c>
    </row>
    <row r="10" spans="1:3" x14ac:dyDescent="0.25">
      <c r="A10" t="s">
        <v>179</v>
      </c>
      <c r="B10" t="s">
        <v>175</v>
      </c>
      <c r="C10" t="str">
        <f t="shared" si="0"/>
        <v>R. de Tarapacá</v>
      </c>
    </row>
    <row r="11" spans="1:3" x14ac:dyDescent="0.25">
      <c r="A11" t="s">
        <v>180</v>
      </c>
      <c r="B11" t="s">
        <v>175</v>
      </c>
      <c r="C11" t="str">
        <f t="shared" si="0"/>
        <v>R. de Tarapacá</v>
      </c>
    </row>
    <row r="12" spans="1:3" x14ac:dyDescent="0.25">
      <c r="A12" t="s">
        <v>181</v>
      </c>
      <c r="B12" t="s">
        <v>175</v>
      </c>
      <c r="C12" t="str">
        <f t="shared" si="0"/>
        <v>R. de Tarapacá</v>
      </c>
    </row>
    <row r="13" spans="1:3" x14ac:dyDescent="0.25">
      <c r="A13" t="s">
        <v>182</v>
      </c>
      <c r="B13" t="s">
        <v>182</v>
      </c>
      <c r="C13" t="str">
        <f t="shared" si="0"/>
        <v>R. de Antofagasta</v>
      </c>
    </row>
    <row r="14" spans="1:3" x14ac:dyDescent="0.25">
      <c r="A14" t="s">
        <v>183</v>
      </c>
      <c r="B14" t="s">
        <v>182</v>
      </c>
      <c r="C14" t="str">
        <f t="shared" si="0"/>
        <v>R. de Antofagasta</v>
      </c>
    </row>
    <row r="15" spans="1:3" x14ac:dyDescent="0.25">
      <c r="A15" t="s">
        <v>184</v>
      </c>
      <c r="B15" t="s">
        <v>182</v>
      </c>
      <c r="C15" t="str">
        <f t="shared" si="0"/>
        <v>R. de Antofagasta</v>
      </c>
    </row>
    <row r="16" spans="1:3" x14ac:dyDescent="0.25">
      <c r="A16" t="s">
        <v>185</v>
      </c>
      <c r="B16" t="s">
        <v>182</v>
      </c>
      <c r="C16" t="str">
        <f t="shared" si="0"/>
        <v>R. de Antofagasta</v>
      </c>
    </row>
    <row r="17" spans="1:3" x14ac:dyDescent="0.25">
      <c r="A17" t="s">
        <v>186</v>
      </c>
      <c r="B17" t="s">
        <v>182</v>
      </c>
      <c r="C17" t="str">
        <f t="shared" si="0"/>
        <v>R. de Antofagasta</v>
      </c>
    </row>
    <row r="18" spans="1:3" x14ac:dyDescent="0.25">
      <c r="A18" t="s">
        <v>187</v>
      </c>
      <c r="B18" t="s">
        <v>182</v>
      </c>
      <c r="C18" t="str">
        <f t="shared" si="0"/>
        <v>R. de Antofagasta</v>
      </c>
    </row>
    <row r="19" spans="1:3" x14ac:dyDescent="0.25">
      <c r="A19" t="s">
        <v>188</v>
      </c>
      <c r="B19" t="s">
        <v>182</v>
      </c>
      <c r="C19" t="str">
        <f t="shared" si="0"/>
        <v>R. de Antofagasta</v>
      </c>
    </row>
    <row r="20" spans="1:3" x14ac:dyDescent="0.25">
      <c r="A20" t="s">
        <v>189</v>
      </c>
      <c r="B20" t="s">
        <v>182</v>
      </c>
      <c r="C20" t="str">
        <f t="shared" si="0"/>
        <v>R. de Antofagasta</v>
      </c>
    </row>
    <row r="21" spans="1:3" x14ac:dyDescent="0.25">
      <c r="A21" t="s">
        <v>190</v>
      </c>
      <c r="B21" t="s">
        <v>182</v>
      </c>
      <c r="C21" t="str">
        <f t="shared" si="0"/>
        <v>R. de Antofagasta</v>
      </c>
    </row>
    <row r="22" spans="1:3" x14ac:dyDescent="0.25">
      <c r="A22" t="s">
        <v>191</v>
      </c>
      <c r="B22" t="s">
        <v>192</v>
      </c>
      <c r="C22" t="str">
        <f t="shared" si="0"/>
        <v>R. de Atacama</v>
      </c>
    </row>
    <row r="23" spans="1:3" x14ac:dyDescent="0.25">
      <c r="A23" t="s">
        <v>193</v>
      </c>
      <c r="B23" t="s">
        <v>192</v>
      </c>
      <c r="C23" t="str">
        <f t="shared" si="0"/>
        <v>R. de Atacama</v>
      </c>
    </row>
    <row r="24" spans="1:3" x14ac:dyDescent="0.25">
      <c r="A24" t="s">
        <v>194</v>
      </c>
      <c r="B24" t="s">
        <v>192</v>
      </c>
      <c r="C24" t="str">
        <f t="shared" si="0"/>
        <v>R. de Atacama</v>
      </c>
    </row>
    <row r="25" spans="1:3" x14ac:dyDescent="0.25">
      <c r="A25" t="s">
        <v>195</v>
      </c>
      <c r="B25" t="s">
        <v>192</v>
      </c>
      <c r="C25" t="str">
        <f t="shared" si="0"/>
        <v>R. de Atacama</v>
      </c>
    </row>
    <row r="26" spans="1:3" x14ac:dyDescent="0.25">
      <c r="A26" t="s">
        <v>196</v>
      </c>
      <c r="B26" t="s">
        <v>192</v>
      </c>
      <c r="C26" t="str">
        <f t="shared" si="0"/>
        <v>R. de Atacama</v>
      </c>
    </row>
    <row r="27" spans="1:3" x14ac:dyDescent="0.25">
      <c r="A27" t="s">
        <v>197</v>
      </c>
      <c r="B27" t="s">
        <v>192</v>
      </c>
      <c r="C27" t="str">
        <f t="shared" si="0"/>
        <v>R. de Atacama</v>
      </c>
    </row>
    <row r="28" spans="1:3" x14ac:dyDescent="0.25">
      <c r="A28" t="s">
        <v>198</v>
      </c>
      <c r="B28" t="s">
        <v>192</v>
      </c>
      <c r="C28" t="str">
        <f t="shared" si="0"/>
        <v>R. de Atacama</v>
      </c>
    </row>
    <row r="29" spans="1:3" x14ac:dyDescent="0.25">
      <c r="A29" t="s">
        <v>199</v>
      </c>
      <c r="B29" t="s">
        <v>192</v>
      </c>
      <c r="C29" t="str">
        <f t="shared" si="0"/>
        <v>R. de Atacama</v>
      </c>
    </row>
    <row r="30" spans="1:3" x14ac:dyDescent="0.25">
      <c r="A30" t="s">
        <v>200</v>
      </c>
      <c r="B30" t="s">
        <v>192</v>
      </c>
      <c r="C30" t="str">
        <f t="shared" si="0"/>
        <v>R. de Atacama</v>
      </c>
    </row>
    <row r="31" spans="1:3" x14ac:dyDescent="0.25">
      <c r="A31" t="s">
        <v>149</v>
      </c>
      <c r="B31" t="s">
        <v>148</v>
      </c>
      <c r="C31" t="str">
        <f t="shared" si="0"/>
        <v>R. de Coquimbo</v>
      </c>
    </row>
    <row r="32" spans="1:3" x14ac:dyDescent="0.25">
      <c r="A32" t="s">
        <v>148</v>
      </c>
      <c r="B32" t="s">
        <v>148</v>
      </c>
      <c r="C32" t="str">
        <f t="shared" si="0"/>
        <v>R. de Coquimbo</v>
      </c>
    </row>
    <row r="33" spans="1:3" x14ac:dyDescent="0.25">
      <c r="A33" t="s">
        <v>201</v>
      </c>
      <c r="B33" t="s">
        <v>148</v>
      </c>
      <c r="C33" t="str">
        <f t="shared" si="0"/>
        <v>R. de Coquimbo</v>
      </c>
    </row>
    <row r="34" spans="1:3" x14ac:dyDescent="0.25">
      <c r="A34" t="s">
        <v>202</v>
      </c>
      <c r="B34" t="s">
        <v>148</v>
      </c>
      <c r="C34" t="str">
        <f t="shared" si="0"/>
        <v>R. de Coquimbo</v>
      </c>
    </row>
    <row r="35" spans="1:3" x14ac:dyDescent="0.25">
      <c r="A35" t="s">
        <v>203</v>
      </c>
      <c r="B35" t="s">
        <v>148</v>
      </c>
      <c r="C35" t="str">
        <f t="shared" si="0"/>
        <v>R. de Coquimbo</v>
      </c>
    </row>
    <row r="36" spans="1:3" x14ac:dyDescent="0.25">
      <c r="A36" t="s">
        <v>204</v>
      </c>
      <c r="B36" t="s">
        <v>148</v>
      </c>
      <c r="C36" t="str">
        <f t="shared" si="0"/>
        <v>R. de Coquimbo</v>
      </c>
    </row>
    <row r="37" spans="1:3" x14ac:dyDescent="0.25">
      <c r="A37" t="s">
        <v>205</v>
      </c>
      <c r="B37" t="s">
        <v>148</v>
      </c>
      <c r="C37" t="str">
        <f t="shared" si="0"/>
        <v>R. de Coquimbo</v>
      </c>
    </row>
    <row r="38" spans="1:3" x14ac:dyDescent="0.25">
      <c r="A38" t="s">
        <v>206</v>
      </c>
      <c r="B38" t="s">
        <v>148</v>
      </c>
      <c r="C38" t="str">
        <f t="shared" si="0"/>
        <v>R. de Coquimbo</v>
      </c>
    </row>
    <row r="39" spans="1:3" x14ac:dyDescent="0.25">
      <c r="A39" t="s">
        <v>207</v>
      </c>
      <c r="B39" t="s">
        <v>148</v>
      </c>
      <c r="C39" t="str">
        <f t="shared" si="0"/>
        <v>R. de Coquimbo</v>
      </c>
    </row>
    <row r="40" spans="1:3" x14ac:dyDescent="0.25">
      <c r="A40" t="s">
        <v>208</v>
      </c>
      <c r="B40" t="s">
        <v>148</v>
      </c>
      <c r="C40" t="str">
        <f t="shared" si="0"/>
        <v>R. de Coquimbo</v>
      </c>
    </row>
    <row r="41" spans="1:3" x14ac:dyDescent="0.25">
      <c r="A41" t="s">
        <v>209</v>
      </c>
      <c r="B41" t="s">
        <v>148</v>
      </c>
      <c r="C41" t="str">
        <f t="shared" si="0"/>
        <v>R. de Coquimbo</v>
      </c>
    </row>
    <row r="42" spans="1:3" x14ac:dyDescent="0.25">
      <c r="A42" t="s">
        <v>210</v>
      </c>
      <c r="B42" t="s">
        <v>148</v>
      </c>
      <c r="C42" t="str">
        <f t="shared" si="0"/>
        <v>R. de Coquimbo</v>
      </c>
    </row>
    <row r="43" spans="1:3" x14ac:dyDescent="0.25">
      <c r="A43" t="s">
        <v>211</v>
      </c>
      <c r="B43" t="s">
        <v>148</v>
      </c>
      <c r="C43" t="str">
        <f t="shared" si="0"/>
        <v>R. de Coquimbo</v>
      </c>
    </row>
    <row r="44" spans="1:3" x14ac:dyDescent="0.25">
      <c r="A44" t="s">
        <v>212</v>
      </c>
      <c r="B44" t="s">
        <v>148</v>
      </c>
      <c r="C44" t="str">
        <f t="shared" si="0"/>
        <v>R. de Coquimbo</v>
      </c>
    </row>
    <row r="45" spans="1:3" x14ac:dyDescent="0.25">
      <c r="A45" t="s">
        <v>213</v>
      </c>
      <c r="B45" t="s">
        <v>148</v>
      </c>
      <c r="C45" t="str">
        <f t="shared" si="0"/>
        <v>R. de Coquimbo</v>
      </c>
    </row>
    <row r="46" spans="1:3" x14ac:dyDescent="0.25">
      <c r="A46" t="s">
        <v>214</v>
      </c>
      <c r="B46" t="s">
        <v>214</v>
      </c>
      <c r="C46" t="str">
        <f t="shared" si="0"/>
        <v>R. de Valparaíso</v>
      </c>
    </row>
    <row r="47" spans="1:3" x14ac:dyDescent="0.25">
      <c r="A47" t="s">
        <v>215</v>
      </c>
      <c r="B47" t="s">
        <v>214</v>
      </c>
      <c r="C47" t="str">
        <f t="shared" si="0"/>
        <v>R. de Valparaíso</v>
      </c>
    </row>
    <row r="48" spans="1:3" x14ac:dyDescent="0.25">
      <c r="A48" t="s">
        <v>134</v>
      </c>
      <c r="B48" t="s">
        <v>214</v>
      </c>
      <c r="C48" t="str">
        <f t="shared" si="0"/>
        <v>R. de Valparaíso</v>
      </c>
    </row>
    <row r="49" spans="1:3" x14ac:dyDescent="0.25">
      <c r="A49" t="s">
        <v>216</v>
      </c>
      <c r="B49" t="s">
        <v>214</v>
      </c>
      <c r="C49" t="str">
        <f t="shared" si="0"/>
        <v>R. de Valparaíso</v>
      </c>
    </row>
    <row r="50" spans="1:3" x14ac:dyDescent="0.25">
      <c r="A50" t="s">
        <v>217</v>
      </c>
      <c r="B50" t="s">
        <v>214</v>
      </c>
      <c r="C50" t="str">
        <f t="shared" si="0"/>
        <v>R. de Valparaíso</v>
      </c>
    </row>
    <row r="51" spans="1:3" x14ac:dyDescent="0.25">
      <c r="A51" t="s">
        <v>218</v>
      </c>
      <c r="B51" t="s">
        <v>214</v>
      </c>
      <c r="C51" t="str">
        <f t="shared" si="0"/>
        <v>R. de Valparaíso</v>
      </c>
    </row>
    <row r="52" spans="1:3" x14ac:dyDescent="0.25">
      <c r="A52" t="s">
        <v>219</v>
      </c>
      <c r="B52" t="s">
        <v>214</v>
      </c>
      <c r="C52" t="str">
        <f t="shared" si="0"/>
        <v>R. de Valparaíso</v>
      </c>
    </row>
    <row r="53" spans="1:3" x14ac:dyDescent="0.25">
      <c r="A53" t="s">
        <v>220</v>
      </c>
      <c r="B53" t="s">
        <v>214</v>
      </c>
      <c r="C53" t="str">
        <f t="shared" si="0"/>
        <v>R. de Valparaíso</v>
      </c>
    </row>
    <row r="54" spans="1:3" x14ac:dyDescent="0.25">
      <c r="A54" t="s">
        <v>221</v>
      </c>
      <c r="B54" t="s">
        <v>214</v>
      </c>
      <c r="C54" t="str">
        <f t="shared" si="0"/>
        <v>R. de Valparaíso</v>
      </c>
    </row>
    <row r="55" spans="1:3" x14ac:dyDescent="0.25">
      <c r="A55" t="s">
        <v>222</v>
      </c>
      <c r="B55" t="s">
        <v>214</v>
      </c>
      <c r="C55" t="str">
        <f t="shared" si="0"/>
        <v>R. de Valparaíso</v>
      </c>
    </row>
    <row r="56" spans="1:3" x14ac:dyDescent="0.25">
      <c r="A56" t="s">
        <v>223</v>
      </c>
      <c r="B56" t="s">
        <v>214</v>
      </c>
      <c r="C56" t="str">
        <f t="shared" si="0"/>
        <v>R. de Valparaíso</v>
      </c>
    </row>
    <row r="57" spans="1:3" x14ac:dyDescent="0.25">
      <c r="A57" t="s">
        <v>224</v>
      </c>
      <c r="B57" t="s">
        <v>214</v>
      </c>
      <c r="C57" t="str">
        <f t="shared" si="0"/>
        <v>R. de Valparaíso</v>
      </c>
    </row>
    <row r="58" spans="1:3" x14ac:dyDescent="0.25">
      <c r="A58" t="s">
        <v>225</v>
      </c>
      <c r="B58" t="s">
        <v>214</v>
      </c>
      <c r="C58" t="str">
        <f t="shared" si="0"/>
        <v>R. de Valparaíso</v>
      </c>
    </row>
    <row r="59" spans="1:3" x14ac:dyDescent="0.25">
      <c r="A59" t="s">
        <v>226</v>
      </c>
      <c r="B59" t="s">
        <v>214</v>
      </c>
      <c r="C59" t="str">
        <f t="shared" si="0"/>
        <v>R. de Valparaíso</v>
      </c>
    </row>
    <row r="60" spans="1:3" x14ac:dyDescent="0.25">
      <c r="A60" t="s">
        <v>227</v>
      </c>
      <c r="B60" t="s">
        <v>214</v>
      </c>
      <c r="C60" t="str">
        <f t="shared" si="0"/>
        <v>R. de Valparaíso</v>
      </c>
    </row>
    <row r="61" spans="1:3" x14ac:dyDescent="0.25">
      <c r="A61" t="s">
        <v>228</v>
      </c>
      <c r="B61" t="s">
        <v>214</v>
      </c>
      <c r="C61" t="str">
        <f t="shared" si="0"/>
        <v>R. de Valparaíso</v>
      </c>
    </row>
    <row r="62" spans="1:3" x14ac:dyDescent="0.25">
      <c r="A62" t="s">
        <v>229</v>
      </c>
      <c r="B62" t="s">
        <v>214</v>
      </c>
      <c r="C62" t="str">
        <f t="shared" si="0"/>
        <v>R. de Valparaíso</v>
      </c>
    </row>
    <row r="63" spans="1:3" x14ac:dyDescent="0.25">
      <c r="A63" t="s">
        <v>230</v>
      </c>
      <c r="B63" t="s">
        <v>214</v>
      </c>
      <c r="C63" t="str">
        <f t="shared" si="0"/>
        <v>R. de Valparaíso</v>
      </c>
    </row>
    <row r="64" spans="1:3" x14ac:dyDescent="0.25">
      <c r="A64" t="s">
        <v>231</v>
      </c>
      <c r="B64" t="s">
        <v>214</v>
      </c>
      <c r="C64" t="str">
        <f t="shared" si="0"/>
        <v>R. de Valparaíso</v>
      </c>
    </row>
    <row r="65" spans="1:3" x14ac:dyDescent="0.25">
      <c r="A65" t="s">
        <v>232</v>
      </c>
      <c r="B65" t="s">
        <v>214</v>
      </c>
      <c r="C65" t="str">
        <f t="shared" si="0"/>
        <v>R. de Valparaíso</v>
      </c>
    </row>
    <row r="66" spans="1:3" x14ac:dyDescent="0.25">
      <c r="A66" t="s">
        <v>233</v>
      </c>
      <c r="B66" t="s">
        <v>214</v>
      </c>
      <c r="C66" t="str">
        <f t="shared" si="0"/>
        <v>R. de Valparaíso</v>
      </c>
    </row>
    <row r="67" spans="1:3" x14ac:dyDescent="0.25">
      <c r="A67" t="s">
        <v>234</v>
      </c>
      <c r="B67" t="s">
        <v>214</v>
      </c>
      <c r="C67" t="str">
        <f t="shared" ref="C67:C82" si="1">+"R. de "&amp;B67</f>
        <v>R. de Valparaíso</v>
      </c>
    </row>
    <row r="68" spans="1:3" x14ac:dyDescent="0.25">
      <c r="A68" t="s">
        <v>235</v>
      </c>
      <c r="B68" t="s">
        <v>214</v>
      </c>
      <c r="C68" t="str">
        <f t="shared" si="1"/>
        <v>R. de Valparaíso</v>
      </c>
    </row>
    <row r="69" spans="1:3" x14ac:dyDescent="0.25">
      <c r="A69" t="s">
        <v>236</v>
      </c>
      <c r="B69" t="s">
        <v>214</v>
      </c>
      <c r="C69" t="str">
        <f t="shared" si="1"/>
        <v>R. de Valparaíso</v>
      </c>
    </row>
    <row r="70" spans="1:3" x14ac:dyDescent="0.25">
      <c r="A70" t="s">
        <v>237</v>
      </c>
      <c r="B70" t="s">
        <v>214</v>
      </c>
      <c r="C70" t="str">
        <f t="shared" si="1"/>
        <v>R. de Valparaíso</v>
      </c>
    </row>
    <row r="71" spans="1:3" x14ac:dyDescent="0.25">
      <c r="A71" t="s">
        <v>238</v>
      </c>
      <c r="B71" t="s">
        <v>214</v>
      </c>
      <c r="C71" t="str">
        <f t="shared" si="1"/>
        <v>R. de Valparaíso</v>
      </c>
    </row>
    <row r="72" spans="1:3" x14ac:dyDescent="0.25">
      <c r="A72" t="s">
        <v>239</v>
      </c>
      <c r="B72" t="s">
        <v>214</v>
      </c>
      <c r="C72" t="str">
        <f t="shared" si="1"/>
        <v>R. de Valparaíso</v>
      </c>
    </row>
    <row r="73" spans="1:3" x14ac:dyDescent="0.25">
      <c r="A73" t="s">
        <v>240</v>
      </c>
      <c r="B73" t="s">
        <v>214</v>
      </c>
      <c r="C73" t="str">
        <f t="shared" si="1"/>
        <v>R. de Valparaíso</v>
      </c>
    </row>
    <row r="74" spans="1:3" x14ac:dyDescent="0.25">
      <c r="A74" t="s">
        <v>241</v>
      </c>
      <c r="B74" t="s">
        <v>214</v>
      </c>
      <c r="C74" t="str">
        <f t="shared" si="1"/>
        <v>R. de Valparaíso</v>
      </c>
    </row>
    <row r="75" spans="1:3" x14ac:dyDescent="0.25">
      <c r="A75" t="s">
        <v>242</v>
      </c>
      <c r="B75" t="s">
        <v>214</v>
      </c>
      <c r="C75" t="str">
        <f t="shared" si="1"/>
        <v>R. de Valparaíso</v>
      </c>
    </row>
    <row r="76" spans="1:3" x14ac:dyDescent="0.25">
      <c r="A76" t="s">
        <v>243</v>
      </c>
      <c r="B76" t="s">
        <v>214</v>
      </c>
      <c r="C76" t="str">
        <f t="shared" si="1"/>
        <v>R. de Valparaíso</v>
      </c>
    </row>
    <row r="77" spans="1:3" x14ac:dyDescent="0.25">
      <c r="A77" t="s">
        <v>244</v>
      </c>
      <c r="B77" t="s">
        <v>214</v>
      </c>
      <c r="C77" t="str">
        <f t="shared" si="1"/>
        <v>R. de Valparaíso</v>
      </c>
    </row>
    <row r="78" spans="1:3" x14ac:dyDescent="0.25">
      <c r="A78" t="s">
        <v>245</v>
      </c>
      <c r="B78" t="s">
        <v>214</v>
      </c>
      <c r="C78" t="str">
        <f t="shared" si="1"/>
        <v>R. de Valparaíso</v>
      </c>
    </row>
    <row r="79" spans="1:3" x14ac:dyDescent="0.25">
      <c r="A79" t="s">
        <v>246</v>
      </c>
      <c r="B79" t="s">
        <v>214</v>
      </c>
      <c r="C79" t="str">
        <f t="shared" si="1"/>
        <v>R. de Valparaíso</v>
      </c>
    </row>
    <row r="80" spans="1:3" x14ac:dyDescent="0.25">
      <c r="A80" t="s">
        <v>247</v>
      </c>
      <c r="B80" t="s">
        <v>214</v>
      </c>
      <c r="C80" t="str">
        <f t="shared" si="1"/>
        <v>R. de Valparaíso</v>
      </c>
    </row>
    <row r="81" spans="1:3" x14ac:dyDescent="0.25">
      <c r="A81" t="s">
        <v>248</v>
      </c>
      <c r="B81" t="s">
        <v>214</v>
      </c>
      <c r="C81" t="str">
        <f t="shared" si="1"/>
        <v>R. de Valparaíso</v>
      </c>
    </row>
    <row r="82" spans="1:3" x14ac:dyDescent="0.25">
      <c r="A82" t="s">
        <v>218</v>
      </c>
      <c r="B82" t="s">
        <v>214</v>
      </c>
      <c r="C82" t="str">
        <f t="shared" si="1"/>
        <v>R. de Valparaíso</v>
      </c>
    </row>
    <row r="83" spans="1:3" x14ac:dyDescent="0.25">
      <c r="A83" t="s">
        <v>154</v>
      </c>
      <c r="B83" t="s">
        <v>249</v>
      </c>
      <c r="C83" t="s">
        <v>250</v>
      </c>
    </row>
    <row r="84" spans="1:3" x14ac:dyDescent="0.25">
      <c r="A84" t="s">
        <v>251</v>
      </c>
      <c r="B84" t="s">
        <v>249</v>
      </c>
      <c r="C84" t="s">
        <v>250</v>
      </c>
    </row>
    <row r="85" spans="1:3" x14ac:dyDescent="0.25">
      <c r="A85" t="s">
        <v>252</v>
      </c>
      <c r="B85" t="s">
        <v>249</v>
      </c>
      <c r="C85" t="s">
        <v>250</v>
      </c>
    </row>
    <row r="86" spans="1:3" x14ac:dyDescent="0.25">
      <c r="A86" t="s">
        <v>253</v>
      </c>
      <c r="B86" t="s">
        <v>249</v>
      </c>
      <c r="C86" t="s">
        <v>250</v>
      </c>
    </row>
    <row r="87" spans="1:3" x14ac:dyDescent="0.25">
      <c r="A87" t="s">
        <v>254</v>
      </c>
      <c r="B87" t="s">
        <v>249</v>
      </c>
      <c r="C87" t="s">
        <v>250</v>
      </c>
    </row>
    <row r="88" spans="1:3" x14ac:dyDescent="0.25">
      <c r="A88" t="s">
        <v>255</v>
      </c>
      <c r="B88" t="s">
        <v>249</v>
      </c>
      <c r="C88" t="s">
        <v>250</v>
      </c>
    </row>
    <row r="89" spans="1:3" x14ac:dyDescent="0.25">
      <c r="A89" t="s">
        <v>157</v>
      </c>
      <c r="B89" t="s">
        <v>249</v>
      </c>
      <c r="C89" t="s">
        <v>250</v>
      </c>
    </row>
    <row r="90" spans="1:3" x14ac:dyDescent="0.25">
      <c r="A90" t="s">
        <v>256</v>
      </c>
      <c r="B90" t="s">
        <v>249</v>
      </c>
      <c r="C90" t="s">
        <v>250</v>
      </c>
    </row>
    <row r="91" spans="1:3" x14ac:dyDescent="0.25">
      <c r="A91" t="s">
        <v>152</v>
      </c>
      <c r="B91" t="s">
        <v>249</v>
      </c>
      <c r="C91" t="s">
        <v>250</v>
      </c>
    </row>
    <row r="92" spans="1:3" x14ac:dyDescent="0.25">
      <c r="A92" t="s">
        <v>135</v>
      </c>
      <c r="B92" t="s">
        <v>249</v>
      </c>
      <c r="C92" t="s">
        <v>250</v>
      </c>
    </row>
    <row r="93" spans="1:3" x14ac:dyDescent="0.25">
      <c r="A93" t="s">
        <v>257</v>
      </c>
      <c r="B93" t="s">
        <v>249</v>
      </c>
      <c r="C93" t="s">
        <v>250</v>
      </c>
    </row>
    <row r="94" spans="1:3" x14ac:dyDescent="0.25">
      <c r="A94" t="s">
        <v>258</v>
      </c>
      <c r="B94" t="s">
        <v>249</v>
      </c>
      <c r="C94" t="s">
        <v>250</v>
      </c>
    </row>
    <row r="95" spans="1:3" x14ac:dyDescent="0.25">
      <c r="A95" t="s">
        <v>259</v>
      </c>
      <c r="B95" t="s">
        <v>249</v>
      </c>
      <c r="C95" t="s">
        <v>250</v>
      </c>
    </row>
    <row r="96" spans="1:3" x14ac:dyDescent="0.25">
      <c r="A96" t="s">
        <v>162</v>
      </c>
      <c r="B96" t="s">
        <v>249</v>
      </c>
      <c r="C96" t="s">
        <v>250</v>
      </c>
    </row>
    <row r="97" spans="1:3" x14ac:dyDescent="0.25">
      <c r="A97" t="s">
        <v>260</v>
      </c>
      <c r="B97" t="s">
        <v>249</v>
      </c>
      <c r="C97" t="s">
        <v>250</v>
      </c>
    </row>
    <row r="98" spans="1:3" x14ac:dyDescent="0.25">
      <c r="A98" t="s">
        <v>261</v>
      </c>
      <c r="B98" t="s">
        <v>249</v>
      </c>
      <c r="C98" t="s">
        <v>250</v>
      </c>
    </row>
    <row r="99" spans="1:3" x14ac:dyDescent="0.25">
      <c r="A99" t="s">
        <v>262</v>
      </c>
      <c r="B99" t="s">
        <v>249</v>
      </c>
      <c r="C99" t="s">
        <v>250</v>
      </c>
    </row>
    <row r="100" spans="1:3" x14ac:dyDescent="0.25">
      <c r="A100" t="s">
        <v>167</v>
      </c>
      <c r="B100" t="s">
        <v>249</v>
      </c>
      <c r="C100" t="s">
        <v>250</v>
      </c>
    </row>
    <row r="101" spans="1:3" x14ac:dyDescent="0.25">
      <c r="A101" t="s">
        <v>166</v>
      </c>
      <c r="B101" t="s">
        <v>249</v>
      </c>
      <c r="C101" t="s">
        <v>250</v>
      </c>
    </row>
    <row r="102" spans="1:3" x14ac:dyDescent="0.25">
      <c r="A102" t="s">
        <v>136</v>
      </c>
      <c r="B102" t="s">
        <v>249</v>
      </c>
      <c r="C102" t="s">
        <v>250</v>
      </c>
    </row>
    <row r="103" spans="1:3" x14ac:dyDescent="0.25">
      <c r="A103" t="s">
        <v>263</v>
      </c>
      <c r="B103" t="s">
        <v>249</v>
      </c>
      <c r="C103" t="s">
        <v>250</v>
      </c>
    </row>
    <row r="104" spans="1:3" x14ac:dyDescent="0.25">
      <c r="A104" t="s">
        <v>264</v>
      </c>
      <c r="B104" t="s">
        <v>249</v>
      </c>
      <c r="C104" t="s">
        <v>250</v>
      </c>
    </row>
    <row r="105" spans="1:3" x14ac:dyDescent="0.25">
      <c r="A105" t="s">
        <v>265</v>
      </c>
      <c r="B105" t="s">
        <v>249</v>
      </c>
      <c r="C105" t="s">
        <v>250</v>
      </c>
    </row>
    <row r="106" spans="1:3" x14ac:dyDescent="0.25">
      <c r="A106" t="s">
        <v>266</v>
      </c>
      <c r="B106" t="s">
        <v>249</v>
      </c>
      <c r="C106" t="s">
        <v>250</v>
      </c>
    </row>
    <row r="107" spans="1:3" x14ac:dyDescent="0.25">
      <c r="A107" t="s">
        <v>267</v>
      </c>
      <c r="B107" t="s">
        <v>249</v>
      </c>
      <c r="C107" t="s">
        <v>250</v>
      </c>
    </row>
    <row r="108" spans="1:3" x14ac:dyDescent="0.25">
      <c r="A108" t="s">
        <v>268</v>
      </c>
      <c r="B108" t="s">
        <v>249</v>
      </c>
      <c r="C108" t="s">
        <v>250</v>
      </c>
    </row>
    <row r="109" spans="1:3" x14ac:dyDescent="0.25">
      <c r="A109" t="s">
        <v>269</v>
      </c>
      <c r="B109" t="s">
        <v>249</v>
      </c>
      <c r="C109" t="s">
        <v>250</v>
      </c>
    </row>
    <row r="110" spans="1:3" x14ac:dyDescent="0.25">
      <c r="A110" t="s">
        <v>270</v>
      </c>
      <c r="B110" t="s">
        <v>249</v>
      </c>
      <c r="C110" t="s">
        <v>250</v>
      </c>
    </row>
    <row r="111" spans="1:3" x14ac:dyDescent="0.25">
      <c r="A111" t="s">
        <v>271</v>
      </c>
      <c r="B111" t="s">
        <v>249</v>
      </c>
      <c r="C111" t="s">
        <v>250</v>
      </c>
    </row>
    <row r="112" spans="1:3" x14ac:dyDescent="0.25">
      <c r="A112" t="s">
        <v>272</v>
      </c>
      <c r="B112" t="s">
        <v>249</v>
      </c>
      <c r="C112" t="s">
        <v>250</v>
      </c>
    </row>
    <row r="113" spans="1:3" x14ac:dyDescent="0.25">
      <c r="A113" t="s">
        <v>273</v>
      </c>
      <c r="B113" t="s">
        <v>249</v>
      </c>
      <c r="C113" t="s">
        <v>250</v>
      </c>
    </row>
    <row r="114" spans="1:3" x14ac:dyDescent="0.25">
      <c r="A114" t="s">
        <v>274</v>
      </c>
      <c r="B114" t="s">
        <v>249</v>
      </c>
      <c r="C114" t="s">
        <v>250</v>
      </c>
    </row>
    <row r="115" spans="1:3" x14ac:dyDescent="0.25">
      <c r="A115" t="s">
        <v>161</v>
      </c>
      <c r="B115" t="s">
        <v>249</v>
      </c>
      <c r="C115" t="s">
        <v>250</v>
      </c>
    </row>
    <row r="116" spans="1:3" x14ac:dyDescent="0.25">
      <c r="A116" t="s">
        <v>275</v>
      </c>
      <c r="B116" t="s">
        <v>249</v>
      </c>
      <c r="C116" t="s">
        <v>250</v>
      </c>
    </row>
    <row r="117" spans="1:3" x14ac:dyDescent="0.25">
      <c r="A117" t="s">
        <v>276</v>
      </c>
      <c r="B117" t="s">
        <v>249</v>
      </c>
      <c r="C117" t="s">
        <v>250</v>
      </c>
    </row>
    <row r="118" spans="1:3" x14ac:dyDescent="0.25">
      <c r="A118" t="s">
        <v>165</v>
      </c>
      <c r="B118" t="s">
        <v>249</v>
      </c>
      <c r="C118" t="s">
        <v>250</v>
      </c>
    </row>
    <row r="119" spans="1:3" x14ac:dyDescent="0.25">
      <c r="A119" t="s">
        <v>277</v>
      </c>
      <c r="B119" t="s">
        <v>249</v>
      </c>
      <c r="C119" t="s">
        <v>250</v>
      </c>
    </row>
    <row r="120" spans="1:3" x14ac:dyDescent="0.25">
      <c r="A120" t="s">
        <v>278</v>
      </c>
      <c r="B120" t="s">
        <v>249</v>
      </c>
      <c r="C120" t="s">
        <v>250</v>
      </c>
    </row>
    <row r="121" spans="1:3" x14ac:dyDescent="0.25">
      <c r="A121" t="s">
        <v>279</v>
      </c>
      <c r="B121" t="s">
        <v>249</v>
      </c>
      <c r="C121" t="s">
        <v>250</v>
      </c>
    </row>
    <row r="122" spans="1:3" x14ac:dyDescent="0.25">
      <c r="A122" t="s">
        <v>280</v>
      </c>
      <c r="B122" t="s">
        <v>249</v>
      </c>
      <c r="C122" t="s">
        <v>250</v>
      </c>
    </row>
    <row r="123" spans="1:3" x14ac:dyDescent="0.25">
      <c r="A123" t="s">
        <v>281</v>
      </c>
      <c r="B123" t="s">
        <v>249</v>
      </c>
      <c r="C123" t="s">
        <v>250</v>
      </c>
    </row>
    <row r="124" spans="1:3" x14ac:dyDescent="0.25">
      <c r="A124" t="s">
        <v>282</v>
      </c>
      <c r="B124" t="s">
        <v>249</v>
      </c>
      <c r="C124" t="s">
        <v>250</v>
      </c>
    </row>
    <row r="125" spans="1:3" x14ac:dyDescent="0.25">
      <c r="A125" t="s">
        <v>283</v>
      </c>
      <c r="B125" t="s">
        <v>249</v>
      </c>
      <c r="C125" t="s">
        <v>250</v>
      </c>
    </row>
    <row r="126" spans="1:3" x14ac:dyDescent="0.25">
      <c r="A126" t="s">
        <v>284</v>
      </c>
      <c r="B126" t="s">
        <v>249</v>
      </c>
      <c r="C126" t="s">
        <v>250</v>
      </c>
    </row>
    <row r="127" spans="1:3" x14ac:dyDescent="0.25">
      <c r="A127" t="s">
        <v>285</v>
      </c>
      <c r="B127" t="s">
        <v>249</v>
      </c>
      <c r="C127" t="s">
        <v>250</v>
      </c>
    </row>
    <row r="128" spans="1:3" x14ac:dyDescent="0.25">
      <c r="A128" t="s">
        <v>286</v>
      </c>
      <c r="B128" t="s">
        <v>249</v>
      </c>
      <c r="C128" t="s">
        <v>250</v>
      </c>
    </row>
    <row r="129" spans="1:3" x14ac:dyDescent="0.25">
      <c r="A129" t="s">
        <v>287</v>
      </c>
      <c r="B129" t="s">
        <v>249</v>
      </c>
      <c r="C129" t="s">
        <v>250</v>
      </c>
    </row>
    <row r="130" spans="1:3" x14ac:dyDescent="0.25">
      <c r="A130" t="s">
        <v>153</v>
      </c>
      <c r="B130" t="s">
        <v>249</v>
      </c>
      <c r="C130" t="s">
        <v>250</v>
      </c>
    </row>
    <row r="131" spans="1:3" x14ac:dyDescent="0.25">
      <c r="A131" t="s">
        <v>288</v>
      </c>
      <c r="B131" t="s">
        <v>249</v>
      </c>
      <c r="C131" t="s">
        <v>250</v>
      </c>
    </row>
    <row r="132" spans="1:3" x14ac:dyDescent="0.25">
      <c r="A132" t="s">
        <v>289</v>
      </c>
      <c r="B132" t="s">
        <v>249</v>
      </c>
      <c r="C132" t="s">
        <v>250</v>
      </c>
    </row>
    <row r="133" spans="1:3" x14ac:dyDescent="0.25">
      <c r="A133" t="s">
        <v>290</v>
      </c>
      <c r="B133" t="s">
        <v>249</v>
      </c>
      <c r="C133" t="s">
        <v>250</v>
      </c>
    </row>
    <row r="134" spans="1:3" x14ac:dyDescent="0.25">
      <c r="A134" t="s">
        <v>291</v>
      </c>
      <c r="B134" t="s">
        <v>249</v>
      </c>
      <c r="C134" t="s">
        <v>250</v>
      </c>
    </row>
    <row r="135" spans="1:3" x14ac:dyDescent="0.25">
      <c r="A135" t="s">
        <v>155</v>
      </c>
      <c r="B135" t="s">
        <v>292</v>
      </c>
      <c r="C135" t="str">
        <f t="shared" ref="C135:C167" si="2">+"R. de "&amp;B135</f>
        <v>R. de O’Higgins</v>
      </c>
    </row>
    <row r="136" spans="1:3" x14ac:dyDescent="0.25">
      <c r="A136" t="s">
        <v>293</v>
      </c>
      <c r="B136" t="s">
        <v>292</v>
      </c>
      <c r="C136" t="str">
        <f t="shared" si="2"/>
        <v>R. de O’Higgins</v>
      </c>
    </row>
    <row r="137" spans="1:3" x14ac:dyDescent="0.25">
      <c r="A137" t="s">
        <v>294</v>
      </c>
      <c r="B137" t="s">
        <v>292</v>
      </c>
      <c r="C137" t="str">
        <f t="shared" si="2"/>
        <v>R. de O’Higgins</v>
      </c>
    </row>
    <row r="138" spans="1:3" x14ac:dyDescent="0.25">
      <c r="A138" t="s">
        <v>295</v>
      </c>
      <c r="B138" t="s">
        <v>292</v>
      </c>
      <c r="C138" t="str">
        <f t="shared" si="2"/>
        <v>R. de O’Higgins</v>
      </c>
    </row>
    <row r="139" spans="1:3" x14ac:dyDescent="0.25">
      <c r="A139" t="s">
        <v>296</v>
      </c>
      <c r="B139" t="s">
        <v>292</v>
      </c>
      <c r="C139" t="str">
        <f t="shared" si="2"/>
        <v>R. de O’Higgins</v>
      </c>
    </row>
    <row r="140" spans="1:3" x14ac:dyDescent="0.25">
      <c r="A140" t="s">
        <v>297</v>
      </c>
      <c r="B140" t="s">
        <v>292</v>
      </c>
      <c r="C140" t="str">
        <f t="shared" si="2"/>
        <v>R. de O’Higgins</v>
      </c>
    </row>
    <row r="141" spans="1:3" x14ac:dyDescent="0.25">
      <c r="A141" t="s">
        <v>298</v>
      </c>
      <c r="B141" t="s">
        <v>292</v>
      </c>
      <c r="C141" t="str">
        <f t="shared" si="2"/>
        <v>R. de O’Higgins</v>
      </c>
    </row>
    <row r="142" spans="1:3" x14ac:dyDescent="0.25">
      <c r="A142" t="s">
        <v>299</v>
      </c>
      <c r="B142" t="s">
        <v>292</v>
      </c>
      <c r="C142" t="str">
        <f t="shared" si="2"/>
        <v>R. de O’Higgins</v>
      </c>
    </row>
    <row r="143" spans="1:3" x14ac:dyDescent="0.25">
      <c r="A143" t="s">
        <v>300</v>
      </c>
      <c r="B143" t="s">
        <v>292</v>
      </c>
      <c r="C143" t="str">
        <f t="shared" si="2"/>
        <v>R. de O’Higgins</v>
      </c>
    </row>
    <row r="144" spans="1:3" x14ac:dyDescent="0.25">
      <c r="A144" t="s">
        <v>301</v>
      </c>
      <c r="B144" t="s">
        <v>292</v>
      </c>
      <c r="C144" t="str">
        <f t="shared" si="2"/>
        <v>R. de O’Higgins</v>
      </c>
    </row>
    <row r="145" spans="1:3" x14ac:dyDescent="0.25">
      <c r="A145" t="s">
        <v>302</v>
      </c>
      <c r="B145" t="s">
        <v>292</v>
      </c>
      <c r="C145" t="str">
        <f t="shared" si="2"/>
        <v>R. de O’Higgins</v>
      </c>
    </row>
    <row r="146" spans="1:3" x14ac:dyDescent="0.25">
      <c r="A146" t="s">
        <v>303</v>
      </c>
      <c r="B146" t="s">
        <v>292</v>
      </c>
      <c r="C146" t="str">
        <f t="shared" si="2"/>
        <v>R. de O’Higgins</v>
      </c>
    </row>
    <row r="147" spans="1:3" x14ac:dyDescent="0.25">
      <c r="A147" t="s">
        <v>304</v>
      </c>
      <c r="B147" t="s">
        <v>292</v>
      </c>
      <c r="C147" t="str">
        <f t="shared" si="2"/>
        <v>R. de O’Higgins</v>
      </c>
    </row>
    <row r="148" spans="1:3" x14ac:dyDescent="0.25">
      <c r="A148" t="s">
        <v>305</v>
      </c>
      <c r="B148" t="s">
        <v>292</v>
      </c>
      <c r="C148" t="str">
        <f t="shared" si="2"/>
        <v>R. de O’Higgins</v>
      </c>
    </row>
    <row r="149" spans="1:3" x14ac:dyDescent="0.25">
      <c r="A149" t="s">
        <v>306</v>
      </c>
      <c r="B149" t="s">
        <v>292</v>
      </c>
      <c r="C149" t="str">
        <f t="shared" si="2"/>
        <v>R. de O’Higgins</v>
      </c>
    </row>
    <row r="150" spans="1:3" x14ac:dyDescent="0.25">
      <c r="A150" t="s">
        <v>307</v>
      </c>
      <c r="B150" t="s">
        <v>292</v>
      </c>
      <c r="C150" t="str">
        <f t="shared" si="2"/>
        <v>R. de O’Higgins</v>
      </c>
    </row>
    <row r="151" spans="1:3" x14ac:dyDescent="0.25">
      <c r="A151" t="s">
        <v>308</v>
      </c>
      <c r="B151" t="s">
        <v>292</v>
      </c>
      <c r="C151" t="str">
        <f t="shared" si="2"/>
        <v>R. de O’Higgins</v>
      </c>
    </row>
    <row r="152" spans="1:3" x14ac:dyDescent="0.25">
      <c r="A152" t="s">
        <v>309</v>
      </c>
      <c r="B152" t="s">
        <v>292</v>
      </c>
      <c r="C152" t="str">
        <f t="shared" si="2"/>
        <v>R. de O’Higgins</v>
      </c>
    </row>
    <row r="153" spans="1:3" x14ac:dyDescent="0.25">
      <c r="A153" t="s">
        <v>310</v>
      </c>
      <c r="B153" t="s">
        <v>292</v>
      </c>
      <c r="C153" t="str">
        <f t="shared" si="2"/>
        <v>R. de O’Higgins</v>
      </c>
    </row>
    <row r="154" spans="1:3" x14ac:dyDescent="0.25">
      <c r="A154" t="s">
        <v>311</v>
      </c>
      <c r="B154" t="s">
        <v>292</v>
      </c>
      <c r="C154" t="str">
        <f t="shared" si="2"/>
        <v>R. de O’Higgins</v>
      </c>
    </row>
    <row r="155" spans="1:3" x14ac:dyDescent="0.25">
      <c r="A155" t="s">
        <v>312</v>
      </c>
      <c r="B155" t="s">
        <v>292</v>
      </c>
      <c r="C155" t="str">
        <f t="shared" si="2"/>
        <v>R. de O’Higgins</v>
      </c>
    </row>
    <row r="156" spans="1:3" x14ac:dyDescent="0.25">
      <c r="A156" t="s">
        <v>313</v>
      </c>
      <c r="B156" t="s">
        <v>292</v>
      </c>
      <c r="C156" t="str">
        <f t="shared" si="2"/>
        <v>R. de O’Higgins</v>
      </c>
    </row>
    <row r="157" spans="1:3" x14ac:dyDescent="0.25">
      <c r="A157" t="s">
        <v>314</v>
      </c>
      <c r="B157" t="s">
        <v>292</v>
      </c>
      <c r="C157" t="str">
        <f t="shared" si="2"/>
        <v>R. de O’Higgins</v>
      </c>
    </row>
    <row r="158" spans="1:3" x14ac:dyDescent="0.25">
      <c r="A158" t="s">
        <v>315</v>
      </c>
      <c r="B158" t="s">
        <v>292</v>
      </c>
      <c r="C158" t="str">
        <f t="shared" si="2"/>
        <v>R. de O’Higgins</v>
      </c>
    </row>
    <row r="159" spans="1:3" x14ac:dyDescent="0.25">
      <c r="A159" t="s">
        <v>316</v>
      </c>
      <c r="B159" t="s">
        <v>292</v>
      </c>
      <c r="C159" t="str">
        <f t="shared" si="2"/>
        <v>R. de O’Higgins</v>
      </c>
    </row>
    <row r="160" spans="1:3" x14ac:dyDescent="0.25">
      <c r="A160" t="s">
        <v>317</v>
      </c>
      <c r="B160" t="s">
        <v>292</v>
      </c>
      <c r="C160" t="str">
        <f t="shared" si="2"/>
        <v>R. de O’Higgins</v>
      </c>
    </row>
    <row r="161" spans="1:3" x14ac:dyDescent="0.25">
      <c r="A161" t="s">
        <v>318</v>
      </c>
      <c r="B161" t="s">
        <v>292</v>
      </c>
      <c r="C161" t="str">
        <f t="shared" si="2"/>
        <v>R. de O’Higgins</v>
      </c>
    </row>
    <row r="162" spans="1:3" x14ac:dyDescent="0.25">
      <c r="A162" t="s">
        <v>319</v>
      </c>
      <c r="B162" t="s">
        <v>292</v>
      </c>
      <c r="C162" t="str">
        <f t="shared" si="2"/>
        <v>R. de O’Higgins</v>
      </c>
    </row>
    <row r="163" spans="1:3" x14ac:dyDescent="0.25">
      <c r="A163" t="s">
        <v>320</v>
      </c>
      <c r="B163" t="s">
        <v>292</v>
      </c>
      <c r="C163" t="str">
        <f t="shared" si="2"/>
        <v>R. de O’Higgins</v>
      </c>
    </row>
    <row r="164" spans="1:3" x14ac:dyDescent="0.25">
      <c r="A164" t="s">
        <v>321</v>
      </c>
      <c r="B164" t="s">
        <v>292</v>
      </c>
      <c r="C164" t="str">
        <f t="shared" si="2"/>
        <v>R. de O’Higgins</v>
      </c>
    </row>
    <row r="165" spans="1:3" x14ac:dyDescent="0.25">
      <c r="A165" t="s">
        <v>322</v>
      </c>
      <c r="B165" t="s">
        <v>292</v>
      </c>
      <c r="C165" t="str">
        <f t="shared" si="2"/>
        <v>R. de O’Higgins</v>
      </c>
    </row>
    <row r="166" spans="1:3" x14ac:dyDescent="0.25">
      <c r="A166" t="s">
        <v>323</v>
      </c>
      <c r="B166" t="s">
        <v>292</v>
      </c>
      <c r="C166" t="str">
        <f t="shared" si="2"/>
        <v>R. de O’Higgins</v>
      </c>
    </row>
    <row r="167" spans="1:3" x14ac:dyDescent="0.25">
      <c r="A167" t="s">
        <v>324</v>
      </c>
      <c r="B167" t="s">
        <v>292</v>
      </c>
      <c r="C167" t="str">
        <f t="shared" si="2"/>
        <v>R. de O’Higgins</v>
      </c>
    </row>
    <row r="168" spans="1:3" x14ac:dyDescent="0.25">
      <c r="A168" t="s">
        <v>156</v>
      </c>
      <c r="B168" t="s">
        <v>325</v>
      </c>
      <c r="C168" t="str">
        <f>+"R. del "&amp;B168</f>
        <v>R. del Maule</v>
      </c>
    </row>
    <row r="169" spans="1:3" x14ac:dyDescent="0.25">
      <c r="A169" t="s">
        <v>326</v>
      </c>
      <c r="B169" t="s">
        <v>325</v>
      </c>
      <c r="C169" t="str">
        <f t="shared" ref="C169:C232" si="3">+"R. del "&amp;B169</f>
        <v>R. del Maule</v>
      </c>
    </row>
    <row r="170" spans="1:3" x14ac:dyDescent="0.25">
      <c r="A170" t="s">
        <v>327</v>
      </c>
      <c r="B170" t="s">
        <v>325</v>
      </c>
      <c r="C170" t="str">
        <f t="shared" si="3"/>
        <v>R. del Maule</v>
      </c>
    </row>
    <row r="171" spans="1:3" x14ac:dyDescent="0.25">
      <c r="A171" t="s">
        <v>328</v>
      </c>
      <c r="B171" t="s">
        <v>325</v>
      </c>
      <c r="C171" t="str">
        <f t="shared" si="3"/>
        <v>R. del Maule</v>
      </c>
    </row>
    <row r="172" spans="1:3" x14ac:dyDescent="0.25">
      <c r="A172" t="s">
        <v>325</v>
      </c>
      <c r="B172" t="s">
        <v>325</v>
      </c>
      <c r="C172" t="str">
        <f t="shared" si="3"/>
        <v>R. del Maule</v>
      </c>
    </row>
    <row r="173" spans="1:3" x14ac:dyDescent="0.25">
      <c r="A173" t="s">
        <v>329</v>
      </c>
      <c r="B173" t="s">
        <v>325</v>
      </c>
      <c r="C173" t="str">
        <f t="shared" si="3"/>
        <v>R. del Maule</v>
      </c>
    </row>
    <row r="174" spans="1:3" x14ac:dyDescent="0.25">
      <c r="A174" t="s">
        <v>330</v>
      </c>
      <c r="B174" t="s">
        <v>325</v>
      </c>
      <c r="C174" t="str">
        <f t="shared" si="3"/>
        <v>R. del Maule</v>
      </c>
    </row>
    <row r="175" spans="1:3" x14ac:dyDescent="0.25">
      <c r="A175" t="s">
        <v>331</v>
      </c>
      <c r="B175" t="s">
        <v>325</v>
      </c>
      <c r="C175" t="str">
        <f t="shared" si="3"/>
        <v>R. del Maule</v>
      </c>
    </row>
    <row r="176" spans="1:3" x14ac:dyDescent="0.25">
      <c r="A176" t="s">
        <v>332</v>
      </c>
      <c r="B176" t="s">
        <v>325</v>
      </c>
      <c r="C176" t="str">
        <f t="shared" si="3"/>
        <v>R. del Maule</v>
      </c>
    </row>
    <row r="177" spans="1:3" x14ac:dyDescent="0.25">
      <c r="A177" t="s">
        <v>333</v>
      </c>
      <c r="B177" t="s">
        <v>325</v>
      </c>
      <c r="C177" t="str">
        <f t="shared" si="3"/>
        <v>R. del Maule</v>
      </c>
    </row>
    <row r="178" spans="1:3" x14ac:dyDescent="0.25">
      <c r="A178" t="s">
        <v>334</v>
      </c>
      <c r="B178" t="s">
        <v>325</v>
      </c>
      <c r="C178" t="str">
        <f t="shared" si="3"/>
        <v>R. del Maule</v>
      </c>
    </row>
    <row r="179" spans="1:3" x14ac:dyDescent="0.25">
      <c r="A179" t="s">
        <v>335</v>
      </c>
      <c r="B179" t="s">
        <v>325</v>
      </c>
      <c r="C179" t="str">
        <f t="shared" si="3"/>
        <v>R. del Maule</v>
      </c>
    </row>
    <row r="180" spans="1:3" x14ac:dyDescent="0.25">
      <c r="A180" t="s">
        <v>336</v>
      </c>
      <c r="B180" t="s">
        <v>325</v>
      </c>
      <c r="C180" t="str">
        <f t="shared" si="3"/>
        <v>R. del Maule</v>
      </c>
    </row>
    <row r="181" spans="1:3" x14ac:dyDescent="0.25">
      <c r="A181" t="s">
        <v>159</v>
      </c>
      <c r="B181" t="s">
        <v>325</v>
      </c>
      <c r="C181" t="str">
        <f t="shared" si="3"/>
        <v>R. del Maule</v>
      </c>
    </row>
    <row r="182" spans="1:3" x14ac:dyDescent="0.25">
      <c r="A182" t="s">
        <v>337</v>
      </c>
      <c r="B182" t="s">
        <v>325</v>
      </c>
      <c r="C182" t="str">
        <f t="shared" si="3"/>
        <v>R. del Maule</v>
      </c>
    </row>
    <row r="183" spans="1:3" x14ac:dyDescent="0.25">
      <c r="A183" t="s">
        <v>338</v>
      </c>
      <c r="B183" t="s">
        <v>325</v>
      </c>
      <c r="C183" t="str">
        <f t="shared" si="3"/>
        <v>R. del Maule</v>
      </c>
    </row>
    <row r="184" spans="1:3" x14ac:dyDescent="0.25">
      <c r="A184" t="s">
        <v>339</v>
      </c>
      <c r="B184" t="s">
        <v>325</v>
      </c>
      <c r="C184" t="str">
        <f t="shared" si="3"/>
        <v>R. del Maule</v>
      </c>
    </row>
    <row r="185" spans="1:3" x14ac:dyDescent="0.25">
      <c r="A185" t="s">
        <v>340</v>
      </c>
      <c r="B185" t="s">
        <v>325</v>
      </c>
      <c r="C185" t="str">
        <f t="shared" si="3"/>
        <v>R. del Maule</v>
      </c>
    </row>
    <row r="186" spans="1:3" x14ac:dyDescent="0.25">
      <c r="A186" t="s">
        <v>341</v>
      </c>
      <c r="B186" t="s">
        <v>325</v>
      </c>
      <c r="C186" t="str">
        <f t="shared" si="3"/>
        <v>R. del Maule</v>
      </c>
    </row>
    <row r="187" spans="1:3" x14ac:dyDescent="0.25">
      <c r="A187" t="s">
        <v>342</v>
      </c>
      <c r="B187" t="s">
        <v>325</v>
      </c>
      <c r="C187" t="str">
        <f t="shared" si="3"/>
        <v>R. del Maule</v>
      </c>
    </row>
    <row r="188" spans="1:3" x14ac:dyDescent="0.25">
      <c r="A188" t="s">
        <v>343</v>
      </c>
      <c r="B188" t="s">
        <v>325</v>
      </c>
      <c r="C188" t="str">
        <f t="shared" si="3"/>
        <v>R. del Maule</v>
      </c>
    </row>
    <row r="189" spans="1:3" x14ac:dyDescent="0.25">
      <c r="A189" t="s">
        <v>344</v>
      </c>
      <c r="B189" t="s">
        <v>325</v>
      </c>
      <c r="C189" t="str">
        <f t="shared" si="3"/>
        <v>R. del Maule</v>
      </c>
    </row>
    <row r="190" spans="1:3" x14ac:dyDescent="0.25">
      <c r="A190" t="s">
        <v>345</v>
      </c>
      <c r="B190" t="s">
        <v>325</v>
      </c>
      <c r="C190" t="str">
        <f t="shared" si="3"/>
        <v>R. del Maule</v>
      </c>
    </row>
    <row r="191" spans="1:3" x14ac:dyDescent="0.25">
      <c r="A191" t="s">
        <v>346</v>
      </c>
      <c r="B191" t="s">
        <v>325</v>
      </c>
      <c r="C191" t="str">
        <f t="shared" si="3"/>
        <v>R. del Maule</v>
      </c>
    </row>
    <row r="192" spans="1:3" x14ac:dyDescent="0.25">
      <c r="A192" t="s">
        <v>347</v>
      </c>
      <c r="B192" t="s">
        <v>325</v>
      </c>
      <c r="C192" t="str">
        <f t="shared" si="3"/>
        <v>R. del Maule</v>
      </c>
    </row>
    <row r="193" spans="1:3" x14ac:dyDescent="0.25">
      <c r="A193" t="s">
        <v>348</v>
      </c>
      <c r="B193" t="s">
        <v>325</v>
      </c>
      <c r="C193" t="str">
        <f t="shared" si="3"/>
        <v>R. del Maule</v>
      </c>
    </row>
    <row r="194" spans="1:3" x14ac:dyDescent="0.25">
      <c r="A194" t="s">
        <v>349</v>
      </c>
      <c r="B194" t="s">
        <v>325</v>
      </c>
      <c r="C194" t="str">
        <f t="shared" si="3"/>
        <v>R. del Maule</v>
      </c>
    </row>
    <row r="195" spans="1:3" x14ac:dyDescent="0.25">
      <c r="A195" t="s">
        <v>350</v>
      </c>
      <c r="B195" t="s">
        <v>325</v>
      </c>
      <c r="C195" t="str">
        <f t="shared" si="3"/>
        <v>R. del Maule</v>
      </c>
    </row>
    <row r="196" spans="1:3" x14ac:dyDescent="0.25">
      <c r="A196" t="s">
        <v>351</v>
      </c>
      <c r="B196" t="s">
        <v>325</v>
      </c>
      <c r="C196" t="str">
        <f t="shared" si="3"/>
        <v>R. del Maule</v>
      </c>
    </row>
    <row r="197" spans="1:3" x14ac:dyDescent="0.25">
      <c r="A197" t="s">
        <v>352</v>
      </c>
      <c r="B197" t="s">
        <v>325</v>
      </c>
      <c r="C197" t="str">
        <f t="shared" si="3"/>
        <v>R. del Maule</v>
      </c>
    </row>
    <row r="198" spans="1:3" x14ac:dyDescent="0.25">
      <c r="A198" t="s">
        <v>353</v>
      </c>
      <c r="B198" t="s">
        <v>354</v>
      </c>
      <c r="C198" t="str">
        <f t="shared" si="3"/>
        <v>R. del Ñuble</v>
      </c>
    </row>
    <row r="199" spans="1:3" x14ac:dyDescent="0.25">
      <c r="A199" t="s">
        <v>355</v>
      </c>
      <c r="B199" t="s">
        <v>354</v>
      </c>
      <c r="C199" t="str">
        <f t="shared" si="3"/>
        <v>R. del Ñuble</v>
      </c>
    </row>
    <row r="200" spans="1:3" x14ac:dyDescent="0.25">
      <c r="A200" t="s">
        <v>356</v>
      </c>
      <c r="B200" t="s">
        <v>354</v>
      </c>
      <c r="C200" t="str">
        <f t="shared" si="3"/>
        <v>R. del Ñuble</v>
      </c>
    </row>
    <row r="201" spans="1:3" x14ac:dyDescent="0.25">
      <c r="A201" t="s">
        <v>357</v>
      </c>
      <c r="B201" t="s">
        <v>354</v>
      </c>
      <c r="C201" t="str">
        <f t="shared" si="3"/>
        <v>R. del Ñuble</v>
      </c>
    </row>
    <row r="202" spans="1:3" x14ac:dyDescent="0.25">
      <c r="A202" t="s">
        <v>358</v>
      </c>
      <c r="B202" t="s">
        <v>354</v>
      </c>
      <c r="C202" t="str">
        <f t="shared" si="3"/>
        <v>R. del Ñuble</v>
      </c>
    </row>
    <row r="203" spans="1:3" x14ac:dyDescent="0.25">
      <c r="A203" t="s">
        <v>359</v>
      </c>
      <c r="B203" t="s">
        <v>354</v>
      </c>
      <c r="C203" t="str">
        <f t="shared" si="3"/>
        <v>R. del Ñuble</v>
      </c>
    </row>
    <row r="204" spans="1:3" x14ac:dyDescent="0.25">
      <c r="A204" t="s">
        <v>360</v>
      </c>
      <c r="B204" t="s">
        <v>354</v>
      </c>
      <c r="C204" t="str">
        <f t="shared" si="3"/>
        <v>R. del Ñuble</v>
      </c>
    </row>
    <row r="205" spans="1:3" x14ac:dyDescent="0.25">
      <c r="A205" t="s">
        <v>361</v>
      </c>
      <c r="B205" t="s">
        <v>354</v>
      </c>
      <c r="C205" t="str">
        <f t="shared" si="3"/>
        <v>R. del Ñuble</v>
      </c>
    </row>
    <row r="206" spans="1:3" x14ac:dyDescent="0.25">
      <c r="A206" t="s">
        <v>362</v>
      </c>
      <c r="B206" t="s">
        <v>354</v>
      </c>
      <c r="C206" t="str">
        <f t="shared" si="3"/>
        <v>R. del Ñuble</v>
      </c>
    </row>
    <row r="207" spans="1:3" x14ac:dyDescent="0.25">
      <c r="A207" t="s">
        <v>363</v>
      </c>
      <c r="B207" t="s">
        <v>354</v>
      </c>
      <c r="C207" t="str">
        <f t="shared" si="3"/>
        <v>R. del Ñuble</v>
      </c>
    </row>
    <row r="208" spans="1:3" x14ac:dyDescent="0.25">
      <c r="A208" t="s">
        <v>364</v>
      </c>
      <c r="B208" t="s">
        <v>354</v>
      </c>
      <c r="C208" t="str">
        <f t="shared" si="3"/>
        <v>R. del Ñuble</v>
      </c>
    </row>
    <row r="209" spans="1:3" x14ac:dyDescent="0.25">
      <c r="A209" t="s">
        <v>365</v>
      </c>
      <c r="B209" t="s">
        <v>354</v>
      </c>
      <c r="C209" t="str">
        <f t="shared" si="3"/>
        <v>R. del Ñuble</v>
      </c>
    </row>
    <row r="210" spans="1:3" x14ac:dyDescent="0.25">
      <c r="A210" t="s">
        <v>366</v>
      </c>
      <c r="B210" t="s">
        <v>354</v>
      </c>
      <c r="C210" t="str">
        <f t="shared" si="3"/>
        <v>R. del Ñuble</v>
      </c>
    </row>
    <row r="211" spans="1:3" x14ac:dyDescent="0.25">
      <c r="A211" t="s">
        <v>367</v>
      </c>
      <c r="B211" t="s">
        <v>354</v>
      </c>
      <c r="C211" t="str">
        <f t="shared" si="3"/>
        <v>R. del Ñuble</v>
      </c>
    </row>
    <row r="212" spans="1:3" x14ac:dyDescent="0.25">
      <c r="A212" t="s">
        <v>368</v>
      </c>
      <c r="B212" t="s">
        <v>354</v>
      </c>
      <c r="C212" t="str">
        <f t="shared" si="3"/>
        <v>R. del Ñuble</v>
      </c>
    </row>
    <row r="213" spans="1:3" x14ac:dyDescent="0.25">
      <c r="A213" t="s">
        <v>369</v>
      </c>
      <c r="B213" t="s">
        <v>354</v>
      </c>
      <c r="C213" t="str">
        <f t="shared" si="3"/>
        <v>R. del Ñuble</v>
      </c>
    </row>
    <row r="214" spans="1:3" x14ac:dyDescent="0.25">
      <c r="A214" t="s">
        <v>370</v>
      </c>
      <c r="B214" t="s">
        <v>354</v>
      </c>
      <c r="C214" t="str">
        <f t="shared" si="3"/>
        <v>R. del Ñuble</v>
      </c>
    </row>
    <row r="215" spans="1:3" x14ac:dyDescent="0.25">
      <c r="A215" t="s">
        <v>371</v>
      </c>
      <c r="B215" t="s">
        <v>354</v>
      </c>
      <c r="C215" t="str">
        <f t="shared" si="3"/>
        <v>R. del Ñuble</v>
      </c>
    </row>
    <row r="216" spans="1:3" x14ac:dyDescent="0.25">
      <c r="A216" t="s">
        <v>372</v>
      </c>
      <c r="B216" t="s">
        <v>354</v>
      </c>
      <c r="C216" t="str">
        <f t="shared" si="3"/>
        <v>R. del Ñuble</v>
      </c>
    </row>
    <row r="217" spans="1:3" x14ac:dyDescent="0.25">
      <c r="A217" t="s">
        <v>373</v>
      </c>
      <c r="B217" t="s">
        <v>354</v>
      </c>
      <c r="C217" t="str">
        <f t="shared" si="3"/>
        <v>R. del Ñuble</v>
      </c>
    </row>
    <row r="218" spans="1:3" x14ac:dyDescent="0.25">
      <c r="A218" t="s">
        <v>150</v>
      </c>
      <c r="B218" t="s">
        <v>374</v>
      </c>
      <c r="C218" t="str">
        <f t="shared" si="3"/>
        <v>R. del Biobío</v>
      </c>
    </row>
    <row r="219" spans="1:3" x14ac:dyDescent="0.25">
      <c r="A219" t="s">
        <v>375</v>
      </c>
      <c r="B219" t="s">
        <v>374</v>
      </c>
      <c r="C219" t="str">
        <f t="shared" si="3"/>
        <v>R. del Biobío</v>
      </c>
    </row>
    <row r="220" spans="1:3" x14ac:dyDescent="0.25">
      <c r="A220" t="s">
        <v>376</v>
      </c>
      <c r="B220" t="s">
        <v>374</v>
      </c>
      <c r="C220" t="str">
        <f t="shared" si="3"/>
        <v>R. del Biobío</v>
      </c>
    </row>
    <row r="221" spans="1:3" x14ac:dyDescent="0.25">
      <c r="A221" t="s">
        <v>377</v>
      </c>
      <c r="B221" t="s">
        <v>374</v>
      </c>
      <c r="C221" t="str">
        <f t="shared" si="3"/>
        <v>R. del Biobío</v>
      </c>
    </row>
    <row r="222" spans="1:3" x14ac:dyDescent="0.25">
      <c r="A222" t="s">
        <v>378</v>
      </c>
      <c r="B222" t="s">
        <v>374</v>
      </c>
      <c r="C222" t="str">
        <f t="shared" si="3"/>
        <v>R. del Biobío</v>
      </c>
    </row>
    <row r="223" spans="1:3" x14ac:dyDescent="0.25">
      <c r="A223" t="s">
        <v>379</v>
      </c>
      <c r="B223" t="s">
        <v>374</v>
      </c>
      <c r="C223" t="str">
        <f t="shared" si="3"/>
        <v>R. del Biobío</v>
      </c>
    </row>
    <row r="224" spans="1:3" x14ac:dyDescent="0.25">
      <c r="A224" t="s">
        <v>380</v>
      </c>
      <c r="B224" t="s">
        <v>374</v>
      </c>
      <c r="C224" t="str">
        <f t="shared" si="3"/>
        <v>R. del Biobío</v>
      </c>
    </row>
    <row r="225" spans="1:3" x14ac:dyDescent="0.25">
      <c r="A225" t="s">
        <v>158</v>
      </c>
      <c r="B225" t="s">
        <v>374</v>
      </c>
      <c r="C225" t="str">
        <f t="shared" si="3"/>
        <v>R. del Biobío</v>
      </c>
    </row>
    <row r="226" spans="1:3" x14ac:dyDescent="0.25">
      <c r="A226" t="s">
        <v>381</v>
      </c>
      <c r="B226" t="s">
        <v>374</v>
      </c>
      <c r="C226" t="str">
        <f t="shared" si="3"/>
        <v>R. del Biobío</v>
      </c>
    </row>
    <row r="227" spans="1:3" x14ac:dyDescent="0.25">
      <c r="A227" t="s">
        <v>382</v>
      </c>
      <c r="B227" t="s">
        <v>374</v>
      </c>
      <c r="C227" t="str">
        <f t="shared" si="3"/>
        <v>R. del Biobío</v>
      </c>
    </row>
    <row r="228" spans="1:3" x14ac:dyDescent="0.25">
      <c r="A228" t="s">
        <v>383</v>
      </c>
      <c r="B228" t="s">
        <v>374</v>
      </c>
      <c r="C228" t="str">
        <f t="shared" si="3"/>
        <v>R. del Biobío</v>
      </c>
    </row>
    <row r="229" spans="1:3" x14ac:dyDescent="0.25">
      <c r="A229" t="s">
        <v>384</v>
      </c>
      <c r="B229" t="s">
        <v>374</v>
      </c>
      <c r="C229" t="str">
        <f t="shared" si="3"/>
        <v>R. del Biobío</v>
      </c>
    </row>
    <row r="230" spans="1:3" x14ac:dyDescent="0.25">
      <c r="A230" t="s">
        <v>385</v>
      </c>
      <c r="B230" t="s">
        <v>374</v>
      </c>
      <c r="C230" t="str">
        <f t="shared" si="3"/>
        <v>R. del Biobío</v>
      </c>
    </row>
    <row r="231" spans="1:3" x14ac:dyDescent="0.25">
      <c r="A231" t="s">
        <v>386</v>
      </c>
      <c r="B231" t="s">
        <v>374</v>
      </c>
      <c r="C231" t="str">
        <f t="shared" si="3"/>
        <v>R. del Biobío</v>
      </c>
    </row>
    <row r="232" spans="1:3" x14ac:dyDescent="0.25">
      <c r="A232" t="s">
        <v>387</v>
      </c>
      <c r="B232" t="s">
        <v>374</v>
      </c>
      <c r="C232" t="str">
        <f t="shared" si="3"/>
        <v>R. del Biobío</v>
      </c>
    </row>
    <row r="233" spans="1:3" x14ac:dyDescent="0.25">
      <c r="A233" t="s">
        <v>388</v>
      </c>
      <c r="B233" t="s">
        <v>374</v>
      </c>
      <c r="C233" t="str">
        <f t="shared" ref="C233:C250" si="4">+"R. del "&amp;B233</f>
        <v>R. del Biobío</v>
      </c>
    </row>
    <row r="234" spans="1:3" x14ac:dyDescent="0.25">
      <c r="A234" t="s">
        <v>389</v>
      </c>
      <c r="B234" t="s">
        <v>374</v>
      </c>
      <c r="C234" t="str">
        <f t="shared" si="4"/>
        <v>R. del Biobío</v>
      </c>
    </row>
    <row r="235" spans="1:3" x14ac:dyDescent="0.25">
      <c r="A235" t="s">
        <v>390</v>
      </c>
      <c r="B235" t="s">
        <v>374</v>
      </c>
      <c r="C235" t="str">
        <f t="shared" si="4"/>
        <v>R. del Biobío</v>
      </c>
    </row>
    <row r="236" spans="1:3" x14ac:dyDescent="0.25">
      <c r="A236" t="s">
        <v>391</v>
      </c>
      <c r="B236" t="s">
        <v>374</v>
      </c>
      <c r="C236" t="str">
        <f t="shared" si="4"/>
        <v>R. del Biobío</v>
      </c>
    </row>
    <row r="237" spans="1:3" x14ac:dyDescent="0.25">
      <c r="A237" t="s">
        <v>160</v>
      </c>
      <c r="B237" t="s">
        <v>374</v>
      </c>
      <c r="C237" t="str">
        <f t="shared" si="4"/>
        <v>R. del Biobío</v>
      </c>
    </row>
    <row r="238" spans="1:3" x14ac:dyDescent="0.25">
      <c r="A238" t="s">
        <v>392</v>
      </c>
      <c r="B238" t="s">
        <v>374</v>
      </c>
      <c r="C238" t="str">
        <f t="shared" si="4"/>
        <v>R. del Biobío</v>
      </c>
    </row>
    <row r="239" spans="1:3" x14ac:dyDescent="0.25">
      <c r="A239" t="s">
        <v>393</v>
      </c>
      <c r="B239" t="s">
        <v>374</v>
      </c>
      <c r="C239" t="str">
        <f t="shared" si="4"/>
        <v>R. del Biobío</v>
      </c>
    </row>
    <row r="240" spans="1:3" x14ac:dyDescent="0.25">
      <c r="A240" t="s">
        <v>394</v>
      </c>
      <c r="B240" t="s">
        <v>374</v>
      </c>
      <c r="C240" t="str">
        <f t="shared" si="4"/>
        <v>R. del Biobío</v>
      </c>
    </row>
    <row r="241" spans="1:3" x14ac:dyDescent="0.25">
      <c r="A241" t="s">
        <v>395</v>
      </c>
      <c r="B241" t="s">
        <v>374</v>
      </c>
      <c r="C241" t="str">
        <f t="shared" si="4"/>
        <v>R. del Biobío</v>
      </c>
    </row>
    <row r="242" spans="1:3" x14ac:dyDescent="0.25">
      <c r="A242" t="s">
        <v>396</v>
      </c>
      <c r="B242" t="s">
        <v>374</v>
      </c>
      <c r="C242" t="str">
        <f t="shared" si="4"/>
        <v>R. del Biobío</v>
      </c>
    </row>
    <row r="243" spans="1:3" x14ac:dyDescent="0.25">
      <c r="A243" t="s">
        <v>397</v>
      </c>
      <c r="B243" t="s">
        <v>374</v>
      </c>
      <c r="C243" t="str">
        <f t="shared" si="4"/>
        <v>R. del Biobío</v>
      </c>
    </row>
    <row r="244" spans="1:3" x14ac:dyDescent="0.25">
      <c r="A244" t="s">
        <v>398</v>
      </c>
      <c r="B244" t="s">
        <v>374</v>
      </c>
      <c r="C244" t="str">
        <f t="shared" si="4"/>
        <v>R. del Biobío</v>
      </c>
    </row>
    <row r="245" spans="1:3" x14ac:dyDescent="0.25">
      <c r="A245" t="s">
        <v>399</v>
      </c>
      <c r="B245" t="s">
        <v>374</v>
      </c>
      <c r="C245" t="str">
        <f t="shared" si="4"/>
        <v>R. del Biobío</v>
      </c>
    </row>
    <row r="246" spans="1:3" x14ac:dyDescent="0.25">
      <c r="A246" t="s">
        <v>400</v>
      </c>
      <c r="B246" t="s">
        <v>374</v>
      </c>
      <c r="C246" t="str">
        <f t="shared" si="4"/>
        <v>R. del Biobío</v>
      </c>
    </row>
    <row r="247" spans="1:3" x14ac:dyDescent="0.25">
      <c r="A247" t="s">
        <v>401</v>
      </c>
      <c r="B247" t="s">
        <v>374</v>
      </c>
      <c r="C247" t="str">
        <f t="shared" si="4"/>
        <v>R. del Biobío</v>
      </c>
    </row>
    <row r="248" spans="1:3" x14ac:dyDescent="0.25">
      <c r="A248" t="s">
        <v>402</v>
      </c>
      <c r="B248" t="s">
        <v>374</v>
      </c>
      <c r="C248" t="str">
        <f t="shared" si="4"/>
        <v>R. del Biobío</v>
      </c>
    </row>
    <row r="249" spans="1:3" x14ac:dyDescent="0.25">
      <c r="A249" t="s">
        <v>403</v>
      </c>
      <c r="B249" t="s">
        <v>374</v>
      </c>
      <c r="C249" t="str">
        <f t="shared" si="4"/>
        <v>R. del Biobío</v>
      </c>
    </row>
    <row r="250" spans="1:3" x14ac:dyDescent="0.25">
      <c r="A250" t="s">
        <v>404</v>
      </c>
      <c r="B250" t="s">
        <v>374</v>
      </c>
      <c r="C250" t="str">
        <f t="shared" si="4"/>
        <v>R. del Biobío</v>
      </c>
    </row>
    <row r="251" spans="1:3" x14ac:dyDescent="0.25">
      <c r="A251" t="s">
        <v>151</v>
      </c>
      <c r="B251" t="s">
        <v>405</v>
      </c>
      <c r="C251" t="str">
        <f t="shared" ref="C251:C314" si="5">+"R. de "&amp;B251</f>
        <v>R. de La Araucanía</v>
      </c>
    </row>
    <row r="252" spans="1:3" x14ac:dyDescent="0.25">
      <c r="A252" t="s">
        <v>406</v>
      </c>
      <c r="B252" t="s">
        <v>405</v>
      </c>
      <c r="C252" t="str">
        <f t="shared" si="5"/>
        <v>R. de La Araucanía</v>
      </c>
    </row>
    <row r="253" spans="1:3" x14ac:dyDescent="0.25">
      <c r="A253" t="s">
        <v>407</v>
      </c>
      <c r="B253" t="s">
        <v>405</v>
      </c>
      <c r="C253" t="str">
        <f t="shared" si="5"/>
        <v>R. de La Araucanía</v>
      </c>
    </row>
    <row r="254" spans="1:3" x14ac:dyDescent="0.25">
      <c r="A254" t="s">
        <v>408</v>
      </c>
      <c r="B254" t="s">
        <v>405</v>
      </c>
      <c r="C254" t="str">
        <f t="shared" si="5"/>
        <v>R. de La Araucanía</v>
      </c>
    </row>
    <row r="255" spans="1:3" x14ac:dyDescent="0.25">
      <c r="A255" t="s">
        <v>409</v>
      </c>
      <c r="B255" t="s">
        <v>405</v>
      </c>
      <c r="C255" t="str">
        <f t="shared" si="5"/>
        <v>R. de La Araucanía</v>
      </c>
    </row>
    <row r="256" spans="1:3" x14ac:dyDescent="0.25">
      <c r="A256" t="s">
        <v>410</v>
      </c>
      <c r="B256" t="s">
        <v>405</v>
      </c>
      <c r="C256" t="str">
        <f t="shared" si="5"/>
        <v>R. de La Araucanía</v>
      </c>
    </row>
    <row r="257" spans="1:3" x14ac:dyDescent="0.25">
      <c r="A257" t="s">
        <v>411</v>
      </c>
      <c r="B257" t="s">
        <v>405</v>
      </c>
      <c r="C257" t="str">
        <f t="shared" si="5"/>
        <v>R. de La Araucanía</v>
      </c>
    </row>
    <row r="258" spans="1:3" x14ac:dyDescent="0.25">
      <c r="A258" t="s">
        <v>412</v>
      </c>
      <c r="B258" t="s">
        <v>405</v>
      </c>
      <c r="C258" t="str">
        <f t="shared" si="5"/>
        <v>R. de La Araucanía</v>
      </c>
    </row>
    <row r="259" spans="1:3" x14ac:dyDescent="0.25">
      <c r="A259" t="s">
        <v>413</v>
      </c>
      <c r="B259" t="s">
        <v>405</v>
      </c>
      <c r="C259" t="str">
        <f t="shared" si="5"/>
        <v>R. de La Araucanía</v>
      </c>
    </row>
    <row r="260" spans="1:3" x14ac:dyDescent="0.25">
      <c r="A260" t="s">
        <v>414</v>
      </c>
      <c r="B260" t="s">
        <v>405</v>
      </c>
      <c r="C260" t="str">
        <f t="shared" si="5"/>
        <v>R. de La Araucanía</v>
      </c>
    </row>
    <row r="261" spans="1:3" x14ac:dyDescent="0.25">
      <c r="A261" t="s">
        <v>415</v>
      </c>
      <c r="B261" t="s">
        <v>405</v>
      </c>
      <c r="C261" t="str">
        <f t="shared" si="5"/>
        <v>R. de La Araucanía</v>
      </c>
    </row>
    <row r="262" spans="1:3" x14ac:dyDescent="0.25">
      <c r="A262" t="s">
        <v>416</v>
      </c>
      <c r="B262" t="s">
        <v>405</v>
      </c>
      <c r="C262" t="str">
        <f t="shared" si="5"/>
        <v>R. de La Araucanía</v>
      </c>
    </row>
    <row r="263" spans="1:3" x14ac:dyDescent="0.25">
      <c r="A263" t="s">
        <v>417</v>
      </c>
      <c r="B263" t="s">
        <v>405</v>
      </c>
      <c r="C263" t="str">
        <f t="shared" si="5"/>
        <v>R. de La Araucanía</v>
      </c>
    </row>
    <row r="264" spans="1:3" x14ac:dyDescent="0.25">
      <c r="A264" t="s">
        <v>418</v>
      </c>
      <c r="B264" t="s">
        <v>405</v>
      </c>
      <c r="C264" t="str">
        <f t="shared" si="5"/>
        <v>R. de La Araucanía</v>
      </c>
    </row>
    <row r="265" spans="1:3" x14ac:dyDescent="0.25">
      <c r="A265" t="s">
        <v>419</v>
      </c>
      <c r="B265" t="s">
        <v>405</v>
      </c>
      <c r="C265" t="str">
        <f t="shared" si="5"/>
        <v>R. de La Araucanía</v>
      </c>
    </row>
    <row r="266" spans="1:3" x14ac:dyDescent="0.25">
      <c r="A266" t="s">
        <v>146</v>
      </c>
      <c r="B266" t="s">
        <v>405</v>
      </c>
      <c r="C266" t="str">
        <f t="shared" si="5"/>
        <v>R. de La Araucanía</v>
      </c>
    </row>
    <row r="267" spans="1:3" x14ac:dyDescent="0.25">
      <c r="A267" t="s">
        <v>420</v>
      </c>
      <c r="B267" t="s">
        <v>405</v>
      </c>
      <c r="C267" t="str">
        <f t="shared" si="5"/>
        <v>R. de La Araucanía</v>
      </c>
    </row>
    <row r="268" spans="1:3" x14ac:dyDescent="0.25">
      <c r="A268" t="s">
        <v>421</v>
      </c>
      <c r="B268" t="s">
        <v>405</v>
      </c>
      <c r="C268" t="str">
        <f t="shared" si="5"/>
        <v>R. de La Araucanía</v>
      </c>
    </row>
    <row r="269" spans="1:3" x14ac:dyDescent="0.25">
      <c r="A269" t="s">
        <v>422</v>
      </c>
      <c r="B269" t="s">
        <v>405</v>
      </c>
      <c r="C269" t="str">
        <f t="shared" si="5"/>
        <v>R. de La Araucanía</v>
      </c>
    </row>
    <row r="270" spans="1:3" x14ac:dyDescent="0.25">
      <c r="A270" t="s">
        <v>423</v>
      </c>
      <c r="B270" t="s">
        <v>405</v>
      </c>
      <c r="C270" t="str">
        <f t="shared" si="5"/>
        <v>R. de La Araucanía</v>
      </c>
    </row>
    <row r="271" spans="1:3" x14ac:dyDescent="0.25">
      <c r="A271" t="s">
        <v>424</v>
      </c>
      <c r="B271" t="s">
        <v>405</v>
      </c>
      <c r="C271" t="str">
        <f t="shared" si="5"/>
        <v>R. de La Araucanía</v>
      </c>
    </row>
    <row r="272" spans="1:3" x14ac:dyDescent="0.25">
      <c r="A272" t="s">
        <v>147</v>
      </c>
      <c r="B272" t="s">
        <v>405</v>
      </c>
      <c r="C272" t="str">
        <f t="shared" si="5"/>
        <v>R. de La Araucanía</v>
      </c>
    </row>
    <row r="273" spans="1:3" x14ac:dyDescent="0.25">
      <c r="A273" t="s">
        <v>425</v>
      </c>
      <c r="B273" t="s">
        <v>405</v>
      </c>
      <c r="C273" t="str">
        <f t="shared" si="5"/>
        <v>R. de La Araucanía</v>
      </c>
    </row>
    <row r="274" spans="1:3" x14ac:dyDescent="0.25">
      <c r="A274" t="s">
        <v>426</v>
      </c>
      <c r="B274" t="s">
        <v>405</v>
      </c>
      <c r="C274" t="str">
        <f t="shared" si="5"/>
        <v>R. de La Araucanía</v>
      </c>
    </row>
    <row r="275" spans="1:3" x14ac:dyDescent="0.25">
      <c r="A275" t="s">
        <v>427</v>
      </c>
      <c r="B275" t="s">
        <v>405</v>
      </c>
      <c r="C275" t="str">
        <f t="shared" si="5"/>
        <v>R. de La Araucanía</v>
      </c>
    </row>
    <row r="276" spans="1:3" x14ac:dyDescent="0.25">
      <c r="A276" t="s">
        <v>428</v>
      </c>
      <c r="B276" t="s">
        <v>405</v>
      </c>
      <c r="C276" t="str">
        <f t="shared" si="5"/>
        <v>R. de La Araucanía</v>
      </c>
    </row>
    <row r="277" spans="1:3" x14ac:dyDescent="0.25">
      <c r="A277" t="s">
        <v>429</v>
      </c>
      <c r="B277" t="s">
        <v>405</v>
      </c>
      <c r="C277" t="str">
        <f t="shared" si="5"/>
        <v>R. de La Araucanía</v>
      </c>
    </row>
    <row r="278" spans="1:3" x14ac:dyDescent="0.25">
      <c r="A278" t="s">
        <v>430</v>
      </c>
      <c r="B278" t="s">
        <v>405</v>
      </c>
      <c r="C278" t="str">
        <f t="shared" si="5"/>
        <v>R. de La Araucanía</v>
      </c>
    </row>
    <row r="279" spans="1:3" x14ac:dyDescent="0.25">
      <c r="A279" t="s">
        <v>431</v>
      </c>
      <c r="B279" t="s">
        <v>405</v>
      </c>
      <c r="C279" t="str">
        <f t="shared" si="5"/>
        <v>R. de La Araucanía</v>
      </c>
    </row>
    <row r="280" spans="1:3" x14ac:dyDescent="0.25">
      <c r="A280" t="s">
        <v>432</v>
      </c>
      <c r="B280" t="s">
        <v>405</v>
      </c>
      <c r="C280" t="str">
        <f t="shared" si="5"/>
        <v>R. de La Araucanía</v>
      </c>
    </row>
    <row r="281" spans="1:3" x14ac:dyDescent="0.25">
      <c r="A281" t="s">
        <v>433</v>
      </c>
      <c r="B281" t="s">
        <v>405</v>
      </c>
      <c r="C281" t="str">
        <f t="shared" si="5"/>
        <v>R. de La Araucanía</v>
      </c>
    </row>
    <row r="282" spans="1:3" x14ac:dyDescent="0.25">
      <c r="A282" t="s">
        <v>434</v>
      </c>
      <c r="B282" t="s">
        <v>405</v>
      </c>
      <c r="C282" t="str">
        <f t="shared" si="5"/>
        <v>R. de La Araucanía</v>
      </c>
    </row>
    <row r="283" spans="1:3" x14ac:dyDescent="0.25">
      <c r="A283" t="s">
        <v>435</v>
      </c>
      <c r="B283" t="s">
        <v>436</v>
      </c>
      <c r="C283" t="str">
        <f t="shared" si="5"/>
        <v>R. de Los Ríos</v>
      </c>
    </row>
    <row r="284" spans="1:3" x14ac:dyDescent="0.25">
      <c r="A284" t="s">
        <v>437</v>
      </c>
      <c r="B284" t="s">
        <v>436</v>
      </c>
      <c r="C284" t="str">
        <f t="shared" si="5"/>
        <v>R. de Los Ríos</v>
      </c>
    </row>
    <row r="285" spans="1:3" x14ac:dyDescent="0.25">
      <c r="A285" t="s">
        <v>438</v>
      </c>
      <c r="B285" t="s">
        <v>436</v>
      </c>
      <c r="C285" t="str">
        <f t="shared" si="5"/>
        <v>R. de Los Ríos</v>
      </c>
    </row>
    <row r="286" spans="1:3" x14ac:dyDescent="0.25">
      <c r="A286" t="s">
        <v>439</v>
      </c>
      <c r="B286" t="s">
        <v>436</v>
      </c>
      <c r="C286" t="str">
        <f t="shared" si="5"/>
        <v>R. de Los Ríos</v>
      </c>
    </row>
    <row r="287" spans="1:3" x14ac:dyDescent="0.25">
      <c r="A287" t="s">
        <v>440</v>
      </c>
      <c r="B287" t="s">
        <v>436</v>
      </c>
      <c r="C287" t="str">
        <f t="shared" si="5"/>
        <v>R. de Los Ríos</v>
      </c>
    </row>
    <row r="288" spans="1:3" x14ac:dyDescent="0.25">
      <c r="A288" t="s">
        <v>441</v>
      </c>
      <c r="B288" t="s">
        <v>436</v>
      </c>
      <c r="C288" t="str">
        <f t="shared" si="5"/>
        <v>R. de Los Ríos</v>
      </c>
    </row>
    <row r="289" spans="1:3" x14ac:dyDescent="0.25">
      <c r="A289" t="s">
        <v>442</v>
      </c>
      <c r="B289" t="s">
        <v>436</v>
      </c>
      <c r="C289" t="str">
        <f t="shared" si="5"/>
        <v>R. de Los Ríos</v>
      </c>
    </row>
    <row r="290" spans="1:3" x14ac:dyDescent="0.25">
      <c r="A290" t="s">
        <v>443</v>
      </c>
      <c r="B290" t="s">
        <v>436</v>
      </c>
      <c r="C290" t="str">
        <f t="shared" si="5"/>
        <v>R. de Los Ríos</v>
      </c>
    </row>
    <row r="291" spans="1:3" x14ac:dyDescent="0.25">
      <c r="A291" t="s">
        <v>444</v>
      </c>
      <c r="B291" t="s">
        <v>436</v>
      </c>
      <c r="C291" t="str">
        <f t="shared" si="5"/>
        <v>R. de Los Ríos</v>
      </c>
    </row>
    <row r="292" spans="1:3" x14ac:dyDescent="0.25">
      <c r="A292" t="s">
        <v>445</v>
      </c>
      <c r="B292" t="s">
        <v>436</v>
      </c>
      <c r="C292" t="str">
        <f t="shared" si="5"/>
        <v>R. de Los Ríos</v>
      </c>
    </row>
    <row r="293" spans="1:3" x14ac:dyDescent="0.25">
      <c r="A293" t="s">
        <v>446</v>
      </c>
      <c r="B293" t="s">
        <v>436</v>
      </c>
      <c r="C293" t="str">
        <f t="shared" si="5"/>
        <v>R. de Los Ríos</v>
      </c>
    </row>
    <row r="294" spans="1:3" x14ac:dyDescent="0.25">
      <c r="A294" t="s">
        <v>447</v>
      </c>
      <c r="B294" t="s">
        <v>436</v>
      </c>
      <c r="C294" t="str">
        <f t="shared" si="5"/>
        <v>R. de Los Ríos</v>
      </c>
    </row>
    <row r="295" spans="1:3" x14ac:dyDescent="0.25">
      <c r="A295" t="s">
        <v>448</v>
      </c>
      <c r="B295" t="s">
        <v>439</v>
      </c>
      <c r="C295" t="str">
        <f t="shared" si="5"/>
        <v>R. de Los Lagos</v>
      </c>
    </row>
    <row r="296" spans="1:3" x14ac:dyDescent="0.25">
      <c r="A296" t="s">
        <v>449</v>
      </c>
      <c r="B296" t="s">
        <v>439</v>
      </c>
      <c r="C296" t="str">
        <f t="shared" si="5"/>
        <v>R. de Los Lagos</v>
      </c>
    </row>
    <row r="297" spans="1:3" x14ac:dyDescent="0.25">
      <c r="A297" t="s">
        <v>450</v>
      </c>
      <c r="B297" t="s">
        <v>439</v>
      </c>
      <c r="C297" t="str">
        <f t="shared" si="5"/>
        <v>R. de Los Lagos</v>
      </c>
    </row>
    <row r="298" spans="1:3" x14ac:dyDescent="0.25">
      <c r="A298" t="s">
        <v>451</v>
      </c>
      <c r="B298" t="s">
        <v>439</v>
      </c>
      <c r="C298" t="str">
        <f t="shared" si="5"/>
        <v>R. de Los Lagos</v>
      </c>
    </row>
    <row r="299" spans="1:3" x14ac:dyDescent="0.25">
      <c r="A299" t="s">
        <v>452</v>
      </c>
      <c r="B299" t="s">
        <v>439</v>
      </c>
      <c r="C299" t="str">
        <f t="shared" si="5"/>
        <v>R. de Los Lagos</v>
      </c>
    </row>
    <row r="300" spans="1:3" x14ac:dyDescent="0.25">
      <c r="A300" t="s">
        <v>453</v>
      </c>
      <c r="B300" t="s">
        <v>439</v>
      </c>
      <c r="C300" t="str">
        <f t="shared" si="5"/>
        <v>R. de Los Lagos</v>
      </c>
    </row>
    <row r="301" spans="1:3" x14ac:dyDescent="0.25">
      <c r="A301" t="s">
        <v>454</v>
      </c>
      <c r="B301" t="s">
        <v>439</v>
      </c>
      <c r="C301" t="str">
        <f t="shared" si="5"/>
        <v>R. de Los Lagos</v>
      </c>
    </row>
    <row r="302" spans="1:3" x14ac:dyDescent="0.25">
      <c r="A302" t="s">
        <v>455</v>
      </c>
      <c r="B302" t="s">
        <v>439</v>
      </c>
      <c r="C302" t="str">
        <f t="shared" si="5"/>
        <v>R. de Los Lagos</v>
      </c>
    </row>
    <row r="303" spans="1:3" x14ac:dyDescent="0.25">
      <c r="A303" t="s">
        <v>456</v>
      </c>
      <c r="B303" t="s">
        <v>439</v>
      </c>
      <c r="C303" t="str">
        <f t="shared" si="5"/>
        <v>R. de Los Lagos</v>
      </c>
    </row>
    <row r="304" spans="1:3" x14ac:dyDescent="0.25">
      <c r="A304" t="s">
        <v>457</v>
      </c>
      <c r="B304" t="s">
        <v>439</v>
      </c>
      <c r="C304" t="str">
        <f t="shared" si="5"/>
        <v>R. de Los Lagos</v>
      </c>
    </row>
    <row r="305" spans="1:3" x14ac:dyDescent="0.25">
      <c r="A305" t="s">
        <v>458</v>
      </c>
      <c r="B305" t="s">
        <v>439</v>
      </c>
      <c r="C305" t="str">
        <f t="shared" si="5"/>
        <v>R. de Los Lagos</v>
      </c>
    </row>
    <row r="306" spans="1:3" x14ac:dyDescent="0.25">
      <c r="A306" t="s">
        <v>459</v>
      </c>
      <c r="B306" t="s">
        <v>439</v>
      </c>
      <c r="C306" t="str">
        <f t="shared" si="5"/>
        <v>R. de Los Lagos</v>
      </c>
    </row>
    <row r="307" spans="1:3" x14ac:dyDescent="0.25">
      <c r="A307" t="s">
        <v>460</v>
      </c>
      <c r="B307" t="s">
        <v>439</v>
      </c>
      <c r="C307" t="str">
        <f t="shared" si="5"/>
        <v>R. de Los Lagos</v>
      </c>
    </row>
    <row r="308" spans="1:3" x14ac:dyDescent="0.25">
      <c r="A308" t="s">
        <v>461</v>
      </c>
      <c r="B308" t="s">
        <v>439</v>
      </c>
      <c r="C308" t="str">
        <f t="shared" si="5"/>
        <v>R. de Los Lagos</v>
      </c>
    </row>
    <row r="309" spans="1:3" x14ac:dyDescent="0.25">
      <c r="A309" t="s">
        <v>462</v>
      </c>
      <c r="B309" t="s">
        <v>439</v>
      </c>
      <c r="C309" t="str">
        <f t="shared" si="5"/>
        <v>R. de Los Lagos</v>
      </c>
    </row>
    <row r="310" spans="1:3" x14ac:dyDescent="0.25">
      <c r="A310" t="s">
        <v>463</v>
      </c>
      <c r="B310" t="s">
        <v>439</v>
      </c>
      <c r="C310" t="str">
        <f t="shared" si="5"/>
        <v>R. de Los Lagos</v>
      </c>
    </row>
    <row r="311" spans="1:3" x14ac:dyDescent="0.25">
      <c r="A311" t="s">
        <v>464</v>
      </c>
      <c r="B311" t="s">
        <v>439</v>
      </c>
      <c r="C311" t="str">
        <f t="shared" si="5"/>
        <v>R. de Los Lagos</v>
      </c>
    </row>
    <row r="312" spans="1:3" x14ac:dyDescent="0.25">
      <c r="A312" t="s">
        <v>465</v>
      </c>
      <c r="B312" t="s">
        <v>439</v>
      </c>
      <c r="C312" t="str">
        <f t="shared" si="5"/>
        <v>R. de Los Lagos</v>
      </c>
    </row>
    <row r="313" spans="1:3" x14ac:dyDescent="0.25">
      <c r="A313" t="s">
        <v>466</v>
      </c>
      <c r="B313" t="s">
        <v>439</v>
      </c>
      <c r="C313" t="str">
        <f t="shared" si="5"/>
        <v>R. de Los Lagos</v>
      </c>
    </row>
    <row r="314" spans="1:3" x14ac:dyDescent="0.25">
      <c r="A314" t="s">
        <v>467</v>
      </c>
      <c r="B314" t="s">
        <v>439</v>
      </c>
      <c r="C314" t="str">
        <f t="shared" si="5"/>
        <v>R. de Los Lagos</v>
      </c>
    </row>
    <row r="315" spans="1:3" x14ac:dyDescent="0.25">
      <c r="A315" t="s">
        <v>468</v>
      </c>
      <c r="B315" t="s">
        <v>439</v>
      </c>
      <c r="C315" t="str">
        <f t="shared" ref="C315:C345" si="6">+"R. de "&amp;B315</f>
        <v>R. de Los Lagos</v>
      </c>
    </row>
    <row r="316" spans="1:3" x14ac:dyDescent="0.25">
      <c r="A316" t="s">
        <v>469</v>
      </c>
      <c r="B316" t="s">
        <v>439</v>
      </c>
      <c r="C316" t="str">
        <f t="shared" si="6"/>
        <v>R. de Los Lagos</v>
      </c>
    </row>
    <row r="317" spans="1:3" x14ac:dyDescent="0.25">
      <c r="A317" t="s">
        <v>470</v>
      </c>
      <c r="B317" t="s">
        <v>439</v>
      </c>
      <c r="C317" t="str">
        <f t="shared" si="6"/>
        <v>R. de Los Lagos</v>
      </c>
    </row>
    <row r="318" spans="1:3" x14ac:dyDescent="0.25">
      <c r="A318" t="s">
        <v>471</v>
      </c>
      <c r="B318" t="s">
        <v>439</v>
      </c>
      <c r="C318" t="str">
        <f t="shared" si="6"/>
        <v>R. de Los Lagos</v>
      </c>
    </row>
    <row r="319" spans="1:3" x14ac:dyDescent="0.25">
      <c r="A319" t="s">
        <v>472</v>
      </c>
      <c r="B319" t="s">
        <v>439</v>
      </c>
      <c r="C319" t="str">
        <f t="shared" si="6"/>
        <v>R. de Los Lagos</v>
      </c>
    </row>
    <row r="320" spans="1:3" x14ac:dyDescent="0.25">
      <c r="A320" t="s">
        <v>473</v>
      </c>
      <c r="B320" t="s">
        <v>439</v>
      </c>
      <c r="C320" t="str">
        <f t="shared" si="6"/>
        <v>R. de Los Lagos</v>
      </c>
    </row>
    <row r="321" spans="1:3" x14ac:dyDescent="0.25">
      <c r="A321" t="s">
        <v>474</v>
      </c>
      <c r="B321" t="s">
        <v>439</v>
      </c>
      <c r="C321" t="str">
        <f t="shared" si="6"/>
        <v>R. de Los Lagos</v>
      </c>
    </row>
    <row r="322" spans="1:3" x14ac:dyDescent="0.25">
      <c r="A322" t="s">
        <v>475</v>
      </c>
      <c r="B322" t="s">
        <v>439</v>
      </c>
      <c r="C322" t="str">
        <f t="shared" si="6"/>
        <v>R. de Los Lagos</v>
      </c>
    </row>
    <row r="323" spans="1:3" x14ac:dyDescent="0.25">
      <c r="A323" t="s">
        <v>476</v>
      </c>
      <c r="B323" t="s">
        <v>439</v>
      </c>
      <c r="C323" t="str">
        <f t="shared" si="6"/>
        <v>R. de Los Lagos</v>
      </c>
    </row>
    <row r="324" spans="1:3" x14ac:dyDescent="0.25">
      <c r="A324" t="s">
        <v>477</v>
      </c>
      <c r="B324" t="s">
        <v>439</v>
      </c>
      <c r="C324" t="str">
        <f t="shared" si="6"/>
        <v>R. de Los Lagos</v>
      </c>
    </row>
    <row r="325" spans="1:3" x14ac:dyDescent="0.25">
      <c r="A325" t="s">
        <v>478</v>
      </c>
      <c r="B325" t="s">
        <v>479</v>
      </c>
      <c r="C325" t="str">
        <f t="shared" si="6"/>
        <v>R. de Aysén</v>
      </c>
    </row>
    <row r="326" spans="1:3" x14ac:dyDescent="0.25">
      <c r="A326" t="s">
        <v>480</v>
      </c>
      <c r="B326" t="s">
        <v>479</v>
      </c>
      <c r="C326" t="str">
        <f t="shared" si="6"/>
        <v>R. de Aysén</v>
      </c>
    </row>
    <row r="327" spans="1:3" x14ac:dyDescent="0.25">
      <c r="A327" t="s">
        <v>479</v>
      </c>
      <c r="B327" t="s">
        <v>479</v>
      </c>
      <c r="C327" t="str">
        <f t="shared" si="6"/>
        <v>R. de Aysén</v>
      </c>
    </row>
    <row r="328" spans="1:3" x14ac:dyDescent="0.25">
      <c r="A328" t="s">
        <v>481</v>
      </c>
      <c r="B328" t="s">
        <v>479</v>
      </c>
      <c r="C328" t="str">
        <f t="shared" si="6"/>
        <v>R. de Aysén</v>
      </c>
    </row>
    <row r="329" spans="1:3" x14ac:dyDescent="0.25">
      <c r="A329" t="s">
        <v>482</v>
      </c>
      <c r="B329" t="s">
        <v>479</v>
      </c>
      <c r="C329" t="str">
        <f t="shared" si="6"/>
        <v>R. de Aysén</v>
      </c>
    </row>
    <row r="330" spans="1:3" x14ac:dyDescent="0.25">
      <c r="A330" t="s">
        <v>483</v>
      </c>
      <c r="B330" t="s">
        <v>479</v>
      </c>
      <c r="C330" t="str">
        <f t="shared" si="6"/>
        <v>R. de Aysén</v>
      </c>
    </row>
    <row r="331" spans="1:3" x14ac:dyDescent="0.25">
      <c r="A331" t="s">
        <v>292</v>
      </c>
      <c r="B331" t="s">
        <v>479</v>
      </c>
      <c r="C331" t="str">
        <f t="shared" si="6"/>
        <v>R. de Aysén</v>
      </c>
    </row>
    <row r="332" spans="1:3" x14ac:dyDescent="0.25">
      <c r="A332" t="s">
        <v>484</v>
      </c>
      <c r="B332" t="s">
        <v>479</v>
      </c>
      <c r="C332" t="str">
        <f t="shared" si="6"/>
        <v>R. de Aysén</v>
      </c>
    </row>
    <row r="333" spans="1:3" x14ac:dyDescent="0.25">
      <c r="A333" t="s">
        <v>485</v>
      </c>
      <c r="B333" t="s">
        <v>479</v>
      </c>
      <c r="C333" t="str">
        <f t="shared" si="6"/>
        <v>R. de Aysén</v>
      </c>
    </row>
    <row r="334" spans="1:3" x14ac:dyDescent="0.25">
      <c r="A334" t="s">
        <v>486</v>
      </c>
      <c r="B334" t="s">
        <v>479</v>
      </c>
      <c r="C334" t="str">
        <f t="shared" si="6"/>
        <v>R. de Aysén</v>
      </c>
    </row>
    <row r="335" spans="1:3" x14ac:dyDescent="0.25">
      <c r="A335" t="s">
        <v>487</v>
      </c>
      <c r="B335" t="s">
        <v>488</v>
      </c>
      <c r="C335" t="str">
        <f t="shared" si="6"/>
        <v>R. de Magallanes</v>
      </c>
    </row>
    <row r="336" spans="1:3" x14ac:dyDescent="0.25">
      <c r="A336" t="s">
        <v>489</v>
      </c>
      <c r="B336" t="s">
        <v>488</v>
      </c>
      <c r="C336" t="str">
        <f t="shared" si="6"/>
        <v>R. de Magallanes</v>
      </c>
    </row>
    <row r="337" spans="1:3" x14ac:dyDescent="0.25">
      <c r="A337" t="s">
        <v>490</v>
      </c>
      <c r="B337" t="s">
        <v>488</v>
      </c>
      <c r="C337" t="str">
        <f t="shared" si="6"/>
        <v>R. de Magallanes</v>
      </c>
    </row>
    <row r="338" spans="1:3" x14ac:dyDescent="0.25">
      <c r="A338" t="s">
        <v>491</v>
      </c>
      <c r="B338" t="s">
        <v>488</v>
      </c>
      <c r="C338" t="str">
        <f t="shared" si="6"/>
        <v>R. de Magallanes</v>
      </c>
    </row>
    <row r="339" spans="1:3" x14ac:dyDescent="0.25">
      <c r="A339" t="s">
        <v>492</v>
      </c>
      <c r="B339" t="s">
        <v>488</v>
      </c>
      <c r="C339" t="str">
        <f t="shared" si="6"/>
        <v>R. de Magallanes</v>
      </c>
    </row>
    <row r="340" spans="1:3" x14ac:dyDescent="0.25">
      <c r="A340" t="s">
        <v>493</v>
      </c>
      <c r="B340" t="s">
        <v>488</v>
      </c>
      <c r="C340" t="str">
        <f t="shared" si="6"/>
        <v>R. de Magallanes</v>
      </c>
    </row>
    <row r="341" spans="1:3" x14ac:dyDescent="0.25">
      <c r="A341" t="s">
        <v>494</v>
      </c>
      <c r="B341" t="s">
        <v>488</v>
      </c>
      <c r="C341" t="str">
        <f t="shared" si="6"/>
        <v>R. de Magallanes</v>
      </c>
    </row>
    <row r="342" spans="1:3" x14ac:dyDescent="0.25">
      <c r="A342" t="s">
        <v>495</v>
      </c>
      <c r="B342" t="s">
        <v>488</v>
      </c>
      <c r="C342" t="str">
        <f t="shared" si="6"/>
        <v>R. de Magallanes</v>
      </c>
    </row>
    <row r="343" spans="1:3" x14ac:dyDescent="0.25">
      <c r="A343" t="s">
        <v>496</v>
      </c>
      <c r="B343" t="s">
        <v>488</v>
      </c>
      <c r="C343" t="str">
        <f t="shared" si="6"/>
        <v>R. de Magallanes</v>
      </c>
    </row>
    <row r="344" spans="1:3" x14ac:dyDescent="0.25">
      <c r="A344" t="s">
        <v>497</v>
      </c>
      <c r="B344" t="s">
        <v>488</v>
      </c>
      <c r="C344" t="str">
        <f t="shared" si="6"/>
        <v>R. de Magallanes</v>
      </c>
    </row>
    <row r="345" spans="1:3" x14ac:dyDescent="0.25">
      <c r="A345" t="s">
        <v>498</v>
      </c>
      <c r="B345" t="s">
        <v>488</v>
      </c>
      <c r="C345" t="str">
        <f t="shared" si="6"/>
        <v>R. de Magallanes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Detalle Compras</vt:lpstr>
      <vt:lpstr>Tablas</vt:lpstr>
      <vt:lpstr>BBDD Comunas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Moreno, Camila</dc:creator>
  <cp:lastModifiedBy>Werth, Trini</cp:lastModifiedBy>
  <dcterms:created xsi:type="dcterms:W3CDTF">2020-04-14T15:47:30Z</dcterms:created>
  <dcterms:modified xsi:type="dcterms:W3CDTF">2026-02-18T19:18:53Z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8dfde47-f100-441b-b584-049a7fefba8a_Enabled">
    <vt:lpwstr>true</vt:lpwstr>
  </property>
  <property fmtid="{D5CDD505-2E9C-101B-9397-08002B2CF9AE}" pid="3" name="MSIP_Label_38dfde47-f100-441b-b584-049a7fefba8a_SetDate">
    <vt:lpwstr>2023-01-21T16:20:10Z</vt:lpwstr>
  </property>
  <property fmtid="{D5CDD505-2E9C-101B-9397-08002B2CF9AE}" pid="4" name="MSIP_Label_38dfde47-f100-441b-b584-049a7fefba8a_Method">
    <vt:lpwstr>Standard</vt:lpwstr>
  </property>
  <property fmtid="{D5CDD505-2E9C-101B-9397-08002B2CF9AE}" pid="5" name="MSIP_Label_38dfde47-f100-441b-b584-049a7fefba8a_Name">
    <vt:lpwstr>38dfde47-f100-441b-b584-049a7fefba8a</vt:lpwstr>
  </property>
  <property fmtid="{D5CDD505-2E9C-101B-9397-08002B2CF9AE}" pid="6" name="MSIP_Label_38dfde47-f100-441b-b584-049a7fefba8a_SiteId">
    <vt:lpwstr>16e7cf3f-6af4-4e76-941e-aecafb9704e9</vt:lpwstr>
  </property>
  <property fmtid="{D5CDD505-2E9C-101B-9397-08002B2CF9AE}" pid="7" name="MSIP_Label_38dfde47-f100-441b-b584-049a7fefba8a_ActionId">
    <vt:lpwstr>dd2c5ba2-ffeb-4ecd-9545-ca5e75bdae86</vt:lpwstr>
  </property>
  <property fmtid="{D5CDD505-2E9C-101B-9397-08002B2CF9AE}" pid="8" name="MSIP_Label_38dfde47-f100-441b-b584-049a7fefba8a_ContentBits">
    <vt:lpwstr>0</vt:lpwstr>
  </property>
</Properties>
</file>